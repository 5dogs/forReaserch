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filterPrivacy="1" defaultThemeVersion="124226"/>
  <xr:revisionPtr revIDLastSave="0" documentId="13_ncr:1_{8F7A17ED-F883-4C14-BA0D-C89D7D464A41}" xr6:coauthVersionLast="47" xr6:coauthVersionMax="47" xr10:uidLastSave="{00000000-0000-0000-0000-000000000000}"/>
  <bookViews>
    <workbookView xWindow="-28920" yWindow="0" windowWidth="29040" windowHeight="15840" tabRatio="745" xr2:uid="{00000000-000D-0000-FFFF-FFFF00000000}"/>
  </bookViews>
  <sheets>
    <sheet name="●目次(Contents)●" sheetId="65" r:id="rId1"/>
    <sheet name="１（１）原油地域別、国別輸入" sheetId="364" r:id="rId2"/>
    <sheet name="１（２）原油油種別輸入" sheetId="365" r:id="rId3"/>
    <sheet name="１（３）非精製用出荷内訳" sheetId="366" r:id="rId4"/>
    <sheet name="１（４）原油処理及び原油在庫" sheetId="367" r:id="rId5"/>
    <sheet name="２（１）①石油製品需給総括暦年" sheetId="368" r:id="rId6"/>
    <sheet name="２（１）②石油製品需給総括年度" sheetId="369" r:id="rId7"/>
    <sheet name="２（２）①製造業者・輸入業者受払暦年" sheetId="370" r:id="rId8"/>
    <sheet name="２（２）②製造業者・輸入業者受払年度" sheetId="371" r:id="rId9"/>
    <sheet name="２（３）石油製品月別国内向販売" sheetId="373" r:id="rId10"/>
    <sheet name="２（４）①石油製品月別輸入" sheetId="374" r:id="rId11"/>
    <sheet name="２（４）②石油製品国・地域別月別輸入" sheetId="375" r:id="rId12"/>
    <sheet name="２（４）③石油製品月別輸出" sheetId="376" r:id="rId13"/>
    <sheet name="２（４）④石油製品国・地域別月別輸出" sheetId="377" r:id="rId14"/>
    <sheet name="２（５）石油製品月別業態別在庫" sheetId="378" r:id="rId15"/>
    <sheet name="２（６）製造業者・輸入業者月別消費者、販売業者向販売" sheetId="379" r:id="rId16"/>
    <sheet name="２（７）品種別、月別消費者・販売業者向販売及び在庫内訳" sheetId="380" r:id="rId17"/>
    <sheet name="参考資料１、２備蓄量推移、輸入価格推移" sheetId="381" r:id="rId18"/>
    <sheet name="参考資料３（１）（２）" sheetId="382" r:id="rId19"/>
    <sheet name="参考資料３（３）（４）" sheetId="383" r:id="rId20"/>
    <sheet name="参考資料３（５）（６）" sheetId="384" r:id="rId21"/>
    <sheet name="参考資料３（７）（８）" sheetId="385" r:id="rId22"/>
    <sheet name="参考資料４（１）液化天然ガス（ＬＮＧ）輸入量、消費量、在庫量" sheetId="386" r:id="rId23"/>
    <sheet name="参考資料４（２）液化天然ガス（ＬＮＧ）国別、月別輸入量" sheetId="387" r:id="rId24"/>
  </sheets>
  <definedNames>
    <definedName name="_10__123Graph_Aｸﾞﾗﾌ_3" localSheetId="1" hidden="1">#REF!</definedName>
    <definedName name="_10__123Graph_Aｸﾞﾗﾌ_3" localSheetId="2" hidden="1">#REF!</definedName>
    <definedName name="_10__123Graph_Aｸﾞﾗﾌ_3" localSheetId="3" hidden="1">#REF!</definedName>
    <definedName name="_10__123Graph_Aｸﾞﾗﾌ_3" localSheetId="4" hidden="1">#REF!</definedName>
    <definedName name="_10__123Graph_Aｸﾞﾗﾌ_3" localSheetId="5" hidden="1">#REF!</definedName>
    <definedName name="_10__123Graph_Aｸﾞﾗﾌ_3" localSheetId="6" hidden="1">#REF!</definedName>
    <definedName name="_10__123Graph_Aｸﾞﾗﾌ_3" localSheetId="7" hidden="1">#REF!</definedName>
    <definedName name="_10__123Graph_Aｸﾞﾗﾌ_3" localSheetId="8" hidden="1">#REF!</definedName>
    <definedName name="_10__123Graph_Aｸﾞﾗﾌ_3" localSheetId="9" hidden="1">#REF!</definedName>
    <definedName name="_10__123Graph_Aｸﾞﾗﾌ_3" localSheetId="10" hidden="1">#REF!</definedName>
    <definedName name="_10__123Graph_Aｸﾞﾗﾌ_3" localSheetId="11" hidden="1">#REF!</definedName>
    <definedName name="_10__123Graph_Aｸﾞﾗﾌ_3" localSheetId="12" hidden="1">#REF!</definedName>
    <definedName name="_10__123Graph_Aｸﾞﾗﾌ_3" localSheetId="13" hidden="1">#REF!</definedName>
    <definedName name="_10__123Graph_Aｸﾞﾗﾌ_3" localSheetId="14" hidden="1">#REF!</definedName>
    <definedName name="_10__123Graph_Aｸﾞﾗﾌ_3" localSheetId="15" hidden="1">#REF!</definedName>
    <definedName name="_10__123Graph_Aｸﾞﾗﾌ_3" localSheetId="16" hidden="1">#REF!</definedName>
    <definedName name="_10__123Graph_Aｸﾞﾗﾌ_3" hidden="1">#REF!</definedName>
    <definedName name="_15__123Graph_Bｸﾞﾗﾌ_1" localSheetId="1" hidden="1">#REF!</definedName>
    <definedName name="_15__123Graph_Bｸﾞﾗﾌ_1" localSheetId="2" hidden="1">#REF!</definedName>
    <definedName name="_15__123Graph_Bｸﾞﾗﾌ_1" localSheetId="3" hidden="1">#REF!</definedName>
    <definedName name="_15__123Graph_Bｸﾞﾗﾌ_1" localSheetId="4" hidden="1">#REF!</definedName>
    <definedName name="_15__123Graph_Bｸﾞﾗﾌ_1" localSheetId="5" hidden="1">#REF!</definedName>
    <definedName name="_15__123Graph_Bｸﾞﾗﾌ_1" localSheetId="6" hidden="1">#REF!</definedName>
    <definedName name="_15__123Graph_Bｸﾞﾗﾌ_1" localSheetId="7" hidden="1">#REF!</definedName>
    <definedName name="_15__123Graph_Bｸﾞﾗﾌ_1" localSheetId="8" hidden="1">#REF!</definedName>
    <definedName name="_15__123Graph_Bｸﾞﾗﾌ_1" localSheetId="9" hidden="1">#REF!</definedName>
    <definedName name="_15__123Graph_Bｸﾞﾗﾌ_1" localSheetId="10" hidden="1">#REF!</definedName>
    <definedName name="_15__123Graph_Bｸﾞﾗﾌ_1" localSheetId="11" hidden="1">#REF!</definedName>
    <definedName name="_15__123Graph_Bｸﾞﾗﾌ_1" localSheetId="12" hidden="1">#REF!</definedName>
    <definedName name="_15__123Graph_Bｸﾞﾗﾌ_1" localSheetId="13" hidden="1">#REF!</definedName>
    <definedName name="_15__123Graph_Bｸﾞﾗﾌ_1" localSheetId="14" hidden="1">#REF!</definedName>
    <definedName name="_15__123Graph_Bｸﾞﾗﾌ_1" localSheetId="15" hidden="1">#REF!</definedName>
    <definedName name="_15__123Graph_Bｸﾞﾗﾌ_1" localSheetId="16" hidden="1">#REF!</definedName>
    <definedName name="_15__123Graph_Bｸﾞﾗﾌ_1" hidden="1">#REF!</definedName>
    <definedName name="_２_供給者区分別原油月別輸入___Crude_Oil_Import_by_Month_and_Supplier">#REF!</definedName>
    <definedName name="_20__123Graph_Bｸﾞﾗﾌ_2" localSheetId="1" hidden="1">#REF!</definedName>
    <definedName name="_20__123Graph_Bｸﾞﾗﾌ_2" localSheetId="2" hidden="1">#REF!</definedName>
    <definedName name="_20__123Graph_Bｸﾞﾗﾌ_2" localSheetId="3" hidden="1">#REF!</definedName>
    <definedName name="_20__123Graph_Bｸﾞﾗﾌ_2" localSheetId="4" hidden="1">#REF!</definedName>
    <definedName name="_20__123Graph_Bｸﾞﾗﾌ_2" localSheetId="5" hidden="1">#REF!</definedName>
    <definedName name="_20__123Graph_Bｸﾞﾗﾌ_2" localSheetId="6" hidden="1">#REF!</definedName>
    <definedName name="_20__123Graph_Bｸﾞﾗﾌ_2" localSheetId="7" hidden="1">#REF!</definedName>
    <definedName name="_20__123Graph_Bｸﾞﾗﾌ_2" localSheetId="8" hidden="1">#REF!</definedName>
    <definedName name="_20__123Graph_Bｸﾞﾗﾌ_2" localSheetId="9" hidden="1">#REF!</definedName>
    <definedName name="_20__123Graph_Bｸﾞﾗﾌ_2" localSheetId="10" hidden="1">#REF!</definedName>
    <definedName name="_20__123Graph_Bｸﾞﾗﾌ_2" localSheetId="11" hidden="1">#REF!</definedName>
    <definedName name="_20__123Graph_Bｸﾞﾗﾌ_2" localSheetId="12" hidden="1">#REF!</definedName>
    <definedName name="_20__123Graph_Bｸﾞﾗﾌ_2" localSheetId="13" hidden="1">#REF!</definedName>
    <definedName name="_20__123Graph_Bｸﾞﾗﾌ_2" localSheetId="14" hidden="1">#REF!</definedName>
    <definedName name="_20__123Graph_Bｸﾞﾗﾌ_2" localSheetId="15" hidden="1">#REF!</definedName>
    <definedName name="_20__123Graph_Bｸﾞﾗﾌ_2" localSheetId="16" hidden="1">#REF!</definedName>
    <definedName name="_20__123Graph_Bｸﾞﾗﾌ_2" hidden="1">#REF!</definedName>
    <definedName name="_25__123Graph_Bｸﾞﾗﾌ_3" localSheetId="1" hidden="1">#REF!</definedName>
    <definedName name="_25__123Graph_Bｸﾞﾗﾌ_3" localSheetId="2" hidden="1">#REF!</definedName>
    <definedName name="_25__123Graph_Bｸﾞﾗﾌ_3" localSheetId="3" hidden="1">#REF!</definedName>
    <definedName name="_25__123Graph_Bｸﾞﾗﾌ_3" localSheetId="4" hidden="1">#REF!</definedName>
    <definedName name="_25__123Graph_Bｸﾞﾗﾌ_3" localSheetId="5" hidden="1">#REF!</definedName>
    <definedName name="_25__123Graph_Bｸﾞﾗﾌ_3" localSheetId="6" hidden="1">#REF!</definedName>
    <definedName name="_25__123Graph_Bｸﾞﾗﾌ_3" localSheetId="7" hidden="1">#REF!</definedName>
    <definedName name="_25__123Graph_Bｸﾞﾗﾌ_3" localSheetId="8" hidden="1">#REF!</definedName>
    <definedName name="_25__123Graph_Bｸﾞﾗﾌ_3" localSheetId="9" hidden="1">#REF!</definedName>
    <definedName name="_25__123Graph_Bｸﾞﾗﾌ_3" localSheetId="10" hidden="1">#REF!</definedName>
    <definedName name="_25__123Graph_Bｸﾞﾗﾌ_3" localSheetId="11" hidden="1">#REF!</definedName>
    <definedName name="_25__123Graph_Bｸﾞﾗﾌ_3" localSheetId="12" hidden="1">#REF!</definedName>
    <definedName name="_25__123Graph_Bｸﾞﾗﾌ_3" localSheetId="13" hidden="1">#REF!</definedName>
    <definedName name="_25__123Graph_Bｸﾞﾗﾌ_3" localSheetId="14" hidden="1">#REF!</definedName>
    <definedName name="_25__123Graph_Bｸﾞﾗﾌ_3" localSheetId="15" hidden="1">#REF!</definedName>
    <definedName name="_25__123Graph_Bｸﾞﾗﾌ_3" localSheetId="16" hidden="1">#REF!</definedName>
    <definedName name="_25__123Graph_Bｸﾞﾗﾌ_3" hidden="1">#REF!</definedName>
    <definedName name="_３．石油輸入価格推移___Customs_Clearance_Prices_of_Crude_Oil_and_Petroleum_Products_CIF">#REF!</definedName>
    <definedName name="_30__123Graph_Cｸﾞﾗﾌ_1" localSheetId="1" hidden="1">#REF!</definedName>
    <definedName name="_30__123Graph_Cｸﾞﾗﾌ_1" localSheetId="2" hidden="1">#REF!</definedName>
    <definedName name="_30__123Graph_Cｸﾞﾗﾌ_1" localSheetId="3" hidden="1">#REF!</definedName>
    <definedName name="_30__123Graph_Cｸﾞﾗﾌ_1" localSheetId="4" hidden="1">#REF!</definedName>
    <definedName name="_30__123Graph_Cｸﾞﾗﾌ_1" localSheetId="5" hidden="1">#REF!</definedName>
    <definedName name="_30__123Graph_Cｸﾞﾗﾌ_1" localSheetId="6" hidden="1">#REF!</definedName>
    <definedName name="_30__123Graph_Cｸﾞﾗﾌ_1" localSheetId="7" hidden="1">#REF!</definedName>
    <definedName name="_30__123Graph_Cｸﾞﾗﾌ_1" localSheetId="8" hidden="1">#REF!</definedName>
    <definedName name="_30__123Graph_Cｸﾞﾗﾌ_1" localSheetId="9" hidden="1">#REF!</definedName>
    <definedName name="_30__123Graph_Cｸﾞﾗﾌ_1" localSheetId="10" hidden="1">#REF!</definedName>
    <definedName name="_30__123Graph_Cｸﾞﾗﾌ_1" localSheetId="11" hidden="1">#REF!</definedName>
    <definedName name="_30__123Graph_Cｸﾞﾗﾌ_1" localSheetId="12" hidden="1">#REF!</definedName>
    <definedName name="_30__123Graph_Cｸﾞﾗﾌ_1" localSheetId="13" hidden="1">#REF!</definedName>
    <definedName name="_30__123Graph_Cｸﾞﾗﾌ_1" localSheetId="14" hidden="1">#REF!</definedName>
    <definedName name="_30__123Graph_Cｸﾞﾗﾌ_1" localSheetId="15" hidden="1">#REF!</definedName>
    <definedName name="_30__123Graph_Cｸﾞﾗﾌ_1" localSheetId="16" hidden="1">#REF!</definedName>
    <definedName name="_30__123Graph_Cｸﾞﾗﾌ_1" hidden="1">#REF!</definedName>
    <definedName name="_35__123Graph_Cｸﾞﾗﾌ_2" localSheetId="1" hidden="1">#REF!</definedName>
    <definedName name="_35__123Graph_Cｸﾞﾗﾌ_2" localSheetId="2" hidden="1">#REF!</definedName>
    <definedName name="_35__123Graph_Cｸﾞﾗﾌ_2" localSheetId="3" hidden="1">#REF!</definedName>
    <definedName name="_35__123Graph_Cｸﾞﾗﾌ_2" localSheetId="4" hidden="1">#REF!</definedName>
    <definedName name="_35__123Graph_Cｸﾞﾗﾌ_2" localSheetId="5" hidden="1">#REF!</definedName>
    <definedName name="_35__123Graph_Cｸﾞﾗﾌ_2" localSheetId="6" hidden="1">#REF!</definedName>
    <definedName name="_35__123Graph_Cｸﾞﾗﾌ_2" localSheetId="7" hidden="1">#REF!</definedName>
    <definedName name="_35__123Graph_Cｸﾞﾗﾌ_2" localSheetId="8" hidden="1">#REF!</definedName>
    <definedName name="_35__123Graph_Cｸﾞﾗﾌ_2" localSheetId="9" hidden="1">#REF!</definedName>
    <definedName name="_35__123Graph_Cｸﾞﾗﾌ_2" localSheetId="10" hidden="1">#REF!</definedName>
    <definedName name="_35__123Graph_Cｸﾞﾗﾌ_2" localSheetId="11" hidden="1">#REF!</definedName>
    <definedName name="_35__123Graph_Cｸﾞﾗﾌ_2" localSheetId="12" hidden="1">#REF!</definedName>
    <definedName name="_35__123Graph_Cｸﾞﾗﾌ_2" localSheetId="13" hidden="1">#REF!</definedName>
    <definedName name="_35__123Graph_Cｸﾞﾗﾌ_2" localSheetId="14" hidden="1">#REF!</definedName>
    <definedName name="_35__123Graph_Cｸﾞﾗﾌ_2" localSheetId="15" hidden="1">#REF!</definedName>
    <definedName name="_35__123Graph_Cｸﾞﾗﾌ_2" localSheetId="16" hidden="1">#REF!</definedName>
    <definedName name="_35__123Graph_Cｸﾞﾗﾌ_2" hidden="1">#REF!</definedName>
    <definedName name="_４_国別_契約期間別原油輸入_平均ＡＰＩ及び平均硫黄分_平成23年度">#REF!</definedName>
    <definedName name="_40__123Graph_Dｸﾞﾗﾌ_1" localSheetId="1" hidden="1">#REF!</definedName>
    <definedName name="_40__123Graph_Dｸﾞﾗﾌ_1" localSheetId="2" hidden="1">#REF!</definedName>
    <definedName name="_40__123Graph_Dｸﾞﾗﾌ_1" localSheetId="3" hidden="1">#REF!</definedName>
    <definedName name="_40__123Graph_Dｸﾞﾗﾌ_1" localSheetId="4" hidden="1">#REF!</definedName>
    <definedName name="_40__123Graph_Dｸﾞﾗﾌ_1" localSheetId="5" hidden="1">#REF!</definedName>
    <definedName name="_40__123Graph_Dｸﾞﾗﾌ_1" localSheetId="6" hidden="1">#REF!</definedName>
    <definedName name="_40__123Graph_Dｸﾞﾗﾌ_1" localSheetId="7" hidden="1">#REF!</definedName>
    <definedName name="_40__123Graph_Dｸﾞﾗﾌ_1" localSheetId="8" hidden="1">#REF!</definedName>
    <definedName name="_40__123Graph_Dｸﾞﾗﾌ_1" localSheetId="9" hidden="1">#REF!</definedName>
    <definedName name="_40__123Graph_Dｸﾞﾗﾌ_1" localSheetId="10" hidden="1">#REF!</definedName>
    <definedName name="_40__123Graph_Dｸﾞﾗﾌ_1" localSheetId="11" hidden="1">#REF!</definedName>
    <definedName name="_40__123Graph_Dｸﾞﾗﾌ_1" localSheetId="12" hidden="1">#REF!</definedName>
    <definedName name="_40__123Graph_Dｸﾞﾗﾌ_1" localSheetId="13" hidden="1">#REF!</definedName>
    <definedName name="_40__123Graph_Dｸﾞﾗﾌ_1" localSheetId="14" hidden="1">#REF!</definedName>
    <definedName name="_40__123Graph_Dｸﾞﾗﾌ_1" localSheetId="15" hidden="1">#REF!</definedName>
    <definedName name="_40__123Graph_Dｸﾞﾗﾌ_1" localSheetId="16" hidden="1">#REF!</definedName>
    <definedName name="_40__123Graph_Dｸﾞﾗﾌ_1" hidden="1">#REF!</definedName>
    <definedName name="_45__123Graph_Dｸﾞﾗﾌ_2" localSheetId="1" hidden="1">#REF!</definedName>
    <definedName name="_45__123Graph_Dｸﾞﾗﾌ_2" localSheetId="2" hidden="1">#REF!</definedName>
    <definedName name="_45__123Graph_Dｸﾞﾗﾌ_2" localSheetId="3" hidden="1">#REF!</definedName>
    <definedName name="_45__123Graph_Dｸﾞﾗﾌ_2" localSheetId="4" hidden="1">#REF!</definedName>
    <definedName name="_45__123Graph_Dｸﾞﾗﾌ_2" localSheetId="5" hidden="1">#REF!</definedName>
    <definedName name="_45__123Graph_Dｸﾞﾗﾌ_2" localSheetId="6" hidden="1">#REF!</definedName>
    <definedName name="_45__123Graph_Dｸﾞﾗﾌ_2" localSheetId="7" hidden="1">#REF!</definedName>
    <definedName name="_45__123Graph_Dｸﾞﾗﾌ_2" localSheetId="8" hidden="1">#REF!</definedName>
    <definedName name="_45__123Graph_Dｸﾞﾗﾌ_2" localSheetId="9" hidden="1">#REF!</definedName>
    <definedName name="_45__123Graph_Dｸﾞﾗﾌ_2" localSheetId="10" hidden="1">#REF!</definedName>
    <definedName name="_45__123Graph_Dｸﾞﾗﾌ_2" localSheetId="11" hidden="1">#REF!</definedName>
    <definedName name="_45__123Graph_Dｸﾞﾗﾌ_2" localSheetId="12" hidden="1">#REF!</definedName>
    <definedName name="_45__123Graph_Dｸﾞﾗﾌ_2" localSheetId="13" hidden="1">#REF!</definedName>
    <definedName name="_45__123Graph_Dｸﾞﾗﾌ_2" localSheetId="14" hidden="1">#REF!</definedName>
    <definedName name="_45__123Graph_Dｸﾞﾗﾌ_2" localSheetId="15" hidden="1">#REF!</definedName>
    <definedName name="_45__123Graph_Dｸﾞﾗﾌ_2" localSheetId="16" hidden="1">#REF!</definedName>
    <definedName name="_45__123Graph_Dｸﾞﾗﾌ_2" hidden="1">#REF!</definedName>
    <definedName name="_5__123Graph_Aｸﾞﾗﾌ_1" localSheetId="1" hidden="1">#REF!</definedName>
    <definedName name="_5__123Graph_Aｸﾞﾗﾌ_1" localSheetId="2" hidden="1">#REF!</definedName>
    <definedName name="_5__123Graph_Aｸﾞﾗﾌ_1" localSheetId="3" hidden="1">#REF!</definedName>
    <definedName name="_5__123Graph_Aｸﾞﾗﾌ_1" localSheetId="4" hidden="1">#REF!</definedName>
    <definedName name="_5__123Graph_Aｸﾞﾗﾌ_1" localSheetId="5" hidden="1">#REF!</definedName>
    <definedName name="_5__123Graph_Aｸﾞﾗﾌ_1" localSheetId="6" hidden="1">#REF!</definedName>
    <definedName name="_5__123Graph_Aｸﾞﾗﾌ_1" localSheetId="7" hidden="1">#REF!</definedName>
    <definedName name="_5__123Graph_Aｸﾞﾗﾌ_1" localSheetId="8" hidden="1">#REF!</definedName>
    <definedName name="_5__123Graph_Aｸﾞﾗﾌ_1" localSheetId="9" hidden="1">#REF!</definedName>
    <definedName name="_5__123Graph_Aｸﾞﾗﾌ_1" localSheetId="10" hidden="1">#REF!</definedName>
    <definedName name="_5__123Graph_Aｸﾞﾗﾌ_1" localSheetId="11" hidden="1">#REF!</definedName>
    <definedName name="_5__123Graph_Aｸﾞﾗﾌ_1" localSheetId="12" hidden="1">#REF!</definedName>
    <definedName name="_5__123Graph_Aｸﾞﾗﾌ_1" localSheetId="13" hidden="1">#REF!</definedName>
    <definedName name="_5__123Graph_Aｸﾞﾗﾌ_1" localSheetId="14" hidden="1">#REF!</definedName>
    <definedName name="_5__123Graph_Aｸﾞﾗﾌ_1" localSheetId="15" hidden="1">#REF!</definedName>
    <definedName name="_5__123Graph_Aｸﾞﾗﾌ_1" localSheetId="16" hidden="1">#REF!</definedName>
    <definedName name="_5__123Graph_Aｸﾞﾗﾌ_1" hidden="1">#REF!</definedName>
    <definedName name="_50__123Graph_Eｸﾞﾗﾌ_2" localSheetId="1" hidden="1">#REF!</definedName>
    <definedName name="_50__123Graph_Eｸﾞﾗﾌ_2" localSheetId="2" hidden="1">#REF!</definedName>
    <definedName name="_50__123Graph_Eｸﾞﾗﾌ_2" localSheetId="3" hidden="1">#REF!</definedName>
    <definedName name="_50__123Graph_Eｸﾞﾗﾌ_2" localSheetId="4" hidden="1">#REF!</definedName>
    <definedName name="_50__123Graph_Eｸﾞﾗﾌ_2" localSheetId="5" hidden="1">#REF!</definedName>
    <definedName name="_50__123Graph_Eｸﾞﾗﾌ_2" localSheetId="6" hidden="1">#REF!</definedName>
    <definedName name="_50__123Graph_Eｸﾞﾗﾌ_2" localSheetId="7" hidden="1">#REF!</definedName>
    <definedName name="_50__123Graph_Eｸﾞﾗﾌ_2" localSheetId="8" hidden="1">#REF!</definedName>
    <definedName name="_50__123Graph_Eｸﾞﾗﾌ_2" localSheetId="9" hidden="1">#REF!</definedName>
    <definedName name="_50__123Graph_Eｸﾞﾗﾌ_2" localSheetId="10" hidden="1">#REF!</definedName>
    <definedName name="_50__123Graph_Eｸﾞﾗﾌ_2" localSheetId="11" hidden="1">#REF!</definedName>
    <definedName name="_50__123Graph_Eｸﾞﾗﾌ_2" localSheetId="12" hidden="1">#REF!</definedName>
    <definedName name="_50__123Graph_Eｸﾞﾗﾌ_2" localSheetId="13" hidden="1">#REF!</definedName>
    <definedName name="_50__123Graph_Eｸﾞﾗﾌ_2" localSheetId="14" hidden="1">#REF!</definedName>
    <definedName name="_50__123Graph_Eｸﾞﾗﾌ_2" localSheetId="15" hidden="1">#REF!</definedName>
    <definedName name="_50__123Graph_Eｸﾞﾗﾌ_2" localSheetId="16" hidden="1">#REF!</definedName>
    <definedName name="_50__123Graph_Eｸﾞﾗﾌ_2" hidden="1">#REF!</definedName>
    <definedName name="_55__123Graph_Xｸﾞﾗﾌ_3" localSheetId="1" hidden="1">#REF!</definedName>
    <definedName name="_55__123Graph_Xｸﾞﾗﾌ_3" localSheetId="2" hidden="1">#REF!</definedName>
    <definedName name="_55__123Graph_Xｸﾞﾗﾌ_3" localSheetId="3" hidden="1">#REF!</definedName>
    <definedName name="_55__123Graph_Xｸﾞﾗﾌ_3" localSheetId="4" hidden="1">#REF!</definedName>
    <definedName name="_55__123Graph_Xｸﾞﾗﾌ_3" localSheetId="5" hidden="1">#REF!</definedName>
    <definedName name="_55__123Graph_Xｸﾞﾗﾌ_3" localSheetId="6" hidden="1">#REF!</definedName>
    <definedName name="_55__123Graph_Xｸﾞﾗﾌ_3" localSheetId="7" hidden="1">#REF!</definedName>
    <definedName name="_55__123Graph_Xｸﾞﾗﾌ_3" localSheetId="8" hidden="1">#REF!</definedName>
    <definedName name="_55__123Graph_Xｸﾞﾗﾌ_3" localSheetId="9" hidden="1">#REF!</definedName>
    <definedName name="_55__123Graph_Xｸﾞﾗﾌ_3" localSheetId="10" hidden="1">#REF!</definedName>
    <definedName name="_55__123Graph_Xｸﾞﾗﾌ_3" localSheetId="11" hidden="1">#REF!</definedName>
    <definedName name="_55__123Graph_Xｸﾞﾗﾌ_3" localSheetId="12" hidden="1">#REF!</definedName>
    <definedName name="_55__123Graph_Xｸﾞﾗﾌ_3" localSheetId="13" hidden="1">#REF!</definedName>
    <definedName name="_55__123Graph_Xｸﾞﾗﾌ_3" localSheetId="14" hidden="1">#REF!</definedName>
    <definedName name="_55__123Graph_Xｸﾞﾗﾌ_3" localSheetId="15" hidden="1">#REF!</definedName>
    <definedName name="_55__123Graph_Xｸﾞﾗﾌ_3" localSheetId="16" hidden="1">#REF!</definedName>
    <definedName name="_55__123Graph_Xｸﾞﾗﾌ_3" hidden="1">#REF!</definedName>
    <definedName name="_6__労務___Labor">#REF!</definedName>
    <definedName name="_６_国別_契約期間別ＣＩＦ総額_平成23年度____Imported_Crude_Oil_value_CIF__by_Country_and_Contract_Ｆ.Y.2011">#REF!</definedName>
    <definedName name="_８_国別船積数量_FOB_運賃総額及び保険料総額_平成23年度">#REF!</definedName>
    <definedName name="aaa" hidden="1">#REF!</definedName>
    <definedName name="_xlnm.Print_Area" localSheetId="0">'●目次(Contents)●'!$A$1:$Z$40</definedName>
    <definedName name="_xlnm.Print_Area" localSheetId="1">'１（１）原油地域別、国別輸入'!$A$1:$R$106</definedName>
    <definedName name="_xlnm.Print_Area" localSheetId="2">'１（２）原油油種別輸入'!$A$1:$R$282</definedName>
    <definedName name="_xlnm.Print_Area" localSheetId="3">'１（３）非精製用出荷内訳'!$A$2:$R$110</definedName>
    <definedName name="_xlnm.Print_Area" localSheetId="4">'１（４）原油処理及び原油在庫'!$A$1:$U$79</definedName>
    <definedName name="_xlnm.Print_Area" localSheetId="5">'２（１）①石油製品需給総括暦年'!$A$1:$T$48</definedName>
    <definedName name="_xlnm.Print_Area" localSheetId="6">'２（１）②石油製品需給総括年度'!$A$1:$T$48</definedName>
    <definedName name="_xlnm.Print_Area" localSheetId="7">'２（２）①製造業者・輸入業者受払暦年'!$A$1:$T$45</definedName>
    <definedName name="_xlnm.Print_Area" localSheetId="8">'２（２）②製造業者・輸入業者受払年度'!$A$1:$T$44</definedName>
    <definedName name="_xlnm.Print_Area" localSheetId="9">'２（３）石油製品月別国内向販売'!$A$1:$W$42</definedName>
    <definedName name="_xlnm.Print_Area" localSheetId="11">'２（４）②石油製品国・地域別月別輸入'!$A$1:$W$430</definedName>
    <definedName name="_xlnm.Print_Area" localSheetId="12">'２（４）③石油製品月別輸出'!$A$1:$W$40</definedName>
    <definedName name="_xlnm.Print_Area" localSheetId="13">'２（４）④石油製品国・地域別月別輸出'!$A$1:$W$610</definedName>
    <definedName name="_xlnm.Print_Area" localSheetId="14">'２（５）石油製品月別業態別在庫'!$A$4:$V$60</definedName>
    <definedName name="_xlnm.Print_Area" localSheetId="15">'２（６）製造業者・輸入業者月別消費者、販売業者向販売'!$A$1:$W$40</definedName>
    <definedName name="_xlnm.Print_Area" localSheetId="16">'２（７）品種別、月別消費者・販売業者向販売及び在庫内訳'!$A$2:$Z$45</definedName>
    <definedName name="_xlnm.Print_Area" localSheetId="17">'参考資料１、２備蓄量推移、輸入価格推移'!$A$1:$P$48</definedName>
    <definedName name="_xlnm.Print_Area" localSheetId="18">'参考資料３（１）（２）'!$A$1:$K$38,'参考資料３（１）（２）'!$L$41:$S$76</definedName>
    <definedName name="_xlnm.Print_Area" localSheetId="19">'参考資料３（３）（４）'!$A$1:$K$26,'参考資料３（３）（４）'!$A$28:$K$54</definedName>
    <definedName name="_xlnm.Print_Area" localSheetId="20">'参考資料３（５）（６）'!$A$1:$F$52</definedName>
    <definedName name="_xlnm.Print_Area" localSheetId="21">'参考資料３（７）（８）'!$A$1:$G$53</definedName>
    <definedName name="_xlnm.Print_Area" localSheetId="23">'参考資料４（２）液化天然ガス（ＬＮＧ）国別、月別輸入量'!$A$1:$I$61</definedName>
    <definedName name="けんめい" localSheetId="1">#REF!</definedName>
    <definedName name="けんめい" localSheetId="2">#REF!</definedName>
    <definedName name="けんめい" localSheetId="3">#REF!</definedName>
    <definedName name="けんめい" localSheetId="4">#REF!</definedName>
    <definedName name="けんめい" localSheetId="5">#REF!</definedName>
    <definedName name="けんめい" localSheetId="6">#REF!</definedName>
    <definedName name="けんめい" localSheetId="7">#REF!</definedName>
    <definedName name="けんめい" localSheetId="8">#REF!</definedName>
    <definedName name="けんめい" localSheetId="9">#REF!</definedName>
    <definedName name="けんめい" localSheetId="10">#REF!</definedName>
    <definedName name="けんめい" localSheetId="11">#REF!</definedName>
    <definedName name="けんめい" localSheetId="12">#REF!</definedName>
    <definedName name="けんめい" localSheetId="13">#REF!</definedName>
    <definedName name="けんめい" localSheetId="14">#REF!</definedName>
    <definedName name="けんめい" localSheetId="15">#REF!</definedName>
    <definedName name="けんめい" localSheetId="16">#REF!</definedName>
    <definedName name="けんめい">#REF!</definedName>
    <definedName name="県名" localSheetId="1">#REF!</definedName>
    <definedName name="県名" localSheetId="2">#REF!</definedName>
    <definedName name="県名" localSheetId="3">#REF!</definedName>
    <definedName name="県名" localSheetId="4">#REF!</definedName>
    <definedName name="県名" localSheetId="5">#REF!</definedName>
    <definedName name="県名" localSheetId="6">#REF!</definedName>
    <definedName name="県名" localSheetId="7">#REF!</definedName>
    <definedName name="県名" localSheetId="8">#REF!</definedName>
    <definedName name="県名" localSheetId="9">#REF!</definedName>
    <definedName name="県名" localSheetId="10">#REF!</definedName>
    <definedName name="県名" localSheetId="11">#REF!</definedName>
    <definedName name="県名" localSheetId="12">#REF!</definedName>
    <definedName name="県名" localSheetId="13">#REF!</definedName>
    <definedName name="県名" localSheetId="14">#REF!</definedName>
    <definedName name="県名" localSheetId="15">#REF!</definedName>
    <definedName name="県名" localSheetId="16">#REF!</definedName>
    <definedName name="県名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0" i="366" l="1"/>
  <c r="L80" i="366"/>
  <c r="K80" i="366"/>
  <c r="H80" i="366"/>
  <c r="F80" i="366"/>
  <c r="D80" i="366"/>
  <c r="Q44" i="366"/>
  <c r="P44" i="366"/>
  <c r="O44" i="366"/>
  <c r="L44" i="366"/>
  <c r="J44" i="366"/>
  <c r="G44" i="366"/>
  <c r="E44" i="366"/>
  <c r="D44" i="366"/>
  <c r="B44" i="366"/>
  <c r="P8" i="366"/>
  <c r="N8" i="366"/>
  <c r="M8" i="366"/>
  <c r="K8" i="366"/>
  <c r="I8" i="366"/>
  <c r="H8" i="366"/>
  <c r="E8" i="366"/>
  <c r="G252" i="365" l="1"/>
  <c r="F252" i="365"/>
  <c r="E252" i="365"/>
  <c r="D252" i="365"/>
  <c r="C252" i="365"/>
  <c r="B252" i="365"/>
  <c r="Q217" i="365"/>
  <c r="P217" i="365"/>
  <c r="O217" i="365"/>
  <c r="N217" i="365"/>
  <c r="M217" i="365"/>
  <c r="J217" i="365"/>
  <c r="I217" i="365"/>
  <c r="H217" i="365"/>
  <c r="G217" i="365"/>
  <c r="F217" i="365"/>
  <c r="E217" i="365"/>
  <c r="D217" i="365"/>
  <c r="B217" i="365"/>
  <c r="P182" i="365"/>
  <c r="O182" i="365"/>
  <c r="M182" i="365"/>
  <c r="L182" i="365"/>
  <c r="J182" i="365"/>
  <c r="I182" i="365"/>
  <c r="G182" i="365"/>
  <c r="F182" i="365"/>
  <c r="C182" i="365"/>
  <c r="B182" i="365"/>
  <c r="Q147" i="365"/>
  <c r="P147" i="365"/>
  <c r="O147" i="365"/>
  <c r="M147" i="365"/>
  <c r="K147" i="365"/>
  <c r="J147" i="365"/>
  <c r="I147" i="365"/>
  <c r="G147" i="365"/>
  <c r="E147" i="365"/>
  <c r="D147" i="365"/>
  <c r="C147" i="365"/>
  <c r="B147" i="365"/>
  <c r="Q112" i="365"/>
  <c r="P112" i="365"/>
  <c r="O112" i="365"/>
  <c r="M112" i="365"/>
  <c r="L112" i="365"/>
  <c r="J112" i="365"/>
  <c r="I112" i="365"/>
  <c r="H112" i="365"/>
  <c r="G112" i="365"/>
  <c r="F112" i="365"/>
  <c r="D112" i="365"/>
  <c r="C112" i="365"/>
  <c r="B112" i="365"/>
  <c r="P77" i="365"/>
  <c r="O77" i="365"/>
  <c r="N77" i="365"/>
  <c r="M77" i="365"/>
  <c r="L77" i="365"/>
  <c r="J77" i="365"/>
  <c r="I77" i="365"/>
  <c r="H77" i="365"/>
  <c r="F77" i="365"/>
  <c r="E77" i="365"/>
  <c r="D77" i="365"/>
  <c r="C77" i="365"/>
  <c r="B77" i="365"/>
  <c r="O42" i="365"/>
  <c r="N42" i="365"/>
  <c r="M42" i="365"/>
  <c r="L42" i="365"/>
  <c r="K42" i="365"/>
  <c r="I42" i="365"/>
  <c r="H42" i="365"/>
  <c r="F42" i="365"/>
  <c r="E42" i="365"/>
  <c r="D42" i="365"/>
  <c r="C42" i="365"/>
  <c r="B42" i="365"/>
  <c r="Q7" i="365"/>
  <c r="P7" i="365"/>
  <c r="O7" i="365"/>
  <c r="M7" i="365"/>
  <c r="L7" i="365"/>
  <c r="K7" i="365"/>
  <c r="J7" i="365"/>
  <c r="I7" i="365"/>
  <c r="H7" i="365"/>
  <c r="G7" i="365"/>
  <c r="D7" i="365"/>
</calcChain>
</file>

<file path=xl/sharedStrings.xml><?xml version="1.0" encoding="utf-8"?>
<sst xmlns="http://schemas.openxmlformats.org/spreadsheetml/2006/main" count="17310" uniqueCount="1130">
  <si>
    <t>（１）石油製品需給総括 / Supply and Demand Summary of Petroleum Products</t>
    <phoneticPr fontId="13"/>
  </si>
  <si>
    <t>①月別輸入 / Import by Month</t>
    <phoneticPr fontId="13"/>
  </si>
  <si>
    <t>③月別輸出 / Export by Month</t>
    <phoneticPr fontId="13"/>
  </si>
  <si>
    <t>（２）石油製品製造業者 ・ 輸入業者受払 / Receipt and Shipment of Petroleum Products by Manufacturers and Importers</t>
    <phoneticPr fontId="13"/>
  </si>
  <si>
    <t>（２）原油油種別輸入 / Import by Kind of Crude Oil</t>
    <phoneticPr fontId="13"/>
  </si>
  <si>
    <t>※下線のある文字をクリックすると、統計表にジャンプします。</t>
    <rPh sb="1" eb="3">
      <t>カセン</t>
    </rPh>
    <rPh sb="6" eb="8">
      <t>モジ</t>
    </rPh>
    <rPh sb="17" eb="20">
      <t>トウケイヒョウ</t>
    </rPh>
    <phoneticPr fontId="13"/>
  </si>
  <si>
    <t>石　　油 / Ｐｅｔｒｏｌｅｕｍ</t>
    <phoneticPr fontId="13"/>
  </si>
  <si>
    <t>１．原油 / Crude Oil</t>
    <phoneticPr fontId="13"/>
  </si>
  <si>
    <t>（１）原油地域別、国別輸入 / Import of Crude Oil by Area and Country</t>
    <phoneticPr fontId="13"/>
  </si>
  <si>
    <t>２．石油製品 / Petroleum Products</t>
    <rPh sb="4" eb="6">
      <t>セイヒン</t>
    </rPh>
    <phoneticPr fontId="13"/>
  </si>
  <si>
    <t>２．石油輸入価格推移 / Customs Clearance Prices of Crude Oil and Petroleum Products(CIF)</t>
    <phoneticPr fontId="13"/>
  </si>
  <si>
    <t>ブルネイ</t>
  </si>
  <si>
    <t>イラン</t>
  </si>
  <si>
    <t>イラク</t>
  </si>
  <si>
    <t>エクアドル</t>
  </si>
  <si>
    <t>スーダン</t>
  </si>
  <si>
    <t>ガボン</t>
  </si>
  <si>
    <t>アンゴラ</t>
  </si>
  <si>
    <t>Malaysia</t>
  </si>
  <si>
    <t>Brunei</t>
  </si>
  <si>
    <t>Indonesia</t>
  </si>
  <si>
    <t>Iran</t>
  </si>
  <si>
    <t>Iraq</t>
  </si>
  <si>
    <t>Ecuador</t>
  </si>
  <si>
    <t>Africa</t>
  </si>
  <si>
    <t>Sudan</t>
  </si>
  <si>
    <t>Gabon</t>
  </si>
  <si>
    <t>Angola</t>
  </si>
  <si>
    <t>サウジアラビア</t>
  </si>
  <si>
    <t>クウェート</t>
  </si>
  <si>
    <t>カタール</t>
  </si>
  <si>
    <t>オマーン</t>
  </si>
  <si>
    <t>ロシア</t>
  </si>
  <si>
    <t>Saudi Arabia</t>
  </si>
  <si>
    <t>Kuwait</t>
  </si>
  <si>
    <t>Qatar</t>
  </si>
  <si>
    <t>Oman</t>
  </si>
  <si>
    <t>（２）原油油種別輸入 / Import by Kind of Crude Oil</t>
    <rPh sb="3" eb="5">
      <t>ゲンユ</t>
    </rPh>
    <phoneticPr fontId="13"/>
  </si>
  <si>
    <t>Viet Nam</t>
  </si>
  <si>
    <t>ｲﾝﾄﾞﾈｼｱ計</t>
  </si>
  <si>
    <t>ｼﾞｭﾘｰ</t>
  </si>
  <si>
    <t>ｽﾏﾄﾗ･ﾗｲﾄ</t>
  </si>
  <si>
    <t>ｶｼﾞ･ｾﾓｶﾞ</t>
  </si>
  <si>
    <t>Middle East</t>
  </si>
  <si>
    <t>ｲﾗﾆｱﾝ･ﾍﾋﾞｰ</t>
  </si>
  <si>
    <t>ﾊﾞｽﾗ･ﾗｲﾄ</t>
  </si>
  <si>
    <t>ｻｳｼﾞｱﾗﾋﾞｱ計</t>
  </si>
  <si>
    <t>ｱﾗﾋﾞｱﾝ･ﾗｲﾄ</t>
  </si>
  <si>
    <t>ｱﾗﾋﾞｱﾝ･ﾍﾋﾞｰ</t>
  </si>
  <si>
    <t>ｱﾙ･ｼｬﾋｰﾝ</t>
  </si>
  <si>
    <t>ﾅｲﾙ</t>
  </si>
  <si>
    <t>Oceania</t>
  </si>
  <si>
    <t>Australia</t>
  </si>
  <si>
    <t>ﾗｲﾄ･ｾﾘｱ</t>
  </si>
  <si>
    <t>Total</t>
  </si>
  <si>
    <t>合計</t>
  </si>
  <si>
    <t>インドネシア</t>
  </si>
  <si>
    <t>アラブ首長国連邦</t>
  </si>
  <si>
    <t>オーストラリア</t>
  </si>
  <si>
    <t>マレーシア</t>
  </si>
  <si>
    <t>（３）非精製用出荷内訳 / Shipment of Crude Oil for Non-Refining</t>
    <phoneticPr fontId="13"/>
  </si>
  <si>
    <t>１．石油備蓄量推移 / Changes in Oil Stock</t>
    <phoneticPr fontId="13"/>
  </si>
  <si>
    <t>United States of America</t>
  </si>
  <si>
    <t>United Arab Emirates</t>
  </si>
  <si>
    <t>Russia</t>
  </si>
  <si>
    <t>メキシコ</t>
  </si>
  <si>
    <t>Mexico</t>
  </si>
  <si>
    <t>コロンビア</t>
  </si>
  <si>
    <t>Colombia</t>
  </si>
  <si>
    <t>カザフスタン</t>
  </si>
  <si>
    <t>Kazakhstan</t>
  </si>
  <si>
    <t>アメリカ合衆国</t>
  </si>
  <si>
    <t>(単位：kl/Unit：kl)</t>
  </si>
  <si>
    <t>Feb.</t>
  </si>
  <si>
    <t>Mar.</t>
  </si>
  <si>
    <t>Apr.</t>
  </si>
  <si>
    <t>Oct.</t>
  </si>
  <si>
    <t>Nov.</t>
  </si>
  <si>
    <t>Dec.</t>
  </si>
  <si>
    <t>Year,_x000D_
Quarter_x000D_
&amp; Month</t>
  </si>
  <si>
    <t>東・中央アジア_x000D_
計</t>
  </si>
  <si>
    <t>南方計</t>
  </si>
  <si>
    <t>中東計</t>
  </si>
  <si>
    <t>East and Central Asia</t>
  </si>
  <si>
    <t>South East Asia</t>
  </si>
  <si>
    <t xml:space="preserve">Q2  </t>
  </si>
  <si>
    <t xml:space="preserve">Q3  </t>
  </si>
  <si>
    <t xml:space="preserve">Q4  </t>
  </si>
  <si>
    <t xml:space="preserve">May </t>
  </si>
  <si>
    <t>Jun.</t>
  </si>
  <si>
    <t>Jul.</t>
  </si>
  <si>
    <t>Aug.</t>
  </si>
  <si>
    <t>Sep.</t>
  </si>
  <si>
    <t>→</t>
  </si>
  <si>
    <t>中東（つづき）</t>
  </si>
  <si>
    <t>中立地帯</t>
  </si>
  <si>
    <t>欧州計</t>
  </si>
  <si>
    <t>英国</t>
  </si>
  <si>
    <t>北米計</t>
  </si>
  <si>
    <t>中南米計</t>
  </si>
  <si>
    <t>Neutral Zone</t>
  </si>
  <si>
    <t>Europe</t>
  </si>
  <si>
    <t>United Kingdom</t>
  </si>
  <si>
    <t>North America</t>
  </si>
  <si>
    <t>Central and_x000D_
South_x000D_
America</t>
  </si>
  <si>
    <t>アフリカ計</t>
  </si>
  <si>
    <t>アルジェリア</t>
  </si>
  <si>
    <t>リビア</t>
  </si>
  <si>
    <t>大洋州計</t>
  </si>
  <si>
    <t>Algeria</t>
  </si>
  <si>
    <t>Libya</t>
  </si>
  <si>
    <t>大洋州（つづき）</t>
  </si>
  <si>
    <t>パプア_x000D_
ニューギニア</t>
  </si>
  <si>
    <t>Papua_x000D_
New Guinea</t>
  </si>
  <si>
    <t>東･中央ｱｼﾞｱ計</t>
  </si>
  <si>
    <t>ﾍﾞﾄﾅﾑ計</t>
  </si>
  <si>
    <t>ﾊﾞｯｸ･ﾎ</t>
  </si>
  <si>
    <t>ﾀﾞｲﾌﾝ</t>
  </si>
  <si>
    <t>ﾙﾋﾞｰ</t>
  </si>
  <si>
    <t>ｽﾂﾃﾞﾝ</t>
  </si>
  <si>
    <t>ﾁﾑ･ｻｵ</t>
  </si>
  <si>
    <t>南方（つづき）</t>
  </si>
  <si>
    <t>ﾏﾚｰｼｱ計</t>
  </si>
  <si>
    <t>ﾃﾞｭﾗﾝ</t>
  </si>
  <si>
    <t>ﾍﾟﾅﾗ･ﾌﾞﾚﾝﾄﾞ</t>
  </si>
  <si>
    <t>ｾﾊﾟﾄ</t>
  </si>
  <si>
    <t>ﾌﾞﾙﾈｲ計</t>
  </si>
  <si>
    <t>ﾍﾞﾙﾀﾑ</t>
  </si>
  <si>
    <t>ﾁｬﾝﾋﾟｵﾝ</t>
  </si>
  <si>
    <t>ｲﾗﾝ計</t>
  </si>
  <si>
    <t>ｲﾗｸ計</t>
  </si>
  <si>
    <t>ｲﾗﾆｱﾝ･ﾗｲﾄ</t>
  </si>
  <si>
    <t>ｿﾙｰｼｭ</t>
  </si>
  <si>
    <t>ﾊﾞｽﾗ･ﾍﾋﾞｰ</t>
  </si>
  <si>
    <t>ｸｳｪｰﾄ計</t>
  </si>
  <si>
    <t>ｸｳｪｰﾄ</t>
  </si>
  <si>
    <t>ｶﾀｰﾙ計</t>
  </si>
  <si>
    <t>ｵﾏｰﾝ計</t>
  </si>
  <si>
    <t>ｱﾗﾌﾞ首長国_x000D_
連邦計</t>
  </si>
  <si>
    <t>ｶﾀｰﾙ</t>
  </si>
  <si>
    <t>ｶﾀｰﾙ･ﾏﾘｰﾝ</t>
  </si>
  <si>
    <t>ｵﾏｰﾝ</t>
  </si>
  <si>
    <t>United_x000D_
Arab Emirates</t>
  </si>
  <si>
    <t>ﾏｰﾊﾞﾝ</t>
  </si>
  <si>
    <t>ｳﾑｼｬｲﾌ</t>
  </si>
  <si>
    <t>英国_x000D_
United Kingdom</t>
  </si>
  <si>
    <t>ﾃﾞｭﾊﾞｲ</t>
  </si>
  <si>
    <t>ｱｯﾊﾟｰ･ｻﾞｸﾑ</t>
  </si>
  <si>
    <t>ﾀﾞｽ</t>
  </si>
  <si>
    <t>ﾌｫｰﾃｨｽﾞ</t>
  </si>
  <si>
    <t>ﾛｼｱ計</t>
  </si>
  <si>
    <t>ｱﾒﾘｶ合衆国計</t>
  </si>
  <si>
    <t>ﾒｷｼｺ計</t>
  </si>
  <si>
    <t>ｿｺｰﾙ</t>
  </si>
  <si>
    <t>ｴｽﾎﾟ･ﾌﾞﾚﾝﾄﾞ</t>
  </si>
  <si>
    <t>ｻﾊﾘﾝ･ﾌﾞﾚﾝﾄﾞ</t>
  </si>
  <si>
    <t>North_x000D_
America</t>
  </si>
  <si>
    <t>ｲｽﾑｽ</t>
  </si>
  <si>
    <t>ｴｸｱﾄﾞﾙ計</t>
  </si>
  <si>
    <t>ｱﾌﾘｶ計</t>
  </si>
  <si>
    <t>ｱﾙｼﾞｪﾘｱ_x000D_
Algeria</t>
  </si>
  <si>
    <t>ﾏﾔ</t>
  </si>
  <si>
    <t>ｶｽﾃｨﾗ･ﾌﾞﾚﾝﾄﾞ</t>
  </si>
  <si>
    <t>ｵﾘｴﾝﾃ</t>
  </si>
  <si>
    <t>ﾅﾎﾟ</t>
  </si>
  <si>
    <t>ｻﾊﾗ･ﾌﾞﾚﾝﾄﾞ</t>
  </si>
  <si>
    <t>ｱﾌﾘｶ（つづき）</t>
  </si>
  <si>
    <t>ｶﾞﾎﾞﾝ計</t>
  </si>
  <si>
    <t>ﾗﾋﾞ･ﾗｲﾄ</t>
  </si>
  <si>
    <t>ｵｰｽﾄﾗﾘｱ計</t>
  </si>
  <si>
    <t>ﾜﾝﾄﾞｩｰ</t>
  </si>
  <si>
    <t>ｽﾀｸﾞ</t>
  </si>
  <si>
    <t>年・期・月</t>
  </si>
  <si>
    <t>④国・地域別月別輸出 / Monthly Export by Area and Country</t>
    <rPh sb="1" eb="2">
      <t>クニ</t>
    </rPh>
    <rPh sb="3" eb="5">
      <t>チイキ</t>
    </rPh>
    <rPh sb="5" eb="6">
      <t>ベツ</t>
    </rPh>
    <phoneticPr fontId="13"/>
  </si>
  <si>
    <t>②国・地域別月別輸入 / Monthly Import by Area and Country</t>
    <rPh sb="1" eb="2">
      <t>クニ</t>
    </rPh>
    <rPh sb="3" eb="5">
      <t>チイキ</t>
    </rPh>
    <rPh sb="5" eb="6">
      <t>ベツ</t>
    </rPh>
    <phoneticPr fontId="13"/>
  </si>
  <si>
    <t>ｲｰｸﾞﾙ･ﾌｫｰﾄﾞ</t>
  </si>
  <si>
    <t>ｳｪｽﾄ･ﾌﾞｯｶ</t>
  </si>
  <si>
    <t>ｹﾀﾊﾟﾝ</t>
  </si>
  <si>
    <t>（３）非精製用出荷内訳 / Shipment of Crude Oil for Non-Refining</t>
    <rPh sb="9" eb="11">
      <t>ウチワケ</t>
    </rPh>
    <phoneticPr fontId="13"/>
  </si>
  <si>
    <t>電力用計</t>
  </si>
  <si>
    <t>Electric Power</t>
  </si>
  <si>
    <t>電力用（つづき）</t>
  </si>
  <si>
    <t>石油化学用計</t>
  </si>
  <si>
    <t>Petro Chemical</t>
  </si>
  <si>
    <t>その他用計</t>
  </si>
  <si>
    <t>ｱﾗﾌﾞ首長国連邦_x000D_
United Arab Emirates</t>
  </si>
  <si>
    <t>Other Industries</t>
  </si>
  <si>
    <t>ｲﾝﾄﾞﾈｼｱ_x000D_
Indonesia</t>
  </si>
  <si>
    <t>Lubricant Manufacturers</t>
  </si>
  <si>
    <t>計</t>
    <rPh sb="0" eb="1">
      <t>ケイ</t>
    </rPh>
    <phoneticPr fontId="13"/>
  </si>
  <si>
    <t>計</t>
  </si>
  <si>
    <t>採油業者</t>
    <rPh sb="0" eb="2">
      <t>サイユ</t>
    </rPh>
    <rPh sb="2" eb="4">
      <t>ギョウシャ</t>
    </rPh>
    <phoneticPr fontId="13"/>
  </si>
  <si>
    <t>その他業者</t>
  </si>
  <si>
    <t>潤滑油業者</t>
  </si>
  <si>
    <t>精製業者</t>
  </si>
  <si>
    <t>合計</t>
    <rPh sb="0" eb="2">
      <t>ゴウケイ</t>
    </rPh>
    <phoneticPr fontId="13"/>
  </si>
  <si>
    <t>（単位：kl／Unit：kl）</t>
    <rPh sb="1" eb="3">
      <t>タンイ</t>
    </rPh>
    <phoneticPr fontId="11"/>
  </si>
  <si>
    <t>②原油在庫 / Inventory of Crude Oil</t>
    <rPh sb="1" eb="3">
      <t>ゲンユ</t>
    </rPh>
    <rPh sb="3" eb="5">
      <t>ザイコ</t>
    </rPh>
    <phoneticPr fontId="13"/>
  </si>
  <si>
    <t>Refiners</t>
  </si>
  <si>
    <t xml:space="preserve">①原油処理 / Crude Oil Processing </t>
    <rPh sb="1" eb="3">
      <t>ゲンユ</t>
    </rPh>
    <rPh sb="3" eb="5">
      <t>ショリ</t>
    </rPh>
    <phoneticPr fontId="13"/>
  </si>
  <si>
    <t xml:space="preserve">（４）原油処理及び原油在庫 / Crude Oil Processing and Inventory </t>
    <rPh sb="3" eb="5">
      <t>ゲンユ</t>
    </rPh>
    <rPh sb="5" eb="7">
      <t>ショリ</t>
    </rPh>
    <rPh sb="7" eb="8">
      <t>オヨ</t>
    </rPh>
    <rPh sb="9" eb="11">
      <t>ゲンユ</t>
    </rPh>
    <rPh sb="11" eb="13">
      <t>ザイコ</t>
    </rPh>
    <phoneticPr fontId="13"/>
  </si>
  <si>
    <t>注 1： 国内向販売＝(年初在庫＋受入) - (年末在庫＋国内向販売以外の各払出項目)</t>
    <rPh sb="7" eb="8">
      <t>ム</t>
    </rPh>
    <rPh sb="31" eb="32">
      <t>ム</t>
    </rPh>
    <phoneticPr fontId="11"/>
  </si>
  <si>
    <t>Manufacturers and Importers</t>
  </si>
  <si>
    <t>年末在庫計</t>
  </si>
  <si>
    <t>Other Shipments</t>
  </si>
  <si>
    <t>Own Consumption</t>
  </si>
  <si>
    <t>Exports</t>
  </si>
  <si>
    <t>Domestic Sales</t>
  </si>
  <si>
    <t>国内向販売</t>
    <rPh sb="2" eb="3">
      <t>ム</t>
    </rPh>
    <rPh sb="3" eb="5">
      <t>ハンバイ</t>
    </rPh>
    <phoneticPr fontId="50"/>
  </si>
  <si>
    <t>払出合計</t>
  </si>
  <si>
    <t>Other Receipts</t>
  </si>
  <si>
    <t>Imports</t>
  </si>
  <si>
    <t>Production Division</t>
  </si>
  <si>
    <t>受入合計</t>
  </si>
  <si>
    <t xml:space="preserve"> </t>
  </si>
  <si>
    <t>Inventory at Start of Year</t>
  </si>
  <si>
    <t>年初在庫計</t>
  </si>
  <si>
    <t>Paraffin Wax</t>
  </si>
  <si>
    <t>Grease</t>
  </si>
  <si>
    <t>Asphalt</t>
  </si>
  <si>
    <t>Kerosene</t>
  </si>
  <si>
    <t>Gasoline</t>
  </si>
  <si>
    <t>Ｂ・Ｃ重油</t>
    <rPh sb="3" eb="5">
      <t>ジュウユ</t>
    </rPh>
    <phoneticPr fontId="11"/>
  </si>
  <si>
    <t>Ａ重油</t>
    <rPh sb="1" eb="3">
      <t>ジュウユ</t>
    </rPh>
    <phoneticPr fontId="11"/>
  </si>
  <si>
    <t>　</t>
  </si>
  <si>
    <t>燃料油</t>
  </si>
  <si>
    <t>Category</t>
  </si>
  <si>
    <t>燃料油計</t>
    <rPh sb="3" eb="4">
      <t>ケイ</t>
    </rPh>
    <phoneticPr fontId="11"/>
  </si>
  <si>
    <t>２．石油製品 / Petroleum Products</t>
    <rPh sb="4" eb="6">
      <t>セイヒン</t>
    </rPh>
    <phoneticPr fontId="11"/>
  </si>
  <si>
    <t>Lubricating Oil</t>
  </si>
  <si>
    <t>Inventory at End of Year</t>
  </si>
  <si>
    <t>製造業者・輸入業者への販売・融通　</t>
    <rPh sb="7" eb="9">
      <t>ギョウシャ</t>
    </rPh>
    <phoneticPr fontId="21"/>
  </si>
  <si>
    <t>消費者･販売業者向販売</t>
    <rPh sb="0" eb="3">
      <t>ショウヒシャ</t>
    </rPh>
    <rPh sb="4" eb="6">
      <t>ハンバイ</t>
    </rPh>
    <rPh sb="6" eb="8">
      <t>ギョウシャ</t>
    </rPh>
    <rPh sb="8" eb="9">
      <t>ム</t>
    </rPh>
    <rPh sb="9" eb="11">
      <t>ハンバイ</t>
    </rPh>
    <phoneticPr fontId="21"/>
  </si>
  <si>
    <t>Return from Petrochemical Industry</t>
  </si>
  <si>
    <t>製造業者・輸入業者よりの購入・融通　</t>
    <rPh sb="7" eb="9">
      <t>ギョウシャ</t>
    </rPh>
    <rPh sb="12" eb="14">
      <t>コウニュウ</t>
    </rPh>
    <phoneticPr fontId="21"/>
  </si>
  <si>
    <t/>
  </si>
  <si>
    <t>オースト_x000D_
ラリア_x000D_
Australia</t>
  </si>
  <si>
    <t>ナイジェ_x000D_
リア_x000D_
Nigeria</t>
  </si>
  <si>
    <t>エジプト_x000D_
Egypt</t>
  </si>
  <si>
    <t>アルジェ_x000D_
リア_x000D_
Algeria</t>
  </si>
  <si>
    <t>ブラジル_x000D_
Brazil</t>
  </si>
  <si>
    <t>大洋州</t>
  </si>
  <si>
    <t>アフリカ</t>
  </si>
  <si>
    <t>ペルー_x000D_
Peru</t>
  </si>
  <si>
    <t>アメリカ_x000D_
合衆国_x000D_
United States of America</t>
  </si>
  <si>
    <t>ロシア_x000D_
Russia</t>
  </si>
  <si>
    <t>スペイン_x000D_
Spain</t>
  </si>
  <si>
    <t>フランス_x000D_
France</t>
  </si>
  <si>
    <t>ベルギー_x000D_
Belgium</t>
  </si>
  <si>
    <t>ノルウェー_x000D_
Norway</t>
  </si>
  <si>
    <t>オマーン_x000D_
Oman</t>
  </si>
  <si>
    <t>カタール_x000D_
Qatar</t>
  </si>
  <si>
    <t>インド_x000D_
ネシア_x000D_
Indonesia</t>
  </si>
  <si>
    <t>ブルネイ_x000D_
Brunei</t>
  </si>
  <si>
    <t>マレーシア_x000D_
Malaysia</t>
  </si>
  <si>
    <t>シンガ_x000D_
ポール_x000D_
Singapore</t>
  </si>
  <si>
    <t>大韓民国_x000D_
Republic of Korea</t>
  </si>
  <si>
    <t>南アメリカ</t>
  </si>
  <si>
    <t>北アメリカ</t>
  </si>
  <si>
    <t>ヨーロッパ</t>
  </si>
  <si>
    <t>アジア（つづき）</t>
  </si>
  <si>
    <t>アルゼン_x000D_
チン_x000D_
Argentina</t>
  </si>
  <si>
    <t>クウェート_x000D_
Kuwait</t>
  </si>
  <si>
    <t>サウジ_x000D_
アラビア_x000D_
Saudi Arabia</t>
  </si>
  <si>
    <t>バーレーン_x000D_
Bahrain</t>
  </si>
  <si>
    <t>アジア</t>
  </si>
  <si>
    <t>パナマ_x000D_
Panama</t>
  </si>
  <si>
    <t>B.B Total</t>
  </si>
  <si>
    <t>ブタン合計</t>
  </si>
  <si>
    <t>プロパン_x000D_
合計</t>
  </si>
  <si>
    <t>液化石油ガス（つづき）</t>
  </si>
  <si>
    <t>台湾_x000D_
Taiwan</t>
  </si>
  <si>
    <t>Liquefied Petroleum Gas Total</t>
  </si>
  <si>
    <t>カナダ_x000D_
Canada</t>
  </si>
  <si>
    <t>トルコ_x000D_
Turkey</t>
  </si>
  <si>
    <t>ドイツ_x000D_
Germany</t>
  </si>
  <si>
    <t>タイ_x000D_
Thailand</t>
  </si>
  <si>
    <t>香港_x000D_
Hong Kong</t>
  </si>
  <si>
    <t>Grease Total</t>
  </si>
  <si>
    <t>グリース_x000D_
合計</t>
  </si>
  <si>
    <t>イタリア_x000D_
Italy</t>
  </si>
  <si>
    <t>インド_x000D_
India</t>
  </si>
  <si>
    <t>Asphalt Total</t>
  </si>
  <si>
    <t>アスファルト_x000D_
合計</t>
  </si>
  <si>
    <t>潤滑油（つづき）</t>
  </si>
  <si>
    <t>スウェー_x000D_
デン_x000D_
Sweden</t>
  </si>
  <si>
    <t>Lubricating Oil Total</t>
  </si>
  <si>
    <t>潤滑油_x000D_
合計</t>
  </si>
  <si>
    <t>Fuel Oil A Total</t>
  </si>
  <si>
    <t>Gas Oil Total</t>
  </si>
  <si>
    <t>Ａ重油合計</t>
  </si>
  <si>
    <t>軽油合計</t>
  </si>
  <si>
    <t>Kerosene Total</t>
  </si>
  <si>
    <t>Jet Fuel Total</t>
  </si>
  <si>
    <t>アフリカ（つづき）</t>
  </si>
  <si>
    <t>灯油合計</t>
  </si>
  <si>
    <t>ナフサ（つづき）</t>
  </si>
  <si>
    <t>メキシコ_x000D_
Mexico</t>
  </si>
  <si>
    <t>ギリシャ_x000D_
Greece</t>
  </si>
  <si>
    <t>デンマーク_x000D_
Denmark</t>
  </si>
  <si>
    <t>バングラ_x000D_
デシュ_x000D_
Bangladesh</t>
  </si>
  <si>
    <t>スリランカ_x000D_
Sri Lanka</t>
  </si>
  <si>
    <t>パキスタン_x000D_
Pakistan</t>
  </si>
  <si>
    <t>フィリピン_x000D_
Philippines</t>
  </si>
  <si>
    <t>ポーランド_x000D_
Poland</t>
  </si>
  <si>
    <t>Naphtha Total</t>
  </si>
  <si>
    <t>Gasoline Total</t>
  </si>
  <si>
    <t>ナフサ合計</t>
  </si>
  <si>
    <t>ガソリン_x000D_
合計</t>
  </si>
  <si>
    <t>燃料油（つづき）</t>
  </si>
  <si>
    <t>燃料油_x000D_
合計</t>
  </si>
  <si>
    <t xml:space="preserve">   ②国・地域別月別輸入 / Monthly Import by Area and Country</t>
    <rPh sb="9" eb="11">
      <t>ツキベツ</t>
    </rPh>
    <rPh sb="11" eb="13">
      <t>ユニュウ</t>
    </rPh>
    <phoneticPr fontId="13"/>
  </si>
  <si>
    <t>年・期・月</t>
    <rPh sb="0" eb="1">
      <t>ネン</t>
    </rPh>
    <rPh sb="2" eb="3">
      <t>キ</t>
    </rPh>
    <rPh sb="4" eb="5">
      <t>ツキ</t>
    </rPh>
    <phoneticPr fontId="11"/>
  </si>
  <si>
    <t>ボンド_x000D_
Bonded Oil</t>
  </si>
  <si>
    <t>The U.S.Armed Forces &amp; Bonded Oil</t>
  </si>
  <si>
    <t>フィジー_x000D_
Fiji</t>
  </si>
  <si>
    <t>ケニア_x000D_
Kenya</t>
  </si>
  <si>
    <t>チリ_x000D_
Chile</t>
  </si>
  <si>
    <t>エクアドル_x000D_
Ecuador</t>
  </si>
  <si>
    <t>コロンビア_x000D_
Colombia</t>
  </si>
  <si>
    <t>ドミニカ_x000D_
Dominica</t>
  </si>
  <si>
    <t>パラフィン（つづき）</t>
  </si>
  <si>
    <t>グアテマラ_x000D_
Guatemala</t>
  </si>
  <si>
    <t>ハンガリー_x000D_
Hungary</t>
  </si>
  <si>
    <t>ベトナム_x000D_
Viet Nam</t>
  </si>
  <si>
    <t>グリース（つづき）</t>
  </si>
  <si>
    <t>モルドバ_x000D_
Moldova</t>
  </si>
  <si>
    <t>フィンランド_x000D_
Finland</t>
  </si>
  <si>
    <t>ジョージア_x000D_
Georgia</t>
  </si>
  <si>
    <t>レバノン_x000D_
Lebanon</t>
  </si>
  <si>
    <t>イスラエル_x000D_
Israel</t>
  </si>
  <si>
    <t>ミャンマー_x000D_
Myanmar</t>
  </si>
  <si>
    <t>モンゴル_x000D_
Mongolia</t>
  </si>
  <si>
    <t>米軍_x000D_
The U.S.Armed Forces</t>
  </si>
  <si>
    <t>パラオ_x000D_
Palau</t>
  </si>
  <si>
    <t>グアム（米）_x000D_
Guam (USA)</t>
  </si>
  <si>
    <t>ニューカレドニア（仏）_x000D_
New Caledonia (France)</t>
  </si>
  <si>
    <t>軽油（つづき）</t>
  </si>
  <si>
    <t>ジェット燃料油（つづき）</t>
  </si>
  <si>
    <t>ガソリン（つづき）</t>
  </si>
  <si>
    <t xml:space="preserve">注 1： M &amp; I =製造・輸入業者 </t>
    <rPh sb="12" eb="14">
      <t>セイゾウ</t>
    </rPh>
    <rPh sb="15" eb="17">
      <t>ユニュウ</t>
    </rPh>
    <rPh sb="17" eb="19">
      <t>ギョウシャ</t>
    </rPh>
    <phoneticPr fontId="48"/>
  </si>
  <si>
    <t>M &amp; I</t>
  </si>
  <si>
    <t>製造・輸入業者</t>
  </si>
  <si>
    <t>製油所</t>
  </si>
  <si>
    <t>1月</t>
  </si>
  <si>
    <t>（５）石油製品月別業態別在庫 / Monthly Inventory of Petroleum Products by Type of Business</t>
    <rPh sb="11" eb="12">
      <t>ベツ</t>
    </rPh>
    <phoneticPr fontId="11"/>
  </si>
  <si>
    <t xml:space="preserve">    表番→年報P114-115（業態別在庫）　(様式改善案 ： 石油製品　+　液化石油ガス)</t>
    <rPh sb="18" eb="20">
      <t>ギョウタイ</t>
    </rPh>
    <rPh sb="20" eb="21">
      <t>ベツ</t>
    </rPh>
    <rPh sb="21" eb="23">
      <t>ザイコ</t>
    </rPh>
    <rPh sb="26" eb="28">
      <t>ヨウシキ</t>
    </rPh>
    <rPh sb="28" eb="30">
      <t>カイゼン</t>
    </rPh>
    <rPh sb="30" eb="31">
      <t>アン</t>
    </rPh>
    <rPh sb="34" eb="36">
      <t>セキユ</t>
    </rPh>
    <rPh sb="36" eb="38">
      <t>セイヒン</t>
    </rPh>
    <phoneticPr fontId="11"/>
  </si>
  <si>
    <t>その他特定用途向け</t>
  </si>
  <si>
    <t>油</t>
    <rPh sb="0" eb="1">
      <t>ユ</t>
    </rPh>
    <phoneticPr fontId="75"/>
  </si>
  <si>
    <t>ディーゼルエンジン油</t>
  </si>
  <si>
    <t>滑</t>
    <rPh sb="0" eb="1">
      <t>ヌメ</t>
    </rPh>
    <phoneticPr fontId="75"/>
  </si>
  <si>
    <t>潤</t>
    <rPh sb="0" eb="1">
      <t>ジュン</t>
    </rPh>
    <phoneticPr fontId="75"/>
  </si>
  <si>
    <t>消費者　　　・販売　　業者向　　販売</t>
    <rPh sb="0" eb="3">
      <t>ショウヒシャ</t>
    </rPh>
    <rPh sb="7" eb="9">
      <t>ハンバイ</t>
    </rPh>
    <rPh sb="11" eb="13">
      <t>ギョウシャ</t>
    </rPh>
    <rPh sb="13" eb="14">
      <t>ム</t>
    </rPh>
    <rPh sb="16" eb="18">
      <t>ハンバイ</t>
    </rPh>
    <phoneticPr fontId="75"/>
  </si>
  <si>
    <t>そ　の　他　</t>
    <rPh sb="4" eb="5">
      <t>タ</t>
    </rPh>
    <phoneticPr fontId="75"/>
  </si>
  <si>
    <t>石油化学用</t>
  </si>
  <si>
    <t>自動車用並級</t>
  </si>
  <si>
    <t>自動車用高級</t>
  </si>
  <si>
    <r>
      <t>（７）製造業者</t>
    </r>
    <r>
      <rPr>
        <sz val="8"/>
        <rFont val="ＭＳ Ｐゴシック"/>
        <family val="3"/>
        <charset val="128"/>
      </rPr>
      <t>・</t>
    </r>
    <r>
      <rPr>
        <sz val="10"/>
        <rFont val="ＭＳ Ｐゴシック"/>
        <family val="3"/>
        <charset val="128"/>
      </rPr>
      <t>輸入業者品種別、月別消費者</t>
    </r>
    <r>
      <rPr>
        <sz val="8"/>
        <rFont val="ＭＳ Ｐゴシック"/>
        <family val="3"/>
        <charset val="128"/>
      </rPr>
      <t>・</t>
    </r>
    <r>
      <rPr>
        <sz val="10"/>
        <rFont val="ＭＳ Ｐゴシック"/>
        <family val="3"/>
        <charset val="128"/>
      </rPr>
      <t>販売業者向販売及び在庫内訳 /</t>
    </r>
    <rPh sb="22" eb="23">
      <t>ハン</t>
    </rPh>
    <rPh sb="23" eb="24">
      <t>バイ</t>
    </rPh>
    <rPh sb="24" eb="25">
      <t>ギョウ</t>
    </rPh>
    <rPh sb="25" eb="26">
      <t>モノ</t>
    </rPh>
    <rPh sb="26" eb="27">
      <t>ムカイ</t>
    </rPh>
    <phoneticPr fontId="75"/>
  </si>
  <si>
    <t>注：出典は資源エネルギー庁「石油輸入調査」。</t>
    <rPh sb="0" eb="1">
      <t>チュウ</t>
    </rPh>
    <rPh sb="2" eb="4">
      <t>シュッテン</t>
    </rPh>
    <rPh sb="5" eb="7">
      <t>シゲン</t>
    </rPh>
    <rPh sb="12" eb="13">
      <t>チョウ</t>
    </rPh>
    <rPh sb="14" eb="16">
      <t>セキユ</t>
    </rPh>
    <rPh sb="16" eb="18">
      <t>ユニュウ</t>
    </rPh>
    <rPh sb="18" eb="20">
      <t>チョウサ</t>
    </rPh>
    <phoneticPr fontId="13"/>
  </si>
  <si>
    <t xml:space="preserve">         3</t>
  </si>
  <si>
    <t xml:space="preserve">         2</t>
  </si>
  <si>
    <t xml:space="preserve">        12</t>
  </si>
  <si>
    <t xml:space="preserve">        11</t>
  </si>
  <si>
    <t xml:space="preserve">        10</t>
  </si>
  <si>
    <t xml:space="preserve">         9</t>
  </si>
  <si>
    <t xml:space="preserve">         8</t>
  </si>
  <si>
    <t xml:space="preserve">         7</t>
  </si>
  <si>
    <t xml:space="preserve">         6</t>
  </si>
  <si>
    <t xml:space="preserve">         4</t>
  </si>
  <si>
    <t xml:space="preserve">        10～12</t>
  </si>
  <si>
    <t xml:space="preserve">         4～ 6</t>
  </si>
  <si>
    <t>Oil Producer Country's Government</t>
  </si>
  <si>
    <t>American Independence</t>
  </si>
  <si>
    <t>Majors</t>
  </si>
  <si>
    <t>メジャーズ</t>
  </si>
  <si>
    <t>（単位：kl／Unit：kl）</t>
    <rPh sb="1" eb="3">
      <t>タンイ</t>
    </rPh>
    <phoneticPr fontId="13"/>
  </si>
  <si>
    <t>スポット契約</t>
    <rPh sb="4" eb="6">
      <t>ケイヤク</t>
    </rPh>
    <phoneticPr fontId="13"/>
  </si>
  <si>
    <t>長期契約</t>
    <rPh sb="0" eb="2">
      <t>チョウキ</t>
    </rPh>
    <rPh sb="2" eb="4">
      <t>ケイヤク</t>
    </rPh>
    <phoneticPr fontId="13"/>
  </si>
  <si>
    <t xml:space="preserve">スポット比率   </t>
  </si>
  <si>
    <t xml:space="preserve">合計             </t>
  </si>
  <si>
    <t>平均　　API度</t>
    <rPh sb="7" eb="8">
      <t>ド</t>
    </rPh>
    <phoneticPr fontId="13"/>
  </si>
  <si>
    <r>
      <t>CIF総額（千ドル）                                        Value（CIF）(10</t>
    </r>
    <r>
      <rPr>
        <vertAlign val="superscript"/>
        <sz val="8"/>
        <rFont val="ＭＳ Ｐ明朝"/>
        <family val="1"/>
        <charset val="128"/>
      </rPr>
      <t>3</t>
    </r>
    <r>
      <rPr>
        <sz val="8"/>
        <rFont val="ＭＳ Ｐ明朝"/>
        <family val="1"/>
        <charset val="128"/>
      </rPr>
      <t>＄）</t>
    </r>
    <rPh sb="3" eb="5">
      <t>ソウガク</t>
    </rPh>
    <rPh sb="6" eb="7">
      <t>セン</t>
    </rPh>
    <phoneticPr fontId="13"/>
  </si>
  <si>
    <t>年・期・月</t>
    <rPh sb="0" eb="1">
      <t>ネン</t>
    </rPh>
    <rPh sb="2" eb="3">
      <t>キ</t>
    </rPh>
    <rPh sb="4" eb="5">
      <t>ツキ</t>
    </rPh>
    <phoneticPr fontId="13"/>
  </si>
  <si>
    <t>注2：2社以下の集計金額に係る箇所は、秘匿措置（X）を講じている。</t>
    <rPh sb="0" eb="1">
      <t>チュウ</t>
    </rPh>
    <rPh sb="4" eb="7">
      <t>シャイカ</t>
    </rPh>
    <rPh sb="8" eb="10">
      <t>シュウケイ</t>
    </rPh>
    <rPh sb="10" eb="12">
      <t>キンガク</t>
    </rPh>
    <rPh sb="13" eb="14">
      <t>カカ</t>
    </rPh>
    <rPh sb="15" eb="17">
      <t>カショ</t>
    </rPh>
    <rPh sb="19" eb="21">
      <t>ヒトク</t>
    </rPh>
    <rPh sb="21" eb="23">
      <t>ソチ</t>
    </rPh>
    <rPh sb="27" eb="28">
      <t>コウ</t>
    </rPh>
    <phoneticPr fontId="13"/>
  </si>
  <si>
    <t>注1：出典は資源エネルギー庁「石油輸入調査」。</t>
    <rPh sb="0" eb="1">
      <t>チュウ</t>
    </rPh>
    <rPh sb="3" eb="5">
      <t>シュッテン</t>
    </rPh>
    <rPh sb="6" eb="8">
      <t>シゲン</t>
    </rPh>
    <rPh sb="13" eb="14">
      <t>チョウ</t>
    </rPh>
    <rPh sb="15" eb="17">
      <t>セキユ</t>
    </rPh>
    <rPh sb="17" eb="19">
      <t>ユニュウ</t>
    </rPh>
    <rPh sb="19" eb="21">
      <t>チョウサ</t>
    </rPh>
    <phoneticPr fontId="13"/>
  </si>
  <si>
    <t>Others</t>
  </si>
  <si>
    <t>その他</t>
  </si>
  <si>
    <t>X</t>
  </si>
  <si>
    <t>合　　　　計</t>
    <rPh sb="0" eb="1">
      <t>ゴウ</t>
    </rPh>
    <rPh sb="5" eb="6">
      <t>ケイ</t>
    </rPh>
    <phoneticPr fontId="13"/>
  </si>
  <si>
    <t>国名</t>
    <rPh sb="0" eb="1">
      <t>クニ</t>
    </rPh>
    <rPh sb="1" eb="2">
      <t>ナ</t>
    </rPh>
    <phoneticPr fontId="13"/>
  </si>
  <si>
    <t>区分</t>
    <rPh sb="0" eb="2">
      <t>クブン</t>
    </rPh>
    <phoneticPr fontId="13"/>
  </si>
  <si>
    <t>国名</t>
    <rPh sb="0" eb="1">
      <t>クニ</t>
    </rPh>
    <rPh sb="1" eb="2">
      <t>メイ</t>
    </rPh>
    <phoneticPr fontId="13"/>
  </si>
  <si>
    <t>保険料総額</t>
    <rPh sb="0" eb="3">
      <t>ホケンリョウ</t>
    </rPh>
    <rPh sb="3" eb="5">
      <t>ソウガク</t>
    </rPh>
    <phoneticPr fontId="13"/>
  </si>
  <si>
    <t>運賃総額</t>
    <rPh sb="0" eb="2">
      <t>ウンチン</t>
    </rPh>
    <rPh sb="2" eb="4">
      <t>ソウガク</t>
    </rPh>
    <phoneticPr fontId="13"/>
  </si>
  <si>
    <t>船積数量</t>
    <rPh sb="0" eb="1">
      <t>フネ</t>
    </rPh>
    <rPh sb="1" eb="2">
      <t>ツミ</t>
    </rPh>
    <rPh sb="2" eb="4">
      <t>スウリョウ</t>
    </rPh>
    <phoneticPr fontId="13"/>
  </si>
  <si>
    <t>注2：2社以下の集計数量に係る箇所は、秘匿措置（X）を講じている。</t>
    <rPh sb="0" eb="1">
      <t>チュウ</t>
    </rPh>
    <rPh sb="4" eb="7">
      <t>シャイカ</t>
    </rPh>
    <rPh sb="8" eb="10">
      <t>シュウケイ</t>
    </rPh>
    <rPh sb="10" eb="12">
      <t>スウリョウ</t>
    </rPh>
    <rPh sb="13" eb="14">
      <t>カカ</t>
    </rPh>
    <rPh sb="15" eb="17">
      <t>カショ</t>
    </rPh>
    <rPh sb="19" eb="21">
      <t>ヒトク</t>
    </rPh>
    <rPh sb="21" eb="23">
      <t>ソチ</t>
    </rPh>
    <rPh sb="27" eb="28">
      <t>コウ</t>
    </rPh>
    <phoneticPr fontId="13"/>
  </si>
  <si>
    <t>合　　　　計</t>
  </si>
  <si>
    <t>注5：C重油は低硫黄C重油の輸入価格。</t>
    <rPh sb="0" eb="1">
      <t>チュウ</t>
    </rPh>
    <rPh sb="4" eb="6">
      <t>ジュウユ</t>
    </rPh>
    <rPh sb="7" eb="10">
      <t>テイイオウ</t>
    </rPh>
    <rPh sb="11" eb="13">
      <t>ジュウユ</t>
    </rPh>
    <rPh sb="14" eb="16">
      <t>ユニュウ</t>
    </rPh>
    <rPh sb="16" eb="18">
      <t>カカク</t>
    </rPh>
    <phoneticPr fontId="13"/>
  </si>
  <si>
    <t>注4：A重油は農林漁業用の輸入価格。</t>
    <rPh sb="0" eb="1">
      <t>チュウ</t>
    </rPh>
    <rPh sb="4" eb="6">
      <t>ジュウユ</t>
    </rPh>
    <rPh sb="7" eb="9">
      <t>ノウリン</t>
    </rPh>
    <rPh sb="9" eb="12">
      <t>ギョギョウヨウ</t>
    </rPh>
    <rPh sb="13" eb="15">
      <t>ユニュウ</t>
    </rPh>
    <rPh sb="15" eb="17">
      <t>カカク</t>
    </rPh>
    <phoneticPr fontId="13"/>
  </si>
  <si>
    <t>注3：ナフサは石化用ナフサの輸入価格。</t>
    <rPh sb="0" eb="1">
      <t>チュウ</t>
    </rPh>
    <rPh sb="7" eb="9">
      <t>セッカ</t>
    </rPh>
    <rPh sb="9" eb="10">
      <t>ヨウ</t>
    </rPh>
    <rPh sb="14" eb="16">
      <t>ユニュウ</t>
    </rPh>
    <rPh sb="16" eb="18">
      <t>カカク</t>
    </rPh>
    <phoneticPr fontId="13"/>
  </si>
  <si>
    <t>注1：出典は財務省貿易統計。</t>
    <rPh sb="0" eb="1">
      <t>チュウ</t>
    </rPh>
    <rPh sb="3" eb="5">
      <t>シュッテン</t>
    </rPh>
    <rPh sb="6" eb="9">
      <t>ザイムショウ</t>
    </rPh>
    <rPh sb="9" eb="11">
      <t>ボウエキ</t>
    </rPh>
    <rPh sb="11" eb="13">
      <t>トウケイ</t>
    </rPh>
    <phoneticPr fontId="13"/>
  </si>
  <si>
    <t>液化天然ガス   　　　　　　　　　　　　　　LNG</t>
    <rPh sb="0" eb="2">
      <t>エキカ</t>
    </rPh>
    <rPh sb="2" eb="4">
      <t>テンネン</t>
    </rPh>
    <phoneticPr fontId="13"/>
  </si>
  <si>
    <t>液化石油ガス   　　　　　　　　　　　　　　LPG</t>
    <rPh sb="0" eb="2">
      <t>エキカ</t>
    </rPh>
    <rPh sb="2" eb="4">
      <t>セキユ</t>
    </rPh>
    <phoneticPr fontId="13"/>
  </si>
  <si>
    <t>Ｃ重油   　　　　　　　　　　 Fuel Oil C</t>
    <rPh sb="1" eb="3">
      <t>ジュウユ</t>
    </rPh>
    <phoneticPr fontId="13"/>
  </si>
  <si>
    <t>Ａ重油　　　　　　　　　　　 Fuel Oil A</t>
    <rPh sb="1" eb="3">
      <t>ジュウユ</t>
    </rPh>
    <phoneticPr fontId="13"/>
  </si>
  <si>
    <t>原油     　　　　　　　　　　　　　　　　　　　　　　　　　　　　　　　　　　Crude Oil</t>
    <rPh sb="0" eb="2">
      <t>ゲンユ</t>
    </rPh>
    <phoneticPr fontId="13"/>
  </si>
  <si>
    <t>年  月</t>
    <rPh sb="0" eb="1">
      <t>ネン</t>
    </rPh>
    <rPh sb="3" eb="4">
      <t>ツキ</t>
    </rPh>
    <phoneticPr fontId="13"/>
  </si>
  <si>
    <t>２．石油輸入価格推移 / Customs Clearance Prices of Crude Oil and Petroleum Products(CIF)</t>
    <rPh sb="2" eb="3">
      <t>イシ</t>
    </rPh>
    <rPh sb="3" eb="4">
      <t>ユ</t>
    </rPh>
    <rPh sb="4" eb="5">
      <t>ユ</t>
    </rPh>
    <rPh sb="5" eb="6">
      <t>イリ</t>
    </rPh>
    <rPh sb="6" eb="7">
      <t>アタイ</t>
    </rPh>
    <rPh sb="7" eb="8">
      <t>カク</t>
    </rPh>
    <rPh sb="8" eb="10">
      <t>スイイ</t>
    </rPh>
    <phoneticPr fontId="13"/>
  </si>
  <si>
    <t>注2：資源エネルギー庁調べ。</t>
    <rPh sb="0" eb="1">
      <t>チュウ</t>
    </rPh>
    <rPh sb="3" eb="5">
      <t>シゲン</t>
    </rPh>
    <rPh sb="5" eb="11">
      <t>エネルギーチョウ</t>
    </rPh>
    <rPh sb="11" eb="12">
      <t>シラ</t>
    </rPh>
    <phoneticPr fontId="13"/>
  </si>
  <si>
    <t>注1：原油の製品換算は原油量に0.95を乗じたものである。</t>
    <rPh sb="0" eb="1">
      <t>チュウ</t>
    </rPh>
    <rPh sb="3" eb="5">
      <t>ゲンユ</t>
    </rPh>
    <rPh sb="6" eb="8">
      <t>セイヒン</t>
    </rPh>
    <rPh sb="8" eb="10">
      <t>カンサン</t>
    </rPh>
    <rPh sb="11" eb="13">
      <t>ゲンユ</t>
    </rPh>
    <rPh sb="13" eb="14">
      <t>リョウ</t>
    </rPh>
    <rPh sb="20" eb="21">
      <t>ジョウ</t>
    </rPh>
    <phoneticPr fontId="13"/>
  </si>
  <si>
    <t>製品
 Products</t>
    <rPh sb="0" eb="2">
      <t>セイヒン</t>
    </rPh>
    <phoneticPr fontId="13"/>
  </si>
  <si>
    <t>原油
Crude  Oil</t>
    <rPh sb="0" eb="2">
      <t>ゲンユ</t>
    </rPh>
    <phoneticPr fontId="13"/>
  </si>
  <si>
    <t>計   Total</t>
    <rPh sb="0" eb="1">
      <t>ケイ</t>
    </rPh>
    <phoneticPr fontId="13"/>
  </si>
  <si>
    <t>合計   Total</t>
    <rPh sb="0" eb="2">
      <t>ゴウケイ</t>
    </rPh>
    <phoneticPr fontId="13"/>
  </si>
  <si>
    <t>産油国共同備蓄     Joint oil storage projects</t>
    <rPh sb="0" eb="3">
      <t>サンユコク</t>
    </rPh>
    <rPh sb="3" eb="5">
      <t>キョウドウ</t>
    </rPh>
    <rPh sb="5" eb="7">
      <t>ビチク</t>
    </rPh>
    <phoneticPr fontId="13"/>
  </si>
  <si>
    <t>国家備蓄          Government</t>
    <rPh sb="0" eb="2">
      <t>コッカ</t>
    </rPh>
    <rPh sb="2" eb="4">
      <t>ビチク</t>
    </rPh>
    <phoneticPr fontId="13"/>
  </si>
  <si>
    <t>民間備蓄   Private</t>
    <rPh sb="0" eb="2">
      <t>ミンカン</t>
    </rPh>
    <rPh sb="2" eb="4">
      <t>ビチク</t>
    </rPh>
    <phoneticPr fontId="13"/>
  </si>
  <si>
    <t>(単位：万kl/Unit:10 thousand kl)</t>
    <rPh sb="1" eb="3">
      <t>タンイ</t>
    </rPh>
    <rPh sb="4" eb="5">
      <t>マン</t>
    </rPh>
    <phoneticPr fontId="13"/>
  </si>
  <si>
    <t>１．石油備蓄量推移 / Changes in Oil Stock</t>
    <rPh sb="2" eb="3">
      <t>イシ</t>
    </rPh>
    <rPh sb="3" eb="4">
      <t>ユ</t>
    </rPh>
    <rPh sb="4" eb="6">
      <t>ビチク</t>
    </rPh>
    <rPh sb="6" eb="7">
      <t>リョウ</t>
    </rPh>
    <rPh sb="7" eb="8">
      <t>スイ</t>
    </rPh>
    <rPh sb="8" eb="9">
      <t>ウツリ</t>
    </rPh>
    <phoneticPr fontId="13"/>
  </si>
  <si>
    <t>料</t>
    <rPh sb="0" eb="1">
      <t>リョウ</t>
    </rPh>
    <phoneticPr fontId="13"/>
  </si>
  <si>
    <t>資</t>
    <rPh sb="0" eb="1">
      <t>シ</t>
    </rPh>
    <phoneticPr fontId="13"/>
  </si>
  <si>
    <t>考</t>
    <rPh sb="0" eb="1">
      <t>コウ</t>
    </rPh>
    <phoneticPr fontId="13"/>
  </si>
  <si>
    <t>参</t>
    <rPh sb="0" eb="1">
      <t>サン</t>
    </rPh>
    <phoneticPr fontId="13"/>
  </si>
  <si>
    <t>バーレーン</t>
  </si>
  <si>
    <t>Bahrain</t>
  </si>
  <si>
    <t>モザンビーク</t>
  </si>
  <si>
    <t>Mozambique</t>
  </si>
  <si>
    <t>ﾊﾞｰﾚｰﾝ_x000D_
Bahrain</t>
  </si>
  <si>
    <t>ﾑﾊﾞﾗｽ･ｸﾙｰﾄﾞ</t>
  </si>
  <si>
    <t>WTIﾐｯﾄﾞﾗﾝﾄﾞ</t>
  </si>
  <si>
    <t>ﾏｰｽﾞ</t>
  </si>
  <si>
    <t>ﾓｻﾞﾝﾋﾞｰｸ_x000D_
Mozambique</t>
  </si>
  <si>
    <t>マーシャル_x000D_
Marshall</t>
  </si>
  <si>
    <t>注2：原油（ドル／バレル）は石油連盟「石油資料月報」による。</t>
    <rPh sb="0" eb="1">
      <t>チュウ</t>
    </rPh>
    <rPh sb="3" eb="5">
      <t>ゲンユ</t>
    </rPh>
    <rPh sb="14" eb="16">
      <t>セキユ</t>
    </rPh>
    <rPh sb="16" eb="18">
      <t>レンメイ</t>
    </rPh>
    <rPh sb="19" eb="21">
      <t>セキユ</t>
    </rPh>
    <rPh sb="21" eb="23">
      <t>シリョウ</t>
    </rPh>
    <rPh sb="23" eb="25">
      <t>ゲッポウ</t>
    </rPh>
    <phoneticPr fontId="13"/>
  </si>
  <si>
    <t>→</t>
    <phoneticPr fontId="13"/>
  </si>
  <si>
    <t>(単位：kl/Unit：kl)</t>
    <phoneticPr fontId="13"/>
  </si>
  <si>
    <t>備蓄日数
 Days</t>
    <rPh sb="0" eb="2">
      <t>ビチク</t>
    </rPh>
    <rPh sb="2" eb="4">
      <t>ニッスウ</t>
    </rPh>
    <phoneticPr fontId="13"/>
  </si>
  <si>
    <t>製品換算
Products Equivalent</t>
    <rPh sb="0" eb="2">
      <t>セイヒン</t>
    </rPh>
    <rPh sb="2" eb="4">
      <t>カンサン</t>
    </rPh>
    <phoneticPr fontId="13"/>
  </si>
  <si>
    <t>備蓄日数
Days</t>
    <rPh sb="0" eb="2">
      <t>ビチク</t>
    </rPh>
    <rPh sb="2" eb="4">
      <t>ニッスウ</t>
    </rPh>
    <phoneticPr fontId="13"/>
  </si>
  <si>
    <t>製品換算 
Products Equivalent</t>
    <rPh sb="0" eb="2">
      <t>セイヒン</t>
    </rPh>
    <rPh sb="2" eb="4">
      <t>カンサン</t>
    </rPh>
    <phoneticPr fontId="13"/>
  </si>
  <si>
    <t>ｳﾑﾙﾙ</t>
  </si>
  <si>
    <t>ｵﾛﾑﾍﾞﾝﾄﾞ</t>
  </si>
  <si>
    <t>Feb.</t>
    <phoneticPr fontId="34"/>
  </si>
  <si>
    <t>Mar.</t>
    <phoneticPr fontId="34"/>
  </si>
  <si>
    <t>Apr.</t>
    <phoneticPr fontId="34"/>
  </si>
  <si>
    <t>Jun.</t>
    <phoneticPr fontId="34"/>
  </si>
  <si>
    <t>Jul.</t>
    <phoneticPr fontId="34"/>
  </si>
  <si>
    <t>Aug.</t>
    <phoneticPr fontId="34"/>
  </si>
  <si>
    <t>Sep.</t>
    <phoneticPr fontId="34"/>
  </si>
  <si>
    <t>Oct.</t>
    <phoneticPr fontId="34"/>
  </si>
  <si>
    <t>Nov.</t>
    <phoneticPr fontId="34"/>
  </si>
  <si>
    <t>Dec.</t>
    <phoneticPr fontId="34"/>
  </si>
  <si>
    <t>（単位：kl、アスファルト以降：ｔ/Unit:kl,  from Asphalt onward is ton)</t>
    <rPh sb="13" eb="15">
      <t>イコウ</t>
    </rPh>
    <phoneticPr fontId="11"/>
  </si>
  <si>
    <t xml:space="preserve">May </t>
    <phoneticPr fontId="13"/>
  </si>
  <si>
    <t>Year                &amp; Month</t>
  </si>
  <si>
    <t>May</t>
  </si>
  <si>
    <t>Note1: Products Equivalent = Crude Oil * 0.95</t>
  </si>
  <si>
    <t>Note2: The source is Agency for Natural Resources and Energy.</t>
  </si>
  <si>
    <t>ナフサ   　　　　　　　　　　　　　　　　　　　　　　　　　　　　　　　　　　　　　　　　　Naphtha</t>
  </si>
  <si>
    <t>Year                                  &amp; Month</t>
  </si>
  <si>
    <t>Note1: The source is Ministry of Finance.</t>
  </si>
  <si>
    <t>Note2: Numeric Value of $/barrel by Petroleum Association of Japan.</t>
  </si>
  <si>
    <t>Note3: The import price of naphtha is for petrochemistry.</t>
  </si>
  <si>
    <t>Note4: The import price of fuel oil A is for agriculture,forestry and fishery.</t>
  </si>
  <si>
    <t>Note5: The import price of fuel oil C shows the price of  low sulfur spec.</t>
  </si>
  <si>
    <t>平均　　硫黄分</t>
    <phoneticPr fontId="13"/>
  </si>
  <si>
    <t xml:space="preserve">長期契約   </t>
    <phoneticPr fontId="13"/>
  </si>
  <si>
    <t>スポット契約</t>
    <phoneticPr fontId="13"/>
  </si>
  <si>
    <t>Total</t>
    <phoneticPr fontId="13"/>
  </si>
  <si>
    <t>Spot Ratio
(%)</t>
    <phoneticPr fontId="13"/>
  </si>
  <si>
    <t>Term Contract</t>
    <phoneticPr fontId="13"/>
  </si>
  <si>
    <t>Spot Contract</t>
    <phoneticPr fontId="13"/>
  </si>
  <si>
    <t>Average Sulfur
（ｗｔ%）</t>
    <phoneticPr fontId="13"/>
  </si>
  <si>
    <t>Q2</t>
    <phoneticPr fontId="13"/>
  </si>
  <si>
    <t>Q3</t>
    <phoneticPr fontId="13"/>
  </si>
  <si>
    <t>Q4</t>
    <phoneticPr fontId="13"/>
  </si>
  <si>
    <t>Mar.</t>
    <phoneticPr fontId="13"/>
  </si>
  <si>
    <t xml:space="preserve">米系以外の　    独立会社   </t>
    <phoneticPr fontId="13"/>
  </si>
  <si>
    <t>産油国政府</t>
    <phoneticPr fontId="13"/>
  </si>
  <si>
    <t xml:space="preserve">邦系石油
開発会社       </t>
    <phoneticPr fontId="13"/>
  </si>
  <si>
    <t>Non American Independence</t>
    <phoneticPr fontId="13"/>
  </si>
  <si>
    <t>Japanese
 Oil Developer</t>
    <phoneticPr fontId="13"/>
  </si>
  <si>
    <t>参考資料 / Ｒｅｆｅｒｅｎｃｅ</t>
    <rPh sb="0" eb="2">
      <t>サンコウ</t>
    </rPh>
    <rPh sb="2" eb="4">
      <t>シリョウ</t>
    </rPh>
    <phoneticPr fontId="13"/>
  </si>
  <si>
    <t>（５）石油製品月別業態別在庫 / Monthly Inventory of Petroleum Products by Type of Business</t>
    <phoneticPr fontId="13"/>
  </si>
  <si>
    <t>（２）原油供給者区分別、月別輸入 /Import of Crude Oil  by Month and Supplier</t>
    <rPh sb="3" eb="5">
      <t>ゲンユ</t>
    </rPh>
    <phoneticPr fontId="13"/>
  </si>
  <si>
    <t>C.Y. 2019</t>
  </si>
  <si>
    <t>カナダ</t>
  </si>
  <si>
    <t>Canada</t>
  </si>
  <si>
    <t>カメルーン</t>
  </si>
  <si>
    <t>Cameroon</t>
  </si>
  <si>
    <t>ﾏﾚｰｼｱ（つづき）</t>
  </si>
  <si>
    <t>ｶﾅﾀﾞ_x000D_
Canada</t>
  </si>
  <si>
    <t>ｺｰﾙﾄﾞ･ﾚｲｸ</t>
  </si>
  <si>
    <t>ﾘﾋﾞｱ計</t>
  </si>
  <si>
    <t>ｶﾒﾙｰﾝ_x000D_
Cameroon</t>
  </si>
  <si>
    <t>ｱﾑﾅ</t>
  </si>
  <si>
    <t>ﾌﾞ･ｱﾃｨﾌﾙ</t>
  </si>
  <si>
    <t>ｴﾎﾞﾒ</t>
  </si>
  <si>
    <t>ｵｸﾞｴﾝｼﾞｮ</t>
  </si>
  <si>
    <t>（１）石油製品需給総括 / Supply and Demand Summary of Petroleum Products</t>
    <phoneticPr fontId="11"/>
  </si>
  <si>
    <t>区　分</t>
    <phoneticPr fontId="11"/>
  </si>
  <si>
    <t>ガソリン</t>
    <phoneticPr fontId="11"/>
  </si>
  <si>
    <t>ナフサ</t>
    <phoneticPr fontId="11"/>
  </si>
  <si>
    <t>ジェット</t>
    <phoneticPr fontId="11"/>
  </si>
  <si>
    <t>灯油</t>
    <phoneticPr fontId="11"/>
  </si>
  <si>
    <t>軽油</t>
    <phoneticPr fontId="11"/>
  </si>
  <si>
    <t>重油</t>
    <phoneticPr fontId="11"/>
  </si>
  <si>
    <t>潤滑油</t>
    <phoneticPr fontId="21"/>
  </si>
  <si>
    <t>アスファルト</t>
    <phoneticPr fontId="21"/>
  </si>
  <si>
    <t>グリース</t>
    <phoneticPr fontId="21"/>
  </si>
  <si>
    <t>パラフィン</t>
    <phoneticPr fontId="21"/>
  </si>
  <si>
    <t>　液化石油ガス</t>
    <phoneticPr fontId="11"/>
  </si>
  <si>
    <t>P・P, P・B</t>
    <phoneticPr fontId="21"/>
  </si>
  <si>
    <t>B・B</t>
    <phoneticPr fontId="11"/>
  </si>
  <si>
    <t>Gas Oil</t>
    <phoneticPr fontId="11"/>
  </si>
  <si>
    <t>Lubricating
 Oil</t>
    <phoneticPr fontId="11"/>
  </si>
  <si>
    <t>Increase in Quantity by Conversion to Another Product</t>
    <phoneticPr fontId="11"/>
  </si>
  <si>
    <t>Return from Petrochemical Industry</t>
    <phoneticPr fontId="11"/>
  </si>
  <si>
    <t>その他の受入量</t>
    <phoneticPr fontId="11"/>
  </si>
  <si>
    <t>Decrease in Quantity by Conversion to Another Product</t>
    <phoneticPr fontId="11"/>
  </si>
  <si>
    <t xml:space="preserve">Note 1 : Domestic Sales = (Inventory at Start of Year + Total Receipts ) - ( Inventory at  End of Year + Total Shipments except Domestic Sales )  </t>
    <phoneticPr fontId="11"/>
  </si>
  <si>
    <t xml:space="preserve">Note 2 : P・P is Propane・Propylene; P・B is Propane・Butane ; B・B is Butane・Butylene. </t>
    <phoneticPr fontId="11"/>
  </si>
  <si>
    <t>Naphtha</t>
    <phoneticPr fontId="11"/>
  </si>
  <si>
    <t>Jet Fuel</t>
    <phoneticPr fontId="11"/>
  </si>
  <si>
    <t>Fuel Oil A</t>
    <phoneticPr fontId="11"/>
  </si>
  <si>
    <t>Fuel Oil              B･C</t>
    <phoneticPr fontId="11"/>
  </si>
  <si>
    <t>LPG</t>
    <phoneticPr fontId="11"/>
  </si>
  <si>
    <t>製油所在庫</t>
    <phoneticPr fontId="11"/>
  </si>
  <si>
    <t>Total Receipts</t>
    <phoneticPr fontId="11"/>
  </si>
  <si>
    <t>輸入</t>
    <phoneticPr fontId="11"/>
  </si>
  <si>
    <t>Total Shipments</t>
    <phoneticPr fontId="11"/>
  </si>
  <si>
    <t>輸出</t>
    <phoneticPr fontId="11"/>
  </si>
  <si>
    <t>自家消費</t>
    <phoneticPr fontId="11"/>
  </si>
  <si>
    <t>その他の払出量</t>
    <phoneticPr fontId="11"/>
  </si>
  <si>
    <t xml:space="preserve">Inventory at End of Year </t>
    <phoneticPr fontId="11"/>
  </si>
  <si>
    <t>注 2： Ｐ・Ｐ＝プロパン・プロピレン、Ｐ・Ｂ＝プロパン・ブタン、プロピレン・ブチレン等プロパン、プロピレンを主成分とするもの。</t>
    <phoneticPr fontId="48"/>
  </si>
  <si>
    <t>　　　  Ｂ・Ｂ＝ブタン・ブチレンを主成分とするもの。</t>
    <phoneticPr fontId="48"/>
  </si>
  <si>
    <t xml:space="preserve">      Receipt and Shipment of Petroleum Products by Manufacturers and Importers</t>
    <phoneticPr fontId="21"/>
  </si>
  <si>
    <t>Lubricating
 Oil</t>
    <phoneticPr fontId="21"/>
  </si>
  <si>
    <t>輸出</t>
    <phoneticPr fontId="21"/>
  </si>
  <si>
    <t>Decrease in Quantity by Conversion to Another Product</t>
    <phoneticPr fontId="21"/>
  </si>
  <si>
    <t xml:space="preserve">自家消費  </t>
    <phoneticPr fontId="21"/>
  </si>
  <si>
    <t>　液化石油ガス</t>
    <phoneticPr fontId="21"/>
  </si>
  <si>
    <t>Fuel Oil
 B･C</t>
    <phoneticPr fontId="11"/>
  </si>
  <si>
    <t>Increase in Quantity by Conversion to Another Product</t>
    <phoneticPr fontId="21"/>
  </si>
  <si>
    <t>Other Received</t>
    <phoneticPr fontId="21"/>
  </si>
  <si>
    <t>Sales to Consumers, Wholesalers and Retailers</t>
    <phoneticPr fontId="21"/>
  </si>
  <si>
    <t xml:space="preserve">Sales or Loans to Manufacturers and Importers </t>
    <phoneticPr fontId="21"/>
  </si>
  <si>
    <t>注： Ｐ・Ｐ＝プロパン・プロピレン、Ｐ・Ｂ＝プロパン・ブタン、プロピレン・ブチレン等プロパン、プロピレンを主成分とするもの。</t>
    <phoneticPr fontId="48"/>
  </si>
  <si>
    <t xml:space="preserve">Note : P・P is Propane・Propylene; P・B is Propane・Butane ; B・B is Butane・Butylene. </t>
    <phoneticPr fontId="11"/>
  </si>
  <si>
    <t xml:space="preserve">Year,           Quarter                             &amp; Month 
</t>
    <phoneticPr fontId="11"/>
  </si>
  <si>
    <t>年・期・月</t>
    <phoneticPr fontId="11"/>
  </si>
  <si>
    <t>　　  Ｂ・Ｂ＝ブタン・ブチレンを主成分とするもの。</t>
    <phoneticPr fontId="48"/>
  </si>
  <si>
    <t>　液化石油ガス</t>
    <phoneticPr fontId="64"/>
  </si>
  <si>
    <t>バヌアツ_x000D_
Vanuatu</t>
  </si>
  <si>
    <t>ソロモン_x000D_
Solomon Islands</t>
  </si>
  <si>
    <t>アゼルバイジャン_x000D_
Azerbaijan</t>
  </si>
  <si>
    <t>ラトビア_x000D_
Latvia</t>
  </si>
  <si>
    <t>ジャマイカ_x000D_
Jamaica</t>
  </si>
  <si>
    <t>アスファルト（つづき）</t>
  </si>
  <si>
    <t>パラグアイ_x000D_
Paraguay</t>
  </si>
  <si>
    <t>区　分</t>
    <phoneticPr fontId="75"/>
  </si>
  <si>
    <t xml:space="preserve">    Premium Gasoline </t>
    <phoneticPr fontId="75"/>
  </si>
  <si>
    <t xml:space="preserve">    Regular Gasoline </t>
    <phoneticPr fontId="75"/>
  </si>
  <si>
    <t>末在庫</t>
    <phoneticPr fontId="75"/>
  </si>
  <si>
    <t>ン</t>
    <phoneticPr fontId="75"/>
  </si>
  <si>
    <t xml:space="preserve">    Gasoline Engine Oil</t>
    <phoneticPr fontId="75"/>
  </si>
  <si>
    <t xml:space="preserve">    Other Lubricating Oil for Automobile</t>
    <phoneticPr fontId="75"/>
  </si>
  <si>
    <t>機　　　械　　　油</t>
    <phoneticPr fontId="75"/>
  </si>
  <si>
    <t>Year，                       Quarter 
&amp; Month</t>
    <phoneticPr fontId="13"/>
  </si>
  <si>
    <t>C.Y.     2019</t>
    <phoneticPr fontId="13"/>
  </si>
  <si>
    <t>年・期・月</t>
    <phoneticPr fontId="13"/>
  </si>
  <si>
    <t xml:space="preserve"> 合計     </t>
    <phoneticPr fontId="13"/>
  </si>
  <si>
    <t>Year,                       Quarter 
&amp; Month</t>
    <phoneticPr fontId="13"/>
  </si>
  <si>
    <t>平均     API度</t>
    <phoneticPr fontId="13"/>
  </si>
  <si>
    <t>Avg. API gravity</t>
    <phoneticPr fontId="13"/>
  </si>
  <si>
    <t>Share（％）</t>
    <phoneticPr fontId="13"/>
  </si>
  <si>
    <t>Spot    Ratio (%)</t>
    <phoneticPr fontId="13"/>
  </si>
  <si>
    <t>(バレル)</t>
    <phoneticPr fontId="13"/>
  </si>
  <si>
    <t>(ﾄﾞﾙ/バレル)</t>
    <phoneticPr fontId="13"/>
  </si>
  <si>
    <r>
      <t>（10</t>
    </r>
    <r>
      <rPr>
        <vertAlign val="superscript"/>
        <sz val="8"/>
        <rFont val="ＭＳ Ｐ明朝"/>
        <family val="1"/>
        <charset val="128"/>
      </rPr>
      <t>3</t>
    </r>
    <r>
      <rPr>
        <sz val="8"/>
        <rFont val="ＭＳ Ｐ明朝"/>
        <family val="1"/>
        <charset val="128"/>
      </rPr>
      <t>$）</t>
    </r>
    <phoneticPr fontId="13"/>
  </si>
  <si>
    <t>（６）石油製品製造業者・輸入業者月別消費者･販売業者向販売 / Monthly Sales to Consumers, Wholesalers and Retailers of Petroleum Products by Manufacturers and Importers</t>
    <phoneticPr fontId="13"/>
  </si>
  <si>
    <t>（７）製造業者・輸入業者品種別、月別消費者・販売業者向販売及び在庫内訳 /Monthly Inventory and Sales to Consumers, Wholesalers and Retailers by Manufacturers and Importers</t>
    <phoneticPr fontId="13"/>
  </si>
  <si>
    <t>（４）原油処理及び原油在庫 / Crude Oil Processing and Inventory</t>
    <phoneticPr fontId="13"/>
  </si>
  <si>
    <t>１．原  油 /  Crude Oil</t>
    <phoneticPr fontId="13"/>
  </si>
  <si>
    <t>　（１）原油地域別、国別輸入 / Import of Crude Oil by Area and Country</t>
    <phoneticPr fontId="13"/>
  </si>
  <si>
    <t>タイ</t>
  </si>
  <si>
    <t>Thailand</t>
  </si>
  <si>
    <t>C.Y. 2020</t>
  </si>
  <si>
    <t>ﾀｲ_x000D_
Thailand</t>
  </si>
  <si>
    <t>ﾗﾌﾞｱﾝ･ﾗｲﾄ</t>
  </si>
  <si>
    <t>中立地帯_x000D_
Neutral Zone</t>
  </si>
  <si>
    <t>ｶﾌｼﾞ</t>
  </si>
  <si>
    <t>ｽｰﾀﾞﾝ_x000D_
Sudan</t>
  </si>
  <si>
    <t>ｶﾞﾎﾞﾝ_x000D_
Gabon</t>
  </si>
  <si>
    <t xml:space="preserve">Year,
Quarter
&amp; Month     </t>
    <phoneticPr fontId="13"/>
  </si>
  <si>
    <t>10～12</t>
    <phoneticPr fontId="11"/>
  </si>
  <si>
    <t xml:space="preserve">（２）石油製品製造業者 ・ 輸入業者受払 / </t>
    <phoneticPr fontId="21"/>
  </si>
  <si>
    <t>輸入</t>
    <phoneticPr fontId="21"/>
  </si>
  <si>
    <t xml:space="preserve">Purchase or Loans from Manufacturers and Importers </t>
    <phoneticPr fontId="21"/>
  </si>
  <si>
    <t>Purchase from Wholesalers and Retailers</t>
    <phoneticPr fontId="21"/>
  </si>
  <si>
    <t>その他の受入量</t>
    <phoneticPr fontId="21"/>
  </si>
  <si>
    <t>その他の払出量</t>
    <phoneticPr fontId="21"/>
  </si>
  <si>
    <t>製造業者・輸入業者よりの購入・融通</t>
    <phoneticPr fontId="21"/>
  </si>
  <si>
    <t xml:space="preserve">   ①月別輸入 / Import by Month</t>
    <phoneticPr fontId="64"/>
  </si>
  <si>
    <t>　</t>
    <phoneticPr fontId="13"/>
  </si>
  <si>
    <t>イラク_x000D_
Iraq</t>
  </si>
  <si>
    <t>ブルガリア_x000D_
Bulgaria</t>
  </si>
  <si>
    <t>エストニア_x000D_
Estonia</t>
  </si>
  <si>
    <t xml:space="preserve">    Note : P・P is Propane・Propylene; P・B is Propane・Butane ; B・B is Butane・Butylene. </t>
    <phoneticPr fontId="11"/>
  </si>
  <si>
    <t xml:space="preserve">   ④国・地域別月別輸出 / Monthly Export by Area and Country</t>
    <phoneticPr fontId="13"/>
  </si>
  <si>
    <t xml:space="preserve">  (円/kl)  (yen/kl)</t>
    <rPh sb="3" eb="4">
      <t>エン</t>
    </rPh>
    <phoneticPr fontId="13"/>
  </si>
  <si>
    <t xml:space="preserve">  (円/t)  (yen/ton)</t>
    <rPh sb="3" eb="4">
      <t>エン</t>
    </rPh>
    <phoneticPr fontId="13"/>
  </si>
  <si>
    <t>構成比</t>
    <phoneticPr fontId="33"/>
  </si>
  <si>
    <t>Freight</t>
    <phoneticPr fontId="13"/>
  </si>
  <si>
    <t>Insurance</t>
    <phoneticPr fontId="13"/>
  </si>
  <si>
    <t>日本_x000D_
Japan</t>
  </si>
  <si>
    <t>国産</t>
  </si>
  <si>
    <t xml:space="preserve">Year                             &amp; Month 
</t>
    <phoneticPr fontId="11"/>
  </si>
  <si>
    <t>4月</t>
    <phoneticPr fontId="11"/>
  </si>
  <si>
    <t>5月</t>
    <phoneticPr fontId="11"/>
  </si>
  <si>
    <t>7月</t>
    <phoneticPr fontId="11"/>
  </si>
  <si>
    <t>8月</t>
    <phoneticPr fontId="11"/>
  </si>
  <si>
    <t>10月</t>
    <phoneticPr fontId="11"/>
  </si>
  <si>
    <t>11月</t>
    <phoneticPr fontId="11"/>
  </si>
  <si>
    <t>12月</t>
    <phoneticPr fontId="11"/>
  </si>
  <si>
    <t xml:space="preserve">    Note 1 : M &amp; I = Manufacturers and Importers </t>
    <phoneticPr fontId="11"/>
  </si>
  <si>
    <t>Avg. API gravity
（60℉）</t>
    <phoneticPr fontId="13"/>
  </si>
  <si>
    <t>C.Y.     2020</t>
    <phoneticPr fontId="13"/>
  </si>
  <si>
    <t xml:space="preserve">         7～ 9</t>
  </si>
  <si>
    <t xml:space="preserve">         5</t>
  </si>
  <si>
    <t>米系独立会社</t>
  </si>
  <si>
    <t>３．原油契約期間別、供給者区分別、国別輸入 / Import of Crude Oil by Contract,Supplier and Country</t>
    <rPh sb="2" eb="4">
      <t>ゲンユ</t>
    </rPh>
    <phoneticPr fontId="13"/>
  </si>
  <si>
    <t>（１）原油契約期間別、月別輸入、ＣＩＦ総額、平均ＡＰＩ度及び平均硫黄分 / Import of Crude Oil, Value（CIF）,Average API gravity and Average Sulfur by Month and Contract</t>
    <rPh sb="3" eb="5">
      <t>ゲンユ</t>
    </rPh>
    <rPh sb="27" eb="28">
      <t>ド</t>
    </rPh>
    <phoneticPr fontId="13"/>
  </si>
  <si>
    <t>　　　2</t>
    <phoneticPr fontId="34"/>
  </si>
  <si>
    <t xml:space="preserve">　　　3 </t>
    <phoneticPr fontId="34"/>
  </si>
  <si>
    <t>C.Y. 2021</t>
  </si>
  <si>
    <t xml:space="preserve">           4～ 6</t>
    <phoneticPr fontId="34"/>
  </si>
  <si>
    <t xml:space="preserve">           7～ 9</t>
    <phoneticPr fontId="34"/>
  </si>
  <si>
    <t xml:space="preserve">          10～12　 </t>
    <phoneticPr fontId="34"/>
  </si>
  <si>
    <t xml:space="preserve">             2</t>
    <phoneticPr fontId="34"/>
  </si>
  <si>
    <t xml:space="preserve">             3</t>
    <phoneticPr fontId="34"/>
  </si>
  <si>
    <t xml:space="preserve">             4</t>
    <phoneticPr fontId="34"/>
  </si>
  <si>
    <t xml:space="preserve">             5</t>
    <phoneticPr fontId="34"/>
  </si>
  <si>
    <t xml:space="preserve">             6</t>
    <phoneticPr fontId="34"/>
  </si>
  <si>
    <t xml:space="preserve">             7</t>
    <phoneticPr fontId="34"/>
  </si>
  <si>
    <t xml:space="preserve">             8</t>
    <phoneticPr fontId="34"/>
  </si>
  <si>
    <t xml:space="preserve">             9</t>
    <phoneticPr fontId="34"/>
  </si>
  <si>
    <t xml:space="preserve">            10</t>
    <phoneticPr fontId="34"/>
  </si>
  <si>
    <t xml:space="preserve">            11</t>
    <phoneticPr fontId="34"/>
  </si>
  <si>
    <t xml:space="preserve">            12</t>
    <phoneticPr fontId="34"/>
  </si>
  <si>
    <t xml:space="preserve">             2</t>
  </si>
  <si>
    <t xml:space="preserve">             3</t>
  </si>
  <si>
    <t>ブラジル</t>
  </si>
  <si>
    <t>Brazil</t>
  </si>
  <si>
    <t>ﾀﾝﾛﾝ</t>
  </si>
  <si>
    <t>ﾗﾗﾝ</t>
  </si>
  <si>
    <t>ﾌﾞﾗｼﾞﾙ計</t>
  </si>
  <si>
    <t>ﾌﾞｰｼﾞｵｽ</t>
  </si>
  <si>
    <t>ﾄｩﾋﾟ</t>
  </si>
  <si>
    <t>ﾋﾟﾚﾆｰｽﾞ</t>
  </si>
  <si>
    <t>ｻｳｼﾞｱﾗﾋﾞｱ_x000D_
Saudi Arabia</t>
  </si>
  <si>
    <t>輸入</t>
    <phoneticPr fontId="13"/>
  </si>
  <si>
    <t>国産</t>
    <phoneticPr fontId="13"/>
  </si>
  <si>
    <r>
      <t>Other</t>
    </r>
    <r>
      <rPr>
        <sz val="7.5"/>
        <color indexed="8"/>
        <rFont val="ＭＳ Ｐ明朝"/>
        <family val="1"/>
        <charset val="128"/>
      </rPr>
      <t xml:space="preserve"> </t>
    </r>
    <r>
      <rPr>
        <sz val="7.1"/>
        <color indexed="8"/>
        <rFont val="ＭＳ Ｐ明朝"/>
        <family val="1"/>
        <charset val="128"/>
      </rPr>
      <t>Establishments</t>
    </r>
    <phoneticPr fontId="13"/>
  </si>
  <si>
    <t>Imported
Crude Oil</t>
    <phoneticPr fontId="13"/>
  </si>
  <si>
    <t>Domestic
Crude Oil</t>
    <phoneticPr fontId="11"/>
  </si>
  <si>
    <t xml:space="preserve">  1月</t>
    <phoneticPr fontId="11"/>
  </si>
  <si>
    <t xml:space="preserve">  2</t>
    <phoneticPr fontId="13"/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</si>
  <si>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</si>
  <si>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</si>
  <si>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</si>
  <si>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</si>
  <si>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</si>
  <si>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</si>
  <si>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</si>
  <si>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 xml:space="preserve">  1</t>
    <phoneticPr fontId="13"/>
  </si>
  <si>
    <t xml:space="preserve">  3</t>
    <phoneticPr fontId="13"/>
  </si>
  <si>
    <t>基地・油槽所</t>
    <phoneticPr fontId="13"/>
  </si>
  <si>
    <t>Oil drilling
 enterprises</t>
    <phoneticPr fontId="13"/>
  </si>
  <si>
    <t>Refiners</t>
    <phoneticPr fontId="13"/>
  </si>
  <si>
    <t>（単位：kl、アスファルト以降：ｔ/Unit: kl, from Asphalt onward is ton)</t>
    <rPh sb="13" eb="15">
      <t>イコウ</t>
    </rPh>
    <phoneticPr fontId="13"/>
  </si>
  <si>
    <t xml:space="preserve">  1～ 3月</t>
    <phoneticPr fontId="13"/>
  </si>
  <si>
    <t xml:space="preserve">  4～ 6</t>
    <phoneticPr fontId="11"/>
  </si>
  <si>
    <r>
      <t xml:space="preserve">  7～ 9</t>
    </r>
    <r>
      <rPr>
        <sz val="11"/>
        <color theme="1"/>
        <rFont val="ＭＳ Ｐゴシック"/>
        <family val="3"/>
        <charset val="128"/>
        <scheme val="minor"/>
      </rPr>
      <t/>
    </r>
    <phoneticPr fontId="11"/>
  </si>
  <si>
    <t xml:space="preserve">  1～ 3</t>
    <phoneticPr fontId="13"/>
  </si>
  <si>
    <t>（単位：kl、アスファルト以降：ｔ/Unit:kl,  from Asphalt onward is ton)</t>
    <rPh sb="13" eb="15">
      <t>イコウ</t>
    </rPh>
    <phoneticPr fontId="64"/>
  </si>
  <si>
    <t>注1 ： （　　）はボンド扱い輸入製品で外数である。</t>
    <phoneticPr fontId="64"/>
  </si>
  <si>
    <t xml:space="preserve">    Note1 : The amount of parenthesis is that for bonded imports and not included in amounts just below.</t>
    <phoneticPr fontId="64"/>
  </si>
  <si>
    <t>注2 ： Ｐ・Ｐ＝プロパン・プロピレン、Ｐ・Ｂ＝プロパン・ブタン、プロピレン・ブチレン等プロパン、プロピレンを主成分とするもの。</t>
    <phoneticPr fontId="48"/>
  </si>
  <si>
    <t xml:space="preserve">    Note2 : P・P is Propane・Propylene; P・B is Propane・Butane ; B・B is Butane・Butylene. </t>
    <phoneticPr fontId="11"/>
  </si>
  <si>
    <t>マルタ_x000D_
Malta</t>
  </si>
  <si>
    <t xml:space="preserve">   ③月別輸出 / Export by Month</t>
    <phoneticPr fontId="11"/>
  </si>
  <si>
    <t xml:space="preserve"> 液化石油ガス</t>
    <phoneticPr fontId="11"/>
  </si>
  <si>
    <t>2月</t>
    <phoneticPr fontId="11"/>
  </si>
  <si>
    <t>3月</t>
    <phoneticPr fontId="11"/>
  </si>
  <si>
    <t>Refiners</t>
    <phoneticPr fontId="11"/>
  </si>
  <si>
    <t>6月</t>
    <phoneticPr fontId="11"/>
  </si>
  <si>
    <t>9月</t>
    <phoneticPr fontId="11"/>
  </si>
  <si>
    <t xml:space="preserve">    Note 2 : P・P is Propane・Propylene; P・B is Propane・Butane ; B・B is Butane・Butylene. </t>
    <phoneticPr fontId="11"/>
  </si>
  <si>
    <t xml:space="preserve">（６）石油製品製造業者・輸入業者月別消費者･販売業者向販売 / </t>
    <phoneticPr fontId="11"/>
  </si>
  <si>
    <t xml:space="preserve">Monthly Sales to Consumers, Wholesalers and Retailers of Petroleum Products by Manufacturers and Importers    </t>
    <phoneticPr fontId="11"/>
  </si>
  <si>
    <t xml:space="preserve">      Monthly Inventory and Sales to Consumers, Wholesalers and Retailers by Manufacturers and Importers </t>
    <phoneticPr fontId="75"/>
  </si>
  <si>
    <t xml:space="preserve">  (単位：kl/Unit:kl)</t>
    <phoneticPr fontId="75"/>
  </si>
  <si>
    <t>計</t>
    <phoneticPr fontId="75"/>
  </si>
  <si>
    <t>Total</t>
    <phoneticPr fontId="75"/>
  </si>
  <si>
    <t>ガ</t>
    <phoneticPr fontId="75"/>
  </si>
  <si>
    <t>自動車用高級</t>
    <phoneticPr fontId="75"/>
  </si>
  <si>
    <t>Sale</t>
    <phoneticPr fontId="75"/>
  </si>
  <si>
    <t>自動車用並級</t>
    <phoneticPr fontId="75"/>
  </si>
  <si>
    <t>ソ</t>
    <phoneticPr fontId="75"/>
  </si>
  <si>
    <t xml:space="preserve">    Others </t>
    <phoneticPr fontId="75"/>
  </si>
  <si>
    <t>Gasoline</t>
    <phoneticPr fontId="75"/>
  </si>
  <si>
    <t>リ</t>
    <phoneticPr fontId="75"/>
  </si>
  <si>
    <t>Inventory</t>
    <phoneticPr fontId="75"/>
  </si>
  <si>
    <t>ナ</t>
    <phoneticPr fontId="75"/>
  </si>
  <si>
    <t>石油化学用</t>
    <phoneticPr fontId="75"/>
  </si>
  <si>
    <t xml:space="preserve">    Petrochemical Use</t>
    <phoneticPr fontId="75"/>
  </si>
  <si>
    <t>Naphtha</t>
    <phoneticPr fontId="75"/>
  </si>
  <si>
    <t>フ</t>
    <phoneticPr fontId="75"/>
  </si>
  <si>
    <t>サ</t>
    <phoneticPr fontId="75"/>
  </si>
  <si>
    <t>ガソリンエンジン油</t>
    <phoneticPr fontId="75"/>
  </si>
  <si>
    <t xml:space="preserve">    Diesel Engine Oil</t>
    <phoneticPr fontId="75"/>
  </si>
  <si>
    <t>そ の 他 車 両 用</t>
    <phoneticPr fontId="75"/>
  </si>
  <si>
    <t>船舶エ ン ジ ン油</t>
    <phoneticPr fontId="75"/>
  </si>
  <si>
    <t xml:space="preserve">    Marine Diesel Engine Oil</t>
    <phoneticPr fontId="75"/>
  </si>
  <si>
    <t xml:space="preserve">    Mechanical Oil</t>
    <phoneticPr fontId="75"/>
  </si>
  <si>
    <t>金　属　加　工　油</t>
    <phoneticPr fontId="75"/>
  </si>
  <si>
    <t xml:space="preserve">    Metal Working Oil</t>
    <phoneticPr fontId="75"/>
  </si>
  <si>
    <t>電　気　絶　縁　油</t>
    <phoneticPr fontId="75"/>
  </si>
  <si>
    <t xml:space="preserve">    Electrical Insulating Oil</t>
    <phoneticPr fontId="75"/>
  </si>
  <si>
    <t xml:space="preserve">    Other Specific Lubricating Oil</t>
    <phoneticPr fontId="75"/>
  </si>
  <si>
    <t>そ　 　 の　  　他</t>
    <phoneticPr fontId="75"/>
  </si>
  <si>
    <t xml:space="preserve">    Other Lubricating Oil</t>
    <phoneticPr fontId="75"/>
  </si>
  <si>
    <t>Lubricating</t>
    <phoneticPr fontId="75"/>
  </si>
  <si>
    <t>Ｒｅｆｅｒｅｎｃｅ</t>
    <phoneticPr fontId="34"/>
  </si>
  <si>
    <t xml:space="preserve">           2</t>
    <phoneticPr fontId="34"/>
  </si>
  <si>
    <t xml:space="preserve">           3</t>
    <phoneticPr fontId="34"/>
  </si>
  <si>
    <t xml:space="preserve">           4</t>
    <phoneticPr fontId="34"/>
  </si>
  <si>
    <t>　　　　   5</t>
    <phoneticPr fontId="34"/>
  </si>
  <si>
    <t xml:space="preserve">           6</t>
    <phoneticPr fontId="34"/>
  </si>
  <si>
    <t xml:space="preserve">           7</t>
    <phoneticPr fontId="34"/>
  </si>
  <si>
    <t xml:space="preserve">           8</t>
    <phoneticPr fontId="34"/>
  </si>
  <si>
    <t xml:space="preserve">           9</t>
    <phoneticPr fontId="34"/>
  </si>
  <si>
    <t xml:space="preserve">          10</t>
    <phoneticPr fontId="34"/>
  </si>
  <si>
    <t xml:space="preserve">          11</t>
    <phoneticPr fontId="34"/>
  </si>
  <si>
    <t xml:space="preserve">          12</t>
    <phoneticPr fontId="34"/>
  </si>
  <si>
    <t xml:space="preserve"> (ﾄﾞﾙ/ﾊﾞﾚﾙ)                ($/barrel)</t>
    <phoneticPr fontId="34"/>
  </si>
  <si>
    <t>　　　 Import of Crude Oil, Value（CIF）,Average API gravity and Average Sulfur by Month and Contract</t>
    <phoneticPr fontId="13"/>
  </si>
  <si>
    <t>C.Y.     2021</t>
    <phoneticPr fontId="13"/>
  </si>
  <si>
    <t>平均    硫黄分</t>
    <phoneticPr fontId="13"/>
  </si>
  <si>
    <t xml:space="preserve">Country </t>
    <phoneticPr fontId="13"/>
  </si>
  <si>
    <t>長期契約</t>
    <phoneticPr fontId="13"/>
  </si>
  <si>
    <t>スポット比率</t>
    <phoneticPr fontId="13"/>
  </si>
  <si>
    <t>Avg.　　　　Sulfur</t>
    <phoneticPr fontId="13"/>
  </si>
  <si>
    <t>（ｗｔ%）</t>
    <phoneticPr fontId="13"/>
  </si>
  <si>
    <t xml:space="preserve">            The number of companies that imported it from these countries is two or less.</t>
    <phoneticPr fontId="13"/>
  </si>
  <si>
    <t xml:space="preserve">             The number of companies that imported it from these countries is two or less.</t>
    <phoneticPr fontId="13"/>
  </si>
  <si>
    <r>
      <t>CIF総額（千ドル）　（10</t>
    </r>
    <r>
      <rPr>
        <vertAlign val="superscript"/>
        <sz val="8"/>
        <rFont val="ＭＳ Ｐ明朝"/>
        <family val="1"/>
        <charset val="128"/>
      </rPr>
      <t>3</t>
    </r>
    <r>
      <rPr>
        <sz val="8"/>
        <rFont val="ＭＳ Ｐ明朝"/>
        <family val="1"/>
        <charset val="128"/>
      </rPr>
      <t>$）</t>
    </r>
    <phoneticPr fontId="13"/>
  </si>
  <si>
    <t>Total Value</t>
    <phoneticPr fontId="13"/>
  </si>
  <si>
    <t>Country</t>
    <phoneticPr fontId="13"/>
  </si>
  <si>
    <t>FOB</t>
    <phoneticPr fontId="13"/>
  </si>
  <si>
    <t>Shipped Quantity</t>
    <phoneticPr fontId="13"/>
  </si>
  <si>
    <t>(千ドル)</t>
    <phoneticPr fontId="33"/>
  </si>
  <si>
    <t>（barrel)</t>
    <phoneticPr fontId="13"/>
  </si>
  <si>
    <t>（$/barrel）</t>
    <phoneticPr fontId="13"/>
  </si>
  <si>
    <t xml:space="preserve">　　　　　 </t>
    <phoneticPr fontId="13"/>
  </si>
  <si>
    <t>４．液化天然ガス（ＬＮＧ）輸入量、消費量、在庫量 / LNG Import,Consumption and Inventory</t>
    <rPh sb="2" eb="4">
      <t>エキカ</t>
    </rPh>
    <rPh sb="4" eb="6">
      <t>テンネン</t>
    </rPh>
    <rPh sb="13" eb="15">
      <t>ユニュウ</t>
    </rPh>
    <rPh sb="15" eb="16">
      <t>リョウ</t>
    </rPh>
    <rPh sb="17" eb="20">
      <t>ショウヒリョウ</t>
    </rPh>
    <rPh sb="21" eb="23">
      <t>ザイコ</t>
    </rPh>
    <rPh sb="23" eb="24">
      <t>リョウ</t>
    </rPh>
    <phoneticPr fontId="13"/>
  </si>
  <si>
    <t>（１）液化天然ガス（ＬＮＧ）輸入量、消費量、在庫量 / LNG Import,Consumption and Inventory</t>
    <rPh sb="3" eb="5">
      <t>エキカ</t>
    </rPh>
    <rPh sb="5" eb="7">
      <t>テンネン</t>
    </rPh>
    <rPh sb="14" eb="16">
      <t>ユニュウ</t>
    </rPh>
    <rPh sb="16" eb="17">
      <t>リョウ</t>
    </rPh>
    <rPh sb="18" eb="21">
      <t>ショウヒリョウ</t>
    </rPh>
    <rPh sb="22" eb="24">
      <t>ザイコ</t>
    </rPh>
    <rPh sb="24" eb="25">
      <t>リョウ</t>
    </rPh>
    <phoneticPr fontId="13"/>
  </si>
  <si>
    <t>　①原油処理 / Crude Oil Processing</t>
    <rPh sb="2" eb="4">
      <t>ゲンユ</t>
    </rPh>
    <rPh sb="4" eb="6">
      <t>ショリ</t>
    </rPh>
    <phoneticPr fontId="13"/>
  </si>
  <si>
    <t>　②原油在庫 / Inventory of Crude Oil</t>
    <rPh sb="2" eb="4">
      <t>ゲンユ</t>
    </rPh>
    <rPh sb="4" eb="6">
      <t>ザイコ</t>
    </rPh>
    <phoneticPr fontId="13"/>
  </si>
  <si>
    <t>（３）石油製品月別国内向販売 / Domestic Sales of Petroleum Products by Month</t>
    <phoneticPr fontId="13"/>
  </si>
  <si>
    <t>（２）液化天然ガス（ＬＮＧ）国別、月別輸入量 / LNG Monthly Import by Country</t>
    <rPh sb="3" eb="5">
      <t>エキカ</t>
    </rPh>
    <rPh sb="5" eb="7">
      <t>テンネン</t>
    </rPh>
    <rPh sb="14" eb="16">
      <t>クニベツ</t>
    </rPh>
    <rPh sb="17" eb="19">
      <t>ツキベツ</t>
    </rPh>
    <rPh sb="19" eb="21">
      <t>ユニュウ</t>
    </rPh>
    <rPh sb="21" eb="22">
      <t>リョウ</t>
    </rPh>
    <phoneticPr fontId="13"/>
  </si>
  <si>
    <t>ベトナム</t>
  </si>
  <si>
    <t xml:space="preserve">　　　4 </t>
    <phoneticPr fontId="34"/>
  </si>
  <si>
    <t>C.Y. 2022</t>
  </si>
  <si>
    <t>F.Y. 2022</t>
  </si>
  <si>
    <t>Q1  2023</t>
  </si>
  <si>
    <t>Jan. 2023</t>
  </si>
  <si>
    <t>アラブ首長国
連邦</t>
    <phoneticPr fontId="88"/>
  </si>
  <si>
    <t>ｶｻﾞﾌｽﾀﾝ_x000D_
Kazakhstan</t>
  </si>
  <si>
    <t>ﾊﾟﾌﾟｱﾆｭｰｷﾞﾆｱ
Papua 
New Guinea</t>
    <phoneticPr fontId="88"/>
  </si>
  <si>
    <t>ﾗﾋﾞ･ｴｷｽﾎﾟｰﾄ･
ﾌﾞﾚﾝﾄﾞ</t>
    <phoneticPr fontId="88"/>
  </si>
  <si>
    <t>ｳﾞｧﾝ･ｺﾞｯﾎ･
ﾌﾞﾚﾝﾄﾞ</t>
    <phoneticPr fontId="88"/>
  </si>
  <si>
    <t>ｼｬﾙｼﾞｬ･
ｺﾝﾃﾞﾝｾｰﾄ</t>
    <phoneticPr fontId="88"/>
  </si>
  <si>
    <t>ﾃﾏﾈ･
ｺﾝﾃﾞﾝｾｰﾄ</t>
    <phoneticPr fontId="88"/>
  </si>
  <si>
    <t>ｵｰｽﾄﾗﾘｱ（つづき）</t>
  </si>
  <si>
    <t>ﾉｰｽｳｴｽﾄ･
ｼｪﾙﾌ･ｺﾝﾃﾞﾝｾｰﾄ</t>
    <phoneticPr fontId="88"/>
  </si>
  <si>
    <t>ﾌﾟﾙｰﾄ･
ｺﾝﾃﾞﾝｾｰﾄ</t>
    <phoneticPr fontId="88"/>
  </si>
  <si>
    <t>ｳｨｰﾄｽﾄｰﾝ･
ｺﾝﾃﾞﾝｾｰﾄ</t>
    <phoneticPr fontId="88"/>
  </si>
  <si>
    <t>令和</t>
  </si>
  <si>
    <t>1年</t>
  </si>
  <si>
    <t>C.Y. 2019</t>
    <phoneticPr fontId="88"/>
  </si>
  <si>
    <t>C.Y. 2020</t>
    <phoneticPr fontId="88"/>
  </si>
  <si>
    <t>C.Y. 2021</t>
    <phoneticPr fontId="88"/>
  </si>
  <si>
    <t>C.Y. 2022</t>
    <phoneticPr fontId="88"/>
  </si>
  <si>
    <t>F.Y. 2022</t>
    <phoneticPr fontId="88"/>
  </si>
  <si>
    <t xml:space="preserve">Q2  </t>
    <phoneticPr fontId="88"/>
  </si>
  <si>
    <t xml:space="preserve">Q3  </t>
    <phoneticPr fontId="88"/>
  </si>
  <si>
    <t xml:space="preserve">Q4  </t>
    <phoneticPr fontId="88"/>
  </si>
  <si>
    <t>5年</t>
  </si>
  <si>
    <t>Q1  2023</t>
    <phoneticPr fontId="88"/>
  </si>
  <si>
    <t>Feb.</t>
    <phoneticPr fontId="88"/>
  </si>
  <si>
    <t>Mar.</t>
    <phoneticPr fontId="88"/>
  </si>
  <si>
    <t>Apr.</t>
    <phoneticPr fontId="88"/>
  </si>
  <si>
    <t>May</t>
    <phoneticPr fontId="88"/>
  </si>
  <si>
    <t>Jun.</t>
    <phoneticPr fontId="88"/>
  </si>
  <si>
    <t>Jul.</t>
    <phoneticPr fontId="88"/>
  </si>
  <si>
    <t>Aug.</t>
    <phoneticPr fontId="88"/>
  </si>
  <si>
    <t>Sep.</t>
    <phoneticPr fontId="88"/>
  </si>
  <si>
    <r>
      <t xml:space="preserve"> </t>
    </r>
    <r>
      <rPr>
        <sz val="8"/>
        <rFont val="ＭＳ Ｐ明朝"/>
        <family val="1"/>
        <charset val="128"/>
      </rPr>
      <t>10</t>
    </r>
    <phoneticPr fontId="13"/>
  </si>
  <si>
    <t>Oct.</t>
    <phoneticPr fontId="88"/>
  </si>
  <si>
    <r>
      <t xml:space="preserve"> </t>
    </r>
    <r>
      <rPr>
        <sz val="8"/>
        <rFont val="ＭＳ Ｐ明朝"/>
        <family val="1"/>
        <charset val="128"/>
      </rPr>
      <t>11</t>
    </r>
    <r>
      <rPr>
        <sz val="11"/>
        <color theme="1"/>
        <rFont val="ＭＳ Ｐゴシック"/>
        <family val="3"/>
        <charset val="128"/>
        <scheme val="minor"/>
      </rPr>
      <t/>
    </r>
  </si>
  <si>
    <t>Nov.</t>
    <phoneticPr fontId="88"/>
  </si>
  <si>
    <r>
      <t xml:space="preserve"> </t>
    </r>
    <r>
      <rPr>
        <sz val="8"/>
        <rFont val="ＭＳ Ｐ明朝"/>
        <family val="1"/>
        <charset val="128"/>
      </rPr>
      <t>12</t>
    </r>
    <r>
      <rPr>
        <sz val="11"/>
        <color theme="1"/>
        <rFont val="ＭＳ Ｐゴシック"/>
        <family val="3"/>
        <charset val="128"/>
        <scheme val="minor"/>
      </rPr>
      <t/>
    </r>
  </si>
  <si>
    <t>Dec.</t>
    <phoneticPr fontId="88"/>
  </si>
  <si>
    <t>Jan. 2023</t>
    <phoneticPr fontId="88"/>
  </si>
  <si>
    <t>Oil stockpiling 
bases</t>
    <phoneticPr fontId="88"/>
  </si>
  <si>
    <t xml:space="preserve">  1～ 3月</t>
  </si>
  <si>
    <t xml:space="preserve">  4～ 6</t>
  </si>
  <si>
    <t xml:space="preserve">  7～ 9</t>
  </si>
  <si>
    <t>10～12</t>
  </si>
  <si>
    <t xml:space="preserve">  1月</t>
  </si>
  <si>
    <t xml:space="preserve">  2</t>
  </si>
  <si>
    <t xml:space="preserve"> 10</t>
  </si>
  <si>
    <t xml:space="preserve"> 11</t>
  </si>
  <si>
    <t xml:space="preserve"> 12</t>
  </si>
  <si>
    <t>Total of Main Petroleum Products</t>
    <phoneticPr fontId="11"/>
  </si>
  <si>
    <t xml:space="preserve">Total
 Fuel Oil </t>
    <phoneticPr fontId="11"/>
  </si>
  <si>
    <t>製造・輸入業者在庫</t>
    <phoneticPr fontId="11"/>
  </si>
  <si>
    <t>生産</t>
    <phoneticPr fontId="11"/>
  </si>
  <si>
    <t>品種振替による増量</t>
    <phoneticPr fontId="11"/>
  </si>
  <si>
    <t>石油化学よりの返還</t>
    <rPh sb="7" eb="9">
      <t>ヘンカン</t>
    </rPh>
    <phoneticPr fontId="11"/>
  </si>
  <si>
    <t>品種振替による減量</t>
    <rPh sb="7" eb="8">
      <t>ゲン</t>
    </rPh>
    <phoneticPr fontId="50"/>
  </si>
  <si>
    <t>注 3： 令和４年４月分から潤滑油の集計方法の改訂を行いました。</t>
    <phoneticPr fontId="13"/>
  </si>
  <si>
    <t>石油化学よりの受入</t>
  </si>
  <si>
    <t>注 3： 令和４年４月分から潤滑油の集計方法の改訂を行いました。</t>
  </si>
  <si>
    <t>生産部門よりの受入</t>
    <phoneticPr fontId="21"/>
  </si>
  <si>
    <t>販売業者よりの購入</t>
    <phoneticPr fontId="21"/>
  </si>
  <si>
    <t>品種振替による増量</t>
    <phoneticPr fontId="21"/>
  </si>
  <si>
    <t xml:space="preserve">品種振替による減量  </t>
    <phoneticPr fontId="21"/>
  </si>
  <si>
    <t xml:space="preserve">（３）石油製品月別国内向販売 / Domestic Sales of Petroleum Products by Month </t>
    <phoneticPr fontId="11"/>
  </si>
  <si>
    <t>注 1： Ｐ・Ｐ＝プロパン・プロピレン、Ｐ・Ｂ＝プロパン・ブタン、プロピレン・ブチレン等プロパン、プロピレンを主成分とするもの。</t>
    <phoneticPr fontId="48"/>
  </si>
  <si>
    <t xml:space="preserve">Note 1 : P・P is Propane・Propylene; P・B is Propane・Butane ; B・B is Butane・Butylene. </t>
    <phoneticPr fontId="11"/>
  </si>
  <si>
    <t>　　　   Ｂ・Ｂ＝ブタン・ブチレンを主成分とするもの。</t>
    <phoneticPr fontId="48"/>
  </si>
  <si>
    <t>注 2： 令和４年４月分から潤滑油の集計方法の改訂を行いました。</t>
    <phoneticPr fontId="13"/>
  </si>
  <si>
    <t>2</t>
  </si>
  <si>
    <t>3</t>
  </si>
  <si>
    <t>4</t>
  </si>
  <si>
    <t>（単位：ｋｌ，アスファルト以降：ｔ／Ｕｎｉｔ：ｋｌ，from Asphalt onward is ton）</t>
    <phoneticPr fontId="13"/>
  </si>
  <si>
    <t>Total of_x000D_
Main_x000D_
Petroleum_x000D_
Products</t>
  </si>
  <si>
    <t>Asia</t>
    <phoneticPr fontId="88"/>
  </si>
  <si>
    <t>中華人民
共和国
People's Republic of China</t>
    <phoneticPr fontId="88"/>
  </si>
  <si>
    <t>アラブ首長国
連邦
United Arab
Emirates</t>
    <phoneticPr fontId="88"/>
  </si>
  <si>
    <r>
      <rPr>
        <sz val="8"/>
        <rFont val="ＭＳ Ｐ明朝"/>
        <family val="1"/>
        <charset val="128"/>
      </rPr>
      <t>オランダ</t>
    </r>
    <r>
      <rPr>
        <sz val="7"/>
        <rFont val="ＭＳ Ｐ明朝"/>
        <family val="1"/>
        <charset val="128"/>
      </rPr>
      <t xml:space="preserve">
Netherlands</t>
    </r>
    <phoneticPr fontId="88"/>
  </si>
  <si>
    <t>North America</t>
    <phoneticPr fontId="88"/>
  </si>
  <si>
    <t>South America</t>
    <phoneticPr fontId="88"/>
  </si>
  <si>
    <t>Africa</t>
    <phoneticPr fontId="88"/>
  </si>
  <si>
    <t>（単位：ｋｌ，アスファルト以降：ｔ／Ｕｎｉｔ：ｋｌ，from Asphalt onward is ton）</t>
  </si>
  <si>
    <t>南アフリカ
共和国
South Africa</t>
    <phoneticPr fontId="88"/>
  </si>
  <si>
    <t>Oceania</t>
    <phoneticPr fontId="88"/>
  </si>
  <si>
    <r>
      <t xml:space="preserve">パプア
ニュー
ギニア
</t>
    </r>
    <r>
      <rPr>
        <sz val="7.5"/>
        <rFont val="ＭＳ Ｐ明朝"/>
        <family val="1"/>
        <charset val="128"/>
      </rPr>
      <t>Papua 
New Guinea</t>
    </r>
    <phoneticPr fontId="88"/>
  </si>
  <si>
    <t>ヨーロッパ（つづき）</t>
  </si>
  <si>
    <t>ジェット燃料油
合計</t>
    <phoneticPr fontId="88"/>
  </si>
  <si>
    <t>Ｂ・Ｃ重油
合計</t>
    <phoneticPr fontId="88"/>
  </si>
  <si>
    <t>Fuel Oil B･C 
Total</t>
    <phoneticPr fontId="88"/>
  </si>
  <si>
    <t>パラフィン
合計</t>
    <phoneticPr fontId="88"/>
  </si>
  <si>
    <t>Paraffin Wax
 Total</t>
    <phoneticPr fontId="88"/>
  </si>
  <si>
    <t>液化石油ガス
合計</t>
    <phoneticPr fontId="88"/>
  </si>
  <si>
    <r>
      <t xml:space="preserve">東ティ
モール
</t>
    </r>
    <r>
      <rPr>
        <sz val="7"/>
        <rFont val="ＭＳ Ｐ明朝"/>
        <family val="1"/>
        <charset val="128"/>
      </rPr>
      <t>Timor-Leste</t>
    </r>
    <phoneticPr fontId="88"/>
  </si>
  <si>
    <t>P.P and P.B
 Total</t>
    <phoneticPr fontId="88"/>
  </si>
  <si>
    <t>北アメリカ（つづき）</t>
  </si>
  <si>
    <t>プエルトリコ（米）_x000D_
Puerto Rico (USA)</t>
  </si>
  <si>
    <r>
      <rPr>
        <sz val="8"/>
        <rFont val="ＭＳ Ｐ明朝"/>
        <family val="1"/>
        <charset val="128"/>
      </rPr>
      <t>モザン
ビーク</t>
    </r>
    <r>
      <rPr>
        <sz val="7"/>
        <rFont val="ＭＳ Ｐ明朝"/>
        <family val="1"/>
        <charset val="128"/>
      </rPr>
      <t xml:space="preserve">
Mozambique</t>
    </r>
    <phoneticPr fontId="88"/>
  </si>
  <si>
    <t>ニュージー
ランド
New Zealand</t>
    <phoneticPr fontId="88"/>
  </si>
  <si>
    <t>米軍及び
ボンド</t>
    <phoneticPr fontId="88"/>
  </si>
  <si>
    <t>Ａ重油（つづき）</t>
  </si>
  <si>
    <t>キルギス_x000D_
Kyrgyz</t>
  </si>
  <si>
    <r>
      <t xml:space="preserve">トルクメニ
スタン
</t>
    </r>
    <r>
      <rPr>
        <sz val="6.5"/>
        <rFont val="ＭＳ Ｐ明朝"/>
        <family val="1"/>
        <charset val="128"/>
      </rPr>
      <t>Turkmenistan</t>
    </r>
    <phoneticPr fontId="88"/>
  </si>
  <si>
    <r>
      <rPr>
        <sz val="7"/>
        <rFont val="ＭＳ Ｐ明朝"/>
        <family val="1"/>
        <charset val="128"/>
      </rPr>
      <t>アイルランド</t>
    </r>
    <r>
      <rPr>
        <sz val="8"/>
        <rFont val="ＭＳ Ｐ明朝"/>
        <family val="1"/>
        <charset val="128"/>
      </rPr>
      <t xml:space="preserve">
Ireland</t>
    </r>
    <phoneticPr fontId="88"/>
  </si>
  <si>
    <t>ドミニカ
共和国
Dominican Republic</t>
    <phoneticPr fontId="88"/>
  </si>
  <si>
    <t>ベネズエラ_x000D_
Venezuela</t>
  </si>
  <si>
    <t>令和5年</t>
  </si>
  <si>
    <r>
      <t>Total</t>
    </r>
    <r>
      <rPr>
        <sz val="8"/>
        <rFont val="ＭＳ Ｐ明朝"/>
        <family val="1"/>
        <charset val="128"/>
      </rPr>
      <t xml:space="preserve">   Jan. 2023</t>
    </r>
    <phoneticPr fontId="11"/>
  </si>
  <si>
    <r>
      <t>Total</t>
    </r>
    <r>
      <rPr>
        <sz val="8"/>
        <rFont val="ＭＳ Ｐ明朝"/>
        <family val="1"/>
        <charset val="128"/>
      </rPr>
      <t xml:space="preserve">   Feb. 2023</t>
    </r>
    <phoneticPr fontId="11"/>
  </si>
  <si>
    <r>
      <t>Total</t>
    </r>
    <r>
      <rPr>
        <sz val="8"/>
        <rFont val="ＭＳ Ｐ明朝"/>
        <family val="1"/>
        <charset val="128"/>
      </rPr>
      <t xml:space="preserve">   Mar. 2023</t>
    </r>
    <phoneticPr fontId="11"/>
  </si>
  <si>
    <r>
      <t xml:space="preserve"> </t>
    </r>
    <r>
      <rPr>
        <sz val="8"/>
        <color theme="1"/>
        <rFont val="ＭＳ Ｐ明朝"/>
        <family val="1"/>
        <charset val="128"/>
      </rPr>
      <t>10</t>
    </r>
    <phoneticPr fontId="13"/>
  </si>
  <si>
    <r>
      <t xml:space="preserve"> </t>
    </r>
    <r>
      <rPr>
        <sz val="8"/>
        <color theme="1"/>
        <rFont val="ＭＳ Ｐ明朝"/>
        <family val="1"/>
        <charset val="128"/>
      </rPr>
      <t>11</t>
    </r>
    <r>
      <rPr>
        <sz val="11"/>
        <color theme="1"/>
        <rFont val="ＭＳ Ｐゴシック"/>
        <family val="3"/>
        <charset val="128"/>
        <scheme val="minor"/>
      </rPr>
      <t/>
    </r>
  </si>
  <si>
    <r>
      <t xml:space="preserve"> </t>
    </r>
    <r>
      <rPr>
        <sz val="8"/>
        <color theme="1"/>
        <rFont val="ＭＳ Ｐ明朝"/>
        <family val="1"/>
        <charset val="128"/>
      </rPr>
      <t>12</t>
    </r>
    <r>
      <rPr>
        <sz val="11"/>
        <color theme="1"/>
        <rFont val="ＭＳ Ｐゴシック"/>
        <family val="3"/>
        <charset val="128"/>
        <scheme val="minor"/>
      </rPr>
      <t/>
    </r>
  </si>
  <si>
    <t>C.Y.     2022</t>
    <phoneticPr fontId="13"/>
  </si>
  <si>
    <t>F.Y.     2022</t>
    <phoneticPr fontId="13"/>
  </si>
  <si>
    <t>Q1      2023</t>
    <phoneticPr fontId="13"/>
  </si>
  <si>
    <t>Jan.    2023</t>
    <phoneticPr fontId="13"/>
  </si>
  <si>
    <t>Note：The source is “The oil import survey”by Agency for Natural Resources and Energy.</t>
    <phoneticPr fontId="13"/>
  </si>
  <si>
    <t>（60℉）</t>
    <phoneticPr fontId="88"/>
  </si>
  <si>
    <t>Note2：As for sign of “X”,the number of companies means two or less.Therefore,import volume does not describe the kind of the contract clearly.</t>
    <phoneticPr fontId="13"/>
  </si>
  <si>
    <t>Note1：The source is “The oil import survey”by Agency for Natural Resources and Energy.</t>
    <phoneticPr fontId="13"/>
  </si>
  <si>
    <t>Note2：As for sign of “X”,the number of companies means two or less.Therefore,import value does not describe the kind of the contract clearly.</t>
    <phoneticPr fontId="13"/>
  </si>
  <si>
    <t>（１）液化天然ガス（ＬＮＧ）輸入量、消費量、在庫量 / LNG Import,Consumption and Inventory</t>
    <rPh sb="3" eb="5">
      <t>エキカ</t>
    </rPh>
    <rPh sb="5" eb="7">
      <t>テンネン</t>
    </rPh>
    <rPh sb="18" eb="21">
      <t>ショウヒリョウ</t>
    </rPh>
    <phoneticPr fontId="34"/>
  </si>
  <si>
    <t>（単位：t／Unit:ton）</t>
    <rPh sb="1" eb="3">
      <t>タンイ</t>
    </rPh>
    <phoneticPr fontId="34"/>
  </si>
  <si>
    <t>年・月</t>
    <rPh sb="0" eb="1">
      <t>ネン</t>
    </rPh>
    <rPh sb="2" eb="3">
      <t>ツキ</t>
    </rPh>
    <phoneticPr fontId="34"/>
  </si>
  <si>
    <t>輸入量（Import）</t>
    <rPh sb="0" eb="1">
      <t>ユ</t>
    </rPh>
    <rPh sb="1" eb="2">
      <t>ニュウ</t>
    </rPh>
    <rPh sb="2" eb="3">
      <t>リョウ</t>
    </rPh>
    <phoneticPr fontId="34"/>
  </si>
  <si>
    <t>消費量（Consumption）</t>
    <rPh sb="0" eb="1">
      <t>ショウ</t>
    </rPh>
    <rPh sb="1" eb="2">
      <t>ヒ</t>
    </rPh>
    <rPh sb="2" eb="3">
      <t>リョウ</t>
    </rPh>
    <phoneticPr fontId="34"/>
  </si>
  <si>
    <t>在庫量（Inventory）</t>
    <rPh sb="0" eb="1">
      <t>ザイ</t>
    </rPh>
    <rPh sb="1" eb="2">
      <t>コ</t>
    </rPh>
    <rPh sb="2" eb="3">
      <t>リョウ</t>
    </rPh>
    <phoneticPr fontId="34"/>
  </si>
  <si>
    <t>Year 
&amp; Month</t>
    <phoneticPr fontId="34"/>
  </si>
  <si>
    <t>輸入量　※１</t>
    <rPh sb="0" eb="3">
      <t>ユニュウリョウ</t>
    </rPh>
    <phoneticPr fontId="34"/>
  </si>
  <si>
    <t>火力発電用　※２</t>
    <rPh sb="0" eb="2">
      <t>カリョク</t>
    </rPh>
    <rPh sb="2" eb="4">
      <t>ハツデン</t>
    </rPh>
    <rPh sb="4" eb="5">
      <t>ヨウ</t>
    </rPh>
    <phoneticPr fontId="34"/>
  </si>
  <si>
    <t>都市ガス事業用　※３</t>
    <rPh sb="0" eb="2">
      <t>トシ</t>
    </rPh>
    <rPh sb="4" eb="6">
      <t>ジギョウ</t>
    </rPh>
    <rPh sb="6" eb="7">
      <t>ヨウ</t>
    </rPh>
    <phoneticPr fontId="34"/>
  </si>
  <si>
    <t>液売り　※３</t>
    <rPh sb="0" eb="2">
      <t>エキウ</t>
    </rPh>
    <phoneticPr fontId="34"/>
  </si>
  <si>
    <t>月末貯蔵量　※２</t>
    <rPh sb="0" eb="2">
      <t>ゲツマツ</t>
    </rPh>
    <rPh sb="2" eb="5">
      <t>チョゾウリョウ</t>
    </rPh>
    <phoneticPr fontId="34"/>
  </si>
  <si>
    <t>月末在庫量　※３</t>
    <rPh sb="2" eb="4">
      <t>ザイコ</t>
    </rPh>
    <phoneticPr fontId="34"/>
  </si>
  <si>
    <t>貯蔵・在庫量合計</t>
    <rPh sb="0" eb="2">
      <t>チョゾウ</t>
    </rPh>
    <rPh sb="3" eb="5">
      <t>ザイコ</t>
    </rPh>
    <rPh sb="5" eb="6">
      <t>リョウ</t>
    </rPh>
    <rPh sb="6" eb="8">
      <t>ゴウケイ</t>
    </rPh>
    <phoneticPr fontId="34"/>
  </si>
  <si>
    <t>ガス事業用以外</t>
    <rPh sb="2" eb="4">
      <t>ジギョウ</t>
    </rPh>
    <rPh sb="4" eb="5">
      <t>ヨウ</t>
    </rPh>
    <rPh sb="5" eb="7">
      <t>イガイ</t>
    </rPh>
    <phoneticPr fontId="34"/>
  </si>
  <si>
    <t>電力用</t>
    <rPh sb="0" eb="3">
      <t>デンリョクヨウ</t>
    </rPh>
    <phoneticPr fontId="34"/>
  </si>
  <si>
    <t>都市ガス用</t>
    <rPh sb="0" eb="2">
      <t>トシ</t>
    </rPh>
    <rPh sb="4" eb="5">
      <t>ヨウ</t>
    </rPh>
    <phoneticPr fontId="34"/>
  </si>
  <si>
    <t>Import</t>
  </si>
  <si>
    <t>Thermal Power Generation</t>
    <phoneticPr fontId="34"/>
  </si>
  <si>
    <t>Gas Production</t>
    <phoneticPr fontId="34"/>
  </si>
  <si>
    <t>Sales in liquids</t>
  </si>
  <si>
    <t xml:space="preserve"> Inventory
Thermal Power Generation</t>
    <phoneticPr fontId="34"/>
  </si>
  <si>
    <t xml:space="preserve"> Inventory
City Gas</t>
  </si>
  <si>
    <t>Inventory
Total</t>
  </si>
  <si>
    <t xml:space="preserve">    　    　 2</t>
    <phoneticPr fontId="34"/>
  </si>
  <si>
    <t xml:space="preserve">    　    　 3</t>
    <phoneticPr fontId="34"/>
  </si>
  <si>
    <t xml:space="preserve">    　    　 4</t>
    <phoneticPr fontId="34"/>
  </si>
  <si>
    <t xml:space="preserve">    　    　 5</t>
    <phoneticPr fontId="34"/>
  </si>
  <si>
    <t xml:space="preserve">    　    　 6</t>
    <phoneticPr fontId="34"/>
  </si>
  <si>
    <t xml:space="preserve">    　    　 7</t>
    <phoneticPr fontId="34"/>
  </si>
  <si>
    <t xml:space="preserve">    　    　 8</t>
    <phoneticPr fontId="34"/>
  </si>
  <si>
    <t xml:space="preserve">    　    　 9</t>
    <phoneticPr fontId="34"/>
  </si>
  <si>
    <t xml:space="preserve">    　    　10</t>
    <phoneticPr fontId="34"/>
  </si>
  <si>
    <t xml:space="preserve">    　    　11</t>
    <phoneticPr fontId="34"/>
  </si>
  <si>
    <t xml:space="preserve">    　    　12</t>
    <phoneticPr fontId="34"/>
  </si>
  <si>
    <t>注１：※１の出典は財務省「普通貿易統計」。</t>
    <rPh sb="0" eb="1">
      <t>チュウ</t>
    </rPh>
    <rPh sb="6" eb="8">
      <t>シュッテン</t>
    </rPh>
    <rPh sb="9" eb="12">
      <t>ザイムショウ</t>
    </rPh>
    <phoneticPr fontId="34"/>
  </si>
  <si>
    <t>注２：※２の出典は資源エネルギー庁「電力調査統計」。</t>
    <rPh sb="9" eb="11">
      <t>シゲン</t>
    </rPh>
    <rPh sb="16" eb="17">
      <t>チョウ</t>
    </rPh>
    <rPh sb="18" eb="20">
      <t>デンリョク</t>
    </rPh>
    <rPh sb="20" eb="22">
      <t>チョウサ</t>
    </rPh>
    <rPh sb="22" eb="24">
      <t>トウケイ</t>
    </rPh>
    <phoneticPr fontId="34"/>
  </si>
  <si>
    <t>注３：※３の出典は資源エネルギー庁「ガス事業生産動態統計」。</t>
    <rPh sb="20" eb="22">
      <t>ジギョウ</t>
    </rPh>
    <rPh sb="22" eb="24">
      <t>セイサン</t>
    </rPh>
    <rPh sb="24" eb="26">
      <t>ドウタイ</t>
    </rPh>
    <rPh sb="26" eb="28">
      <t>トウケイ</t>
    </rPh>
    <phoneticPr fontId="34"/>
  </si>
  <si>
    <t>注４：注１から注３のすべての統計表が公表された年次分を掲載。</t>
    <rPh sb="0" eb="1">
      <t>チュウ</t>
    </rPh>
    <rPh sb="3" eb="4">
      <t>チュウ</t>
    </rPh>
    <rPh sb="7" eb="8">
      <t>チュウ</t>
    </rPh>
    <rPh sb="14" eb="17">
      <t>トウケイヒョウ</t>
    </rPh>
    <rPh sb="18" eb="20">
      <t>コウヒョウ</t>
    </rPh>
    <rPh sb="23" eb="25">
      <t>ネンジ</t>
    </rPh>
    <rPh sb="25" eb="26">
      <t>ブン</t>
    </rPh>
    <rPh sb="27" eb="29">
      <t>ケイサイ</t>
    </rPh>
    <phoneticPr fontId="34"/>
  </si>
  <si>
    <t>Note1 : ※1 The source is "Trade Statistics of Japan"by Ministry of Finance.</t>
    <phoneticPr fontId="34"/>
  </si>
  <si>
    <t>Note2 : ※2 The source is "Electric Power Investigation Statistics"by Agency for Natural Resources and Energy.</t>
    <phoneticPr fontId="34"/>
  </si>
  <si>
    <t>Note3 : ※3 The source is "Current Survey of Production Concerning Gas Industry"by Agency for Natural Resources and Energy.</t>
    <phoneticPr fontId="34"/>
  </si>
  <si>
    <t>Note4 : All statistical tables are for the year in which they were published.</t>
    <phoneticPr fontId="34"/>
  </si>
  <si>
    <t>（２）液化天然ガス（ＬＮＧ）国別、月別輸入量 / LNG Monthly Import by Country</t>
    <rPh sb="3" eb="5">
      <t>エキカ</t>
    </rPh>
    <rPh sb="5" eb="7">
      <t>テンネン</t>
    </rPh>
    <rPh sb="14" eb="16">
      <t>クニベツ</t>
    </rPh>
    <rPh sb="17" eb="19">
      <t>ツキベツ</t>
    </rPh>
    <rPh sb="19" eb="22">
      <t>ユニュウリョウ</t>
    </rPh>
    <phoneticPr fontId="34"/>
  </si>
  <si>
    <t>合計</t>
    <rPh sb="0" eb="2">
      <t>ゴウケイ</t>
    </rPh>
    <phoneticPr fontId="34"/>
  </si>
  <si>
    <t>中華人民共和国</t>
  </si>
  <si>
    <t>Total</t>
    <phoneticPr fontId="34"/>
  </si>
  <si>
    <t>People's Republic
 of China</t>
    <phoneticPr fontId="34"/>
  </si>
  <si>
    <t xml:space="preserve">    　    　 2</t>
  </si>
  <si>
    <t xml:space="preserve">    　    　 3</t>
  </si>
  <si>
    <t xml:space="preserve">    　    　 4</t>
  </si>
  <si>
    <t xml:space="preserve">    　    　 5</t>
  </si>
  <si>
    <t xml:space="preserve">    　    　 6</t>
  </si>
  <si>
    <t xml:space="preserve">    　    　 7</t>
  </si>
  <si>
    <t xml:space="preserve">    　    　 8</t>
  </si>
  <si>
    <t xml:space="preserve">    　    　 9</t>
  </si>
  <si>
    <t xml:space="preserve">    　    　10</t>
  </si>
  <si>
    <t xml:space="preserve">    　    　11</t>
  </si>
  <si>
    <t xml:space="preserve">    　    　12</t>
  </si>
  <si>
    <t>アメリカ合衆国</t>
    <phoneticPr fontId="34"/>
  </si>
  <si>
    <t>トリニダード・トバゴ</t>
  </si>
  <si>
    <t>ペルー</t>
  </si>
  <si>
    <t>United Arab
 Emirates</t>
    <phoneticPr fontId="34"/>
  </si>
  <si>
    <t>United States 
of America</t>
    <phoneticPr fontId="34"/>
  </si>
  <si>
    <t>Trinidad and
 Tobago</t>
    <phoneticPr fontId="34"/>
  </si>
  <si>
    <t>Peru</t>
  </si>
  <si>
    <t>エジプト</t>
  </si>
  <si>
    <t>ナイジェリア</t>
  </si>
  <si>
    <t>赤道ギニア</t>
  </si>
  <si>
    <t>パプアニューギニア</t>
  </si>
  <si>
    <t>Egypt</t>
  </si>
  <si>
    <t>Nigeria</t>
  </si>
  <si>
    <t>EQ Guinea</t>
    <phoneticPr fontId="34"/>
  </si>
  <si>
    <t>Papua New Guinea</t>
  </si>
  <si>
    <t>注：出典は「普通貿易統計」。</t>
    <rPh sb="0" eb="1">
      <t>チュウ</t>
    </rPh>
    <rPh sb="2" eb="4">
      <t>シュッテン</t>
    </rPh>
    <phoneticPr fontId="34"/>
  </si>
  <si>
    <t>４．液化天然ガス（ＬＮＧ）輸入量、消費量、在庫量 / LNG Import,Consumption and Inventory</t>
    <rPh sb="2" eb="4">
      <t>エキカ</t>
    </rPh>
    <rPh sb="4" eb="6">
      <t>テンネン</t>
    </rPh>
    <rPh sb="13" eb="16">
      <t>ユニュウリョウ</t>
    </rPh>
    <rPh sb="17" eb="20">
      <t>ショウヒリョウ</t>
    </rPh>
    <rPh sb="21" eb="23">
      <t>ザイコ</t>
    </rPh>
    <rPh sb="23" eb="24">
      <t>リョウ</t>
    </rPh>
    <phoneticPr fontId="34"/>
  </si>
  <si>
    <t>令和5年資源・エネルギー統計年報</t>
    <rPh sb="0" eb="2">
      <t>レイワ</t>
    </rPh>
    <rPh sb="4" eb="6">
      <t>シゲン</t>
    </rPh>
    <rPh sb="12" eb="14">
      <t>トウケイ</t>
    </rPh>
    <rPh sb="14" eb="16">
      <t>ネンポウ</t>
    </rPh>
    <phoneticPr fontId="13"/>
  </si>
  <si>
    <t>　①令和5年 / (C.Y.2023)</t>
    <rPh sb="2" eb="4">
      <t>レイワ</t>
    </rPh>
    <phoneticPr fontId="13"/>
  </si>
  <si>
    <t>　②令和5年度 / (F.Y.2023)</t>
    <rPh sb="2" eb="4">
      <t>レイワ</t>
    </rPh>
    <phoneticPr fontId="13"/>
  </si>
  <si>
    <t>　①令和5年 / (C.Y.2023)</t>
    <phoneticPr fontId="13"/>
  </si>
  <si>
    <t>　②令和5年度 / (F.Y.2023)</t>
    <phoneticPr fontId="13"/>
  </si>
  <si>
    <t>（３）原油国別、契約期間別輸入、平均ＡＰＩ度及び平均硫黄分（令和5年） /Import of Crude Oil, Average API gravity and Average Sulfur by Country and Contract(C.Y.2023)</t>
    <rPh sb="3" eb="5">
      <t>ゲンユ</t>
    </rPh>
    <rPh sb="21" eb="22">
      <t>ド</t>
    </rPh>
    <phoneticPr fontId="13"/>
  </si>
  <si>
    <t>（４）原油国別、契約期間別輸入、平均ＡＰＩ度及び平均硫黄分（令和5年度） / Import of Crude Oil, Average API gravity and Average Sulfur by Country and Contract(F.Y.2023)</t>
    <rPh sb="21" eb="22">
      <t>ド</t>
    </rPh>
    <phoneticPr fontId="13"/>
  </si>
  <si>
    <t>（５）原油国別、契約期間別、ＣＩＦ総額（令和5年） / Import of Crude Oil Value(CIF) by Country and Contract(C.Y.2023)</t>
    <phoneticPr fontId="13"/>
  </si>
  <si>
    <t>（６）原油国別、契約期間別、ＣＩＦ総額（令和5年度） / Import of  Crude Oil Value(CIF) by Country and Contract(Ｆ.Y.2023)</t>
    <phoneticPr fontId="13"/>
  </si>
  <si>
    <t>（７）原油国別船積数量、FOB、運賃総額及び保険料総額（令和5年） / Import of Crude Oil, Shipped Quantity,FOB,Freight and Insurance by Country (C.Y.2023)</t>
    <rPh sb="3" eb="5">
      <t>ゲンユ</t>
    </rPh>
    <phoneticPr fontId="13"/>
  </si>
  <si>
    <t>（８）原油国別船積数量、FOB、運賃総額及び保険料総額（令和5年度） /Import of Crude Oil, Shipped Quantity,FOB,Freight and Insurance by Country (F.Y.2023)</t>
    <rPh sb="3" eb="5">
      <t>ゲンユ</t>
    </rPh>
    <phoneticPr fontId="13"/>
  </si>
  <si>
    <t>令和  1 年</t>
    <rPh sb="0" eb="2">
      <t>レイワ</t>
    </rPh>
    <phoneticPr fontId="34"/>
  </si>
  <si>
    <t xml:space="preserve">― </t>
  </si>
  <si>
    <t xml:space="preserve">　　　5 </t>
    <phoneticPr fontId="34"/>
  </si>
  <si>
    <t>C.Y. 2023</t>
  </si>
  <si>
    <t>令和  4 年度</t>
    <phoneticPr fontId="34"/>
  </si>
  <si>
    <t xml:space="preserve">      5　　 </t>
    <phoneticPr fontId="34"/>
  </si>
  <si>
    <t>F.Y. 2023</t>
  </si>
  <si>
    <t>令和  5 年 1～ 3 月</t>
    <rPh sb="0" eb="2">
      <t>レイワ</t>
    </rPh>
    <rPh sb="6" eb="7">
      <t>ネン</t>
    </rPh>
    <rPh sb="13" eb="14">
      <t>ツキ</t>
    </rPh>
    <phoneticPr fontId="34"/>
  </si>
  <si>
    <t>令和  6 年 1～ 3</t>
    <phoneticPr fontId="34"/>
  </si>
  <si>
    <t>Q1  2024</t>
  </si>
  <si>
    <t xml:space="preserve">令和  5 年   1 月　 </t>
    <phoneticPr fontId="34"/>
  </si>
  <si>
    <t xml:space="preserve">令和  6 年   1　 </t>
    <phoneticPr fontId="34"/>
  </si>
  <si>
    <t>Jan. 2024</t>
  </si>
  <si>
    <t>ｼｰﾋﾟｰｼｰ･
ﾌﾞﾚﾝﾄﾞ</t>
    <phoneticPr fontId="88"/>
  </si>
  <si>
    <t>ﾀｲﾗﾝﾄﾞ･
ﾌｭｰｴﾙ･ｵｲﾙ</t>
    <phoneticPr fontId="88"/>
  </si>
  <si>
    <t>ﾏﾚｰｼｱ･
ｽﾄﾚｰﾄ･ﾗﾝ･
ﾌｭｰｴﾙ･ｵｲﾙ</t>
    <phoneticPr fontId="88"/>
  </si>
  <si>
    <t>ﾌﾞﾚﾝﾃﾞﾄﾞ･
ﾌｭｰｴﾙ･ｵｲﾙ</t>
    <phoneticPr fontId="88"/>
  </si>
  <si>
    <t>ｷｹｰ</t>
  </si>
  <si>
    <t>ｲﾗﾝ（つづき）</t>
  </si>
  <si>
    <t>ﾌｫﾛｰｻﾞﾝ･
ﾌﾞﾚﾝﾄﾞ</t>
    <phoneticPr fontId="88"/>
  </si>
  <si>
    <t>ｻｳｽ･ﾊﾟｰｽ･
ｺﾝﾃﾞﾝｾｰﾄ</t>
    <phoneticPr fontId="88"/>
  </si>
  <si>
    <t>ﾊﾞﾉｺ･
ｱﾗﾌﾞ･ﾐﾃﾞｨｱﾑ</t>
    <phoneticPr fontId="88"/>
  </si>
  <si>
    <t>ｱﾗﾋﾞｱﾝ･
ﾐﾃﾞｨｱﾑ</t>
    <phoneticPr fontId="88"/>
  </si>
  <si>
    <t>ｱﾗﾋﾞｱﾝ･
ｴｷｽﾄﾗ･ﾗｲﾄ</t>
    <phoneticPr fontId="88"/>
  </si>
  <si>
    <t>ｱﾗﾋﾞｱﾝ･
ｽｰﾊﾟｰ･ﾗｲﾄ</t>
    <phoneticPr fontId="88"/>
  </si>
  <si>
    <t>ｸｳｪｰﾄ（つづき）</t>
  </si>
  <si>
    <t>ｸｳｪｰﾄ･
ｽｰﾊﾟｰ･ﾗｲﾄ･
ｸﾙｰﾄﾞ</t>
    <phoneticPr fontId="88"/>
  </si>
  <si>
    <t>ﾛｰｻﾙﾌｧｰ･
ｺﾝﾃﾞﾝｾｰﾄ</t>
    <phoneticPr fontId="88"/>
  </si>
  <si>
    <t>ﾃﾞｵﾄﾞﾗｲｽﾞﾄﾞ･
ﾌｨｰﾙﾄﾞ･
ｺﾝﾃﾞﾝｾｰﾄ</t>
    <phoneticPr fontId="88"/>
  </si>
  <si>
    <t>ｱﾗﾌﾞ首長国連邦（つづき）</t>
  </si>
  <si>
    <r>
      <t xml:space="preserve">英国
</t>
    </r>
    <r>
      <rPr>
        <sz val="6"/>
        <rFont val="ＭＳ Ｐ明朝"/>
        <family val="1"/>
        <charset val="128"/>
      </rPr>
      <t>United Kingdom</t>
    </r>
    <phoneticPr fontId="88"/>
  </si>
  <si>
    <t>北米（つづき）</t>
  </si>
  <si>
    <t>ｱﾒﾘｶ合衆国（つづき）</t>
  </si>
  <si>
    <t>ｺﾛﾝﾋﾞｱ計</t>
  </si>
  <si>
    <t>WTL(ｳｴｽﾄ･
ﾃｷｻｽ･ﾗｲﾄ)
ｸﾙｰﾄﾞ</t>
    <phoneticPr fontId="88"/>
  </si>
  <si>
    <t>ﾕﾃｨｶ･
ｺﾝﾃﾞﾝｾｰﾄ</t>
    <phoneticPr fontId="88"/>
  </si>
  <si>
    <t>ﾏﾚｽ･ﾌﾞﾚﾝﾄﾞ</t>
  </si>
  <si>
    <t>ｱﾝｺﾞﾗ_x000D_
Angola</t>
  </si>
  <si>
    <t>ﾉｰｽｳｴｽﾄ･
ｼｪﾙﾌ･
ｺﾝﾃﾞﾝｾｰﾄ</t>
    <phoneticPr fontId="88"/>
  </si>
  <si>
    <t>ｺｻｯｸ</t>
  </si>
  <si>
    <t>ｲｸｼｽ･ﾌｨｰﾙﾄﾞ･
ｺﾝﾃﾞﾝｾｰﾄ</t>
    <phoneticPr fontId="88"/>
  </si>
  <si>
    <t>ｸﾘﾌ･ﾍｯﾄﾞ</t>
  </si>
  <si>
    <t>ﾊﾟﾌﾟｱ･
ｽﾄﾚｰﾄ･ﾗﾝ･
ﾌｭｰｴﾙ･ｵｲﾙ</t>
    <phoneticPr fontId="88"/>
  </si>
  <si>
    <t>ｵｰｽﾄﾗﾘｱ_x000D_
Australia</t>
  </si>
  <si>
    <t>―</t>
  </si>
  <si>
    <t>C.Y. 2023</t>
    <phoneticPr fontId="88"/>
  </si>
  <si>
    <t>4年度</t>
  </si>
  <si>
    <t>F.Y. 2023</t>
    <phoneticPr fontId="88"/>
  </si>
  <si>
    <t>6年</t>
  </si>
  <si>
    <t>Q1  2024</t>
    <phoneticPr fontId="88"/>
  </si>
  <si>
    <t>Jan. 2024</t>
    <phoneticPr fontId="88"/>
  </si>
  <si>
    <t xml:space="preserve">  1～ 3</t>
    <phoneticPr fontId="88"/>
  </si>
  <si>
    <t xml:space="preserve">  1</t>
    <phoneticPr fontId="88"/>
  </si>
  <si>
    <t>　①令和5年 / (C.Y.2023)</t>
    <phoneticPr fontId="11"/>
  </si>
  <si>
    <t>Note 3: The aggregation method for Lubricating Oil has been revised from April 2022.</t>
  </si>
  <si>
    <t>　②令和5年度 / (F.Y.2023)</t>
    <phoneticPr fontId="11"/>
  </si>
  <si>
    <t>Note 2 :The aggregation method for Lubricating Oil has been revised from April 2022.</t>
    <phoneticPr fontId="11"/>
  </si>
  <si>
    <t>5</t>
  </si>
  <si>
    <t>ヨーロッパ
（つづき）</t>
    <phoneticPr fontId="88"/>
  </si>
  <si>
    <t>Paraffin Wax 
Total</t>
    <phoneticPr fontId="88"/>
  </si>
  <si>
    <t>ベルギー
Belgium</t>
    <phoneticPr fontId="88"/>
  </si>
  <si>
    <t>スイス_x000D_
Switzerland</t>
  </si>
  <si>
    <t>P.P and P.B 
Total</t>
    <phoneticPr fontId="88"/>
  </si>
  <si>
    <t>プロパン（つづき）</t>
  </si>
  <si>
    <t>ブタン（つづき）</t>
  </si>
  <si>
    <t>北アメリカ
（つづき）</t>
    <phoneticPr fontId="88"/>
  </si>
  <si>
    <t>北マリアナ
諸島（米）
Northern 
Mariana 
Islands (USA)</t>
    <phoneticPr fontId="88"/>
  </si>
  <si>
    <r>
      <rPr>
        <sz val="7"/>
        <rFont val="ＭＳ Ｐ明朝"/>
        <family val="1"/>
        <charset val="128"/>
      </rPr>
      <t>カザフスタン</t>
    </r>
    <r>
      <rPr>
        <sz val="8"/>
        <rFont val="ＭＳ Ｐ明朝"/>
        <family val="1"/>
        <charset val="128"/>
      </rPr>
      <t xml:space="preserve">
Kazakhstan</t>
    </r>
    <phoneticPr fontId="88"/>
  </si>
  <si>
    <t>タンザニア_x000D_
Tanzania</t>
  </si>
  <si>
    <r>
      <t>Total</t>
    </r>
    <r>
      <rPr>
        <sz val="8"/>
        <rFont val="ＭＳ Ｐ明朝"/>
        <family val="1"/>
        <charset val="128"/>
      </rPr>
      <t xml:space="preserve">   Apr. 2023</t>
    </r>
    <phoneticPr fontId="11"/>
  </si>
  <si>
    <r>
      <t>Total</t>
    </r>
    <r>
      <rPr>
        <sz val="8"/>
        <rFont val="ＭＳ Ｐ明朝"/>
        <family val="1"/>
        <charset val="128"/>
      </rPr>
      <t xml:space="preserve">   May  2023</t>
    </r>
    <phoneticPr fontId="11"/>
  </si>
  <si>
    <r>
      <t>Total</t>
    </r>
    <r>
      <rPr>
        <sz val="8"/>
        <rFont val="ＭＳ Ｐ明朝"/>
        <family val="1"/>
        <charset val="128"/>
      </rPr>
      <t xml:space="preserve">   Jun. 2023</t>
    </r>
    <phoneticPr fontId="11"/>
  </si>
  <si>
    <r>
      <t>Total</t>
    </r>
    <r>
      <rPr>
        <sz val="8"/>
        <rFont val="ＭＳ Ｐ明朝"/>
        <family val="1"/>
        <charset val="128"/>
      </rPr>
      <t xml:space="preserve">   Jul. 2023</t>
    </r>
    <phoneticPr fontId="11"/>
  </si>
  <si>
    <r>
      <t>Total</t>
    </r>
    <r>
      <rPr>
        <sz val="8"/>
        <rFont val="ＭＳ Ｐ明朝"/>
        <family val="1"/>
        <charset val="128"/>
      </rPr>
      <t xml:space="preserve">   Aug. 2023</t>
    </r>
    <phoneticPr fontId="11"/>
  </si>
  <si>
    <r>
      <t>Total</t>
    </r>
    <r>
      <rPr>
        <sz val="8"/>
        <rFont val="ＭＳ Ｐ明朝"/>
        <family val="1"/>
        <charset val="128"/>
      </rPr>
      <t xml:space="preserve">   Sep. 2023</t>
    </r>
    <phoneticPr fontId="11"/>
  </si>
  <si>
    <r>
      <t>Total</t>
    </r>
    <r>
      <rPr>
        <sz val="8"/>
        <rFont val="ＭＳ Ｐ明朝"/>
        <family val="1"/>
        <charset val="128"/>
      </rPr>
      <t xml:space="preserve">   Oct. 2023</t>
    </r>
    <phoneticPr fontId="11"/>
  </si>
  <si>
    <r>
      <t>Total</t>
    </r>
    <r>
      <rPr>
        <sz val="8"/>
        <rFont val="ＭＳ Ｐ明朝"/>
        <family val="1"/>
        <charset val="128"/>
      </rPr>
      <t xml:space="preserve">   Nov. 2023</t>
    </r>
    <phoneticPr fontId="11"/>
  </si>
  <si>
    <r>
      <t>Total</t>
    </r>
    <r>
      <rPr>
        <sz val="8"/>
        <rFont val="ＭＳ Ｐ明朝"/>
        <family val="1"/>
        <charset val="128"/>
      </rPr>
      <t xml:space="preserve">   Dec. 2023</t>
    </r>
    <phoneticPr fontId="11"/>
  </si>
  <si>
    <t>令和6年</t>
  </si>
  <si>
    <r>
      <t>Total</t>
    </r>
    <r>
      <rPr>
        <sz val="8"/>
        <rFont val="ＭＳ Ｐ明朝"/>
        <family val="1"/>
        <charset val="128"/>
      </rPr>
      <t xml:space="preserve">   Jan. 2024</t>
    </r>
    <phoneticPr fontId="11"/>
  </si>
  <si>
    <r>
      <t>Total</t>
    </r>
    <r>
      <rPr>
        <sz val="8"/>
        <rFont val="ＭＳ Ｐ明朝"/>
        <family val="1"/>
        <charset val="128"/>
      </rPr>
      <t xml:space="preserve">   Feb. 2024</t>
    </r>
    <phoneticPr fontId="11"/>
  </si>
  <si>
    <r>
      <t>Total</t>
    </r>
    <r>
      <rPr>
        <sz val="8"/>
        <rFont val="ＭＳ Ｐ明朝"/>
        <family val="1"/>
        <charset val="128"/>
      </rPr>
      <t xml:space="preserve">   Mar. 2024</t>
    </r>
    <phoneticPr fontId="11"/>
  </si>
  <si>
    <t>Oil</t>
    <phoneticPr fontId="75"/>
  </si>
  <si>
    <t xml:space="preserve">令和 5年   1月　 </t>
    <rPh sb="0" eb="2">
      <t>レイワ</t>
    </rPh>
    <phoneticPr fontId="34"/>
  </si>
  <si>
    <t>令和  6年  1</t>
    <phoneticPr fontId="34"/>
  </si>
  <si>
    <t>３．原油契約期間別、供給者区分別、国別輸入 / Import of Crude Oil by Contract,Supplier and Country</t>
    <phoneticPr fontId="13"/>
  </si>
  <si>
    <t>輸入量(kl)                                                                       Import of Crude Oil ( kl )</t>
    <phoneticPr fontId="13"/>
  </si>
  <si>
    <t>令和1年</t>
  </si>
  <si>
    <t>令和2</t>
    <phoneticPr fontId="88"/>
  </si>
  <si>
    <t>令和3</t>
    <phoneticPr fontId="88"/>
  </si>
  <si>
    <t>令和4</t>
    <phoneticPr fontId="88"/>
  </si>
  <si>
    <t>令和5</t>
    <phoneticPr fontId="88"/>
  </si>
  <si>
    <t>C.Y.     2023</t>
    <phoneticPr fontId="13"/>
  </si>
  <si>
    <t>令和4年度</t>
  </si>
  <si>
    <t>F.Y.     2023</t>
    <phoneticPr fontId="13"/>
  </si>
  <si>
    <t>令和 5年 1～ 3月</t>
    <rPh sb="0" eb="1">
      <t>レイワ</t>
    </rPh>
    <phoneticPr fontId="34"/>
  </si>
  <si>
    <t>Q1     2023</t>
    <phoneticPr fontId="13"/>
  </si>
  <si>
    <t>令和 6年 1～ 3</t>
    <phoneticPr fontId="34"/>
  </si>
  <si>
    <t>Q1      2024</t>
    <phoneticPr fontId="13"/>
  </si>
  <si>
    <t>令和5年 1月</t>
  </si>
  <si>
    <t>令和6年  1</t>
    <phoneticPr fontId="88"/>
  </si>
  <si>
    <t>Jan.    2024</t>
    <phoneticPr fontId="13"/>
  </si>
  <si>
    <t xml:space="preserve">（３）原油国別、契約期間別輸入、平均API度及び平均硫黄分（令和5年） / </t>
    <phoneticPr fontId="13"/>
  </si>
  <si>
    <t>　　　 Import of Crude Oil, Average API gravity and Average Sulfur by Country and Contract(C.Y.2023)</t>
    <phoneticPr fontId="13"/>
  </si>
  <si>
    <t xml:space="preserve">輸入量(kl)   Import of Crude Oil (kl) </t>
    <phoneticPr fontId="13"/>
  </si>
  <si>
    <t>注3：「その他」は、輸入実績が2社以下の国。令和5年の内訳は、ベトナム、マレーシア、ブルネイ、インドネシア、中立地帯、ロシア、メキシコ、</t>
    <phoneticPr fontId="64"/>
  </si>
  <si>
    <t>　　　　コロンビア、スーダン。</t>
    <phoneticPr fontId="13"/>
  </si>
  <si>
    <t>Note3：Others include Viet Nam,Malaysia,Brunei,Indonesia,Neutral Zone,Russia,Mexico,Colombia and Sudan.</t>
    <phoneticPr fontId="13"/>
  </si>
  <si>
    <t xml:space="preserve">（４）原油国別、契約期間別輸入、平均ＡＰＩ度及び平均硫黄分（令和5年度） / </t>
    <rPh sb="3" eb="5">
      <t>ゲンユ</t>
    </rPh>
    <phoneticPr fontId="13"/>
  </si>
  <si>
    <t>注3：「その他」は、輸入実績が2社以下の国。令和5年度の内訳は、マレーシア、ブルネイ、インドネシア、バーレーン、中立地帯、メキシコ、コロンビア、</t>
    <phoneticPr fontId="64"/>
  </si>
  <si>
    <t>　　　　スーダン。</t>
    <phoneticPr fontId="13"/>
  </si>
  <si>
    <t>Note3：Others include Malaysia,Brunei,Indonesia,Bahrain,Neutral Zone,Mexico,Colombia and Sudan.</t>
    <phoneticPr fontId="13"/>
  </si>
  <si>
    <t>（６）原油国別、契約期間別、ＣＩＦ総額（令和5年度） / Import of Crude Oil Value(CIF) by Country and Contract(F.Y.2023)</t>
    <phoneticPr fontId="13"/>
  </si>
  <si>
    <t xml:space="preserve">（７）原油国別船積数量、FOB、運賃総額及び保険料総額（令和5年） / </t>
    <phoneticPr fontId="13"/>
  </si>
  <si>
    <t>　　　Import of Crude Oil, Shipped Quantity,FOB,Freight and Insurance by Country (C.Y.2023)</t>
    <phoneticPr fontId="13"/>
  </si>
  <si>
    <t>注2：「その他」は、輸入実績が2社以下の国。令和5年の内訳は、ベトナム、マレーシア、ブルネイ、インドネシア、中立地帯、ロシア、メキシコ、</t>
    <phoneticPr fontId="64"/>
  </si>
  <si>
    <t>Note2：Others include Viet Nam,Malaysia,Brunei,Indonesia,Neutral Zone,Russia,Mexico,Colombia and Sudan.</t>
    <phoneticPr fontId="13"/>
  </si>
  <si>
    <t xml:space="preserve">（８）原油国別船積数量、FOB、運賃総額及び保険料総額（令和5年度） / </t>
    <phoneticPr fontId="13"/>
  </si>
  <si>
    <t>　　　 Import of Crude Oil, Shipped Quantity,FOB,Freight and Insurance by Country (F.Y.2023)</t>
    <phoneticPr fontId="13"/>
  </si>
  <si>
    <t>注2：「その他」は、輸入実績が2社以下の国。令和5年度の内訳は、マレーシア、ブルネイ、インドネシア、バーレーン、中立地帯、メキシコ、コロンビア、</t>
    <phoneticPr fontId="64"/>
  </si>
  <si>
    <t>Note2：Others include Malaysia,Brunei,Indonesia,Bahrain,Neutral Zone,Mexico,Colombia and Sudan.</t>
    <phoneticPr fontId="13"/>
  </si>
  <si>
    <t>令和５年</t>
    <rPh sb="0" eb="2">
      <t>レイワ</t>
    </rPh>
    <rPh sb="3" eb="4">
      <t>ネン</t>
    </rPh>
    <phoneticPr fontId="34"/>
  </si>
  <si>
    <t>C.Y. 2023</t>
    <phoneticPr fontId="34"/>
  </si>
  <si>
    <t>令和５年  1 月</t>
    <phoneticPr fontId="34"/>
  </si>
  <si>
    <t>Jan. 2023</t>
    <phoneticPr fontId="34"/>
  </si>
  <si>
    <t>大韓民国</t>
    <rPh sb="0" eb="4">
      <t>ダイカンミンコク</t>
    </rPh>
    <phoneticPr fontId="34"/>
  </si>
  <si>
    <t>Republic of 
Korea</t>
    <phoneticPr fontId="34"/>
  </si>
  <si>
    <t>Jan. 2023</t>
    <phoneticPr fontId="13"/>
  </si>
  <si>
    <t>トルコ</t>
    <phoneticPr fontId="34"/>
  </si>
  <si>
    <t>Turkey</t>
    <phoneticPr fontId="34"/>
  </si>
  <si>
    <t>モザンビーク</t>
    <phoneticPr fontId="34"/>
  </si>
  <si>
    <t>Mozambique</t>
    <phoneticPr fontId="34"/>
  </si>
  <si>
    <t>Note : The source is "Trade Statistics of Japan"by Ministry of Finance.</t>
    <phoneticPr fontId="34"/>
  </si>
  <si>
    <t>年度初在庫計</t>
    <rPh sb="1" eb="2">
      <t>ド</t>
    </rPh>
    <phoneticPr fontId="33"/>
  </si>
  <si>
    <t>年度末在庫計</t>
    <rPh sb="1" eb="2">
      <t>ド</t>
    </rPh>
    <phoneticPr fontId="33"/>
  </si>
  <si>
    <t>年初在庫</t>
    <phoneticPr fontId="21"/>
  </si>
  <si>
    <t>年末在庫</t>
    <phoneticPr fontId="21"/>
  </si>
  <si>
    <t>年度初在庫　　</t>
    <rPh sb="1" eb="2">
      <t>ド</t>
    </rPh>
    <phoneticPr fontId="21"/>
  </si>
  <si>
    <t>年度末在庫</t>
    <rPh sb="1" eb="2">
      <t>ド</t>
    </rPh>
    <phoneticPr fontId="21"/>
  </si>
  <si>
    <t>　　　Import of Crude Oil, Average API gravity and Average Sulfur by Country and Contract(F.Y.2023)</t>
    <phoneticPr fontId="13"/>
  </si>
  <si>
    <t>（１）原油契約期間別、月別輸入、ＣＩＦ総額、平均API度及び平均硫黄分 /</t>
    <rPh sb="11" eb="13">
      <t>ツキベツ</t>
    </rPh>
    <rPh sb="13" eb="15">
      <t>ユニュウ</t>
    </rPh>
    <rPh sb="19" eb="21">
      <t>ソウガク</t>
    </rPh>
    <phoneticPr fontId="13"/>
  </si>
  <si>
    <t>（60℉）</t>
    <phoneticPr fontId="33"/>
  </si>
  <si>
    <t>（２）原油供給者区分別、月別輸入 / Import of Crude Oil by Month and Supplier</t>
    <phoneticPr fontId="13"/>
  </si>
  <si>
    <t>（４）石油製品の輸出入 / Import and Export of Petroleum Products</t>
    <phoneticPr fontId="64"/>
  </si>
  <si>
    <t>（４）石油製品の輸出入 / Import and Export of Petroleum Products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</si>
</sst>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6" formatCode="&quot;¥&quot;#,##0;[Red]&quot;¥&quot;\-#,##0"/>
    <numFmt numFmtId="176" formatCode="mmm\."/>
    <numFmt numFmtId="177" formatCode="#,##0;&quot;▲ &quot;#,##0;#.##0;* @"/>
    <numFmt numFmtId="178" formatCode="mmm\.\ yyyy"/>
    <numFmt numFmtId="179" formatCode="&quot;Q1&quot;\ \ yyyy"/>
    <numFmt numFmtId="180" formatCode="&quot;Q4&quot;\ \ "/>
    <numFmt numFmtId="181" formatCode="&quot;Q3&quot;\ \ "/>
    <numFmt numFmtId="182" formatCode="&quot;Q2&quot;\ \ "/>
    <numFmt numFmtId="183" formatCode="&quot;F.Y.&quot;\ yyyy"/>
    <numFmt numFmtId="184" formatCode="&quot;C.Y.&quot;\ yyyy"/>
    <numFmt numFmtId="185" formatCode="#,##0;[Red]#,##0"/>
    <numFmt numFmtId="186" formatCode="\(#,##0\)"/>
    <numFmt numFmtId="187" formatCode="&quot;r&quot;\ #,##0;&quot;*&quot;&quot;*&quot;\ \ \ \ \ \ \ \ \ \ \ \ \ &quot;▲ &quot;#,##0"/>
    <numFmt numFmtId="188" formatCode="0_);[Red]\(0\)"/>
    <numFmt numFmtId="189" formatCode="mmm"/>
    <numFmt numFmtId="190" formatCode="m&quot;月&quot;"/>
    <numFmt numFmtId="191" formatCode="ggge&quot;年&quot;"/>
    <numFmt numFmtId="192" formatCode="#,##0,"/>
    <numFmt numFmtId="193" formatCode="0.00_ "/>
    <numFmt numFmtId="194" formatCode="#,##0_ ;[Red]\-#,##0\ "/>
    <numFmt numFmtId="195" formatCode="0.0_ "/>
    <numFmt numFmtId="196" formatCode="0.00;[Red]0.00"/>
    <numFmt numFmtId="197" formatCode="0.0;[Red]0.0"/>
    <numFmt numFmtId="198" formatCode="0.00000_ "/>
    <numFmt numFmtId="199" formatCode="#,##0.0;[Red]\-#,##0.0"/>
    <numFmt numFmtId="200" formatCode="#,##0;&quot;▲&quot;#.##0;#.##0;* @"/>
    <numFmt numFmtId="201" formatCode="#,##0.00;&quot;▲&quot;#.##000;#.##000;* @"/>
    <numFmt numFmtId="202" formatCode="#,##0_ "/>
    <numFmt numFmtId="203" formatCode="&quot;r&quot;\ \ \ #,##0;&quot;*&quot;&quot;*&quot;\ \ \ \ \ \ \ \ \ \ \ \ \ &quot;▲ &quot;#,##0"/>
    <numFmt numFmtId="204" formatCode="e&quot;年&quot;m&quot;月&quot;"/>
    <numFmt numFmtId="205" formatCode="0.00_);[Red]\(0.00\)"/>
  </numFmts>
  <fonts count="100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Arial"/>
      <family val="2"/>
    </font>
    <font>
      <sz val="6"/>
      <name val="ＭＳ Ｐゴシック"/>
      <family val="3"/>
      <charset val="128"/>
    </font>
    <font>
      <sz val="20"/>
      <name val="ＭＳ 明朝"/>
      <family val="1"/>
      <charset val="128"/>
    </font>
    <font>
      <sz val="10"/>
      <name val="ＭＳ Ｐゴシック"/>
      <family val="3"/>
      <charset val="128"/>
    </font>
    <font>
      <sz val="20"/>
      <name val="ＭＳ Ｐゴシック"/>
      <family val="3"/>
      <charset val="128"/>
    </font>
    <font>
      <sz val="20"/>
      <name val="ＭＳ ゴシック"/>
      <family val="3"/>
      <charset val="128"/>
    </font>
    <font>
      <sz val="8"/>
      <name val="ＭＳ Ｐ明朝"/>
      <family val="1"/>
      <charset val="128"/>
    </font>
    <font>
      <sz val="8"/>
      <name val="ＭＳ 明朝"/>
      <family val="1"/>
      <charset val="128"/>
    </font>
    <font>
      <sz val="7"/>
      <name val="ＭＳ Ｐ明朝"/>
      <family val="1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u/>
      <sz val="9"/>
      <color theme="10"/>
      <name val="ＭＳ Ｐゴシック"/>
      <family val="3"/>
      <charset val="128"/>
    </font>
    <font>
      <sz val="11"/>
      <color theme="8" tint="-0.249977111117893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u/>
      <sz val="12"/>
      <color theme="10"/>
      <name val="ＭＳ Ｐゴシック"/>
      <family val="3"/>
      <charset val="128"/>
    </font>
    <font>
      <u/>
      <sz val="12"/>
      <color theme="1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  <scheme val="minor"/>
    </font>
    <font>
      <b/>
      <sz val="26"/>
      <color rgb="FF130AC2"/>
      <name val="ＭＳ Ｐゴシック"/>
      <family val="3"/>
      <charset val="128"/>
      <scheme val="minor"/>
    </font>
    <font>
      <sz val="11"/>
      <color rgb="FF130AC2"/>
      <name val="ＭＳ Ｐゴシック"/>
      <family val="3"/>
      <charset val="128"/>
      <scheme val="minor"/>
    </font>
    <font>
      <b/>
      <sz val="12"/>
      <color rgb="FF00B0F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20"/>
      <name val="ＭＳ 明朝"/>
      <family val="1"/>
      <charset val="128"/>
    </font>
    <font>
      <sz val="11"/>
      <color indexed="8"/>
      <name val="ＭＳ Ｐ明朝"/>
      <family val="1"/>
      <charset val="128"/>
    </font>
    <font>
      <sz val="7"/>
      <color indexed="8"/>
      <name val="ＭＳ Ｐ明朝"/>
      <family val="1"/>
      <charset val="128"/>
    </font>
    <font>
      <sz val="8"/>
      <color indexed="8"/>
      <name val="ＭＳ Ｐ明朝"/>
      <family val="1"/>
      <charset val="128"/>
    </font>
    <font>
      <sz val="7.5"/>
      <color indexed="8"/>
      <name val="ＭＳ Ｐ明朝"/>
      <family val="1"/>
      <charset val="128"/>
    </font>
    <font>
      <sz val="7.1"/>
      <color indexed="8"/>
      <name val="ＭＳ Ｐ明朝"/>
      <family val="1"/>
      <charset val="128"/>
    </font>
    <font>
      <sz val="14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7"/>
      <color indexed="8"/>
      <name val="ＭＳ Ｐゴシック"/>
      <family val="3"/>
      <charset val="128"/>
    </font>
    <font>
      <sz val="4"/>
      <color indexed="8"/>
      <name val="ＭＳ Ｐ明朝"/>
      <family val="1"/>
      <charset val="128"/>
    </font>
    <font>
      <b/>
      <sz val="14"/>
      <color indexed="8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14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8"/>
      <name val="ＭＳ Ｐ明朝"/>
      <family val="1"/>
      <charset val="128"/>
    </font>
    <font>
      <sz val="6"/>
      <name val="ＭＳ Ｐ明朝"/>
      <family val="1"/>
      <charset val="128"/>
    </font>
    <font>
      <b/>
      <sz val="14"/>
      <color indexed="8"/>
      <name val="ＭＳ Ｐゴシック"/>
      <family val="3"/>
      <charset val="128"/>
    </font>
    <font>
      <sz val="14"/>
      <name val="ＭＳ Ｐゴシック"/>
      <family val="3"/>
      <charset val="128"/>
    </font>
    <font>
      <sz val="7.8"/>
      <name val="ＭＳ Ｐ明朝"/>
      <family val="1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4"/>
      <name val="ＭＳ ゴシック"/>
      <family val="3"/>
      <charset val="128"/>
    </font>
    <font>
      <b/>
      <sz val="10"/>
      <name val="ＭＳ Ｐゴシック"/>
      <family val="3"/>
      <charset val="128"/>
    </font>
    <font>
      <b/>
      <sz val="10"/>
      <name val="ＭＳ ゴシック"/>
      <family val="3"/>
      <charset val="128"/>
    </font>
    <font>
      <sz val="8"/>
      <name val="ＭＳ Ｐゴシック"/>
      <family val="3"/>
      <charset val="128"/>
    </font>
    <font>
      <sz val="11"/>
      <name val="ＭＳ Ｐ明朝"/>
      <family val="1"/>
      <charset val="128"/>
    </font>
    <font>
      <sz val="12"/>
      <color indexed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8"/>
      <color rgb="FFC00000"/>
      <name val="ＭＳ Ｐ明朝"/>
      <family val="1"/>
      <charset val="128"/>
    </font>
    <font>
      <sz val="9"/>
      <name val="ｺﾞｼｯｸ"/>
      <family val="3"/>
      <charset val="128"/>
    </font>
    <font>
      <b/>
      <sz val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6"/>
      <color indexed="8"/>
      <name val="ＭＳ Ｐゴシック"/>
      <family val="3"/>
      <charset val="128"/>
    </font>
    <font>
      <sz val="16"/>
      <color indexed="8"/>
      <name val="ＭＳ Ｐゴシック"/>
      <family val="3"/>
      <charset val="128"/>
    </font>
    <font>
      <sz val="11"/>
      <color indexed="8"/>
      <name val="ＭＳ 明朝"/>
      <family val="1"/>
      <charset val="128"/>
    </font>
    <font>
      <b/>
      <sz val="16"/>
      <color indexed="8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ゴシック"/>
      <family val="3"/>
      <charset val="128"/>
    </font>
    <font>
      <sz val="12"/>
      <name val="ＭＳ ゴシック"/>
      <family val="3"/>
      <charset val="128"/>
    </font>
    <font>
      <vertAlign val="superscript"/>
      <sz val="8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明朝"/>
      <family val="1"/>
      <charset val="128"/>
    </font>
    <font>
      <b/>
      <sz val="10"/>
      <color indexed="8"/>
      <name val="ＭＳ Ｐゴシック"/>
      <family val="3"/>
      <charset val="128"/>
    </font>
    <font>
      <b/>
      <sz val="18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b/>
      <sz val="8"/>
      <color indexed="8"/>
      <name val="ＭＳ Ｐ明朝"/>
      <family val="1"/>
      <charset val="128"/>
    </font>
    <font>
      <sz val="9"/>
      <color indexed="8"/>
      <name val="ＭＳ Ｐゴシック"/>
      <family val="3"/>
      <charset val="128"/>
    </font>
    <font>
      <sz val="8"/>
      <color theme="1"/>
      <name val="ＭＳ Ｐ明朝"/>
      <family val="1"/>
      <charset val="128"/>
    </font>
    <font>
      <sz val="6.5"/>
      <name val="ＭＳ Ｐ明朝"/>
      <family val="1"/>
      <charset val="128"/>
    </font>
    <font>
      <sz val="6"/>
      <name val="ＭＳ Ｐゴシック"/>
      <family val="2"/>
      <charset val="128"/>
    </font>
    <font>
      <sz val="7.5"/>
      <name val="ＭＳ Ｐ明朝"/>
      <family val="1"/>
      <charset val="128"/>
    </font>
    <font>
      <sz val="20"/>
      <color rgb="FF000000"/>
      <name val="ＭＳ 明朝"/>
      <family val="1"/>
      <charset val="128"/>
    </font>
    <font>
      <sz val="4"/>
      <name val="ＭＳ Ｐ明朝"/>
      <family val="1"/>
      <charset val="128"/>
    </font>
    <font>
      <i/>
      <sz val="10"/>
      <name val="ＭＳ ゴシック"/>
      <family val="3"/>
      <charset val="128"/>
    </font>
    <font>
      <sz val="4"/>
      <color theme="1"/>
      <name val="ＭＳ Ｐ明朝"/>
      <family val="1"/>
      <charset val="128"/>
    </font>
    <font>
      <sz val="10"/>
      <color theme="1"/>
      <name val="ＭＳ Ｐゴシック"/>
      <family val="3"/>
      <charset val="128"/>
    </font>
    <font>
      <sz val="18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7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</borders>
  <cellStyleXfs count="28"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top"/>
      <protection locked="0"/>
    </xf>
    <xf numFmtId="38" fontId="10" fillId="0" borderId="0" applyFont="0" applyFill="0" applyBorder="0" applyAlignment="0" applyProtection="0"/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12" fillId="0" borderId="0"/>
    <xf numFmtId="6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0" fillId="0" borderId="0"/>
    <xf numFmtId="0" fontId="21" fillId="0" borderId="0"/>
    <xf numFmtId="0" fontId="11" fillId="0" borderId="0"/>
    <xf numFmtId="37" fontId="11" fillId="0" borderId="0"/>
    <xf numFmtId="0" fontId="10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79">
    <xf numFmtId="0" fontId="0" fillId="0" borderId="0" xfId="0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1" applyFont="1" applyFill="1" applyAlignment="1" applyProtection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38" fontId="14" fillId="0" borderId="0" xfId="2" applyFont="1" applyFill="1" applyAlignment="1"/>
    <xf numFmtId="38" fontId="14" fillId="0" borderId="0" xfId="2" applyFont="1" applyFill="1" applyBorder="1" applyAlignment="1"/>
    <xf numFmtId="38" fontId="19" fillId="0" borderId="0" xfId="2" applyFont="1" applyFill="1" applyAlignment="1"/>
    <xf numFmtId="38" fontId="18" fillId="0" borderId="0" xfId="2" applyFont="1" applyFill="1" applyBorder="1" applyAlignment="1">
      <alignment horizontal="center" vertical="center" wrapText="1"/>
    </xf>
    <xf numFmtId="38" fontId="18" fillId="0" borderId="7" xfId="2" applyFont="1" applyFill="1" applyBorder="1" applyAlignment="1">
      <alignment horizontal="center" vertical="center" wrapText="1"/>
    </xf>
    <xf numFmtId="38" fontId="18" fillId="0" borderId="10" xfId="2" applyFont="1" applyFill="1" applyBorder="1" applyAlignment="1">
      <alignment horizontal="center" vertical="center" wrapText="1"/>
    </xf>
    <xf numFmtId="38" fontId="18" fillId="0" borderId="0" xfId="2" applyFont="1" applyFill="1" applyBorder="1" applyAlignment="1"/>
    <xf numFmtId="38" fontId="18" fillId="0" borderId="0" xfId="2" applyFont="1" applyFill="1" applyAlignment="1"/>
    <xf numFmtId="0" fontId="27" fillId="0" borderId="0" xfId="1" applyFont="1" applyFill="1" applyBorder="1" applyAlignment="1" applyProtection="1">
      <alignment vertical="center"/>
    </xf>
    <xf numFmtId="0" fontId="27" fillId="0" borderId="0" xfId="1" quotePrefix="1" applyFont="1" applyFill="1" applyAlignment="1" applyProtection="1">
      <alignment vertical="center"/>
    </xf>
    <xf numFmtId="0" fontId="18" fillId="0" borderId="1" xfId="5" applyFont="1" applyBorder="1" applyAlignment="1">
      <alignment horizontal="right"/>
    </xf>
    <xf numFmtId="0" fontId="15" fillId="0" borderId="0" xfId="5" applyFont="1"/>
    <xf numFmtId="0" fontId="14" fillId="0" borderId="0" xfId="5" applyFont="1"/>
    <xf numFmtId="0" fontId="18" fillId="0" borderId="0" xfId="5" applyFont="1" applyAlignment="1">
      <alignment horizontal="right"/>
    </xf>
    <xf numFmtId="0" fontId="14" fillId="0" borderId="0" xfId="5" applyFont="1" applyAlignment="1">
      <alignment horizontal="center" vertical="center"/>
    </xf>
    <xf numFmtId="38" fontId="18" fillId="0" borderId="8" xfId="2" applyFont="1" applyFill="1" applyBorder="1" applyAlignment="1">
      <alignment horizontal="center" vertical="center" wrapText="1"/>
    </xf>
    <xf numFmtId="0" fontId="18" fillId="0" borderId="0" xfId="5" applyFont="1"/>
    <xf numFmtId="0" fontId="18" fillId="0" borderId="8" xfId="5" applyFont="1" applyBorder="1" applyAlignment="1">
      <alignment horizontal="center" vertical="center" wrapText="1"/>
    </xf>
    <xf numFmtId="0" fontId="20" fillId="0" borderId="7" xfId="5" applyFont="1" applyBorder="1" applyAlignment="1">
      <alignment horizontal="center" vertical="center" wrapText="1"/>
    </xf>
    <xf numFmtId="0" fontId="18" fillId="0" borderId="0" xfId="5" applyFont="1" applyAlignment="1">
      <alignment horizontal="center" vertical="center" wrapText="1"/>
    </xf>
    <xf numFmtId="37" fontId="18" fillId="0" borderId="0" xfId="5" applyNumberFormat="1" applyFont="1" applyAlignment="1">
      <alignment horizontal="right"/>
    </xf>
    <xf numFmtId="37" fontId="18" fillId="0" borderId="4" xfId="5" applyNumberFormat="1" applyFont="1" applyBorder="1" applyAlignment="1">
      <alignment horizontal="right"/>
    </xf>
    <xf numFmtId="37" fontId="18" fillId="0" borderId="4" xfId="5" applyNumberFormat="1" applyFont="1" applyBorder="1" applyAlignment="1">
      <alignment horizontal="left"/>
    </xf>
    <xf numFmtId="37" fontId="18" fillId="0" borderId="4" xfId="5" quotePrefix="1" applyNumberFormat="1" applyFont="1" applyBorder="1" applyAlignment="1">
      <alignment horizontal="left"/>
    </xf>
    <xf numFmtId="37" fontId="18" fillId="0" borderId="8" xfId="5" applyNumberFormat="1" applyFont="1" applyBorder="1" applyAlignment="1">
      <alignment horizontal="right"/>
    </xf>
    <xf numFmtId="38" fontId="18" fillId="0" borderId="0" xfId="2" applyFont="1" applyFill="1" applyAlignment="1">
      <alignment horizontal="center" vertical="center" wrapText="1"/>
    </xf>
    <xf numFmtId="37" fontId="18" fillId="0" borderId="0" xfId="2" applyNumberFormat="1" applyFont="1" applyFill="1" applyBorder="1" applyAlignment="1">
      <alignment horizontal="right"/>
    </xf>
    <xf numFmtId="37" fontId="18" fillId="0" borderId="0" xfId="2" applyNumberFormat="1" applyFont="1" applyFill="1" applyAlignment="1">
      <alignment horizontal="right"/>
    </xf>
    <xf numFmtId="37" fontId="18" fillId="0" borderId="4" xfId="2" applyNumberFormat="1" applyFont="1" applyFill="1" applyBorder="1" applyAlignment="1">
      <alignment horizontal="right"/>
    </xf>
    <xf numFmtId="37" fontId="18" fillId="0" borderId="4" xfId="2" applyNumberFormat="1" applyFont="1" applyFill="1" applyBorder="1" applyAlignment="1">
      <alignment horizontal="left"/>
    </xf>
    <xf numFmtId="37" fontId="18" fillId="0" borderId="4" xfId="2" quotePrefix="1" applyNumberFormat="1" applyFont="1" applyFill="1" applyBorder="1" applyAlignment="1">
      <alignment horizontal="left"/>
    </xf>
    <xf numFmtId="38" fontId="14" fillId="0" borderId="0" xfId="2" applyFont="1" applyFill="1" applyAlignment="1">
      <alignment horizontal="center" vertical="center"/>
    </xf>
    <xf numFmtId="38" fontId="18" fillId="0" borderId="0" xfId="2" applyFont="1" applyFill="1" applyAlignment="1">
      <alignment horizontal="right"/>
    </xf>
    <xf numFmtId="0" fontId="14" fillId="0" borderId="0" xfId="5" applyFont="1" applyAlignment="1">
      <alignment vertical="center"/>
    </xf>
    <xf numFmtId="0" fontId="16" fillId="0" borderId="0" xfId="5" applyFont="1" applyAlignment="1">
      <alignment vertical="center"/>
    </xf>
    <xf numFmtId="37" fontId="18" fillId="0" borderId="0" xfId="5" applyNumberFormat="1" applyFont="1" applyAlignment="1">
      <alignment horizontal="right" vertical="center"/>
    </xf>
    <xf numFmtId="37" fontId="18" fillId="0" borderId="4" xfId="5" applyNumberFormat="1" applyFont="1" applyBorder="1" applyAlignment="1">
      <alignment horizontal="right" vertical="center"/>
    </xf>
    <xf numFmtId="37" fontId="18" fillId="0" borderId="4" xfId="5" applyNumberFormat="1" applyFont="1" applyBorder="1" applyAlignment="1">
      <alignment horizontal="left" vertical="center"/>
    </xf>
    <xf numFmtId="37" fontId="18" fillId="0" borderId="4" xfId="5" quotePrefix="1" applyNumberFormat="1" applyFont="1" applyBorder="1" applyAlignment="1">
      <alignment horizontal="left" vertical="center"/>
    </xf>
    <xf numFmtId="37" fontId="18" fillId="0" borderId="8" xfId="5" applyNumberFormat="1" applyFont="1" applyBorder="1" applyAlignment="1">
      <alignment horizontal="right" vertical="center"/>
    </xf>
    <xf numFmtId="0" fontId="9" fillId="0" borderId="0" xfId="5" applyFont="1" applyAlignment="1">
      <alignment vertical="center"/>
    </xf>
    <xf numFmtId="0" fontId="36" fillId="0" borderId="0" xfId="5" applyFont="1" applyAlignment="1">
      <alignment vertical="center"/>
    </xf>
    <xf numFmtId="0" fontId="37" fillId="0" borderId="0" xfId="5" applyFont="1" applyAlignment="1">
      <alignment vertical="center"/>
    </xf>
    <xf numFmtId="0" fontId="18" fillId="0" borderId="0" xfId="5" applyFont="1" applyAlignment="1">
      <alignment horizontal="right" vertical="center"/>
    </xf>
    <xf numFmtId="176" fontId="18" fillId="0" borderId="11" xfId="5" applyNumberFormat="1" applyFont="1" applyBorder="1" applyAlignment="1">
      <alignment horizontal="left" vertical="center"/>
    </xf>
    <xf numFmtId="176" fontId="18" fillId="0" borderId="4" xfId="5" applyNumberFormat="1" applyFont="1" applyBorder="1" applyAlignment="1">
      <alignment horizontal="left" vertical="center"/>
    </xf>
    <xf numFmtId="177" fontId="18" fillId="0" borderId="8" xfId="5" applyNumberFormat="1" applyFont="1" applyBorder="1" applyAlignment="1">
      <alignment horizontal="right" vertical="center"/>
    </xf>
    <xf numFmtId="177" fontId="18" fillId="0" borderId="0" xfId="5" applyNumberFormat="1" applyFont="1" applyAlignment="1">
      <alignment horizontal="right" vertical="center"/>
    </xf>
    <xf numFmtId="38" fontId="18" fillId="0" borderId="0" xfId="2" applyFont="1" applyFill="1" applyAlignment="1">
      <alignment horizontal="right" vertical="center"/>
    </xf>
    <xf numFmtId="177" fontId="18" fillId="0" borderId="4" xfId="5" applyNumberFormat="1" applyFont="1" applyBorder="1" applyAlignment="1">
      <alignment horizontal="right" vertical="center"/>
    </xf>
    <xf numFmtId="178" fontId="18" fillId="0" borderId="4" xfId="5" applyNumberFormat="1" applyFont="1" applyBorder="1" applyAlignment="1">
      <alignment horizontal="left" vertical="center"/>
    </xf>
    <xf numFmtId="0" fontId="18" fillId="0" borderId="4" xfId="5" applyFont="1" applyBorder="1" applyAlignment="1">
      <alignment horizontal="left" vertical="center"/>
    </xf>
    <xf numFmtId="179" fontId="18" fillId="0" borderId="4" xfId="5" applyNumberFormat="1" applyFont="1" applyBorder="1" applyAlignment="1">
      <alignment horizontal="left" vertical="center"/>
    </xf>
    <xf numFmtId="180" fontId="18" fillId="0" borderId="4" xfId="5" applyNumberFormat="1" applyFont="1" applyBorder="1" applyAlignment="1">
      <alignment horizontal="left" vertical="center"/>
    </xf>
    <xf numFmtId="181" fontId="18" fillId="0" borderId="4" xfId="5" applyNumberFormat="1" applyFont="1" applyBorder="1" applyAlignment="1">
      <alignment horizontal="left" vertical="center"/>
    </xf>
    <xf numFmtId="182" fontId="18" fillId="0" borderId="4" xfId="5" applyNumberFormat="1" applyFont="1" applyBorder="1" applyAlignment="1">
      <alignment horizontal="left" vertical="center"/>
    </xf>
    <xf numFmtId="183" fontId="18" fillId="0" borderId="4" xfId="5" applyNumberFormat="1" applyFont="1" applyBorder="1" applyAlignment="1">
      <alignment horizontal="left" vertical="center"/>
    </xf>
    <xf numFmtId="184" fontId="18" fillId="0" borderId="4" xfId="5" applyNumberFormat="1" applyFont="1" applyBorder="1" applyAlignment="1">
      <alignment horizontal="left" vertical="center"/>
    </xf>
    <xf numFmtId="0" fontId="38" fillId="0" borderId="0" xfId="5" applyFont="1" applyAlignment="1">
      <alignment vertical="center"/>
    </xf>
    <xf numFmtId="0" fontId="38" fillId="0" borderId="4" xfId="5" applyFont="1" applyBorder="1" applyAlignment="1">
      <alignment horizontal="center" vertical="center" wrapText="1"/>
    </xf>
    <xf numFmtId="0" fontId="38" fillId="0" borderId="4" xfId="5" applyFont="1" applyBorder="1" applyAlignment="1">
      <alignment horizontal="center" vertical="center"/>
    </xf>
    <xf numFmtId="0" fontId="38" fillId="0" borderId="7" xfId="5" applyFont="1" applyBorder="1" applyAlignment="1">
      <alignment horizontal="center" vertical="center"/>
    </xf>
    <xf numFmtId="0" fontId="10" fillId="0" borderId="8" xfId="5" applyBorder="1" applyAlignment="1">
      <alignment vertical="center" wrapText="1"/>
    </xf>
    <xf numFmtId="0" fontId="10" fillId="0" borderId="0" xfId="5" applyAlignment="1">
      <alignment vertical="center" wrapText="1"/>
    </xf>
    <xf numFmtId="0" fontId="38" fillId="0" borderId="1" xfId="5" applyFont="1" applyBorder="1" applyAlignment="1">
      <alignment vertical="center"/>
    </xf>
    <xf numFmtId="0" fontId="38" fillId="0" borderId="7" xfId="5" applyFont="1" applyBorder="1" applyAlignment="1">
      <alignment horizontal="centerContinuous" vertical="center"/>
    </xf>
    <xf numFmtId="0" fontId="38" fillId="0" borderId="0" xfId="5" applyFont="1" applyAlignment="1">
      <alignment horizontal="left" vertical="center"/>
    </xf>
    <xf numFmtId="0" fontId="41" fillId="0" borderId="0" xfId="5" applyFont="1" applyAlignment="1">
      <alignment vertical="center"/>
    </xf>
    <xf numFmtId="0" fontId="38" fillId="0" borderId="1" xfId="5" applyFont="1" applyBorder="1" applyAlignment="1">
      <alignment horizontal="right" vertical="center"/>
    </xf>
    <xf numFmtId="0" fontId="43" fillId="0" borderId="0" xfId="5" applyFont="1" applyAlignment="1">
      <alignment vertical="center"/>
    </xf>
    <xf numFmtId="185" fontId="43" fillId="0" borderId="0" xfId="14" applyNumberFormat="1" applyFont="1" applyAlignment="1">
      <alignment horizontal="right" vertical="center"/>
    </xf>
    <xf numFmtId="49" fontId="43" fillId="0" borderId="0" xfId="5" applyNumberFormat="1" applyFont="1" applyAlignment="1">
      <alignment horizontal="right" vertical="center"/>
    </xf>
    <xf numFmtId="49" fontId="44" fillId="0" borderId="0" xfId="5" applyNumberFormat="1" applyFont="1" applyAlignment="1">
      <alignment horizontal="left" vertical="center"/>
    </xf>
    <xf numFmtId="176" fontId="18" fillId="0" borderId="0" xfId="5" applyNumberFormat="1" applyFont="1" applyAlignment="1">
      <alignment horizontal="left" vertical="center"/>
    </xf>
    <xf numFmtId="177" fontId="38" fillId="0" borderId="0" xfId="14" applyNumberFormat="1" applyFont="1" applyAlignment="1">
      <alignment horizontal="right" vertical="center"/>
    </xf>
    <xf numFmtId="49" fontId="38" fillId="0" borderId="0" xfId="5" applyNumberFormat="1" applyFont="1" applyAlignment="1">
      <alignment horizontal="right" vertical="center"/>
    </xf>
    <xf numFmtId="177" fontId="18" fillId="0" borderId="0" xfId="14" applyNumberFormat="1" applyFont="1" applyAlignment="1">
      <alignment horizontal="right" vertical="center"/>
    </xf>
    <xf numFmtId="177" fontId="18" fillId="0" borderId="4" xfId="14" applyNumberFormat="1" applyFont="1" applyBorder="1" applyAlignment="1">
      <alignment horizontal="right" vertical="center"/>
    </xf>
    <xf numFmtId="177" fontId="38" fillId="0" borderId="0" xfId="5" applyNumberFormat="1" applyFont="1" applyAlignment="1">
      <alignment horizontal="right" vertical="center"/>
    </xf>
    <xf numFmtId="177" fontId="18" fillId="0" borderId="8" xfId="14" applyNumberFormat="1" applyFont="1" applyBorder="1" applyAlignment="1">
      <alignment horizontal="right" vertical="center"/>
    </xf>
    <xf numFmtId="49" fontId="38" fillId="0" borderId="0" xfId="5" applyNumberFormat="1" applyFont="1" applyAlignment="1">
      <alignment horizontal="left" vertical="center"/>
    </xf>
    <xf numFmtId="177" fontId="18" fillId="0" borderId="0" xfId="2" applyNumberFormat="1" applyFont="1" applyFill="1" applyBorder="1" applyAlignment="1">
      <alignment vertical="center"/>
    </xf>
    <xf numFmtId="0" fontId="38" fillId="0" borderId="1" xfId="5" applyFont="1" applyBorder="1" applyAlignment="1">
      <alignment horizontal="left" vertical="center"/>
    </xf>
    <xf numFmtId="0" fontId="38" fillId="0" borderId="4" xfId="5" applyFont="1" applyBorder="1" applyAlignment="1">
      <alignment horizontal="centerContinuous" vertical="center"/>
    </xf>
    <xf numFmtId="0" fontId="38" fillId="0" borderId="0" xfId="5" applyFont="1" applyAlignment="1">
      <alignment horizontal="right" vertical="center"/>
    </xf>
    <xf numFmtId="0" fontId="45" fillId="0" borderId="0" xfId="5" applyFont="1" applyAlignment="1">
      <alignment vertical="center"/>
    </xf>
    <xf numFmtId="0" fontId="42" fillId="0" borderId="0" xfId="5" applyFont="1" applyAlignment="1">
      <alignment vertical="center"/>
    </xf>
    <xf numFmtId="0" fontId="9" fillId="0" borderId="0" xfId="5" applyFont="1"/>
    <xf numFmtId="0" fontId="9" fillId="0" borderId="0" xfId="5" applyFont="1" applyAlignment="1">
      <alignment horizontal="left"/>
    </xf>
    <xf numFmtId="0" fontId="38" fillId="0" borderId="0" xfId="5" applyFont="1"/>
    <xf numFmtId="38" fontId="38" fillId="0" borderId="0" xfId="15" applyNumberFormat="1" applyFont="1"/>
    <xf numFmtId="38" fontId="18" fillId="0" borderId="9" xfId="2" applyFont="1" applyFill="1" applyBorder="1" applyAlignment="1" applyProtection="1">
      <alignment vertical="center" wrapText="1"/>
    </xf>
    <xf numFmtId="38" fontId="18" fillId="0" borderId="1" xfId="2" applyFont="1" applyFill="1" applyBorder="1" applyAlignment="1" applyProtection="1">
      <alignment vertical="center" wrapText="1"/>
    </xf>
    <xf numFmtId="38" fontId="18" fillId="0" borderId="11" xfId="2" applyFont="1" applyFill="1" applyBorder="1" applyAlignment="1" applyProtection="1">
      <alignment vertical="center" wrapText="1"/>
    </xf>
    <xf numFmtId="38" fontId="18" fillId="0" borderId="8" xfId="2" applyFont="1" applyFill="1" applyBorder="1" applyAlignment="1" applyProtection="1">
      <alignment horizontal="right" vertical="center" wrapText="1"/>
    </xf>
    <xf numFmtId="38" fontId="18" fillId="0" borderId="0" xfId="2" applyFont="1" applyFill="1" applyBorder="1" applyAlignment="1" applyProtection="1">
      <alignment horizontal="right" vertical="center" wrapText="1"/>
    </xf>
    <xf numFmtId="38" fontId="18" fillId="0" borderId="14" xfId="2" applyFont="1" applyFill="1" applyBorder="1" applyAlignment="1" applyProtection="1">
      <alignment horizontal="right" vertical="center" wrapText="1"/>
    </xf>
    <xf numFmtId="38" fontId="49" fillId="0" borderId="8" xfId="2" applyFont="1" applyFill="1" applyBorder="1" applyAlignment="1" applyProtection="1">
      <alignment horizontal="right" vertical="center" wrapText="1"/>
    </xf>
    <xf numFmtId="38" fontId="49" fillId="0" borderId="0" xfId="2" applyFont="1" applyFill="1" applyBorder="1" applyAlignment="1" applyProtection="1">
      <alignment horizontal="right" vertical="center" wrapText="1"/>
    </xf>
    <xf numFmtId="38" fontId="49" fillId="0" borderId="14" xfId="2" applyFont="1" applyFill="1" applyBorder="1" applyAlignment="1" applyProtection="1">
      <alignment horizontal="right" vertical="center" wrapText="1"/>
    </xf>
    <xf numFmtId="38" fontId="18" fillId="0" borderId="8" xfId="2" applyFont="1" applyFill="1" applyBorder="1" applyAlignment="1">
      <alignment vertical="center"/>
    </xf>
    <xf numFmtId="38" fontId="18" fillId="0" borderId="0" xfId="2" applyFont="1" applyFill="1" applyBorder="1" applyAlignment="1">
      <alignment vertical="center"/>
    </xf>
    <xf numFmtId="38" fontId="18" fillId="0" borderId="8" xfId="2" applyFont="1" applyFill="1" applyBorder="1" applyAlignment="1">
      <alignment horizontal="right" vertical="center" wrapText="1"/>
    </xf>
    <xf numFmtId="38" fontId="18" fillId="0" borderId="0" xfId="2" applyFont="1" applyFill="1" applyBorder="1" applyAlignment="1">
      <alignment horizontal="right" vertical="center" wrapText="1"/>
    </xf>
    <xf numFmtId="0" fontId="38" fillId="0" borderId="10" xfId="5" applyFont="1" applyBorder="1" applyAlignment="1">
      <alignment vertical="center"/>
    </xf>
    <xf numFmtId="38" fontId="18" fillId="0" borderId="18" xfId="15" applyNumberFormat="1" applyFont="1" applyBorder="1" applyAlignment="1">
      <alignment horizontal="center" vertical="center" wrapText="1"/>
    </xf>
    <xf numFmtId="38" fontId="18" fillId="0" borderId="19" xfId="15" applyNumberFormat="1" applyFont="1" applyBorder="1" applyAlignment="1">
      <alignment horizontal="center" vertical="center" wrapText="1"/>
    </xf>
    <xf numFmtId="38" fontId="38" fillId="0" borderId="20" xfId="15" applyNumberFormat="1" applyFont="1" applyBorder="1" applyAlignment="1">
      <alignment horizontal="center" vertical="center" wrapText="1"/>
    </xf>
    <xf numFmtId="38" fontId="38" fillId="0" borderId="21" xfId="15" applyNumberFormat="1" applyFont="1" applyBorder="1" applyAlignment="1">
      <alignment horizontal="center" vertical="center" wrapText="1"/>
    </xf>
    <xf numFmtId="38" fontId="38" fillId="0" borderId="14" xfId="15" applyNumberFormat="1" applyFont="1" applyBorder="1" applyAlignment="1">
      <alignment horizontal="center" vertical="center" wrapText="1"/>
    </xf>
    <xf numFmtId="38" fontId="18" fillId="0" borderId="0" xfId="15" applyNumberFormat="1" applyFont="1" applyAlignment="1">
      <alignment horizontal="center" vertical="center" wrapText="1"/>
    </xf>
    <xf numFmtId="38" fontId="18" fillId="0" borderId="23" xfId="15" applyNumberFormat="1" applyFont="1" applyBorder="1" applyAlignment="1">
      <alignment horizontal="center" vertical="center" wrapText="1"/>
    </xf>
    <xf numFmtId="38" fontId="18" fillId="0" borderId="14" xfId="15" applyNumberFormat="1" applyFont="1" applyBorder="1" applyAlignment="1">
      <alignment horizontal="center" vertical="center" wrapText="1"/>
    </xf>
    <xf numFmtId="38" fontId="38" fillId="0" borderId="24" xfId="15" applyNumberFormat="1" applyFont="1" applyBorder="1" applyAlignment="1">
      <alignment horizontal="center" vertical="center" wrapText="1"/>
    </xf>
    <xf numFmtId="38" fontId="38" fillId="0" borderId="0" xfId="15" applyNumberFormat="1" applyFont="1" applyAlignment="1">
      <alignment horizontal="center" vertical="center" wrapText="1"/>
    </xf>
    <xf numFmtId="0" fontId="18" fillId="0" borderId="25" xfId="5" applyFont="1" applyBorder="1" applyAlignment="1">
      <alignment vertical="center"/>
    </xf>
    <xf numFmtId="0" fontId="18" fillId="0" borderId="26" xfId="5" applyFont="1" applyBorder="1" applyAlignment="1">
      <alignment vertical="center"/>
    </xf>
    <xf numFmtId="38" fontId="18" fillId="0" borderId="14" xfId="15" applyNumberFormat="1" applyFont="1" applyBorder="1" applyAlignment="1">
      <alignment horizontal="left" vertical="center"/>
    </xf>
    <xf numFmtId="38" fontId="38" fillId="0" borderId="25" xfId="15" applyNumberFormat="1" applyFont="1" applyBorder="1" applyAlignment="1">
      <alignment horizontal="center" vertical="center" wrapText="1"/>
    </xf>
    <xf numFmtId="38" fontId="38" fillId="0" borderId="26" xfId="15" applyNumberFormat="1" applyFont="1" applyBorder="1" applyAlignment="1">
      <alignment horizontal="center" vertical="center" wrapText="1"/>
    </xf>
    <xf numFmtId="38" fontId="18" fillId="0" borderId="0" xfId="15" applyNumberFormat="1" applyFont="1" applyAlignment="1">
      <alignment vertical="center" wrapText="1"/>
    </xf>
    <xf numFmtId="0" fontId="18" fillId="0" borderId="15" xfId="5" applyFont="1" applyBorder="1" applyAlignment="1">
      <alignment horizontal="left" vertical="center"/>
    </xf>
    <xf numFmtId="38" fontId="18" fillId="0" borderId="0" xfId="15" applyNumberFormat="1" applyFont="1" applyAlignment="1">
      <alignment horizontal="left" vertical="center"/>
    </xf>
    <xf numFmtId="38" fontId="18" fillId="0" borderId="14" xfId="15" applyNumberFormat="1" applyFont="1" applyBorder="1" applyAlignment="1">
      <alignment vertical="center" wrapText="1"/>
    </xf>
    <xf numFmtId="38" fontId="18" fillId="0" borderId="23" xfId="15" applyNumberFormat="1" applyFont="1" applyBorder="1" applyAlignment="1">
      <alignment vertical="center" wrapText="1"/>
    </xf>
    <xf numFmtId="38" fontId="38" fillId="0" borderId="27" xfId="15" applyNumberFormat="1" applyFont="1" applyBorder="1" applyAlignment="1">
      <alignment vertical="center" wrapText="1"/>
    </xf>
    <xf numFmtId="38" fontId="38" fillId="0" borderId="28" xfId="15" applyNumberFormat="1" applyFont="1" applyBorder="1" applyAlignment="1">
      <alignment vertical="center" wrapText="1"/>
    </xf>
    <xf numFmtId="0" fontId="15" fillId="0" borderId="1" xfId="5" applyFont="1" applyBorder="1" applyAlignment="1">
      <alignment vertical="center"/>
    </xf>
    <xf numFmtId="38" fontId="18" fillId="0" borderId="0" xfId="15" applyNumberFormat="1" applyFont="1" applyAlignment="1">
      <alignment horizontal="right" vertical="center"/>
    </xf>
    <xf numFmtId="3" fontId="18" fillId="0" borderId="0" xfId="15" applyNumberFormat="1" applyFont="1" applyAlignment="1">
      <alignment horizontal="right" vertical="center" wrapText="1"/>
    </xf>
    <xf numFmtId="38" fontId="18" fillId="0" borderId="14" xfId="15" applyNumberFormat="1" applyFont="1" applyBorder="1" applyAlignment="1">
      <alignment horizontal="right" vertical="center"/>
    </xf>
    <xf numFmtId="0" fontId="10" fillId="0" borderId="0" xfId="5"/>
    <xf numFmtId="0" fontId="10" fillId="0" borderId="0" xfId="5" applyAlignment="1">
      <alignment horizontal="left"/>
    </xf>
    <xf numFmtId="0" fontId="52" fillId="0" borderId="0" xfId="5" applyFont="1"/>
    <xf numFmtId="0" fontId="10" fillId="0" borderId="0" xfId="5" applyAlignment="1">
      <alignment vertical="center"/>
    </xf>
    <xf numFmtId="38" fontId="21" fillId="0" borderId="0" xfId="15" applyNumberFormat="1" applyFont="1" applyAlignment="1">
      <alignment vertical="center"/>
    </xf>
    <xf numFmtId="38" fontId="18" fillId="0" borderId="0" xfId="15" applyNumberFormat="1" applyFont="1" applyAlignment="1">
      <alignment horizontal="left" vertical="center" wrapText="1"/>
    </xf>
    <xf numFmtId="38" fontId="18" fillId="0" borderId="0" xfId="15" applyNumberFormat="1" applyFont="1" applyAlignment="1">
      <alignment vertical="center"/>
    </xf>
    <xf numFmtId="38" fontId="21" fillId="0" borderId="0" xfId="15" applyNumberFormat="1" applyFont="1"/>
    <xf numFmtId="38" fontId="18" fillId="0" borderId="0" xfId="15" applyNumberFormat="1" applyFont="1" applyAlignment="1">
      <alignment horizontal="right" wrapText="1"/>
    </xf>
    <xf numFmtId="38" fontId="18" fillId="0" borderId="9" xfId="15" applyNumberFormat="1" applyFont="1" applyBorder="1" applyAlignment="1">
      <alignment wrapText="1"/>
    </xf>
    <xf numFmtId="38" fontId="18" fillId="0" borderId="1" xfId="15" applyNumberFormat="1" applyFont="1" applyBorder="1" applyAlignment="1">
      <alignment wrapText="1"/>
    </xf>
    <xf numFmtId="38" fontId="18" fillId="0" borderId="9" xfId="15" applyNumberFormat="1" applyFont="1" applyBorder="1" applyAlignment="1">
      <alignment horizontal="left" wrapText="1"/>
    </xf>
    <xf numFmtId="38" fontId="18" fillId="0" borderId="0" xfId="15" applyNumberFormat="1" applyFont="1" applyAlignment="1">
      <alignment horizontal="right"/>
    </xf>
    <xf numFmtId="3" fontId="18" fillId="0" borderId="8" xfId="15" applyNumberFormat="1" applyFont="1" applyBorder="1" applyAlignment="1">
      <alignment horizontal="right" vertical="center" wrapText="1"/>
    </xf>
    <xf numFmtId="38" fontId="18" fillId="0" borderId="8" xfId="15" applyNumberFormat="1" applyFont="1" applyBorder="1" applyAlignment="1">
      <alignment horizontal="left" vertical="center" wrapText="1"/>
    </xf>
    <xf numFmtId="3" fontId="18" fillId="0" borderId="14" xfId="15" applyNumberFormat="1" applyFont="1" applyBorder="1" applyAlignment="1">
      <alignment horizontal="right" vertical="center" wrapText="1"/>
    </xf>
    <xf numFmtId="38" fontId="18" fillId="0" borderId="15" xfId="15" applyNumberFormat="1" applyFont="1" applyBorder="1" applyAlignment="1">
      <alignment horizontal="left" vertical="center" wrapText="1"/>
    </xf>
    <xf numFmtId="38" fontId="18" fillId="0" borderId="15" xfId="15" applyNumberFormat="1" applyFont="1" applyBorder="1" applyAlignment="1">
      <alignment horizontal="left" vertical="center" wrapText="1" indent="1"/>
    </xf>
    <xf numFmtId="3" fontId="49" fillId="0" borderId="0" xfId="15" applyNumberFormat="1" applyFont="1" applyAlignment="1">
      <alignment horizontal="right" vertical="center" wrapText="1"/>
    </xf>
    <xf numFmtId="3" fontId="49" fillId="0" borderId="14" xfId="15" applyNumberFormat="1" applyFont="1" applyBorder="1" applyAlignment="1">
      <alignment horizontal="right" vertical="center" wrapText="1"/>
    </xf>
    <xf numFmtId="38" fontId="49" fillId="0" borderId="15" xfId="15" applyNumberFormat="1" applyFont="1" applyBorder="1" applyAlignment="1">
      <alignment horizontal="left" vertical="center" wrapText="1"/>
    </xf>
    <xf numFmtId="38" fontId="53" fillId="0" borderId="15" xfId="15" applyNumberFormat="1" applyFont="1" applyBorder="1" applyAlignment="1">
      <alignment horizontal="left" vertical="center" wrapText="1" indent="1"/>
    </xf>
    <xf numFmtId="38" fontId="18" fillId="0" borderId="0" xfId="15" applyNumberFormat="1" applyFont="1" applyAlignment="1">
      <alignment horizontal="right" vertical="center" wrapText="1"/>
    </xf>
    <xf numFmtId="38" fontId="18" fillId="0" borderId="25" xfId="15" applyNumberFormat="1" applyFont="1" applyBorder="1" applyAlignment="1">
      <alignment horizontal="center" vertical="center" wrapText="1"/>
    </xf>
    <xf numFmtId="38" fontId="18" fillId="0" borderId="0" xfId="15" applyNumberFormat="1" applyFont="1" applyAlignment="1">
      <alignment horizontal="center" vertical="center"/>
    </xf>
    <xf numFmtId="38" fontId="18" fillId="0" borderId="15" xfId="15" applyNumberFormat="1" applyFont="1" applyBorder="1" applyAlignment="1">
      <alignment horizontal="center" vertical="center" wrapText="1"/>
    </xf>
    <xf numFmtId="38" fontId="18" fillId="0" borderId="15" xfId="15" applyNumberFormat="1" applyFont="1" applyBorder="1" applyAlignment="1">
      <alignment vertical="center" wrapText="1"/>
    </xf>
    <xf numFmtId="38" fontId="15" fillId="0" borderId="0" xfId="15" applyNumberFormat="1" applyFont="1" applyAlignment="1">
      <alignment horizontal="left" wrapText="1"/>
    </xf>
    <xf numFmtId="0" fontId="52" fillId="0" borderId="1" xfId="5" applyFont="1" applyBorder="1"/>
    <xf numFmtId="0" fontId="10" fillId="0" borderId="1" xfId="5" applyBorder="1"/>
    <xf numFmtId="0" fontId="15" fillId="0" borderId="1" xfId="5" applyFont="1" applyBorder="1"/>
    <xf numFmtId="38" fontId="15" fillId="0" borderId="1" xfId="15" applyNumberFormat="1" applyFont="1" applyBorder="1" applyAlignment="1">
      <alignment wrapText="1"/>
    </xf>
    <xf numFmtId="38" fontId="15" fillId="0" borderId="1" xfId="15" applyNumberFormat="1" applyFont="1" applyBorder="1" applyAlignment="1">
      <alignment horizontal="center" wrapText="1"/>
    </xf>
    <xf numFmtId="38" fontId="15" fillId="0" borderId="0" xfId="15" applyNumberFormat="1" applyFont="1"/>
    <xf numFmtId="0" fontId="54" fillId="0" borderId="0" xfId="5" applyFont="1" applyAlignment="1">
      <alignment horizontal="left"/>
    </xf>
    <xf numFmtId="38" fontId="55" fillId="0" borderId="0" xfId="15" applyNumberFormat="1" applyFont="1" applyAlignment="1">
      <alignment horizontal="left" wrapText="1"/>
    </xf>
    <xf numFmtId="38" fontId="56" fillId="0" borderId="0" xfId="15" applyNumberFormat="1" applyFont="1" applyAlignment="1">
      <alignment horizontal="left"/>
    </xf>
    <xf numFmtId="38" fontId="56" fillId="0" borderId="0" xfId="15" applyNumberFormat="1" applyFont="1" applyAlignment="1">
      <alignment horizontal="left" wrapText="1"/>
    </xf>
    <xf numFmtId="38" fontId="15" fillId="0" borderId="0" xfId="15" applyNumberFormat="1" applyFont="1" applyAlignment="1">
      <alignment horizontal="left"/>
    </xf>
    <xf numFmtId="0" fontId="55" fillId="0" borderId="0" xfId="5" applyFont="1" applyAlignment="1">
      <alignment horizontal="left"/>
    </xf>
    <xf numFmtId="38" fontId="55" fillId="0" borderId="0" xfId="15" applyNumberFormat="1" applyFont="1" applyAlignment="1">
      <alignment horizontal="left"/>
    </xf>
    <xf numFmtId="37" fontId="55" fillId="0" borderId="0" xfId="15" applyFont="1" applyAlignment="1">
      <alignment horizontal="left"/>
    </xf>
    <xf numFmtId="37" fontId="15" fillId="0" borderId="0" xfId="15" applyFont="1" applyAlignment="1">
      <alignment horizontal="left"/>
    </xf>
    <xf numFmtId="0" fontId="54" fillId="0" borderId="0" xfId="5" applyFont="1"/>
    <xf numFmtId="0" fontId="56" fillId="0" borderId="0" xfId="5" applyFont="1" applyAlignment="1">
      <alignment horizontal="right"/>
    </xf>
    <xf numFmtId="0" fontId="55" fillId="0" borderId="0" xfId="5" applyFont="1"/>
    <xf numFmtId="38" fontId="57" fillId="0" borderId="0" xfId="15" applyNumberFormat="1" applyFont="1" applyAlignment="1">
      <alignment horizontal="left"/>
    </xf>
    <xf numFmtId="38" fontId="58" fillId="0" borderId="0" xfId="15" applyNumberFormat="1" applyFont="1" applyAlignment="1">
      <alignment horizontal="left"/>
    </xf>
    <xf numFmtId="37" fontId="58" fillId="0" borderId="0" xfId="15" applyFont="1" applyAlignment="1">
      <alignment horizontal="left"/>
    </xf>
    <xf numFmtId="37" fontId="57" fillId="0" borderId="0" xfId="15" applyFont="1" applyAlignment="1">
      <alignment horizontal="left"/>
    </xf>
    <xf numFmtId="0" fontId="59" fillId="0" borderId="0" xfId="5" applyFont="1" applyAlignment="1">
      <alignment vertical="center"/>
    </xf>
    <xf numFmtId="0" fontId="38" fillId="0" borderId="0" xfId="5" applyFont="1" applyAlignment="1">
      <alignment horizontal="left"/>
    </xf>
    <xf numFmtId="17" fontId="18" fillId="0" borderId="0" xfId="5" applyNumberFormat="1" applyFont="1" applyAlignment="1">
      <alignment horizontal="left" vertical="center"/>
    </xf>
    <xf numFmtId="38" fontId="18" fillId="0" borderId="9" xfId="2" applyFont="1" applyFill="1" applyBorder="1" applyAlignment="1">
      <alignment vertical="center"/>
    </xf>
    <xf numFmtId="38" fontId="18" fillId="0" borderId="1" xfId="2" applyFont="1" applyFill="1" applyBorder="1" applyAlignment="1">
      <alignment vertical="center"/>
    </xf>
    <xf numFmtId="38" fontId="18" fillId="0" borderId="1" xfId="2" applyFont="1" applyFill="1" applyBorder="1" applyAlignment="1">
      <alignment horizontal="right" vertical="center"/>
    </xf>
    <xf numFmtId="38" fontId="18" fillId="0" borderId="11" xfId="2" applyFont="1" applyFill="1" applyBorder="1" applyAlignment="1">
      <alignment horizontal="right" vertical="center"/>
    </xf>
    <xf numFmtId="49" fontId="18" fillId="0" borderId="9" xfId="5" applyNumberFormat="1" applyFont="1" applyBorder="1" applyAlignment="1">
      <alignment horizontal="right" vertical="center"/>
    </xf>
    <xf numFmtId="38" fontId="18" fillId="0" borderId="0" xfId="2" applyFont="1" applyFill="1" applyBorder="1" applyAlignment="1">
      <alignment horizontal="right" vertical="center"/>
    </xf>
    <xf numFmtId="49" fontId="18" fillId="0" borderId="8" xfId="5" applyNumberFormat="1" applyFont="1" applyBorder="1" applyAlignment="1">
      <alignment horizontal="right" vertical="center"/>
    </xf>
    <xf numFmtId="49" fontId="18" fillId="0" borderId="0" xfId="5" applyNumberFormat="1" applyFont="1" applyAlignment="1">
      <alignment horizontal="left" vertical="center"/>
    </xf>
    <xf numFmtId="185" fontId="18" fillId="0" borderId="4" xfId="14" applyNumberFormat="1" applyFont="1" applyBorder="1" applyAlignment="1">
      <alignment vertical="center"/>
    </xf>
    <xf numFmtId="38" fontId="18" fillId="0" borderId="0" xfId="2" applyFont="1" applyFill="1" applyAlignment="1">
      <alignment vertical="center"/>
    </xf>
    <xf numFmtId="0" fontId="18" fillId="0" borderId="8" xfId="5" applyFont="1" applyBorder="1" applyAlignment="1">
      <alignment vertical="center"/>
    </xf>
    <xf numFmtId="38" fontId="18" fillId="0" borderId="8" xfId="2" applyFont="1" applyFill="1" applyBorder="1" applyAlignment="1">
      <alignment horizontal="right" vertical="center"/>
    </xf>
    <xf numFmtId="0" fontId="18" fillId="0" borderId="8" xfId="5" applyFont="1" applyBorder="1" applyAlignment="1">
      <alignment horizontal="distributed" vertical="center"/>
    </xf>
    <xf numFmtId="3" fontId="18" fillId="0" borderId="0" xfId="2" applyNumberFormat="1" applyFont="1" applyFill="1" applyBorder="1" applyAlignment="1">
      <alignment horizontal="right" vertical="center"/>
    </xf>
    <xf numFmtId="0" fontId="18" fillId="0" borderId="8" xfId="5" applyFont="1" applyBorder="1" applyAlignment="1">
      <alignment horizontal="right" vertical="center"/>
    </xf>
    <xf numFmtId="0" fontId="18" fillId="0" borderId="6" xfId="5" applyFont="1" applyBorder="1" applyAlignment="1">
      <alignment horizontal="right" vertical="center"/>
    </xf>
    <xf numFmtId="0" fontId="38" fillId="0" borderId="0" xfId="5" applyFont="1" applyAlignment="1">
      <alignment horizontal="center"/>
    </xf>
    <xf numFmtId="0" fontId="9" fillId="0" borderId="1" xfId="5" applyFont="1" applyBorder="1"/>
    <xf numFmtId="0" fontId="42" fillId="0" borderId="1" xfId="5" applyFont="1" applyBorder="1" applyAlignment="1">
      <alignment horizontal="left" vertical="center"/>
    </xf>
    <xf numFmtId="0" fontId="62" fillId="0" borderId="0" xfId="5" applyFont="1" applyAlignment="1">
      <alignment vertical="center"/>
    </xf>
    <xf numFmtId="0" fontId="62" fillId="0" borderId="0" xfId="5" applyFont="1" applyAlignment="1">
      <alignment horizontal="right" vertical="center"/>
    </xf>
    <xf numFmtId="37" fontId="62" fillId="0" borderId="0" xfId="15" applyFont="1" applyAlignment="1">
      <alignment horizontal="left" vertical="center"/>
    </xf>
    <xf numFmtId="0" fontId="62" fillId="0" borderId="0" xfId="5" applyFont="1" applyAlignment="1">
      <alignment horizontal="center" vertical="center"/>
    </xf>
    <xf numFmtId="37" fontId="62" fillId="0" borderId="0" xfId="15" applyFont="1" applyAlignment="1">
      <alignment vertical="center"/>
    </xf>
    <xf numFmtId="0" fontId="62" fillId="0" borderId="0" xfId="5" applyFont="1"/>
    <xf numFmtId="0" fontId="63" fillId="0" borderId="0" xfId="5" applyFont="1"/>
    <xf numFmtId="0" fontId="20" fillId="0" borderId="0" xfId="5" applyFont="1" applyAlignment="1">
      <alignment vertical="center"/>
    </xf>
    <xf numFmtId="38" fontId="18" fillId="0" borderId="0" xfId="5" applyNumberFormat="1" applyFont="1" applyAlignment="1">
      <alignment vertical="center"/>
    </xf>
    <xf numFmtId="0" fontId="20" fillId="0" borderId="0" xfId="5" applyFont="1"/>
    <xf numFmtId="38" fontId="49" fillId="0" borderId="0" xfId="2" applyFont="1" applyFill="1" applyBorder="1" applyAlignment="1">
      <alignment vertical="center"/>
    </xf>
    <xf numFmtId="0" fontId="18" fillId="0" borderId="0" xfId="5" applyFont="1" applyAlignment="1">
      <alignment vertical="top"/>
    </xf>
    <xf numFmtId="0" fontId="18" fillId="0" borderId="0" xfId="5" applyFont="1" applyAlignment="1">
      <alignment horizontal="right" vertical="top"/>
    </xf>
    <xf numFmtId="176" fontId="18" fillId="0" borderId="11" xfId="5" applyNumberFormat="1" applyFont="1" applyBorder="1" applyAlignment="1">
      <alignment horizontal="left" vertical="top"/>
    </xf>
    <xf numFmtId="3" fontId="18" fillId="0" borderId="9" xfId="2" applyNumberFormat="1" applyFont="1" applyFill="1" applyBorder="1" applyAlignment="1">
      <alignment vertical="top"/>
    </xf>
    <xf numFmtId="3" fontId="18" fillId="0" borderId="1" xfId="2" applyNumberFormat="1" applyFont="1" applyFill="1" applyBorder="1" applyAlignment="1">
      <alignment vertical="top"/>
    </xf>
    <xf numFmtId="3" fontId="18" fillId="0" borderId="1" xfId="2" applyNumberFormat="1" applyFont="1" applyFill="1" applyBorder="1" applyAlignment="1">
      <alignment horizontal="right" vertical="top"/>
    </xf>
    <xf numFmtId="3" fontId="18" fillId="0" borderId="1" xfId="5" applyNumberFormat="1" applyFont="1" applyBorder="1" applyAlignment="1">
      <alignment horizontal="right" vertical="top" wrapText="1"/>
    </xf>
    <xf numFmtId="3" fontId="18" fillId="0" borderId="1" xfId="5" applyNumberFormat="1" applyFont="1" applyBorder="1" applyAlignment="1">
      <alignment horizontal="right" vertical="top"/>
    </xf>
    <xf numFmtId="3" fontId="18" fillId="0" borderId="11" xfId="2" applyNumberFormat="1" applyFont="1" applyFill="1" applyBorder="1" applyAlignment="1">
      <alignment horizontal="right" vertical="top"/>
    </xf>
    <xf numFmtId="176" fontId="18" fillId="0" borderId="4" xfId="5" applyNumberFormat="1" applyFont="1" applyBorder="1" applyAlignment="1">
      <alignment horizontal="left"/>
    </xf>
    <xf numFmtId="3" fontId="18" fillId="0" borderId="8" xfId="5" applyNumberFormat="1" applyFont="1" applyBorder="1"/>
    <xf numFmtId="3" fontId="18" fillId="0" borderId="0" xfId="5" applyNumberFormat="1" applyFont="1"/>
    <xf numFmtId="3" fontId="18" fillId="0" borderId="0" xfId="5" applyNumberFormat="1" applyFont="1" applyAlignment="1">
      <alignment horizontal="center"/>
    </xf>
    <xf numFmtId="186" fontId="18" fillId="0" borderId="0" xfId="5" applyNumberFormat="1" applyFont="1" applyAlignment="1">
      <alignment horizontal="right"/>
    </xf>
    <xf numFmtId="186" fontId="18" fillId="0" borderId="4" xfId="5" applyNumberFormat="1" applyFont="1" applyBorder="1" applyAlignment="1">
      <alignment horizontal="right"/>
    </xf>
    <xf numFmtId="176" fontId="18" fillId="0" borderId="4" xfId="5" applyNumberFormat="1" applyFont="1" applyBorder="1" applyAlignment="1">
      <alignment horizontal="left" vertical="top"/>
    </xf>
    <xf numFmtId="3" fontId="18" fillId="0" borderId="8" xfId="2" applyNumberFormat="1" applyFont="1" applyFill="1" applyBorder="1" applyAlignment="1">
      <alignment vertical="top"/>
    </xf>
    <xf numFmtId="3" fontId="18" fillId="0" borderId="0" xfId="2" applyNumberFormat="1" applyFont="1" applyFill="1" applyBorder="1" applyAlignment="1">
      <alignment vertical="top"/>
    </xf>
    <xf numFmtId="3" fontId="18" fillId="0" borderId="0" xfId="5" applyNumberFormat="1" applyFont="1" applyAlignment="1">
      <alignment horizontal="right" vertical="top" wrapText="1"/>
    </xf>
    <xf numFmtId="3" fontId="18" fillId="0" borderId="0" xfId="5" applyNumberFormat="1" applyFont="1" applyAlignment="1">
      <alignment horizontal="right" vertical="top"/>
    </xf>
    <xf numFmtId="3" fontId="18" fillId="0" borderId="4" xfId="5" applyNumberFormat="1" applyFont="1" applyBorder="1" applyAlignment="1">
      <alignment horizontal="right" vertical="top" wrapText="1"/>
    </xf>
    <xf numFmtId="178" fontId="18" fillId="0" borderId="4" xfId="5" applyNumberFormat="1" applyFont="1" applyBorder="1" applyAlignment="1">
      <alignment horizontal="left"/>
    </xf>
    <xf numFmtId="3" fontId="18" fillId="0" borderId="0" xfId="5" applyNumberFormat="1" applyFont="1" applyAlignment="1">
      <alignment horizontal="right" wrapText="1"/>
    </xf>
    <xf numFmtId="178" fontId="18" fillId="0" borderId="4" xfId="5" applyNumberFormat="1" applyFont="1" applyBorder="1" applyAlignment="1">
      <alignment horizontal="left" vertical="top"/>
    </xf>
    <xf numFmtId="185" fontId="18" fillId="0" borderId="4" xfId="14" applyNumberFormat="1" applyFont="1" applyBorder="1"/>
    <xf numFmtId="3" fontId="18" fillId="0" borderId="0" xfId="5" applyNumberFormat="1" applyFont="1" applyAlignment="1">
      <alignment horizontal="right"/>
    </xf>
    <xf numFmtId="3" fontId="18" fillId="0" borderId="4" xfId="5" applyNumberFormat="1" applyFont="1" applyBorder="1" applyAlignment="1">
      <alignment horizontal="right" wrapText="1"/>
    </xf>
    <xf numFmtId="186" fontId="18" fillId="0" borderId="8" xfId="5" applyNumberFormat="1" applyFont="1" applyBorder="1" applyAlignment="1">
      <alignment horizontal="right"/>
    </xf>
    <xf numFmtId="3" fontId="18" fillId="0" borderId="8" xfId="2" applyNumberFormat="1" applyFont="1" applyFill="1" applyBorder="1" applyAlignment="1"/>
    <xf numFmtId="3" fontId="18" fillId="0" borderId="0" xfId="2" applyNumberFormat="1" applyFont="1" applyFill="1" applyBorder="1" applyAlignment="1"/>
    <xf numFmtId="0" fontId="18" fillId="0" borderId="4" xfId="5" applyFont="1" applyBorder="1" applyAlignment="1">
      <alignment horizontal="left"/>
    </xf>
    <xf numFmtId="186" fontId="18" fillId="0" borderId="0" xfId="5" applyNumberFormat="1" applyFont="1" applyAlignment="1">
      <alignment horizontal="right" wrapText="1"/>
    </xf>
    <xf numFmtId="3" fontId="18" fillId="0" borderId="0" xfId="2" applyNumberFormat="1" applyFont="1" applyFill="1" applyBorder="1" applyAlignment="1">
      <alignment horizontal="right"/>
    </xf>
    <xf numFmtId="3" fontId="18" fillId="0" borderId="4" xfId="2" applyNumberFormat="1" applyFont="1" applyFill="1" applyBorder="1" applyAlignment="1">
      <alignment horizontal="right"/>
    </xf>
    <xf numFmtId="179" fontId="18" fillId="0" borderId="4" xfId="5" applyNumberFormat="1" applyFont="1" applyBorder="1" applyAlignment="1">
      <alignment horizontal="left" vertical="top"/>
    </xf>
    <xf numFmtId="3" fontId="18" fillId="0" borderId="8" xfId="2" applyNumberFormat="1" applyFont="1" applyFill="1" applyBorder="1" applyAlignment="1">
      <alignment horizontal="right" vertical="top"/>
    </xf>
    <xf numFmtId="3" fontId="18" fillId="0" borderId="0" xfId="2" applyNumberFormat="1" applyFont="1" applyFill="1" applyBorder="1" applyAlignment="1">
      <alignment horizontal="right" vertical="top"/>
    </xf>
    <xf numFmtId="3" fontId="18" fillId="0" borderId="4" xfId="2" applyNumberFormat="1" applyFont="1" applyFill="1" applyBorder="1" applyAlignment="1">
      <alignment horizontal="right" vertical="top"/>
    </xf>
    <xf numFmtId="180" fontId="18" fillId="0" borderId="4" xfId="5" applyNumberFormat="1" applyFont="1" applyBorder="1" applyAlignment="1">
      <alignment horizontal="left"/>
    </xf>
    <xf numFmtId="180" fontId="18" fillId="0" borderId="4" xfId="5" applyNumberFormat="1" applyFont="1" applyBorder="1" applyAlignment="1">
      <alignment horizontal="left" vertical="top"/>
    </xf>
    <xf numFmtId="3" fontId="18" fillId="0" borderId="8" xfId="5" applyNumberFormat="1" applyFont="1" applyBorder="1" applyAlignment="1">
      <alignment horizontal="right" vertical="top" wrapText="1"/>
    </xf>
    <xf numFmtId="181" fontId="18" fillId="0" borderId="4" xfId="5" applyNumberFormat="1" applyFont="1" applyBorder="1" applyAlignment="1">
      <alignment horizontal="left"/>
    </xf>
    <xf numFmtId="181" fontId="18" fillId="0" borderId="4" xfId="5" applyNumberFormat="1" applyFont="1" applyBorder="1" applyAlignment="1">
      <alignment horizontal="left" vertical="top"/>
    </xf>
    <xf numFmtId="182" fontId="18" fillId="0" borderId="4" xfId="5" applyNumberFormat="1" applyFont="1" applyBorder="1" applyAlignment="1">
      <alignment horizontal="left"/>
    </xf>
    <xf numFmtId="182" fontId="18" fillId="0" borderId="4" xfId="5" applyNumberFormat="1" applyFont="1" applyBorder="1" applyAlignment="1">
      <alignment horizontal="left" vertical="top"/>
    </xf>
    <xf numFmtId="179" fontId="18" fillId="0" borderId="4" xfId="5" applyNumberFormat="1" applyFont="1" applyBorder="1" applyAlignment="1">
      <alignment horizontal="left"/>
    </xf>
    <xf numFmtId="3" fontId="18" fillId="0" borderId="4" xfId="5" applyNumberFormat="1" applyFont="1" applyBorder="1"/>
    <xf numFmtId="183" fontId="18" fillId="0" borderId="4" xfId="5" applyNumberFormat="1" applyFont="1" applyBorder="1" applyAlignment="1">
      <alignment horizontal="left" vertical="top"/>
    </xf>
    <xf numFmtId="183" fontId="18" fillId="0" borderId="4" xfId="5" applyNumberFormat="1" applyFont="1" applyBorder="1" applyAlignment="1">
      <alignment horizontal="left"/>
    </xf>
    <xf numFmtId="0" fontId="20" fillId="0" borderId="0" xfId="5" applyFont="1" applyAlignment="1">
      <alignment vertical="top"/>
    </xf>
    <xf numFmtId="184" fontId="18" fillId="0" borderId="4" xfId="5" applyNumberFormat="1" applyFont="1" applyBorder="1" applyAlignment="1">
      <alignment horizontal="left" vertical="top"/>
    </xf>
    <xf numFmtId="184" fontId="18" fillId="0" borderId="4" xfId="5" applyNumberFormat="1" applyFont="1" applyBorder="1" applyAlignment="1">
      <alignment horizontal="left"/>
    </xf>
    <xf numFmtId="38" fontId="18" fillId="0" borderId="0" xfId="2" applyFont="1" applyFill="1" applyBorder="1" applyAlignment="1">
      <alignment horizontal="right" vertical="top"/>
    </xf>
    <xf numFmtId="0" fontId="18" fillId="0" borderId="10" xfId="5" applyFont="1" applyBorder="1" applyAlignment="1">
      <alignment horizontal="center" vertical="center"/>
    </xf>
    <xf numFmtId="38" fontId="18" fillId="0" borderId="20" xfId="15" applyNumberFormat="1" applyFont="1" applyBorder="1" applyAlignment="1">
      <alignment horizontal="center" vertical="center" wrapText="1"/>
    </xf>
    <xf numFmtId="38" fontId="18" fillId="0" borderId="21" xfId="15" applyNumberFormat="1" applyFont="1" applyBorder="1" applyAlignment="1">
      <alignment horizontal="center" vertical="center" wrapText="1"/>
    </xf>
    <xf numFmtId="38" fontId="18" fillId="0" borderId="27" xfId="15" applyNumberFormat="1" applyFont="1" applyBorder="1" applyAlignment="1">
      <alignment vertical="center" wrapText="1"/>
    </xf>
    <xf numFmtId="38" fontId="18" fillId="0" borderId="28" xfId="15" applyNumberFormat="1" applyFont="1" applyBorder="1" applyAlignment="1">
      <alignment vertical="center" wrapText="1"/>
    </xf>
    <xf numFmtId="0" fontId="10" fillId="0" borderId="1" xfId="5" applyBorder="1" applyAlignment="1">
      <alignment vertical="center"/>
    </xf>
    <xf numFmtId="0" fontId="18" fillId="0" borderId="1" xfId="5" applyFont="1" applyBorder="1" applyAlignment="1">
      <alignment horizontal="left" vertical="center"/>
    </xf>
    <xf numFmtId="0" fontId="65" fillId="0" borderId="1" xfId="5" applyFont="1" applyBorder="1" applyAlignment="1">
      <alignment vertical="center"/>
    </xf>
    <xf numFmtId="0" fontId="15" fillId="0" borderId="1" xfId="5" applyFont="1" applyBorder="1" applyAlignment="1">
      <alignment horizontal="center" vertical="center"/>
    </xf>
    <xf numFmtId="0" fontId="15" fillId="0" borderId="1" xfId="12" applyFont="1" applyBorder="1" applyAlignment="1">
      <alignment vertical="center"/>
    </xf>
    <xf numFmtId="0" fontId="15" fillId="0" borderId="0" xfId="5" applyFont="1" applyAlignment="1">
      <alignment vertical="center"/>
    </xf>
    <xf numFmtId="187" fontId="67" fillId="0" borderId="0" xfId="2" applyNumberFormat="1" applyFont="1" applyFill="1" applyBorder="1" applyAlignment="1">
      <alignment horizontal="right" vertical="center"/>
    </xf>
    <xf numFmtId="0" fontId="10" fillId="0" borderId="0" xfId="16">
      <alignment vertical="center"/>
    </xf>
    <xf numFmtId="37" fontId="18" fillId="0" borderId="0" xfId="16" applyNumberFormat="1" applyFont="1" applyAlignment="1">
      <alignment horizontal="right" vertical="center"/>
    </xf>
    <xf numFmtId="37" fontId="18" fillId="0" borderId="11" xfId="16" applyNumberFormat="1" applyFont="1" applyBorder="1" applyAlignment="1">
      <alignment horizontal="left" vertical="center"/>
    </xf>
    <xf numFmtId="37" fontId="18" fillId="0" borderId="9" xfId="16" applyNumberFormat="1" applyFont="1" applyBorder="1" applyAlignment="1">
      <alignment horizontal="right" vertical="center"/>
    </xf>
    <xf numFmtId="37" fontId="18" fillId="0" borderId="1" xfId="16" applyNumberFormat="1" applyFont="1" applyBorder="1" applyAlignment="1">
      <alignment horizontal="right" vertical="center"/>
    </xf>
    <xf numFmtId="37" fontId="18" fillId="0" borderId="11" xfId="16" applyNumberFormat="1" applyFont="1" applyBorder="1" applyAlignment="1">
      <alignment horizontal="right" vertical="center"/>
    </xf>
    <xf numFmtId="37" fontId="18" fillId="0" borderId="4" xfId="16" applyNumberFormat="1" applyFont="1" applyBorder="1" applyAlignment="1">
      <alignment horizontal="left" vertical="center"/>
    </xf>
    <xf numFmtId="37" fontId="18" fillId="0" borderId="8" xfId="16" applyNumberFormat="1" applyFont="1" applyBorder="1" applyAlignment="1">
      <alignment horizontal="right" vertical="center"/>
    </xf>
    <xf numFmtId="0" fontId="18" fillId="0" borderId="0" xfId="16" applyFont="1" applyAlignment="1">
      <alignment horizontal="center" vertical="center" wrapText="1"/>
    </xf>
    <xf numFmtId="0" fontId="18" fillId="0" borderId="30" xfId="16" applyFont="1" applyBorder="1" applyAlignment="1">
      <alignment horizontal="center" vertical="center" wrapText="1"/>
    </xf>
    <xf numFmtId="0" fontId="14" fillId="0" borderId="0" xfId="16" applyFont="1" applyAlignment="1">
      <alignment horizontal="center" vertical="center"/>
    </xf>
    <xf numFmtId="0" fontId="18" fillId="0" borderId="31" xfId="16" applyFont="1" applyBorder="1" applyAlignment="1">
      <alignment horizontal="center" vertical="center" wrapText="1"/>
    </xf>
    <xf numFmtId="0" fontId="20" fillId="0" borderId="30" xfId="16" applyFont="1" applyBorder="1" applyAlignment="1">
      <alignment horizontal="center" vertical="center" wrapText="1"/>
    </xf>
    <xf numFmtId="0" fontId="18" fillId="0" borderId="0" xfId="16" applyFont="1" applyAlignment="1">
      <alignment horizontal="right"/>
    </xf>
    <xf numFmtId="38" fontId="69" fillId="0" borderId="0" xfId="2" applyFont="1" applyFill="1" applyBorder="1" applyAlignment="1">
      <alignment vertical="center"/>
    </xf>
    <xf numFmtId="38" fontId="69" fillId="0" borderId="0" xfId="2" applyFont="1" applyFill="1" applyBorder="1" applyAlignment="1">
      <alignment horizontal="right" vertical="center"/>
    </xf>
    <xf numFmtId="0" fontId="59" fillId="0" borderId="0" xfId="5" applyFont="1" applyAlignment="1">
      <alignment horizontal="right" vertical="center"/>
    </xf>
    <xf numFmtId="49" fontId="69" fillId="0" borderId="0" xfId="5" applyNumberFormat="1" applyFont="1" applyAlignment="1">
      <alignment horizontal="right" vertical="center"/>
    </xf>
    <xf numFmtId="0" fontId="59" fillId="0" borderId="0" xfId="5" applyFont="1" applyAlignment="1">
      <alignment horizontal="center" vertical="center"/>
    </xf>
    <xf numFmtId="0" fontId="60" fillId="0" borderId="0" xfId="5" applyFont="1" applyAlignment="1">
      <alignment vertical="center"/>
    </xf>
    <xf numFmtId="0" fontId="60" fillId="0" borderId="0" xfId="5" applyFont="1" applyAlignment="1">
      <alignment horizontal="left" vertical="center"/>
    </xf>
    <xf numFmtId="3" fontId="18" fillId="0" borderId="1" xfId="2" applyNumberFormat="1" applyFont="1" applyFill="1" applyBorder="1" applyAlignment="1">
      <alignment horizontal="right" vertical="center"/>
    </xf>
    <xf numFmtId="3" fontId="18" fillId="0" borderId="11" xfId="2" applyNumberFormat="1" applyFont="1" applyFill="1" applyBorder="1" applyAlignment="1">
      <alignment horizontal="right" vertical="center"/>
    </xf>
    <xf numFmtId="3" fontId="18" fillId="0" borderId="0" xfId="5" applyNumberFormat="1" applyFont="1" applyAlignment="1">
      <alignment vertical="center"/>
    </xf>
    <xf numFmtId="3" fontId="18" fillId="0" borderId="0" xfId="5" applyNumberFormat="1" applyFont="1" applyAlignment="1">
      <alignment horizontal="right" vertical="center"/>
    </xf>
    <xf numFmtId="3" fontId="49" fillId="0" borderId="0" xfId="2" applyNumberFormat="1" applyFont="1" applyFill="1" applyBorder="1" applyAlignment="1">
      <alignment horizontal="right" vertical="center"/>
    </xf>
    <xf numFmtId="3" fontId="18" fillId="0" borderId="35" xfId="2" applyNumberFormat="1" applyFont="1" applyFill="1" applyBorder="1" applyAlignment="1">
      <alignment horizontal="right" vertical="center"/>
    </xf>
    <xf numFmtId="3" fontId="18" fillId="0" borderId="0" xfId="2" applyNumberFormat="1" applyFont="1" applyFill="1" applyAlignment="1">
      <alignment horizontal="right" vertical="center"/>
    </xf>
    <xf numFmtId="3" fontId="49" fillId="0" borderId="0" xfId="2" applyNumberFormat="1" applyFont="1" applyFill="1" applyAlignment="1">
      <alignment horizontal="right" vertical="center"/>
    </xf>
    <xf numFmtId="0" fontId="18" fillId="0" borderId="4" xfId="5" applyFont="1" applyBorder="1" applyAlignment="1">
      <alignment vertical="center"/>
    </xf>
    <xf numFmtId="0" fontId="18" fillId="0" borderId="4" xfId="5" applyFont="1" applyBorder="1"/>
    <xf numFmtId="0" fontId="9" fillId="0" borderId="0" xfId="5" applyFont="1" applyAlignment="1">
      <alignment horizontal="left" vertical="center"/>
    </xf>
    <xf numFmtId="0" fontId="59" fillId="0" borderId="0" xfId="5" applyFont="1"/>
    <xf numFmtId="188" fontId="59" fillId="0" borderId="0" xfId="5" applyNumberFormat="1" applyFont="1"/>
    <xf numFmtId="188" fontId="59" fillId="0" borderId="0" xfId="5" applyNumberFormat="1" applyFont="1" applyAlignment="1">
      <alignment horizontal="left"/>
    </xf>
    <xf numFmtId="0" fontId="59" fillId="0" borderId="0" xfId="5" applyFont="1" applyAlignment="1">
      <alignment horizontal="left"/>
    </xf>
    <xf numFmtId="38" fontId="19" fillId="0" borderId="0" xfId="5" applyNumberFormat="1" applyFont="1"/>
    <xf numFmtId="0" fontId="19" fillId="0" borderId="0" xfId="5" applyFont="1" applyAlignment="1">
      <alignment horizontal="left"/>
    </xf>
    <xf numFmtId="0" fontId="19" fillId="0" borderId="0" xfId="5" applyFont="1"/>
    <xf numFmtId="38" fontId="18" fillId="0" borderId="10" xfId="5" applyNumberFormat="1" applyFont="1" applyBorder="1"/>
    <xf numFmtId="0" fontId="18" fillId="0" borderId="9" xfId="5" applyFont="1" applyBorder="1"/>
    <xf numFmtId="38" fontId="18" fillId="0" borderId="10" xfId="5" applyNumberFormat="1" applyFont="1" applyBorder="1" applyAlignment="1">
      <alignment horizontal="right"/>
    </xf>
    <xf numFmtId="38" fontId="18" fillId="0" borderId="7" xfId="5" applyNumberFormat="1" applyFont="1" applyBorder="1"/>
    <xf numFmtId="0" fontId="18" fillId="0" borderId="8" xfId="5" applyFont="1" applyBorder="1"/>
    <xf numFmtId="38" fontId="18" fillId="0" borderId="7" xfId="5" applyNumberFormat="1" applyFont="1" applyBorder="1" applyAlignment="1">
      <alignment horizontal="right"/>
    </xf>
    <xf numFmtId="38" fontId="18" fillId="0" borderId="4" xfId="5" applyNumberFormat="1" applyFont="1" applyBorder="1"/>
    <xf numFmtId="188" fontId="18" fillId="0" borderId="0" xfId="5" applyNumberFormat="1" applyFont="1"/>
    <xf numFmtId="188" fontId="18" fillId="0" borderId="4" xfId="5" applyNumberFormat="1" applyFont="1" applyBorder="1"/>
    <xf numFmtId="188" fontId="18" fillId="0" borderId="7" xfId="5" applyNumberFormat="1" applyFont="1" applyBorder="1"/>
    <xf numFmtId="188" fontId="18" fillId="0" borderId="8" xfId="5" applyNumberFormat="1" applyFont="1" applyBorder="1"/>
    <xf numFmtId="38" fontId="49" fillId="0" borderId="7" xfId="5" applyNumberFormat="1" applyFont="1" applyBorder="1"/>
    <xf numFmtId="38" fontId="49" fillId="0" borderId="6" xfId="5" applyNumberFormat="1" applyFont="1" applyBorder="1"/>
    <xf numFmtId="38" fontId="49" fillId="0" borderId="3" xfId="5" applyNumberFormat="1" applyFont="1" applyBorder="1" applyAlignment="1">
      <alignment horizontal="right"/>
    </xf>
    <xf numFmtId="38" fontId="49" fillId="0" borderId="3" xfId="5" applyNumberFormat="1" applyFont="1" applyBorder="1"/>
    <xf numFmtId="38" fontId="18" fillId="0" borderId="0" xfId="5" applyNumberFormat="1" applyFont="1"/>
    <xf numFmtId="188" fontId="18" fillId="0" borderId="11" xfId="5" applyNumberFormat="1" applyFont="1" applyBorder="1"/>
    <xf numFmtId="0" fontId="49" fillId="0" borderId="4" xfId="5" applyFont="1" applyBorder="1" applyAlignment="1">
      <alignment wrapText="1"/>
    </xf>
    <xf numFmtId="38" fontId="49" fillId="0" borderId="7" xfId="5" applyNumberFormat="1" applyFont="1" applyBorder="1" applyAlignment="1">
      <alignment horizontal="right"/>
    </xf>
    <xf numFmtId="38" fontId="49" fillId="0" borderId="4" xfId="5" applyNumberFormat="1" applyFont="1" applyBorder="1"/>
    <xf numFmtId="188" fontId="49" fillId="0" borderId="8" xfId="5" applyNumberFormat="1" applyFont="1" applyBorder="1"/>
    <xf numFmtId="188" fontId="18" fillId="0" borderId="1" xfId="5" applyNumberFormat="1" applyFont="1" applyBorder="1"/>
    <xf numFmtId="188" fontId="18" fillId="0" borderId="9" xfId="5" applyNumberFormat="1" applyFont="1" applyBorder="1"/>
    <xf numFmtId="188" fontId="49" fillId="0" borderId="4" xfId="5" applyNumberFormat="1" applyFont="1" applyBorder="1"/>
    <xf numFmtId="188" fontId="18" fillId="0" borderId="10" xfId="5" applyNumberFormat="1" applyFont="1" applyBorder="1"/>
    <xf numFmtId="188" fontId="18" fillId="0" borderId="0" xfId="5" applyNumberFormat="1" applyFont="1" applyAlignment="1">
      <alignment horizontal="center"/>
    </xf>
    <xf numFmtId="0" fontId="49" fillId="0" borderId="5" xfId="5" applyFont="1" applyBorder="1" applyAlignment="1">
      <alignment wrapText="1"/>
    </xf>
    <xf numFmtId="188" fontId="49" fillId="0" borderId="6" xfId="5" applyNumberFormat="1" applyFont="1" applyBorder="1"/>
    <xf numFmtId="188" fontId="18" fillId="0" borderId="0" xfId="5" applyNumberFormat="1" applyFont="1" applyAlignment="1">
      <alignment horizontal="left"/>
    </xf>
    <xf numFmtId="176" fontId="18" fillId="0" borderId="10" xfId="5" applyNumberFormat="1" applyFont="1" applyBorder="1" applyAlignment="1">
      <alignment horizontal="center"/>
    </xf>
    <xf numFmtId="178" fontId="18" fillId="0" borderId="10" xfId="5" applyNumberFormat="1" applyFont="1" applyBorder="1" applyAlignment="1">
      <alignment horizontal="center"/>
    </xf>
    <xf numFmtId="189" fontId="18" fillId="0" borderId="10" xfId="5" applyNumberFormat="1" applyFont="1" applyBorder="1" applyAlignment="1">
      <alignment horizontal="center"/>
    </xf>
    <xf numFmtId="184" fontId="18" fillId="0" borderId="10" xfId="5" applyNumberFormat="1" applyFont="1" applyBorder="1" applyAlignment="1">
      <alignment horizontal="center"/>
    </xf>
    <xf numFmtId="188" fontId="49" fillId="0" borderId="0" xfId="5" applyNumberFormat="1" applyFont="1"/>
    <xf numFmtId="190" fontId="18" fillId="0" borderId="3" xfId="5" quotePrefix="1" applyNumberFormat="1" applyFont="1" applyBorder="1" applyAlignment="1">
      <alignment horizontal="center"/>
    </xf>
    <xf numFmtId="188" fontId="18" fillId="0" borderId="0" xfId="5" applyNumberFormat="1" applyFont="1" applyAlignment="1">
      <alignment horizontal="right"/>
    </xf>
    <xf numFmtId="188" fontId="59" fillId="0" borderId="1" xfId="5" applyNumberFormat="1" applyFont="1" applyBorder="1"/>
    <xf numFmtId="188" fontId="69" fillId="0" borderId="0" xfId="5" applyNumberFormat="1" applyFont="1"/>
    <xf numFmtId="188" fontId="15" fillId="0" borderId="0" xfId="5" applyNumberFormat="1" applyFont="1"/>
    <xf numFmtId="188" fontId="15" fillId="0" borderId="0" xfId="12" applyNumberFormat="1" applyFont="1"/>
    <xf numFmtId="0" fontId="76" fillId="0" borderId="0" xfId="5" applyFont="1"/>
    <xf numFmtId="188" fontId="76" fillId="0" borderId="0" xfId="5" applyNumberFormat="1" applyFont="1"/>
    <xf numFmtId="188" fontId="76" fillId="0" borderId="0" xfId="5" applyNumberFormat="1" applyFont="1" applyAlignment="1">
      <alignment horizontal="left"/>
    </xf>
    <xf numFmtId="188" fontId="76" fillId="0" borderId="0" xfId="5" applyNumberFormat="1" applyFont="1" applyAlignment="1">
      <alignment horizontal="right"/>
    </xf>
    <xf numFmtId="192" fontId="10" fillId="0" borderId="0" xfId="5" applyNumberFormat="1"/>
    <xf numFmtId="0" fontId="64" fillId="0" borderId="0" xfId="5" applyFont="1"/>
    <xf numFmtId="192" fontId="64" fillId="0" borderId="0" xfId="5" applyNumberFormat="1" applyFont="1"/>
    <xf numFmtId="192" fontId="64" fillId="0" borderId="0" xfId="5" applyNumberFormat="1" applyFont="1" applyAlignment="1">
      <alignment horizontal="right"/>
    </xf>
    <xf numFmtId="38" fontId="64" fillId="0" borderId="0" xfId="5" applyNumberFormat="1" applyFont="1"/>
    <xf numFmtId="38" fontId="18" fillId="0" borderId="7" xfId="2" applyFont="1" applyFill="1" applyBorder="1" applyAlignment="1">
      <alignment horizontal="right"/>
    </xf>
    <xf numFmtId="49" fontId="19" fillId="0" borderId="8" xfId="5" quotePrefix="1" applyNumberFormat="1" applyFont="1" applyBorder="1" applyAlignment="1">
      <alignment horizontal="left"/>
    </xf>
    <xf numFmtId="3" fontId="18" fillId="0" borderId="4" xfId="5" quotePrefix="1" applyNumberFormat="1" applyFont="1" applyBorder="1" applyAlignment="1">
      <alignment horizontal="left"/>
    </xf>
    <xf numFmtId="49" fontId="75" fillId="0" borderId="8" xfId="5" applyNumberFormat="1" applyFont="1" applyBorder="1" applyAlignment="1">
      <alignment horizontal="right"/>
    </xf>
    <xf numFmtId="38" fontId="18" fillId="0" borderId="4" xfId="2" quotePrefix="1" applyFont="1" applyFill="1" applyBorder="1" applyAlignment="1">
      <alignment horizontal="left"/>
    </xf>
    <xf numFmtId="38" fontId="18" fillId="0" borderId="4" xfId="2" applyFont="1" applyFill="1" applyBorder="1" applyAlignment="1"/>
    <xf numFmtId="49" fontId="19" fillId="0" borderId="0" xfId="5" applyNumberFormat="1" applyFont="1"/>
    <xf numFmtId="49" fontId="19" fillId="0" borderId="0" xfId="5" quotePrefix="1" applyNumberFormat="1" applyFont="1" applyAlignment="1">
      <alignment horizontal="left"/>
    </xf>
    <xf numFmtId="49" fontId="19" fillId="0" borderId="8" xfId="5" applyNumberFormat="1" applyFont="1" applyBorder="1" applyAlignment="1">
      <alignment horizontal="right"/>
    </xf>
    <xf numFmtId="0" fontId="77" fillId="0" borderId="0" xfId="5" applyFont="1"/>
    <xf numFmtId="0" fontId="15" fillId="0" borderId="0" xfId="5" quotePrefix="1" applyFont="1" applyAlignment="1">
      <alignment horizontal="left"/>
    </xf>
    <xf numFmtId="0" fontId="64" fillId="0" borderId="0" xfId="5" applyFont="1" applyAlignment="1">
      <alignment vertical="center"/>
    </xf>
    <xf numFmtId="3" fontId="64" fillId="0" borderId="0" xfId="5" applyNumberFormat="1" applyFont="1" applyAlignment="1">
      <alignment vertical="center"/>
    </xf>
    <xf numFmtId="38" fontId="59" fillId="0" borderId="0" xfId="2" applyFont="1" applyFill="1"/>
    <xf numFmtId="197" fontId="18" fillId="0" borderId="7" xfId="5" applyNumberFormat="1" applyFont="1" applyBorder="1"/>
    <xf numFmtId="196" fontId="18" fillId="0" borderId="7" xfId="5" applyNumberFormat="1" applyFont="1" applyBorder="1"/>
    <xf numFmtId="38" fontId="18" fillId="0" borderId="7" xfId="2" applyFont="1" applyFill="1" applyBorder="1" applyAlignment="1"/>
    <xf numFmtId="38" fontId="18" fillId="0" borderId="23" xfId="2" applyFont="1" applyFill="1" applyBorder="1"/>
    <xf numFmtId="196" fontId="18" fillId="0" borderId="7" xfId="5" applyNumberFormat="1" applyFont="1" applyBorder="1" applyAlignment="1">
      <alignment horizontal="right"/>
    </xf>
    <xf numFmtId="40" fontId="64" fillId="0" borderId="0" xfId="5" applyNumberFormat="1" applyFont="1"/>
    <xf numFmtId="38" fontId="59" fillId="0" borderId="0" xfId="5" applyNumberFormat="1" applyFont="1"/>
    <xf numFmtId="196" fontId="18" fillId="0" borderId="7" xfId="2" applyNumberFormat="1" applyFont="1" applyFill="1" applyBorder="1" applyAlignment="1"/>
    <xf numFmtId="198" fontId="64" fillId="0" borderId="0" xfId="5" applyNumberFormat="1" applyFont="1"/>
    <xf numFmtId="3" fontId="64" fillId="0" borderId="0" xfId="5" applyNumberFormat="1" applyFont="1"/>
    <xf numFmtId="197" fontId="18" fillId="0" borderId="7" xfId="2" applyNumberFormat="1" applyFont="1" applyFill="1" applyBorder="1" applyAlignment="1"/>
    <xf numFmtId="193" fontId="18" fillId="0" borderId="7" xfId="12" applyNumberFormat="1" applyFont="1" applyBorder="1" applyAlignment="1">
      <alignment horizontal="center" vertical="center" wrapText="1"/>
    </xf>
    <xf numFmtId="194" fontId="18" fillId="0" borderId="7" xfId="2" applyNumberFormat="1" applyFont="1" applyFill="1" applyBorder="1" applyAlignment="1">
      <alignment horizontal="center" vertical="center" wrapText="1"/>
    </xf>
    <xf numFmtId="193" fontId="18" fillId="0" borderId="0" xfId="5" applyNumberFormat="1" applyFont="1" applyAlignment="1">
      <alignment horizontal="left" indent="1"/>
    </xf>
    <xf numFmtId="40" fontId="18" fillId="0" borderId="0" xfId="2" applyNumberFormat="1" applyFont="1" applyFill="1" applyBorder="1" applyAlignment="1"/>
    <xf numFmtId="199" fontId="18" fillId="0" borderId="0" xfId="2" applyNumberFormat="1" applyFont="1" applyFill="1" applyBorder="1" applyAlignment="1"/>
    <xf numFmtId="0" fontId="18" fillId="0" borderId="0" xfId="5" quotePrefix="1" applyFont="1"/>
    <xf numFmtId="38" fontId="18" fillId="0" borderId="0" xfId="2" applyFont="1" applyFill="1" applyBorder="1" applyAlignment="1">
      <alignment horizontal="right"/>
    </xf>
    <xf numFmtId="38" fontId="18" fillId="0" borderId="0" xfId="2" applyFont="1" applyFill="1" applyBorder="1"/>
    <xf numFmtId="0" fontId="79" fillId="0" borderId="0" xfId="5" applyFont="1"/>
    <xf numFmtId="38" fontId="15" fillId="0" borderId="0" xfId="5" applyNumberFormat="1" applyFont="1"/>
    <xf numFmtId="0" fontId="18" fillId="0" borderId="0" xfId="5" applyFont="1" applyAlignment="1">
      <alignment wrapText="1"/>
    </xf>
    <xf numFmtId="193" fontId="18" fillId="0" borderId="0" xfId="5" applyNumberFormat="1" applyFont="1"/>
    <xf numFmtId="0" fontId="49" fillId="0" borderId="8" xfId="5" applyFont="1" applyBorder="1" applyAlignment="1">
      <alignment horizontal="centerContinuous"/>
    </xf>
    <xf numFmtId="193" fontId="18" fillId="0" borderId="0" xfId="5" applyNumberFormat="1" applyFont="1" applyAlignment="1">
      <alignment vertical="center"/>
    </xf>
    <xf numFmtId="0" fontId="18" fillId="0" borderId="0" xfId="5" quotePrefix="1" applyFont="1" applyAlignment="1">
      <alignment horizontal="left" vertical="center"/>
    </xf>
    <xf numFmtId="193" fontId="18" fillId="0" borderId="7" xfId="5" applyNumberFormat="1" applyFont="1" applyBorder="1" applyAlignment="1">
      <alignment horizontal="center" vertical="center" wrapText="1"/>
    </xf>
    <xf numFmtId="0" fontId="18" fillId="0" borderId="0" xfId="5" quotePrefix="1" applyFont="1" applyAlignment="1">
      <alignment wrapText="1"/>
    </xf>
    <xf numFmtId="40" fontId="18" fillId="0" borderId="7" xfId="2" applyNumberFormat="1" applyFont="1" applyFill="1" applyBorder="1" applyAlignment="1">
      <alignment horizontal="right"/>
    </xf>
    <xf numFmtId="0" fontId="64" fillId="0" borderId="0" xfId="5" quotePrefix="1" applyFont="1" applyAlignment="1">
      <alignment horizontal="left"/>
    </xf>
    <xf numFmtId="38" fontId="18" fillId="0" borderId="7" xfId="5" applyNumberFormat="1" applyFont="1" applyBorder="1" applyAlignment="1">
      <alignment horizontal="center" vertical="center" wrapText="1"/>
    </xf>
    <xf numFmtId="199" fontId="18" fillId="0" borderId="7" xfId="2" applyNumberFormat="1" applyFont="1" applyFill="1" applyBorder="1" applyAlignment="1">
      <alignment horizontal="right"/>
    </xf>
    <xf numFmtId="0" fontId="49" fillId="0" borderId="0" xfId="5" applyFont="1" applyAlignment="1">
      <alignment horizontal="centerContinuous"/>
    </xf>
    <xf numFmtId="193" fontId="18" fillId="0" borderId="7" xfId="12" applyNumberFormat="1" applyFont="1" applyBorder="1" applyAlignment="1">
      <alignment horizontal="center" vertical="center"/>
    </xf>
    <xf numFmtId="38" fontId="18" fillId="0" borderId="7" xfId="12" quotePrefix="1" applyNumberFormat="1" applyFont="1" applyBorder="1" applyAlignment="1">
      <alignment horizontal="center" vertical="center" wrapText="1"/>
    </xf>
    <xf numFmtId="38" fontId="18" fillId="0" borderId="7" xfId="12" applyNumberFormat="1" applyFont="1" applyBorder="1" applyAlignment="1">
      <alignment horizontal="center" vertical="center" wrapText="1"/>
    </xf>
    <xf numFmtId="0" fontId="18" fillId="0" borderId="7" xfId="12" applyFont="1" applyBorder="1" applyAlignment="1">
      <alignment horizontal="center" vertical="center" wrapText="1"/>
    </xf>
    <xf numFmtId="195" fontId="18" fillId="0" borderId="0" xfId="12" applyNumberFormat="1" applyFont="1" applyAlignment="1">
      <alignment horizontal="center" vertical="center" wrapText="1"/>
    </xf>
    <xf numFmtId="194" fontId="18" fillId="0" borderId="7" xfId="2" applyNumberFormat="1" applyFont="1" applyFill="1" applyBorder="1" applyAlignment="1">
      <alignment horizontal="center" vertical="center"/>
    </xf>
    <xf numFmtId="193" fontId="18" fillId="0" borderId="7" xfId="12" quotePrefix="1" applyNumberFormat="1" applyFont="1" applyBorder="1" applyAlignment="1">
      <alignment horizontal="center" vertical="center" wrapText="1"/>
    </xf>
    <xf numFmtId="193" fontId="20" fillId="0" borderId="7" xfId="12" quotePrefix="1" applyNumberFormat="1" applyFont="1" applyBorder="1" applyAlignment="1">
      <alignment horizontal="center" vertical="center" wrapText="1"/>
    </xf>
    <xf numFmtId="197" fontId="18" fillId="0" borderId="7" xfId="2" applyNumberFormat="1" applyFont="1" applyFill="1" applyBorder="1" applyAlignment="1">
      <alignment horizontal="right"/>
    </xf>
    <xf numFmtId="176" fontId="18" fillId="0" borderId="0" xfId="5" applyNumberFormat="1" applyFont="1" applyAlignment="1">
      <alignment horizontal="left"/>
    </xf>
    <xf numFmtId="176" fontId="18" fillId="0" borderId="11" xfId="5" applyNumberFormat="1" applyFont="1" applyBorder="1" applyAlignment="1">
      <alignment horizontal="left"/>
    </xf>
    <xf numFmtId="200" fontId="18" fillId="0" borderId="1" xfId="5" applyNumberFormat="1" applyFont="1" applyBorder="1" applyAlignment="1">
      <alignment horizontal="right"/>
    </xf>
    <xf numFmtId="38" fontId="18" fillId="0" borderId="1" xfId="2" applyFont="1" applyFill="1" applyBorder="1" applyAlignment="1">
      <alignment horizontal="right"/>
    </xf>
    <xf numFmtId="201" fontId="18" fillId="0" borderId="1" xfId="5" applyNumberFormat="1" applyFont="1" applyBorder="1" applyAlignment="1">
      <alignment horizontal="right"/>
    </xf>
    <xf numFmtId="200" fontId="18" fillId="0" borderId="11" xfId="5" applyNumberFormat="1" applyFont="1" applyBorder="1" applyAlignment="1">
      <alignment horizontal="right"/>
    </xf>
    <xf numFmtId="200" fontId="18" fillId="0" borderId="0" xfId="5" applyNumberFormat="1" applyFont="1" applyAlignment="1">
      <alignment horizontal="right"/>
    </xf>
    <xf numFmtId="201" fontId="18" fillId="0" borderId="0" xfId="5" applyNumberFormat="1" applyFont="1"/>
    <xf numFmtId="200" fontId="18" fillId="0" borderId="4" xfId="5" applyNumberFormat="1" applyFont="1" applyBorder="1" applyAlignment="1">
      <alignment horizontal="right"/>
    </xf>
    <xf numFmtId="200" fontId="18" fillId="0" borderId="8" xfId="5" applyNumberFormat="1" applyFont="1" applyBorder="1" applyAlignment="1">
      <alignment horizontal="right"/>
    </xf>
    <xf numFmtId="202" fontId="18" fillId="0" borderId="0" xfId="5" applyNumberFormat="1" applyFont="1" applyAlignment="1">
      <alignment horizontal="right"/>
    </xf>
    <xf numFmtId="202" fontId="18" fillId="0" borderId="4" xfId="5" applyNumberFormat="1" applyFont="1" applyBorder="1" applyAlignment="1">
      <alignment horizontal="right"/>
    </xf>
    <xf numFmtId="0" fontId="10" fillId="0" borderId="0" xfId="5" applyAlignment="1">
      <alignment horizontal="center" vertical="center" wrapText="1"/>
    </xf>
    <xf numFmtId="0" fontId="18" fillId="0" borderId="30" xfId="5" applyFont="1" applyBorder="1" applyAlignment="1">
      <alignment horizontal="center" vertical="center" wrapText="1"/>
    </xf>
    <xf numFmtId="0" fontId="18" fillId="0" borderId="30" xfId="5" quotePrefix="1" applyFont="1" applyBorder="1" applyAlignment="1">
      <alignment horizontal="center" vertical="center" wrapText="1"/>
    </xf>
    <xf numFmtId="0" fontId="18" fillId="0" borderId="0" xfId="5" quotePrefix="1" applyFont="1" applyAlignment="1">
      <alignment horizontal="center" vertical="center" wrapText="1"/>
    </xf>
    <xf numFmtId="0" fontId="80" fillId="0" borderId="0" xfId="5" applyFont="1"/>
    <xf numFmtId="200" fontId="18" fillId="0" borderId="9" xfId="2" quotePrefix="1" applyNumberFormat="1" applyFont="1" applyFill="1" applyBorder="1"/>
    <xf numFmtId="200" fontId="18" fillId="0" borderId="1" xfId="2" quotePrefix="1" applyNumberFormat="1" applyFont="1" applyFill="1" applyBorder="1"/>
    <xf numFmtId="200" fontId="18" fillId="0" borderId="1" xfId="2" applyNumberFormat="1" applyFont="1" applyFill="1" applyBorder="1"/>
    <xf numFmtId="200" fontId="18" fillId="0" borderId="11" xfId="2" quotePrefix="1" applyNumberFormat="1" applyFont="1" applyFill="1" applyBorder="1"/>
    <xf numFmtId="200" fontId="18" fillId="0" borderId="8" xfId="2" applyNumberFormat="1" applyFont="1" applyFill="1" applyBorder="1"/>
    <xf numFmtId="200" fontId="18" fillId="0" borderId="0" xfId="2" applyNumberFormat="1" applyFont="1" applyFill="1" applyBorder="1"/>
    <xf numFmtId="200" fontId="18" fillId="0" borderId="4" xfId="2" applyNumberFormat="1" applyFont="1" applyFill="1" applyBorder="1"/>
    <xf numFmtId="200" fontId="18" fillId="0" borderId="0" xfId="2" applyNumberFormat="1" applyFont="1" applyFill="1" applyBorder="1" applyAlignment="1">
      <alignment horizontal="right"/>
    </xf>
    <xf numFmtId="38" fontId="18" fillId="0" borderId="8" xfId="2" applyFont="1" applyFill="1" applyBorder="1"/>
    <xf numFmtId="38" fontId="18" fillId="0" borderId="0" xfId="2" applyFont="1" applyFill="1"/>
    <xf numFmtId="38" fontId="18" fillId="0" borderId="4" xfId="2" applyFont="1" applyFill="1" applyBorder="1"/>
    <xf numFmtId="0" fontId="77" fillId="0" borderId="0" xfId="5" applyFont="1" applyAlignment="1">
      <alignment horizontal="center" vertical="center"/>
    </xf>
    <xf numFmtId="0" fontId="18" fillId="0" borderId="1" xfId="5" applyFont="1" applyBorder="1" applyAlignment="1">
      <alignment horizontal="center" vertical="top" wrapText="1"/>
    </xf>
    <xf numFmtId="0" fontId="77" fillId="0" borderId="0" xfId="5" applyFont="1" applyAlignment="1">
      <alignment vertical="center"/>
    </xf>
    <xf numFmtId="0" fontId="18" fillId="0" borderId="12" xfId="5" applyFont="1" applyBorder="1" applyAlignment="1">
      <alignment horizontal="centerContinuous" vertical="center"/>
    </xf>
    <xf numFmtId="0" fontId="18" fillId="0" borderId="31" xfId="5" applyFont="1" applyBorder="1" applyAlignment="1">
      <alignment horizontal="centerContinuous" vertical="center"/>
    </xf>
    <xf numFmtId="0" fontId="18" fillId="0" borderId="13" xfId="5" applyFont="1" applyBorder="1" applyAlignment="1">
      <alignment horizontal="centerContinuous" vertical="center"/>
    </xf>
    <xf numFmtId="0" fontId="81" fillId="0" borderId="0" xfId="5" applyFont="1" applyAlignment="1">
      <alignment vertical="center"/>
    </xf>
    <xf numFmtId="0" fontId="46" fillId="0" borderId="0" xfId="5" applyFont="1" applyAlignment="1">
      <alignment vertical="center"/>
    </xf>
    <xf numFmtId="0" fontId="27" fillId="0" borderId="0" xfId="1" applyFont="1" applyAlignment="1" applyProtection="1">
      <alignment vertical="center"/>
    </xf>
    <xf numFmtId="49" fontId="19" fillId="0" borderId="8" xfId="2" applyNumberFormat="1" applyFont="1" applyFill="1" applyBorder="1" applyAlignment="1">
      <alignment horizontal="left"/>
    </xf>
    <xf numFmtId="49" fontId="19" fillId="0" borderId="9" xfId="2" applyNumberFormat="1" applyFont="1" applyFill="1" applyBorder="1" applyAlignment="1">
      <alignment horizontal="left"/>
    </xf>
    <xf numFmtId="3" fontId="18" fillId="0" borderId="8" xfId="2" applyNumberFormat="1" applyFont="1" applyFill="1" applyBorder="1" applyAlignment="1">
      <alignment horizontal="right" vertical="center"/>
    </xf>
    <xf numFmtId="3" fontId="18" fillId="0" borderId="8" xfId="5" applyNumberFormat="1" applyFont="1" applyBorder="1" applyAlignment="1">
      <alignment horizontal="right" vertical="center"/>
    </xf>
    <xf numFmtId="3" fontId="18" fillId="0" borderId="9" xfId="2" applyNumberFormat="1" applyFont="1" applyFill="1" applyBorder="1" applyAlignment="1">
      <alignment horizontal="right" vertical="center"/>
    </xf>
    <xf numFmtId="0" fontId="19" fillId="0" borderId="0" xfId="5" applyFont="1" applyAlignment="1">
      <alignment horizontal="center"/>
    </xf>
    <xf numFmtId="0" fontId="42" fillId="0" borderId="0" xfId="5" applyFont="1" applyAlignment="1">
      <alignment horizontal="left" vertical="center"/>
    </xf>
    <xf numFmtId="22" fontId="42" fillId="0" borderId="0" xfId="5" applyNumberFormat="1" applyFont="1" applyAlignment="1">
      <alignment vertical="center"/>
    </xf>
    <xf numFmtId="0" fontId="82" fillId="0" borderId="0" xfId="5" applyFont="1" applyAlignment="1">
      <alignment vertical="center"/>
    </xf>
    <xf numFmtId="0" fontId="51" fillId="0" borderId="0" xfId="5" applyFont="1" applyAlignment="1">
      <alignment horizontal="left" vertical="center"/>
    </xf>
    <xf numFmtId="0" fontId="51" fillId="0" borderId="0" xfId="5" applyFont="1" applyAlignment="1">
      <alignment vertical="center"/>
    </xf>
    <xf numFmtId="0" fontId="9" fillId="0" borderId="1" xfId="5" applyFont="1" applyBorder="1" applyAlignment="1">
      <alignment vertical="center"/>
    </xf>
    <xf numFmtId="37" fontId="38" fillId="0" borderId="0" xfId="15" applyFont="1" applyAlignment="1">
      <alignment vertical="center"/>
    </xf>
    <xf numFmtId="38" fontId="38" fillId="0" borderId="15" xfId="15" applyNumberFormat="1" applyFont="1" applyBorder="1" applyAlignment="1">
      <alignment vertical="center" wrapText="1"/>
    </xf>
    <xf numFmtId="38" fontId="38" fillId="0" borderId="16" xfId="15" applyNumberFormat="1" applyFont="1" applyBorder="1" applyAlignment="1">
      <alignment vertical="center" wrapText="1"/>
    </xf>
    <xf numFmtId="38" fontId="38" fillId="0" borderId="14" xfId="15" applyNumberFormat="1" applyFont="1" applyBorder="1" applyAlignment="1">
      <alignment vertical="center" wrapText="1"/>
    </xf>
    <xf numFmtId="0" fontId="83" fillId="0" borderId="0" xfId="5" applyFont="1" applyAlignment="1">
      <alignment vertical="center"/>
    </xf>
    <xf numFmtId="37" fontId="38" fillId="0" borderId="0" xfId="15" applyFont="1" applyAlignment="1">
      <alignment horizontal="center" vertical="center"/>
    </xf>
    <xf numFmtId="38" fontId="38" fillId="0" borderId="15" xfId="15" applyNumberFormat="1" applyFont="1" applyBorder="1" applyAlignment="1">
      <alignment horizontal="center" vertical="center" wrapText="1"/>
    </xf>
    <xf numFmtId="38" fontId="38" fillId="0" borderId="22" xfId="15" applyNumberFormat="1" applyFont="1" applyBorder="1" applyAlignment="1">
      <alignment horizontal="center" vertical="center" wrapText="1"/>
    </xf>
    <xf numFmtId="38" fontId="38" fillId="0" borderId="17" xfId="15" applyNumberFormat="1" applyFont="1" applyBorder="1" applyAlignment="1">
      <alignment horizontal="center" vertical="center" wrapText="1"/>
    </xf>
    <xf numFmtId="37" fontId="38" fillId="0" borderId="0" xfId="15" applyFont="1" applyAlignment="1">
      <alignment horizontal="right" vertical="center"/>
    </xf>
    <xf numFmtId="38" fontId="38" fillId="0" borderId="4" xfId="15" applyNumberFormat="1" applyFont="1" applyBorder="1" applyAlignment="1">
      <alignment vertical="center" wrapText="1"/>
    </xf>
    <xf numFmtId="38" fontId="84" fillId="0" borderId="15" xfId="15" applyNumberFormat="1" applyFont="1" applyBorder="1" applyAlignment="1">
      <alignment horizontal="left" vertical="center" wrapText="1"/>
    </xf>
    <xf numFmtId="38" fontId="84" fillId="0" borderId="4" xfId="15" applyNumberFormat="1" applyFont="1" applyBorder="1" applyAlignment="1">
      <alignment horizontal="left" vertical="center" wrapText="1"/>
    </xf>
    <xf numFmtId="0" fontId="84" fillId="0" borderId="0" xfId="5" applyFont="1" applyAlignment="1">
      <alignment vertical="center"/>
    </xf>
    <xf numFmtId="38" fontId="38" fillId="0" borderId="4" xfId="15" applyNumberFormat="1" applyFont="1" applyBorder="1" applyAlignment="1">
      <alignment horizontal="right" vertical="center" wrapText="1"/>
    </xf>
    <xf numFmtId="38" fontId="38" fillId="0" borderId="15" xfId="15" applyNumberFormat="1" applyFont="1" applyBorder="1" applyAlignment="1">
      <alignment horizontal="left" vertical="center" wrapText="1" indent="1"/>
    </xf>
    <xf numFmtId="38" fontId="84" fillId="0" borderId="15" xfId="15" applyNumberFormat="1" applyFont="1" applyBorder="1" applyAlignment="1">
      <alignment vertical="center" wrapText="1"/>
    </xf>
    <xf numFmtId="38" fontId="84" fillId="0" borderId="4" xfId="15" applyNumberFormat="1" applyFont="1" applyBorder="1" applyAlignment="1">
      <alignment vertical="center" wrapText="1"/>
    </xf>
    <xf numFmtId="38" fontId="38" fillId="0" borderId="4" xfId="15" applyNumberFormat="1" applyFont="1" applyBorder="1" applyAlignment="1">
      <alignment horizontal="left" vertical="center" wrapText="1"/>
    </xf>
    <xf numFmtId="38" fontId="38" fillId="0" borderId="15" xfId="15" applyNumberFormat="1" applyFont="1" applyBorder="1" applyAlignment="1">
      <alignment horizontal="left" vertical="center" indent="1"/>
    </xf>
    <xf numFmtId="38" fontId="38" fillId="0" borderId="15" xfId="15" applyNumberFormat="1" applyFont="1" applyBorder="1" applyAlignment="1">
      <alignment vertical="center"/>
    </xf>
    <xf numFmtId="38" fontId="38" fillId="0" borderId="1" xfId="15" applyNumberFormat="1" applyFont="1" applyBorder="1" applyAlignment="1">
      <alignment vertical="center" wrapText="1"/>
    </xf>
    <xf numFmtId="38" fontId="38" fillId="0" borderId="11" xfId="15" applyNumberFormat="1" applyFont="1" applyBorder="1" applyAlignment="1">
      <alignment vertical="center" wrapText="1"/>
    </xf>
    <xf numFmtId="37" fontId="38" fillId="0" borderId="0" xfId="15" applyFont="1"/>
    <xf numFmtId="38" fontId="38" fillId="0" borderId="0" xfId="15" applyNumberFormat="1" applyFont="1" applyAlignment="1">
      <alignment wrapText="1"/>
    </xf>
    <xf numFmtId="38" fontId="38" fillId="0" borderId="0" xfId="15" applyNumberFormat="1" applyFont="1" applyAlignment="1">
      <alignment horizontal="left" wrapText="1"/>
    </xf>
    <xf numFmtId="38" fontId="38" fillId="0" borderId="0" xfId="15" quotePrefix="1" applyNumberFormat="1" applyFont="1" applyAlignment="1">
      <alignment wrapText="1"/>
    </xf>
    <xf numFmtId="0" fontId="47" fillId="0" borderId="0" xfId="5" applyFont="1"/>
    <xf numFmtId="0" fontId="84" fillId="0" borderId="0" xfId="5" applyFont="1" applyAlignment="1">
      <alignment horizontal="left" vertical="center"/>
    </xf>
    <xf numFmtId="0" fontId="48" fillId="0" borderId="0" xfId="5" applyFont="1"/>
    <xf numFmtId="0" fontId="9" fillId="0" borderId="1" xfId="5" applyFont="1" applyBorder="1" applyAlignment="1">
      <alignment horizontal="center" vertical="center"/>
    </xf>
    <xf numFmtId="0" fontId="51" fillId="0" borderId="1" xfId="5" applyFont="1" applyBorder="1" applyAlignment="1">
      <alignment vertical="center"/>
    </xf>
    <xf numFmtId="0" fontId="85" fillId="0" borderId="1" xfId="5" applyFont="1" applyBorder="1"/>
    <xf numFmtId="38" fontId="38" fillId="0" borderId="1" xfId="15" applyNumberFormat="1" applyFont="1" applyBorder="1" applyAlignment="1">
      <alignment vertical="center"/>
    </xf>
    <xf numFmtId="37" fontId="61" fillId="0" borderId="1" xfId="15" applyFont="1" applyBorder="1" applyAlignment="1">
      <alignment vertical="center"/>
    </xf>
    <xf numFmtId="0" fontId="83" fillId="0" borderId="0" xfId="5" applyFont="1"/>
    <xf numFmtId="0" fontId="83" fillId="0" borderId="0" xfId="5" applyFont="1" applyAlignment="1">
      <alignment horizontal="center"/>
    </xf>
    <xf numFmtId="38" fontId="38" fillId="0" borderId="14" xfId="15" applyNumberFormat="1" applyFont="1" applyBorder="1" applyAlignment="1">
      <alignment horizontal="center" vertical="top" wrapText="1"/>
    </xf>
    <xf numFmtId="0" fontId="83" fillId="0" borderId="0" xfId="5" applyFont="1" applyAlignment="1">
      <alignment horizontal="right"/>
    </xf>
    <xf numFmtId="0" fontId="37" fillId="0" borderId="0" xfId="5" applyFont="1"/>
    <xf numFmtId="38" fontId="38" fillId="0" borderId="0" xfId="5" applyNumberFormat="1" applyFont="1" applyAlignment="1">
      <alignment vertical="center"/>
    </xf>
    <xf numFmtId="0" fontId="9" fillId="0" borderId="0" xfId="5" applyFont="1" applyAlignment="1">
      <alignment horizontal="center"/>
    </xf>
    <xf numFmtId="0" fontId="38" fillId="0" borderId="0" xfId="5" applyFont="1" applyAlignment="1">
      <alignment horizontal="right"/>
    </xf>
    <xf numFmtId="0" fontId="9" fillId="0" borderId="1" xfId="5" applyFont="1" applyBorder="1" applyAlignment="1">
      <alignment horizontal="center"/>
    </xf>
    <xf numFmtId="0" fontId="42" fillId="0" borderId="1" xfId="5" applyFont="1" applyBorder="1" applyAlignment="1">
      <alignment horizontal="left"/>
    </xf>
    <xf numFmtId="0" fontId="83" fillId="0" borderId="1" xfId="5" applyFont="1" applyBorder="1"/>
    <xf numFmtId="38" fontId="42" fillId="0" borderId="1" xfId="15" applyNumberFormat="1" applyFont="1" applyBorder="1"/>
    <xf numFmtId="3" fontId="86" fillId="0" borderId="0" xfId="2" applyNumberFormat="1" applyFont="1" applyFill="1" applyBorder="1" applyAlignment="1">
      <alignment horizontal="right" vertical="center"/>
    </xf>
    <xf numFmtId="184" fontId="86" fillId="0" borderId="4" xfId="5" applyNumberFormat="1" applyFont="1" applyBorder="1" applyAlignment="1">
      <alignment horizontal="left" vertical="center"/>
    </xf>
    <xf numFmtId="3" fontId="86" fillId="0" borderId="8" xfId="2" applyNumberFormat="1" applyFont="1" applyFill="1" applyBorder="1" applyAlignment="1">
      <alignment horizontal="right" vertical="center"/>
    </xf>
    <xf numFmtId="3" fontId="86" fillId="0" borderId="0" xfId="2" applyNumberFormat="1" applyFont="1" applyFill="1" applyBorder="1" applyAlignment="1">
      <alignment vertical="center"/>
    </xf>
    <xf numFmtId="3" fontId="86" fillId="0" borderId="8" xfId="2" applyNumberFormat="1" applyFont="1" applyFill="1" applyBorder="1" applyAlignment="1">
      <alignment vertical="center"/>
    </xf>
    <xf numFmtId="183" fontId="86" fillId="0" borderId="4" xfId="5" applyNumberFormat="1" applyFont="1" applyBorder="1" applyAlignment="1">
      <alignment horizontal="left" vertical="center"/>
    </xf>
    <xf numFmtId="0" fontId="86" fillId="0" borderId="4" xfId="5" applyFont="1" applyBorder="1" applyAlignment="1">
      <alignment horizontal="left" vertical="center"/>
    </xf>
    <xf numFmtId="179" fontId="86" fillId="0" borderId="4" xfId="5" applyNumberFormat="1" applyFont="1" applyBorder="1" applyAlignment="1">
      <alignment horizontal="left" vertical="center"/>
    </xf>
    <xf numFmtId="182" fontId="86" fillId="0" borderId="4" xfId="5" applyNumberFormat="1" applyFont="1" applyBorder="1" applyAlignment="1">
      <alignment horizontal="left" vertical="center"/>
    </xf>
    <xf numFmtId="181" fontId="86" fillId="0" borderId="4" xfId="5" applyNumberFormat="1" applyFont="1" applyBorder="1" applyAlignment="1">
      <alignment horizontal="left" vertical="center"/>
    </xf>
    <xf numFmtId="180" fontId="86" fillId="0" borderId="4" xfId="5" applyNumberFormat="1" applyFont="1" applyBorder="1" applyAlignment="1">
      <alignment horizontal="left" vertical="center"/>
    </xf>
    <xf numFmtId="3" fontId="86" fillId="0" borderId="0" xfId="5" applyNumberFormat="1" applyFont="1" applyAlignment="1">
      <alignment vertical="center"/>
    </xf>
    <xf numFmtId="3" fontId="86" fillId="0" borderId="8" xfId="5" applyNumberFormat="1" applyFont="1" applyBorder="1" applyAlignment="1">
      <alignment vertical="center"/>
    </xf>
    <xf numFmtId="178" fontId="86" fillId="0" borderId="4" xfId="5" applyNumberFormat="1" applyFont="1" applyBorder="1" applyAlignment="1">
      <alignment horizontal="left" vertical="center"/>
    </xf>
    <xf numFmtId="176" fontId="86" fillId="0" borderId="4" xfId="5" applyNumberFormat="1" applyFont="1" applyBorder="1" applyAlignment="1">
      <alignment horizontal="left" vertical="center"/>
    </xf>
    <xf numFmtId="185" fontId="86" fillId="0" borderId="4" xfId="14" applyNumberFormat="1" applyFont="1" applyBorder="1" applyAlignment="1">
      <alignment vertical="center"/>
    </xf>
    <xf numFmtId="3" fontId="86" fillId="0" borderId="11" xfId="2" applyNumberFormat="1" applyFont="1" applyFill="1" applyBorder="1" applyAlignment="1">
      <alignment horizontal="right" vertical="center"/>
    </xf>
    <xf numFmtId="3" fontId="86" fillId="0" borderId="1" xfId="2" applyNumberFormat="1" applyFont="1" applyFill="1" applyBorder="1" applyAlignment="1">
      <alignment horizontal="right" vertical="center"/>
    </xf>
    <xf numFmtId="3" fontId="86" fillId="0" borderId="1" xfId="2" applyNumberFormat="1" applyFont="1" applyFill="1" applyBorder="1" applyAlignment="1">
      <alignment vertical="center"/>
    </xf>
    <xf numFmtId="3" fontId="86" fillId="0" borderId="9" xfId="2" applyNumberFormat="1" applyFont="1" applyFill="1" applyBorder="1" applyAlignment="1">
      <alignment vertical="center"/>
    </xf>
    <xf numFmtId="176" fontId="86" fillId="0" borderId="11" xfId="5" applyNumberFormat="1" applyFont="1" applyBorder="1" applyAlignment="1">
      <alignment horizontal="left" vertical="center"/>
    </xf>
    <xf numFmtId="191" fontId="18" fillId="0" borderId="3" xfId="5" quotePrefix="1" applyNumberFormat="1" applyFont="1" applyBorder="1" applyAlignment="1">
      <alignment horizontal="center"/>
    </xf>
    <xf numFmtId="204" fontId="18" fillId="0" borderId="3" xfId="5" quotePrefix="1" applyNumberFormat="1" applyFont="1" applyBorder="1" applyAlignment="1">
      <alignment horizontal="center"/>
    </xf>
    <xf numFmtId="200" fontId="18" fillId="0" borderId="4" xfId="2" quotePrefix="1" applyNumberFormat="1" applyFont="1" applyFill="1" applyBorder="1"/>
    <xf numFmtId="200" fontId="18" fillId="0" borderId="0" xfId="2" quotePrefix="1" applyNumberFormat="1" applyFont="1" applyFill="1" applyBorder="1"/>
    <xf numFmtId="200" fontId="18" fillId="0" borderId="8" xfId="2" quotePrefix="1" applyNumberFormat="1" applyFont="1" applyFill="1" applyBorder="1"/>
    <xf numFmtId="205" fontId="18" fillId="0" borderId="0" xfId="5" applyNumberFormat="1" applyFont="1" applyAlignment="1">
      <alignment horizontal="left"/>
    </xf>
    <xf numFmtId="201" fontId="18" fillId="0" borderId="0" xfId="5" applyNumberFormat="1" applyFont="1" applyAlignment="1">
      <alignment horizontal="right"/>
    </xf>
    <xf numFmtId="0" fontId="16" fillId="0" borderId="0" xfId="5" applyFont="1"/>
    <xf numFmtId="0" fontId="17" fillId="0" borderId="0" xfId="5" applyFont="1"/>
    <xf numFmtId="49" fontId="19" fillId="0" borderId="8" xfId="5" applyNumberFormat="1" applyFont="1" applyBorder="1" applyAlignment="1">
      <alignment horizontal="left"/>
    </xf>
    <xf numFmtId="49" fontId="19" fillId="0" borderId="9" xfId="5" applyNumberFormat="1" applyFont="1" applyBorder="1" applyAlignment="1">
      <alignment horizontal="left"/>
    </xf>
    <xf numFmtId="0" fontId="35" fillId="0" borderId="0" xfId="5" applyFont="1" applyAlignment="1">
      <alignment vertical="center"/>
    </xf>
    <xf numFmtId="0" fontId="82" fillId="0" borderId="0" xfId="5" applyFont="1" applyAlignment="1">
      <alignment horizontal="left" vertical="center"/>
    </xf>
    <xf numFmtId="22" fontId="49" fillId="0" borderId="1" xfId="5" applyNumberFormat="1" applyFont="1" applyBorder="1" applyAlignment="1">
      <alignment vertical="center"/>
    </xf>
    <xf numFmtId="38" fontId="61" fillId="0" borderId="1" xfId="15" applyNumberFormat="1" applyFont="1" applyBorder="1"/>
    <xf numFmtId="0" fontId="15" fillId="0" borderId="0" xfId="5" applyFont="1" applyAlignment="1">
      <alignment horizontal="left"/>
    </xf>
    <xf numFmtId="0" fontId="66" fillId="0" borderId="0" xfId="5" applyFont="1" applyAlignment="1">
      <alignment horizontal="left"/>
    </xf>
    <xf numFmtId="38" fontId="68" fillId="0" borderId="0" xfId="3" applyFont="1" applyFill="1">
      <alignment vertical="center"/>
    </xf>
    <xf numFmtId="38" fontId="14" fillId="0" borderId="0" xfId="3" applyFont="1" applyFill="1" applyAlignment="1">
      <alignment horizontal="center" vertical="center"/>
    </xf>
    <xf numFmtId="38" fontId="65" fillId="0" borderId="0" xfId="3" applyFont="1" applyFill="1">
      <alignment vertical="center"/>
    </xf>
    <xf numFmtId="38" fontId="18" fillId="0" borderId="0" xfId="3" applyFont="1" applyFill="1">
      <alignment vertical="center"/>
    </xf>
    <xf numFmtId="38" fontId="18" fillId="0" borderId="0" xfId="3" quotePrefix="1" applyFont="1" applyFill="1" applyBorder="1" applyAlignment="1">
      <alignment vertical="center"/>
    </xf>
    <xf numFmtId="38" fontId="18" fillId="0" borderId="0" xfId="3" quotePrefix="1" applyFont="1" applyFill="1" applyBorder="1" applyAlignment="1">
      <alignment horizontal="right"/>
    </xf>
    <xf numFmtId="188" fontId="58" fillId="0" borderId="0" xfId="5" applyNumberFormat="1" applyFont="1"/>
    <xf numFmtId="0" fontId="64" fillId="0" borderId="0" xfId="5" applyFont="1" applyAlignment="1">
      <alignment horizontal="centerContinuous"/>
    </xf>
    <xf numFmtId="0" fontId="18" fillId="0" borderId="0" xfId="5" applyFont="1" applyAlignment="1">
      <alignment horizontal="centerContinuous"/>
    </xf>
    <xf numFmtId="200" fontId="18" fillId="0" borderId="4" xfId="2" applyNumberFormat="1" applyFont="1" applyFill="1" applyBorder="1" applyAlignment="1"/>
    <xf numFmtId="200" fontId="18" fillId="0" borderId="0" xfId="2" applyNumberFormat="1" applyFont="1" applyFill="1" applyBorder="1" applyAlignment="1"/>
    <xf numFmtId="49" fontId="18" fillId="0" borderId="8" xfId="5" applyNumberFormat="1" applyFont="1" applyBorder="1" applyAlignment="1">
      <alignment horizontal="left"/>
    </xf>
    <xf numFmtId="37" fontId="18" fillId="0" borderId="8" xfId="2" applyNumberFormat="1" applyFont="1" applyFill="1" applyBorder="1" applyAlignment="1">
      <alignment horizontal="right"/>
    </xf>
    <xf numFmtId="0" fontId="90" fillId="0" borderId="0" xfId="5" applyFont="1" applyAlignment="1">
      <alignment horizontal="center" vertical="center"/>
    </xf>
    <xf numFmtId="0" fontId="18" fillId="0" borderId="0" xfId="5" applyFont="1" applyAlignment="1">
      <alignment horizontal="distributed" vertical="center"/>
    </xf>
    <xf numFmtId="49" fontId="91" fillId="0" borderId="0" xfId="5" applyNumberFormat="1" applyFont="1" applyAlignment="1">
      <alignment horizontal="left" vertical="center"/>
    </xf>
    <xf numFmtId="49" fontId="18" fillId="0" borderId="1" xfId="5" applyNumberFormat="1" applyFont="1" applyBorder="1" applyAlignment="1">
      <alignment horizontal="right" vertical="center"/>
    </xf>
    <xf numFmtId="49" fontId="18" fillId="0" borderId="1" xfId="5" applyNumberFormat="1" applyFont="1" applyBorder="1" applyAlignment="1">
      <alignment horizontal="left" vertical="center"/>
    </xf>
    <xf numFmtId="38" fontId="18" fillId="0" borderId="0" xfId="15" applyNumberFormat="1" applyFont="1"/>
    <xf numFmtId="38" fontId="18" fillId="0" borderId="8" xfId="15" applyNumberFormat="1" applyFont="1" applyBorder="1" applyAlignment="1">
      <alignment horizontal="right" vertical="center"/>
    </xf>
    <xf numFmtId="38" fontId="38" fillId="0" borderId="0" xfId="5" applyNumberFormat="1" applyFont="1"/>
    <xf numFmtId="3" fontId="49" fillId="0" borderId="8" xfId="15" applyNumberFormat="1" applyFont="1" applyBorder="1" applyAlignment="1">
      <alignment horizontal="right" vertical="center" wrapText="1"/>
    </xf>
    <xf numFmtId="38" fontId="49" fillId="0" borderId="0" xfId="15" applyNumberFormat="1" applyFont="1" applyAlignment="1">
      <alignment vertical="center" wrapText="1"/>
    </xf>
    <xf numFmtId="38" fontId="49" fillId="0" borderId="0" xfId="15" applyNumberFormat="1" applyFont="1" applyAlignment="1">
      <alignment horizontal="left" vertical="center" wrapText="1"/>
    </xf>
    <xf numFmtId="0" fontId="92" fillId="0" borderId="0" xfId="5" applyFont="1"/>
    <xf numFmtId="3" fontId="18" fillId="0" borderId="4" xfId="2" applyNumberFormat="1" applyFont="1" applyFill="1" applyBorder="1" applyAlignment="1">
      <alignment horizontal="right" vertical="center"/>
    </xf>
    <xf numFmtId="49" fontId="18" fillId="0" borderId="0" xfId="5" applyNumberFormat="1" applyFont="1" applyAlignment="1">
      <alignment horizontal="left" vertical="top"/>
    </xf>
    <xf numFmtId="0" fontId="18" fillId="0" borderId="8" xfId="5" applyFont="1" applyBorder="1" applyAlignment="1">
      <alignment horizontal="right" vertical="top"/>
    </xf>
    <xf numFmtId="49" fontId="18" fillId="0" borderId="0" xfId="5" applyNumberFormat="1" applyFont="1" applyAlignment="1">
      <alignment horizontal="left"/>
    </xf>
    <xf numFmtId="49" fontId="18" fillId="0" borderId="0" xfId="5" applyNumberFormat="1" applyFont="1" applyAlignment="1">
      <alignment horizontal="center"/>
    </xf>
    <xf numFmtId="0" fontId="18" fillId="0" borderId="8" xfId="5" applyFont="1" applyBorder="1" applyAlignment="1">
      <alignment horizontal="right"/>
    </xf>
    <xf numFmtId="38" fontId="18" fillId="0" borderId="8" xfId="2" applyFont="1" applyFill="1" applyBorder="1" applyAlignment="1">
      <alignment horizontal="right" vertical="top"/>
    </xf>
    <xf numFmtId="49" fontId="20" fillId="0" borderId="0" xfId="5" applyNumberFormat="1" applyFont="1"/>
    <xf numFmtId="0" fontId="18" fillId="0" borderId="0" xfId="5" applyFont="1" applyAlignment="1">
      <alignment horizontal="distributed" vertical="top"/>
    </xf>
    <xf numFmtId="0" fontId="18" fillId="0" borderId="8" xfId="5" applyFont="1" applyBorder="1" applyAlignment="1">
      <alignment horizontal="distributed" vertical="top"/>
    </xf>
    <xf numFmtId="0" fontId="18" fillId="0" borderId="0" xfId="5" applyFont="1" applyAlignment="1">
      <alignment horizontal="distributed"/>
    </xf>
    <xf numFmtId="0" fontId="18" fillId="0" borderId="8" xfId="5" applyFont="1" applyBorder="1" applyAlignment="1">
      <alignment horizontal="distributed"/>
    </xf>
    <xf numFmtId="0" fontId="18" fillId="0" borderId="0" xfId="5" applyFont="1" applyAlignment="1">
      <alignment horizontal="left" vertical="top"/>
    </xf>
    <xf numFmtId="49" fontId="18" fillId="0" borderId="8" xfId="5" applyNumberFormat="1" applyFont="1" applyBorder="1" applyAlignment="1">
      <alignment horizontal="right" vertical="top"/>
    </xf>
    <xf numFmtId="49" fontId="18" fillId="0" borderId="0" xfId="5" applyNumberFormat="1" applyFont="1" applyAlignment="1">
      <alignment horizontal="right"/>
    </xf>
    <xf numFmtId="49" fontId="18" fillId="0" borderId="8" xfId="5" applyNumberFormat="1" applyFont="1" applyBorder="1" applyAlignment="1">
      <alignment horizontal="right"/>
    </xf>
    <xf numFmtId="49" fontId="91" fillId="0" borderId="0" xfId="5" applyNumberFormat="1" applyFont="1" applyAlignment="1">
      <alignment horizontal="left" vertical="top"/>
    </xf>
    <xf numFmtId="49" fontId="18" fillId="0" borderId="1" xfId="5" applyNumberFormat="1" applyFont="1" applyBorder="1" applyAlignment="1">
      <alignment horizontal="right" vertical="top"/>
    </xf>
    <xf numFmtId="49" fontId="18" fillId="0" borderId="1" xfId="5" applyNumberFormat="1" applyFont="1" applyBorder="1" applyAlignment="1">
      <alignment horizontal="left" vertical="top"/>
    </xf>
    <xf numFmtId="49" fontId="18" fillId="0" borderId="9" xfId="5" applyNumberFormat="1" applyFont="1" applyBorder="1" applyAlignment="1">
      <alignment horizontal="right" vertical="top"/>
    </xf>
    <xf numFmtId="38" fontId="15" fillId="0" borderId="0" xfId="3" quotePrefix="1" applyFont="1" applyFill="1" applyAlignment="1">
      <alignment horizontal="left" vertical="center"/>
    </xf>
    <xf numFmtId="3" fontId="49" fillId="0" borderId="8" xfId="2" applyNumberFormat="1" applyFont="1" applyFill="1" applyBorder="1" applyAlignment="1">
      <alignment horizontal="right" vertical="center"/>
    </xf>
    <xf numFmtId="3" fontId="18" fillId="0" borderId="36" xfId="2" applyNumberFormat="1" applyFont="1" applyFill="1" applyBorder="1" applyAlignment="1">
      <alignment horizontal="right" vertical="center"/>
    </xf>
    <xf numFmtId="49" fontId="86" fillId="0" borderId="2" xfId="5" applyNumberFormat="1" applyFont="1" applyBorder="1" applyAlignment="1">
      <alignment horizontal="left" vertical="center"/>
    </xf>
    <xf numFmtId="0" fontId="86" fillId="0" borderId="2" xfId="5" applyFont="1" applyBorder="1" applyAlignment="1">
      <alignment horizontal="right" vertical="center"/>
    </xf>
    <xf numFmtId="0" fontId="86" fillId="0" borderId="6" xfId="5" applyFont="1" applyBorder="1" applyAlignment="1">
      <alignment horizontal="right" vertical="center"/>
    </xf>
    <xf numFmtId="3" fontId="86" fillId="0" borderId="6" xfId="2" applyNumberFormat="1" applyFont="1" applyFill="1" applyBorder="1" applyAlignment="1">
      <alignment horizontal="right" vertical="center"/>
    </xf>
    <xf numFmtId="49" fontId="86" fillId="0" borderId="0" xfId="5" applyNumberFormat="1" applyFont="1" applyAlignment="1">
      <alignment horizontal="left" vertical="center"/>
    </xf>
    <xf numFmtId="0" fontId="86" fillId="0" borderId="0" xfId="5" applyFont="1" applyAlignment="1">
      <alignment horizontal="right" vertical="center"/>
    </xf>
    <xf numFmtId="0" fontId="86" fillId="0" borderId="8" xfId="5" applyFont="1" applyBorder="1" applyAlignment="1">
      <alignment horizontal="right" vertical="center"/>
    </xf>
    <xf numFmtId="0" fontId="86" fillId="0" borderId="0" xfId="5" applyFont="1" applyAlignment="1">
      <alignment vertical="center"/>
    </xf>
    <xf numFmtId="0" fontId="86" fillId="0" borderId="8" xfId="5" applyFont="1" applyBorder="1" applyAlignment="1">
      <alignment vertical="center"/>
    </xf>
    <xf numFmtId="0" fontId="86" fillId="0" borderId="0" xfId="5" applyFont="1" applyAlignment="1">
      <alignment horizontal="distributed" vertical="center"/>
    </xf>
    <xf numFmtId="0" fontId="86" fillId="0" borderId="8" xfId="5" applyFont="1" applyBorder="1" applyAlignment="1">
      <alignment horizontal="distributed" vertical="center"/>
    </xf>
    <xf numFmtId="0" fontId="86" fillId="0" borderId="0" xfId="5" applyFont="1" applyAlignment="1">
      <alignment horizontal="left" vertical="center"/>
    </xf>
    <xf numFmtId="49" fontId="86" fillId="0" borderId="8" xfId="5" applyNumberFormat="1" applyFont="1" applyBorder="1" applyAlignment="1">
      <alignment horizontal="right" vertical="center"/>
    </xf>
    <xf numFmtId="49" fontId="93" fillId="0" borderId="0" xfId="5" applyNumberFormat="1" applyFont="1" applyAlignment="1">
      <alignment horizontal="left" vertical="center"/>
    </xf>
    <xf numFmtId="49" fontId="86" fillId="0" borderId="1" xfId="5" applyNumberFormat="1" applyFont="1" applyBorder="1" applyAlignment="1">
      <alignment horizontal="right" vertical="center"/>
    </xf>
    <xf numFmtId="49" fontId="86" fillId="0" borderId="1" xfId="5" applyNumberFormat="1" applyFont="1" applyBorder="1" applyAlignment="1">
      <alignment horizontal="left" vertical="center"/>
    </xf>
    <xf numFmtId="49" fontId="86" fillId="0" borderId="9" xfId="5" applyNumberFormat="1" applyFont="1" applyBorder="1" applyAlignment="1">
      <alignment horizontal="right" vertical="center"/>
    </xf>
    <xf numFmtId="38" fontId="18" fillId="0" borderId="11" xfId="5" applyNumberFormat="1" applyFont="1" applyBorder="1"/>
    <xf numFmtId="49" fontId="18" fillId="0" borderId="0" xfId="5" quotePrefix="1" applyNumberFormat="1" applyFont="1" applyAlignment="1">
      <alignment horizontal="left"/>
    </xf>
    <xf numFmtId="49" fontId="99" fillId="0" borderId="0" xfId="5" quotePrefix="1" applyNumberFormat="1" applyFont="1" applyAlignment="1">
      <alignment horizontal="left"/>
    </xf>
    <xf numFmtId="0" fontId="18" fillId="0" borderId="43" xfId="5" applyFont="1" applyBorder="1" applyAlignment="1">
      <alignment horizontal="right"/>
    </xf>
    <xf numFmtId="38" fontId="15" fillId="0" borderId="0" xfId="2" applyFont="1" applyFill="1" applyBorder="1" applyAlignment="1">
      <alignment horizontal="left" vertical="center"/>
    </xf>
    <xf numFmtId="0" fontId="18" fillId="0" borderId="7" xfId="5" applyFont="1" applyBorder="1" applyAlignment="1">
      <alignment horizontal="center" vertical="center" wrapText="1"/>
    </xf>
    <xf numFmtId="0" fontId="18" fillId="0" borderId="10" xfId="5" applyFont="1" applyBorder="1" applyAlignment="1">
      <alignment horizontal="center" vertical="center" wrapText="1"/>
    </xf>
    <xf numFmtId="0" fontId="38" fillId="0" borderId="0" xfId="5" applyFont="1" applyAlignment="1">
      <alignment horizontal="center" vertical="center"/>
    </xf>
    <xf numFmtId="0" fontId="38" fillId="0" borderId="8" xfId="5" applyFont="1" applyBorder="1" applyAlignment="1">
      <alignment horizontal="center" vertical="center"/>
    </xf>
    <xf numFmtId="0" fontId="38" fillId="0" borderId="10" xfId="5" applyFont="1" applyBorder="1" applyAlignment="1">
      <alignment horizontal="center" vertical="center" wrapText="1"/>
    </xf>
    <xf numFmtId="0" fontId="38" fillId="0" borderId="10" xfId="5" applyFont="1" applyBorder="1" applyAlignment="1">
      <alignment horizontal="center" vertical="center"/>
    </xf>
    <xf numFmtId="0" fontId="18" fillId="0" borderId="0" xfId="5" applyFont="1" applyAlignment="1">
      <alignment vertical="center"/>
    </xf>
    <xf numFmtId="0" fontId="18" fillId="0" borderId="4" xfId="5" applyFont="1" applyBorder="1" applyAlignment="1">
      <alignment horizontal="center" vertical="center" wrapText="1"/>
    </xf>
    <xf numFmtId="0" fontId="18" fillId="0" borderId="0" xfId="5" applyFont="1" applyAlignment="1">
      <alignment horizontal="left" vertical="center"/>
    </xf>
    <xf numFmtId="0" fontId="17" fillId="0" borderId="43" xfId="5" applyFont="1" applyBorder="1"/>
    <xf numFmtId="0" fontId="14" fillId="0" borderId="43" xfId="5" applyFont="1" applyBorder="1"/>
    <xf numFmtId="0" fontId="14" fillId="0" borderId="43" xfId="5" applyFont="1" applyBorder="1" applyAlignment="1">
      <alignment horizontal="center" vertical="center"/>
    </xf>
    <xf numFmtId="0" fontId="18" fillId="0" borderId="44" xfId="5" applyFont="1" applyBorder="1"/>
    <xf numFmtId="0" fontId="18" fillId="0" borderId="48" xfId="5" applyFont="1" applyBorder="1"/>
    <xf numFmtId="0" fontId="18" fillId="0" borderId="47" xfId="5" applyFont="1" applyBorder="1"/>
    <xf numFmtId="0" fontId="18" fillId="0" borderId="52" xfId="5" applyFont="1" applyBorder="1"/>
    <xf numFmtId="0" fontId="18" fillId="0" borderId="48" xfId="5" applyFont="1" applyBorder="1" applyAlignment="1">
      <alignment horizontal="center" vertical="center" wrapText="1"/>
    </xf>
    <xf numFmtId="0" fontId="18" fillId="0" borderId="47" xfId="5" applyFont="1" applyBorder="1" applyAlignment="1">
      <alignment horizontal="center" vertical="center" wrapText="1"/>
    </xf>
    <xf numFmtId="0" fontId="18" fillId="0" borderId="49" xfId="5" applyFont="1" applyBorder="1" applyAlignment="1">
      <alignment horizontal="center" vertical="center" wrapText="1"/>
    </xf>
    <xf numFmtId="0" fontId="18" fillId="0" borderId="51" xfId="5" applyFont="1" applyBorder="1" applyAlignment="1">
      <alignment horizontal="center" vertical="center" wrapText="1"/>
    </xf>
    <xf numFmtId="49" fontId="19" fillId="0" borderId="44" xfId="5" applyNumberFormat="1" applyFont="1" applyBorder="1" applyAlignment="1">
      <alignment horizontal="left"/>
    </xf>
    <xf numFmtId="37" fontId="18" fillId="0" borderId="47" xfId="5" applyNumberFormat="1" applyFont="1" applyBorder="1" applyAlignment="1">
      <alignment horizontal="right"/>
    </xf>
    <xf numFmtId="37" fontId="18" fillId="0" borderId="52" xfId="5" applyNumberFormat="1" applyFont="1" applyBorder="1" applyAlignment="1">
      <alignment horizontal="right"/>
    </xf>
    <xf numFmtId="37" fontId="18" fillId="0" borderId="47" xfId="5" applyNumberFormat="1" applyFont="1" applyBorder="1" applyAlignment="1">
      <alignment horizontal="left"/>
    </xf>
    <xf numFmtId="49" fontId="19" fillId="0" borderId="49" xfId="5" applyNumberFormat="1" applyFont="1" applyBorder="1" applyAlignment="1">
      <alignment horizontal="left"/>
    </xf>
    <xf numFmtId="37" fontId="18" fillId="0" borderId="51" xfId="5" applyNumberFormat="1" applyFont="1" applyBorder="1" applyAlignment="1">
      <alignment horizontal="right"/>
    </xf>
    <xf numFmtId="37" fontId="18" fillId="0" borderId="43" xfId="5" applyNumberFormat="1" applyFont="1" applyBorder="1" applyAlignment="1">
      <alignment horizontal="right"/>
    </xf>
    <xf numFmtId="37" fontId="18" fillId="0" borderId="51" xfId="5" applyNumberFormat="1" applyFont="1" applyBorder="1" applyAlignment="1">
      <alignment horizontal="left"/>
    </xf>
    <xf numFmtId="0" fontId="18" fillId="0" borderId="47" xfId="5" applyFont="1" applyBorder="1" applyAlignment="1">
      <alignment horizontal="left"/>
    </xf>
    <xf numFmtId="37" fontId="18" fillId="0" borderId="44" xfId="5" applyNumberFormat="1" applyFont="1" applyBorder="1" applyAlignment="1">
      <alignment horizontal="right"/>
    </xf>
    <xf numFmtId="37" fontId="18" fillId="0" borderId="49" xfId="5" applyNumberFormat="1" applyFont="1" applyBorder="1" applyAlignment="1">
      <alignment horizontal="right"/>
    </xf>
    <xf numFmtId="38" fontId="18" fillId="0" borderId="44" xfId="2" applyFont="1" applyFill="1" applyBorder="1" applyAlignment="1"/>
    <xf numFmtId="38" fontId="18" fillId="0" borderId="48" xfId="2" applyFont="1" applyFill="1" applyBorder="1" applyAlignment="1"/>
    <xf numFmtId="38" fontId="18" fillId="0" borderId="47" xfId="2" applyFont="1" applyFill="1" applyBorder="1" applyAlignment="1"/>
    <xf numFmtId="38" fontId="18" fillId="0" borderId="52" xfId="2" applyFont="1" applyFill="1" applyBorder="1" applyAlignment="1"/>
    <xf numFmtId="38" fontId="18" fillId="0" borderId="48" xfId="2" applyFont="1" applyFill="1" applyBorder="1" applyAlignment="1">
      <alignment horizontal="center" vertical="center" wrapText="1"/>
    </xf>
    <xf numFmtId="38" fontId="18" fillId="0" borderId="47" xfId="2" applyFont="1" applyFill="1" applyBorder="1" applyAlignment="1">
      <alignment horizontal="center" vertical="center" wrapText="1"/>
    </xf>
    <xf numFmtId="38" fontId="18" fillId="0" borderId="52" xfId="2" applyFont="1" applyFill="1" applyBorder="1" applyAlignment="1">
      <alignment horizontal="center" vertical="center" wrapText="1"/>
    </xf>
    <xf numFmtId="38" fontId="18" fillId="0" borderId="44" xfId="2" applyFont="1" applyFill="1" applyBorder="1" applyAlignment="1">
      <alignment horizontal="center" vertical="center" wrapText="1"/>
    </xf>
    <xf numFmtId="38" fontId="18" fillId="0" borderId="51" xfId="2" applyFont="1" applyFill="1" applyBorder="1" applyAlignment="1">
      <alignment horizontal="center" vertical="center" wrapText="1"/>
    </xf>
    <xf numFmtId="37" fontId="18" fillId="0" borderId="47" xfId="2" applyNumberFormat="1" applyFont="1" applyFill="1" applyBorder="1" applyAlignment="1">
      <alignment horizontal="right"/>
    </xf>
    <xf numFmtId="37" fontId="18" fillId="0" borderId="52" xfId="2" applyNumberFormat="1" applyFont="1" applyFill="1" applyBorder="1" applyAlignment="1">
      <alignment horizontal="right"/>
    </xf>
    <xf numFmtId="37" fontId="18" fillId="0" borderId="47" xfId="2" applyNumberFormat="1" applyFont="1" applyFill="1" applyBorder="1" applyAlignment="1">
      <alignment horizontal="left"/>
    </xf>
    <xf numFmtId="37" fontId="18" fillId="0" borderId="51" xfId="2" applyNumberFormat="1" applyFont="1" applyFill="1" applyBorder="1" applyAlignment="1">
      <alignment horizontal="right"/>
    </xf>
    <xf numFmtId="37" fontId="18" fillId="0" borderId="43" xfId="2" applyNumberFormat="1" applyFont="1" applyFill="1" applyBorder="1" applyAlignment="1">
      <alignment horizontal="right"/>
    </xf>
    <xf numFmtId="37" fontId="18" fillId="0" borderId="51" xfId="2" applyNumberFormat="1" applyFont="1" applyFill="1" applyBorder="1" applyAlignment="1">
      <alignment horizontal="left"/>
    </xf>
    <xf numFmtId="38" fontId="18" fillId="0" borderId="47" xfId="2" applyFont="1" applyFill="1" applyBorder="1" applyAlignment="1">
      <alignment horizontal="left"/>
    </xf>
    <xf numFmtId="38" fontId="18" fillId="0" borderId="47" xfId="2" applyFont="1" applyFill="1" applyBorder="1" applyAlignment="1">
      <alignment horizontal="left" vertical="center"/>
    </xf>
    <xf numFmtId="38" fontId="20" fillId="0" borderId="48" xfId="2" applyFont="1" applyFill="1" applyBorder="1" applyAlignment="1">
      <alignment horizontal="center" vertical="center" wrapText="1"/>
    </xf>
    <xf numFmtId="38" fontId="18" fillId="0" borderId="4" xfId="2" applyFont="1" applyFill="1" applyBorder="1" applyAlignment="1">
      <alignment horizontal="center" vertical="center" wrapText="1"/>
    </xf>
    <xf numFmtId="38" fontId="18" fillId="0" borderId="49" xfId="2" applyFont="1" applyFill="1" applyBorder="1" applyAlignment="1">
      <alignment horizontal="center" vertical="center" wrapText="1"/>
    </xf>
    <xf numFmtId="38" fontId="89" fillId="0" borderId="48" xfId="2" applyFont="1" applyFill="1" applyBorder="1" applyAlignment="1">
      <alignment horizontal="center" vertical="center" wrapText="1"/>
    </xf>
    <xf numFmtId="37" fontId="18" fillId="0" borderId="44" xfId="2" applyNumberFormat="1" applyFont="1" applyFill="1" applyBorder="1" applyAlignment="1">
      <alignment horizontal="right"/>
    </xf>
    <xf numFmtId="37" fontId="18" fillId="0" borderId="49" xfId="2" applyNumberFormat="1" applyFont="1" applyFill="1" applyBorder="1" applyAlignment="1">
      <alignment horizontal="right"/>
    </xf>
    <xf numFmtId="0" fontId="38" fillId="0" borderId="1" xfId="5" applyFont="1" applyBorder="1" applyAlignment="1">
      <alignment horizontal="center" vertical="center"/>
    </xf>
    <xf numFmtId="0" fontId="38" fillId="0" borderId="9" xfId="5" applyFont="1" applyBorder="1" applyAlignment="1">
      <alignment horizontal="center" vertical="center"/>
    </xf>
    <xf numFmtId="0" fontId="18" fillId="0" borderId="0" xfId="5" applyFont="1" applyAlignment="1">
      <alignment horizontal="center" vertical="center"/>
    </xf>
    <xf numFmtId="0" fontId="18" fillId="0" borderId="8" xfId="5" applyFont="1" applyBorder="1" applyAlignment="1">
      <alignment horizontal="center" vertical="center"/>
    </xf>
    <xf numFmtId="0" fontId="18" fillId="0" borderId="11" xfId="16" applyFont="1" applyBorder="1" applyAlignment="1">
      <alignment horizontal="center" vertical="center" wrapText="1"/>
    </xf>
    <xf numFmtId="0" fontId="18" fillId="0" borderId="10" xfId="16" applyFont="1" applyBorder="1" applyAlignment="1">
      <alignment horizontal="center" vertical="center" wrapText="1"/>
    </xf>
    <xf numFmtId="0" fontId="18" fillId="0" borderId="11" xfId="5" applyFont="1" applyBorder="1" applyAlignment="1">
      <alignment horizontal="center"/>
    </xf>
    <xf numFmtId="0" fontId="18" fillId="0" borderId="9" xfId="5" applyFont="1" applyBorder="1" applyAlignment="1">
      <alignment horizontal="center"/>
    </xf>
    <xf numFmtId="188" fontId="18" fillId="0" borderId="8" xfId="5" applyNumberFormat="1" applyFont="1" applyBorder="1" applyAlignment="1">
      <alignment horizontal="center"/>
    </xf>
    <xf numFmtId="0" fontId="18" fillId="0" borderId="8" xfId="5" applyFont="1" applyBorder="1" applyAlignment="1">
      <alignment horizontal="center"/>
    </xf>
    <xf numFmtId="38" fontId="49" fillId="0" borderId="5" xfId="5" applyNumberFormat="1" applyFont="1" applyBorder="1"/>
    <xf numFmtId="38" fontId="49" fillId="0" borderId="2" xfId="5" applyNumberFormat="1" applyFont="1" applyBorder="1"/>
    <xf numFmtId="188" fontId="18" fillId="0" borderId="8" xfId="5" applyNumberFormat="1" applyFont="1" applyBorder="1" applyAlignment="1">
      <alignment horizontal="center" vertical="top"/>
    </xf>
    <xf numFmtId="0" fontId="60" fillId="0" borderId="10" xfId="5" applyFont="1" applyBorder="1" applyAlignment="1">
      <alignment vertical="center"/>
    </xf>
    <xf numFmtId="188" fontId="18" fillId="0" borderId="11" xfId="5" applyNumberFormat="1" applyFont="1" applyBorder="1" applyAlignment="1">
      <alignment horizontal="center"/>
    </xf>
    <xf numFmtId="188" fontId="18" fillId="0" borderId="9" xfId="5" applyNumberFormat="1" applyFont="1" applyBorder="1" applyAlignment="1">
      <alignment horizontal="center"/>
    </xf>
    <xf numFmtId="0" fontId="18" fillId="0" borderId="2" xfId="5" applyFont="1" applyBorder="1" applyAlignment="1">
      <alignment horizontal="center" vertical="center"/>
    </xf>
    <xf numFmtId="0" fontId="18" fillId="0" borderId="1" xfId="5" applyFont="1" applyBorder="1" applyAlignment="1">
      <alignment horizontal="center" vertical="center"/>
    </xf>
    <xf numFmtId="0" fontId="18" fillId="0" borderId="11" xfId="5" applyFont="1" applyBorder="1"/>
    <xf numFmtId="0" fontId="18" fillId="0" borderId="1" xfId="5" applyFont="1" applyBorder="1"/>
    <xf numFmtId="0" fontId="18" fillId="0" borderId="0" xfId="5" applyFont="1" applyAlignment="1">
      <alignment horizontal="center"/>
    </xf>
    <xf numFmtId="0" fontId="18" fillId="0" borderId="5" xfId="5" quotePrefix="1" applyFont="1" applyBorder="1" applyAlignment="1">
      <alignment horizontal="center" vertical="center" wrapText="1"/>
    </xf>
    <xf numFmtId="0" fontId="18" fillId="0" borderId="6" xfId="5" applyFont="1" applyBorder="1" applyAlignment="1">
      <alignment horizontal="center" vertical="center"/>
    </xf>
    <xf numFmtId="0" fontId="18" fillId="0" borderId="9" xfId="5" applyFont="1" applyBorder="1" applyAlignment="1">
      <alignment horizontal="center" vertical="center"/>
    </xf>
    <xf numFmtId="0" fontId="18" fillId="0" borderId="10" xfId="5" applyFont="1" applyBorder="1" applyAlignment="1">
      <alignment vertical="center"/>
    </xf>
    <xf numFmtId="0" fontId="18" fillId="0" borderId="31" xfId="5" quotePrefix="1" applyFont="1" applyBorder="1" applyAlignment="1">
      <alignment horizontal="center" vertical="center" wrapText="1"/>
    </xf>
    <xf numFmtId="0" fontId="18" fillId="0" borderId="12" xfId="5" applyFont="1" applyBorder="1" applyAlignment="1">
      <alignment horizontal="center" vertical="center" wrapText="1"/>
    </xf>
    <xf numFmtId="0" fontId="18" fillId="0" borderId="3" xfId="5" quotePrefix="1" applyFont="1" applyBorder="1" applyAlignment="1">
      <alignment horizontal="center" vertical="center" wrapText="1"/>
    </xf>
    <xf numFmtId="0" fontId="18" fillId="0" borderId="8" xfId="5" applyFont="1" applyBorder="1" applyAlignment="1">
      <alignment horizontal="left" vertical="center"/>
    </xf>
    <xf numFmtId="0" fontId="18" fillId="0" borderId="0" xfId="5" applyFont="1" applyAlignment="1">
      <alignment horizontal="left"/>
    </xf>
    <xf numFmtId="0" fontId="18" fillId="0" borderId="8" xfId="5" applyFont="1" applyBorder="1" applyAlignment="1">
      <alignment horizontal="left"/>
    </xf>
    <xf numFmtId="0" fontId="18" fillId="0" borderId="0" xfId="5" quotePrefix="1" applyFont="1" applyAlignment="1">
      <alignment horizontal="left" wrapText="1"/>
    </xf>
    <xf numFmtId="0" fontId="18" fillId="0" borderId="0" xfId="5" quotePrefix="1" applyFont="1" applyAlignment="1">
      <alignment horizontal="left"/>
    </xf>
    <xf numFmtId="0" fontId="18" fillId="0" borderId="44" xfId="5" applyFont="1" applyBorder="1" applyAlignment="1">
      <alignment vertical="center"/>
    </xf>
    <xf numFmtId="0" fontId="18" fillId="0" borderId="48" xfId="5" applyFont="1" applyBorder="1" applyAlignment="1">
      <alignment vertical="center"/>
    </xf>
    <xf numFmtId="0" fontId="18" fillId="0" borderId="47" xfId="5" applyFont="1" applyBorder="1" applyAlignment="1">
      <alignment vertical="center"/>
    </xf>
    <xf numFmtId="0" fontId="18" fillId="0" borderId="52" xfId="5" applyFont="1" applyBorder="1" applyAlignment="1">
      <alignment vertical="center"/>
    </xf>
    <xf numFmtId="0" fontId="18" fillId="0" borderId="44" xfId="5" applyFont="1" applyBorder="1" applyAlignment="1">
      <alignment horizontal="center" vertical="center" wrapText="1"/>
    </xf>
    <xf numFmtId="0" fontId="18" fillId="0" borderId="52" xfId="5" applyFont="1" applyBorder="1" applyAlignment="1">
      <alignment horizontal="center" vertical="center" wrapText="1"/>
    </xf>
    <xf numFmtId="0" fontId="20" fillId="0" borderId="48" xfId="5" applyFont="1" applyBorder="1" applyAlignment="1">
      <alignment horizontal="center" vertical="center" wrapText="1"/>
    </xf>
    <xf numFmtId="37" fontId="18" fillId="0" borderId="47" xfId="5" applyNumberFormat="1" applyFont="1" applyBorder="1" applyAlignment="1">
      <alignment horizontal="right" vertical="center"/>
    </xf>
    <xf numFmtId="37" fontId="18" fillId="0" borderId="52" xfId="5" applyNumberFormat="1" applyFont="1" applyBorder="1" applyAlignment="1">
      <alignment horizontal="right" vertical="center"/>
    </xf>
    <xf numFmtId="37" fontId="18" fillId="0" borderId="47" xfId="5" applyNumberFormat="1" applyFont="1" applyBorder="1" applyAlignment="1">
      <alignment horizontal="left" vertical="center"/>
    </xf>
    <xf numFmtId="37" fontId="18" fillId="0" borderId="51" xfId="5" applyNumberFormat="1" applyFont="1" applyBorder="1" applyAlignment="1">
      <alignment horizontal="right" vertical="center"/>
    </xf>
    <xf numFmtId="37" fontId="18" fillId="0" borderId="43" xfId="5" applyNumberFormat="1" applyFont="1" applyBorder="1" applyAlignment="1">
      <alignment horizontal="right" vertical="center"/>
    </xf>
    <xf numFmtId="37" fontId="18" fillId="0" borderId="51" xfId="5" applyNumberFormat="1" applyFont="1" applyBorder="1" applyAlignment="1">
      <alignment horizontal="left" vertical="center"/>
    </xf>
    <xf numFmtId="0" fontId="18" fillId="0" borderId="47" xfId="5" applyFont="1" applyBorder="1" applyAlignment="1">
      <alignment horizontal="left" vertical="center"/>
    </xf>
    <xf numFmtId="0" fontId="87" fillId="0" borderId="48" xfId="5" applyFont="1" applyBorder="1" applyAlignment="1">
      <alignment horizontal="center" vertical="center" wrapText="1"/>
    </xf>
    <xf numFmtId="37" fontId="18" fillId="0" borderId="44" xfId="5" applyNumberFormat="1" applyFont="1" applyBorder="1" applyAlignment="1">
      <alignment horizontal="right" vertical="center"/>
    </xf>
    <xf numFmtId="37" fontId="18" fillId="0" borderId="49" xfId="5" applyNumberFormat="1" applyFont="1" applyBorder="1" applyAlignment="1">
      <alignment horizontal="right" vertical="center"/>
    </xf>
    <xf numFmtId="0" fontId="42" fillId="0" borderId="43" xfId="5" applyFont="1" applyBorder="1" applyAlignment="1">
      <alignment horizontal="left" vertical="center" indent="1"/>
    </xf>
    <xf numFmtId="0" fontId="42" fillId="0" borderId="43" xfId="5" applyFont="1" applyBorder="1" applyAlignment="1">
      <alignment horizontal="left" vertical="center"/>
    </xf>
    <xf numFmtId="0" fontId="42" fillId="0" borderId="43" xfId="5" applyFont="1" applyBorder="1" applyAlignment="1">
      <alignment vertical="center"/>
    </xf>
    <xf numFmtId="0" fontId="38" fillId="0" borderId="43" xfId="5" applyFont="1" applyBorder="1" applyAlignment="1">
      <alignment horizontal="right" vertical="center"/>
    </xf>
    <xf numFmtId="0" fontId="38" fillId="0" borderId="48" xfId="5" applyFont="1" applyBorder="1" applyAlignment="1">
      <alignment horizontal="centerContinuous" vertical="center"/>
    </xf>
    <xf numFmtId="0" fontId="38" fillId="0" borderId="47" xfId="5" applyFont="1" applyBorder="1" applyAlignment="1">
      <alignment horizontal="center" vertical="center"/>
    </xf>
    <xf numFmtId="0" fontId="38" fillId="0" borderId="52" xfId="5" applyFont="1" applyBorder="1" applyAlignment="1">
      <alignment horizontal="center" vertical="center"/>
    </xf>
    <xf numFmtId="0" fontId="38" fillId="0" borderId="44" xfId="5" applyFont="1" applyBorder="1" applyAlignment="1">
      <alignment horizontal="left" vertical="center"/>
    </xf>
    <xf numFmtId="0" fontId="38" fillId="0" borderId="44" xfId="5" applyFont="1" applyBorder="1" applyAlignment="1">
      <alignment horizontal="center" vertical="center"/>
    </xf>
    <xf numFmtId="0" fontId="38" fillId="0" borderId="52" xfId="5" applyFont="1" applyBorder="1" applyAlignment="1">
      <alignment horizontal="centerContinuous" vertical="center"/>
    </xf>
    <xf numFmtId="0" fontId="38" fillId="0" borderId="44" xfId="5" applyFont="1" applyBorder="1" applyAlignment="1">
      <alignment horizontal="centerContinuous" vertical="center"/>
    </xf>
    <xf numFmtId="0" fontId="38" fillId="0" borderId="43" xfId="5" applyFont="1" applyBorder="1" applyAlignment="1">
      <alignment horizontal="center" vertical="center"/>
    </xf>
    <xf numFmtId="0" fontId="38" fillId="0" borderId="49" xfId="5" applyFont="1" applyBorder="1" applyAlignment="1">
      <alignment horizontal="left" vertical="center"/>
    </xf>
    <xf numFmtId="0" fontId="38" fillId="0" borderId="43" xfId="5" applyFont="1" applyBorder="1" applyAlignment="1">
      <alignment horizontal="left" vertical="center"/>
    </xf>
    <xf numFmtId="0" fontId="38" fillId="0" borderId="49" xfId="5" applyFont="1" applyBorder="1" applyAlignment="1">
      <alignment horizontal="center" vertical="center"/>
    </xf>
    <xf numFmtId="49" fontId="38" fillId="0" borderId="43" xfId="14" applyNumberFormat="1" applyFont="1" applyBorder="1" applyAlignment="1">
      <alignment horizontal="center" vertical="center"/>
    </xf>
    <xf numFmtId="0" fontId="38" fillId="0" borderId="48" xfId="5" applyFont="1" applyBorder="1" applyAlignment="1">
      <alignment horizontal="center" vertical="center"/>
    </xf>
    <xf numFmtId="0" fontId="38" fillId="0" borderId="51" xfId="5" applyFont="1" applyBorder="1" applyAlignment="1">
      <alignment horizontal="center" vertical="center" wrapText="1"/>
    </xf>
    <xf numFmtId="0" fontId="38" fillId="0" borderId="51" xfId="5" applyFont="1" applyBorder="1" applyAlignment="1">
      <alignment vertical="center"/>
    </xf>
    <xf numFmtId="0" fontId="18" fillId="0" borderId="52" xfId="5" applyFont="1" applyBorder="1" applyAlignment="1">
      <alignment horizontal="left" vertical="center"/>
    </xf>
    <xf numFmtId="49" fontId="18" fillId="0" borderId="43" xfId="5" applyNumberFormat="1" applyFont="1" applyBorder="1" applyAlignment="1">
      <alignment horizontal="right" vertical="center"/>
    </xf>
    <xf numFmtId="49" fontId="18" fillId="0" borderId="43" xfId="5" applyNumberFormat="1" applyFont="1" applyBorder="1" applyAlignment="1">
      <alignment horizontal="left" vertical="center"/>
    </xf>
    <xf numFmtId="49" fontId="18" fillId="0" borderId="49" xfId="5" applyNumberFormat="1" applyFont="1" applyBorder="1" applyAlignment="1">
      <alignment horizontal="right" vertical="center"/>
    </xf>
    <xf numFmtId="177" fontId="18" fillId="0" borderId="51" xfId="14" applyNumberFormat="1" applyFont="1" applyBorder="1" applyAlignment="1">
      <alignment horizontal="right" vertical="center"/>
    </xf>
    <xf numFmtId="177" fontId="18" fillId="0" borderId="43" xfId="14" applyNumberFormat="1" applyFont="1" applyBorder="1" applyAlignment="1">
      <alignment horizontal="right" vertical="center"/>
    </xf>
    <xf numFmtId="176" fontId="18" fillId="0" borderId="51" xfId="5" applyNumberFormat="1" applyFont="1" applyBorder="1" applyAlignment="1">
      <alignment horizontal="left" vertical="center"/>
    </xf>
    <xf numFmtId="0" fontId="41" fillId="0" borderId="43" xfId="5" applyFont="1" applyBorder="1" applyAlignment="1">
      <alignment horizontal="left" vertical="center"/>
    </xf>
    <xf numFmtId="0" fontId="41" fillId="0" borderId="43" xfId="5" applyFont="1" applyBorder="1" applyAlignment="1">
      <alignment vertical="center"/>
    </xf>
    <xf numFmtId="0" fontId="18" fillId="0" borderId="52" xfId="5" applyFont="1" applyBorder="1" applyAlignment="1">
      <alignment vertical="center" wrapText="1"/>
    </xf>
    <xf numFmtId="0" fontId="10" fillId="0" borderId="52" xfId="5" applyBorder="1" applyAlignment="1">
      <alignment vertical="center" wrapText="1"/>
    </xf>
    <xf numFmtId="0" fontId="38" fillId="0" borderId="43" xfId="5" applyFont="1" applyBorder="1" applyAlignment="1">
      <alignment vertical="center"/>
    </xf>
    <xf numFmtId="0" fontId="38" fillId="0" borderId="49" xfId="5" applyFont="1" applyBorder="1" applyAlignment="1">
      <alignment vertical="center"/>
    </xf>
    <xf numFmtId="177" fontId="18" fillId="0" borderId="51" xfId="5" applyNumberFormat="1" applyFont="1" applyBorder="1" applyAlignment="1">
      <alignment horizontal="right" vertical="center"/>
    </xf>
    <xf numFmtId="177" fontId="18" fillId="0" borderId="43" xfId="5" applyNumberFormat="1" applyFont="1" applyBorder="1" applyAlignment="1">
      <alignment horizontal="right" vertical="center"/>
    </xf>
    <xf numFmtId="177" fontId="18" fillId="0" borderId="49" xfId="5" applyNumberFormat="1" applyFont="1" applyBorder="1" applyAlignment="1">
      <alignment horizontal="right" vertical="center"/>
    </xf>
    <xf numFmtId="0" fontId="37" fillId="0" borderId="52" xfId="5" applyFont="1" applyBorder="1" applyAlignment="1">
      <alignment vertical="center"/>
    </xf>
    <xf numFmtId="0" fontId="15" fillId="0" borderId="43" xfId="5" applyFont="1" applyBorder="1" applyAlignment="1">
      <alignment vertical="center"/>
    </xf>
    <xf numFmtId="22" fontId="15" fillId="0" borderId="43" xfId="5" applyNumberFormat="1" applyFont="1" applyBorder="1" applyAlignment="1">
      <alignment vertical="center"/>
    </xf>
    <xf numFmtId="0" fontId="9" fillId="0" borderId="43" xfId="5" applyFont="1" applyBorder="1" applyAlignment="1">
      <alignment vertical="center"/>
    </xf>
    <xf numFmtId="38" fontId="38" fillId="0" borderId="54" xfId="15" applyNumberFormat="1" applyFont="1" applyBorder="1" applyAlignment="1">
      <alignment vertical="center" wrapText="1"/>
    </xf>
    <xf numFmtId="38" fontId="38" fillId="0" borderId="55" xfId="15" applyNumberFormat="1" applyFont="1" applyBorder="1" applyAlignment="1">
      <alignment horizontal="center" vertical="center" wrapText="1"/>
    </xf>
    <xf numFmtId="38" fontId="38" fillId="0" borderId="54" xfId="2" applyFont="1" applyFill="1" applyBorder="1" applyAlignment="1" applyProtection="1">
      <alignment horizontal="right" vertical="center" wrapText="1"/>
    </xf>
    <xf numFmtId="38" fontId="38" fillId="0" borderId="56" xfId="2" applyFont="1" applyFill="1" applyBorder="1" applyAlignment="1" applyProtection="1">
      <alignment horizontal="right" vertical="center" wrapText="1"/>
    </xf>
    <xf numFmtId="38" fontId="38" fillId="0" borderId="57" xfId="2" applyFont="1" applyFill="1" applyBorder="1" applyAlignment="1" applyProtection="1">
      <alignment horizontal="right" vertical="center" wrapText="1"/>
    </xf>
    <xf numFmtId="38" fontId="18" fillId="0" borderId="54" xfId="2" applyFont="1" applyFill="1" applyBorder="1" applyAlignment="1" applyProtection="1">
      <alignment horizontal="right" vertical="center" wrapText="1"/>
    </xf>
    <xf numFmtId="38" fontId="18" fillId="0" borderId="56" xfId="2" applyFont="1" applyFill="1" applyBorder="1" applyAlignment="1" applyProtection="1">
      <alignment horizontal="right" vertical="center" wrapText="1"/>
    </xf>
    <xf numFmtId="38" fontId="18" fillId="0" borderId="57" xfId="2" applyFont="1" applyFill="1" applyBorder="1" applyAlignment="1" applyProtection="1">
      <alignment horizontal="right" vertical="center" wrapText="1"/>
    </xf>
    <xf numFmtId="38" fontId="18" fillId="0" borderId="58" xfId="15" applyNumberFormat="1" applyFont="1" applyBorder="1" applyAlignment="1">
      <alignment horizontal="right" vertical="center" wrapText="1"/>
    </xf>
    <xf numFmtId="38" fontId="18" fillId="0" borderId="59" xfId="15" applyNumberFormat="1" applyFont="1" applyBorder="1" applyAlignment="1">
      <alignment horizontal="right" vertical="center" wrapText="1"/>
    </xf>
    <xf numFmtId="38" fontId="18" fillId="0" borderId="57" xfId="15" applyNumberFormat="1" applyFont="1" applyBorder="1" applyAlignment="1">
      <alignment horizontal="right" vertical="center" wrapText="1"/>
    </xf>
    <xf numFmtId="38" fontId="15" fillId="0" borderId="43" xfId="15" applyNumberFormat="1" applyFont="1" applyBorder="1" applyAlignment="1">
      <alignment wrapText="1"/>
    </xf>
    <xf numFmtId="38" fontId="57" fillId="0" borderId="43" xfId="15" applyNumberFormat="1" applyFont="1" applyBorder="1" applyAlignment="1">
      <alignment horizontal="center" wrapText="1"/>
    </xf>
    <xf numFmtId="0" fontId="15" fillId="0" borderId="43" xfId="5" applyFont="1" applyBorder="1"/>
    <xf numFmtId="0" fontId="10" fillId="0" borderId="43" xfId="5" applyBorder="1"/>
    <xf numFmtId="0" fontId="52" fillId="0" borderId="43" xfId="5" applyFont="1" applyBorder="1"/>
    <xf numFmtId="38" fontId="38" fillId="0" borderId="60" xfId="15" applyNumberFormat="1" applyFont="1" applyBorder="1" applyAlignment="1">
      <alignment horizontal="center" vertical="center" wrapText="1"/>
    </xf>
    <xf numFmtId="38" fontId="38" fillId="0" borderId="61" xfId="15" applyNumberFormat="1" applyFont="1" applyBorder="1" applyAlignment="1">
      <alignment horizontal="center" vertical="center" wrapText="1"/>
    </xf>
    <xf numFmtId="0" fontId="18" fillId="0" borderId="60" xfId="5" applyFont="1" applyBorder="1" applyAlignment="1">
      <alignment vertical="center"/>
    </xf>
    <xf numFmtId="0" fontId="18" fillId="0" borderId="61" xfId="5" applyFont="1" applyBorder="1" applyAlignment="1">
      <alignment vertical="center"/>
    </xf>
    <xf numFmtId="38" fontId="18" fillId="0" borderId="61" xfId="15" applyNumberFormat="1" applyFont="1" applyBorder="1" applyAlignment="1">
      <alignment horizontal="center" vertical="center" wrapText="1"/>
    </xf>
    <xf numFmtId="38" fontId="38" fillId="0" borderId="53" xfId="15" applyNumberFormat="1" applyFont="1" applyBorder="1" applyAlignment="1">
      <alignment horizontal="center" vertical="center" wrapText="1"/>
    </xf>
    <xf numFmtId="38" fontId="38" fillId="0" borderId="62" xfId="15" applyNumberFormat="1" applyFont="1" applyBorder="1" applyAlignment="1">
      <alignment horizontal="center" vertical="center" wrapText="1"/>
    </xf>
    <xf numFmtId="38" fontId="18" fillId="0" borderId="63" xfId="15" applyNumberFormat="1" applyFont="1" applyBorder="1" applyAlignment="1">
      <alignment horizontal="center" vertical="center" wrapText="1"/>
    </xf>
    <xf numFmtId="38" fontId="18" fillId="0" borderId="64" xfId="15" applyNumberFormat="1" applyFont="1" applyBorder="1" applyAlignment="1">
      <alignment horizontal="center" vertical="center" wrapText="1"/>
    </xf>
    <xf numFmtId="0" fontId="38" fillId="0" borderId="50" xfId="5" applyFont="1" applyBorder="1" applyAlignment="1">
      <alignment horizontal="center" vertical="center"/>
    </xf>
    <xf numFmtId="0" fontId="38" fillId="0" borderId="50" xfId="5" applyFont="1" applyBorder="1" applyAlignment="1">
      <alignment vertical="center"/>
    </xf>
    <xf numFmtId="38" fontId="38" fillId="0" borderId="65" xfId="15" applyNumberFormat="1" applyFont="1" applyBorder="1" applyAlignment="1">
      <alignment horizontal="center" vertical="center" wrapText="1"/>
    </xf>
    <xf numFmtId="38" fontId="18" fillId="0" borderId="66" xfId="15" applyNumberFormat="1" applyFont="1" applyBorder="1" applyAlignment="1">
      <alignment horizontal="left" wrapText="1"/>
    </xf>
    <xf numFmtId="38" fontId="18" fillId="0" borderId="67" xfId="15" applyNumberFormat="1" applyFont="1" applyBorder="1" applyAlignment="1">
      <alignment wrapText="1"/>
    </xf>
    <xf numFmtId="38" fontId="18" fillId="0" borderId="66" xfId="15" applyNumberFormat="1" applyFont="1" applyBorder="1" applyAlignment="1">
      <alignment wrapText="1"/>
    </xf>
    <xf numFmtId="0" fontId="18" fillId="0" borderId="56" xfId="5" applyFont="1" applyBorder="1" applyAlignment="1">
      <alignment horizontal="left" vertical="center"/>
    </xf>
    <xf numFmtId="0" fontId="18" fillId="0" borderId="56" xfId="5" applyFont="1" applyBorder="1" applyAlignment="1">
      <alignment horizontal="right" vertical="center"/>
    </xf>
    <xf numFmtId="0" fontId="18" fillId="0" borderId="57" xfId="5" applyFont="1" applyBorder="1" applyAlignment="1">
      <alignment horizontal="right" vertical="center"/>
    </xf>
    <xf numFmtId="38" fontId="18" fillId="0" borderId="57" xfId="2" applyFont="1" applyFill="1" applyBorder="1" applyAlignment="1">
      <alignment vertical="center"/>
    </xf>
    <xf numFmtId="184" fontId="18" fillId="0" borderId="47" xfId="5" applyNumberFormat="1" applyFont="1" applyBorder="1" applyAlignment="1">
      <alignment horizontal="left" vertical="center"/>
    </xf>
    <xf numFmtId="203" fontId="18" fillId="0" borderId="0" xfId="2" applyNumberFormat="1" applyFont="1" applyFill="1" applyBorder="1" applyAlignment="1">
      <alignment horizontal="right" vertical="center"/>
    </xf>
    <xf numFmtId="38" fontId="18" fillId="0" borderId="47" xfId="15" applyNumberFormat="1" applyFont="1" applyBorder="1" applyAlignment="1">
      <alignment vertical="center" wrapText="1"/>
    </xf>
    <xf numFmtId="38" fontId="18" fillId="0" borderId="60" xfId="15" applyNumberFormat="1" applyFont="1" applyBorder="1" applyAlignment="1">
      <alignment horizontal="center" vertical="center" wrapText="1"/>
    </xf>
    <xf numFmtId="38" fontId="18" fillId="0" borderId="55" xfId="15" applyNumberFormat="1" applyFont="1" applyBorder="1" applyAlignment="1">
      <alignment horizontal="center" vertical="center" wrapText="1"/>
    </xf>
    <xf numFmtId="49" fontId="18" fillId="0" borderId="56" xfId="5" applyNumberFormat="1" applyFont="1" applyBorder="1" applyAlignment="1">
      <alignment horizontal="center"/>
    </xf>
    <xf numFmtId="0" fontId="18" fillId="0" borderId="56" xfId="5" applyFont="1" applyBorder="1" applyAlignment="1">
      <alignment horizontal="center"/>
    </xf>
    <xf numFmtId="0" fontId="18" fillId="0" borderId="57" xfId="5" applyFont="1" applyBorder="1" applyAlignment="1">
      <alignment horizontal="center"/>
    </xf>
    <xf numFmtId="3" fontId="18" fillId="0" borderId="57" xfId="2" applyNumberFormat="1" applyFont="1" applyFill="1" applyBorder="1" applyAlignment="1"/>
    <xf numFmtId="0" fontId="60" fillId="0" borderId="47" xfId="5" applyFont="1" applyBorder="1" applyAlignment="1">
      <alignment horizontal="center" wrapText="1"/>
    </xf>
    <xf numFmtId="203" fontId="18" fillId="0" borderId="0" xfId="5" applyNumberFormat="1" applyFont="1" applyAlignment="1">
      <alignment horizontal="right" vertical="top" wrapText="1"/>
    </xf>
    <xf numFmtId="0" fontId="18" fillId="0" borderId="47" xfId="16" applyFont="1" applyBorder="1" applyAlignment="1">
      <alignment horizontal="center" vertical="center" wrapText="1"/>
    </xf>
    <xf numFmtId="0" fontId="18" fillId="0" borderId="56" xfId="16" applyFont="1" applyBorder="1" applyAlignment="1">
      <alignment horizontal="center" vertical="center" wrapText="1"/>
    </xf>
    <xf numFmtId="49" fontId="19" fillId="0" borderId="57" xfId="5" applyNumberFormat="1" applyFont="1" applyBorder="1" applyAlignment="1">
      <alignment horizontal="left"/>
    </xf>
    <xf numFmtId="37" fontId="18" fillId="0" borderId="47" xfId="16" applyNumberFormat="1" applyFont="1" applyBorder="1" applyAlignment="1">
      <alignment horizontal="right" vertical="center"/>
    </xf>
    <xf numFmtId="37" fontId="18" fillId="0" borderId="56" xfId="16" applyNumberFormat="1" applyFont="1" applyBorder="1" applyAlignment="1">
      <alignment horizontal="right" vertical="center"/>
    </xf>
    <xf numFmtId="37" fontId="18" fillId="0" borderId="47" xfId="16" applyNumberFormat="1" applyFont="1" applyBorder="1" applyAlignment="1">
      <alignment horizontal="left" vertical="center"/>
    </xf>
    <xf numFmtId="0" fontId="18" fillId="0" borderId="47" xfId="16" applyFont="1" applyBorder="1" applyAlignment="1">
      <alignment horizontal="left" vertical="center"/>
    </xf>
    <xf numFmtId="0" fontId="18" fillId="0" borderId="48" xfId="16" applyFont="1" applyBorder="1" applyAlignment="1">
      <alignment horizontal="left" vertical="center" shrinkToFit="1"/>
    </xf>
    <xf numFmtId="0" fontId="18" fillId="0" borderId="57" xfId="16" applyFont="1" applyBorder="1" applyAlignment="1">
      <alignment horizontal="center" vertical="center" wrapText="1"/>
    </xf>
    <xf numFmtId="0" fontId="87" fillId="0" borderId="47" xfId="16" applyFont="1" applyBorder="1" applyAlignment="1">
      <alignment horizontal="center" vertical="center" wrapText="1"/>
    </xf>
    <xf numFmtId="0" fontId="20" fillId="0" borderId="31" xfId="16" applyFont="1" applyBorder="1" applyAlignment="1">
      <alignment horizontal="center" vertical="center" wrapText="1"/>
    </xf>
    <xf numFmtId="0" fontId="18" fillId="0" borderId="48" xfId="16" applyFont="1" applyBorder="1" applyAlignment="1">
      <alignment horizontal="left" vertical="center" wrapText="1" shrinkToFit="1"/>
    </xf>
    <xf numFmtId="203" fontId="18" fillId="0" borderId="0" xfId="16" applyNumberFormat="1" applyFont="1" applyAlignment="1">
      <alignment horizontal="right" vertical="center"/>
    </xf>
    <xf numFmtId="0" fontId="20" fillId="0" borderId="47" xfId="16" applyFont="1" applyBorder="1" applyAlignment="1">
      <alignment horizontal="center" vertical="center" wrapText="1"/>
    </xf>
    <xf numFmtId="37" fontId="18" fillId="0" borderId="57" xfId="16" applyNumberFormat="1" applyFont="1" applyBorder="1" applyAlignment="1">
      <alignment horizontal="right" vertical="center"/>
    </xf>
    <xf numFmtId="38" fontId="38" fillId="0" borderId="47" xfId="15" applyNumberFormat="1" applyFont="1" applyBorder="1" applyAlignment="1">
      <alignment vertical="center" wrapText="1"/>
    </xf>
    <xf numFmtId="49" fontId="18" fillId="0" borderId="56" xfId="5" applyNumberFormat="1" applyFont="1" applyBorder="1" applyAlignment="1">
      <alignment horizontal="left" vertical="center"/>
    </xf>
    <xf numFmtId="3" fontId="18" fillId="0" borderId="57" xfId="2" applyNumberFormat="1" applyFont="1" applyFill="1" applyBorder="1" applyAlignment="1">
      <alignment horizontal="right" vertical="center"/>
    </xf>
    <xf numFmtId="0" fontId="51" fillId="0" borderId="0" xfId="5" applyFont="1" applyAlignment="1">
      <alignment horizontal="left"/>
    </xf>
    <xf numFmtId="0" fontId="73" fillId="0" borderId="0" xfId="5" applyFont="1" applyAlignment="1">
      <alignment horizontal="center"/>
    </xf>
    <xf numFmtId="0" fontId="73" fillId="0" borderId="0" xfId="5" applyFont="1"/>
    <xf numFmtId="0" fontId="74" fillId="0" borderId="0" xfId="5" applyFont="1" applyAlignment="1">
      <alignment vertical="center"/>
    </xf>
    <xf numFmtId="0" fontId="70" fillId="0" borderId="0" xfId="5" applyFont="1" applyAlignment="1">
      <alignment horizontal="center"/>
    </xf>
    <xf numFmtId="0" fontId="71" fillId="0" borderId="0" xfId="5" applyFont="1" applyAlignment="1">
      <alignment horizontal="center" vertical="center"/>
    </xf>
    <xf numFmtId="0" fontId="72" fillId="0" borderId="0" xfId="5" applyFont="1" applyAlignment="1">
      <alignment horizontal="right" vertical="center"/>
    </xf>
    <xf numFmtId="0" fontId="71" fillId="0" borderId="0" xfId="5" applyFont="1" applyAlignment="1">
      <alignment horizontal="centerContinuous" vertical="center"/>
    </xf>
    <xf numFmtId="0" fontId="72" fillId="0" borderId="0" xfId="5" applyFont="1" applyAlignment="1">
      <alignment vertical="center"/>
    </xf>
    <xf numFmtId="0" fontId="71" fillId="0" borderId="0" xfId="5" applyFont="1" applyAlignment="1">
      <alignment horizontal="left" vertical="center"/>
    </xf>
    <xf numFmtId="0" fontId="72" fillId="0" borderId="0" xfId="5" applyFont="1" applyAlignment="1">
      <alignment horizontal="left" vertical="center"/>
    </xf>
    <xf numFmtId="0" fontId="71" fillId="0" borderId="0" xfId="5" applyFont="1" applyAlignment="1">
      <alignment vertical="center"/>
    </xf>
    <xf numFmtId="0" fontId="71" fillId="0" borderId="0" xfId="5" quotePrefix="1" applyFont="1" applyAlignment="1">
      <alignment horizontal="left" vertical="center"/>
    </xf>
    <xf numFmtId="0" fontId="9" fillId="0" borderId="0" xfId="5" applyFont="1" applyAlignment="1">
      <alignment horizontal="right" vertical="center"/>
    </xf>
    <xf numFmtId="0" fontId="51" fillId="0" borderId="0" xfId="5" applyFont="1" applyAlignment="1">
      <alignment horizontal="centerContinuous"/>
    </xf>
    <xf numFmtId="3" fontId="38" fillId="0" borderId="0" xfId="5" applyNumberFormat="1" applyFont="1" applyAlignment="1">
      <alignment horizontal="right" vertical="center"/>
    </xf>
    <xf numFmtId="0" fontId="51" fillId="0" borderId="0" xfId="5" applyFont="1"/>
    <xf numFmtId="0" fontId="51" fillId="0" borderId="0" xfId="5" quotePrefix="1" applyFont="1" applyAlignment="1">
      <alignment horizontal="left"/>
    </xf>
    <xf numFmtId="0" fontId="70" fillId="0" borderId="0" xfId="5" applyFont="1" applyAlignment="1">
      <alignment horizontal="center" vertical="center"/>
    </xf>
    <xf numFmtId="0" fontId="70" fillId="0" borderId="1" xfId="5" applyFont="1" applyBorder="1" applyAlignment="1">
      <alignment horizontal="center"/>
    </xf>
    <xf numFmtId="0" fontId="71" fillId="0" borderId="1" xfId="5" quotePrefix="1" applyFont="1" applyBorder="1" applyAlignment="1">
      <alignment horizontal="left"/>
    </xf>
    <xf numFmtId="0" fontId="70" fillId="0" borderId="1" xfId="5" applyFont="1" applyBorder="1" applyAlignment="1">
      <alignment horizontal="right"/>
    </xf>
    <xf numFmtId="0" fontId="70" fillId="0" borderId="1" xfId="5" applyFont="1" applyBorder="1" applyAlignment="1">
      <alignment horizontal="center" vertical="top"/>
    </xf>
    <xf numFmtId="0" fontId="51" fillId="0" borderId="1" xfId="5" quotePrefix="1" applyFont="1" applyBorder="1" applyAlignment="1">
      <alignment horizontal="left" vertical="center"/>
    </xf>
    <xf numFmtId="0" fontId="38" fillId="0" borderId="8" xfId="5" applyFont="1" applyBorder="1" applyAlignment="1">
      <alignment horizontal="centerContinuous"/>
    </xf>
    <xf numFmtId="38" fontId="18" fillId="0" borderId="29" xfId="15" applyNumberFormat="1" applyFont="1" applyBorder="1" applyAlignment="1">
      <alignment vertical="center" wrapText="1"/>
    </xf>
    <xf numFmtId="0" fontId="18" fillId="0" borderId="0" xfId="5" applyFont="1" applyAlignment="1">
      <alignment vertical="center" wrapText="1"/>
    </xf>
    <xf numFmtId="0" fontId="38" fillId="0" borderId="8" xfId="5" applyFont="1" applyBorder="1" applyAlignment="1">
      <alignment horizontal="centerContinuous" vertical="center"/>
    </xf>
    <xf numFmtId="0" fontId="38" fillId="0" borderId="0" xfId="5" applyFont="1" applyAlignment="1">
      <alignment horizontal="right" vertical="center" wrapText="1"/>
    </xf>
    <xf numFmtId="0" fontId="38" fillId="0" borderId="9" xfId="5" applyFont="1" applyBorder="1" applyAlignment="1">
      <alignment horizontal="centerContinuous" vertical="center" wrapText="1"/>
    </xf>
    <xf numFmtId="0" fontId="38" fillId="0" borderId="0" xfId="5" applyFont="1" applyAlignment="1">
      <alignment wrapText="1"/>
    </xf>
    <xf numFmtId="0" fontId="18" fillId="0" borderId="41" xfId="5" applyFont="1" applyBorder="1" applyAlignment="1">
      <alignment horizontal="centerContinuous"/>
    </xf>
    <xf numFmtId="0" fontId="18" fillId="0" borderId="6" xfId="5" applyFont="1" applyBorder="1"/>
    <xf numFmtId="0" fontId="49" fillId="0" borderId="40" xfId="5" applyFont="1" applyBorder="1"/>
    <xf numFmtId="0" fontId="49" fillId="0" borderId="0" xfId="5" applyFont="1" applyAlignment="1">
      <alignment horizontal="distributed" vertical="center" wrapText="1"/>
    </xf>
    <xf numFmtId="0" fontId="49" fillId="0" borderId="8" xfId="5" applyFont="1" applyBorder="1" applyAlignment="1">
      <alignment horizontal="distributed" vertical="center"/>
    </xf>
    <xf numFmtId="3" fontId="49" fillId="0" borderId="0" xfId="5" applyNumberFormat="1" applyFont="1" applyAlignment="1">
      <alignment vertical="center"/>
    </xf>
    <xf numFmtId="3" fontId="49" fillId="0" borderId="0" xfId="5" applyNumberFormat="1" applyFont="1" applyAlignment="1">
      <alignment horizontal="right" vertical="center"/>
    </xf>
    <xf numFmtId="0" fontId="49" fillId="0" borderId="4" xfId="5" applyFont="1" applyBorder="1" applyAlignment="1">
      <alignment horizontal="left" vertical="center"/>
    </xf>
    <xf numFmtId="0" fontId="18" fillId="0" borderId="33" xfId="5" applyFont="1" applyBorder="1" applyAlignment="1">
      <alignment horizontal="right" vertical="center"/>
    </xf>
    <xf numFmtId="0" fontId="18" fillId="0" borderId="0" xfId="5" applyFont="1" applyAlignment="1">
      <alignment horizontal="distributed" vertical="center" wrapText="1"/>
    </xf>
    <xf numFmtId="0" fontId="18" fillId="0" borderId="37" xfId="5" applyFont="1" applyBorder="1" applyAlignment="1">
      <alignment horizontal="right" vertical="center"/>
    </xf>
    <xf numFmtId="0" fontId="18" fillId="0" borderId="35" xfId="5" applyFont="1" applyBorder="1" applyAlignment="1">
      <alignment horizontal="distributed" vertical="center" wrapText="1"/>
    </xf>
    <xf numFmtId="0" fontId="18" fillId="0" borderId="36" xfId="5" applyFont="1" applyBorder="1" applyAlignment="1">
      <alignment horizontal="distributed" vertical="center"/>
    </xf>
    <xf numFmtId="3" fontId="18" fillId="0" borderId="35" xfId="5" applyNumberFormat="1" applyFont="1" applyBorder="1" applyAlignment="1">
      <alignment horizontal="right" vertical="center"/>
    </xf>
    <xf numFmtId="0" fontId="18" fillId="0" borderId="34" xfId="5" applyFont="1" applyBorder="1" applyAlignment="1">
      <alignment horizontal="left" vertical="center"/>
    </xf>
    <xf numFmtId="0" fontId="49" fillId="0" borderId="33" xfId="5" applyFont="1" applyBorder="1" applyAlignment="1">
      <alignment horizontal="right"/>
    </xf>
    <xf numFmtId="0" fontId="49" fillId="0" borderId="4" xfId="5" applyFont="1" applyBorder="1" applyAlignment="1">
      <alignment vertical="center"/>
    </xf>
    <xf numFmtId="0" fontId="18" fillId="0" borderId="38" xfId="5" applyFont="1" applyBorder="1" applyAlignment="1">
      <alignment horizontal="centerContinuous" vertical="center"/>
    </xf>
    <xf numFmtId="3" fontId="18" fillId="0" borderId="4" xfId="5" applyNumberFormat="1" applyFont="1" applyBorder="1" applyAlignment="1">
      <alignment horizontal="right" vertical="center"/>
    </xf>
    <xf numFmtId="0" fontId="18" fillId="0" borderId="32" xfId="5" applyFont="1" applyBorder="1" applyAlignment="1">
      <alignment horizontal="right" vertical="center"/>
    </xf>
    <xf numFmtId="0" fontId="18" fillId="0" borderId="1" xfId="5" applyFont="1" applyBorder="1" applyAlignment="1">
      <alignment horizontal="distributed" vertical="center" wrapText="1"/>
    </xf>
    <xf numFmtId="0" fontId="18" fillId="0" borderId="9" xfId="5" applyFont="1" applyBorder="1" applyAlignment="1">
      <alignment horizontal="distributed" vertical="center"/>
    </xf>
    <xf numFmtId="3" fontId="18" fillId="0" borderId="1" xfId="5" applyNumberFormat="1" applyFont="1" applyBorder="1" applyAlignment="1">
      <alignment horizontal="right" vertical="center"/>
    </xf>
    <xf numFmtId="3" fontId="18" fillId="0" borderId="1" xfId="5" applyNumberFormat="1" applyFont="1" applyBorder="1"/>
    <xf numFmtId="0" fontId="18" fillId="0" borderId="11" xfId="5" applyFont="1" applyBorder="1" applyAlignment="1">
      <alignment horizontal="left" vertical="center"/>
    </xf>
    <xf numFmtId="185" fontId="38" fillId="0" borderId="0" xfId="5" applyNumberFormat="1" applyFont="1" applyAlignment="1">
      <alignment vertical="center"/>
    </xf>
    <xf numFmtId="0" fontId="38" fillId="0" borderId="0" xfId="5" quotePrefix="1" applyFont="1" applyAlignment="1">
      <alignment vertical="center"/>
    </xf>
    <xf numFmtId="185" fontId="38" fillId="0" borderId="0" xfId="5" applyNumberFormat="1" applyFont="1"/>
    <xf numFmtId="188" fontId="18" fillId="0" borderId="4" xfId="5" applyNumberFormat="1" applyFont="1" applyBorder="1" applyAlignment="1">
      <alignment horizontal="left" vertical="top"/>
    </xf>
    <xf numFmtId="0" fontId="1" fillId="0" borderId="0" xfId="26">
      <alignment vertical="center"/>
    </xf>
    <xf numFmtId="40" fontId="18" fillId="0" borderId="0" xfId="27" applyNumberFormat="1" applyFont="1" applyAlignment="1">
      <alignment horizontal="left"/>
    </xf>
    <xf numFmtId="200" fontId="1" fillId="0" borderId="0" xfId="26" applyNumberFormat="1">
      <alignment vertical="center"/>
    </xf>
    <xf numFmtId="201" fontId="1" fillId="0" borderId="0" xfId="26" applyNumberFormat="1">
      <alignment vertical="center"/>
    </xf>
    <xf numFmtId="38" fontId="18" fillId="0" borderId="5" xfId="12" applyNumberFormat="1" applyFont="1" applyBorder="1" applyAlignment="1">
      <alignment horizontal="centerContinuous" vertical="center" wrapText="1"/>
    </xf>
    <xf numFmtId="38" fontId="18" fillId="0" borderId="2" xfId="12" applyNumberFormat="1" applyFont="1" applyBorder="1" applyAlignment="1">
      <alignment horizontal="centerContinuous" vertical="center" wrapText="1"/>
    </xf>
    <xf numFmtId="38" fontId="18" fillId="0" borderId="3" xfId="12" quotePrefix="1" applyNumberFormat="1" applyFont="1" applyBorder="1" applyAlignment="1">
      <alignment horizontal="center" vertical="center" wrapText="1"/>
    </xf>
    <xf numFmtId="193" fontId="18" fillId="0" borderId="3" xfId="5" applyNumberFormat="1" applyFont="1" applyBorder="1" applyAlignment="1">
      <alignment horizontal="center" vertical="center" wrapText="1"/>
    </xf>
    <xf numFmtId="193" fontId="18" fillId="0" borderId="3" xfId="12" quotePrefix="1" applyNumberFormat="1" applyFont="1" applyBorder="1" applyAlignment="1">
      <alignment horizontal="center" vertical="center" wrapText="1"/>
    </xf>
    <xf numFmtId="194" fontId="18" fillId="0" borderId="10" xfId="2" quotePrefix="1" applyNumberFormat="1" applyFont="1" applyFill="1" applyBorder="1" applyAlignment="1">
      <alignment horizontal="center" vertical="center" wrapText="1"/>
    </xf>
    <xf numFmtId="38" fontId="18" fillId="0" borderId="10" xfId="12" applyNumberFormat="1" applyFont="1" applyBorder="1" applyAlignment="1">
      <alignment horizontal="center" vertical="center" wrapText="1"/>
    </xf>
    <xf numFmtId="193" fontId="18" fillId="0" borderId="10" xfId="5" applyNumberFormat="1" applyFont="1" applyBorder="1" applyAlignment="1">
      <alignment horizontal="center" vertical="center" wrapText="1"/>
    </xf>
    <xf numFmtId="49" fontId="19" fillId="0" borderId="9" xfId="5" quotePrefix="1" applyNumberFormat="1" applyFont="1" applyBorder="1" applyAlignment="1">
      <alignment horizontal="left"/>
    </xf>
    <xf numFmtId="38" fontId="18" fillId="0" borderId="21" xfId="2" applyFont="1" applyFill="1" applyBorder="1"/>
    <xf numFmtId="38" fontId="18" fillId="0" borderId="10" xfId="2" applyFont="1" applyFill="1" applyBorder="1" applyAlignment="1"/>
    <xf numFmtId="196" fontId="18" fillId="0" borderId="10" xfId="5" applyNumberFormat="1" applyFont="1" applyBorder="1"/>
    <xf numFmtId="3" fontId="18" fillId="0" borderId="11" xfId="5" applyNumberFormat="1" applyFont="1" applyBorder="1"/>
    <xf numFmtId="0" fontId="18" fillId="0" borderId="2" xfId="5" quotePrefix="1" applyFont="1" applyBorder="1" applyAlignment="1">
      <alignment horizontal="left"/>
    </xf>
    <xf numFmtId="0" fontId="64" fillId="0" borderId="2" xfId="5" applyFont="1" applyBorder="1" applyAlignment="1">
      <alignment vertical="center"/>
    </xf>
    <xf numFmtId="0" fontId="10" fillId="0" borderId="1" xfId="5" applyBorder="1" applyAlignment="1">
      <alignment horizontal="right"/>
    </xf>
    <xf numFmtId="194" fontId="18" fillId="0" borderId="3" xfId="2" applyNumberFormat="1" applyFont="1" applyFill="1" applyBorder="1" applyAlignment="1">
      <alignment horizontal="center" vertical="center"/>
    </xf>
    <xf numFmtId="195" fontId="18" fillId="0" borderId="3" xfId="5" applyNumberFormat="1" applyFont="1" applyBorder="1" applyAlignment="1">
      <alignment horizontal="center" vertical="center"/>
    </xf>
    <xf numFmtId="38" fontId="18" fillId="0" borderId="3" xfId="5" applyNumberFormat="1" applyFont="1" applyBorder="1" applyAlignment="1">
      <alignment horizontal="center" vertical="center"/>
    </xf>
    <xf numFmtId="38" fontId="18" fillId="0" borderId="3" xfId="5" quotePrefix="1" applyNumberFormat="1" applyFont="1" applyBorder="1" applyAlignment="1">
      <alignment horizontal="center" vertical="center" wrapText="1"/>
    </xf>
    <xf numFmtId="193" fontId="18" fillId="0" borderId="3" xfId="5" applyNumberFormat="1" applyFont="1" applyBorder="1" applyAlignment="1">
      <alignment horizontal="center" vertical="center"/>
    </xf>
    <xf numFmtId="194" fontId="18" fillId="0" borderId="10" xfId="2" applyNumberFormat="1" applyFont="1" applyFill="1" applyBorder="1" applyAlignment="1">
      <alignment horizontal="center" vertical="center" wrapText="1"/>
    </xf>
    <xf numFmtId="38" fontId="18" fillId="0" borderId="10" xfId="5" applyNumberFormat="1" applyFont="1" applyBorder="1" applyAlignment="1">
      <alignment horizontal="center" vertical="center" wrapText="1"/>
    </xf>
    <xf numFmtId="38" fontId="18" fillId="0" borderId="10" xfId="2" applyFont="1" applyFill="1" applyBorder="1" applyAlignment="1">
      <alignment horizontal="right"/>
    </xf>
    <xf numFmtId="195" fontId="18" fillId="0" borderId="3" xfId="12" applyNumberFormat="1" applyFont="1" applyBorder="1" applyAlignment="1">
      <alignment horizontal="center" vertical="center" wrapText="1"/>
    </xf>
    <xf numFmtId="38" fontId="18" fillId="0" borderId="3" xfId="12" quotePrefix="1" applyNumberFormat="1" applyFont="1" applyBorder="1" applyAlignment="1">
      <alignment horizontal="center" vertical="center"/>
    </xf>
    <xf numFmtId="193" fontId="20" fillId="0" borderId="3" xfId="12" quotePrefix="1" applyNumberFormat="1" applyFont="1" applyBorder="1" applyAlignment="1">
      <alignment horizontal="center" vertical="center" wrapText="1"/>
    </xf>
    <xf numFmtId="194" fontId="18" fillId="0" borderId="3" xfId="2" applyNumberFormat="1" applyFont="1" applyFill="1" applyBorder="1" applyAlignment="1">
      <alignment horizontal="right" vertical="center"/>
    </xf>
    <xf numFmtId="195" fontId="18" fillId="0" borderId="2" xfId="5" applyNumberFormat="1" applyFont="1" applyBorder="1" applyAlignment="1">
      <alignment horizontal="right" vertical="center"/>
    </xf>
    <xf numFmtId="192" fontId="18" fillId="0" borderId="3" xfId="5" applyNumberFormat="1" applyFont="1" applyBorder="1" applyAlignment="1">
      <alignment horizontal="right" vertical="center"/>
    </xf>
    <xf numFmtId="38" fontId="18" fillId="0" borderId="3" xfId="5" applyNumberFormat="1" applyFont="1" applyBorder="1" applyAlignment="1">
      <alignment horizontal="right" vertical="center"/>
    </xf>
    <xf numFmtId="193" fontId="18" fillId="0" borderId="3" xfId="5" applyNumberFormat="1" applyFont="1" applyBorder="1" applyAlignment="1">
      <alignment horizontal="right" vertical="center"/>
    </xf>
    <xf numFmtId="199" fontId="18" fillId="0" borderId="10" xfId="2" applyNumberFormat="1" applyFont="1" applyFill="1" applyBorder="1" applyAlignment="1">
      <alignment horizontal="right"/>
    </xf>
    <xf numFmtId="197" fontId="18" fillId="0" borderId="10" xfId="2" applyNumberFormat="1" applyFont="1" applyFill="1" applyBorder="1" applyAlignment="1">
      <alignment horizontal="right"/>
    </xf>
    <xf numFmtId="40" fontId="18" fillId="0" borderId="10" xfId="2" applyNumberFormat="1" applyFont="1" applyFill="1" applyBorder="1" applyAlignment="1">
      <alignment horizontal="right"/>
    </xf>
    <xf numFmtId="193" fontId="18" fillId="0" borderId="11" xfId="5" applyNumberFormat="1" applyFont="1" applyBorder="1" applyAlignment="1">
      <alignment horizontal="left" indent="1"/>
    </xf>
    <xf numFmtId="193" fontId="18" fillId="0" borderId="3" xfId="5" quotePrefix="1" applyNumberFormat="1" applyFont="1" applyBorder="1" applyAlignment="1">
      <alignment horizontal="center" vertical="center" wrapText="1"/>
    </xf>
    <xf numFmtId="0" fontId="18" fillId="0" borderId="9" xfId="5" applyFont="1" applyBorder="1" applyAlignment="1">
      <alignment horizontal="left"/>
    </xf>
    <xf numFmtId="0" fontId="79" fillId="0" borderId="11" xfId="5" applyFont="1" applyBorder="1"/>
    <xf numFmtId="38" fontId="18" fillId="0" borderId="3" xfId="12" applyNumberFormat="1" applyFont="1" applyBorder="1" applyAlignment="1">
      <alignment horizontal="center" vertical="center" wrapText="1"/>
    </xf>
    <xf numFmtId="0" fontId="18" fillId="0" borderId="3" xfId="12" applyFont="1" applyBorder="1" applyAlignment="1">
      <alignment horizontal="center" vertical="center"/>
    </xf>
    <xf numFmtId="0" fontId="18" fillId="0" borderId="1" xfId="5" quotePrefix="1" applyFont="1" applyBorder="1" applyAlignment="1">
      <alignment horizontal="left" vertical="center"/>
    </xf>
    <xf numFmtId="0" fontId="94" fillId="0" borderId="0" xfId="26" applyFont="1">
      <alignment vertical="center"/>
    </xf>
    <xf numFmtId="0" fontId="95" fillId="0" borderId="0" xfId="26" applyFont="1">
      <alignment vertical="center"/>
    </xf>
    <xf numFmtId="0" fontId="96" fillId="0" borderId="1" xfId="26" applyFont="1" applyBorder="1">
      <alignment vertical="center"/>
    </xf>
    <xf numFmtId="0" fontId="1" fillId="0" borderId="1" xfId="26" applyBorder="1" applyAlignment="1">
      <alignment horizontal="right" vertical="center"/>
    </xf>
    <xf numFmtId="0" fontId="86" fillId="0" borderId="1" xfId="26" applyFont="1" applyBorder="1" applyAlignment="1">
      <alignment horizontal="right" vertical="center"/>
    </xf>
    <xf numFmtId="0" fontId="95" fillId="0" borderId="1" xfId="26" applyFont="1" applyBorder="1">
      <alignment vertical="center"/>
    </xf>
    <xf numFmtId="0" fontId="18" fillId="0" borderId="30" xfId="26" applyFont="1" applyBorder="1" applyAlignment="1">
      <alignment horizontal="center" vertical="center"/>
    </xf>
    <xf numFmtId="0" fontId="1" fillId="0" borderId="0" xfId="26" applyAlignment="1">
      <alignment horizontal="center" vertical="center"/>
    </xf>
    <xf numFmtId="0" fontId="18" fillId="0" borderId="7" xfId="26" applyFont="1" applyBorder="1" applyAlignment="1">
      <alignment horizontal="center" vertical="center"/>
    </xf>
    <xf numFmtId="0" fontId="18" fillId="0" borderId="8" xfId="26" applyFont="1" applyBorder="1" applyAlignment="1">
      <alignment horizontal="center" vertical="center"/>
    </xf>
    <xf numFmtId="0" fontId="18" fillId="0" borderId="7" xfId="26" applyFont="1" applyBorder="1" applyAlignment="1">
      <alignment horizontal="center" vertical="center" shrinkToFit="1"/>
    </xf>
    <xf numFmtId="0" fontId="18" fillId="0" borderId="3" xfId="26" applyFont="1" applyBorder="1" applyAlignment="1">
      <alignment horizontal="center" vertical="center"/>
    </xf>
    <xf numFmtId="0" fontId="18" fillId="0" borderId="0" xfId="26" applyFont="1" applyAlignment="1">
      <alignment horizontal="center" vertical="center"/>
    </xf>
    <xf numFmtId="0" fontId="18" fillId="0" borderId="4" xfId="26" applyFont="1" applyBorder="1" applyAlignment="1">
      <alignment horizontal="center" vertical="center"/>
    </xf>
    <xf numFmtId="0" fontId="18" fillId="0" borderId="10" xfId="26" applyFont="1" applyBorder="1" applyAlignment="1">
      <alignment horizontal="center" vertical="center"/>
    </xf>
    <xf numFmtId="0" fontId="18" fillId="0" borderId="9" xfId="26" applyFont="1" applyBorder="1" applyAlignment="1">
      <alignment horizontal="center" vertical="center" wrapText="1"/>
    </xf>
    <xf numFmtId="0" fontId="18" fillId="0" borderId="10" xfId="26" applyFont="1" applyBorder="1" applyAlignment="1">
      <alignment horizontal="center" vertical="center" wrapText="1"/>
    </xf>
    <xf numFmtId="0" fontId="18" fillId="0" borderId="1" xfId="26" applyFont="1" applyBorder="1" applyAlignment="1">
      <alignment horizontal="center" vertical="center" wrapText="1"/>
    </xf>
    <xf numFmtId="0" fontId="18" fillId="0" borderId="11" xfId="26" applyFont="1" applyBorder="1" applyAlignment="1">
      <alignment horizontal="center" vertical="center" wrapText="1"/>
    </xf>
    <xf numFmtId="0" fontId="86" fillId="0" borderId="2" xfId="26" applyFont="1" applyBorder="1" applyAlignment="1"/>
    <xf numFmtId="38" fontId="86" fillId="0" borderId="3" xfId="27" applyFont="1" applyFill="1" applyBorder="1" applyAlignment="1">
      <alignment horizontal="right"/>
    </xf>
    <xf numFmtId="38" fontId="86" fillId="0" borderId="6" xfId="27" applyFont="1" applyFill="1" applyBorder="1" applyAlignment="1">
      <alignment horizontal="right"/>
    </xf>
    <xf numFmtId="38" fontId="86" fillId="0" borderId="2" xfId="27" applyFont="1" applyFill="1" applyBorder="1" applyAlignment="1">
      <alignment horizontal="right"/>
    </xf>
    <xf numFmtId="38" fontId="86" fillId="0" borderId="5" xfId="27" applyFont="1" applyFill="1" applyBorder="1" applyAlignment="1">
      <alignment horizontal="right"/>
    </xf>
    <xf numFmtId="0" fontId="86" fillId="0" borderId="5" xfId="26" applyFont="1" applyBorder="1" applyAlignment="1"/>
    <xf numFmtId="0" fontId="86" fillId="0" borderId="0" xfId="26" applyFont="1" applyAlignment="1"/>
    <xf numFmtId="38" fontId="86" fillId="0" borderId="7" xfId="27" applyFont="1" applyFill="1" applyBorder="1" applyAlignment="1">
      <alignment horizontal="right"/>
    </xf>
    <xf numFmtId="38" fontId="86" fillId="0" borderId="8" xfId="27" applyFont="1" applyFill="1" applyBorder="1" applyAlignment="1">
      <alignment horizontal="right"/>
    </xf>
    <xf numFmtId="38" fontId="86" fillId="0" borderId="0" xfId="27" applyFont="1" applyFill="1" applyBorder="1" applyAlignment="1">
      <alignment horizontal="right"/>
    </xf>
    <xf numFmtId="38" fontId="86" fillId="0" borderId="4" xfId="27" applyFont="1" applyFill="1" applyBorder="1" applyAlignment="1">
      <alignment horizontal="right"/>
    </xf>
    <xf numFmtId="0" fontId="86" fillId="0" borderId="4" xfId="26" applyFont="1" applyBorder="1" applyAlignment="1"/>
    <xf numFmtId="38" fontId="18" fillId="0" borderId="7" xfId="27" quotePrefix="1" applyFont="1" applyFill="1" applyBorder="1" applyAlignment="1">
      <alignment horizontal="right"/>
    </xf>
    <xf numFmtId="38" fontId="18" fillId="0" borderId="8" xfId="27" quotePrefix="1" applyFont="1" applyFill="1" applyBorder="1" applyAlignment="1">
      <alignment horizontal="right"/>
    </xf>
    <xf numFmtId="38" fontId="18" fillId="0" borderId="0" xfId="27" quotePrefix="1" applyFont="1" applyFill="1" applyBorder="1" applyAlignment="1">
      <alignment horizontal="right"/>
    </xf>
    <xf numFmtId="38" fontId="18" fillId="0" borderId="4" xfId="27" quotePrefix="1" applyFont="1" applyFill="1" applyBorder="1" applyAlignment="1">
      <alignment horizontal="right"/>
    </xf>
    <xf numFmtId="38" fontId="1" fillId="0" borderId="0" xfId="26" applyNumberFormat="1">
      <alignment vertical="center"/>
    </xf>
    <xf numFmtId="49" fontId="18" fillId="0" borderId="1" xfId="5" quotePrefix="1" applyNumberFormat="1" applyFont="1" applyBorder="1" applyAlignment="1">
      <alignment horizontal="left"/>
    </xf>
    <xf numFmtId="38" fontId="18" fillId="0" borderId="10" xfId="27" quotePrefix="1" applyFont="1" applyFill="1" applyBorder="1" applyAlignment="1">
      <alignment horizontal="right"/>
    </xf>
    <xf numFmtId="38" fontId="18" fillId="0" borderId="9" xfId="27" quotePrefix="1" applyFont="1" applyFill="1" applyBorder="1" applyAlignment="1">
      <alignment horizontal="right"/>
    </xf>
    <xf numFmtId="38" fontId="18" fillId="0" borderId="1" xfId="27" quotePrefix="1" applyFont="1" applyFill="1" applyBorder="1" applyAlignment="1">
      <alignment horizontal="right"/>
    </xf>
    <xf numFmtId="38" fontId="18" fillId="0" borderId="11" xfId="27" quotePrefix="1" applyFont="1" applyFill="1" applyBorder="1" applyAlignment="1">
      <alignment horizontal="right"/>
    </xf>
    <xf numFmtId="49" fontId="18" fillId="0" borderId="2" xfId="5" applyNumberFormat="1" applyFont="1" applyBorder="1" applyAlignment="1">
      <alignment horizontal="left"/>
    </xf>
    <xf numFmtId="0" fontId="1" fillId="0" borderId="0" xfId="26" applyAlignment="1"/>
    <xf numFmtId="0" fontId="96" fillId="0" borderId="0" xfId="26" applyFont="1">
      <alignment vertical="center"/>
    </xf>
    <xf numFmtId="0" fontId="15" fillId="0" borderId="0" xfId="26" applyFont="1">
      <alignment vertical="center"/>
    </xf>
    <xf numFmtId="0" fontId="97" fillId="0" borderId="0" xfId="26" applyFont="1">
      <alignment vertical="center"/>
    </xf>
    <xf numFmtId="0" fontId="98" fillId="0" borderId="0" xfId="26" applyFont="1">
      <alignment vertical="center"/>
    </xf>
    <xf numFmtId="0" fontId="86" fillId="0" borderId="1" xfId="26" applyFont="1" applyBorder="1">
      <alignment vertical="center"/>
    </xf>
    <xf numFmtId="0" fontId="86" fillId="0" borderId="0" xfId="26" applyFont="1">
      <alignment vertical="center"/>
    </xf>
    <xf numFmtId="0" fontId="86" fillId="0" borderId="0" xfId="26" applyFont="1" applyAlignment="1">
      <alignment horizontal="right" vertical="center"/>
    </xf>
    <xf numFmtId="0" fontId="86" fillId="0" borderId="3" xfId="26" applyFont="1" applyBorder="1" applyAlignment="1">
      <alignment horizontal="center" vertical="center"/>
    </xf>
    <xf numFmtId="0" fontId="86" fillId="0" borderId="0" xfId="26" applyFont="1" applyAlignment="1">
      <alignment horizontal="center" vertical="center" shrinkToFit="1"/>
    </xf>
    <xf numFmtId="0" fontId="86" fillId="0" borderId="0" xfId="26" applyFont="1" applyAlignment="1">
      <alignment horizontal="center" vertical="center"/>
    </xf>
    <xf numFmtId="0" fontId="86" fillId="0" borderId="6" xfId="26" applyFont="1" applyBorder="1">
      <alignment vertical="center"/>
    </xf>
    <xf numFmtId="38" fontId="86" fillId="0" borderId="3" xfId="27" applyFont="1" applyFill="1" applyBorder="1" applyAlignment="1">
      <alignment horizontal="right" vertical="center"/>
    </xf>
    <xf numFmtId="0" fontId="86" fillId="0" borderId="5" xfId="26" applyFont="1" applyBorder="1">
      <alignment vertical="center"/>
    </xf>
    <xf numFmtId="38" fontId="86" fillId="0" borderId="0" xfId="27" applyFont="1" applyFill="1" applyBorder="1">
      <alignment vertical="center"/>
    </xf>
    <xf numFmtId="0" fontId="86" fillId="0" borderId="8" xfId="26" applyFont="1" applyBorder="1">
      <alignment vertical="center"/>
    </xf>
    <xf numFmtId="38" fontId="86" fillId="0" borderId="7" xfId="27" applyFont="1" applyFill="1" applyBorder="1" applyAlignment="1">
      <alignment horizontal="right" vertical="center"/>
    </xf>
    <xf numFmtId="0" fontId="86" fillId="0" borderId="4" xfId="26" applyFont="1" applyBorder="1">
      <alignment vertical="center"/>
    </xf>
    <xf numFmtId="49" fontId="18" fillId="0" borderId="8" xfId="5" quotePrefix="1" applyNumberFormat="1" applyFont="1" applyBorder="1" applyAlignment="1">
      <alignment horizontal="left" vertical="center"/>
    </xf>
    <xf numFmtId="38" fontId="18" fillId="0" borderId="7" xfId="27" quotePrefix="1" applyFont="1" applyFill="1" applyBorder="1" applyAlignment="1">
      <alignment horizontal="right" vertical="center"/>
    </xf>
    <xf numFmtId="49" fontId="18" fillId="0" borderId="4" xfId="5" quotePrefix="1" applyNumberFormat="1" applyFont="1" applyBorder="1" applyAlignment="1">
      <alignment horizontal="left" vertical="center"/>
    </xf>
    <xf numFmtId="49" fontId="18" fillId="0" borderId="9" xfId="5" quotePrefix="1" applyNumberFormat="1" applyFont="1" applyBorder="1" applyAlignment="1">
      <alignment horizontal="left" vertical="center"/>
    </xf>
    <xf numFmtId="38" fontId="86" fillId="0" borderId="10" xfId="27" applyFont="1" applyFill="1" applyBorder="1" applyAlignment="1">
      <alignment horizontal="right" vertical="center"/>
    </xf>
    <xf numFmtId="38" fontId="18" fillId="0" borderId="10" xfId="27" quotePrefix="1" applyFont="1" applyFill="1" applyBorder="1" applyAlignment="1">
      <alignment horizontal="right" vertical="center"/>
    </xf>
    <xf numFmtId="49" fontId="18" fillId="0" borderId="11" xfId="5" quotePrefix="1" applyNumberFormat="1" applyFont="1" applyBorder="1" applyAlignment="1">
      <alignment horizontal="left" vertical="center"/>
    </xf>
    <xf numFmtId="49" fontId="18" fillId="0" borderId="68" xfId="5" quotePrefix="1" applyNumberFormat="1" applyFont="1" applyBorder="1" applyAlignment="1">
      <alignment horizontal="left"/>
    </xf>
    <xf numFmtId="38" fontId="86" fillId="0" borderId="68" xfId="27" applyFont="1" applyFill="1" applyBorder="1">
      <alignment vertical="center"/>
    </xf>
    <xf numFmtId="38" fontId="18" fillId="0" borderId="68" xfId="27" quotePrefix="1" applyFont="1" applyFill="1" applyBorder="1" applyAlignment="1">
      <alignment horizontal="right"/>
    </xf>
    <xf numFmtId="38" fontId="86" fillId="0" borderId="0" xfId="27" applyFont="1" applyBorder="1">
      <alignment vertical="center"/>
    </xf>
    <xf numFmtId="38" fontId="0" fillId="0" borderId="0" xfId="27" applyFont="1" applyBorder="1">
      <alignment vertical="center"/>
    </xf>
    <xf numFmtId="0" fontId="86" fillId="0" borderId="3" xfId="26" applyFont="1" applyBorder="1" applyAlignment="1">
      <alignment horizontal="center" vertical="center" shrinkToFit="1"/>
    </xf>
    <xf numFmtId="0" fontId="86" fillId="0" borderId="0" xfId="26" applyFont="1" applyAlignment="1">
      <alignment horizontal="left" vertical="center"/>
    </xf>
    <xf numFmtId="0" fontId="86" fillId="0" borderId="6" xfId="26" applyFont="1" applyBorder="1" applyAlignment="1"/>
    <xf numFmtId="38" fontId="86" fillId="0" borderId="2" xfId="27" applyFont="1" applyFill="1" applyBorder="1">
      <alignment vertical="center"/>
    </xf>
    <xf numFmtId="0" fontId="86" fillId="0" borderId="2" xfId="26" applyFont="1" applyBorder="1">
      <alignment vertical="center"/>
    </xf>
    <xf numFmtId="0" fontId="18" fillId="0" borderId="47" xfId="5" applyFont="1" applyBorder="1" applyAlignment="1">
      <alignment horizontal="center" vertical="center" wrapText="1"/>
    </xf>
    <xf numFmtId="0" fontId="18" fillId="0" borderId="4" xfId="5" applyFont="1" applyBorder="1" applyAlignment="1">
      <alignment horizontal="center" vertical="center"/>
    </xf>
    <xf numFmtId="0" fontId="18" fillId="0" borderId="51" xfId="5" applyFont="1" applyBorder="1" applyAlignment="1">
      <alignment horizontal="center" vertical="center"/>
    </xf>
    <xf numFmtId="38" fontId="18" fillId="0" borderId="47" xfId="2" applyFont="1" applyFill="1" applyBorder="1" applyAlignment="1">
      <alignment horizontal="center" vertical="center" wrapText="1"/>
    </xf>
    <xf numFmtId="38" fontId="18" fillId="0" borderId="4" xfId="2" applyFont="1" applyFill="1" applyBorder="1" applyAlignment="1">
      <alignment horizontal="center" vertical="center"/>
    </xf>
    <xf numFmtId="38" fontId="18" fillId="0" borderId="51" xfId="2" applyFont="1" applyFill="1" applyBorder="1" applyAlignment="1">
      <alignment horizontal="center" vertical="center"/>
    </xf>
    <xf numFmtId="38" fontId="15" fillId="0" borderId="0" xfId="2" applyFont="1" applyFill="1" applyBorder="1" applyAlignment="1">
      <alignment horizontal="left" vertical="center"/>
    </xf>
    <xf numFmtId="0" fontId="38" fillId="0" borderId="7" xfId="5" applyFont="1" applyBorder="1" applyAlignment="1">
      <alignment horizontal="center" vertical="center" wrapText="1"/>
    </xf>
    <xf numFmtId="0" fontId="10" fillId="0" borderId="10" xfId="5" applyBorder="1" applyAlignment="1">
      <alignment horizontal="center" vertical="center" wrapText="1"/>
    </xf>
    <xf numFmtId="0" fontId="10" fillId="0" borderId="4" xfId="5" applyBorder="1" applyAlignment="1">
      <alignment horizontal="center" vertical="center" wrapText="1"/>
    </xf>
    <xf numFmtId="0" fontId="38" fillId="0" borderId="52" xfId="5" applyFont="1" applyBorder="1" applyAlignment="1">
      <alignment horizontal="center" vertical="center"/>
    </xf>
    <xf numFmtId="0" fontId="38" fillId="0" borderId="44" xfId="5" applyFont="1" applyBorder="1" applyAlignment="1">
      <alignment horizontal="center" vertical="center"/>
    </xf>
    <xf numFmtId="0" fontId="38" fillId="0" borderId="0" xfId="5" applyFont="1" applyAlignment="1">
      <alignment horizontal="center" vertical="center"/>
    </xf>
    <xf numFmtId="0" fontId="38" fillId="0" borderId="8" xfId="5" applyFont="1" applyBorder="1" applyAlignment="1">
      <alignment horizontal="center" vertical="center"/>
    </xf>
    <xf numFmtId="0" fontId="38" fillId="0" borderId="43" xfId="5" applyFont="1" applyBorder="1" applyAlignment="1">
      <alignment horizontal="center" vertical="center"/>
    </xf>
    <xf numFmtId="0" fontId="38" fillId="0" borderId="49" xfId="5" applyFont="1" applyBorder="1" applyAlignment="1">
      <alignment horizontal="center" vertical="center"/>
    </xf>
    <xf numFmtId="0" fontId="38" fillId="0" borderId="45" xfId="5" applyFont="1" applyBorder="1" applyAlignment="1">
      <alignment horizontal="center" vertical="center"/>
    </xf>
    <xf numFmtId="0" fontId="38" fillId="0" borderId="46" xfId="5" applyFont="1" applyBorder="1" applyAlignment="1">
      <alignment horizontal="center" vertical="center"/>
    </xf>
    <xf numFmtId="0" fontId="38" fillId="0" borderId="10" xfId="5" applyFont="1" applyBorder="1" applyAlignment="1">
      <alignment horizontal="center" vertical="center" wrapText="1"/>
    </xf>
    <xf numFmtId="0" fontId="38" fillId="0" borderId="10" xfId="5" applyFont="1" applyBorder="1" applyAlignment="1">
      <alignment horizontal="center" vertical="center"/>
    </xf>
    <xf numFmtId="0" fontId="38" fillId="0" borderId="54" xfId="5" applyFont="1" applyBorder="1" applyAlignment="1">
      <alignment horizontal="center" vertical="center" wrapText="1"/>
    </xf>
    <xf numFmtId="0" fontId="60" fillId="0" borderId="14" xfId="5" applyFont="1" applyBorder="1" applyAlignment="1">
      <alignment horizontal="center" vertical="center" wrapText="1"/>
    </xf>
    <xf numFmtId="0" fontId="60" fillId="0" borderId="17" xfId="5" applyFont="1" applyBorder="1" applyAlignment="1">
      <alignment horizontal="center" vertical="center" wrapText="1"/>
    </xf>
    <xf numFmtId="0" fontId="18" fillId="0" borderId="54" xfId="5" applyFont="1" applyBorder="1" applyAlignment="1">
      <alignment horizontal="center" vertical="center" wrapText="1"/>
    </xf>
    <xf numFmtId="0" fontId="18" fillId="0" borderId="0" xfId="5" applyFont="1" applyAlignment="1">
      <alignment horizontal="center" vertical="center"/>
    </xf>
    <xf numFmtId="0" fontId="18" fillId="0" borderId="8" xfId="5" applyFont="1" applyBorder="1" applyAlignment="1">
      <alignment horizontal="center" vertical="center"/>
    </xf>
    <xf numFmtId="0" fontId="18" fillId="0" borderId="57" xfId="16" applyFont="1" applyBorder="1" applyAlignment="1">
      <alignment horizontal="center" vertical="center" wrapText="1"/>
    </xf>
    <xf numFmtId="0" fontId="18" fillId="0" borderId="8" xfId="16" applyFont="1" applyBorder="1" applyAlignment="1">
      <alignment horizontal="center" vertical="center" wrapText="1"/>
    </xf>
    <xf numFmtId="0" fontId="18" fillId="0" borderId="9" xfId="16" applyFont="1" applyBorder="1" applyAlignment="1">
      <alignment horizontal="center" vertical="center" wrapText="1"/>
    </xf>
    <xf numFmtId="0" fontId="18" fillId="0" borderId="47" xfId="16" applyFont="1" applyBorder="1" applyAlignment="1">
      <alignment horizontal="center" vertical="center" wrapText="1"/>
    </xf>
    <xf numFmtId="0" fontId="18" fillId="0" borderId="4" xfId="16" applyFont="1" applyBorder="1" applyAlignment="1">
      <alignment horizontal="center" vertical="center" wrapText="1"/>
    </xf>
    <xf numFmtId="0" fontId="18" fillId="0" borderId="11" xfId="16" applyFont="1" applyBorder="1" applyAlignment="1">
      <alignment horizontal="center" vertical="center" wrapText="1"/>
    </xf>
    <xf numFmtId="0" fontId="18" fillId="0" borderId="7" xfId="16" applyFont="1" applyBorder="1" applyAlignment="1">
      <alignment horizontal="center" vertical="center" wrapText="1"/>
    </xf>
    <xf numFmtId="0" fontId="18" fillId="0" borderId="10" xfId="16" applyFont="1" applyBorder="1" applyAlignment="1">
      <alignment horizontal="center" vertical="center" wrapText="1"/>
    </xf>
    <xf numFmtId="0" fontId="20" fillId="0" borderId="7" xfId="16" applyFont="1" applyBorder="1" applyAlignment="1">
      <alignment horizontal="center" vertical="center" wrapText="1"/>
    </xf>
    <xf numFmtId="0" fontId="20" fillId="0" borderId="10" xfId="16" applyFont="1" applyBorder="1" applyAlignment="1">
      <alignment horizontal="center" vertical="center" wrapText="1"/>
    </xf>
    <xf numFmtId="0" fontId="38" fillId="0" borderId="0" xfId="5" applyFont="1" applyAlignment="1">
      <alignment horizontal="center" vertical="center" wrapText="1"/>
    </xf>
    <xf numFmtId="0" fontId="60" fillId="0" borderId="0" xfId="5" applyFont="1" applyAlignment="1">
      <alignment vertical="center" wrapText="1"/>
    </xf>
    <xf numFmtId="0" fontId="60" fillId="0" borderId="60" xfId="5" applyFont="1" applyBorder="1" applyAlignment="1">
      <alignment vertical="center" wrapText="1"/>
    </xf>
    <xf numFmtId="0" fontId="18" fillId="0" borderId="42" xfId="5" applyFont="1" applyBorder="1" applyAlignment="1">
      <alignment horizontal="left" vertical="center"/>
    </xf>
    <xf numFmtId="0" fontId="18" fillId="0" borderId="39" xfId="5" applyFont="1" applyBorder="1" applyAlignment="1">
      <alignment horizontal="left" vertical="center"/>
    </xf>
    <xf numFmtId="0" fontId="38" fillId="0" borderId="16" xfId="5" applyFont="1" applyBorder="1" applyAlignment="1">
      <alignment horizontal="center" vertical="center" wrapText="1"/>
    </xf>
    <xf numFmtId="0" fontId="18" fillId="0" borderId="2" xfId="5" applyFont="1" applyBorder="1" applyAlignment="1">
      <alignment horizontal="center" vertical="center"/>
    </xf>
    <xf numFmtId="0" fontId="18" fillId="0" borderId="1" xfId="5" applyFont="1" applyBorder="1" applyAlignment="1">
      <alignment horizontal="center" vertical="center"/>
    </xf>
    <xf numFmtId="188" fontId="18" fillId="0" borderId="5" xfId="5" applyNumberFormat="1" applyFont="1" applyBorder="1" applyAlignment="1">
      <alignment horizontal="center" vertical="center"/>
    </xf>
    <xf numFmtId="0" fontId="18" fillId="0" borderId="2" xfId="5" applyFont="1" applyBorder="1"/>
    <xf numFmtId="0" fontId="18" fillId="0" borderId="11" xfId="5" applyFont="1" applyBorder="1"/>
    <xf numFmtId="0" fontId="18" fillId="0" borderId="1" xfId="5" applyFont="1" applyBorder="1"/>
    <xf numFmtId="0" fontId="18" fillId="0" borderId="0" xfId="5" applyFont="1" applyAlignment="1">
      <alignment horizontal="center"/>
    </xf>
    <xf numFmtId="188" fontId="18" fillId="0" borderId="3" xfId="5" applyNumberFormat="1" applyFont="1" applyBorder="1" applyAlignment="1">
      <alignment horizontal="center" vertical="center" wrapText="1"/>
    </xf>
    <xf numFmtId="0" fontId="60" fillId="0" borderId="7" xfId="5" applyFont="1" applyBorder="1" applyAlignment="1">
      <alignment horizontal="center" wrapText="1"/>
    </xf>
    <xf numFmtId="0" fontId="60" fillId="0" borderId="10" xfId="5" applyFont="1" applyBorder="1" applyAlignment="1">
      <alignment horizontal="center"/>
    </xf>
    <xf numFmtId="188" fontId="49" fillId="0" borderId="5" xfId="5" applyNumberFormat="1" applyFont="1" applyBorder="1" applyAlignment="1">
      <alignment horizontal="center"/>
    </xf>
    <xf numFmtId="188" fontId="49" fillId="0" borderId="6" xfId="5" applyNumberFormat="1" applyFont="1" applyBorder="1" applyAlignment="1">
      <alignment horizontal="center"/>
    </xf>
    <xf numFmtId="38" fontId="49" fillId="0" borderId="5" xfId="5" applyNumberFormat="1" applyFont="1" applyBorder="1"/>
    <xf numFmtId="38" fontId="49" fillId="0" borderId="2" xfId="5" applyNumberFormat="1" applyFont="1" applyBorder="1"/>
    <xf numFmtId="188" fontId="18" fillId="0" borderId="4" xfId="5" applyNumberFormat="1" applyFont="1" applyBorder="1" applyAlignment="1">
      <alignment horizontal="center"/>
    </xf>
    <xf numFmtId="188" fontId="18" fillId="0" borderId="8" xfId="5" applyNumberFormat="1" applyFont="1" applyBorder="1" applyAlignment="1">
      <alignment horizontal="center"/>
    </xf>
    <xf numFmtId="188" fontId="18" fillId="0" borderId="7" xfId="5" applyNumberFormat="1" applyFont="1" applyBorder="1" applyAlignment="1">
      <alignment horizontal="left" vertical="center"/>
    </xf>
    <xf numFmtId="188" fontId="18" fillId="0" borderId="4" xfId="5" applyNumberFormat="1" applyFont="1" applyBorder="1" applyAlignment="1">
      <alignment horizontal="left"/>
    </xf>
    <xf numFmtId="188" fontId="18" fillId="0" borderId="0" xfId="5" applyNumberFormat="1" applyFont="1" applyAlignment="1">
      <alignment horizontal="center" vertical="center"/>
    </xf>
    <xf numFmtId="0" fontId="18" fillId="0" borderId="0" xfId="5" applyFont="1" applyAlignment="1">
      <alignment vertical="center"/>
    </xf>
    <xf numFmtId="188" fontId="18" fillId="0" borderId="7" xfId="5" applyNumberFormat="1" applyFont="1" applyBorder="1" applyAlignment="1">
      <alignment horizontal="center" vertical="center" wrapText="1"/>
    </xf>
    <xf numFmtId="0" fontId="60" fillId="0" borderId="10" xfId="5" applyFont="1" applyBorder="1" applyAlignment="1">
      <alignment horizontal="center" wrapText="1"/>
    </xf>
    <xf numFmtId="188" fontId="49" fillId="0" borderId="4" xfId="5" applyNumberFormat="1" applyFont="1" applyBorder="1" applyAlignment="1">
      <alignment horizontal="center"/>
    </xf>
    <xf numFmtId="188" fontId="49" fillId="0" borderId="8" xfId="5" applyNumberFormat="1" applyFont="1" applyBorder="1" applyAlignment="1">
      <alignment horizontal="center"/>
    </xf>
    <xf numFmtId="38" fontId="49" fillId="0" borderId="4" xfId="5" applyNumberFormat="1" applyFont="1" applyBorder="1"/>
    <xf numFmtId="38" fontId="49" fillId="0" borderId="0" xfId="5" applyNumberFormat="1" applyFont="1"/>
    <xf numFmtId="188" fontId="18" fillId="0" borderId="8" xfId="5" applyNumberFormat="1" applyFont="1" applyBorder="1" applyAlignment="1">
      <alignment horizontal="center" vertical="top"/>
    </xf>
    <xf numFmtId="0" fontId="18" fillId="0" borderId="8" xfId="5" applyFont="1" applyBorder="1" applyAlignment="1">
      <alignment horizontal="center" vertical="top"/>
    </xf>
    <xf numFmtId="188" fontId="18" fillId="0" borderId="3" xfId="5" applyNumberFormat="1" applyFont="1" applyBorder="1" applyAlignment="1">
      <alignment horizontal="center" vertical="center"/>
    </xf>
    <xf numFmtId="0" fontId="60" fillId="0" borderId="7" xfId="5" applyFont="1" applyBorder="1" applyAlignment="1">
      <alignment vertical="center"/>
    </xf>
    <xf numFmtId="0" fontId="18" fillId="0" borderId="4" xfId="5" applyFont="1" applyBorder="1" applyAlignment="1">
      <alignment horizontal="center"/>
    </xf>
    <xf numFmtId="0" fontId="18" fillId="0" borderId="8" xfId="5" applyFont="1" applyBorder="1" applyAlignment="1">
      <alignment horizontal="center"/>
    </xf>
    <xf numFmtId="0" fontId="60" fillId="0" borderId="8" xfId="5" applyFont="1" applyBorder="1" applyAlignment="1">
      <alignment horizontal="center" vertical="center"/>
    </xf>
    <xf numFmtId="0" fontId="60" fillId="0" borderId="7" xfId="5" applyFont="1" applyBorder="1"/>
    <xf numFmtId="0" fontId="60" fillId="0" borderId="10" xfId="5" applyFont="1" applyBorder="1"/>
    <xf numFmtId="0" fontId="18" fillId="0" borderId="5" xfId="5" quotePrefix="1" applyFont="1" applyBorder="1" applyAlignment="1">
      <alignment horizontal="center" vertical="center" wrapText="1"/>
    </xf>
    <xf numFmtId="0" fontId="18" fillId="0" borderId="4" xfId="5" applyFont="1" applyBorder="1" applyAlignment="1">
      <alignment vertical="center" wrapText="1"/>
    </xf>
    <xf numFmtId="0" fontId="18" fillId="0" borderId="11" xfId="5" applyFont="1" applyBorder="1" applyAlignment="1">
      <alignment vertical="center" wrapText="1"/>
    </xf>
    <xf numFmtId="0" fontId="18" fillId="0" borderId="3" xfId="5" applyFont="1" applyBorder="1" applyAlignment="1">
      <alignment horizontal="center" vertical="center" wrapText="1"/>
    </xf>
    <xf numFmtId="0" fontId="18" fillId="0" borderId="10" xfId="5" applyFont="1" applyBorder="1" applyAlignment="1">
      <alignment vertical="center"/>
    </xf>
    <xf numFmtId="0" fontId="18" fillId="0" borderId="4" xfId="5" applyFont="1" applyBorder="1" applyAlignment="1">
      <alignment horizontal="center" vertical="center" wrapText="1"/>
    </xf>
    <xf numFmtId="0" fontId="18" fillId="0" borderId="11" xfId="5" applyFont="1" applyBorder="1" applyAlignment="1">
      <alignment vertical="center"/>
    </xf>
    <xf numFmtId="0" fontId="18" fillId="0" borderId="10" xfId="5" applyFont="1" applyBorder="1" applyAlignment="1">
      <alignment horizontal="center" vertical="center" wrapText="1"/>
    </xf>
    <xf numFmtId="0" fontId="18" fillId="0" borderId="3" xfId="5" quotePrefix="1" applyFont="1" applyBorder="1" applyAlignment="1">
      <alignment horizontal="center" vertical="center" wrapText="1"/>
    </xf>
    <xf numFmtId="0" fontId="18" fillId="0" borderId="10" xfId="5" quotePrefix="1" applyFont="1" applyBorder="1" applyAlignment="1">
      <alignment horizontal="center" vertical="center" wrapText="1"/>
    </xf>
    <xf numFmtId="0" fontId="18" fillId="0" borderId="10" xfId="5" applyFont="1" applyBorder="1" applyAlignment="1">
      <alignment vertical="center" wrapText="1"/>
    </xf>
    <xf numFmtId="0" fontId="18" fillId="0" borderId="5" xfId="5" applyFont="1" applyBorder="1" applyAlignment="1">
      <alignment horizontal="center" vertical="center"/>
    </xf>
    <xf numFmtId="0" fontId="18" fillId="0" borderId="13" xfId="5" applyFont="1" applyBorder="1" applyAlignment="1">
      <alignment horizontal="center" vertical="center"/>
    </xf>
    <xf numFmtId="0" fontId="18" fillId="0" borderId="6" xfId="5" applyFont="1" applyBorder="1" applyAlignment="1">
      <alignment horizontal="center" vertical="center"/>
    </xf>
    <xf numFmtId="0" fontId="18" fillId="0" borderId="9" xfId="5" applyFont="1" applyBorder="1" applyAlignment="1">
      <alignment horizontal="center" vertical="center"/>
    </xf>
    <xf numFmtId="0" fontId="18" fillId="0" borderId="31" xfId="5" quotePrefix="1" applyFont="1" applyBorder="1" applyAlignment="1">
      <alignment horizontal="center" vertical="center" wrapText="1"/>
    </xf>
    <xf numFmtId="0" fontId="18" fillId="0" borderId="12" xfId="5" applyFont="1" applyBorder="1" applyAlignment="1">
      <alignment horizontal="center" vertical="center" wrapText="1"/>
    </xf>
    <xf numFmtId="0" fontId="10" fillId="0" borderId="11" xfId="5" applyBorder="1" applyAlignment="1">
      <alignment horizontal="center" vertical="center" wrapText="1"/>
    </xf>
    <xf numFmtId="0" fontId="18" fillId="0" borderId="6" xfId="5" quotePrefix="1" applyFont="1" applyBorder="1" applyAlignment="1">
      <alignment horizontal="center" vertical="center" justifyLastLine="1"/>
    </xf>
    <xf numFmtId="0" fontId="18" fillId="0" borderId="8" xfId="5" applyFont="1" applyBorder="1" applyAlignment="1">
      <alignment horizontal="center" vertical="center" justifyLastLine="1"/>
    </xf>
    <xf numFmtId="0" fontId="18" fillId="0" borderId="9" xfId="5" applyFont="1" applyBorder="1" applyAlignment="1">
      <alignment horizontal="center" vertical="center" justifyLastLine="1"/>
    </xf>
    <xf numFmtId="0" fontId="18" fillId="0" borderId="31" xfId="5" applyFont="1" applyBorder="1" applyAlignment="1">
      <alignment horizontal="center" vertical="center"/>
    </xf>
    <xf numFmtId="0" fontId="18" fillId="0" borderId="12" xfId="5" applyFont="1" applyBorder="1" applyAlignment="1">
      <alignment horizontal="center" vertical="center"/>
    </xf>
    <xf numFmtId="0" fontId="18" fillId="0" borderId="11" xfId="5" applyFont="1" applyBorder="1" applyAlignment="1">
      <alignment horizontal="center"/>
    </xf>
    <xf numFmtId="194" fontId="18" fillId="0" borderId="5" xfId="2" quotePrefix="1" applyNumberFormat="1" applyFont="1" applyFill="1" applyBorder="1" applyAlignment="1">
      <alignment horizontal="center" vertical="center" wrapText="1"/>
    </xf>
    <xf numFmtId="194" fontId="18" fillId="0" borderId="2" xfId="2" applyNumberFormat="1" applyFont="1" applyFill="1" applyBorder="1" applyAlignment="1">
      <alignment horizontal="center" vertical="center" wrapText="1"/>
    </xf>
    <xf numFmtId="194" fontId="18" fillId="0" borderId="6" xfId="2" applyNumberFormat="1" applyFont="1" applyFill="1" applyBorder="1" applyAlignment="1">
      <alignment horizontal="center" vertical="center" wrapText="1"/>
    </xf>
    <xf numFmtId="193" fontId="18" fillId="0" borderId="3" xfId="5" quotePrefix="1" applyNumberFormat="1" applyFont="1" applyBorder="1" applyAlignment="1">
      <alignment horizontal="center" vertical="center" wrapText="1"/>
    </xf>
    <xf numFmtId="0" fontId="18" fillId="0" borderId="7" xfId="5" applyFont="1" applyBorder="1" applyAlignment="1">
      <alignment horizontal="center" vertical="center" wrapText="1"/>
    </xf>
    <xf numFmtId="0" fontId="18" fillId="0" borderId="5" xfId="12" quotePrefix="1" applyFont="1" applyBorder="1" applyAlignment="1">
      <alignment horizontal="center" vertical="center" wrapText="1"/>
    </xf>
    <xf numFmtId="0" fontId="10" fillId="0" borderId="4" xfId="12" applyBorder="1"/>
    <xf numFmtId="0" fontId="10" fillId="0" borderId="11" xfId="12" applyBorder="1"/>
    <xf numFmtId="0" fontId="18" fillId="0" borderId="0" xfId="5" applyFont="1" applyAlignment="1">
      <alignment horizontal="left" vertical="center"/>
    </xf>
    <xf numFmtId="0" fontId="18" fillId="0" borderId="8" xfId="5" applyFont="1" applyBorder="1" applyAlignment="1">
      <alignment horizontal="left" vertical="center"/>
    </xf>
    <xf numFmtId="0" fontId="18" fillId="0" borderId="1" xfId="5" applyFont="1" applyBorder="1" applyAlignment="1">
      <alignment horizontal="left"/>
    </xf>
    <xf numFmtId="0" fontId="18" fillId="0" borderId="9" xfId="5" applyFont="1" applyBorder="1" applyAlignment="1">
      <alignment horizontal="left"/>
    </xf>
    <xf numFmtId="194" fontId="18" fillId="0" borderId="5" xfId="2" applyNumberFormat="1" applyFont="1" applyFill="1" applyBorder="1" applyAlignment="1">
      <alignment horizontal="center" vertical="center"/>
    </xf>
    <xf numFmtId="194" fontId="18" fillId="0" borderId="2" xfId="2" applyNumberFormat="1" applyFont="1" applyFill="1" applyBorder="1" applyAlignment="1">
      <alignment horizontal="center" vertical="center"/>
    </xf>
    <xf numFmtId="194" fontId="18" fillId="0" borderId="6" xfId="2" applyNumberFormat="1" applyFont="1" applyFill="1" applyBorder="1" applyAlignment="1">
      <alignment horizontal="center" vertical="center"/>
    </xf>
    <xf numFmtId="0" fontId="18" fillId="0" borderId="5" xfId="12" applyFont="1" applyBorder="1" applyAlignment="1">
      <alignment horizontal="center" vertical="center"/>
    </xf>
    <xf numFmtId="0" fontId="18" fillId="0" borderId="2" xfId="12" applyFont="1" applyBorder="1" applyAlignment="1">
      <alignment horizontal="center" vertical="center"/>
    </xf>
    <xf numFmtId="0" fontId="18" fillId="0" borderId="4" xfId="12" applyFont="1" applyBorder="1" applyAlignment="1">
      <alignment horizontal="center" vertical="center"/>
    </xf>
    <xf numFmtId="0" fontId="18" fillId="0" borderId="0" xfId="12" applyFont="1" applyAlignment="1">
      <alignment horizontal="center" vertical="center"/>
    </xf>
    <xf numFmtId="0" fontId="18" fillId="0" borderId="11" xfId="12" applyFont="1" applyBorder="1" applyAlignment="1">
      <alignment horizontal="center" vertical="center"/>
    </xf>
    <xf numFmtId="0" fontId="18" fillId="0" borderId="1" xfId="12" applyFont="1" applyBorder="1" applyAlignment="1">
      <alignment horizontal="center" vertical="center"/>
    </xf>
    <xf numFmtId="0" fontId="18" fillId="0" borderId="0" xfId="5" applyFont="1" applyAlignment="1">
      <alignment horizontal="left"/>
    </xf>
    <xf numFmtId="0" fontId="18" fillId="0" borderId="8" xfId="5" applyFont="1" applyBorder="1" applyAlignment="1">
      <alignment horizontal="left"/>
    </xf>
    <xf numFmtId="38" fontId="18" fillId="0" borderId="5" xfId="5" quotePrefix="1" applyNumberFormat="1" applyFont="1" applyBorder="1" applyAlignment="1">
      <alignment horizontal="center" vertical="center" wrapText="1"/>
    </xf>
    <xf numFmtId="38" fontId="18" fillId="0" borderId="2" xfId="5" applyNumberFormat="1" applyFont="1" applyBorder="1" applyAlignment="1">
      <alignment horizontal="center" vertical="center" wrapText="1"/>
    </xf>
    <xf numFmtId="38" fontId="18" fillId="0" borderId="6" xfId="5" applyNumberFormat="1" applyFont="1" applyBorder="1" applyAlignment="1">
      <alignment horizontal="center" vertical="center" wrapText="1"/>
    </xf>
    <xf numFmtId="0" fontId="18" fillId="0" borderId="5" xfId="5" quotePrefix="1" applyFont="1" applyBorder="1" applyAlignment="1">
      <alignment horizontal="center" vertical="center"/>
    </xf>
    <xf numFmtId="0" fontId="18" fillId="0" borderId="11" xfId="5" applyFont="1" applyBorder="1" applyAlignment="1">
      <alignment horizontal="center" vertical="center"/>
    </xf>
    <xf numFmtId="0" fontId="18" fillId="0" borderId="0" xfId="5" quotePrefix="1" applyFont="1" applyAlignment="1">
      <alignment horizontal="left" wrapText="1"/>
    </xf>
    <xf numFmtId="0" fontId="10" fillId="0" borderId="2" xfId="5" applyBorder="1" applyAlignment="1">
      <alignment horizontal="center" vertical="center"/>
    </xf>
    <xf numFmtId="0" fontId="10" fillId="0" borderId="4" xfId="5" applyBorder="1" applyAlignment="1">
      <alignment horizontal="center" vertical="center"/>
    </xf>
    <xf numFmtId="0" fontId="10" fillId="0" borderId="0" xfId="5" applyAlignment="1">
      <alignment horizontal="center" vertical="center"/>
    </xf>
    <xf numFmtId="0" fontId="10" fillId="0" borderId="11" xfId="5" applyBorder="1" applyAlignment="1">
      <alignment horizontal="center" vertical="center"/>
    </xf>
    <xf numFmtId="0" fontId="10" fillId="0" borderId="1" xfId="5" applyBorder="1" applyAlignment="1">
      <alignment horizontal="center" vertical="center"/>
    </xf>
    <xf numFmtId="0" fontId="18" fillId="0" borderId="0" xfId="5" quotePrefix="1" applyFont="1" applyAlignment="1">
      <alignment horizontal="left"/>
    </xf>
    <xf numFmtId="0" fontId="86" fillId="0" borderId="6" xfId="26" applyFont="1" applyBorder="1" applyAlignment="1">
      <alignment horizontal="center" vertical="center"/>
    </xf>
    <xf numFmtId="0" fontId="86" fillId="0" borderId="8" xfId="26" applyFont="1" applyBorder="1" applyAlignment="1">
      <alignment horizontal="center" vertical="center"/>
    </xf>
    <xf numFmtId="0" fontId="86" fillId="0" borderId="9" xfId="26" applyFont="1" applyBorder="1" applyAlignment="1">
      <alignment horizontal="center" vertical="center"/>
    </xf>
    <xf numFmtId="0" fontId="18" fillId="0" borderId="31" xfId="26" applyFont="1" applyBorder="1" applyAlignment="1">
      <alignment horizontal="center" vertical="center"/>
    </xf>
    <xf numFmtId="0" fontId="18" fillId="0" borderId="68" xfId="26" applyFont="1" applyBorder="1" applyAlignment="1">
      <alignment horizontal="center" vertical="center"/>
    </xf>
    <xf numFmtId="0" fontId="18" fillId="0" borderId="69" xfId="26" applyFont="1" applyBorder="1" applyAlignment="1">
      <alignment horizontal="center" vertical="center"/>
    </xf>
    <xf numFmtId="0" fontId="18" fillId="0" borderId="70" xfId="26" applyFont="1" applyBorder="1" applyAlignment="1">
      <alignment horizontal="center" vertical="center"/>
    </xf>
    <xf numFmtId="0" fontId="86" fillId="0" borderId="5" xfId="26" applyFont="1" applyBorder="1" applyAlignment="1">
      <alignment horizontal="center" vertical="center" wrapText="1"/>
    </xf>
    <xf numFmtId="0" fontId="86" fillId="0" borderId="4" xfId="26" applyFont="1" applyBorder="1" applyAlignment="1">
      <alignment horizontal="center" vertical="center"/>
    </xf>
    <xf numFmtId="0" fontId="86" fillId="0" borderId="11" xfId="26" applyFont="1" applyBorder="1" applyAlignment="1">
      <alignment horizontal="center" vertical="center"/>
    </xf>
    <xf numFmtId="0" fontId="86" fillId="0" borderId="7" xfId="26" applyFont="1" applyBorder="1" applyAlignment="1">
      <alignment horizontal="center" vertical="center" wrapText="1"/>
    </xf>
    <xf numFmtId="0" fontId="86" fillId="0" borderId="10" xfId="26" applyFont="1" applyBorder="1" applyAlignment="1">
      <alignment horizontal="center" vertical="center" wrapText="1"/>
    </xf>
    <xf numFmtId="0" fontId="86" fillId="0" borderId="7" xfId="26" applyFont="1" applyBorder="1" applyAlignment="1">
      <alignment horizontal="center" vertical="center" wrapText="1" shrinkToFit="1"/>
    </xf>
    <xf numFmtId="0" fontId="86" fillId="0" borderId="10" xfId="26" applyFont="1" applyBorder="1" applyAlignment="1">
      <alignment horizontal="center" vertical="center" wrapText="1" shrinkToFit="1"/>
    </xf>
    <xf numFmtId="0" fontId="86" fillId="0" borderId="0" xfId="26" applyFont="1" applyAlignment="1">
      <alignment horizontal="center" vertical="center"/>
    </xf>
    <xf numFmtId="0" fontId="86" fillId="0" borderId="0" xfId="26" applyFont="1" applyAlignment="1">
      <alignment horizontal="center" vertical="center" shrinkToFit="1"/>
    </xf>
  </cellXfs>
  <cellStyles count="28">
    <cellStyle name="パーセント 2" xfId="9" xr:uid="{00000000-0005-0000-0000-000000000000}"/>
    <cellStyle name="ハイパーリンク" xfId="1" builtinId="8"/>
    <cellStyle name="桁区切り 2" xfId="2" xr:uid="{00000000-0005-0000-0000-000002000000}"/>
    <cellStyle name="桁区切り 2 2" xfId="3" xr:uid="{00000000-0005-0000-0000-000003000000}"/>
    <cellStyle name="桁区切り 3" xfId="4" xr:uid="{00000000-0005-0000-0000-000004000000}"/>
    <cellStyle name="桁区切り 4" xfId="23" xr:uid="{00000000-0005-0000-0000-000005000000}"/>
    <cellStyle name="桁区切り 5" xfId="25" xr:uid="{00000000-0005-0000-0000-000006000000}"/>
    <cellStyle name="桁区切り 6" xfId="27" xr:uid="{00000000-0005-0000-0000-000007000000}"/>
    <cellStyle name="通貨 2" xfId="8" xr:uid="{00000000-0005-0000-0000-000008000000}"/>
    <cellStyle name="通貨 3" xfId="10" xr:uid="{00000000-0005-0000-0000-000009000000}"/>
    <cellStyle name="標準" xfId="0" builtinId="0"/>
    <cellStyle name="標準 10" xfId="24" xr:uid="{00000000-0005-0000-0000-00000B000000}"/>
    <cellStyle name="標準 11" xfId="26" xr:uid="{00000000-0005-0000-0000-00000C000000}"/>
    <cellStyle name="標準 2" xfId="5" xr:uid="{00000000-0005-0000-0000-00000D000000}"/>
    <cellStyle name="標準 2 2" xfId="6" xr:uid="{00000000-0005-0000-0000-00000E000000}"/>
    <cellStyle name="標準 2 2 2" xfId="12" xr:uid="{00000000-0005-0000-0000-00000F000000}"/>
    <cellStyle name="標準 2 3" xfId="11" xr:uid="{00000000-0005-0000-0000-000010000000}"/>
    <cellStyle name="標準 3" xfId="7" xr:uid="{00000000-0005-0000-0000-000011000000}"/>
    <cellStyle name="標準 3 2" xfId="16" xr:uid="{00000000-0005-0000-0000-000012000000}"/>
    <cellStyle name="標準 4" xfId="17" xr:uid="{00000000-0005-0000-0000-000013000000}"/>
    <cellStyle name="標準 5" xfId="18" xr:uid="{00000000-0005-0000-0000-000014000000}"/>
    <cellStyle name="標準 6" xfId="19" xr:uid="{00000000-0005-0000-0000-000015000000}"/>
    <cellStyle name="標準 7" xfId="20" xr:uid="{00000000-0005-0000-0000-000016000000}"/>
    <cellStyle name="標準 8" xfId="21" xr:uid="{00000000-0005-0000-0000-000017000000}"/>
    <cellStyle name="標準 9" xfId="22" xr:uid="{00000000-0005-0000-0000-000018000000}"/>
    <cellStyle name="標準_改正調票集計" xfId="14" xr:uid="{00000000-0005-0000-0000-000019000000}"/>
    <cellStyle name="標準_原稿ｼｰﾄ" xfId="15" xr:uid="{00000000-0005-0000-0000-00001A000000}"/>
    <cellStyle name="未定義" xfId="13" xr:uid="{00000000-0005-0000-0000-00001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0</xdr:rowOff>
    </xdr:from>
    <xdr:to>
      <xdr:col>2</xdr:col>
      <xdr:colOff>9525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>
          <a:spLocks noChangeShapeType="1"/>
        </xdr:cNvSpPr>
      </xdr:nvSpPr>
      <xdr:spPr bwMode="auto">
        <a:xfrm>
          <a:off x="9525" y="495300"/>
          <a:ext cx="1685925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</xdr:row>
      <xdr:rowOff>0</xdr:rowOff>
    </xdr:from>
    <xdr:to>
      <xdr:col>2</xdr:col>
      <xdr:colOff>9525</xdr:colOff>
      <xdr:row>5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>
          <a:spLocks noChangeShapeType="1"/>
        </xdr:cNvSpPr>
      </xdr:nvSpPr>
      <xdr:spPr bwMode="auto">
        <a:xfrm>
          <a:off x="9525" y="495300"/>
          <a:ext cx="1685925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29</xdr:row>
      <xdr:rowOff>0</xdr:rowOff>
    </xdr:from>
    <xdr:to>
      <xdr:col>2</xdr:col>
      <xdr:colOff>9525</xdr:colOff>
      <xdr:row>32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SpPr>
          <a:spLocks noChangeShapeType="1"/>
        </xdr:cNvSpPr>
      </xdr:nvSpPr>
      <xdr:spPr bwMode="auto">
        <a:xfrm>
          <a:off x="9525" y="7029450"/>
          <a:ext cx="1685925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29</xdr:row>
      <xdr:rowOff>0</xdr:rowOff>
    </xdr:from>
    <xdr:to>
      <xdr:col>2</xdr:col>
      <xdr:colOff>9525</xdr:colOff>
      <xdr:row>32</xdr:row>
      <xdr:rowOff>0</xdr:rowOff>
    </xdr:to>
    <xdr:sp macro="" textlink="">
      <xdr:nvSpPr>
        <xdr:cNvPr id="5" name="Line 12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SpPr>
          <a:spLocks noChangeShapeType="1"/>
        </xdr:cNvSpPr>
      </xdr:nvSpPr>
      <xdr:spPr bwMode="auto">
        <a:xfrm>
          <a:off x="9525" y="7029450"/>
          <a:ext cx="1685925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29</xdr:row>
      <xdr:rowOff>0</xdr:rowOff>
    </xdr:from>
    <xdr:to>
      <xdr:col>2</xdr:col>
      <xdr:colOff>9525</xdr:colOff>
      <xdr:row>32</xdr:row>
      <xdr:rowOff>0</xdr:rowOff>
    </xdr:to>
    <xdr:sp macro="" textlink="">
      <xdr:nvSpPr>
        <xdr:cNvPr id="6" name="Line 13">
          <a:extLst>
            <a:ext uri="{FF2B5EF4-FFF2-40B4-BE49-F238E27FC236}">
              <a16:creationId xmlns:a16="http://schemas.microsoft.com/office/drawing/2014/main" id="{00000000-0008-0000-3600-000006000000}"/>
            </a:ext>
          </a:extLst>
        </xdr:cNvPr>
        <xdr:cNvSpPr>
          <a:spLocks noChangeShapeType="1"/>
        </xdr:cNvSpPr>
      </xdr:nvSpPr>
      <xdr:spPr bwMode="auto">
        <a:xfrm>
          <a:off x="9525" y="7029450"/>
          <a:ext cx="1685925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0</xdr:colOff>
      <xdr:row>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SpPr>
          <a:spLocks noChangeShapeType="1"/>
        </xdr:cNvSpPr>
      </xdr:nvSpPr>
      <xdr:spPr bwMode="auto">
        <a:xfrm>
          <a:off x="9525" y="200025"/>
          <a:ext cx="1533525" cy="476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27</xdr:row>
      <xdr:rowOff>9525</xdr:rowOff>
    </xdr:from>
    <xdr:to>
      <xdr:col>1</xdr:col>
      <xdr:colOff>0</xdr:colOff>
      <xdr:row>30</xdr:row>
      <xdr:rowOff>0</xdr:rowOff>
    </xdr:to>
    <xdr:sp macro="" textlink="">
      <xdr:nvSpPr>
        <xdr:cNvPr id="3" name="Freeform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SpPr>
          <a:spLocks/>
        </xdr:cNvSpPr>
      </xdr:nvSpPr>
      <xdr:spPr bwMode="auto">
        <a:xfrm>
          <a:off x="9525" y="4410075"/>
          <a:ext cx="1533525" cy="476250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29</xdr:row>
      <xdr:rowOff>9525</xdr:rowOff>
    </xdr:from>
    <xdr:to>
      <xdr:col>1</xdr:col>
      <xdr:colOff>0</xdr:colOff>
      <xdr:row>33</xdr:row>
      <xdr:rowOff>0</xdr:rowOff>
    </xdr:to>
    <xdr:sp macro="" textlink="">
      <xdr:nvSpPr>
        <xdr:cNvPr id="3" name="Freeform 4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SpPr>
          <a:spLocks/>
        </xdr:cNvSpPr>
      </xdr:nvSpPr>
      <xdr:spPr bwMode="auto">
        <a:xfrm>
          <a:off x="9525" y="4762500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29</xdr:row>
      <xdr:rowOff>9525</xdr:rowOff>
    </xdr:from>
    <xdr:to>
      <xdr:col>1</xdr:col>
      <xdr:colOff>9525</xdr:colOff>
      <xdr:row>33</xdr:row>
      <xdr:rowOff>0</xdr:rowOff>
    </xdr:to>
    <xdr:sp macro="" textlink="">
      <xdr:nvSpPr>
        <xdr:cNvPr id="4" name="Line 5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SpPr>
          <a:spLocks noChangeShapeType="1"/>
        </xdr:cNvSpPr>
      </xdr:nvSpPr>
      <xdr:spPr bwMode="auto">
        <a:xfrm>
          <a:off x="19050" y="4762500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29</xdr:row>
      <xdr:rowOff>9525</xdr:rowOff>
    </xdr:from>
    <xdr:to>
      <xdr:col>1</xdr:col>
      <xdr:colOff>0</xdr:colOff>
      <xdr:row>33</xdr:row>
      <xdr:rowOff>0</xdr:rowOff>
    </xdr:to>
    <xdr:sp macro="" textlink="">
      <xdr:nvSpPr>
        <xdr:cNvPr id="6" name="Freeform 7">
          <a:extLst>
            <a:ext uri="{FF2B5EF4-FFF2-40B4-BE49-F238E27FC236}">
              <a16:creationId xmlns:a16="http://schemas.microsoft.com/office/drawing/2014/main" id="{00000000-0008-0000-3800-000006000000}"/>
            </a:ext>
          </a:extLst>
        </xdr:cNvPr>
        <xdr:cNvSpPr>
          <a:spLocks/>
        </xdr:cNvSpPr>
      </xdr:nvSpPr>
      <xdr:spPr bwMode="auto">
        <a:xfrm>
          <a:off x="9525" y="4762500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29</xdr:row>
      <xdr:rowOff>9525</xdr:rowOff>
    </xdr:from>
    <xdr:to>
      <xdr:col>1</xdr:col>
      <xdr:colOff>9525</xdr:colOff>
      <xdr:row>33</xdr:row>
      <xdr:rowOff>0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00000000-0008-0000-3800-000007000000}"/>
            </a:ext>
          </a:extLst>
        </xdr:cNvPr>
        <xdr:cNvSpPr>
          <a:spLocks noChangeShapeType="1"/>
        </xdr:cNvSpPr>
      </xdr:nvSpPr>
      <xdr:spPr bwMode="auto">
        <a:xfrm>
          <a:off x="19050" y="4762500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8" name="Line 9">
          <a:extLst>
            <a:ext uri="{FF2B5EF4-FFF2-40B4-BE49-F238E27FC236}">
              <a16:creationId xmlns:a16="http://schemas.microsoft.com/office/drawing/2014/main" id="{00000000-0008-0000-3800-00000800000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29</xdr:row>
      <xdr:rowOff>9525</xdr:rowOff>
    </xdr:from>
    <xdr:to>
      <xdr:col>1</xdr:col>
      <xdr:colOff>0</xdr:colOff>
      <xdr:row>33</xdr:row>
      <xdr:rowOff>0</xdr:rowOff>
    </xdr:to>
    <xdr:sp macro="" textlink="">
      <xdr:nvSpPr>
        <xdr:cNvPr id="9" name="Freeform 10">
          <a:extLst>
            <a:ext uri="{FF2B5EF4-FFF2-40B4-BE49-F238E27FC236}">
              <a16:creationId xmlns:a16="http://schemas.microsoft.com/office/drawing/2014/main" id="{00000000-0008-0000-3800-000009000000}"/>
            </a:ext>
          </a:extLst>
        </xdr:cNvPr>
        <xdr:cNvSpPr>
          <a:spLocks/>
        </xdr:cNvSpPr>
      </xdr:nvSpPr>
      <xdr:spPr bwMode="auto">
        <a:xfrm>
          <a:off x="9525" y="4762500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29</xdr:row>
      <xdr:rowOff>9525</xdr:rowOff>
    </xdr:from>
    <xdr:to>
      <xdr:col>1</xdr:col>
      <xdr:colOff>9525</xdr:colOff>
      <xdr:row>33</xdr:row>
      <xdr:rowOff>0</xdr:rowOff>
    </xdr:to>
    <xdr:sp macro="" textlink="">
      <xdr:nvSpPr>
        <xdr:cNvPr id="10" name="Line 11">
          <a:extLst>
            <a:ext uri="{FF2B5EF4-FFF2-40B4-BE49-F238E27FC236}">
              <a16:creationId xmlns:a16="http://schemas.microsoft.com/office/drawing/2014/main" id="{00000000-0008-0000-3800-00000A000000}"/>
            </a:ext>
          </a:extLst>
        </xdr:cNvPr>
        <xdr:cNvSpPr>
          <a:spLocks noChangeShapeType="1"/>
        </xdr:cNvSpPr>
      </xdr:nvSpPr>
      <xdr:spPr bwMode="auto">
        <a:xfrm>
          <a:off x="19050" y="4762500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11" name="Line 12">
          <a:extLst>
            <a:ext uri="{FF2B5EF4-FFF2-40B4-BE49-F238E27FC236}">
              <a16:creationId xmlns:a16="http://schemas.microsoft.com/office/drawing/2014/main" id="{00000000-0008-0000-3800-00000B00000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29</xdr:row>
      <xdr:rowOff>9525</xdr:rowOff>
    </xdr:from>
    <xdr:to>
      <xdr:col>1</xdr:col>
      <xdr:colOff>0</xdr:colOff>
      <xdr:row>33</xdr:row>
      <xdr:rowOff>0</xdr:rowOff>
    </xdr:to>
    <xdr:sp macro="" textlink="">
      <xdr:nvSpPr>
        <xdr:cNvPr id="12" name="Freeform 13">
          <a:extLst>
            <a:ext uri="{FF2B5EF4-FFF2-40B4-BE49-F238E27FC236}">
              <a16:creationId xmlns:a16="http://schemas.microsoft.com/office/drawing/2014/main" id="{00000000-0008-0000-3800-00000C000000}"/>
            </a:ext>
          </a:extLst>
        </xdr:cNvPr>
        <xdr:cNvSpPr>
          <a:spLocks/>
        </xdr:cNvSpPr>
      </xdr:nvSpPr>
      <xdr:spPr bwMode="auto">
        <a:xfrm>
          <a:off x="9525" y="4762500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29</xdr:row>
      <xdr:rowOff>9525</xdr:rowOff>
    </xdr:from>
    <xdr:to>
      <xdr:col>1</xdr:col>
      <xdr:colOff>9525</xdr:colOff>
      <xdr:row>33</xdr:row>
      <xdr:rowOff>0</xdr:rowOff>
    </xdr:to>
    <xdr:sp macro="" textlink="">
      <xdr:nvSpPr>
        <xdr:cNvPr id="13" name="Line 14">
          <a:extLst>
            <a:ext uri="{FF2B5EF4-FFF2-40B4-BE49-F238E27FC236}">
              <a16:creationId xmlns:a16="http://schemas.microsoft.com/office/drawing/2014/main" id="{00000000-0008-0000-3800-00000D000000}"/>
            </a:ext>
          </a:extLst>
        </xdr:cNvPr>
        <xdr:cNvSpPr>
          <a:spLocks noChangeShapeType="1"/>
        </xdr:cNvSpPr>
      </xdr:nvSpPr>
      <xdr:spPr bwMode="auto">
        <a:xfrm>
          <a:off x="19050" y="4762500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14" name="Line 15">
          <a:extLst>
            <a:ext uri="{FF2B5EF4-FFF2-40B4-BE49-F238E27FC236}">
              <a16:creationId xmlns:a16="http://schemas.microsoft.com/office/drawing/2014/main" id="{00000000-0008-0000-3800-00000E00000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29</xdr:row>
      <xdr:rowOff>9525</xdr:rowOff>
    </xdr:from>
    <xdr:to>
      <xdr:col>1</xdr:col>
      <xdr:colOff>0</xdr:colOff>
      <xdr:row>33</xdr:row>
      <xdr:rowOff>0</xdr:rowOff>
    </xdr:to>
    <xdr:sp macro="" textlink="">
      <xdr:nvSpPr>
        <xdr:cNvPr id="15" name="Freeform 16">
          <a:extLst>
            <a:ext uri="{FF2B5EF4-FFF2-40B4-BE49-F238E27FC236}">
              <a16:creationId xmlns:a16="http://schemas.microsoft.com/office/drawing/2014/main" id="{00000000-0008-0000-3800-00000F000000}"/>
            </a:ext>
          </a:extLst>
        </xdr:cNvPr>
        <xdr:cNvSpPr>
          <a:spLocks/>
        </xdr:cNvSpPr>
      </xdr:nvSpPr>
      <xdr:spPr bwMode="auto">
        <a:xfrm>
          <a:off x="9525" y="4762500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29</xdr:row>
      <xdr:rowOff>9525</xdr:rowOff>
    </xdr:from>
    <xdr:to>
      <xdr:col>1</xdr:col>
      <xdr:colOff>9525</xdr:colOff>
      <xdr:row>33</xdr:row>
      <xdr:rowOff>0</xdr:rowOff>
    </xdr:to>
    <xdr:sp macro="" textlink="">
      <xdr:nvSpPr>
        <xdr:cNvPr id="16" name="Line 17">
          <a:extLst>
            <a:ext uri="{FF2B5EF4-FFF2-40B4-BE49-F238E27FC236}">
              <a16:creationId xmlns:a16="http://schemas.microsoft.com/office/drawing/2014/main" id="{00000000-0008-0000-3800-000010000000}"/>
            </a:ext>
          </a:extLst>
        </xdr:cNvPr>
        <xdr:cNvSpPr>
          <a:spLocks noChangeShapeType="1"/>
        </xdr:cNvSpPr>
      </xdr:nvSpPr>
      <xdr:spPr bwMode="auto">
        <a:xfrm>
          <a:off x="19050" y="4762500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17" name="Line 18">
          <a:extLst>
            <a:ext uri="{FF2B5EF4-FFF2-40B4-BE49-F238E27FC236}">
              <a16:creationId xmlns:a16="http://schemas.microsoft.com/office/drawing/2014/main" id="{00000000-0008-0000-3800-00001100000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29</xdr:row>
      <xdr:rowOff>9525</xdr:rowOff>
    </xdr:from>
    <xdr:to>
      <xdr:col>1</xdr:col>
      <xdr:colOff>0</xdr:colOff>
      <xdr:row>33</xdr:row>
      <xdr:rowOff>0</xdr:rowOff>
    </xdr:to>
    <xdr:sp macro="" textlink="">
      <xdr:nvSpPr>
        <xdr:cNvPr id="18" name="Freeform 19">
          <a:extLst>
            <a:ext uri="{FF2B5EF4-FFF2-40B4-BE49-F238E27FC236}">
              <a16:creationId xmlns:a16="http://schemas.microsoft.com/office/drawing/2014/main" id="{00000000-0008-0000-3800-000012000000}"/>
            </a:ext>
          </a:extLst>
        </xdr:cNvPr>
        <xdr:cNvSpPr>
          <a:spLocks/>
        </xdr:cNvSpPr>
      </xdr:nvSpPr>
      <xdr:spPr bwMode="auto">
        <a:xfrm>
          <a:off x="9525" y="4762500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29</xdr:row>
      <xdr:rowOff>9525</xdr:rowOff>
    </xdr:from>
    <xdr:to>
      <xdr:col>1</xdr:col>
      <xdr:colOff>9525</xdr:colOff>
      <xdr:row>33</xdr:row>
      <xdr:rowOff>0</xdr:rowOff>
    </xdr:to>
    <xdr:sp macro="" textlink="">
      <xdr:nvSpPr>
        <xdr:cNvPr id="19" name="Line 20">
          <a:extLst>
            <a:ext uri="{FF2B5EF4-FFF2-40B4-BE49-F238E27FC236}">
              <a16:creationId xmlns:a16="http://schemas.microsoft.com/office/drawing/2014/main" id="{00000000-0008-0000-3800-000013000000}"/>
            </a:ext>
          </a:extLst>
        </xdr:cNvPr>
        <xdr:cNvSpPr>
          <a:spLocks noChangeShapeType="1"/>
        </xdr:cNvSpPr>
      </xdr:nvSpPr>
      <xdr:spPr bwMode="auto">
        <a:xfrm>
          <a:off x="19050" y="4762500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20" name="Line 21">
          <a:extLst>
            <a:ext uri="{FF2B5EF4-FFF2-40B4-BE49-F238E27FC236}">
              <a16:creationId xmlns:a16="http://schemas.microsoft.com/office/drawing/2014/main" id="{00000000-0008-0000-3800-00001400000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29</xdr:row>
      <xdr:rowOff>9525</xdr:rowOff>
    </xdr:from>
    <xdr:to>
      <xdr:col>1</xdr:col>
      <xdr:colOff>0</xdr:colOff>
      <xdr:row>33</xdr:row>
      <xdr:rowOff>0</xdr:rowOff>
    </xdr:to>
    <xdr:sp macro="" textlink="">
      <xdr:nvSpPr>
        <xdr:cNvPr id="21" name="Freeform 22">
          <a:extLst>
            <a:ext uri="{FF2B5EF4-FFF2-40B4-BE49-F238E27FC236}">
              <a16:creationId xmlns:a16="http://schemas.microsoft.com/office/drawing/2014/main" id="{00000000-0008-0000-3800-000015000000}"/>
            </a:ext>
          </a:extLst>
        </xdr:cNvPr>
        <xdr:cNvSpPr>
          <a:spLocks/>
        </xdr:cNvSpPr>
      </xdr:nvSpPr>
      <xdr:spPr bwMode="auto">
        <a:xfrm>
          <a:off x="9525" y="4762500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29</xdr:row>
      <xdr:rowOff>9525</xdr:rowOff>
    </xdr:from>
    <xdr:to>
      <xdr:col>1</xdr:col>
      <xdr:colOff>9525</xdr:colOff>
      <xdr:row>33</xdr:row>
      <xdr:rowOff>0</xdr:rowOff>
    </xdr:to>
    <xdr:sp macro="" textlink="">
      <xdr:nvSpPr>
        <xdr:cNvPr id="22" name="Line 23">
          <a:extLst>
            <a:ext uri="{FF2B5EF4-FFF2-40B4-BE49-F238E27FC236}">
              <a16:creationId xmlns:a16="http://schemas.microsoft.com/office/drawing/2014/main" id="{00000000-0008-0000-3800-000016000000}"/>
            </a:ext>
          </a:extLst>
        </xdr:cNvPr>
        <xdr:cNvSpPr>
          <a:spLocks noChangeShapeType="1"/>
        </xdr:cNvSpPr>
      </xdr:nvSpPr>
      <xdr:spPr bwMode="auto">
        <a:xfrm>
          <a:off x="19050" y="4762500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23" name="Line 24">
          <a:extLst>
            <a:ext uri="{FF2B5EF4-FFF2-40B4-BE49-F238E27FC236}">
              <a16:creationId xmlns:a16="http://schemas.microsoft.com/office/drawing/2014/main" id="{00000000-0008-0000-3800-00001700000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29</xdr:row>
      <xdr:rowOff>9525</xdr:rowOff>
    </xdr:from>
    <xdr:to>
      <xdr:col>1</xdr:col>
      <xdr:colOff>0</xdr:colOff>
      <xdr:row>33</xdr:row>
      <xdr:rowOff>0</xdr:rowOff>
    </xdr:to>
    <xdr:sp macro="" textlink="">
      <xdr:nvSpPr>
        <xdr:cNvPr id="24" name="Freeform 25">
          <a:extLst>
            <a:ext uri="{FF2B5EF4-FFF2-40B4-BE49-F238E27FC236}">
              <a16:creationId xmlns:a16="http://schemas.microsoft.com/office/drawing/2014/main" id="{00000000-0008-0000-3800-000018000000}"/>
            </a:ext>
          </a:extLst>
        </xdr:cNvPr>
        <xdr:cNvSpPr>
          <a:spLocks/>
        </xdr:cNvSpPr>
      </xdr:nvSpPr>
      <xdr:spPr bwMode="auto">
        <a:xfrm>
          <a:off x="9525" y="4762500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29</xdr:row>
      <xdr:rowOff>9525</xdr:rowOff>
    </xdr:from>
    <xdr:to>
      <xdr:col>1</xdr:col>
      <xdr:colOff>9525</xdr:colOff>
      <xdr:row>33</xdr:row>
      <xdr:rowOff>0</xdr:rowOff>
    </xdr:to>
    <xdr:sp macro="" textlink="">
      <xdr:nvSpPr>
        <xdr:cNvPr id="25" name="Line 26">
          <a:extLst>
            <a:ext uri="{FF2B5EF4-FFF2-40B4-BE49-F238E27FC236}">
              <a16:creationId xmlns:a16="http://schemas.microsoft.com/office/drawing/2014/main" id="{00000000-0008-0000-3800-000019000000}"/>
            </a:ext>
          </a:extLst>
        </xdr:cNvPr>
        <xdr:cNvSpPr>
          <a:spLocks noChangeShapeType="1"/>
        </xdr:cNvSpPr>
      </xdr:nvSpPr>
      <xdr:spPr bwMode="auto">
        <a:xfrm>
          <a:off x="19050" y="4762500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26" name="Line 27">
          <a:extLst>
            <a:ext uri="{FF2B5EF4-FFF2-40B4-BE49-F238E27FC236}">
              <a16:creationId xmlns:a16="http://schemas.microsoft.com/office/drawing/2014/main" id="{00000000-0008-0000-3800-00001A00000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29</xdr:row>
      <xdr:rowOff>9525</xdr:rowOff>
    </xdr:from>
    <xdr:to>
      <xdr:col>1</xdr:col>
      <xdr:colOff>0</xdr:colOff>
      <xdr:row>33</xdr:row>
      <xdr:rowOff>0</xdr:rowOff>
    </xdr:to>
    <xdr:sp macro="" textlink="">
      <xdr:nvSpPr>
        <xdr:cNvPr id="27" name="Freeform 28">
          <a:extLst>
            <a:ext uri="{FF2B5EF4-FFF2-40B4-BE49-F238E27FC236}">
              <a16:creationId xmlns:a16="http://schemas.microsoft.com/office/drawing/2014/main" id="{00000000-0008-0000-3800-00001B000000}"/>
            </a:ext>
          </a:extLst>
        </xdr:cNvPr>
        <xdr:cNvSpPr>
          <a:spLocks/>
        </xdr:cNvSpPr>
      </xdr:nvSpPr>
      <xdr:spPr bwMode="auto">
        <a:xfrm>
          <a:off x="9525" y="4762500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29</xdr:row>
      <xdr:rowOff>9525</xdr:rowOff>
    </xdr:from>
    <xdr:to>
      <xdr:col>1</xdr:col>
      <xdr:colOff>9525</xdr:colOff>
      <xdr:row>33</xdr:row>
      <xdr:rowOff>0</xdr:rowOff>
    </xdr:to>
    <xdr:sp macro="" textlink="">
      <xdr:nvSpPr>
        <xdr:cNvPr id="28" name="Line 29">
          <a:extLst>
            <a:ext uri="{FF2B5EF4-FFF2-40B4-BE49-F238E27FC236}">
              <a16:creationId xmlns:a16="http://schemas.microsoft.com/office/drawing/2014/main" id="{00000000-0008-0000-3800-00001C000000}"/>
            </a:ext>
          </a:extLst>
        </xdr:cNvPr>
        <xdr:cNvSpPr>
          <a:spLocks noChangeShapeType="1"/>
        </xdr:cNvSpPr>
      </xdr:nvSpPr>
      <xdr:spPr bwMode="auto">
        <a:xfrm>
          <a:off x="19050" y="4762500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29" name="Line 30">
          <a:extLst>
            <a:ext uri="{FF2B5EF4-FFF2-40B4-BE49-F238E27FC236}">
              <a16:creationId xmlns:a16="http://schemas.microsoft.com/office/drawing/2014/main" id="{00000000-0008-0000-3800-00001D00000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29</xdr:row>
      <xdr:rowOff>9525</xdr:rowOff>
    </xdr:from>
    <xdr:to>
      <xdr:col>1</xdr:col>
      <xdr:colOff>0</xdr:colOff>
      <xdr:row>33</xdr:row>
      <xdr:rowOff>0</xdr:rowOff>
    </xdr:to>
    <xdr:sp macro="" textlink="">
      <xdr:nvSpPr>
        <xdr:cNvPr id="30" name="Freeform 31">
          <a:extLst>
            <a:ext uri="{FF2B5EF4-FFF2-40B4-BE49-F238E27FC236}">
              <a16:creationId xmlns:a16="http://schemas.microsoft.com/office/drawing/2014/main" id="{00000000-0008-0000-3800-00001E000000}"/>
            </a:ext>
          </a:extLst>
        </xdr:cNvPr>
        <xdr:cNvSpPr>
          <a:spLocks/>
        </xdr:cNvSpPr>
      </xdr:nvSpPr>
      <xdr:spPr bwMode="auto">
        <a:xfrm>
          <a:off x="9525" y="4762500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29</xdr:row>
      <xdr:rowOff>9525</xdr:rowOff>
    </xdr:from>
    <xdr:to>
      <xdr:col>1</xdr:col>
      <xdr:colOff>9525</xdr:colOff>
      <xdr:row>33</xdr:row>
      <xdr:rowOff>0</xdr:rowOff>
    </xdr:to>
    <xdr:sp macro="" textlink="">
      <xdr:nvSpPr>
        <xdr:cNvPr id="31" name="Line 32">
          <a:extLst>
            <a:ext uri="{FF2B5EF4-FFF2-40B4-BE49-F238E27FC236}">
              <a16:creationId xmlns:a16="http://schemas.microsoft.com/office/drawing/2014/main" id="{00000000-0008-0000-3800-00001F000000}"/>
            </a:ext>
          </a:extLst>
        </xdr:cNvPr>
        <xdr:cNvSpPr>
          <a:spLocks noChangeShapeType="1"/>
        </xdr:cNvSpPr>
      </xdr:nvSpPr>
      <xdr:spPr bwMode="auto">
        <a:xfrm>
          <a:off x="19050" y="4762500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32" name="Line 33">
          <a:extLst>
            <a:ext uri="{FF2B5EF4-FFF2-40B4-BE49-F238E27FC236}">
              <a16:creationId xmlns:a16="http://schemas.microsoft.com/office/drawing/2014/main" id="{00000000-0008-0000-3800-00002000000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29</xdr:row>
      <xdr:rowOff>9525</xdr:rowOff>
    </xdr:from>
    <xdr:to>
      <xdr:col>1</xdr:col>
      <xdr:colOff>0</xdr:colOff>
      <xdr:row>33</xdr:row>
      <xdr:rowOff>0</xdr:rowOff>
    </xdr:to>
    <xdr:sp macro="" textlink="">
      <xdr:nvSpPr>
        <xdr:cNvPr id="33" name="Freeform 34">
          <a:extLst>
            <a:ext uri="{FF2B5EF4-FFF2-40B4-BE49-F238E27FC236}">
              <a16:creationId xmlns:a16="http://schemas.microsoft.com/office/drawing/2014/main" id="{00000000-0008-0000-3800-000021000000}"/>
            </a:ext>
          </a:extLst>
        </xdr:cNvPr>
        <xdr:cNvSpPr>
          <a:spLocks/>
        </xdr:cNvSpPr>
      </xdr:nvSpPr>
      <xdr:spPr bwMode="auto">
        <a:xfrm>
          <a:off x="9525" y="4762500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29</xdr:row>
      <xdr:rowOff>9525</xdr:rowOff>
    </xdr:from>
    <xdr:to>
      <xdr:col>1</xdr:col>
      <xdr:colOff>9525</xdr:colOff>
      <xdr:row>33</xdr:row>
      <xdr:rowOff>0</xdr:rowOff>
    </xdr:to>
    <xdr:sp macro="" textlink="">
      <xdr:nvSpPr>
        <xdr:cNvPr id="34" name="Line 35">
          <a:extLst>
            <a:ext uri="{FF2B5EF4-FFF2-40B4-BE49-F238E27FC236}">
              <a16:creationId xmlns:a16="http://schemas.microsoft.com/office/drawing/2014/main" id="{00000000-0008-0000-3800-000022000000}"/>
            </a:ext>
          </a:extLst>
        </xdr:cNvPr>
        <xdr:cNvSpPr>
          <a:spLocks noChangeShapeType="1"/>
        </xdr:cNvSpPr>
      </xdr:nvSpPr>
      <xdr:spPr bwMode="auto">
        <a:xfrm>
          <a:off x="19050" y="4762500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Y43"/>
  <sheetViews>
    <sheetView tabSelected="1" zoomScaleNormal="100" zoomScaleSheetLayoutView="100" workbookViewId="0"/>
  </sheetViews>
  <sheetFormatPr defaultRowHeight="13.5" x14ac:dyDescent="0.15"/>
  <cols>
    <col min="1" max="1" width="2" customWidth="1"/>
    <col min="2" max="5" width="3" customWidth="1"/>
    <col min="6" max="10" width="3.875" customWidth="1"/>
  </cols>
  <sheetData>
    <row r="1" spans="2:24" ht="31.5" customHeight="1" x14ac:dyDescent="0.15">
      <c r="B1" s="7" t="s">
        <v>974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1"/>
      <c r="S1" s="1"/>
      <c r="T1" s="1"/>
      <c r="U1" s="1"/>
      <c r="V1" s="1"/>
      <c r="W1" s="1"/>
      <c r="X1" s="1"/>
    </row>
    <row r="2" spans="2:24" ht="14.25" x14ac:dyDescent="0.15">
      <c r="B2" s="9" t="s">
        <v>5</v>
      </c>
    </row>
    <row r="3" spans="2:24" ht="22.5" customHeight="1" x14ac:dyDescent="0.15">
      <c r="B3" s="2" t="s">
        <v>6</v>
      </c>
    </row>
    <row r="4" spans="2:24" s="3" customFormat="1" ht="14.25" x14ac:dyDescent="0.15">
      <c r="C4" s="3" t="s">
        <v>7</v>
      </c>
    </row>
    <row r="5" spans="2:24" s="3" customFormat="1" ht="14.25" x14ac:dyDescent="0.15">
      <c r="D5" s="4" t="s">
        <v>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24" s="3" customFormat="1" ht="14.25" x14ac:dyDescent="0.15">
      <c r="D6" s="4" t="s">
        <v>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2:24" s="3" customFormat="1" ht="14.25" x14ac:dyDescent="0.15">
      <c r="D7" s="4" t="s">
        <v>60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2:24" s="3" customFormat="1" ht="14.25" x14ac:dyDescent="0.15">
      <c r="D8" s="3" t="s">
        <v>583</v>
      </c>
    </row>
    <row r="9" spans="2:24" s="3" customFormat="1" ht="14.25" x14ac:dyDescent="0.15">
      <c r="D9" s="4"/>
      <c r="E9" s="4" t="s">
        <v>769</v>
      </c>
      <c r="F9" s="4"/>
      <c r="G9" s="4"/>
      <c r="H9" s="4"/>
      <c r="I9" s="4"/>
      <c r="J9" s="4"/>
      <c r="K9" s="4"/>
      <c r="L9" s="4"/>
      <c r="M9" s="4"/>
      <c r="N9" s="4"/>
    </row>
    <row r="10" spans="2:24" s="3" customFormat="1" ht="14.25" x14ac:dyDescent="0.15">
      <c r="D10" s="4"/>
      <c r="E10" s="4" t="s">
        <v>770</v>
      </c>
      <c r="F10" s="4"/>
      <c r="G10" s="4"/>
      <c r="H10" s="4"/>
      <c r="I10" s="4"/>
      <c r="J10" s="4"/>
      <c r="K10" s="4"/>
      <c r="L10" s="4"/>
      <c r="M10" s="4"/>
      <c r="N10" s="4"/>
    </row>
    <row r="11" spans="2:24" s="3" customFormat="1" ht="14.25" x14ac:dyDescent="0.15">
      <c r="C11" s="3" t="s">
        <v>9</v>
      </c>
    </row>
    <row r="12" spans="2:24" s="3" customFormat="1" ht="14.25" x14ac:dyDescent="0.15">
      <c r="D12" s="3" t="s">
        <v>0</v>
      </c>
    </row>
    <row r="13" spans="2:24" s="3" customFormat="1" ht="14.25" x14ac:dyDescent="0.15">
      <c r="E13" s="18" t="s">
        <v>975</v>
      </c>
      <c r="F13" s="4"/>
      <c r="G13" s="4"/>
      <c r="H13" s="4"/>
      <c r="I13" s="4"/>
      <c r="J13" s="4"/>
      <c r="K13" s="4"/>
    </row>
    <row r="14" spans="2:24" s="3" customFormat="1" ht="14.25" x14ac:dyDescent="0.15">
      <c r="E14" s="18" t="s">
        <v>976</v>
      </c>
      <c r="F14" s="4"/>
      <c r="G14" s="4"/>
      <c r="H14" s="4"/>
      <c r="I14" s="4"/>
      <c r="J14" s="4"/>
      <c r="K14" s="4"/>
    </row>
    <row r="15" spans="2:24" s="3" customFormat="1" ht="14.25" x14ac:dyDescent="0.15">
      <c r="D15" s="3" t="s">
        <v>3</v>
      </c>
    </row>
    <row r="16" spans="2:24" s="3" customFormat="1" ht="14.25" x14ac:dyDescent="0.15">
      <c r="E16" s="4" t="s">
        <v>977</v>
      </c>
      <c r="F16" s="4"/>
      <c r="G16" s="4"/>
      <c r="H16" s="4"/>
      <c r="I16" s="4"/>
      <c r="J16" s="4"/>
      <c r="K16" s="4"/>
    </row>
    <row r="17" spans="2:25" s="3" customFormat="1" ht="14.25" x14ac:dyDescent="0.15">
      <c r="E17" s="4" t="s">
        <v>978</v>
      </c>
      <c r="F17" s="4"/>
      <c r="G17" s="4"/>
      <c r="H17" s="4"/>
      <c r="I17" s="4"/>
      <c r="J17" s="4"/>
      <c r="K17" s="4"/>
    </row>
    <row r="18" spans="2:25" s="3" customFormat="1" ht="14.25" x14ac:dyDescent="0.15">
      <c r="D18" s="4" t="s">
        <v>771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19"/>
    </row>
    <row r="19" spans="2:25" s="3" customFormat="1" ht="14.25" x14ac:dyDescent="0.15">
      <c r="D19" s="3" t="s">
        <v>1129</v>
      </c>
    </row>
    <row r="20" spans="2:25" s="3" customFormat="1" ht="14.25" x14ac:dyDescent="0.15">
      <c r="D20" s="5"/>
      <c r="E20" s="4" t="s">
        <v>1</v>
      </c>
      <c r="F20" s="4"/>
      <c r="G20" s="4"/>
      <c r="H20" s="4"/>
      <c r="I20" s="4"/>
      <c r="J20" s="4"/>
      <c r="K20" s="4"/>
    </row>
    <row r="21" spans="2:25" s="3" customFormat="1" ht="14.25" x14ac:dyDescent="0.15">
      <c r="D21" s="5"/>
      <c r="E21" s="19" t="s">
        <v>174</v>
      </c>
      <c r="F21" s="4"/>
      <c r="G21" s="4"/>
      <c r="H21" s="4"/>
      <c r="I21" s="4"/>
      <c r="J21" s="4"/>
      <c r="K21" s="4"/>
      <c r="L21" s="4"/>
      <c r="M21" s="4"/>
      <c r="N21" s="4"/>
    </row>
    <row r="22" spans="2:25" s="3" customFormat="1" ht="14.25" x14ac:dyDescent="0.15">
      <c r="D22" s="5"/>
      <c r="E22" s="4" t="s">
        <v>2</v>
      </c>
      <c r="F22" s="4"/>
      <c r="G22" s="4"/>
      <c r="H22" s="4"/>
      <c r="I22" s="4"/>
      <c r="J22" s="4"/>
      <c r="K22" s="4"/>
    </row>
    <row r="23" spans="2:25" s="3" customFormat="1" ht="14.25" x14ac:dyDescent="0.15">
      <c r="D23" s="5"/>
      <c r="E23" s="4" t="s">
        <v>173</v>
      </c>
      <c r="F23" s="4"/>
      <c r="G23" s="4"/>
      <c r="H23" s="4"/>
      <c r="I23" s="4"/>
      <c r="J23" s="4"/>
      <c r="K23" s="4"/>
      <c r="L23" s="4"/>
      <c r="M23" s="4"/>
      <c r="N23" s="4"/>
    </row>
    <row r="24" spans="2:25" s="3" customFormat="1" ht="14.25" x14ac:dyDescent="0.15">
      <c r="D24" s="469" t="s">
        <v>483</v>
      </c>
      <c r="E24" s="469"/>
      <c r="F24" s="469"/>
      <c r="G24" s="469"/>
      <c r="H24" s="469"/>
      <c r="I24" s="469"/>
      <c r="J24" s="469"/>
      <c r="K24" s="469"/>
      <c r="L24" s="469"/>
      <c r="M24" s="469"/>
      <c r="N24" s="469"/>
      <c r="O24" s="469"/>
      <c r="P24" s="469"/>
      <c r="Q24" s="469"/>
    </row>
    <row r="25" spans="2:25" s="3" customFormat="1" ht="14.25" x14ac:dyDescent="0.15">
      <c r="D25" s="469" t="s">
        <v>581</v>
      </c>
      <c r="E25" s="469"/>
      <c r="F25" s="469"/>
      <c r="G25" s="469"/>
      <c r="H25" s="469"/>
      <c r="I25" s="469"/>
      <c r="J25" s="469"/>
      <c r="K25" s="469"/>
      <c r="L25" s="469"/>
      <c r="M25" s="469"/>
      <c r="N25" s="469"/>
      <c r="O25" s="469"/>
      <c r="P25" s="469"/>
      <c r="Q25" s="469"/>
      <c r="R25" s="469"/>
      <c r="S25" s="469"/>
      <c r="T25" s="469"/>
      <c r="U25" s="469"/>
      <c r="V25" s="469"/>
      <c r="W25" s="469"/>
      <c r="X25" s="469"/>
      <c r="Y25" s="469"/>
    </row>
    <row r="26" spans="2:25" s="3" customFormat="1" ht="14.25" x14ac:dyDescent="0.15">
      <c r="D26" s="4" t="s">
        <v>582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2:25" s="3" customFormat="1" ht="14.25" x14ac:dyDescent="0.15"/>
    <row r="28" spans="2:25" s="3" customFormat="1" ht="14.25" x14ac:dyDescent="0.15">
      <c r="B28" s="6" t="s">
        <v>482</v>
      </c>
    </row>
    <row r="29" spans="2:25" s="3" customFormat="1" ht="14.25" x14ac:dyDescent="0.15">
      <c r="C29" s="19" t="s">
        <v>61</v>
      </c>
      <c r="D29" s="4"/>
      <c r="E29" s="4"/>
      <c r="F29" s="4"/>
      <c r="G29" s="4"/>
      <c r="H29" s="4"/>
      <c r="I29" s="4"/>
      <c r="J29" s="4"/>
      <c r="K29" s="4"/>
    </row>
    <row r="30" spans="2:25" s="3" customFormat="1" ht="14.25" x14ac:dyDescent="0.15">
      <c r="C30" s="4" t="s">
        <v>10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2:25" s="3" customFormat="1" ht="14.25" x14ac:dyDescent="0.15">
      <c r="C31" s="3" t="s">
        <v>632</v>
      </c>
    </row>
    <row r="32" spans="2:25" s="3" customFormat="1" ht="14.25" x14ac:dyDescent="0.15">
      <c r="D32" s="4" t="s">
        <v>633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3:24" s="3" customFormat="1" ht="14.25" x14ac:dyDescent="0.15">
      <c r="D33" s="4" t="s">
        <v>484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3:24" s="3" customFormat="1" ht="14.25" x14ac:dyDescent="0.15">
      <c r="D34" s="4" t="s">
        <v>979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3:24" s="3" customFormat="1" ht="14.25" x14ac:dyDescent="0.15">
      <c r="D35" s="469" t="s">
        <v>980</v>
      </c>
      <c r="E35" s="469"/>
      <c r="F35" s="469"/>
      <c r="G35" s="469"/>
      <c r="H35" s="469"/>
      <c r="I35" s="469"/>
      <c r="J35" s="469"/>
      <c r="K35" s="469"/>
      <c r="L35" s="469"/>
      <c r="M35" s="469"/>
      <c r="N35" s="469"/>
      <c r="O35" s="469"/>
      <c r="P35" s="469"/>
      <c r="Q35" s="469"/>
      <c r="R35" s="469"/>
      <c r="S35" s="469"/>
      <c r="T35" s="469"/>
      <c r="U35" s="469"/>
      <c r="V35" s="469"/>
      <c r="W35" s="469"/>
      <c r="X35" s="469"/>
    </row>
    <row r="36" spans="3:24" s="3" customFormat="1" ht="14.25" x14ac:dyDescent="0.15">
      <c r="D36" s="4" t="s">
        <v>981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3:24" s="3" customFormat="1" ht="14.25" x14ac:dyDescent="0.15">
      <c r="D37" s="4" t="s">
        <v>982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69"/>
      <c r="U37" s="469"/>
      <c r="V37" s="469"/>
      <c r="W37" s="469"/>
      <c r="X37" s="469"/>
    </row>
    <row r="38" spans="3:24" s="3" customFormat="1" ht="14.25" x14ac:dyDescent="0.15">
      <c r="D38" s="469" t="s">
        <v>983</v>
      </c>
      <c r="E38" s="469"/>
      <c r="F38" s="469"/>
      <c r="G38" s="469"/>
      <c r="H38" s="469"/>
      <c r="I38" s="469"/>
      <c r="J38" s="469"/>
      <c r="K38" s="469"/>
      <c r="L38" s="469"/>
      <c r="M38" s="469"/>
      <c r="N38" s="469"/>
      <c r="O38" s="469"/>
      <c r="P38" s="469"/>
      <c r="Q38" s="469"/>
      <c r="R38" s="469"/>
      <c r="S38" s="469"/>
      <c r="T38" s="469"/>
      <c r="U38" s="469"/>
      <c r="V38" s="4"/>
      <c r="W38" s="4"/>
    </row>
    <row r="39" spans="3:24" s="3" customFormat="1" ht="14.25" x14ac:dyDescent="0.15">
      <c r="D39" s="469" t="s">
        <v>984</v>
      </c>
      <c r="E39" s="469"/>
      <c r="F39" s="469"/>
      <c r="G39" s="469"/>
      <c r="H39" s="469"/>
      <c r="I39" s="469"/>
      <c r="J39" s="469"/>
      <c r="K39" s="469"/>
      <c r="L39" s="469"/>
      <c r="M39" s="469"/>
      <c r="N39" s="469"/>
      <c r="O39" s="469"/>
      <c r="P39" s="469"/>
      <c r="Q39" s="469"/>
      <c r="R39" s="469"/>
      <c r="S39" s="469"/>
      <c r="T39" s="469"/>
      <c r="U39" s="469"/>
      <c r="V39" s="469"/>
      <c r="W39" s="469"/>
      <c r="X39" s="469"/>
    </row>
    <row r="40" spans="3:24" s="3" customFormat="1" ht="14.25" x14ac:dyDescent="0.15">
      <c r="C40" s="3" t="s">
        <v>767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3:24" s="3" customFormat="1" ht="14.25" x14ac:dyDescent="0.15">
      <c r="D41" s="4" t="s">
        <v>768</v>
      </c>
      <c r="E41" s="4"/>
      <c r="F41" s="4"/>
      <c r="G41" s="469"/>
      <c r="H41" s="469"/>
      <c r="I41" s="469"/>
      <c r="J41" s="469"/>
      <c r="K41" s="469"/>
      <c r="L41" s="469"/>
      <c r="M41" s="469"/>
      <c r="N41" s="469"/>
      <c r="O41" s="469"/>
      <c r="P41" s="469"/>
    </row>
    <row r="42" spans="3:24" s="3" customFormat="1" ht="14.25" x14ac:dyDescent="0.15">
      <c r="D42" s="4" t="s">
        <v>772</v>
      </c>
      <c r="E42" s="4"/>
      <c r="F42" s="4"/>
      <c r="G42" s="469"/>
      <c r="H42" s="469"/>
      <c r="I42" s="469"/>
      <c r="J42" s="469"/>
      <c r="K42" s="469"/>
      <c r="L42" s="469"/>
      <c r="M42" s="469"/>
      <c r="N42" s="469"/>
      <c r="O42" s="469"/>
      <c r="P42" s="469"/>
    </row>
    <row r="43" spans="3:24" s="3" customFormat="1" ht="14.25" x14ac:dyDescent="0.15"/>
  </sheetData>
  <phoneticPr fontId="13"/>
  <hyperlinks>
    <hyperlink ref="D5:O5" location="'１（１）原油地域別、国別輸入'!A1" display="（１）原油地域別、国別輸入 / Import of Crude Oil by Area and Country" xr:uid="{00000000-0004-0000-0000-000000000000}"/>
    <hyperlink ref="D6:N6" location="'Ⅱ－２(2)原油油種別輸入'!A1" display="（２）原油油種別輸入 / Import by Kind of Crude Oil" xr:uid="{00000000-0004-0000-0000-000001000000}"/>
    <hyperlink ref="D7:O7" location="'Ⅱ－２(3)非精製用出荷内訳'!A1" display="（３）非精製用出荷内訳 / Shipment of Crude Oil for non-Refining" xr:uid="{00000000-0004-0000-0000-000002000000}"/>
    <hyperlink ref="E13:K13" location="'２（１）①石油製品需給総括暦年'!A1" display="　①平成25年 / (C.Y.2013)" xr:uid="{00000000-0004-0000-0000-000003000000}"/>
    <hyperlink ref="E14:K14" location="'２（１）②石油製品需給総括年度'!A1" display="　②平成25年度 / (F.Y.2013)" xr:uid="{00000000-0004-0000-0000-000004000000}"/>
    <hyperlink ref="E16:K16" location="'２（２）①製造業者・輸入業者受払暦年'!A1" display="　①平成25年 / (C.Y.2013)" xr:uid="{00000000-0004-0000-0000-000005000000}"/>
    <hyperlink ref="E17:K17" location="'２（２）②製造業者・輸入業者受払年度'!A1" display="　②平成25年度 / (F.Y.2013)" xr:uid="{00000000-0004-0000-0000-000006000000}"/>
    <hyperlink ref="D18:P18" location="'２（３）石油製品国内向月別販売'!A1" display="（３）石油製品国内向月別販売 / Domestic Sales of Petroleum Products by Month " xr:uid="{00000000-0004-0000-0000-000007000000}"/>
    <hyperlink ref="E20:K20" location="'２（４）①石油製品月別輸入'!A1" display="①月別輸入 / Import by Month" xr:uid="{00000000-0004-0000-0000-000008000000}"/>
    <hyperlink ref="E21:N21" location="'２（４）②石油製品国・地域別月別輸入'!A1" display="②国・地域別月別輸入 / Monthly Import by Area and Country" xr:uid="{00000000-0004-0000-0000-000009000000}"/>
    <hyperlink ref="E22:K22" location="'２（４）③石油製品月別輸出'!A1" display="③月別輸出 / Export by Month" xr:uid="{00000000-0004-0000-0000-00000A000000}"/>
    <hyperlink ref="E23:N23" location="'２（４）④石油製品国・地域別月別輸出'!A1" display="④国・地域別月別輸出 / Monthly Export by Area and Country" xr:uid="{00000000-0004-0000-0000-00000B000000}"/>
    <hyperlink ref="D26:Y26" location="'２（７）品種別、月別消費者・販売業者向販売及び在庫内訳'!A1" display="（７）製造業者・輸入業者品種別、月別消費者・販売業者向販売及び在庫内訳 /Monthly Inventory and Sales to Consumers, Wholesalers and Retailers by Manufacturers and Importers " xr:uid="{00000000-0004-0000-0000-00000C000000}"/>
    <hyperlink ref="C30:P30" location="'参考資料１、２備蓄量推移、輸入価格推移'!A25" display="２．石油輸入価格推移 / Customs Clearance Prices of Crude Oil and Petroleum Products(CIF)" xr:uid="{00000000-0004-0000-0000-00000D000000}"/>
    <hyperlink ref="D32:U32" location="'参考資料３（１）（２）'!A1" display="（１）契約期間別原油月別輸入、ＣＩＦ総額、平均ＡＰＩ及び平均硫黄分 /Crude Oil Import, Value（C.I.F）,Average API and Average Sulfur by Month and Contract" xr:uid="{00000000-0004-0000-0000-00000E000000}"/>
    <hyperlink ref="D33:N33" location="'参考資料３（１）（２）'!L42" display="（２）供給者区分別原油月別輸入 / Crude Oil Import by Month and Supplier" xr:uid="{00000000-0004-0000-0000-00000F000000}"/>
    <hyperlink ref="D34:V34" location="'参考資料３（３）（４）'!A1" display="（３）国別、契約期間別原油輸入、平均ＡＰＩ及び平均硫黄分（平成25年） / Crude Oil Import, Average API and Average Sulfur by Country and Contract(C.Y.2013)" xr:uid="{00000000-0004-0000-0000-000010000000}"/>
    <hyperlink ref="D36:Q36" location="'参考資料３（５）（６）'!A1" display="（５）国別、契約期間別ＣＩＦ総額（平成25年） / Imported Crude Oil Value(CIF) by Country and Contract(C.Y.2013)" xr:uid="{00000000-0004-0000-0000-000011000000}"/>
    <hyperlink ref="D37:R37" location="'参考資料３（５）（６）'!A27" display="（６）原油国別、契約期間別、ＣＩＦ総額（令和2年度） / Import of  Crude Oil Value(CIF) by Country and Contract(Ｆ.Y.2020)" xr:uid="{00000000-0004-0000-0000-000012000000}"/>
    <hyperlink ref="D5" location="'１（１）原油地域別、国別輸入'!A1" display="（１）原油地域別、国別輸入 / Import of Crude Oil by Area and Country" xr:uid="{00000000-0004-0000-0000-000013000000}"/>
    <hyperlink ref="D6:O6" location="'１（２）原油油種別輸入'!A1" display="（２）原油油種別輸入 / Import by Kind of Crude Oil" xr:uid="{00000000-0004-0000-0000-000014000000}"/>
    <hyperlink ref="D7:P7" location="'１（３）非精製用出荷内訳'!A1" display="（３）非精製用出荷内訳 / Shipment of Crude Oil for non-Refining" xr:uid="{00000000-0004-0000-0000-000015000000}"/>
    <hyperlink ref="C29:K29" location="'参考資料１、２備蓄量推移、輸入価格推移'!A1" display="１．石油備蓄量推移 / Changes in Oil Stock" xr:uid="{00000000-0004-0000-0000-000016000000}"/>
    <hyperlink ref="E21" location="'２（４）②石油製品国・地域別月別輸入'!A1" display="②国・地域別月別輸入 / Monthly Import by Area and Country" xr:uid="{00000000-0004-0000-0000-000017000000}"/>
    <hyperlink ref="E23" location="'２（４）④石油製品国・地域別月別輸出'!A1" display="④国・地域別月別輸出 / Monthly Export by Area and Country" xr:uid="{00000000-0004-0000-0000-000018000000}"/>
    <hyperlink ref="D24" location="'２（５）石油製品月別業態別在庫'!A1" display="（５）石油製品月別業態別在庫 / Monthly Inventory of Petroleum Products by Type of Business" xr:uid="{00000000-0004-0000-0000-000019000000}"/>
    <hyperlink ref="D25" location="'２（６）製造業者・輸入業者月別消費者、販売業者向販売'!A1" display="（６）石油製品製造業者・輸入業者月別消費者･販売業者向販売 / Monthly Sales to Consumers, Wholesalers and Retailers of Petroleum Products by Manufacturers and Importers    " xr:uid="{00000000-0004-0000-0000-00001A000000}"/>
    <hyperlink ref="D25:X25" location="'２（６）製造業者・輸入業者月別消費者、販売業者向販売'!A1" display="（６）石油製品製造業者・輸入業者月別消費者･販売業者向販売 / Monthly Sales to Consumers, Wholesalers and Retailers of Petroleum Products by Manufacturers and Importers    " xr:uid="{00000000-0004-0000-0000-00001B000000}"/>
    <hyperlink ref="D24:Q24" location="'２（５）石油製品月別業態別在庫'!A1" display="（５）石油製品月別業態別在庫 / Monthly Inventory of Petroleum Products by Type of Business" xr:uid="{00000000-0004-0000-0000-00001C000000}"/>
    <hyperlink ref="D26" location="'２（７）品種別、月別消費者・販売業者向販売及び在庫内訳'!A1" display="（７）製造業者・輸入業者品種別、月別消費者・販売業者向販売及び在庫内訳 /Monthly Inventory and Sales to Consumers, Wholesalers and Retailers by Manufacturers and Importers " xr:uid="{00000000-0004-0000-0000-00001D000000}"/>
    <hyperlink ref="D32:W32" location="'参考資料３（１）（２）'!A1" display="（１）契約期間別原油月別輸入、ＣＩＦ総額、平均ＡＰＩ度及び平均硫黄分 / Crude Oil Import, Value（CIF）,Average API　gravity and Average Sulfur by Month and Contract" xr:uid="{00000000-0004-0000-0000-00001E000000}"/>
    <hyperlink ref="D33:O33" location="'参考資料３（１）（２）'!L42" display="（２）供給者区分別原油月別輸入 / Crude Oil Import by Month and Supplier" xr:uid="{00000000-0004-0000-0000-00001F000000}"/>
    <hyperlink ref="D34:X34" location="'参考資料３（３）（４）'!A1" display="（３）国別、契約期間別原油輸入、平均ＡＰＩ度及び平均硫黄分（平成29年） / Crude Oil Import, Average API　gravity and Average Sulfur by Country and Contract(C.Y.2017)" xr:uid="{00000000-0004-0000-0000-000020000000}"/>
    <hyperlink ref="D36:R36" location="'参考資料３（５）（６）'!A1" display="（５）国別、契約期間別ＣＩＦ総額（平成29年） / Imported Crude Oil Value(CIF) by Country and Contract(C.Y.2017)" xr:uid="{00000000-0004-0000-0000-000021000000}"/>
    <hyperlink ref="D37" location="'参考資料３（５）（６）'!A27" display="（６）原油国別、契約期間別、ＣＩＦ総額（令和2年度） / Import of  Crude Oil Value(CIF) by Country and Contract(Ｆ.Y.2020)" xr:uid="{00000000-0004-0000-0000-000022000000}"/>
    <hyperlink ref="Y25" location="'２（６）製造業者・輸入業者月別消費者、販売業者向販売'!A1" display="（６）石油製品製造業者・輸入業者月別消費者･販売業者向販売 / Monthly Sales to Consumers, Wholesalers and Retailers of Petroleum Products by Manufacturers and Importers    " xr:uid="{00000000-0004-0000-0000-000023000000}"/>
    <hyperlink ref="S36" location="'参考資料３（５）（６）'!A1" display="（５）国別、契約期間別ＣＩＦ総額（平成29年） / Imported Crude Oil Value(CIF) by Country and Contract(C.Y.2017)" xr:uid="{00000000-0004-0000-0000-000024000000}"/>
    <hyperlink ref="X32" location="'参考資料３（１）（２）'!A1" display="（１）契約期間別原油月別輸入、ＣＩＦ総額、平均ＡＰＩ度及び平均硫黄分 / Crude Oil Import, Value（CIF）,Average API　gravity and Average Sulfur by Month and Contract" xr:uid="{00000000-0004-0000-0000-000025000000}"/>
    <hyperlink ref="D38:W38" location="'参考資料３（７）（８）'!A1" display="（７）原油国別船積数量、FOB、運賃総額及び保険料総額（令和2年） / Import of Crude Oil, Shipped Quantity,FOB,Freight and Insurance by Country (C.Y.2020)" xr:uid="{00000000-0004-0000-0000-000026000000}"/>
    <hyperlink ref="D35:X35" location="'参考資料３（３）（４）'!A28" display="（４）原油国別、契約期間別輸入、平均ＡＰＩ度及び平均硫黄分（令和5年度） / Import of Crude Oil, Average API gravity and Average Sulfur by Country and Contract(F.Y.2023)" xr:uid="{00000000-0004-0000-0000-000027000000}"/>
    <hyperlink ref="D39:W39" location="'参考資料３（７）（８）'!A29" display="（８）原油国別船積数量、FOB、運賃総額及び保険料総額（令和3年度） /Import of Crude Oil, Shipped Quantity,FOB,Freight and Insurance by Country (F.Y.2021)" xr:uid="{00000000-0004-0000-0000-000028000000}"/>
    <hyperlink ref="D41:F41" location="'参考資料３（１）（２）'!A1" display="（１）契約期間別原油月別輸入、ＣＩＦ総額、平均ＡＰＩ度及び平均硫黄分 / Crude Oil Import, Value（CIF）,Average API　gravity and Average Sulfur by Month and Contract" xr:uid="{00000000-0004-0000-0000-000029000000}"/>
    <hyperlink ref="D42:F42" location="'参考資料３（１）（２）'!L42" display="（２）供給者区分別原油月別輸入 / Crude Oil Import by Month and Supplier" xr:uid="{00000000-0004-0000-0000-00002A000000}"/>
    <hyperlink ref="D41:P41" location="'参考資料４（１）液化天然ガス（ＬＮＧ）輸入量、消費量、在庫量'!A1" display="（１）液化天然ガス（ＬＮＧ）輸入量、消費量、在庫量 / LNG Import,Consumption and Inventory" xr:uid="{00000000-0004-0000-0000-00002B000000}"/>
    <hyperlink ref="D42:P42" location="'参考資料４（２）'!L42" display="（２）液化天然ガス（ＬＮＧ）国別、月別輸入量 / LNG Monthly Import by Area and Country" xr:uid="{00000000-0004-0000-0000-00002C000000}"/>
    <hyperlink ref="D5:N5" location="'１（１）原油地域別、国別輸入'!A1" display="（１）原油地域別、国別輸入 / Import of Crude Oil by Area and Country" xr:uid="{00000000-0004-0000-0000-00002D000000}"/>
    <hyperlink ref="E9:L9" location="'１（４）原油処理及び原油在庫'!A1" display="　①原油処理 / Crude Oil Processing" xr:uid="{00000000-0004-0000-0000-00002E000000}"/>
    <hyperlink ref="E10:L10" location="'１（４）原油処理及び原油在庫'!A42" display="　②原油在庫 / Inventory of Crude Oil" xr:uid="{00000000-0004-0000-0000-00002F000000}"/>
    <hyperlink ref="D18:O18" location="'２（３）石油製品月別国内向販売'!A1" display="（３）石油製品月別国内向販売 / Domestic Sales of Petroleum Products by Month" xr:uid="{00000000-0004-0000-0000-000030000000}"/>
    <hyperlink ref="D42:O42" location="'参考資料４（２）液化天然ガス（ＬＮＧ）国別、月別輸入量'!A1" display="（２）液化天然ガス（ＬＮＧ）国別、月別輸入量 / LNG Monthly Import by Country" xr:uid="{00000000-0004-0000-0000-000031000000}"/>
    <hyperlink ref="D37:S37" location="'参考資料３（５）（６）'!A28" display="（６）原油国別、契約期間別、ＣＩＦ総額（令和3年度） / Import of  Crude Oil Value(CIF) by Country and Contract(Ｆ.Y.2021)" xr:uid="{00000000-0004-0000-0000-000032000000}"/>
    <hyperlink ref="D37:X37" location="'参考資料３（５）（６）'!A27" display="（６）原油国別、契約期間別、ＣＩＦ総額（令和5年度） / Import of  Crude Oil Value(CIF) by Country and Contract(Ｆ.Y.2023)" xr:uid="{00000000-0004-0000-0000-000033000000}"/>
    <hyperlink ref="D39:X39" location="'参考資料３（７）（８）'!A28" display="（８）原油国別船積数量、FOB、運賃総額及び保険料総額（令和5年度） /Import of Crude Oil, Shipped Quantity,FOB,Freight and Insurance by Country (F.Y.2023)" xr:uid="{00000000-0004-0000-0000-000034000000}"/>
  </hyperlinks>
  <pageMargins left="0.70866141732283472" right="0.70866141732283472" top="0.74803149606299213" bottom="0.74803149606299213" header="0.31496062992125984" footer="0.31496062992125984"/>
  <pageSetup paperSize="9" scale="75" orientation="landscape" r:id="rId1"/>
  <colBreaks count="1" manualBreakCount="1">
    <brk id="2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8"/>
  <sheetViews>
    <sheetView view="pageBreakPreview" zoomScaleNormal="100" zoomScaleSheetLayoutView="100" workbookViewId="0">
      <pane xSplit="1" ySplit="3" topLeftCell="B4" activePane="bottomRight" state="frozen"/>
      <selection pane="topRight" activeCell="B1" sqref="B1"/>
      <selection pane="bottomLeft" activeCell="A8" sqref="A8"/>
      <selection pane="bottomRight"/>
    </sheetView>
  </sheetViews>
  <sheetFormatPr defaultRowHeight="24" x14ac:dyDescent="0.25"/>
  <cols>
    <col min="1" max="1" width="16" style="22" customWidth="1"/>
    <col min="2" max="5" width="9.5" style="22" customWidth="1"/>
    <col min="6" max="6" width="9.625" style="22" customWidth="1"/>
    <col min="7" max="18" width="9.5" style="22" customWidth="1"/>
    <col min="19" max="16384" width="9" style="22"/>
  </cols>
  <sheetData>
    <row r="1" spans="1:18" ht="9" customHeight="1" x14ac:dyDescent="0.25"/>
    <row r="2" spans="1:18" ht="15.75" customHeight="1" x14ac:dyDescent="0.25">
      <c r="A2" s="21" t="s">
        <v>584</v>
      </c>
      <c r="B2" s="557"/>
      <c r="C2" s="558"/>
      <c r="D2" s="558"/>
      <c r="E2" s="558"/>
      <c r="F2" s="558"/>
    </row>
    <row r="3" spans="1:18" ht="16.5" customHeight="1" x14ac:dyDescent="0.25">
      <c r="A3" s="21" t="s">
        <v>585</v>
      </c>
      <c r="B3" s="646"/>
      <c r="C3" s="646"/>
      <c r="D3" s="646"/>
      <c r="E3" s="646"/>
      <c r="F3" s="646"/>
      <c r="G3" s="647"/>
      <c r="H3" s="647"/>
      <c r="I3" s="648" t="s">
        <v>434</v>
      </c>
      <c r="J3" s="647"/>
      <c r="K3" s="647"/>
      <c r="L3" s="647"/>
      <c r="M3" s="647"/>
      <c r="N3" s="647"/>
      <c r="O3" s="647"/>
      <c r="P3" s="647"/>
      <c r="Q3" s="635" t="s">
        <v>435</v>
      </c>
      <c r="R3" s="635"/>
    </row>
    <row r="4" spans="1:18" s="26" customFormat="1" ht="15" customHeight="1" x14ac:dyDescent="0.15">
      <c r="A4" s="649"/>
      <c r="B4" s="650"/>
      <c r="C4" s="651"/>
      <c r="D4" s="649"/>
      <c r="E4" s="651"/>
      <c r="F4" s="652"/>
      <c r="G4" s="652"/>
      <c r="H4" s="652"/>
      <c r="I4" s="652"/>
      <c r="J4" s="649"/>
      <c r="K4" s="651"/>
      <c r="L4" s="652"/>
      <c r="M4" s="652"/>
      <c r="N4" s="652"/>
      <c r="O4" s="652"/>
      <c r="P4" s="652"/>
      <c r="Q4" s="652"/>
      <c r="R4" s="1027" t="s">
        <v>79</v>
      </c>
    </row>
    <row r="5" spans="1:18" s="29" customFormat="1" ht="22.5" customHeight="1" x14ac:dyDescent="0.15">
      <c r="A5" s="27" t="s">
        <v>172</v>
      </c>
      <c r="B5" s="637" t="s">
        <v>55</v>
      </c>
      <c r="C5" s="28" t="s">
        <v>80</v>
      </c>
      <c r="D5" s="653" t="s">
        <v>69</v>
      </c>
      <c r="E5" s="637" t="s">
        <v>81</v>
      </c>
      <c r="F5" s="653" t="s">
        <v>773</v>
      </c>
      <c r="G5" s="653" t="s">
        <v>586</v>
      </c>
      <c r="H5" s="653" t="s">
        <v>59</v>
      </c>
      <c r="I5" s="653" t="s">
        <v>11</v>
      </c>
      <c r="J5" s="653" t="s">
        <v>56</v>
      </c>
      <c r="K5" s="637" t="s">
        <v>82</v>
      </c>
      <c r="L5" s="653" t="s">
        <v>12</v>
      </c>
      <c r="M5" s="653" t="s">
        <v>13</v>
      </c>
      <c r="N5" s="653" t="s">
        <v>423</v>
      </c>
      <c r="O5" s="653" t="s">
        <v>28</v>
      </c>
      <c r="P5" s="653" t="s">
        <v>29</v>
      </c>
      <c r="Q5" s="654" t="s">
        <v>95</v>
      </c>
      <c r="R5" s="1028"/>
    </row>
    <row r="6" spans="1:18" s="29" customFormat="1" ht="30" customHeight="1" x14ac:dyDescent="0.15">
      <c r="A6" s="655"/>
      <c r="B6" s="638" t="s">
        <v>54</v>
      </c>
      <c r="C6" s="638" t="s">
        <v>83</v>
      </c>
      <c r="D6" s="638" t="s">
        <v>70</v>
      </c>
      <c r="E6" s="638" t="s">
        <v>84</v>
      </c>
      <c r="F6" s="638" t="s">
        <v>38</v>
      </c>
      <c r="G6" s="638" t="s">
        <v>587</v>
      </c>
      <c r="H6" s="638" t="s">
        <v>18</v>
      </c>
      <c r="I6" s="638" t="s">
        <v>19</v>
      </c>
      <c r="J6" s="638" t="s">
        <v>20</v>
      </c>
      <c r="K6" s="638" t="s">
        <v>43</v>
      </c>
      <c r="L6" s="638" t="s">
        <v>21</v>
      </c>
      <c r="M6" s="638" t="s">
        <v>22</v>
      </c>
      <c r="N6" s="638" t="s">
        <v>424</v>
      </c>
      <c r="O6" s="638" t="s">
        <v>33</v>
      </c>
      <c r="P6" s="638" t="s">
        <v>34</v>
      </c>
      <c r="Q6" s="656" t="s">
        <v>100</v>
      </c>
      <c r="R6" s="1029"/>
    </row>
    <row r="7" spans="1:18" s="30" customFormat="1" ht="10.5" customHeight="1" x14ac:dyDescent="0.15">
      <c r="A7" s="657" t="s">
        <v>985</v>
      </c>
      <c r="B7" s="658">
        <v>175488885</v>
      </c>
      <c r="C7" s="659">
        <v>1092458</v>
      </c>
      <c r="D7" s="659">
        <v>1092458</v>
      </c>
      <c r="E7" s="659">
        <v>1827860</v>
      </c>
      <c r="F7" s="659">
        <v>586629</v>
      </c>
      <c r="G7" s="659" t="s">
        <v>986</v>
      </c>
      <c r="H7" s="659">
        <v>751894</v>
      </c>
      <c r="I7" s="659">
        <v>368422</v>
      </c>
      <c r="J7" s="659">
        <v>120915</v>
      </c>
      <c r="K7" s="659">
        <v>156043026</v>
      </c>
      <c r="L7" s="659">
        <v>2719294</v>
      </c>
      <c r="M7" s="659">
        <v>2465339</v>
      </c>
      <c r="N7" s="659">
        <v>2911341</v>
      </c>
      <c r="O7" s="659">
        <v>61967631</v>
      </c>
      <c r="P7" s="659">
        <v>14692639</v>
      </c>
      <c r="Q7" s="659" t="s">
        <v>986</v>
      </c>
      <c r="R7" s="660" t="s">
        <v>485</v>
      </c>
    </row>
    <row r="8" spans="1:18" s="30" customFormat="1" ht="10.5" customHeight="1" x14ac:dyDescent="0.15">
      <c r="A8" s="559" t="s">
        <v>634</v>
      </c>
      <c r="B8" s="31">
        <v>143879667</v>
      </c>
      <c r="C8" s="30">
        <v>998907</v>
      </c>
      <c r="D8" s="30">
        <v>998907</v>
      </c>
      <c r="E8" s="30">
        <v>1168949</v>
      </c>
      <c r="F8" s="30">
        <v>397479</v>
      </c>
      <c r="G8" s="30">
        <v>11177</v>
      </c>
      <c r="H8" s="30">
        <v>667645</v>
      </c>
      <c r="I8" s="30">
        <v>92648</v>
      </c>
      <c r="J8" s="30" t="s">
        <v>986</v>
      </c>
      <c r="K8" s="30">
        <v>132362206</v>
      </c>
      <c r="L8" s="30" t="s">
        <v>986</v>
      </c>
      <c r="M8" s="30">
        <v>788821</v>
      </c>
      <c r="N8" s="30">
        <v>2040752</v>
      </c>
      <c r="O8" s="30">
        <v>56773606</v>
      </c>
      <c r="P8" s="30">
        <v>13223305</v>
      </c>
      <c r="Q8" s="30">
        <v>197107</v>
      </c>
      <c r="R8" s="32" t="s">
        <v>588</v>
      </c>
    </row>
    <row r="9" spans="1:18" s="30" customFormat="1" ht="10.5" customHeight="1" x14ac:dyDescent="0.15">
      <c r="A9" s="559" t="s">
        <v>635</v>
      </c>
      <c r="B9" s="31">
        <v>144662684</v>
      </c>
      <c r="C9" s="30">
        <v>166004</v>
      </c>
      <c r="D9" s="30">
        <v>166004</v>
      </c>
      <c r="E9" s="30">
        <v>1244456</v>
      </c>
      <c r="F9" s="30">
        <v>321963</v>
      </c>
      <c r="G9" s="30">
        <v>49688</v>
      </c>
      <c r="H9" s="30">
        <v>516977</v>
      </c>
      <c r="I9" s="30">
        <v>182256</v>
      </c>
      <c r="J9" s="30">
        <v>173572</v>
      </c>
      <c r="K9" s="30">
        <v>134068585</v>
      </c>
      <c r="L9" s="30" t="s">
        <v>986</v>
      </c>
      <c r="M9" s="30">
        <v>157960</v>
      </c>
      <c r="N9" s="30">
        <v>2050509</v>
      </c>
      <c r="O9" s="30">
        <v>56525615</v>
      </c>
      <c r="P9" s="30">
        <v>12105867</v>
      </c>
      <c r="Q9" s="30">
        <v>465530</v>
      </c>
      <c r="R9" s="32" t="s">
        <v>636</v>
      </c>
    </row>
    <row r="10" spans="1:18" s="30" customFormat="1" ht="10.5" customHeight="1" x14ac:dyDescent="0.15">
      <c r="A10" s="559" t="s">
        <v>774</v>
      </c>
      <c r="B10" s="31">
        <v>158641580</v>
      </c>
      <c r="C10" s="30">
        <v>172335</v>
      </c>
      <c r="D10" s="30">
        <v>172335</v>
      </c>
      <c r="E10" s="30">
        <v>1189732</v>
      </c>
      <c r="F10" s="30">
        <v>607817</v>
      </c>
      <c r="G10" s="30">
        <v>56634</v>
      </c>
      <c r="H10" s="30">
        <v>278902</v>
      </c>
      <c r="I10" s="30">
        <v>187647</v>
      </c>
      <c r="J10" s="30">
        <v>58732</v>
      </c>
      <c r="K10" s="30">
        <v>149271694</v>
      </c>
      <c r="L10" s="30" t="s">
        <v>986</v>
      </c>
      <c r="M10" s="30" t="s">
        <v>986</v>
      </c>
      <c r="N10" s="30">
        <v>2028574</v>
      </c>
      <c r="O10" s="30">
        <v>60374739</v>
      </c>
      <c r="P10" s="30">
        <v>12823959</v>
      </c>
      <c r="Q10" s="30">
        <v>496437</v>
      </c>
      <c r="R10" s="32" t="s">
        <v>775</v>
      </c>
    </row>
    <row r="11" spans="1:18" s="30" customFormat="1" ht="10.5" customHeight="1" x14ac:dyDescent="0.15">
      <c r="A11" s="559" t="s">
        <v>987</v>
      </c>
      <c r="B11" s="31">
        <v>147661066</v>
      </c>
      <c r="C11" s="30" t="s">
        <v>986</v>
      </c>
      <c r="D11" s="30" t="s">
        <v>986</v>
      </c>
      <c r="E11" s="30">
        <v>1046476</v>
      </c>
      <c r="F11" s="30">
        <v>343702</v>
      </c>
      <c r="G11" s="30" t="s">
        <v>986</v>
      </c>
      <c r="H11" s="30">
        <v>176538</v>
      </c>
      <c r="I11" s="30">
        <v>236405</v>
      </c>
      <c r="J11" s="30">
        <v>289831</v>
      </c>
      <c r="K11" s="30">
        <v>140477368</v>
      </c>
      <c r="L11" s="30" t="s">
        <v>986</v>
      </c>
      <c r="M11" s="30" t="s">
        <v>986</v>
      </c>
      <c r="N11" s="30">
        <v>546392</v>
      </c>
      <c r="O11" s="30">
        <v>59661688</v>
      </c>
      <c r="P11" s="30">
        <v>12970854</v>
      </c>
      <c r="Q11" s="30">
        <v>655426</v>
      </c>
      <c r="R11" s="32" t="s">
        <v>988</v>
      </c>
    </row>
    <row r="12" spans="1:18" s="30" customFormat="1" ht="10.5" customHeight="1" x14ac:dyDescent="0.15">
      <c r="A12" s="578"/>
      <c r="B12" s="31"/>
      <c r="R12" s="32"/>
    </row>
    <row r="13" spans="1:18" s="30" customFormat="1" ht="10.5" customHeight="1" x14ac:dyDescent="0.15">
      <c r="A13" s="559" t="s">
        <v>989</v>
      </c>
      <c r="B13" s="31">
        <v>156562747</v>
      </c>
      <c r="C13" s="30" t="s">
        <v>986</v>
      </c>
      <c r="D13" s="30" t="s">
        <v>986</v>
      </c>
      <c r="E13" s="30">
        <v>1118632</v>
      </c>
      <c r="F13" s="30">
        <v>556421</v>
      </c>
      <c r="G13" s="30">
        <v>49826</v>
      </c>
      <c r="H13" s="30">
        <v>215933</v>
      </c>
      <c r="I13" s="30">
        <v>191121</v>
      </c>
      <c r="J13" s="30">
        <v>105331</v>
      </c>
      <c r="K13" s="30">
        <v>149059214</v>
      </c>
      <c r="L13" s="30" t="s">
        <v>986</v>
      </c>
      <c r="M13" s="30" t="s">
        <v>986</v>
      </c>
      <c r="N13" s="30">
        <v>1521617</v>
      </c>
      <c r="O13" s="30">
        <v>61385051</v>
      </c>
      <c r="P13" s="30">
        <v>13374489</v>
      </c>
      <c r="Q13" s="30">
        <v>515796</v>
      </c>
      <c r="R13" s="32" t="s">
        <v>776</v>
      </c>
    </row>
    <row r="14" spans="1:18" s="30" customFormat="1" ht="10.5" customHeight="1" x14ac:dyDescent="0.15">
      <c r="A14" s="559" t="s">
        <v>990</v>
      </c>
      <c r="B14" s="31">
        <v>144801793</v>
      </c>
      <c r="C14" s="30" t="s">
        <v>986</v>
      </c>
      <c r="D14" s="30" t="s">
        <v>986</v>
      </c>
      <c r="E14" s="30">
        <v>920288</v>
      </c>
      <c r="F14" s="30">
        <v>347509</v>
      </c>
      <c r="G14" s="30" t="s">
        <v>986</v>
      </c>
      <c r="H14" s="30">
        <v>113103</v>
      </c>
      <c r="I14" s="30">
        <v>190784</v>
      </c>
      <c r="J14" s="30">
        <v>268892</v>
      </c>
      <c r="K14" s="30">
        <v>137163285</v>
      </c>
      <c r="L14" s="30" t="s">
        <v>986</v>
      </c>
      <c r="M14" s="30" t="s">
        <v>986</v>
      </c>
      <c r="N14" s="30">
        <v>382107</v>
      </c>
      <c r="O14" s="30">
        <v>57049359</v>
      </c>
      <c r="P14" s="30">
        <v>11818381</v>
      </c>
      <c r="Q14" s="30">
        <v>634018</v>
      </c>
      <c r="R14" s="32" t="s">
        <v>991</v>
      </c>
    </row>
    <row r="15" spans="1:18" s="30" customFormat="1" ht="10.5" customHeight="1" x14ac:dyDescent="0.15">
      <c r="A15" s="578"/>
      <c r="B15" s="31"/>
      <c r="R15" s="32"/>
    </row>
    <row r="16" spans="1:18" s="30" customFormat="1" ht="10.5" customHeight="1" x14ac:dyDescent="0.15">
      <c r="A16" s="559" t="s">
        <v>992</v>
      </c>
      <c r="B16" s="31">
        <v>37920597</v>
      </c>
      <c r="C16" s="30" t="s">
        <v>986</v>
      </c>
      <c r="D16" s="30" t="s">
        <v>986</v>
      </c>
      <c r="E16" s="30">
        <v>246500</v>
      </c>
      <c r="F16" s="30">
        <v>41019</v>
      </c>
      <c r="G16" s="30" t="s">
        <v>986</v>
      </c>
      <c r="H16" s="30">
        <v>63435</v>
      </c>
      <c r="I16" s="30">
        <v>95447</v>
      </c>
      <c r="J16" s="30">
        <v>46599</v>
      </c>
      <c r="K16" s="30">
        <v>36516213</v>
      </c>
      <c r="L16" s="30" t="s">
        <v>986</v>
      </c>
      <c r="M16" s="30" t="s">
        <v>986</v>
      </c>
      <c r="N16" s="30">
        <v>239674</v>
      </c>
      <c r="O16" s="30">
        <v>16373803</v>
      </c>
      <c r="P16" s="30">
        <v>3670285</v>
      </c>
      <c r="Q16" s="30">
        <v>159517</v>
      </c>
      <c r="R16" s="32" t="s">
        <v>777</v>
      </c>
    </row>
    <row r="17" spans="1:18" s="30" customFormat="1" ht="10.5" customHeight="1" x14ac:dyDescent="0.15">
      <c r="A17" s="559" t="s">
        <v>637</v>
      </c>
      <c r="B17" s="31">
        <v>36629786</v>
      </c>
      <c r="C17" s="30" t="s">
        <v>986</v>
      </c>
      <c r="D17" s="30" t="s">
        <v>986</v>
      </c>
      <c r="E17" s="30">
        <v>245585</v>
      </c>
      <c r="F17" s="30" t="s">
        <v>986</v>
      </c>
      <c r="G17" s="30" t="s">
        <v>986</v>
      </c>
      <c r="H17" s="30">
        <v>81442</v>
      </c>
      <c r="I17" s="30">
        <v>45743</v>
      </c>
      <c r="J17" s="30">
        <v>118400</v>
      </c>
      <c r="K17" s="30">
        <v>35321623</v>
      </c>
      <c r="L17" s="30" t="s">
        <v>986</v>
      </c>
      <c r="M17" s="30" t="s">
        <v>986</v>
      </c>
      <c r="N17" s="30">
        <v>76401</v>
      </c>
      <c r="O17" s="30">
        <v>14001869</v>
      </c>
      <c r="P17" s="30">
        <v>3338773</v>
      </c>
      <c r="Q17" s="30">
        <v>356732</v>
      </c>
      <c r="R17" s="32" t="s">
        <v>85</v>
      </c>
    </row>
    <row r="18" spans="1:18" s="30" customFormat="1" ht="10.5" customHeight="1" x14ac:dyDescent="0.15">
      <c r="A18" s="559" t="s">
        <v>638</v>
      </c>
      <c r="B18" s="31">
        <v>36272360</v>
      </c>
      <c r="C18" s="30" t="s">
        <v>986</v>
      </c>
      <c r="D18" s="30" t="s">
        <v>986</v>
      </c>
      <c r="E18" s="30">
        <v>287771</v>
      </c>
      <c r="F18" s="30">
        <v>215407</v>
      </c>
      <c r="G18" s="30" t="s">
        <v>986</v>
      </c>
      <c r="H18" s="30" t="s">
        <v>986</v>
      </c>
      <c r="I18" s="30">
        <v>47643</v>
      </c>
      <c r="J18" s="30">
        <v>24721</v>
      </c>
      <c r="K18" s="30">
        <v>34554058</v>
      </c>
      <c r="L18" s="30" t="s">
        <v>986</v>
      </c>
      <c r="M18" s="30" t="s">
        <v>986</v>
      </c>
      <c r="N18" s="30">
        <v>152890</v>
      </c>
      <c r="O18" s="30">
        <v>13424289</v>
      </c>
      <c r="P18" s="30">
        <v>3301044</v>
      </c>
      <c r="Q18" s="30">
        <v>69506</v>
      </c>
      <c r="R18" s="32" t="s">
        <v>86</v>
      </c>
    </row>
    <row r="19" spans="1:18" s="30" customFormat="1" ht="10.5" customHeight="1" x14ac:dyDescent="0.15">
      <c r="A19" s="559" t="s">
        <v>639</v>
      </c>
      <c r="B19" s="31">
        <v>36838323</v>
      </c>
      <c r="C19" s="30" t="s">
        <v>986</v>
      </c>
      <c r="D19" s="30" t="s">
        <v>986</v>
      </c>
      <c r="E19" s="30">
        <v>266620</v>
      </c>
      <c r="F19" s="30">
        <v>87276</v>
      </c>
      <c r="G19" s="30" t="s">
        <v>986</v>
      </c>
      <c r="H19" s="30">
        <v>31661</v>
      </c>
      <c r="I19" s="30">
        <v>47572</v>
      </c>
      <c r="J19" s="30">
        <v>100111</v>
      </c>
      <c r="K19" s="30">
        <v>34085474</v>
      </c>
      <c r="L19" s="30" t="s">
        <v>986</v>
      </c>
      <c r="M19" s="30" t="s">
        <v>986</v>
      </c>
      <c r="N19" s="30">
        <v>77427</v>
      </c>
      <c r="O19" s="30">
        <v>15861727</v>
      </c>
      <c r="P19" s="30">
        <v>2660752</v>
      </c>
      <c r="Q19" s="30">
        <v>69671</v>
      </c>
      <c r="R19" s="32" t="s">
        <v>87</v>
      </c>
    </row>
    <row r="20" spans="1:18" s="30" customFormat="1" ht="10.5" customHeight="1" x14ac:dyDescent="0.15">
      <c r="A20" s="559" t="s">
        <v>993</v>
      </c>
      <c r="B20" s="31">
        <v>35061324</v>
      </c>
      <c r="C20" s="30" t="s">
        <v>986</v>
      </c>
      <c r="D20" s="30" t="s">
        <v>986</v>
      </c>
      <c r="E20" s="30">
        <v>120312</v>
      </c>
      <c r="F20" s="30">
        <v>44826</v>
      </c>
      <c r="G20" s="30" t="s">
        <v>986</v>
      </c>
      <c r="H20" s="30" t="s">
        <v>986</v>
      </c>
      <c r="I20" s="30">
        <v>49826</v>
      </c>
      <c r="J20" s="30">
        <v>25660</v>
      </c>
      <c r="K20" s="30">
        <v>33202130</v>
      </c>
      <c r="L20" s="30" t="s">
        <v>986</v>
      </c>
      <c r="M20" s="30" t="s">
        <v>986</v>
      </c>
      <c r="N20" s="30">
        <v>75389</v>
      </c>
      <c r="O20" s="30">
        <v>13761474</v>
      </c>
      <c r="P20" s="30">
        <v>2517812</v>
      </c>
      <c r="Q20" s="30">
        <v>138109</v>
      </c>
      <c r="R20" s="32" t="s">
        <v>994</v>
      </c>
    </row>
    <row r="21" spans="1:18" s="30" customFormat="1" ht="10.5" customHeight="1" x14ac:dyDescent="0.15">
      <c r="A21" s="578"/>
      <c r="B21" s="31"/>
      <c r="R21" s="32"/>
    </row>
    <row r="22" spans="1:18" s="30" customFormat="1" ht="10.5" customHeight="1" x14ac:dyDescent="0.15">
      <c r="A22" s="559" t="s">
        <v>995</v>
      </c>
      <c r="B22" s="31">
        <v>13423041</v>
      </c>
      <c r="C22" s="30" t="s">
        <v>986</v>
      </c>
      <c r="D22" s="30" t="s">
        <v>986</v>
      </c>
      <c r="E22" s="30">
        <v>53836</v>
      </c>
      <c r="F22" s="30" t="s">
        <v>986</v>
      </c>
      <c r="G22" s="30" t="s">
        <v>986</v>
      </c>
      <c r="H22" s="30">
        <v>31736</v>
      </c>
      <c r="I22" s="30" t="s">
        <v>986</v>
      </c>
      <c r="J22" s="30">
        <v>22100</v>
      </c>
      <c r="K22" s="30">
        <v>12675646</v>
      </c>
      <c r="L22" s="30" t="s">
        <v>986</v>
      </c>
      <c r="M22" s="30" t="s">
        <v>986</v>
      </c>
      <c r="N22" s="30" t="s">
        <v>986</v>
      </c>
      <c r="O22" s="30">
        <v>5898177</v>
      </c>
      <c r="P22" s="30">
        <v>1343308</v>
      </c>
      <c r="Q22" s="30">
        <v>71501</v>
      </c>
      <c r="R22" s="32" t="s">
        <v>778</v>
      </c>
    </row>
    <row r="23" spans="1:18" s="30" customFormat="1" ht="10.5" customHeight="1" x14ac:dyDescent="0.15">
      <c r="A23" s="559" t="s">
        <v>640</v>
      </c>
      <c r="B23" s="31">
        <v>12141784</v>
      </c>
      <c r="C23" s="30" t="s">
        <v>986</v>
      </c>
      <c r="D23" s="30" t="s">
        <v>986</v>
      </c>
      <c r="E23" s="30">
        <v>79422</v>
      </c>
      <c r="F23" s="30" t="s">
        <v>986</v>
      </c>
      <c r="G23" s="30" t="s">
        <v>986</v>
      </c>
      <c r="H23" s="30">
        <v>31699</v>
      </c>
      <c r="I23" s="30">
        <v>47723</v>
      </c>
      <c r="J23" s="30" t="s">
        <v>986</v>
      </c>
      <c r="K23" s="30">
        <v>11910643</v>
      </c>
      <c r="L23" s="30" t="s">
        <v>986</v>
      </c>
      <c r="M23" s="30" t="s">
        <v>986</v>
      </c>
      <c r="N23" s="30">
        <v>160081</v>
      </c>
      <c r="O23" s="30">
        <v>5264149</v>
      </c>
      <c r="P23" s="30">
        <v>1284165</v>
      </c>
      <c r="Q23" s="30" t="s">
        <v>986</v>
      </c>
      <c r="R23" s="32" t="s">
        <v>73</v>
      </c>
    </row>
    <row r="24" spans="1:18" s="30" customFormat="1" ht="10.5" customHeight="1" x14ac:dyDescent="0.15">
      <c r="A24" s="559" t="s">
        <v>641</v>
      </c>
      <c r="B24" s="31">
        <v>12355772</v>
      </c>
      <c r="C24" s="30" t="s">
        <v>986</v>
      </c>
      <c r="D24" s="30" t="s">
        <v>986</v>
      </c>
      <c r="E24" s="30">
        <v>113242</v>
      </c>
      <c r="F24" s="30">
        <v>41019</v>
      </c>
      <c r="G24" s="30" t="s">
        <v>986</v>
      </c>
      <c r="H24" s="30" t="s">
        <v>986</v>
      </c>
      <c r="I24" s="30">
        <v>47724</v>
      </c>
      <c r="J24" s="30">
        <v>24499</v>
      </c>
      <c r="K24" s="30">
        <v>11929924</v>
      </c>
      <c r="L24" s="30" t="s">
        <v>986</v>
      </c>
      <c r="M24" s="30" t="s">
        <v>986</v>
      </c>
      <c r="N24" s="30">
        <v>79593</v>
      </c>
      <c r="O24" s="30">
        <v>5211477</v>
      </c>
      <c r="P24" s="30">
        <v>1042812</v>
      </c>
      <c r="Q24" s="30">
        <v>88016</v>
      </c>
      <c r="R24" s="32" t="s">
        <v>74</v>
      </c>
    </row>
    <row r="25" spans="1:18" s="30" customFormat="1" ht="10.5" customHeight="1" x14ac:dyDescent="0.15">
      <c r="A25" s="559" t="s">
        <v>642</v>
      </c>
      <c r="B25" s="31">
        <v>13692802</v>
      </c>
      <c r="C25" s="30" t="s">
        <v>986</v>
      </c>
      <c r="D25" s="30" t="s">
        <v>986</v>
      </c>
      <c r="E25" s="30">
        <v>82252</v>
      </c>
      <c r="F25" s="30" t="s">
        <v>986</v>
      </c>
      <c r="G25" s="30" t="s">
        <v>986</v>
      </c>
      <c r="H25" s="30">
        <v>49784</v>
      </c>
      <c r="I25" s="30" t="s">
        <v>986</v>
      </c>
      <c r="J25" s="30">
        <v>32468</v>
      </c>
      <c r="K25" s="30">
        <v>13039799</v>
      </c>
      <c r="L25" s="30" t="s">
        <v>986</v>
      </c>
      <c r="M25" s="30" t="s">
        <v>986</v>
      </c>
      <c r="N25" s="30" t="s">
        <v>986</v>
      </c>
      <c r="O25" s="30">
        <v>4833606</v>
      </c>
      <c r="P25" s="30">
        <v>1219695</v>
      </c>
      <c r="Q25" s="30">
        <v>128863</v>
      </c>
      <c r="R25" s="32" t="s">
        <v>75</v>
      </c>
    </row>
    <row r="26" spans="1:18" s="30" customFormat="1" ht="10.5" customHeight="1" x14ac:dyDescent="0.15">
      <c r="A26" s="559" t="s">
        <v>643</v>
      </c>
      <c r="B26" s="31">
        <v>12061908</v>
      </c>
      <c r="C26" s="30" t="s">
        <v>986</v>
      </c>
      <c r="D26" s="30" t="s">
        <v>986</v>
      </c>
      <c r="E26" s="30">
        <v>31658</v>
      </c>
      <c r="F26" s="30" t="s">
        <v>986</v>
      </c>
      <c r="G26" s="30" t="s">
        <v>986</v>
      </c>
      <c r="H26" s="30">
        <v>31658</v>
      </c>
      <c r="I26" s="30" t="s">
        <v>986</v>
      </c>
      <c r="J26" s="30" t="s">
        <v>986</v>
      </c>
      <c r="K26" s="30">
        <v>11694989</v>
      </c>
      <c r="L26" s="30" t="s">
        <v>986</v>
      </c>
      <c r="M26" s="30" t="s">
        <v>986</v>
      </c>
      <c r="N26" s="30">
        <v>76401</v>
      </c>
      <c r="O26" s="30">
        <v>4661184</v>
      </c>
      <c r="P26" s="30">
        <v>1022241</v>
      </c>
      <c r="Q26" s="30" t="s">
        <v>986</v>
      </c>
      <c r="R26" s="33" t="s">
        <v>88</v>
      </c>
    </row>
    <row r="27" spans="1:18" s="30" customFormat="1" ht="10.5" customHeight="1" x14ac:dyDescent="0.15">
      <c r="A27" s="559" t="s">
        <v>644</v>
      </c>
      <c r="B27" s="31">
        <v>10875076</v>
      </c>
      <c r="C27" s="30" t="s">
        <v>986</v>
      </c>
      <c r="D27" s="30" t="s">
        <v>986</v>
      </c>
      <c r="E27" s="30">
        <v>131675</v>
      </c>
      <c r="F27" s="30" t="s">
        <v>986</v>
      </c>
      <c r="G27" s="30" t="s">
        <v>986</v>
      </c>
      <c r="H27" s="30" t="s">
        <v>986</v>
      </c>
      <c r="I27" s="30">
        <v>45743</v>
      </c>
      <c r="J27" s="30">
        <v>85932</v>
      </c>
      <c r="K27" s="30">
        <v>10586835</v>
      </c>
      <c r="L27" s="30" t="s">
        <v>986</v>
      </c>
      <c r="M27" s="30" t="s">
        <v>986</v>
      </c>
      <c r="N27" s="30" t="s">
        <v>986</v>
      </c>
      <c r="O27" s="30">
        <v>4507079</v>
      </c>
      <c r="P27" s="30">
        <v>1096837</v>
      </c>
      <c r="Q27" s="30">
        <v>227869</v>
      </c>
      <c r="R27" s="32" t="s">
        <v>89</v>
      </c>
    </row>
    <row r="28" spans="1:18" s="30" customFormat="1" ht="10.5" customHeight="1" x14ac:dyDescent="0.15">
      <c r="A28" s="559" t="s">
        <v>645</v>
      </c>
      <c r="B28" s="31">
        <v>11525824</v>
      </c>
      <c r="C28" s="30" t="s">
        <v>986</v>
      </c>
      <c r="D28" s="30" t="s">
        <v>986</v>
      </c>
      <c r="E28" s="30">
        <v>104420</v>
      </c>
      <c r="F28" s="30">
        <v>104420</v>
      </c>
      <c r="G28" s="30" t="s">
        <v>986</v>
      </c>
      <c r="H28" s="30" t="s">
        <v>986</v>
      </c>
      <c r="I28" s="30" t="s">
        <v>986</v>
      </c>
      <c r="J28" s="30" t="s">
        <v>986</v>
      </c>
      <c r="K28" s="30">
        <v>10969589</v>
      </c>
      <c r="L28" s="30" t="s">
        <v>986</v>
      </c>
      <c r="M28" s="30" t="s">
        <v>986</v>
      </c>
      <c r="N28" s="30">
        <v>77108</v>
      </c>
      <c r="O28" s="30">
        <v>4382253</v>
      </c>
      <c r="P28" s="30">
        <v>1205270</v>
      </c>
      <c r="Q28" s="30">
        <v>51493</v>
      </c>
      <c r="R28" s="32" t="s">
        <v>90</v>
      </c>
    </row>
    <row r="29" spans="1:18" s="30" customFormat="1" ht="10.5" customHeight="1" x14ac:dyDescent="0.15">
      <c r="A29" s="559" t="s">
        <v>646</v>
      </c>
      <c r="B29" s="31">
        <v>12310235</v>
      </c>
      <c r="C29" s="30" t="s">
        <v>986</v>
      </c>
      <c r="D29" s="30" t="s">
        <v>986</v>
      </c>
      <c r="E29" s="30">
        <v>95396</v>
      </c>
      <c r="F29" s="30">
        <v>47753</v>
      </c>
      <c r="G29" s="30" t="s">
        <v>986</v>
      </c>
      <c r="H29" s="30" t="s">
        <v>986</v>
      </c>
      <c r="I29" s="30">
        <v>47643</v>
      </c>
      <c r="J29" s="30" t="s">
        <v>986</v>
      </c>
      <c r="K29" s="30">
        <v>11641111</v>
      </c>
      <c r="L29" s="30" t="s">
        <v>986</v>
      </c>
      <c r="M29" s="30" t="s">
        <v>986</v>
      </c>
      <c r="N29" s="30">
        <v>75782</v>
      </c>
      <c r="O29" s="30">
        <v>4433958</v>
      </c>
      <c r="P29" s="30">
        <v>744502</v>
      </c>
      <c r="Q29" s="30">
        <v>18013</v>
      </c>
      <c r="R29" s="32" t="s">
        <v>91</v>
      </c>
    </row>
    <row r="30" spans="1:18" s="30" customFormat="1" ht="10.5" customHeight="1" x14ac:dyDescent="0.15">
      <c r="A30" s="559" t="s">
        <v>647</v>
      </c>
      <c r="B30" s="31">
        <v>12436301</v>
      </c>
      <c r="C30" s="30" t="s">
        <v>986</v>
      </c>
      <c r="D30" s="30" t="s">
        <v>986</v>
      </c>
      <c r="E30" s="30">
        <v>87955</v>
      </c>
      <c r="F30" s="30">
        <v>63234</v>
      </c>
      <c r="G30" s="30" t="s">
        <v>986</v>
      </c>
      <c r="H30" s="30" t="s">
        <v>986</v>
      </c>
      <c r="I30" s="30" t="s">
        <v>986</v>
      </c>
      <c r="J30" s="30">
        <v>24721</v>
      </c>
      <c r="K30" s="30">
        <v>11943358</v>
      </c>
      <c r="L30" s="30" t="s">
        <v>986</v>
      </c>
      <c r="M30" s="30" t="s">
        <v>986</v>
      </c>
      <c r="N30" s="30" t="s">
        <v>986</v>
      </c>
      <c r="O30" s="30">
        <v>4608078</v>
      </c>
      <c r="P30" s="30">
        <v>1351272</v>
      </c>
      <c r="Q30" s="30" t="s">
        <v>986</v>
      </c>
      <c r="R30" s="32" t="s">
        <v>92</v>
      </c>
    </row>
    <row r="31" spans="1:18" s="30" customFormat="1" ht="10.5" customHeight="1" x14ac:dyDescent="0.15">
      <c r="A31" s="559" t="s">
        <v>648</v>
      </c>
      <c r="B31" s="31">
        <v>11374575</v>
      </c>
      <c r="C31" s="30" t="s">
        <v>986</v>
      </c>
      <c r="D31" s="30" t="s">
        <v>986</v>
      </c>
      <c r="E31" s="30">
        <v>143825</v>
      </c>
      <c r="F31" s="30">
        <v>87276</v>
      </c>
      <c r="G31" s="30" t="s">
        <v>986</v>
      </c>
      <c r="H31" s="30">
        <v>31661</v>
      </c>
      <c r="I31" s="30" t="s">
        <v>986</v>
      </c>
      <c r="J31" s="30">
        <v>24888</v>
      </c>
      <c r="K31" s="30">
        <v>10468389</v>
      </c>
      <c r="L31" s="30" t="s">
        <v>986</v>
      </c>
      <c r="M31" s="30" t="s">
        <v>986</v>
      </c>
      <c r="N31" s="30">
        <v>77427</v>
      </c>
      <c r="O31" s="30">
        <v>4821564</v>
      </c>
      <c r="P31" s="30">
        <v>605341</v>
      </c>
      <c r="Q31" s="30" t="s">
        <v>986</v>
      </c>
      <c r="R31" s="32" t="s">
        <v>76</v>
      </c>
    </row>
    <row r="32" spans="1:18" s="30" customFormat="1" ht="10.5" customHeight="1" x14ac:dyDescent="0.15">
      <c r="A32" s="559" t="s">
        <v>649</v>
      </c>
      <c r="B32" s="31">
        <v>12364197</v>
      </c>
      <c r="C32" s="30" t="s">
        <v>986</v>
      </c>
      <c r="D32" s="30" t="s">
        <v>986</v>
      </c>
      <c r="E32" s="30">
        <v>47520</v>
      </c>
      <c r="F32" s="30" t="s">
        <v>986</v>
      </c>
      <c r="G32" s="30" t="s">
        <v>986</v>
      </c>
      <c r="H32" s="30" t="s">
        <v>986</v>
      </c>
      <c r="I32" s="30" t="s">
        <v>986</v>
      </c>
      <c r="J32" s="30">
        <v>47520</v>
      </c>
      <c r="K32" s="30">
        <v>11695107</v>
      </c>
      <c r="L32" s="30" t="s">
        <v>986</v>
      </c>
      <c r="M32" s="30" t="s">
        <v>986</v>
      </c>
      <c r="N32" s="30" t="s">
        <v>986</v>
      </c>
      <c r="O32" s="30">
        <v>5280808</v>
      </c>
      <c r="P32" s="30">
        <v>1113558</v>
      </c>
      <c r="Q32" s="30" t="s">
        <v>986</v>
      </c>
      <c r="R32" s="32" t="s">
        <v>77</v>
      </c>
    </row>
    <row r="33" spans="1:18" s="30" customFormat="1" ht="10.5" customHeight="1" x14ac:dyDescent="0.15">
      <c r="A33" s="559" t="s">
        <v>650</v>
      </c>
      <c r="B33" s="31">
        <v>13099551</v>
      </c>
      <c r="C33" s="30" t="s">
        <v>986</v>
      </c>
      <c r="D33" s="30" t="s">
        <v>986</v>
      </c>
      <c r="E33" s="30">
        <v>75275</v>
      </c>
      <c r="F33" s="30" t="s">
        <v>986</v>
      </c>
      <c r="G33" s="30" t="s">
        <v>986</v>
      </c>
      <c r="H33" s="30" t="s">
        <v>986</v>
      </c>
      <c r="I33" s="30">
        <v>47572</v>
      </c>
      <c r="J33" s="30">
        <v>27703</v>
      </c>
      <c r="K33" s="30">
        <v>11921978</v>
      </c>
      <c r="L33" s="30" t="s">
        <v>986</v>
      </c>
      <c r="M33" s="30" t="s">
        <v>986</v>
      </c>
      <c r="N33" s="30" t="s">
        <v>986</v>
      </c>
      <c r="O33" s="30">
        <v>5759355</v>
      </c>
      <c r="P33" s="30">
        <v>941853</v>
      </c>
      <c r="Q33" s="30">
        <v>69671</v>
      </c>
      <c r="R33" s="32" t="s">
        <v>78</v>
      </c>
    </row>
    <row r="34" spans="1:18" s="30" customFormat="1" ht="10.5" customHeight="1" x14ac:dyDescent="0.15">
      <c r="A34" s="559" t="s">
        <v>996</v>
      </c>
      <c r="B34" s="31">
        <v>11974244</v>
      </c>
      <c r="C34" s="30" t="s">
        <v>986</v>
      </c>
      <c r="D34" s="30" t="s">
        <v>986</v>
      </c>
      <c r="E34" s="30">
        <v>70486</v>
      </c>
      <c r="F34" s="30">
        <v>44826</v>
      </c>
      <c r="G34" s="30" t="s">
        <v>986</v>
      </c>
      <c r="H34" s="30" t="s">
        <v>986</v>
      </c>
      <c r="I34" s="30" t="s">
        <v>986</v>
      </c>
      <c r="J34" s="30">
        <v>25660</v>
      </c>
      <c r="K34" s="30">
        <v>11107105</v>
      </c>
      <c r="L34" s="30" t="s">
        <v>986</v>
      </c>
      <c r="M34" s="30" t="s">
        <v>986</v>
      </c>
      <c r="N34" s="30">
        <v>75389</v>
      </c>
      <c r="O34" s="30">
        <v>4627700</v>
      </c>
      <c r="P34" s="30">
        <v>891798</v>
      </c>
      <c r="Q34" s="30" t="s">
        <v>986</v>
      </c>
      <c r="R34" s="32" t="s">
        <v>997</v>
      </c>
    </row>
    <row r="35" spans="1:18" s="30" customFormat="1" ht="10.5" customHeight="1" x14ac:dyDescent="0.15">
      <c r="A35" s="559" t="s">
        <v>651</v>
      </c>
      <c r="B35" s="31">
        <v>11278671</v>
      </c>
      <c r="C35" s="30" t="s">
        <v>986</v>
      </c>
      <c r="D35" s="30" t="s">
        <v>986</v>
      </c>
      <c r="E35" s="30">
        <v>49826</v>
      </c>
      <c r="F35" s="30" t="s">
        <v>986</v>
      </c>
      <c r="G35" s="30" t="s">
        <v>986</v>
      </c>
      <c r="H35" s="30" t="s">
        <v>986</v>
      </c>
      <c r="I35" s="30">
        <v>49826</v>
      </c>
      <c r="J35" s="30" t="s">
        <v>986</v>
      </c>
      <c r="K35" s="30">
        <v>10911567</v>
      </c>
      <c r="L35" s="30" t="s">
        <v>986</v>
      </c>
      <c r="M35" s="30" t="s">
        <v>986</v>
      </c>
      <c r="N35" s="30" t="s">
        <v>986</v>
      </c>
      <c r="O35" s="30">
        <v>4291013</v>
      </c>
      <c r="P35" s="30">
        <v>813060</v>
      </c>
      <c r="Q35" s="30">
        <v>69977</v>
      </c>
      <c r="R35" s="32" t="s">
        <v>73</v>
      </c>
    </row>
    <row r="36" spans="1:18" s="30" customFormat="1" ht="10.5" customHeight="1" x14ac:dyDescent="0.15">
      <c r="A36" s="661" t="s">
        <v>652</v>
      </c>
      <c r="B36" s="662">
        <v>11808409</v>
      </c>
      <c r="C36" s="663" t="s">
        <v>986</v>
      </c>
      <c r="D36" s="663" t="s">
        <v>986</v>
      </c>
      <c r="E36" s="663" t="s">
        <v>986</v>
      </c>
      <c r="F36" s="663" t="s">
        <v>986</v>
      </c>
      <c r="G36" s="663" t="s">
        <v>986</v>
      </c>
      <c r="H36" s="663" t="s">
        <v>986</v>
      </c>
      <c r="I36" s="663" t="s">
        <v>986</v>
      </c>
      <c r="J36" s="663" t="s">
        <v>986</v>
      </c>
      <c r="K36" s="663">
        <v>11183458</v>
      </c>
      <c r="L36" s="663" t="s">
        <v>986</v>
      </c>
      <c r="M36" s="663" t="s">
        <v>986</v>
      </c>
      <c r="N36" s="663" t="s">
        <v>986</v>
      </c>
      <c r="O36" s="663">
        <v>4842761</v>
      </c>
      <c r="P36" s="663">
        <v>812954</v>
      </c>
      <c r="Q36" s="663">
        <v>68132</v>
      </c>
      <c r="R36" s="664" t="s">
        <v>74</v>
      </c>
    </row>
    <row r="37" spans="1:18" ht="9" customHeight="1" x14ac:dyDescent="0.25"/>
    <row r="38" spans="1:18" ht="13.5" customHeight="1" x14ac:dyDescent="0.25">
      <c r="I38" s="24" t="s">
        <v>93</v>
      </c>
    </row>
    <row r="39" spans="1:18" s="26" customFormat="1" ht="15" customHeight="1" x14ac:dyDescent="0.15">
      <c r="A39" s="649"/>
      <c r="B39" s="665" t="s">
        <v>94</v>
      </c>
      <c r="C39" s="652"/>
      <c r="D39" s="649"/>
      <c r="E39" s="651"/>
      <c r="F39" s="652"/>
      <c r="G39" s="649"/>
      <c r="H39" s="651"/>
      <c r="I39" s="652"/>
      <c r="J39" s="649"/>
      <c r="K39" s="651"/>
      <c r="L39" s="652"/>
      <c r="M39" s="652"/>
      <c r="N39" s="652"/>
      <c r="O39" s="649"/>
      <c r="P39" s="651"/>
      <c r="Q39" s="652"/>
      <c r="R39" s="1027" t="s">
        <v>79</v>
      </c>
    </row>
    <row r="40" spans="1:18" s="29" customFormat="1" ht="22.5" customHeight="1" x14ac:dyDescent="0.15">
      <c r="A40" s="27" t="s">
        <v>172</v>
      </c>
      <c r="B40" s="653" t="s">
        <v>30</v>
      </c>
      <c r="C40" s="653" t="s">
        <v>31</v>
      </c>
      <c r="D40" s="653" t="s">
        <v>779</v>
      </c>
      <c r="E40" s="637" t="s">
        <v>96</v>
      </c>
      <c r="F40" s="653" t="s">
        <v>97</v>
      </c>
      <c r="G40" s="653" t="s">
        <v>32</v>
      </c>
      <c r="H40" s="637" t="s">
        <v>98</v>
      </c>
      <c r="I40" s="653" t="s">
        <v>486</v>
      </c>
      <c r="J40" s="653" t="s">
        <v>71</v>
      </c>
      <c r="K40" s="637" t="s">
        <v>99</v>
      </c>
      <c r="L40" s="653" t="s">
        <v>65</v>
      </c>
      <c r="M40" s="653" t="s">
        <v>67</v>
      </c>
      <c r="N40" s="653" t="s">
        <v>14</v>
      </c>
      <c r="O40" s="653" t="s">
        <v>653</v>
      </c>
      <c r="P40" s="637" t="s">
        <v>105</v>
      </c>
      <c r="Q40" s="654" t="s">
        <v>106</v>
      </c>
      <c r="R40" s="1028"/>
    </row>
    <row r="41" spans="1:18" s="29" customFormat="1" ht="30" customHeight="1" x14ac:dyDescent="0.15">
      <c r="A41" s="655"/>
      <c r="B41" s="638" t="s">
        <v>35</v>
      </c>
      <c r="C41" s="638" t="s">
        <v>36</v>
      </c>
      <c r="D41" s="638" t="s">
        <v>63</v>
      </c>
      <c r="E41" s="638" t="s">
        <v>101</v>
      </c>
      <c r="F41" s="638" t="s">
        <v>102</v>
      </c>
      <c r="G41" s="638" t="s">
        <v>64</v>
      </c>
      <c r="H41" s="638" t="s">
        <v>103</v>
      </c>
      <c r="I41" s="638" t="s">
        <v>487</v>
      </c>
      <c r="J41" s="638" t="s">
        <v>62</v>
      </c>
      <c r="K41" s="638" t="s">
        <v>104</v>
      </c>
      <c r="L41" s="638" t="s">
        <v>66</v>
      </c>
      <c r="M41" s="638" t="s">
        <v>68</v>
      </c>
      <c r="N41" s="638" t="s">
        <v>23</v>
      </c>
      <c r="O41" s="638" t="s">
        <v>654</v>
      </c>
      <c r="P41" s="638" t="s">
        <v>24</v>
      </c>
      <c r="Q41" s="656" t="s">
        <v>109</v>
      </c>
      <c r="R41" s="1029"/>
    </row>
    <row r="42" spans="1:18" s="30" customFormat="1" ht="10.5" customHeight="1" x14ac:dyDescent="0.15">
      <c r="A42" s="657" t="s">
        <v>985</v>
      </c>
      <c r="B42" s="658">
        <v>15567254</v>
      </c>
      <c r="C42" s="659">
        <v>3352539</v>
      </c>
      <c r="D42" s="659">
        <v>52366989</v>
      </c>
      <c r="E42" s="659">
        <v>8915306</v>
      </c>
      <c r="F42" s="659" t="s">
        <v>986</v>
      </c>
      <c r="G42" s="659">
        <v>8915306</v>
      </c>
      <c r="H42" s="659">
        <v>3739047</v>
      </c>
      <c r="I42" s="659">
        <v>47092</v>
      </c>
      <c r="J42" s="659">
        <v>3691955</v>
      </c>
      <c r="K42" s="659">
        <v>2678816</v>
      </c>
      <c r="L42" s="659">
        <v>319147</v>
      </c>
      <c r="M42" s="659">
        <v>158877</v>
      </c>
      <c r="N42" s="659">
        <v>2200792</v>
      </c>
      <c r="O42" s="659" t="s">
        <v>986</v>
      </c>
      <c r="P42" s="659">
        <v>742099</v>
      </c>
      <c r="Q42" s="659">
        <v>498520</v>
      </c>
      <c r="R42" s="660" t="s">
        <v>485</v>
      </c>
    </row>
    <row r="43" spans="1:18" s="30" customFormat="1" ht="10.5" customHeight="1" x14ac:dyDescent="0.15">
      <c r="A43" s="559" t="s">
        <v>634</v>
      </c>
      <c r="B43" s="30">
        <v>12371792</v>
      </c>
      <c r="C43" s="30">
        <v>668065</v>
      </c>
      <c r="D43" s="30">
        <v>46298758</v>
      </c>
      <c r="E43" s="30">
        <v>4942885</v>
      </c>
      <c r="F43" s="30" t="s">
        <v>986</v>
      </c>
      <c r="G43" s="30">
        <v>4942885</v>
      </c>
      <c r="H43" s="30">
        <v>1094794</v>
      </c>
      <c r="I43" s="30" t="s">
        <v>986</v>
      </c>
      <c r="J43" s="30">
        <v>1094794</v>
      </c>
      <c r="K43" s="30">
        <v>2530556</v>
      </c>
      <c r="L43" s="30">
        <v>81102</v>
      </c>
      <c r="M43" s="30" t="s">
        <v>986</v>
      </c>
      <c r="N43" s="30">
        <v>2449454</v>
      </c>
      <c r="O43" s="30" t="s">
        <v>986</v>
      </c>
      <c r="P43" s="30">
        <v>421459</v>
      </c>
      <c r="Q43" s="30">
        <v>369843</v>
      </c>
      <c r="R43" s="32" t="s">
        <v>588</v>
      </c>
    </row>
    <row r="44" spans="1:18" s="30" customFormat="1" ht="10.5" customHeight="1" x14ac:dyDescent="0.15">
      <c r="A44" s="559" t="s">
        <v>635</v>
      </c>
      <c r="B44" s="30">
        <v>11301078</v>
      </c>
      <c r="C44" s="30">
        <v>825144</v>
      </c>
      <c r="D44" s="30">
        <v>50636882</v>
      </c>
      <c r="E44" s="30">
        <v>5183041</v>
      </c>
      <c r="F44" s="30">
        <v>10</v>
      </c>
      <c r="G44" s="30">
        <v>5183031</v>
      </c>
      <c r="H44" s="30">
        <v>469328</v>
      </c>
      <c r="I44" s="30" t="s">
        <v>986</v>
      </c>
      <c r="J44" s="30">
        <v>469328</v>
      </c>
      <c r="K44" s="30">
        <v>2444840</v>
      </c>
      <c r="L44" s="30">
        <v>114870</v>
      </c>
      <c r="M44" s="30" t="s">
        <v>986</v>
      </c>
      <c r="N44" s="30">
        <v>2329652</v>
      </c>
      <c r="O44" s="30">
        <v>318</v>
      </c>
      <c r="P44" s="30">
        <v>752667</v>
      </c>
      <c r="Q44" s="30">
        <v>498527</v>
      </c>
      <c r="R44" s="32" t="s">
        <v>636</v>
      </c>
    </row>
    <row r="45" spans="1:18" s="30" customFormat="1" ht="10.5" customHeight="1" x14ac:dyDescent="0.15">
      <c r="A45" s="559" t="s">
        <v>774</v>
      </c>
      <c r="B45" s="30">
        <v>11575819</v>
      </c>
      <c r="C45" s="30">
        <v>1775320</v>
      </c>
      <c r="D45" s="30">
        <v>60196846</v>
      </c>
      <c r="E45" s="30">
        <v>2062879</v>
      </c>
      <c r="F45" s="30" t="s">
        <v>986</v>
      </c>
      <c r="G45" s="30">
        <v>2062879</v>
      </c>
      <c r="H45" s="30">
        <v>1592968</v>
      </c>
      <c r="I45" s="30" t="s">
        <v>986</v>
      </c>
      <c r="J45" s="30">
        <v>1592968</v>
      </c>
      <c r="K45" s="30">
        <v>3616062</v>
      </c>
      <c r="L45" s="30">
        <v>650033</v>
      </c>
      <c r="M45" s="30" t="s">
        <v>986</v>
      </c>
      <c r="N45" s="30">
        <v>2966029</v>
      </c>
      <c r="O45" s="30" t="s">
        <v>986</v>
      </c>
      <c r="P45" s="30">
        <v>342064</v>
      </c>
      <c r="Q45" s="30">
        <v>86900</v>
      </c>
      <c r="R45" s="32" t="s">
        <v>775</v>
      </c>
    </row>
    <row r="46" spans="1:18" s="30" customFormat="1" ht="10.5" customHeight="1" x14ac:dyDescent="0.15">
      <c r="A46" s="559" t="s">
        <v>987</v>
      </c>
      <c r="B46" s="30">
        <v>7358833</v>
      </c>
      <c r="C46" s="30">
        <v>1749174</v>
      </c>
      <c r="D46" s="30">
        <v>57535001</v>
      </c>
      <c r="E46" s="30">
        <v>118876</v>
      </c>
      <c r="F46" s="30" t="s">
        <v>986</v>
      </c>
      <c r="G46" s="30">
        <v>118876</v>
      </c>
      <c r="H46" s="30">
        <v>3102976</v>
      </c>
      <c r="I46" s="30" t="s">
        <v>986</v>
      </c>
      <c r="J46" s="30">
        <v>3102976</v>
      </c>
      <c r="K46" s="30">
        <v>2269621</v>
      </c>
      <c r="L46" s="30">
        <v>126257</v>
      </c>
      <c r="M46" s="30">
        <v>31701</v>
      </c>
      <c r="N46" s="30">
        <v>2111663</v>
      </c>
      <c r="O46" s="30" t="s">
        <v>986</v>
      </c>
      <c r="P46" s="30">
        <v>24826</v>
      </c>
      <c r="Q46" s="30" t="s">
        <v>986</v>
      </c>
      <c r="R46" s="32" t="s">
        <v>988</v>
      </c>
    </row>
    <row r="47" spans="1:18" s="30" customFormat="1" ht="10.5" customHeight="1" x14ac:dyDescent="0.15">
      <c r="A47" s="578"/>
      <c r="R47" s="32"/>
    </row>
    <row r="48" spans="1:18" s="30" customFormat="1" ht="10.5" customHeight="1" x14ac:dyDescent="0.15">
      <c r="A48" s="559" t="s">
        <v>989</v>
      </c>
      <c r="B48" s="30">
        <v>10177232</v>
      </c>
      <c r="C48" s="30">
        <v>1774357</v>
      </c>
      <c r="D48" s="30">
        <v>60310672</v>
      </c>
      <c r="E48" s="30">
        <v>624421</v>
      </c>
      <c r="F48" s="30" t="s">
        <v>986</v>
      </c>
      <c r="G48" s="30">
        <v>624421</v>
      </c>
      <c r="H48" s="30">
        <v>2286940</v>
      </c>
      <c r="I48" s="30" t="s">
        <v>986</v>
      </c>
      <c r="J48" s="30">
        <v>2286940</v>
      </c>
      <c r="K48" s="30">
        <v>3005494</v>
      </c>
      <c r="L48" s="30">
        <v>403871</v>
      </c>
      <c r="M48" s="30" t="s">
        <v>986</v>
      </c>
      <c r="N48" s="30">
        <v>2601623</v>
      </c>
      <c r="O48" s="30" t="s">
        <v>986</v>
      </c>
      <c r="P48" s="30">
        <v>173591</v>
      </c>
      <c r="Q48" s="30">
        <v>15627</v>
      </c>
      <c r="R48" s="32" t="s">
        <v>776</v>
      </c>
    </row>
    <row r="49" spans="1:18" s="30" customFormat="1" ht="10.5" customHeight="1" x14ac:dyDescent="0.15">
      <c r="A49" s="559" t="s">
        <v>990</v>
      </c>
      <c r="B49" s="30">
        <v>6467293</v>
      </c>
      <c r="C49" s="30">
        <v>1590180</v>
      </c>
      <c r="D49" s="30">
        <v>59221947</v>
      </c>
      <c r="E49" s="30" t="s">
        <v>986</v>
      </c>
      <c r="F49" s="30" t="s">
        <v>986</v>
      </c>
      <c r="G49" s="30" t="s">
        <v>986</v>
      </c>
      <c r="H49" s="30">
        <v>3656826</v>
      </c>
      <c r="I49" s="30" t="s">
        <v>986</v>
      </c>
      <c r="J49" s="30">
        <v>3656826</v>
      </c>
      <c r="K49" s="30">
        <v>2375463</v>
      </c>
      <c r="L49" s="30">
        <v>126257</v>
      </c>
      <c r="M49" s="30">
        <v>31701</v>
      </c>
      <c r="N49" s="30">
        <v>2217505</v>
      </c>
      <c r="O49" s="30" t="s">
        <v>986</v>
      </c>
      <c r="P49" s="30">
        <v>24826</v>
      </c>
      <c r="Q49" s="30" t="s">
        <v>986</v>
      </c>
      <c r="R49" s="32" t="s">
        <v>991</v>
      </c>
    </row>
    <row r="50" spans="1:18" s="30" customFormat="1" ht="10.5" customHeight="1" x14ac:dyDescent="0.15">
      <c r="A50" s="578"/>
      <c r="R50" s="32"/>
    </row>
    <row r="51" spans="1:18" s="30" customFormat="1" ht="10.5" customHeight="1" x14ac:dyDescent="0.15">
      <c r="A51" s="559" t="s">
        <v>992</v>
      </c>
      <c r="B51" s="30">
        <v>2178057</v>
      </c>
      <c r="C51" s="30">
        <v>396547</v>
      </c>
      <c r="D51" s="30">
        <v>13498330</v>
      </c>
      <c r="E51" s="30">
        <v>118876</v>
      </c>
      <c r="F51" s="30" t="s">
        <v>986</v>
      </c>
      <c r="G51" s="30">
        <v>118876</v>
      </c>
      <c r="H51" s="30">
        <v>693972</v>
      </c>
      <c r="I51" s="30" t="s">
        <v>986</v>
      </c>
      <c r="J51" s="30">
        <v>693972</v>
      </c>
      <c r="K51" s="30">
        <v>308071</v>
      </c>
      <c r="L51" s="30" t="s">
        <v>986</v>
      </c>
      <c r="M51" s="30" t="s">
        <v>986</v>
      </c>
      <c r="N51" s="30">
        <v>308071</v>
      </c>
      <c r="O51" s="30" t="s">
        <v>986</v>
      </c>
      <c r="P51" s="30" t="s">
        <v>986</v>
      </c>
      <c r="Q51" s="30" t="s">
        <v>986</v>
      </c>
      <c r="R51" s="32" t="s">
        <v>777</v>
      </c>
    </row>
    <row r="52" spans="1:18" s="30" customFormat="1" ht="10.5" customHeight="1" x14ac:dyDescent="0.15">
      <c r="A52" s="559" t="s">
        <v>637</v>
      </c>
      <c r="B52" s="30">
        <v>1922862</v>
      </c>
      <c r="C52" s="30">
        <v>556738</v>
      </c>
      <c r="D52" s="30">
        <v>15068248</v>
      </c>
      <c r="E52" s="30" t="s">
        <v>986</v>
      </c>
      <c r="F52" s="30" t="s">
        <v>986</v>
      </c>
      <c r="G52" s="30" t="s">
        <v>986</v>
      </c>
      <c r="H52" s="30">
        <v>417238</v>
      </c>
      <c r="I52" s="30" t="s">
        <v>986</v>
      </c>
      <c r="J52" s="30">
        <v>417238</v>
      </c>
      <c r="K52" s="30">
        <v>472756</v>
      </c>
      <c r="L52" s="30" t="s">
        <v>986</v>
      </c>
      <c r="M52" s="30" t="s">
        <v>986</v>
      </c>
      <c r="N52" s="30">
        <v>472756</v>
      </c>
      <c r="O52" s="30" t="s">
        <v>986</v>
      </c>
      <c r="P52" s="30" t="s">
        <v>986</v>
      </c>
      <c r="Q52" s="30" t="s">
        <v>986</v>
      </c>
      <c r="R52" s="32" t="s">
        <v>85</v>
      </c>
    </row>
    <row r="53" spans="1:18" s="30" customFormat="1" ht="10.5" customHeight="1" x14ac:dyDescent="0.15">
      <c r="A53" s="559" t="s">
        <v>638</v>
      </c>
      <c r="B53" s="30">
        <v>1770689</v>
      </c>
      <c r="C53" s="30">
        <v>557986</v>
      </c>
      <c r="D53" s="30">
        <v>15277654</v>
      </c>
      <c r="E53" s="30" t="s">
        <v>986</v>
      </c>
      <c r="F53" s="30" t="s">
        <v>986</v>
      </c>
      <c r="G53" s="30" t="s">
        <v>986</v>
      </c>
      <c r="H53" s="30">
        <v>524379</v>
      </c>
      <c r="I53" s="30" t="s">
        <v>986</v>
      </c>
      <c r="J53" s="30">
        <v>524379</v>
      </c>
      <c r="K53" s="30">
        <v>657324</v>
      </c>
      <c r="L53" s="30" t="s">
        <v>986</v>
      </c>
      <c r="M53" s="30" t="s">
        <v>986</v>
      </c>
      <c r="N53" s="30">
        <v>657324</v>
      </c>
      <c r="O53" s="30" t="s">
        <v>986</v>
      </c>
      <c r="P53" s="30" t="s">
        <v>986</v>
      </c>
      <c r="Q53" s="30" t="s">
        <v>986</v>
      </c>
      <c r="R53" s="32" t="s">
        <v>86</v>
      </c>
    </row>
    <row r="54" spans="1:18" s="30" customFormat="1" ht="10.5" customHeight="1" x14ac:dyDescent="0.15">
      <c r="A54" s="559" t="s">
        <v>639</v>
      </c>
      <c r="B54" s="30">
        <v>1487225</v>
      </c>
      <c r="C54" s="30">
        <v>237903</v>
      </c>
      <c r="D54" s="30">
        <v>13690769</v>
      </c>
      <c r="E54" s="30" t="s">
        <v>986</v>
      </c>
      <c r="F54" s="30" t="s">
        <v>986</v>
      </c>
      <c r="G54" s="30" t="s">
        <v>986</v>
      </c>
      <c r="H54" s="30">
        <v>1467387</v>
      </c>
      <c r="I54" s="30" t="s">
        <v>986</v>
      </c>
      <c r="J54" s="30">
        <v>1467387</v>
      </c>
      <c r="K54" s="30">
        <v>831470</v>
      </c>
      <c r="L54" s="30">
        <v>126257</v>
      </c>
      <c r="M54" s="30">
        <v>31701</v>
      </c>
      <c r="N54" s="30">
        <v>673512</v>
      </c>
      <c r="O54" s="30" t="s">
        <v>986</v>
      </c>
      <c r="P54" s="30">
        <v>24826</v>
      </c>
      <c r="Q54" s="30" t="s">
        <v>986</v>
      </c>
      <c r="R54" s="32" t="s">
        <v>87</v>
      </c>
    </row>
    <row r="55" spans="1:18" s="30" customFormat="1" ht="10.5" customHeight="1" x14ac:dyDescent="0.15">
      <c r="A55" s="559" t="s">
        <v>993</v>
      </c>
      <c r="B55" s="30">
        <v>1286517</v>
      </c>
      <c r="C55" s="30">
        <v>237553</v>
      </c>
      <c r="D55" s="30">
        <v>15185276</v>
      </c>
      <c r="E55" s="30" t="s">
        <v>986</v>
      </c>
      <c r="F55" s="30" t="s">
        <v>986</v>
      </c>
      <c r="G55" s="30" t="s">
        <v>986</v>
      </c>
      <c r="H55" s="30">
        <v>1247822</v>
      </c>
      <c r="I55" s="30" t="s">
        <v>986</v>
      </c>
      <c r="J55" s="30">
        <v>1247822</v>
      </c>
      <c r="K55" s="30">
        <v>413913</v>
      </c>
      <c r="L55" s="30" t="s">
        <v>986</v>
      </c>
      <c r="M55" s="30" t="s">
        <v>986</v>
      </c>
      <c r="N55" s="30">
        <v>413913</v>
      </c>
      <c r="O55" s="30" t="s">
        <v>986</v>
      </c>
      <c r="P55" s="30" t="s">
        <v>986</v>
      </c>
      <c r="Q55" s="30" t="s">
        <v>986</v>
      </c>
      <c r="R55" s="32" t="s">
        <v>994</v>
      </c>
    </row>
    <row r="56" spans="1:18" s="30" customFormat="1" ht="10.5" customHeight="1" x14ac:dyDescent="0.15">
      <c r="A56" s="578"/>
      <c r="R56" s="32"/>
    </row>
    <row r="57" spans="1:18" s="30" customFormat="1" ht="10.5" customHeight="1" x14ac:dyDescent="0.15">
      <c r="A57" s="559" t="s">
        <v>995</v>
      </c>
      <c r="B57" s="30">
        <v>616047</v>
      </c>
      <c r="C57" s="30">
        <v>158774</v>
      </c>
      <c r="D57" s="30">
        <v>4587839</v>
      </c>
      <c r="E57" s="30">
        <v>118876</v>
      </c>
      <c r="F57" s="30" t="s">
        <v>986</v>
      </c>
      <c r="G57" s="30">
        <v>118876</v>
      </c>
      <c r="H57" s="30">
        <v>350631</v>
      </c>
      <c r="I57" s="30" t="s">
        <v>986</v>
      </c>
      <c r="J57" s="30">
        <v>350631</v>
      </c>
      <c r="K57" s="30">
        <v>210346</v>
      </c>
      <c r="L57" s="30" t="s">
        <v>986</v>
      </c>
      <c r="M57" s="30" t="s">
        <v>986</v>
      </c>
      <c r="N57" s="30">
        <v>210346</v>
      </c>
      <c r="O57" s="30" t="s">
        <v>986</v>
      </c>
      <c r="P57" s="30" t="s">
        <v>986</v>
      </c>
      <c r="Q57" s="30" t="s">
        <v>986</v>
      </c>
      <c r="R57" s="32" t="s">
        <v>778</v>
      </c>
    </row>
    <row r="58" spans="1:18" s="30" customFormat="1" ht="10.5" customHeight="1" x14ac:dyDescent="0.15">
      <c r="A58" s="559" t="s">
        <v>640</v>
      </c>
      <c r="B58" s="30">
        <v>791732</v>
      </c>
      <c r="C58" s="30">
        <v>237773</v>
      </c>
      <c r="D58" s="30">
        <v>4172743</v>
      </c>
      <c r="E58" s="30" t="s">
        <v>986</v>
      </c>
      <c r="F58" s="30" t="s">
        <v>986</v>
      </c>
      <c r="G58" s="30" t="s">
        <v>986</v>
      </c>
      <c r="H58" s="30">
        <v>128460</v>
      </c>
      <c r="I58" s="30" t="s">
        <v>986</v>
      </c>
      <c r="J58" s="30">
        <v>128460</v>
      </c>
      <c r="K58" s="30" t="s">
        <v>986</v>
      </c>
      <c r="L58" s="30" t="s">
        <v>986</v>
      </c>
      <c r="M58" s="30" t="s">
        <v>986</v>
      </c>
      <c r="N58" s="30" t="s">
        <v>986</v>
      </c>
      <c r="O58" s="30" t="s">
        <v>986</v>
      </c>
      <c r="P58" s="30" t="s">
        <v>986</v>
      </c>
      <c r="Q58" s="30" t="s">
        <v>986</v>
      </c>
      <c r="R58" s="32" t="s">
        <v>73</v>
      </c>
    </row>
    <row r="59" spans="1:18" s="30" customFormat="1" ht="10.5" customHeight="1" x14ac:dyDescent="0.15">
      <c r="A59" s="559" t="s">
        <v>641</v>
      </c>
      <c r="B59" s="30">
        <v>770278</v>
      </c>
      <c r="C59" s="30" t="s">
        <v>986</v>
      </c>
      <c r="D59" s="30">
        <v>4737748</v>
      </c>
      <c r="E59" s="30" t="s">
        <v>986</v>
      </c>
      <c r="F59" s="30" t="s">
        <v>986</v>
      </c>
      <c r="G59" s="30" t="s">
        <v>986</v>
      </c>
      <c r="H59" s="30">
        <v>214881</v>
      </c>
      <c r="I59" s="30" t="s">
        <v>986</v>
      </c>
      <c r="J59" s="30">
        <v>214881</v>
      </c>
      <c r="K59" s="30">
        <v>97725</v>
      </c>
      <c r="L59" s="30" t="s">
        <v>986</v>
      </c>
      <c r="M59" s="30" t="s">
        <v>986</v>
      </c>
      <c r="N59" s="30">
        <v>97725</v>
      </c>
      <c r="O59" s="30" t="s">
        <v>986</v>
      </c>
      <c r="P59" s="30" t="s">
        <v>986</v>
      </c>
      <c r="Q59" s="30" t="s">
        <v>986</v>
      </c>
      <c r="R59" s="32" t="s">
        <v>74</v>
      </c>
    </row>
    <row r="60" spans="1:18" s="30" customFormat="1" ht="10.5" customHeight="1" x14ac:dyDescent="0.15">
      <c r="A60" s="559" t="s">
        <v>642</v>
      </c>
      <c r="B60" s="30">
        <v>850041</v>
      </c>
      <c r="C60" s="30">
        <v>237634</v>
      </c>
      <c r="D60" s="30">
        <v>5769960</v>
      </c>
      <c r="E60" s="30" t="s">
        <v>986</v>
      </c>
      <c r="F60" s="30" t="s">
        <v>986</v>
      </c>
      <c r="G60" s="30" t="s">
        <v>986</v>
      </c>
      <c r="H60" s="30">
        <v>290229</v>
      </c>
      <c r="I60" s="30" t="s">
        <v>986</v>
      </c>
      <c r="J60" s="30">
        <v>290229</v>
      </c>
      <c r="K60" s="30">
        <v>139717</v>
      </c>
      <c r="L60" s="30" t="s">
        <v>986</v>
      </c>
      <c r="M60" s="30" t="s">
        <v>986</v>
      </c>
      <c r="N60" s="30">
        <v>139717</v>
      </c>
      <c r="O60" s="30" t="s">
        <v>986</v>
      </c>
      <c r="P60" s="30" t="s">
        <v>986</v>
      </c>
      <c r="Q60" s="30" t="s">
        <v>986</v>
      </c>
      <c r="R60" s="32" t="s">
        <v>75</v>
      </c>
    </row>
    <row r="61" spans="1:18" s="30" customFormat="1" ht="10.5" customHeight="1" x14ac:dyDescent="0.15">
      <c r="A61" s="559" t="s">
        <v>643</v>
      </c>
      <c r="B61" s="30">
        <v>546844</v>
      </c>
      <c r="C61" s="30">
        <v>158706</v>
      </c>
      <c r="D61" s="30">
        <v>5229613</v>
      </c>
      <c r="E61" s="30" t="s">
        <v>986</v>
      </c>
      <c r="F61" s="30" t="s">
        <v>986</v>
      </c>
      <c r="G61" s="30" t="s">
        <v>986</v>
      </c>
      <c r="H61" s="30">
        <v>78572</v>
      </c>
      <c r="I61" s="30" t="s">
        <v>986</v>
      </c>
      <c r="J61" s="30">
        <v>78572</v>
      </c>
      <c r="K61" s="30">
        <v>256689</v>
      </c>
      <c r="L61" s="30" t="s">
        <v>986</v>
      </c>
      <c r="M61" s="30" t="s">
        <v>986</v>
      </c>
      <c r="N61" s="30">
        <v>256689</v>
      </c>
      <c r="O61" s="30" t="s">
        <v>986</v>
      </c>
      <c r="P61" s="30" t="s">
        <v>986</v>
      </c>
      <c r="Q61" s="30" t="s">
        <v>986</v>
      </c>
      <c r="R61" s="33" t="s">
        <v>88</v>
      </c>
    </row>
    <row r="62" spans="1:18" s="30" customFormat="1" ht="10.5" customHeight="1" x14ac:dyDescent="0.15">
      <c r="A62" s="559" t="s">
        <v>644</v>
      </c>
      <c r="B62" s="30">
        <v>525977</v>
      </c>
      <c r="C62" s="30">
        <v>160398</v>
      </c>
      <c r="D62" s="30">
        <v>4068675</v>
      </c>
      <c r="E62" s="30" t="s">
        <v>986</v>
      </c>
      <c r="F62" s="30" t="s">
        <v>986</v>
      </c>
      <c r="G62" s="30" t="s">
        <v>986</v>
      </c>
      <c r="H62" s="30">
        <v>48437</v>
      </c>
      <c r="I62" s="30" t="s">
        <v>986</v>
      </c>
      <c r="J62" s="30">
        <v>48437</v>
      </c>
      <c r="K62" s="30">
        <v>76350</v>
      </c>
      <c r="L62" s="30" t="s">
        <v>986</v>
      </c>
      <c r="M62" s="30" t="s">
        <v>986</v>
      </c>
      <c r="N62" s="30">
        <v>76350</v>
      </c>
      <c r="O62" s="30" t="s">
        <v>986</v>
      </c>
      <c r="P62" s="30" t="s">
        <v>986</v>
      </c>
      <c r="Q62" s="30" t="s">
        <v>986</v>
      </c>
      <c r="R62" s="32" t="s">
        <v>89</v>
      </c>
    </row>
    <row r="63" spans="1:18" s="30" customFormat="1" ht="10.5" customHeight="1" x14ac:dyDescent="0.15">
      <c r="A63" s="559" t="s">
        <v>645</v>
      </c>
      <c r="B63" s="30">
        <v>480868</v>
      </c>
      <c r="C63" s="30" t="s">
        <v>986</v>
      </c>
      <c r="D63" s="30">
        <v>4772597</v>
      </c>
      <c r="E63" s="30" t="s">
        <v>986</v>
      </c>
      <c r="F63" s="30" t="s">
        <v>986</v>
      </c>
      <c r="G63" s="30" t="s">
        <v>986</v>
      </c>
      <c r="H63" s="30">
        <v>346041</v>
      </c>
      <c r="I63" s="30" t="s">
        <v>986</v>
      </c>
      <c r="J63" s="30">
        <v>346041</v>
      </c>
      <c r="K63" s="30">
        <v>90111</v>
      </c>
      <c r="L63" s="30" t="s">
        <v>986</v>
      </c>
      <c r="M63" s="30" t="s">
        <v>986</v>
      </c>
      <c r="N63" s="30">
        <v>90111</v>
      </c>
      <c r="O63" s="30" t="s">
        <v>986</v>
      </c>
      <c r="P63" s="30" t="s">
        <v>986</v>
      </c>
      <c r="Q63" s="30" t="s">
        <v>986</v>
      </c>
      <c r="R63" s="32" t="s">
        <v>90</v>
      </c>
    </row>
    <row r="64" spans="1:18" s="30" customFormat="1" ht="10.5" customHeight="1" x14ac:dyDescent="0.15">
      <c r="A64" s="559" t="s">
        <v>646</v>
      </c>
      <c r="B64" s="30">
        <v>468767</v>
      </c>
      <c r="C64" s="30">
        <v>237794</v>
      </c>
      <c r="D64" s="30">
        <v>5662295</v>
      </c>
      <c r="E64" s="30" t="s">
        <v>986</v>
      </c>
      <c r="F64" s="30" t="s">
        <v>986</v>
      </c>
      <c r="G64" s="30" t="s">
        <v>986</v>
      </c>
      <c r="H64" s="30">
        <v>110649</v>
      </c>
      <c r="I64" s="30" t="s">
        <v>986</v>
      </c>
      <c r="J64" s="30">
        <v>110649</v>
      </c>
      <c r="K64" s="30">
        <v>341707</v>
      </c>
      <c r="L64" s="30" t="s">
        <v>986</v>
      </c>
      <c r="M64" s="30" t="s">
        <v>986</v>
      </c>
      <c r="N64" s="30">
        <v>341707</v>
      </c>
      <c r="O64" s="30" t="s">
        <v>986</v>
      </c>
      <c r="P64" s="30" t="s">
        <v>986</v>
      </c>
      <c r="Q64" s="30" t="s">
        <v>986</v>
      </c>
      <c r="R64" s="32" t="s">
        <v>91</v>
      </c>
    </row>
    <row r="65" spans="1:18" s="30" customFormat="1" ht="10.5" customHeight="1" x14ac:dyDescent="0.15">
      <c r="A65" s="559" t="s">
        <v>647</v>
      </c>
      <c r="B65" s="30">
        <v>821054</v>
      </c>
      <c r="C65" s="30">
        <v>320192</v>
      </c>
      <c r="D65" s="30">
        <v>4842762</v>
      </c>
      <c r="E65" s="30" t="s">
        <v>986</v>
      </c>
      <c r="F65" s="30" t="s">
        <v>986</v>
      </c>
      <c r="G65" s="30" t="s">
        <v>986</v>
      </c>
      <c r="H65" s="30">
        <v>67689</v>
      </c>
      <c r="I65" s="30" t="s">
        <v>986</v>
      </c>
      <c r="J65" s="30">
        <v>67689</v>
      </c>
      <c r="K65" s="30">
        <v>225506</v>
      </c>
      <c r="L65" s="30" t="s">
        <v>986</v>
      </c>
      <c r="M65" s="30" t="s">
        <v>986</v>
      </c>
      <c r="N65" s="30">
        <v>225506</v>
      </c>
      <c r="O65" s="30" t="s">
        <v>986</v>
      </c>
      <c r="P65" s="30" t="s">
        <v>986</v>
      </c>
      <c r="Q65" s="30" t="s">
        <v>986</v>
      </c>
      <c r="R65" s="32" t="s">
        <v>92</v>
      </c>
    </row>
    <row r="66" spans="1:18" s="30" customFormat="1" ht="10.5" customHeight="1" x14ac:dyDescent="0.15">
      <c r="A66" s="559" t="s">
        <v>648</v>
      </c>
      <c r="B66" s="30">
        <v>359630</v>
      </c>
      <c r="C66" s="30" t="s">
        <v>986</v>
      </c>
      <c r="D66" s="30">
        <v>4604427</v>
      </c>
      <c r="E66" s="30" t="s">
        <v>986</v>
      </c>
      <c r="F66" s="30" t="s">
        <v>986</v>
      </c>
      <c r="G66" s="30" t="s">
        <v>986</v>
      </c>
      <c r="H66" s="30">
        <v>403240</v>
      </c>
      <c r="I66" s="30" t="s">
        <v>986</v>
      </c>
      <c r="J66" s="30">
        <v>403240</v>
      </c>
      <c r="K66" s="30">
        <v>245131</v>
      </c>
      <c r="L66" s="30" t="s">
        <v>986</v>
      </c>
      <c r="M66" s="30">
        <v>31701</v>
      </c>
      <c r="N66" s="30">
        <v>213430</v>
      </c>
      <c r="O66" s="30" t="s">
        <v>986</v>
      </c>
      <c r="P66" s="30" t="s">
        <v>986</v>
      </c>
      <c r="Q66" s="30" t="s">
        <v>986</v>
      </c>
      <c r="R66" s="32" t="s">
        <v>76</v>
      </c>
    </row>
    <row r="67" spans="1:18" s="30" customFormat="1" ht="10.5" customHeight="1" x14ac:dyDescent="0.15">
      <c r="A67" s="559" t="s">
        <v>649</v>
      </c>
      <c r="B67" s="30">
        <v>575021</v>
      </c>
      <c r="C67" s="30">
        <v>79180</v>
      </c>
      <c r="D67" s="30">
        <v>4646540</v>
      </c>
      <c r="E67" s="30" t="s">
        <v>986</v>
      </c>
      <c r="F67" s="30" t="s">
        <v>986</v>
      </c>
      <c r="G67" s="30" t="s">
        <v>986</v>
      </c>
      <c r="H67" s="30">
        <v>379098</v>
      </c>
      <c r="I67" s="30" t="s">
        <v>986</v>
      </c>
      <c r="J67" s="30">
        <v>379098</v>
      </c>
      <c r="K67" s="30">
        <v>177532</v>
      </c>
      <c r="L67" s="30" t="s">
        <v>986</v>
      </c>
      <c r="M67" s="30" t="s">
        <v>986</v>
      </c>
      <c r="N67" s="30">
        <v>177532</v>
      </c>
      <c r="O67" s="30" t="s">
        <v>986</v>
      </c>
      <c r="P67" s="30">
        <v>24826</v>
      </c>
      <c r="Q67" s="30" t="s">
        <v>986</v>
      </c>
      <c r="R67" s="32" t="s">
        <v>77</v>
      </c>
    </row>
    <row r="68" spans="1:18" s="30" customFormat="1" ht="10.5" customHeight="1" x14ac:dyDescent="0.15">
      <c r="A68" s="559" t="s">
        <v>650</v>
      </c>
      <c r="B68" s="30">
        <v>552574</v>
      </c>
      <c r="C68" s="30">
        <v>158723</v>
      </c>
      <c r="D68" s="30">
        <v>4439802</v>
      </c>
      <c r="E68" s="30" t="s">
        <v>986</v>
      </c>
      <c r="F68" s="30" t="s">
        <v>986</v>
      </c>
      <c r="G68" s="30" t="s">
        <v>986</v>
      </c>
      <c r="H68" s="30">
        <v>685049</v>
      </c>
      <c r="I68" s="30" t="s">
        <v>986</v>
      </c>
      <c r="J68" s="30">
        <v>685049</v>
      </c>
      <c r="K68" s="30">
        <v>408807</v>
      </c>
      <c r="L68" s="30">
        <v>126257</v>
      </c>
      <c r="M68" s="30" t="s">
        <v>986</v>
      </c>
      <c r="N68" s="30">
        <v>282550</v>
      </c>
      <c r="O68" s="30" t="s">
        <v>986</v>
      </c>
      <c r="P68" s="30" t="s">
        <v>986</v>
      </c>
      <c r="Q68" s="30" t="s">
        <v>986</v>
      </c>
      <c r="R68" s="32" t="s">
        <v>78</v>
      </c>
    </row>
    <row r="69" spans="1:18" s="30" customFormat="1" ht="10.5" customHeight="1" x14ac:dyDescent="0.15">
      <c r="A69" s="559" t="s">
        <v>996</v>
      </c>
      <c r="B69" s="30">
        <v>419336</v>
      </c>
      <c r="C69" s="30">
        <v>79124</v>
      </c>
      <c r="D69" s="30">
        <v>5013758</v>
      </c>
      <c r="E69" s="30" t="s">
        <v>986</v>
      </c>
      <c r="F69" s="30" t="s">
        <v>986</v>
      </c>
      <c r="G69" s="30" t="s">
        <v>986</v>
      </c>
      <c r="H69" s="30">
        <v>643568</v>
      </c>
      <c r="I69" s="30" t="s">
        <v>986</v>
      </c>
      <c r="J69" s="30">
        <v>643568</v>
      </c>
      <c r="K69" s="30">
        <v>110258</v>
      </c>
      <c r="L69" s="30" t="s">
        <v>986</v>
      </c>
      <c r="M69" s="30" t="s">
        <v>986</v>
      </c>
      <c r="N69" s="30">
        <v>110258</v>
      </c>
      <c r="O69" s="30" t="s">
        <v>986</v>
      </c>
      <c r="P69" s="30" t="s">
        <v>986</v>
      </c>
      <c r="Q69" s="30" t="s">
        <v>986</v>
      </c>
      <c r="R69" s="32" t="s">
        <v>997</v>
      </c>
    </row>
    <row r="70" spans="1:18" s="30" customFormat="1" ht="10.5" customHeight="1" x14ac:dyDescent="0.15">
      <c r="A70" s="559" t="s">
        <v>651</v>
      </c>
      <c r="B70" s="30">
        <v>619410</v>
      </c>
      <c r="C70" s="30">
        <v>148659</v>
      </c>
      <c r="D70" s="30">
        <v>4969448</v>
      </c>
      <c r="E70" s="30" t="s">
        <v>986</v>
      </c>
      <c r="F70" s="30" t="s">
        <v>986</v>
      </c>
      <c r="G70" s="30" t="s">
        <v>986</v>
      </c>
      <c r="H70" s="30">
        <v>124912</v>
      </c>
      <c r="I70" s="30" t="s">
        <v>986</v>
      </c>
      <c r="J70" s="30">
        <v>124912</v>
      </c>
      <c r="K70" s="30">
        <v>192366</v>
      </c>
      <c r="L70" s="30" t="s">
        <v>986</v>
      </c>
      <c r="M70" s="30" t="s">
        <v>986</v>
      </c>
      <c r="N70" s="30">
        <v>192366</v>
      </c>
      <c r="O70" s="30" t="s">
        <v>986</v>
      </c>
      <c r="P70" s="30" t="s">
        <v>986</v>
      </c>
      <c r="Q70" s="30" t="s">
        <v>986</v>
      </c>
      <c r="R70" s="32" t="s">
        <v>73</v>
      </c>
    </row>
    <row r="71" spans="1:18" s="30" customFormat="1" ht="10.5" customHeight="1" x14ac:dyDescent="0.15">
      <c r="A71" s="661" t="s">
        <v>652</v>
      </c>
      <c r="B71" s="662">
        <v>247771</v>
      </c>
      <c r="C71" s="663">
        <v>9770</v>
      </c>
      <c r="D71" s="663">
        <v>5202070</v>
      </c>
      <c r="E71" s="663" t="s">
        <v>986</v>
      </c>
      <c r="F71" s="663" t="s">
        <v>986</v>
      </c>
      <c r="G71" s="663" t="s">
        <v>986</v>
      </c>
      <c r="H71" s="663">
        <v>479342</v>
      </c>
      <c r="I71" s="663" t="s">
        <v>986</v>
      </c>
      <c r="J71" s="663">
        <v>479342</v>
      </c>
      <c r="K71" s="663">
        <v>111289</v>
      </c>
      <c r="L71" s="663" t="s">
        <v>986</v>
      </c>
      <c r="M71" s="663" t="s">
        <v>986</v>
      </c>
      <c r="N71" s="663">
        <v>111289</v>
      </c>
      <c r="O71" s="663" t="s">
        <v>986</v>
      </c>
      <c r="P71" s="663" t="s">
        <v>986</v>
      </c>
      <c r="Q71" s="663" t="s">
        <v>986</v>
      </c>
      <c r="R71" s="664" t="s">
        <v>74</v>
      </c>
    </row>
    <row r="72" spans="1:18" ht="9" customHeight="1" x14ac:dyDescent="0.25"/>
    <row r="73" spans="1:18" ht="13.5" customHeight="1" x14ac:dyDescent="0.25">
      <c r="I73" s="24" t="s">
        <v>93</v>
      </c>
      <c r="K73" s="23" t="s">
        <v>72</v>
      </c>
    </row>
    <row r="74" spans="1:18" s="26" customFormat="1" ht="15" customHeight="1" x14ac:dyDescent="0.15">
      <c r="A74" s="649"/>
      <c r="B74" s="665" t="s">
        <v>294</v>
      </c>
      <c r="C74" s="652"/>
      <c r="D74" s="652"/>
      <c r="E74" s="652"/>
      <c r="F74" s="652"/>
      <c r="G74" s="649"/>
      <c r="H74" s="651"/>
      <c r="I74" s="652"/>
      <c r="J74" s="649"/>
      <c r="K74" s="1027" t="s">
        <v>79</v>
      </c>
    </row>
    <row r="75" spans="1:18" s="29" customFormat="1" ht="22.5" customHeight="1" x14ac:dyDescent="0.15">
      <c r="A75" s="27" t="s">
        <v>172</v>
      </c>
      <c r="B75" s="653" t="s">
        <v>107</v>
      </c>
      <c r="C75" s="653" t="s">
        <v>15</v>
      </c>
      <c r="D75" s="653" t="s">
        <v>488</v>
      </c>
      <c r="E75" s="653" t="s">
        <v>16</v>
      </c>
      <c r="F75" s="653" t="s">
        <v>17</v>
      </c>
      <c r="G75" s="653" t="s">
        <v>425</v>
      </c>
      <c r="H75" s="637" t="s">
        <v>108</v>
      </c>
      <c r="I75" s="653" t="s">
        <v>58</v>
      </c>
      <c r="J75" s="653" t="s">
        <v>112</v>
      </c>
      <c r="K75" s="1028"/>
    </row>
    <row r="76" spans="1:18" s="29" customFormat="1" ht="30" customHeight="1" x14ac:dyDescent="0.15">
      <c r="A76" s="655"/>
      <c r="B76" s="638" t="s">
        <v>110</v>
      </c>
      <c r="C76" s="638" t="s">
        <v>25</v>
      </c>
      <c r="D76" s="638" t="s">
        <v>489</v>
      </c>
      <c r="E76" s="638" t="s">
        <v>26</v>
      </c>
      <c r="F76" s="638" t="s">
        <v>27</v>
      </c>
      <c r="G76" s="638" t="s">
        <v>426</v>
      </c>
      <c r="H76" s="638" t="s">
        <v>51</v>
      </c>
      <c r="I76" s="638" t="s">
        <v>52</v>
      </c>
      <c r="J76" s="638" t="s">
        <v>113</v>
      </c>
      <c r="K76" s="1029"/>
    </row>
    <row r="77" spans="1:18" s="30" customFormat="1" ht="10.5" customHeight="1" x14ac:dyDescent="0.15">
      <c r="A77" s="657" t="s">
        <v>985</v>
      </c>
      <c r="B77" s="658" t="s">
        <v>986</v>
      </c>
      <c r="C77" s="659" t="s">
        <v>986</v>
      </c>
      <c r="D77" s="659">
        <v>58730</v>
      </c>
      <c r="E77" s="659">
        <v>41986</v>
      </c>
      <c r="F77" s="659">
        <v>142863</v>
      </c>
      <c r="G77" s="659" t="s">
        <v>986</v>
      </c>
      <c r="H77" s="659">
        <v>450273</v>
      </c>
      <c r="I77" s="659">
        <v>416430</v>
      </c>
      <c r="J77" s="666">
        <v>33843</v>
      </c>
      <c r="K77" s="660" t="s">
        <v>485</v>
      </c>
    </row>
    <row r="78" spans="1:18" s="30" customFormat="1" ht="10.5" customHeight="1" x14ac:dyDescent="0.15">
      <c r="A78" s="559" t="s">
        <v>634</v>
      </c>
      <c r="B78" s="30">
        <v>51616</v>
      </c>
      <c r="C78" s="30" t="s">
        <v>986</v>
      </c>
      <c r="D78" s="30" t="s">
        <v>986</v>
      </c>
      <c r="E78" s="30" t="s">
        <v>986</v>
      </c>
      <c r="F78" s="30" t="s">
        <v>986</v>
      </c>
      <c r="G78" s="30" t="s">
        <v>986</v>
      </c>
      <c r="H78" s="30">
        <v>359911</v>
      </c>
      <c r="I78" s="30">
        <v>313145</v>
      </c>
      <c r="J78" s="34">
        <v>46766</v>
      </c>
      <c r="K78" s="32" t="s">
        <v>588</v>
      </c>
    </row>
    <row r="79" spans="1:18" s="30" customFormat="1" ht="10.5" customHeight="1" x14ac:dyDescent="0.15">
      <c r="A79" s="559" t="s">
        <v>635</v>
      </c>
      <c r="B79" s="30">
        <v>67609</v>
      </c>
      <c r="C79" s="30">
        <v>151524</v>
      </c>
      <c r="D79" s="30" t="s">
        <v>986</v>
      </c>
      <c r="E79" s="30" t="s">
        <v>986</v>
      </c>
      <c r="F79" s="30" t="s">
        <v>986</v>
      </c>
      <c r="G79" s="30">
        <v>35007</v>
      </c>
      <c r="H79" s="30">
        <v>333763</v>
      </c>
      <c r="I79" s="30">
        <v>259648</v>
      </c>
      <c r="J79" s="34">
        <v>74115</v>
      </c>
      <c r="K79" s="32" t="s">
        <v>636</v>
      </c>
    </row>
    <row r="80" spans="1:18" s="30" customFormat="1" ht="10.5" customHeight="1" x14ac:dyDescent="0.15">
      <c r="A80" s="559" t="s">
        <v>774</v>
      </c>
      <c r="B80" s="30" t="s">
        <v>986</v>
      </c>
      <c r="C80" s="30">
        <v>97200</v>
      </c>
      <c r="D80" s="30" t="s">
        <v>986</v>
      </c>
      <c r="E80" s="30" t="s">
        <v>986</v>
      </c>
      <c r="F80" s="30">
        <v>157964</v>
      </c>
      <c r="G80" s="30" t="s">
        <v>986</v>
      </c>
      <c r="H80" s="30">
        <v>393846</v>
      </c>
      <c r="I80" s="30">
        <v>363482</v>
      </c>
      <c r="J80" s="34">
        <v>30364</v>
      </c>
      <c r="K80" s="32" t="s">
        <v>775</v>
      </c>
    </row>
    <row r="81" spans="1:11" s="30" customFormat="1" ht="10.5" customHeight="1" x14ac:dyDescent="0.15">
      <c r="A81" s="559" t="s">
        <v>987</v>
      </c>
      <c r="B81" s="30" t="s">
        <v>986</v>
      </c>
      <c r="C81" s="30">
        <v>24826</v>
      </c>
      <c r="D81" s="30" t="s">
        <v>986</v>
      </c>
      <c r="E81" s="30" t="s">
        <v>986</v>
      </c>
      <c r="F81" s="30" t="s">
        <v>986</v>
      </c>
      <c r="G81" s="30" t="s">
        <v>986</v>
      </c>
      <c r="H81" s="30">
        <v>620923</v>
      </c>
      <c r="I81" s="30">
        <v>620923</v>
      </c>
      <c r="J81" s="34" t="s">
        <v>986</v>
      </c>
      <c r="K81" s="32" t="s">
        <v>988</v>
      </c>
    </row>
    <row r="82" spans="1:11" s="30" customFormat="1" ht="10.5" customHeight="1" x14ac:dyDescent="0.15">
      <c r="A82" s="578"/>
      <c r="J82" s="34"/>
      <c r="K82" s="32"/>
    </row>
    <row r="83" spans="1:11" s="30" customFormat="1" ht="10.5" customHeight="1" x14ac:dyDescent="0.15">
      <c r="A83" s="559" t="s">
        <v>989</v>
      </c>
      <c r="B83" s="30" t="s">
        <v>986</v>
      </c>
      <c r="C83" s="30" t="s">
        <v>986</v>
      </c>
      <c r="D83" s="30" t="s">
        <v>986</v>
      </c>
      <c r="E83" s="30" t="s">
        <v>986</v>
      </c>
      <c r="F83" s="30">
        <v>157964</v>
      </c>
      <c r="G83" s="30" t="s">
        <v>986</v>
      </c>
      <c r="H83" s="30">
        <v>294455</v>
      </c>
      <c r="I83" s="30">
        <v>275845</v>
      </c>
      <c r="J83" s="34">
        <v>18610</v>
      </c>
      <c r="K83" s="32" t="s">
        <v>776</v>
      </c>
    </row>
    <row r="84" spans="1:11" s="30" customFormat="1" ht="10.5" customHeight="1" x14ac:dyDescent="0.15">
      <c r="A84" s="559" t="s">
        <v>990</v>
      </c>
      <c r="B84" s="30" t="s">
        <v>986</v>
      </c>
      <c r="C84" s="30">
        <v>24826</v>
      </c>
      <c r="D84" s="30" t="s">
        <v>986</v>
      </c>
      <c r="E84" s="30" t="s">
        <v>986</v>
      </c>
      <c r="F84" s="30" t="s">
        <v>986</v>
      </c>
      <c r="G84" s="30" t="s">
        <v>986</v>
      </c>
      <c r="H84" s="30">
        <v>661105</v>
      </c>
      <c r="I84" s="30">
        <v>661105</v>
      </c>
      <c r="J84" s="34" t="s">
        <v>986</v>
      </c>
      <c r="K84" s="32" t="s">
        <v>991</v>
      </c>
    </row>
    <row r="85" spans="1:11" s="30" customFormat="1" ht="10.5" customHeight="1" x14ac:dyDescent="0.15">
      <c r="A85" s="578"/>
      <c r="J85" s="34"/>
      <c r="K85" s="32"/>
    </row>
    <row r="86" spans="1:11" s="30" customFormat="1" ht="10.5" customHeight="1" x14ac:dyDescent="0.15">
      <c r="A86" s="559" t="s">
        <v>992</v>
      </c>
      <c r="B86" s="30" t="s">
        <v>986</v>
      </c>
      <c r="C86" s="30" t="s">
        <v>986</v>
      </c>
      <c r="D86" s="30" t="s">
        <v>986</v>
      </c>
      <c r="E86" s="30" t="s">
        <v>986</v>
      </c>
      <c r="F86" s="30" t="s">
        <v>986</v>
      </c>
      <c r="G86" s="30" t="s">
        <v>986</v>
      </c>
      <c r="H86" s="30">
        <v>36965</v>
      </c>
      <c r="I86" s="30">
        <v>36965</v>
      </c>
      <c r="J86" s="34" t="s">
        <v>986</v>
      </c>
      <c r="K86" s="32" t="s">
        <v>777</v>
      </c>
    </row>
    <row r="87" spans="1:11" s="30" customFormat="1" ht="10.5" customHeight="1" x14ac:dyDescent="0.15">
      <c r="A87" s="559" t="s">
        <v>637</v>
      </c>
      <c r="B87" s="30" t="s">
        <v>986</v>
      </c>
      <c r="C87" s="30" t="s">
        <v>986</v>
      </c>
      <c r="D87" s="30" t="s">
        <v>986</v>
      </c>
      <c r="E87" s="30" t="s">
        <v>986</v>
      </c>
      <c r="F87" s="30" t="s">
        <v>986</v>
      </c>
      <c r="G87" s="30" t="s">
        <v>986</v>
      </c>
      <c r="H87" s="30">
        <v>172584</v>
      </c>
      <c r="I87" s="30">
        <v>172584</v>
      </c>
      <c r="J87" s="34" t="s">
        <v>986</v>
      </c>
      <c r="K87" s="32" t="s">
        <v>85</v>
      </c>
    </row>
    <row r="88" spans="1:11" s="30" customFormat="1" ht="10.5" customHeight="1" x14ac:dyDescent="0.15">
      <c r="A88" s="559" t="s">
        <v>638</v>
      </c>
      <c r="B88" s="30" t="s">
        <v>986</v>
      </c>
      <c r="C88" s="30" t="s">
        <v>986</v>
      </c>
      <c r="D88" s="30" t="s">
        <v>986</v>
      </c>
      <c r="E88" s="30" t="s">
        <v>986</v>
      </c>
      <c r="F88" s="30" t="s">
        <v>986</v>
      </c>
      <c r="G88" s="30" t="s">
        <v>986</v>
      </c>
      <c r="H88" s="30">
        <v>248828</v>
      </c>
      <c r="I88" s="30">
        <v>248828</v>
      </c>
      <c r="J88" s="34" t="s">
        <v>986</v>
      </c>
      <c r="K88" s="32" t="s">
        <v>86</v>
      </c>
    </row>
    <row r="89" spans="1:11" s="30" customFormat="1" ht="10.5" customHeight="1" x14ac:dyDescent="0.15">
      <c r="A89" s="559" t="s">
        <v>639</v>
      </c>
      <c r="B89" s="30" t="s">
        <v>986</v>
      </c>
      <c r="C89" s="30">
        <v>24826</v>
      </c>
      <c r="D89" s="30" t="s">
        <v>986</v>
      </c>
      <c r="E89" s="30" t="s">
        <v>986</v>
      </c>
      <c r="F89" s="30" t="s">
        <v>986</v>
      </c>
      <c r="G89" s="30" t="s">
        <v>986</v>
      </c>
      <c r="H89" s="30">
        <v>162546</v>
      </c>
      <c r="I89" s="30">
        <v>162546</v>
      </c>
      <c r="J89" s="34" t="s">
        <v>986</v>
      </c>
      <c r="K89" s="32" t="s">
        <v>87</v>
      </c>
    </row>
    <row r="90" spans="1:11" s="30" customFormat="1" ht="10.5" customHeight="1" x14ac:dyDescent="0.15">
      <c r="A90" s="559" t="s">
        <v>993</v>
      </c>
      <c r="B90" s="30" t="s">
        <v>986</v>
      </c>
      <c r="C90" s="30" t="s">
        <v>986</v>
      </c>
      <c r="D90" s="30" t="s">
        <v>986</v>
      </c>
      <c r="E90" s="30" t="s">
        <v>986</v>
      </c>
      <c r="F90" s="30" t="s">
        <v>986</v>
      </c>
      <c r="G90" s="30" t="s">
        <v>986</v>
      </c>
      <c r="H90" s="30">
        <v>77147</v>
      </c>
      <c r="I90" s="30">
        <v>77147</v>
      </c>
      <c r="J90" s="34" t="s">
        <v>986</v>
      </c>
      <c r="K90" s="32" t="s">
        <v>994</v>
      </c>
    </row>
    <row r="91" spans="1:11" s="30" customFormat="1" ht="10.5" customHeight="1" x14ac:dyDescent="0.15">
      <c r="A91" s="578"/>
      <c r="J91" s="34"/>
      <c r="K91" s="32"/>
    </row>
    <row r="92" spans="1:11" s="30" customFormat="1" ht="10.5" customHeight="1" x14ac:dyDescent="0.15">
      <c r="A92" s="559" t="s">
        <v>995</v>
      </c>
      <c r="B92" s="30" t="s">
        <v>986</v>
      </c>
      <c r="C92" s="30" t="s">
        <v>986</v>
      </c>
      <c r="D92" s="30" t="s">
        <v>986</v>
      </c>
      <c r="E92" s="30" t="s">
        <v>986</v>
      </c>
      <c r="F92" s="30" t="s">
        <v>986</v>
      </c>
      <c r="G92" s="30" t="s">
        <v>986</v>
      </c>
      <c r="H92" s="30">
        <v>13706</v>
      </c>
      <c r="I92" s="30">
        <v>13706</v>
      </c>
      <c r="J92" s="34" t="s">
        <v>986</v>
      </c>
      <c r="K92" s="32" t="s">
        <v>778</v>
      </c>
    </row>
    <row r="93" spans="1:11" s="30" customFormat="1" ht="10.5" customHeight="1" x14ac:dyDescent="0.15">
      <c r="A93" s="559" t="s">
        <v>640</v>
      </c>
      <c r="B93" s="30" t="s">
        <v>986</v>
      </c>
      <c r="C93" s="30" t="s">
        <v>986</v>
      </c>
      <c r="D93" s="30" t="s">
        <v>986</v>
      </c>
      <c r="E93" s="30" t="s">
        <v>986</v>
      </c>
      <c r="F93" s="30" t="s">
        <v>986</v>
      </c>
      <c r="G93" s="30" t="s">
        <v>986</v>
      </c>
      <c r="H93" s="30">
        <v>23259</v>
      </c>
      <c r="I93" s="30">
        <v>23259</v>
      </c>
      <c r="J93" s="34" t="s">
        <v>986</v>
      </c>
      <c r="K93" s="32" t="s">
        <v>73</v>
      </c>
    </row>
    <row r="94" spans="1:11" s="30" customFormat="1" ht="10.5" customHeight="1" x14ac:dyDescent="0.15">
      <c r="A94" s="559" t="s">
        <v>641</v>
      </c>
      <c r="B94" s="30" t="s">
        <v>986</v>
      </c>
      <c r="C94" s="30" t="s">
        <v>986</v>
      </c>
      <c r="D94" s="30" t="s">
        <v>986</v>
      </c>
      <c r="E94" s="30" t="s">
        <v>986</v>
      </c>
      <c r="F94" s="30" t="s">
        <v>986</v>
      </c>
      <c r="G94" s="30" t="s">
        <v>986</v>
      </c>
      <c r="H94" s="30" t="s">
        <v>986</v>
      </c>
      <c r="I94" s="30" t="s">
        <v>986</v>
      </c>
      <c r="J94" s="34" t="s">
        <v>986</v>
      </c>
      <c r="K94" s="32" t="s">
        <v>74</v>
      </c>
    </row>
    <row r="95" spans="1:11" s="30" customFormat="1" ht="10.5" customHeight="1" x14ac:dyDescent="0.15">
      <c r="A95" s="559" t="s">
        <v>642</v>
      </c>
      <c r="B95" s="30" t="s">
        <v>986</v>
      </c>
      <c r="C95" s="30" t="s">
        <v>986</v>
      </c>
      <c r="D95" s="30" t="s">
        <v>986</v>
      </c>
      <c r="E95" s="30" t="s">
        <v>986</v>
      </c>
      <c r="F95" s="30" t="s">
        <v>986</v>
      </c>
      <c r="G95" s="30" t="s">
        <v>986</v>
      </c>
      <c r="H95" s="30">
        <v>140805</v>
      </c>
      <c r="I95" s="30">
        <v>140805</v>
      </c>
      <c r="J95" s="34" t="s">
        <v>986</v>
      </c>
      <c r="K95" s="32" t="s">
        <v>75</v>
      </c>
    </row>
    <row r="96" spans="1:11" s="30" customFormat="1" ht="10.5" customHeight="1" x14ac:dyDescent="0.15">
      <c r="A96" s="559" t="s">
        <v>643</v>
      </c>
      <c r="B96" s="30" t="s">
        <v>986</v>
      </c>
      <c r="C96" s="30" t="s">
        <v>986</v>
      </c>
      <c r="D96" s="30" t="s">
        <v>986</v>
      </c>
      <c r="E96" s="30" t="s">
        <v>986</v>
      </c>
      <c r="F96" s="30" t="s">
        <v>986</v>
      </c>
      <c r="G96" s="30" t="s">
        <v>986</v>
      </c>
      <c r="H96" s="30" t="s">
        <v>986</v>
      </c>
      <c r="I96" s="30" t="s">
        <v>986</v>
      </c>
      <c r="J96" s="34" t="s">
        <v>986</v>
      </c>
      <c r="K96" s="33" t="s">
        <v>88</v>
      </c>
    </row>
    <row r="97" spans="1:11" s="30" customFormat="1" ht="10.5" customHeight="1" x14ac:dyDescent="0.15">
      <c r="A97" s="559" t="s">
        <v>644</v>
      </c>
      <c r="B97" s="30" t="s">
        <v>986</v>
      </c>
      <c r="C97" s="30" t="s">
        <v>986</v>
      </c>
      <c r="D97" s="30" t="s">
        <v>986</v>
      </c>
      <c r="E97" s="30" t="s">
        <v>986</v>
      </c>
      <c r="F97" s="30" t="s">
        <v>986</v>
      </c>
      <c r="G97" s="30" t="s">
        <v>986</v>
      </c>
      <c r="H97" s="30">
        <v>31779</v>
      </c>
      <c r="I97" s="30">
        <v>31779</v>
      </c>
      <c r="J97" s="34" t="s">
        <v>986</v>
      </c>
      <c r="K97" s="32" t="s">
        <v>89</v>
      </c>
    </row>
    <row r="98" spans="1:11" s="30" customFormat="1" ht="10.5" customHeight="1" x14ac:dyDescent="0.15">
      <c r="A98" s="559" t="s">
        <v>645</v>
      </c>
      <c r="B98" s="30" t="s">
        <v>986</v>
      </c>
      <c r="C98" s="30" t="s">
        <v>986</v>
      </c>
      <c r="D98" s="30" t="s">
        <v>986</v>
      </c>
      <c r="E98" s="30" t="s">
        <v>986</v>
      </c>
      <c r="F98" s="30" t="s">
        <v>986</v>
      </c>
      <c r="G98" s="30" t="s">
        <v>986</v>
      </c>
      <c r="H98" s="30">
        <v>15663</v>
      </c>
      <c r="I98" s="30">
        <v>15663</v>
      </c>
      <c r="J98" s="34" t="s">
        <v>986</v>
      </c>
      <c r="K98" s="32" t="s">
        <v>90</v>
      </c>
    </row>
    <row r="99" spans="1:11" s="30" customFormat="1" ht="10.5" customHeight="1" x14ac:dyDescent="0.15">
      <c r="A99" s="559" t="s">
        <v>646</v>
      </c>
      <c r="B99" s="30" t="s">
        <v>986</v>
      </c>
      <c r="C99" s="30" t="s">
        <v>986</v>
      </c>
      <c r="D99" s="30" t="s">
        <v>986</v>
      </c>
      <c r="E99" s="30" t="s">
        <v>986</v>
      </c>
      <c r="F99" s="30" t="s">
        <v>986</v>
      </c>
      <c r="G99" s="30" t="s">
        <v>986</v>
      </c>
      <c r="H99" s="30">
        <v>121372</v>
      </c>
      <c r="I99" s="30">
        <v>121372</v>
      </c>
      <c r="J99" s="34" t="s">
        <v>986</v>
      </c>
      <c r="K99" s="32" t="s">
        <v>91</v>
      </c>
    </row>
    <row r="100" spans="1:11" s="30" customFormat="1" ht="10.5" customHeight="1" x14ac:dyDescent="0.15">
      <c r="A100" s="559" t="s">
        <v>647</v>
      </c>
      <c r="B100" s="30" t="s">
        <v>986</v>
      </c>
      <c r="C100" s="30" t="s">
        <v>986</v>
      </c>
      <c r="D100" s="30" t="s">
        <v>986</v>
      </c>
      <c r="E100" s="30" t="s">
        <v>986</v>
      </c>
      <c r="F100" s="30" t="s">
        <v>986</v>
      </c>
      <c r="G100" s="30" t="s">
        <v>986</v>
      </c>
      <c r="H100" s="30">
        <v>111793</v>
      </c>
      <c r="I100" s="30">
        <v>111793</v>
      </c>
      <c r="J100" s="34" t="s">
        <v>986</v>
      </c>
      <c r="K100" s="32" t="s">
        <v>92</v>
      </c>
    </row>
    <row r="101" spans="1:11" s="30" customFormat="1" ht="10.5" customHeight="1" x14ac:dyDescent="0.15">
      <c r="A101" s="559" t="s">
        <v>648</v>
      </c>
      <c r="B101" s="30" t="s">
        <v>986</v>
      </c>
      <c r="C101" s="30" t="s">
        <v>986</v>
      </c>
      <c r="D101" s="30" t="s">
        <v>986</v>
      </c>
      <c r="E101" s="30" t="s">
        <v>986</v>
      </c>
      <c r="F101" s="30" t="s">
        <v>986</v>
      </c>
      <c r="G101" s="30" t="s">
        <v>986</v>
      </c>
      <c r="H101" s="30">
        <v>113990</v>
      </c>
      <c r="I101" s="30">
        <v>113990</v>
      </c>
      <c r="J101" s="34" t="s">
        <v>986</v>
      </c>
      <c r="K101" s="32" t="s">
        <v>76</v>
      </c>
    </row>
    <row r="102" spans="1:11" s="30" customFormat="1" ht="10.5" customHeight="1" x14ac:dyDescent="0.15">
      <c r="A102" s="559" t="s">
        <v>649</v>
      </c>
      <c r="B102" s="30" t="s">
        <v>986</v>
      </c>
      <c r="C102" s="30">
        <v>24826</v>
      </c>
      <c r="D102" s="30" t="s">
        <v>986</v>
      </c>
      <c r="E102" s="30" t="s">
        <v>986</v>
      </c>
      <c r="F102" s="30" t="s">
        <v>986</v>
      </c>
      <c r="G102" s="30" t="s">
        <v>986</v>
      </c>
      <c r="H102" s="30">
        <v>40114</v>
      </c>
      <c r="I102" s="30">
        <v>40114</v>
      </c>
      <c r="J102" s="34" t="s">
        <v>986</v>
      </c>
      <c r="K102" s="32" t="s">
        <v>77</v>
      </c>
    </row>
    <row r="103" spans="1:11" s="30" customFormat="1" ht="10.5" customHeight="1" x14ac:dyDescent="0.15">
      <c r="A103" s="559" t="s">
        <v>650</v>
      </c>
      <c r="B103" s="30" t="s">
        <v>986</v>
      </c>
      <c r="C103" s="30" t="s">
        <v>986</v>
      </c>
      <c r="D103" s="30" t="s">
        <v>986</v>
      </c>
      <c r="E103" s="30" t="s">
        <v>986</v>
      </c>
      <c r="F103" s="30" t="s">
        <v>986</v>
      </c>
      <c r="G103" s="30" t="s">
        <v>986</v>
      </c>
      <c r="H103" s="30">
        <v>8442</v>
      </c>
      <c r="I103" s="30">
        <v>8442</v>
      </c>
      <c r="J103" s="34" t="s">
        <v>986</v>
      </c>
      <c r="K103" s="32" t="s">
        <v>78</v>
      </c>
    </row>
    <row r="104" spans="1:11" s="30" customFormat="1" ht="10.5" customHeight="1" x14ac:dyDescent="0.15">
      <c r="A104" s="559" t="s">
        <v>996</v>
      </c>
      <c r="B104" s="30" t="s">
        <v>986</v>
      </c>
      <c r="C104" s="30" t="s">
        <v>986</v>
      </c>
      <c r="D104" s="30" t="s">
        <v>986</v>
      </c>
      <c r="E104" s="30" t="s">
        <v>986</v>
      </c>
      <c r="F104" s="30" t="s">
        <v>986</v>
      </c>
      <c r="G104" s="30" t="s">
        <v>986</v>
      </c>
      <c r="H104" s="30">
        <v>42827</v>
      </c>
      <c r="I104" s="30">
        <v>42827</v>
      </c>
      <c r="J104" s="34" t="s">
        <v>986</v>
      </c>
      <c r="K104" s="32" t="s">
        <v>997</v>
      </c>
    </row>
    <row r="105" spans="1:11" s="30" customFormat="1" ht="10.5" customHeight="1" x14ac:dyDescent="0.15">
      <c r="A105" s="559" t="s">
        <v>651</v>
      </c>
      <c r="B105" s="30" t="s">
        <v>986</v>
      </c>
      <c r="C105" s="30" t="s">
        <v>986</v>
      </c>
      <c r="D105" s="30" t="s">
        <v>986</v>
      </c>
      <c r="E105" s="30" t="s">
        <v>986</v>
      </c>
      <c r="F105" s="30" t="s">
        <v>986</v>
      </c>
      <c r="G105" s="30" t="s">
        <v>986</v>
      </c>
      <c r="H105" s="30" t="s">
        <v>986</v>
      </c>
      <c r="I105" s="30" t="s">
        <v>986</v>
      </c>
      <c r="J105" s="34" t="s">
        <v>986</v>
      </c>
      <c r="K105" s="32" t="s">
        <v>73</v>
      </c>
    </row>
    <row r="106" spans="1:11" s="30" customFormat="1" ht="10.5" customHeight="1" x14ac:dyDescent="0.15">
      <c r="A106" s="661" t="s">
        <v>652</v>
      </c>
      <c r="B106" s="662" t="s">
        <v>986</v>
      </c>
      <c r="C106" s="663" t="s">
        <v>986</v>
      </c>
      <c r="D106" s="663" t="s">
        <v>986</v>
      </c>
      <c r="E106" s="663" t="s">
        <v>986</v>
      </c>
      <c r="F106" s="663" t="s">
        <v>986</v>
      </c>
      <c r="G106" s="663" t="s">
        <v>986</v>
      </c>
      <c r="H106" s="663">
        <v>34320</v>
      </c>
      <c r="I106" s="663">
        <v>34320</v>
      </c>
      <c r="J106" s="667" t="s">
        <v>986</v>
      </c>
      <c r="K106" s="664" t="s">
        <v>74</v>
      </c>
    </row>
    <row r="107" spans="1:11" ht="9" customHeight="1" x14ac:dyDescent="0.25"/>
    <row r="108" spans="1:11" ht="13.5" customHeight="1" x14ac:dyDescent="0.25"/>
  </sheetData>
  <mergeCells count="3">
    <mergeCell ref="R4:R6"/>
    <mergeCell ref="R39:R41"/>
    <mergeCell ref="K74:K76"/>
  </mergeCells>
  <phoneticPr fontId="33"/>
  <pageMargins left="0.59055118110236227" right="0.59055118110236227" top="0.59055118110236227" bottom="0.59055118110236227" header="0.19685039370078741" footer="0.19685039370078741"/>
  <pageSetup paperSize="9" pageOrder="overThenDown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83"/>
  <sheetViews>
    <sheetView view="pageBreakPreview" zoomScaleNormal="100" zoomScaleSheetLayoutView="100" workbookViewId="0">
      <pane xSplit="1" topLeftCell="B1" activePane="topRight" state="frozen"/>
      <selection pane="topRight"/>
    </sheetView>
  </sheetViews>
  <sheetFormatPr defaultRowHeight="24" x14ac:dyDescent="0.25"/>
  <cols>
    <col min="1" max="1" width="16.125" style="10" customWidth="1"/>
    <col min="2" max="12" width="9.5" style="10" customWidth="1"/>
    <col min="13" max="13" width="9.375" style="10" customWidth="1"/>
    <col min="14" max="17" width="9.5" style="10" customWidth="1"/>
    <col min="18" max="18" width="10.75" style="10" customWidth="1"/>
    <col min="19" max="19" width="10.875" style="11" customWidth="1"/>
    <col min="20" max="20" width="9.5" style="11" customWidth="1"/>
    <col min="21" max="21" width="9.375" style="11" customWidth="1"/>
    <col min="22" max="22" width="11.125" style="11" customWidth="1"/>
    <col min="23" max="23" width="9.875" style="11" customWidth="1"/>
    <col min="24" max="24" width="10.5" style="11" customWidth="1"/>
    <col min="25" max="25" width="22.625" style="11" customWidth="1"/>
    <col min="26" max="26" width="25.625" style="10" customWidth="1"/>
    <col min="27" max="27" width="21.125" style="10" customWidth="1"/>
    <col min="28" max="28" width="20.875" style="10" customWidth="1"/>
    <col min="29" max="29" width="21.25" style="10" customWidth="1"/>
    <col min="30" max="30" width="20.5" style="10" customWidth="1"/>
    <col min="31" max="31" width="19.75" style="10" customWidth="1"/>
    <col min="32" max="32" width="20.75" style="10" customWidth="1"/>
    <col min="33" max="33" width="19.75" style="10" customWidth="1"/>
    <col min="34" max="16384" width="9" style="10"/>
  </cols>
  <sheetData>
    <row r="1" spans="1:25" ht="5.25" customHeight="1" x14ac:dyDescent="0.25">
      <c r="Y1" s="10"/>
    </row>
    <row r="2" spans="1:25" ht="9.75" customHeight="1" x14ac:dyDescent="0.25">
      <c r="A2" s="12"/>
      <c r="Y2" s="10"/>
    </row>
    <row r="3" spans="1:25" ht="18" customHeight="1" x14ac:dyDescent="0.25">
      <c r="A3" s="1033" t="s">
        <v>37</v>
      </c>
      <c r="B3" s="1033"/>
      <c r="C3" s="1033"/>
      <c r="D3" s="1033"/>
      <c r="E3" s="1033"/>
      <c r="F3" s="636"/>
      <c r="I3" s="24" t="s">
        <v>434</v>
      </c>
      <c r="K3" s="24"/>
      <c r="L3" s="24"/>
      <c r="Q3" s="23" t="s">
        <v>435</v>
      </c>
      <c r="R3" s="23"/>
      <c r="W3" s="23"/>
      <c r="X3" s="23"/>
      <c r="Y3" s="10"/>
    </row>
    <row r="4" spans="1:25" s="17" customFormat="1" ht="11.25" customHeight="1" x14ac:dyDescent="0.15">
      <c r="A4" s="668"/>
      <c r="B4" s="669"/>
      <c r="C4" s="670"/>
      <c r="D4" s="668"/>
      <c r="E4" s="670"/>
      <c r="F4" s="671"/>
      <c r="G4" s="671"/>
      <c r="H4" s="671"/>
      <c r="I4" s="671"/>
      <c r="J4" s="671"/>
      <c r="K4" s="671"/>
      <c r="L4" s="671"/>
      <c r="M4" s="671"/>
      <c r="N4" s="671"/>
      <c r="O4" s="671"/>
      <c r="P4" s="671"/>
      <c r="Q4" s="671"/>
      <c r="R4" s="1030" t="s">
        <v>79</v>
      </c>
      <c r="S4" s="16"/>
      <c r="T4" s="16"/>
      <c r="U4" s="16"/>
      <c r="V4" s="16"/>
      <c r="W4" s="16"/>
      <c r="X4" s="16"/>
      <c r="Y4" s="16"/>
    </row>
    <row r="5" spans="1:25" s="35" customFormat="1" ht="28.5" customHeight="1" x14ac:dyDescent="0.15">
      <c r="A5" s="25" t="s">
        <v>172</v>
      </c>
      <c r="B5" s="14" t="s">
        <v>55</v>
      </c>
      <c r="C5" s="14" t="s">
        <v>114</v>
      </c>
      <c r="D5" s="672" t="s">
        <v>780</v>
      </c>
      <c r="E5" s="14" t="s">
        <v>81</v>
      </c>
      <c r="F5" s="673" t="s">
        <v>115</v>
      </c>
      <c r="G5" s="674"/>
      <c r="H5" s="674"/>
      <c r="I5" s="674"/>
      <c r="J5" s="674"/>
      <c r="K5" s="674"/>
      <c r="L5" s="675"/>
      <c r="M5" s="672" t="s">
        <v>589</v>
      </c>
      <c r="N5" s="673" t="s">
        <v>122</v>
      </c>
      <c r="O5" s="674"/>
      <c r="P5" s="674"/>
      <c r="Q5" s="674"/>
      <c r="R5" s="1031"/>
      <c r="S5" s="13"/>
      <c r="T5" s="13"/>
      <c r="U5" s="13"/>
      <c r="V5" s="13"/>
      <c r="W5" s="13"/>
      <c r="X5" s="13"/>
      <c r="Y5" s="13"/>
    </row>
    <row r="6" spans="1:25" s="35" customFormat="1" ht="28.5" customHeight="1" x14ac:dyDescent="0.15">
      <c r="A6" s="25"/>
      <c r="B6" s="14" t="s">
        <v>54</v>
      </c>
      <c r="C6" s="14" t="s">
        <v>83</v>
      </c>
      <c r="D6" s="672" t="s">
        <v>998</v>
      </c>
      <c r="E6" s="14" t="s">
        <v>84</v>
      </c>
      <c r="F6" s="14" t="s">
        <v>38</v>
      </c>
      <c r="G6" s="672" t="s">
        <v>116</v>
      </c>
      <c r="H6" s="672" t="s">
        <v>117</v>
      </c>
      <c r="I6" s="672" t="s">
        <v>118</v>
      </c>
      <c r="J6" s="672" t="s">
        <v>119</v>
      </c>
      <c r="K6" s="672" t="s">
        <v>120</v>
      </c>
      <c r="L6" s="672" t="s">
        <v>655</v>
      </c>
      <c r="M6" s="672" t="s">
        <v>999</v>
      </c>
      <c r="N6" s="14" t="s">
        <v>18</v>
      </c>
      <c r="O6" s="672" t="s">
        <v>123</v>
      </c>
      <c r="P6" s="672" t="s">
        <v>124</v>
      </c>
      <c r="Q6" s="673" t="s">
        <v>125</v>
      </c>
      <c r="R6" s="1031"/>
      <c r="S6" s="13"/>
      <c r="T6" s="13"/>
      <c r="U6" s="13"/>
      <c r="V6" s="13"/>
      <c r="W6" s="13"/>
      <c r="X6" s="13"/>
      <c r="Y6" s="13"/>
    </row>
    <row r="7" spans="1:25" s="35" customFormat="1" ht="12" customHeight="1" x14ac:dyDescent="0.15">
      <c r="A7" s="25"/>
      <c r="B7" s="15"/>
      <c r="C7" s="15"/>
      <c r="D7" s="15" t="str">
        <f>PROPER("CPC-B")</f>
        <v>Cpc-B</v>
      </c>
      <c r="E7" s="15"/>
      <c r="F7" s="15"/>
      <c r="G7" s="15" t="str">
        <f>PROPER("BACH HO")</f>
        <v>Bach Ho</v>
      </c>
      <c r="H7" s="15" t="str">
        <f>PROPER("DAI HUNG")</f>
        <v>Dai Hung</v>
      </c>
      <c r="I7" s="15" t="str">
        <f>PROPER("RUBY")</f>
        <v>Ruby</v>
      </c>
      <c r="J7" s="15" t="str">
        <f>PROPER("SUTUDEN")</f>
        <v>Sutuden</v>
      </c>
      <c r="K7" s="15" t="str">
        <f>PROPER("CHIM-SAO")</f>
        <v>Chim-Sao</v>
      </c>
      <c r="L7" s="15" t="str">
        <f>PROPER("TANGLONG")</f>
        <v>Tanglong</v>
      </c>
      <c r="M7" s="15" t="str">
        <f>PROPER("THAI-FO")</f>
        <v>Thai-Fo</v>
      </c>
      <c r="N7" s="15"/>
      <c r="O7" s="15" t="str">
        <f>PROPER("DULANG")</f>
        <v>Dulang</v>
      </c>
      <c r="P7" s="15" t="str">
        <f>PROPER("PENARA-B")</f>
        <v>Penara-B</v>
      </c>
      <c r="Q7" s="676" t="str">
        <f>PROPER("SEPAT")</f>
        <v>Sepat</v>
      </c>
      <c r="R7" s="1032"/>
      <c r="S7" s="13"/>
      <c r="T7" s="13"/>
      <c r="U7" s="13"/>
      <c r="V7" s="13"/>
      <c r="W7" s="13"/>
      <c r="X7" s="13"/>
      <c r="Y7" s="13"/>
    </row>
    <row r="8" spans="1:25" s="37" customFormat="1" ht="10.5" customHeight="1" x14ac:dyDescent="0.15">
      <c r="A8" s="657" t="s">
        <v>985</v>
      </c>
      <c r="B8" s="677">
        <v>175488885</v>
      </c>
      <c r="C8" s="678">
        <v>1092458</v>
      </c>
      <c r="D8" s="678">
        <v>1092458</v>
      </c>
      <c r="E8" s="678">
        <v>1827860</v>
      </c>
      <c r="F8" s="678">
        <v>586629</v>
      </c>
      <c r="G8" s="678">
        <v>37872</v>
      </c>
      <c r="H8" s="678">
        <v>126757</v>
      </c>
      <c r="I8" s="678" t="s">
        <v>986</v>
      </c>
      <c r="J8" s="678">
        <v>236789</v>
      </c>
      <c r="K8" s="678">
        <v>185211</v>
      </c>
      <c r="L8" s="678" t="s">
        <v>986</v>
      </c>
      <c r="M8" s="678" t="s">
        <v>986</v>
      </c>
      <c r="N8" s="678">
        <v>751894</v>
      </c>
      <c r="O8" s="678">
        <v>97712</v>
      </c>
      <c r="P8" s="678">
        <v>174097</v>
      </c>
      <c r="Q8" s="678">
        <v>280165</v>
      </c>
      <c r="R8" s="679" t="s">
        <v>485</v>
      </c>
      <c r="S8" s="36"/>
      <c r="T8" s="36"/>
      <c r="U8" s="36"/>
      <c r="V8" s="36"/>
      <c r="W8" s="36"/>
      <c r="X8" s="36"/>
      <c r="Y8" s="36"/>
    </row>
    <row r="9" spans="1:25" s="37" customFormat="1" ht="10.5" customHeight="1" x14ac:dyDescent="0.15">
      <c r="A9" s="559" t="s">
        <v>634</v>
      </c>
      <c r="B9" s="38">
        <v>143879667</v>
      </c>
      <c r="C9" s="37">
        <v>998907</v>
      </c>
      <c r="D9" s="37">
        <v>998907</v>
      </c>
      <c r="E9" s="37">
        <v>1168949</v>
      </c>
      <c r="F9" s="37">
        <v>397479</v>
      </c>
      <c r="G9" s="37">
        <v>144883</v>
      </c>
      <c r="H9" s="37">
        <v>111767</v>
      </c>
      <c r="I9" s="37">
        <v>46056</v>
      </c>
      <c r="J9" s="37">
        <v>47380</v>
      </c>
      <c r="K9" s="37">
        <v>47393</v>
      </c>
      <c r="L9" s="37" t="s">
        <v>986</v>
      </c>
      <c r="M9" s="37">
        <v>11177</v>
      </c>
      <c r="N9" s="37">
        <v>667645</v>
      </c>
      <c r="O9" s="37">
        <v>108958</v>
      </c>
      <c r="P9" s="37">
        <v>216981</v>
      </c>
      <c r="Q9" s="37">
        <v>183317</v>
      </c>
      <c r="R9" s="39" t="s">
        <v>588</v>
      </c>
      <c r="S9" s="36"/>
      <c r="T9" s="36"/>
      <c r="U9" s="36"/>
      <c r="V9" s="36"/>
      <c r="W9" s="36"/>
      <c r="X9" s="36"/>
      <c r="Y9" s="36"/>
    </row>
    <row r="10" spans="1:25" s="37" customFormat="1" ht="10.5" customHeight="1" x14ac:dyDescent="0.15">
      <c r="A10" s="559" t="s">
        <v>635</v>
      </c>
      <c r="B10" s="38">
        <v>144662684</v>
      </c>
      <c r="C10" s="37">
        <v>166004</v>
      </c>
      <c r="D10" s="37">
        <v>166004</v>
      </c>
      <c r="E10" s="37">
        <v>1244456</v>
      </c>
      <c r="F10" s="37">
        <v>321963</v>
      </c>
      <c r="G10" s="37" t="s">
        <v>986</v>
      </c>
      <c r="H10" s="37" t="s">
        <v>986</v>
      </c>
      <c r="I10" s="37">
        <v>139963</v>
      </c>
      <c r="J10" s="37">
        <v>95040</v>
      </c>
      <c r="K10" s="37">
        <v>47483</v>
      </c>
      <c r="L10" s="37">
        <v>39477</v>
      </c>
      <c r="M10" s="37">
        <v>49688</v>
      </c>
      <c r="N10" s="37">
        <v>516977</v>
      </c>
      <c r="O10" s="37">
        <v>31645</v>
      </c>
      <c r="P10" s="37">
        <v>64109</v>
      </c>
      <c r="Q10" s="37">
        <v>318998</v>
      </c>
      <c r="R10" s="39" t="s">
        <v>636</v>
      </c>
      <c r="S10" s="36"/>
      <c r="T10" s="36"/>
      <c r="U10" s="36"/>
      <c r="V10" s="36"/>
      <c r="W10" s="36"/>
      <c r="X10" s="36"/>
      <c r="Y10" s="36"/>
    </row>
    <row r="11" spans="1:25" s="37" customFormat="1" ht="10.5" customHeight="1" x14ac:dyDescent="0.15">
      <c r="A11" s="559" t="s">
        <v>774</v>
      </c>
      <c r="B11" s="38">
        <v>158641580</v>
      </c>
      <c r="C11" s="37">
        <v>172335</v>
      </c>
      <c r="D11" s="37">
        <v>172335</v>
      </c>
      <c r="E11" s="37">
        <v>1189732</v>
      </c>
      <c r="F11" s="37">
        <v>607817</v>
      </c>
      <c r="G11" s="37" t="s">
        <v>986</v>
      </c>
      <c r="H11" s="37" t="s">
        <v>986</v>
      </c>
      <c r="I11" s="37" t="s">
        <v>986</v>
      </c>
      <c r="J11" s="37">
        <v>429076</v>
      </c>
      <c r="K11" s="37">
        <v>139248</v>
      </c>
      <c r="L11" s="37">
        <v>39493</v>
      </c>
      <c r="M11" s="37">
        <v>56634</v>
      </c>
      <c r="N11" s="37">
        <v>278902</v>
      </c>
      <c r="O11" s="37" t="s">
        <v>986</v>
      </c>
      <c r="P11" s="37" t="s">
        <v>986</v>
      </c>
      <c r="Q11" s="37">
        <v>246579</v>
      </c>
      <c r="R11" s="39" t="s">
        <v>775</v>
      </c>
      <c r="S11" s="36"/>
      <c r="T11" s="36"/>
      <c r="U11" s="36"/>
      <c r="V11" s="36"/>
      <c r="W11" s="36"/>
      <c r="X11" s="36"/>
      <c r="Y11" s="36"/>
    </row>
    <row r="12" spans="1:25" s="37" customFormat="1" ht="10.5" customHeight="1" x14ac:dyDescent="0.15">
      <c r="A12" s="559" t="s">
        <v>987</v>
      </c>
      <c r="B12" s="38">
        <v>147661066</v>
      </c>
      <c r="C12" s="37" t="s">
        <v>986</v>
      </c>
      <c r="D12" s="37" t="s">
        <v>986</v>
      </c>
      <c r="E12" s="37">
        <v>1046476</v>
      </c>
      <c r="F12" s="37">
        <v>343702</v>
      </c>
      <c r="G12" s="37">
        <v>146028</v>
      </c>
      <c r="H12" s="37" t="s">
        <v>986</v>
      </c>
      <c r="I12" s="37">
        <v>118709</v>
      </c>
      <c r="J12" s="37" t="s">
        <v>986</v>
      </c>
      <c r="K12" s="37" t="s">
        <v>986</v>
      </c>
      <c r="L12" s="37">
        <v>78965</v>
      </c>
      <c r="M12" s="37" t="s">
        <v>986</v>
      </c>
      <c r="N12" s="37">
        <v>176538</v>
      </c>
      <c r="O12" s="37" t="s">
        <v>986</v>
      </c>
      <c r="P12" s="37" t="s">
        <v>986</v>
      </c>
      <c r="Q12" s="37">
        <v>126754</v>
      </c>
      <c r="R12" s="39" t="s">
        <v>988</v>
      </c>
      <c r="S12" s="36"/>
      <c r="T12" s="36"/>
      <c r="U12" s="36"/>
      <c r="V12" s="36"/>
      <c r="W12" s="36"/>
      <c r="X12" s="36"/>
      <c r="Y12" s="36"/>
    </row>
    <row r="13" spans="1:25" s="37" customFormat="1" ht="10.5" customHeight="1" x14ac:dyDescent="0.15">
      <c r="A13" s="578"/>
      <c r="B13" s="38"/>
      <c r="R13" s="39"/>
      <c r="S13" s="36"/>
      <c r="T13" s="36"/>
      <c r="U13" s="36"/>
      <c r="V13" s="36"/>
      <c r="W13" s="36"/>
      <c r="X13" s="36"/>
      <c r="Y13" s="36"/>
    </row>
    <row r="14" spans="1:25" s="37" customFormat="1" ht="10.5" customHeight="1" x14ac:dyDescent="0.15">
      <c r="A14" s="559" t="s">
        <v>989</v>
      </c>
      <c r="B14" s="38">
        <v>156562747</v>
      </c>
      <c r="C14" s="37" t="s">
        <v>986</v>
      </c>
      <c r="D14" s="37" t="s">
        <v>986</v>
      </c>
      <c r="E14" s="37">
        <v>1118632</v>
      </c>
      <c r="F14" s="37">
        <v>556421</v>
      </c>
      <c r="G14" s="37" t="s">
        <v>986</v>
      </c>
      <c r="H14" s="37" t="s">
        <v>986</v>
      </c>
      <c r="I14" s="37" t="s">
        <v>986</v>
      </c>
      <c r="J14" s="37">
        <v>384035</v>
      </c>
      <c r="K14" s="37">
        <v>91874</v>
      </c>
      <c r="L14" s="37">
        <v>80512</v>
      </c>
      <c r="M14" s="37">
        <v>49826</v>
      </c>
      <c r="N14" s="37">
        <v>215933</v>
      </c>
      <c r="O14" s="37" t="s">
        <v>986</v>
      </c>
      <c r="P14" s="37" t="s">
        <v>986</v>
      </c>
      <c r="Q14" s="37">
        <v>215933</v>
      </c>
      <c r="R14" s="39" t="s">
        <v>776</v>
      </c>
      <c r="S14" s="36"/>
      <c r="T14" s="36"/>
      <c r="U14" s="36"/>
      <c r="V14" s="36"/>
      <c r="W14" s="36"/>
      <c r="X14" s="36"/>
      <c r="Y14" s="36"/>
    </row>
    <row r="15" spans="1:25" s="37" customFormat="1" ht="10.5" customHeight="1" x14ac:dyDescent="0.15">
      <c r="A15" s="559" t="s">
        <v>990</v>
      </c>
      <c r="B15" s="38">
        <v>144801793</v>
      </c>
      <c r="C15" s="37" t="s">
        <v>986</v>
      </c>
      <c r="D15" s="37" t="s">
        <v>986</v>
      </c>
      <c r="E15" s="37">
        <v>920288</v>
      </c>
      <c r="F15" s="37">
        <v>347509</v>
      </c>
      <c r="G15" s="37">
        <v>146028</v>
      </c>
      <c r="H15" s="37" t="s">
        <v>986</v>
      </c>
      <c r="I15" s="37">
        <v>118709</v>
      </c>
      <c r="J15" s="37">
        <v>44826</v>
      </c>
      <c r="K15" s="37" t="s">
        <v>986</v>
      </c>
      <c r="L15" s="37">
        <v>37946</v>
      </c>
      <c r="M15" s="37" t="s">
        <v>986</v>
      </c>
      <c r="N15" s="37">
        <v>113103</v>
      </c>
      <c r="O15" s="37" t="s">
        <v>986</v>
      </c>
      <c r="P15" s="37" t="s">
        <v>986</v>
      </c>
      <c r="Q15" s="37">
        <v>63319</v>
      </c>
      <c r="R15" s="39" t="s">
        <v>991</v>
      </c>
      <c r="S15" s="36"/>
      <c r="T15" s="36"/>
      <c r="U15" s="36"/>
      <c r="V15" s="36"/>
      <c r="W15" s="36"/>
      <c r="X15" s="36"/>
      <c r="Y15" s="36"/>
    </row>
    <row r="16" spans="1:25" s="37" customFormat="1" ht="10.5" customHeight="1" x14ac:dyDescent="0.15">
      <c r="A16" s="578"/>
      <c r="B16" s="38"/>
      <c r="R16" s="39"/>
      <c r="S16" s="36"/>
      <c r="T16" s="36"/>
      <c r="U16" s="36"/>
      <c r="V16" s="36"/>
      <c r="W16" s="36"/>
      <c r="X16" s="36"/>
      <c r="Y16" s="36"/>
    </row>
    <row r="17" spans="1:25" s="37" customFormat="1" ht="10.5" customHeight="1" x14ac:dyDescent="0.15">
      <c r="A17" s="559" t="s">
        <v>992</v>
      </c>
      <c r="B17" s="38">
        <v>37920597</v>
      </c>
      <c r="C17" s="37" t="s">
        <v>986</v>
      </c>
      <c r="D17" s="37" t="s">
        <v>986</v>
      </c>
      <c r="E17" s="37">
        <v>246500</v>
      </c>
      <c r="F17" s="37">
        <v>41019</v>
      </c>
      <c r="G17" s="37" t="s">
        <v>986</v>
      </c>
      <c r="H17" s="37" t="s">
        <v>986</v>
      </c>
      <c r="I17" s="37" t="s">
        <v>986</v>
      </c>
      <c r="J17" s="37" t="s">
        <v>986</v>
      </c>
      <c r="K17" s="37" t="s">
        <v>986</v>
      </c>
      <c r="L17" s="37">
        <v>41019</v>
      </c>
      <c r="M17" s="37" t="s">
        <v>986</v>
      </c>
      <c r="N17" s="37">
        <v>63435</v>
      </c>
      <c r="O17" s="37" t="s">
        <v>986</v>
      </c>
      <c r="P17" s="37" t="s">
        <v>986</v>
      </c>
      <c r="Q17" s="37">
        <v>63435</v>
      </c>
      <c r="R17" s="39" t="s">
        <v>777</v>
      </c>
      <c r="S17" s="36"/>
      <c r="T17" s="36"/>
      <c r="U17" s="36"/>
      <c r="V17" s="36"/>
      <c r="W17" s="36"/>
      <c r="X17" s="36"/>
      <c r="Y17" s="36"/>
    </row>
    <row r="18" spans="1:25" s="37" customFormat="1" ht="10.5" customHeight="1" x14ac:dyDescent="0.15">
      <c r="A18" s="559" t="s">
        <v>637</v>
      </c>
      <c r="B18" s="38">
        <v>36629786</v>
      </c>
      <c r="C18" s="37" t="s">
        <v>986</v>
      </c>
      <c r="D18" s="37" t="s">
        <v>986</v>
      </c>
      <c r="E18" s="37">
        <v>245585</v>
      </c>
      <c r="F18" s="37" t="s">
        <v>986</v>
      </c>
      <c r="G18" s="37" t="s">
        <v>986</v>
      </c>
      <c r="H18" s="37" t="s">
        <v>986</v>
      </c>
      <c r="I18" s="37" t="s">
        <v>986</v>
      </c>
      <c r="J18" s="37" t="s">
        <v>986</v>
      </c>
      <c r="K18" s="37" t="s">
        <v>986</v>
      </c>
      <c r="L18" s="37" t="s">
        <v>986</v>
      </c>
      <c r="M18" s="37" t="s">
        <v>986</v>
      </c>
      <c r="N18" s="37">
        <v>81442</v>
      </c>
      <c r="O18" s="37" t="s">
        <v>986</v>
      </c>
      <c r="P18" s="37" t="s">
        <v>986</v>
      </c>
      <c r="Q18" s="37">
        <v>31658</v>
      </c>
      <c r="R18" s="39" t="s">
        <v>85</v>
      </c>
      <c r="S18" s="36"/>
      <c r="T18" s="36"/>
      <c r="U18" s="36"/>
      <c r="V18" s="36"/>
      <c r="W18" s="36"/>
      <c r="X18" s="36"/>
      <c r="Y18" s="36"/>
    </row>
    <row r="19" spans="1:25" s="37" customFormat="1" ht="10.5" customHeight="1" x14ac:dyDescent="0.15">
      <c r="A19" s="559" t="s">
        <v>638</v>
      </c>
      <c r="B19" s="38">
        <v>36272360</v>
      </c>
      <c r="C19" s="37" t="s">
        <v>986</v>
      </c>
      <c r="D19" s="37" t="s">
        <v>986</v>
      </c>
      <c r="E19" s="37">
        <v>287771</v>
      </c>
      <c r="F19" s="37">
        <v>215407</v>
      </c>
      <c r="G19" s="37">
        <v>96698</v>
      </c>
      <c r="H19" s="37" t="s">
        <v>986</v>
      </c>
      <c r="I19" s="37">
        <v>118709</v>
      </c>
      <c r="J19" s="37" t="s">
        <v>986</v>
      </c>
      <c r="K19" s="37" t="s">
        <v>986</v>
      </c>
      <c r="L19" s="37" t="s">
        <v>986</v>
      </c>
      <c r="M19" s="37" t="s">
        <v>986</v>
      </c>
      <c r="N19" s="37" t="s">
        <v>986</v>
      </c>
      <c r="O19" s="37" t="s">
        <v>986</v>
      </c>
      <c r="P19" s="37" t="s">
        <v>986</v>
      </c>
      <c r="Q19" s="37" t="s">
        <v>986</v>
      </c>
      <c r="R19" s="39" t="s">
        <v>86</v>
      </c>
      <c r="S19" s="36"/>
      <c r="T19" s="36"/>
      <c r="U19" s="36"/>
      <c r="V19" s="36"/>
      <c r="W19" s="36"/>
      <c r="X19" s="36"/>
      <c r="Y19" s="36"/>
    </row>
    <row r="20" spans="1:25" s="37" customFormat="1" ht="10.5" customHeight="1" x14ac:dyDescent="0.15">
      <c r="A20" s="559" t="s">
        <v>639</v>
      </c>
      <c r="B20" s="38">
        <v>36838323</v>
      </c>
      <c r="C20" s="37" t="s">
        <v>986</v>
      </c>
      <c r="D20" s="37" t="s">
        <v>986</v>
      </c>
      <c r="E20" s="37">
        <v>266620</v>
      </c>
      <c r="F20" s="37">
        <v>87276</v>
      </c>
      <c r="G20" s="37">
        <v>49330</v>
      </c>
      <c r="H20" s="37" t="s">
        <v>986</v>
      </c>
      <c r="I20" s="37" t="s">
        <v>986</v>
      </c>
      <c r="J20" s="37" t="s">
        <v>986</v>
      </c>
      <c r="K20" s="37" t="s">
        <v>986</v>
      </c>
      <c r="L20" s="37">
        <v>37946</v>
      </c>
      <c r="M20" s="37" t="s">
        <v>986</v>
      </c>
      <c r="N20" s="37">
        <v>31661</v>
      </c>
      <c r="O20" s="37" t="s">
        <v>986</v>
      </c>
      <c r="P20" s="37" t="s">
        <v>986</v>
      </c>
      <c r="Q20" s="37">
        <v>31661</v>
      </c>
      <c r="R20" s="39" t="s">
        <v>87</v>
      </c>
      <c r="S20" s="36"/>
      <c r="T20" s="36"/>
      <c r="U20" s="36"/>
      <c r="V20" s="36"/>
      <c r="W20" s="36"/>
      <c r="X20" s="36"/>
      <c r="Y20" s="36"/>
    </row>
    <row r="21" spans="1:25" s="37" customFormat="1" ht="10.5" customHeight="1" x14ac:dyDescent="0.15">
      <c r="A21" s="559" t="s">
        <v>993</v>
      </c>
      <c r="B21" s="38">
        <v>35061324</v>
      </c>
      <c r="C21" s="37" t="s">
        <v>986</v>
      </c>
      <c r="D21" s="37" t="s">
        <v>986</v>
      </c>
      <c r="E21" s="37">
        <v>120312</v>
      </c>
      <c r="F21" s="37">
        <v>44826</v>
      </c>
      <c r="G21" s="37" t="s">
        <v>986</v>
      </c>
      <c r="H21" s="37" t="s">
        <v>986</v>
      </c>
      <c r="I21" s="37" t="s">
        <v>986</v>
      </c>
      <c r="J21" s="37">
        <v>44826</v>
      </c>
      <c r="K21" s="37" t="s">
        <v>986</v>
      </c>
      <c r="L21" s="37" t="s">
        <v>986</v>
      </c>
      <c r="M21" s="37" t="s">
        <v>986</v>
      </c>
      <c r="N21" s="37" t="s">
        <v>986</v>
      </c>
      <c r="O21" s="37" t="s">
        <v>986</v>
      </c>
      <c r="P21" s="37" t="s">
        <v>986</v>
      </c>
      <c r="Q21" s="37" t="s">
        <v>986</v>
      </c>
      <c r="R21" s="39" t="s">
        <v>994</v>
      </c>
      <c r="S21" s="36"/>
      <c r="T21" s="36"/>
      <c r="U21" s="36"/>
      <c r="V21" s="36"/>
      <c r="W21" s="36"/>
      <c r="X21" s="36"/>
      <c r="Y21" s="36"/>
    </row>
    <row r="22" spans="1:25" s="37" customFormat="1" ht="10.5" customHeight="1" x14ac:dyDescent="0.15">
      <c r="A22" s="578"/>
      <c r="B22" s="38"/>
      <c r="R22" s="39"/>
      <c r="S22" s="36"/>
      <c r="T22" s="36"/>
      <c r="U22" s="36"/>
      <c r="V22" s="36"/>
      <c r="W22" s="36"/>
      <c r="X22" s="36"/>
      <c r="Y22" s="36"/>
    </row>
    <row r="23" spans="1:25" s="37" customFormat="1" ht="10.5" customHeight="1" x14ac:dyDescent="0.15">
      <c r="A23" s="559" t="s">
        <v>995</v>
      </c>
      <c r="B23" s="38">
        <v>13423041</v>
      </c>
      <c r="C23" s="37" t="s">
        <v>986</v>
      </c>
      <c r="D23" s="37" t="s">
        <v>986</v>
      </c>
      <c r="E23" s="37">
        <v>53836</v>
      </c>
      <c r="F23" s="37" t="s">
        <v>986</v>
      </c>
      <c r="G23" s="37" t="s">
        <v>986</v>
      </c>
      <c r="H23" s="37" t="s">
        <v>986</v>
      </c>
      <c r="I23" s="37" t="s">
        <v>986</v>
      </c>
      <c r="J23" s="37" t="s">
        <v>986</v>
      </c>
      <c r="K23" s="37" t="s">
        <v>986</v>
      </c>
      <c r="L23" s="37" t="s">
        <v>986</v>
      </c>
      <c r="M23" s="37" t="s">
        <v>986</v>
      </c>
      <c r="N23" s="37">
        <v>31736</v>
      </c>
      <c r="O23" s="37" t="s">
        <v>986</v>
      </c>
      <c r="P23" s="37" t="s">
        <v>986</v>
      </c>
      <c r="Q23" s="37">
        <v>31736</v>
      </c>
      <c r="R23" s="39" t="s">
        <v>778</v>
      </c>
      <c r="S23" s="36"/>
      <c r="T23" s="36"/>
      <c r="U23" s="36"/>
      <c r="V23" s="36"/>
      <c r="W23" s="36"/>
      <c r="X23" s="36"/>
      <c r="Y23" s="36"/>
    </row>
    <row r="24" spans="1:25" s="37" customFormat="1" ht="10.5" customHeight="1" x14ac:dyDescent="0.15">
      <c r="A24" s="559" t="s">
        <v>640</v>
      </c>
      <c r="B24" s="38">
        <v>12141784</v>
      </c>
      <c r="C24" s="37" t="s">
        <v>986</v>
      </c>
      <c r="D24" s="37" t="s">
        <v>986</v>
      </c>
      <c r="E24" s="37">
        <v>79422</v>
      </c>
      <c r="F24" s="37" t="s">
        <v>986</v>
      </c>
      <c r="G24" s="37" t="s">
        <v>986</v>
      </c>
      <c r="H24" s="37" t="s">
        <v>986</v>
      </c>
      <c r="I24" s="37" t="s">
        <v>986</v>
      </c>
      <c r="J24" s="37" t="s">
        <v>986</v>
      </c>
      <c r="K24" s="37" t="s">
        <v>986</v>
      </c>
      <c r="L24" s="37" t="s">
        <v>986</v>
      </c>
      <c r="M24" s="37" t="s">
        <v>986</v>
      </c>
      <c r="N24" s="37">
        <v>31699</v>
      </c>
      <c r="O24" s="37" t="s">
        <v>986</v>
      </c>
      <c r="P24" s="37" t="s">
        <v>986</v>
      </c>
      <c r="Q24" s="37">
        <v>31699</v>
      </c>
      <c r="R24" s="39" t="s">
        <v>73</v>
      </c>
      <c r="S24" s="36"/>
      <c r="T24" s="36"/>
      <c r="U24" s="36"/>
      <c r="V24" s="36"/>
      <c r="W24" s="36"/>
      <c r="X24" s="36"/>
      <c r="Y24" s="36"/>
    </row>
    <row r="25" spans="1:25" s="37" customFormat="1" ht="10.5" customHeight="1" x14ac:dyDescent="0.15">
      <c r="A25" s="559" t="s">
        <v>641</v>
      </c>
      <c r="B25" s="38">
        <v>12355772</v>
      </c>
      <c r="C25" s="37" t="s">
        <v>986</v>
      </c>
      <c r="D25" s="37" t="s">
        <v>986</v>
      </c>
      <c r="E25" s="37">
        <v>113242</v>
      </c>
      <c r="F25" s="37">
        <v>41019</v>
      </c>
      <c r="G25" s="37" t="s">
        <v>986</v>
      </c>
      <c r="H25" s="37" t="s">
        <v>986</v>
      </c>
      <c r="I25" s="37" t="s">
        <v>986</v>
      </c>
      <c r="J25" s="37" t="s">
        <v>986</v>
      </c>
      <c r="K25" s="37" t="s">
        <v>986</v>
      </c>
      <c r="L25" s="37">
        <v>41019</v>
      </c>
      <c r="M25" s="37" t="s">
        <v>986</v>
      </c>
      <c r="N25" s="37" t="s">
        <v>986</v>
      </c>
      <c r="O25" s="37" t="s">
        <v>986</v>
      </c>
      <c r="P25" s="37" t="s">
        <v>986</v>
      </c>
      <c r="Q25" s="37" t="s">
        <v>986</v>
      </c>
      <c r="R25" s="39" t="s">
        <v>74</v>
      </c>
      <c r="S25" s="36"/>
      <c r="T25" s="36"/>
      <c r="U25" s="36"/>
      <c r="V25" s="36"/>
      <c r="W25" s="36"/>
      <c r="X25" s="36"/>
      <c r="Y25" s="36"/>
    </row>
    <row r="26" spans="1:25" s="37" customFormat="1" ht="10.5" customHeight="1" x14ac:dyDescent="0.15">
      <c r="A26" s="559" t="s">
        <v>642</v>
      </c>
      <c r="B26" s="38">
        <v>13692802</v>
      </c>
      <c r="C26" s="37" t="s">
        <v>986</v>
      </c>
      <c r="D26" s="37" t="s">
        <v>986</v>
      </c>
      <c r="E26" s="37">
        <v>82252</v>
      </c>
      <c r="F26" s="37" t="s">
        <v>986</v>
      </c>
      <c r="G26" s="37" t="s">
        <v>986</v>
      </c>
      <c r="H26" s="37" t="s">
        <v>986</v>
      </c>
      <c r="I26" s="37" t="s">
        <v>986</v>
      </c>
      <c r="J26" s="37" t="s">
        <v>986</v>
      </c>
      <c r="K26" s="37" t="s">
        <v>986</v>
      </c>
      <c r="L26" s="37" t="s">
        <v>986</v>
      </c>
      <c r="M26" s="37" t="s">
        <v>986</v>
      </c>
      <c r="N26" s="37">
        <v>49784</v>
      </c>
      <c r="O26" s="37" t="s">
        <v>986</v>
      </c>
      <c r="P26" s="37" t="s">
        <v>986</v>
      </c>
      <c r="Q26" s="37" t="s">
        <v>986</v>
      </c>
      <c r="R26" s="39" t="s">
        <v>75</v>
      </c>
      <c r="S26" s="36"/>
      <c r="T26" s="36"/>
      <c r="U26" s="36"/>
      <c r="V26" s="36"/>
      <c r="W26" s="36"/>
      <c r="X26" s="36"/>
      <c r="Y26" s="36"/>
    </row>
    <row r="27" spans="1:25" s="37" customFormat="1" ht="10.5" customHeight="1" x14ac:dyDescent="0.15">
      <c r="A27" s="559" t="s">
        <v>643</v>
      </c>
      <c r="B27" s="38">
        <v>12061908</v>
      </c>
      <c r="C27" s="37" t="s">
        <v>986</v>
      </c>
      <c r="D27" s="37" t="s">
        <v>986</v>
      </c>
      <c r="E27" s="37">
        <v>31658</v>
      </c>
      <c r="F27" s="37" t="s">
        <v>986</v>
      </c>
      <c r="G27" s="37" t="s">
        <v>986</v>
      </c>
      <c r="H27" s="37" t="s">
        <v>986</v>
      </c>
      <c r="I27" s="37" t="s">
        <v>986</v>
      </c>
      <c r="J27" s="37" t="s">
        <v>986</v>
      </c>
      <c r="K27" s="37" t="s">
        <v>986</v>
      </c>
      <c r="L27" s="37" t="s">
        <v>986</v>
      </c>
      <c r="M27" s="37" t="s">
        <v>986</v>
      </c>
      <c r="N27" s="37">
        <v>31658</v>
      </c>
      <c r="O27" s="37" t="s">
        <v>986</v>
      </c>
      <c r="P27" s="37" t="s">
        <v>986</v>
      </c>
      <c r="Q27" s="37">
        <v>31658</v>
      </c>
      <c r="R27" s="40" t="s">
        <v>88</v>
      </c>
      <c r="S27" s="36"/>
      <c r="T27" s="36"/>
      <c r="U27" s="36"/>
      <c r="V27" s="36"/>
      <c r="W27" s="36"/>
      <c r="X27" s="36"/>
      <c r="Y27" s="36"/>
    </row>
    <row r="28" spans="1:25" s="37" customFormat="1" ht="10.5" customHeight="1" x14ac:dyDescent="0.15">
      <c r="A28" s="559" t="s">
        <v>644</v>
      </c>
      <c r="B28" s="38">
        <v>10875076</v>
      </c>
      <c r="C28" s="37" t="s">
        <v>986</v>
      </c>
      <c r="D28" s="37" t="s">
        <v>986</v>
      </c>
      <c r="E28" s="37">
        <v>131675</v>
      </c>
      <c r="F28" s="37" t="s">
        <v>986</v>
      </c>
      <c r="G28" s="37" t="s">
        <v>986</v>
      </c>
      <c r="H28" s="37" t="s">
        <v>986</v>
      </c>
      <c r="I28" s="37" t="s">
        <v>986</v>
      </c>
      <c r="J28" s="37" t="s">
        <v>986</v>
      </c>
      <c r="K28" s="37" t="s">
        <v>986</v>
      </c>
      <c r="L28" s="37" t="s">
        <v>986</v>
      </c>
      <c r="M28" s="37" t="s">
        <v>986</v>
      </c>
      <c r="N28" s="37" t="s">
        <v>986</v>
      </c>
      <c r="O28" s="37" t="s">
        <v>986</v>
      </c>
      <c r="P28" s="37" t="s">
        <v>986</v>
      </c>
      <c r="Q28" s="37" t="s">
        <v>986</v>
      </c>
      <c r="R28" s="39" t="s">
        <v>89</v>
      </c>
      <c r="S28" s="36"/>
      <c r="T28" s="36"/>
      <c r="U28" s="36"/>
      <c r="V28" s="36"/>
      <c r="W28" s="36"/>
      <c r="X28" s="36"/>
      <c r="Y28" s="36"/>
    </row>
    <row r="29" spans="1:25" s="37" customFormat="1" ht="10.5" customHeight="1" x14ac:dyDescent="0.15">
      <c r="A29" s="559" t="s">
        <v>645</v>
      </c>
      <c r="B29" s="38">
        <v>11525824</v>
      </c>
      <c r="C29" s="37" t="s">
        <v>986</v>
      </c>
      <c r="D29" s="37" t="s">
        <v>986</v>
      </c>
      <c r="E29" s="37">
        <v>104420</v>
      </c>
      <c r="F29" s="37">
        <v>104420</v>
      </c>
      <c r="G29" s="37">
        <v>48945</v>
      </c>
      <c r="H29" s="37" t="s">
        <v>986</v>
      </c>
      <c r="I29" s="37">
        <v>55475</v>
      </c>
      <c r="J29" s="37" t="s">
        <v>986</v>
      </c>
      <c r="K29" s="37" t="s">
        <v>986</v>
      </c>
      <c r="L29" s="37" t="s">
        <v>986</v>
      </c>
      <c r="M29" s="37" t="s">
        <v>986</v>
      </c>
      <c r="N29" s="37" t="s">
        <v>986</v>
      </c>
      <c r="O29" s="37" t="s">
        <v>986</v>
      </c>
      <c r="P29" s="37" t="s">
        <v>986</v>
      </c>
      <c r="Q29" s="37" t="s">
        <v>986</v>
      </c>
      <c r="R29" s="39" t="s">
        <v>90</v>
      </c>
      <c r="S29" s="36"/>
      <c r="T29" s="36"/>
      <c r="U29" s="36"/>
      <c r="V29" s="36"/>
      <c r="W29" s="36"/>
      <c r="X29" s="36"/>
      <c r="Y29" s="36"/>
    </row>
    <row r="30" spans="1:25" s="37" customFormat="1" ht="10.5" customHeight="1" x14ac:dyDescent="0.15">
      <c r="A30" s="559" t="s">
        <v>646</v>
      </c>
      <c r="B30" s="38">
        <v>12310235</v>
      </c>
      <c r="C30" s="37" t="s">
        <v>986</v>
      </c>
      <c r="D30" s="37" t="s">
        <v>986</v>
      </c>
      <c r="E30" s="37">
        <v>95396</v>
      </c>
      <c r="F30" s="37">
        <v>47753</v>
      </c>
      <c r="G30" s="37">
        <v>47753</v>
      </c>
      <c r="H30" s="37" t="s">
        <v>986</v>
      </c>
      <c r="I30" s="37" t="s">
        <v>986</v>
      </c>
      <c r="J30" s="37" t="s">
        <v>986</v>
      </c>
      <c r="K30" s="37" t="s">
        <v>986</v>
      </c>
      <c r="L30" s="37" t="s">
        <v>986</v>
      </c>
      <c r="M30" s="37" t="s">
        <v>986</v>
      </c>
      <c r="N30" s="37" t="s">
        <v>986</v>
      </c>
      <c r="O30" s="37" t="s">
        <v>986</v>
      </c>
      <c r="P30" s="37" t="s">
        <v>986</v>
      </c>
      <c r="Q30" s="37" t="s">
        <v>986</v>
      </c>
      <c r="R30" s="39" t="s">
        <v>91</v>
      </c>
      <c r="S30" s="36"/>
      <c r="T30" s="36"/>
      <c r="U30" s="36"/>
      <c r="V30" s="36"/>
      <c r="W30" s="36"/>
      <c r="X30" s="36"/>
      <c r="Y30" s="36"/>
    </row>
    <row r="31" spans="1:25" s="37" customFormat="1" ht="10.5" customHeight="1" x14ac:dyDescent="0.15">
      <c r="A31" s="559" t="s">
        <v>647</v>
      </c>
      <c r="B31" s="38">
        <v>12436301</v>
      </c>
      <c r="C31" s="37" t="s">
        <v>986</v>
      </c>
      <c r="D31" s="37" t="s">
        <v>986</v>
      </c>
      <c r="E31" s="37">
        <v>87955</v>
      </c>
      <c r="F31" s="37">
        <v>63234</v>
      </c>
      <c r="G31" s="37" t="s">
        <v>986</v>
      </c>
      <c r="H31" s="37" t="s">
        <v>986</v>
      </c>
      <c r="I31" s="37">
        <v>63234</v>
      </c>
      <c r="J31" s="37" t="s">
        <v>986</v>
      </c>
      <c r="K31" s="37" t="s">
        <v>986</v>
      </c>
      <c r="L31" s="37" t="s">
        <v>986</v>
      </c>
      <c r="M31" s="37" t="s">
        <v>986</v>
      </c>
      <c r="N31" s="37" t="s">
        <v>986</v>
      </c>
      <c r="O31" s="37" t="s">
        <v>986</v>
      </c>
      <c r="P31" s="37" t="s">
        <v>986</v>
      </c>
      <c r="Q31" s="37" t="s">
        <v>986</v>
      </c>
      <c r="R31" s="39" t="s">
        <v>92</v>
      </c>
      <c r="S31" s="36"/>
      <c r="T31" s="36"/>
      <c r="U31" s="36"/>
      <c r="V31" s="36"/>
      <c r="W31" s="36"/>
      <c r="X31" s="36"/>
      <c r="Y31" s="36"/>
    </row>
    <row r="32" spans="1:25" s="37" customFormat="1" ht="10.5" customHeight="1" x14ac:dyDescent="0.15">
      <c r="A32" s="559" t="s">
        <v>648</v>
      </c>
      <c r="B32" s="38">
        <v>11374575</v>
      </c>
      <c r="C32" s="37" t="s">
        <v>986</v>
      </c>
      <c r="D32" s="37" t="s">
        <v>986</v>
      </c>
      <c r="E32" s="37">
        <v>143825</v>
      </c>
      <c r="F32" s="37">
        <v>87276</v>
      </c>
      <c r="G32" s="37">
        <v>49330</v>
      </c>
      <c r="H32" s="37" t="s">
        <v>986</v>
      </c>
      <c r="I32" s="37" t="s">
        <v>986</v>
      </c>
      <c r="J32" s="37" t="s">
        <v>986</v>
      </c>
      <c r="K32" s="37" t="s">
        <v>986</v>
      </c>
      <c r="L32" s="37">
        <v>37946</v>
      </c>
      <c r="M32" s="37" t="s">
        <v>986</v>
      </c>
      <c r="N32" s="37">
        <v>31661</v>
      </c>
      <c r="O32" s="37" t="s">
        <v>986</v>
      </c>
      <c r="P32" s="37" t="s">
        <v>986</v>
      </c>
      <c r="Q32" s="37">
        <v>31661</v>
      </c>
      <c r="R32" s="39" t="s">
        <v>76</v>
      </c>
      <c r="S32" s="36"/>
      <c r="T32" s="36"/>
      <c r="U32" s="36"/>
      <c r="V32" s="36"/>
      <c r="W32" s="36"/>
      <c r="X32" s="36"/>
      <c r="Y32" s="36"/>
    </row>
    <row r="33" spans="1:25" s="37" customFormat="1" ht="10.5" customHeight="1" x14ac:dyDescent="0.15">
      <c r="A33" s="559" t="s">
        <v>649</v>
      </c>
      <c r="B33" s="38">
        <v>12364197</v>
      </c>
      <c r="C33" s="37" t="s">
        <v>986</v>
      </c>
      <c r="D33" s="37" t="s">
        <v>986</v>
      </c>
      <c r="E33" s="37">
        <v>47520</v>
      </c>
      <c r="F33" s="37" t="s">
        <v>986</v>
      </c>
      <c r="G33" s="37" t="s">
        <v>986</v>
      </c>
      <c r="H33" s="37" t="s">
        <v>986</v>
      </c>
      <c r="I33" s="37" t="s">
        <v>986</v>
      </c>
      <c r="J33" s="37" t="s">
        <v>986</v>
      </c>
      <c r="K33" s="37" t="s">
        <v>986</v>
      </c>
      <c r="L33" s="37" t="s">
        <v>986</v>
      </c>
      <c r="M33" s="37" t="s">
        <v>986</v>
      </c>
      <c r="N33" s="37" t="s">
        <v>986</v>
      </c>
      <c r="O33" s="37" t="s">
        <v>986</v>
      </c>
      <c r="P33" s="37" t="s">
        <v>986</v>
      </c>
      <c r="Q33" s="37" t="s">
        <v>986</v>
      </c>
      <c r="R33" s="39" t="s">
        <v>77</v>
      </c>
      <c r="S33" s="36"/>
      <c r="T33" s="36"/>
      <c r="U33" s="36"/>
      <c r="V33" s="36"/>
      <c r="W33" s="36"/>
      <c r="X33" s="36"/>
      <c r="Y33" s="36"/>
    </row>
    <row r="34" spans="1:25" s="37" customFormat="1" ht="10.5" customHeight="1" x14ac:dyDescent="0.15">
      <c r="A34" s="559" t="s">
        <v>650</v>
      </c>
      <c r="B34" s="38">
        <v>13099551</v>
      </c>
      <c r="C34" s="37" t="s">
        <v>986</v>
      </c>
      <c r="D34" s="37" t="s">
        <v>986</v>
      </c>
      <c r="E34" s="37">
        <v>75275</v>
      </c>
      <c r="F34" s="37" t="s">
        <v>986</v>
      </c>
      <c r="G34" s="37" t="s">
        <v>986</v>
      </c>
      <c r="H34" s="37" t="s">
        <v>986</v>
      </c>
      <c r="I34" s="37" t="s">
        <v>986</v>
      </c>
      <c r="J34" s="37" t="s">
        <v>986</v>
      </c>
      <c r="K34" s="37" t="s">
        <v>986</v>
      </c>
      <c r="L34" s="37" t="s">
        <v>986</v>
      </c>
      <c r="M34" s="37" t="s">
        <v>986</v>
      </c>
      <c r="N34" s="37" t="s">
        <v>986</v>
      </c>
      <c r="O34" s="37" t="s">
        <v>986</v>
      </c>
      <c r="P34" s="37" t="s">
        <v>986</v>
      </c>
      <c r="Q34" s="37" t="s">
        <v>986</v>
      </c>
      <c r="R34" s="39" t="s">
        <v>78</v>
      </c>
      <c r="S34" s="36"/>
      <c r="T34" s="36"/>
      <c r="U34" s="36"/>
      <c r="V34" s="36"/>
      <c r="W34" s="36"/>
      <c r="X34" s="36"/>
      <c r="Y34" s="36"/>
    </row>
    <row r="35" spans="1:25" s="37" customFormat="1" ht="10.5" customHeight="1" x14ac:dyDescent="0.15">
      <c r="A35" s="559" t="s">
        <v>996</v>
      </c>
      <c r="B35" s="38">
        <v>11974244</v>
      </c>
      <c r="C35" s="37" t="s">
        <v>986</v>
      </c>
      <c r="D35" s="37" t="s">
        <v>986</v>
      </c>
      <c r="E35" s="37">
        <v>70486</v>
      </c>
      <c r="F35" s="37">
        <v>44826</v>
      </c>
      <c r="G35" s="37" t="s">
        <v>986</v>
      </c>
      <c r="H35" s="37" t="s">
        <v>986</v>
      </c>
      <c r="I35" s="37" t="s">
        <v>986</v>
      </c>
      <c r="J35" s="37">
        <v>44826</v>
      </c>
      <c r="K35" s="37" t="s">
        <v>986</v>
      </c>
      <c r="L35" s="37" t="s">
        <v>986</v>
      </c>
      <c r="M35" s="37" t="s">
        <v>986</v>
      </c>
      <c r="N35" s="37" t="s">
        <v>986</v>
      </c>
      <c r="O35" s="37" t="s">
        <v>986</v>
      </c>
      <c r="P35" s="37" t="s">
        <v>986</v>
      </c>
      <c r="Q35" s="37" t="s">
        <v>986</v>
      </c>
      <c r="R35" s="39" t="s">
        <v>997</v>
      </c>
      <c r="S35" s="36"/>
      <c r="T35" s="36"/>
      <c r="U35" s="36"/>
      <c r="V35" s="36"/>
      <c r="W35" s="36"/>
      <c r="X35" s="36"/>
      <c r="Y35" s="36"/>
    </row>
    <row r="36" spans="1:25" s="37" customFormat="1" ht="10.5" customHeight="1" x14ac:dyDescent="0.15">
      <c r="A36" s="559" t="s">
        <v>651</v>
      </c>
      <c r="B36" s="38">
        <v>11278671</v>
      </c>
      <c r="C36" s="37" t="s">
        <v>986</v>
      </c>
      <c r="D36" s="37" t="s">
        <v>986</v>
      </c>
      <c r="E36" s="37">
        <v>49826</v>
      </c>
      <c r="F36" s="37" t="s">
        <v>986</v>
      </c>
      <c r="G36" s="37" t="s">
        <v>986</v>
      </c>
      <c r="H36" s="37" t="s">
        <v>986</v>
      </c>
      <c r="I36" s="37" t="s">
        <v>986</v>
      </c>
      <c r="J36" s="37" t="s">
        <v>986</v>
      </c>
      <c r="K36" s="37" t="s">
        <v>986</v>
      </c>
      <c r="L36" s="37" t="s">
        <v>986</v>
      </c>
      <c r="M36" s="37" t="s">
        <v>986</v>
      </c>
      <c r="N36" s="37" t="s">
        <v>986</v>
      </c>
      <c r="O36" s="37" t="s">
        <v>986</v>
      </c>
      <c r="P36" s="37" t="s">
        <v>986</v>
      </c>
      <c r="Q36" s="37" t="s">
        <v>986</v>
      </c>
      <c r="R36" s="39" t="s">
        <v>73</v>
      </c>
      <c r="S36" s="36"/>
      <c r="T36" s="36"/>
      <c r="U36" s="36"/>
      <c r="V36" s="36"/>
      <c r="W36" s="36"/>
      <c r="X36" s="36"/>
      <c r="Y36" s="36"/>
    </row>
    <row r="37" spans="1:25" s="37" customFormat="1" ht="10.5" customHeight="1" x14ac:dyDescent="0.15">
      <c r="A37" s="661" t="s">
        <v>652</v>
      </c>
      <c r="B37" s="680">
        <v>11808409</v>
      </c>
      <c r="C37" s="681" t="s">
        <v>986</v>
      </c>
      <c r="D37" s="681" t="s">
        <v>986</v>
      </c>
      <c r="E37" s="681" t="s">
        <v>986</v>
      </c>
      <c r="F37" s="681" t="s">
        <v>986</v>
      </c>
      <c r="G37" s="681" t="s">
        <v>986</v>
      </c>
      <c r="H37" s="681" t="s">
        <v>986</v>
      </c>
      <c r="I37" s="681" t="s">
        <v>986</v>
      </c>
      <c r="J37" s="681" t="s">
        <v>986</v>
      </c>
      <c r="K37" s="681" t="s">
        <v>986</v>
      </c>
      <c r="L37" s="681" t="s">
        <v>986</v>
      </c>
      <c r="M37" s="681" t="s">
        <v>986</v>
      </c>
      <c r="N37" s="681" t="s">
        <v>986</v>
      </c>
      <c r="O37" s="681" t="s">
        <v>986</v>
      </c>
      <c r="P37" s="681" t="s">
        <v>986</v>
      </c>
      <c r="Q37" s="681" t="s">
        <v>986</v>
      </c>
      <c r="R37" s="682" t="s">
        <v>74</v>
      </c>
      <c r="S37" s="36"/>
      <c r="T37" s="36"/>
      <c r="U37" s="36"/>
      <c r="V37" s="36"/>
      <c r="W37" s="36"/>
      <c r="X37" s="36"/>
      <c r="Y37" s="36"/>
    </row>
    <row r="38" spans="1:25" ht="23.25" customHeight="1" x14ac:dyDescent="0.25">
      <c r="I38" s="41" t="s">
        <v>93</v>
      </c>
    </row>
    <row r="39" spans="1:25" s="17" customFormat="1" ht="11.25" customHeight="1" x14ac:dyDescent="0.15">
      <c r="A39" s="668"/>
      <c r="B39" s="683" t="s">
        <v>121</v>
      </c>
      <c r="C39" s="671"/>
      <c r="D39" s="671"/>
      <c r="E39" s="671"/>
      <c r="F39" s="671"/>
      <c r="G39" s="671"/>
      <c r="H39" s="671"/>
      <c r="I39" s="671"/>
      <c r="J39" s="671"/>
      <c r="K39" s="671"/>
      <c r="L39" s="671"/>
      <c r="M39" s="671"/>
      <c r="N39" s="671"/>
      <c r="O39" s="668"/>
      <c r="P39" s="670"/>
      <c r="Q39" s="671"/>
      <c r="R39" s="1030" t="s">
        <v>79</v>
      </c>
      <c r="S39" s="16"/>
      <c r="T39" s="16"/>
      <c r="U39" s="16"/>
      <c r="V39" s="16"/>
      <c r="W39" s="16"/>
      <c r="X39" s="16"/>
      <c r="Y39" s="16"/>
    </row>
    <row r="40" spans="1:25" s="35" customFormat="1" ht="28.5" customHeight="1" x14ac:dyDescent="0.15">
      <c r="A40" s="25" t="s">
        <v>172</v>
      </c>
      <c r="B40" s="684" t="s">
        <v>490</v>
      </c>
      <c r="C40" s="674"/>
      <c r="D40" s="674"/>
      <c r="E40" s="674"/>
      <c r="F40" s="675"/>
      <c r="G40" s="673" t="s">
        <v>126</v>
      </c>
      <c r="H40" s="674"/>
      <c r="I40" s="675"/>
      <c r="J40" s="673" t="s">
        <v>39</v>
      </c>
      <c r="K40" s="674"/>
      <c r="L40" s="674"/>
      <c r="M40" s="674"/>
      <c r="N40" s="674"/>
      <c r="O40" s="675"/>
      <c r="P40" s="14" t="s">
        <v>82</v>
      </c>
      <c r="Q40" s="673" t="s">
        <v>129</v>
      </c>
      <c r="R40" s="1031"/>
      <c r="S40" s="13"/>
      <c r="T40" s="13"/>
      <c r="U40" s="13"/>
      <c r="V40" s="13"/>
      <c r="W40" s="13"/>
      <c r="X40" s="13"/>
      <c r="Y40" s="13"/>
    </row>
    <row r="41" spans="1:25" s="35" customFormat="1" ht="28.5" customHeight="1" x14ac:dyDescent="0.15">
      <c r="A41" s="25"/>
      <c r="B41" s="685" t="s">
        <v>1000</v>
      </c>
      <c r="C41" s="672" t="s">
        <v>127</v>
      </c>
      <c r="D41" s="672" t="s">
        <v>1001</v>
      </c>
      <c r="E41" s="672" t="s">
        <v>590</v>
      </c>
      <c r="F41" s="672" t="s">
        <v>1002</v>
      </c>
      <c r="G41" s="14" t="s">
        <v>19</v>
      </c>
      <c r="H41" s="672" t="s">
        <v>53</v>
      </c>
      <c r="I41" s="672" t="s">
        <v>128</v>
      </c>
      <c r="J41" s="14" t="s">
        <v>20</v>
      </c>
      <c r="K41" s="672" t="s">
        <v>40</v>
      </c>
      <c r="L41" s="672" t="s">
        <v>41</v>
      </c>
      <c r="M41" s="672" t="s">
        <v>656</v>
      </c>
      <c r="N41" s="672" t="s">
        <v>42</v>
      </c>
      <c r="O41" s="672" t="s">
        <v>177</v>
      </c>
      <c r="P41" s="14" t="s">
        <v>43</v>
      </c>
      <c r="Q41" s="686" t="s">
        <v>21</v>
      </c>
      <c r="R41" s="1031"/>
      <c r="S41" s="13"/>
      <c r="T41" s="13"/>
      <c r="U41" s="13"/>
      <c r="V41" s="13"/>
      <c r="W41" s="13"/>
      <c r="X41" s="13"/>
      <c r="Y41" s="13"/>
    </row>
    <row r="42" spans="1:25" s="35" customFormat="1" ht="12" customHeight="1" x14ac:dyDescent="0.15">
      <c r="A42" s="687"/>
      <c r="B42" s="15" t="str">
        <f>PROPER("MYSIA-FO")</f>
        <v>Mysia-Fo</v>
      </c>
      <c r="C42" s="15" t="str">
        <f>PROPER("BERTAM")</f>
        <v>Bertam</v>
      </c>
      <c r="D42" s="15" t="str">
        <f>PROPER("BLEND-FO")</f>
        <v>Blend-Fo</v>
      </c>
      <c r="E42" s="15" t="str">
        <f>PROPER("LABUAN-L")</f>
        <v>Labuan-L</v>
      </c>
      <c r="F42" s="15" t="str">
        <f>PROPER("KIKEH")</f>
        <v>Kikeh</v>
      </c>
      <c r="G42" s="15"/>
      <c r="H42" s="15" t="str">
        <f>PROPER("L-SERIA")</f>
        <v>L-Seria</v>
      </c>
      <c r="I42" s="15" t="str">
        <f>PROPER("CHAMPION")</f>
        <v>Champion</v>
      </c>
      <c r="J42" s="15"/>
      <c r="K42" s="15" t="str">
        <f>PROPER("DURI")</f>
        <v>Duri</v>
      </c>
      <c r="L42" s="15" t="str">
        <f>PROPER("SUMATR-L")</f>
        <v>Sumatr-L</v>
      </c>
      <c r="M42" s="15" t="str">
        <f>PROPER("LALANG")</f>
        <v>Lalang</v>
      </c>
      <c r="N42" s="15" t="str">
        <f>PROPER("KAJISEMO")</f>
        <v>Kajisemo</v>
      </c>
      <c r="O42" s="15" t="str">
        <f>PROPER("KETAPANG")</f>
        <v>Ketapang</v>
      </c>
      <c r="P42" s="15"/>
      <c r="Q42" s="676"/>
      <c r="R42" s="1032"/>
      <c r="S42" s="13"/>
      <c r="T42" s="13"/>
      <c r="U42" s="13"/>
      <c r="V42" s="13"/>
      <c r="W42" s="13"/>
      <c r="X42" s="13"/>
      <c r="Y42" s="13"/>
    </row>
    <row r="43" spans="1:25" s="37" customFormat="1" ht="10.5" customHeight="1" x14ac:dyDescent="0.15">
      <c r="A43" s="657" t="s">
        <v>985</v>
      </c>
      <c r="B43" s="677">
        <v>74811</v>
      </c>
      <c r="C43" s="678">
        <v>75268</v>
      </c>
      <c r="D43" s="678">
        <v>49841</v>
      </c>
      <c r="E43" s="678" t="s">
        <v>986</v>
      </c>
      <c r="F43" s="678" t="s">
        <v>986</v>
      </c>
      <c r="G43" s="678">
        <v>368422</v>
      </c>
      <c r="H43" s="678">
        <v>95195</v>
      </c>
      <c r="I43" s="678">
        <v>273227</v>
      </c>
      <c r="J43" s="678">
        <v>120915</v>
      </c>
      <c r="K43" s="678" t="s">
        <v>986</v>
      </c>
      <c r="L43" s="678">
        <v>28698</v>
      </c>
      <c r="M43" s="678" t="s">
        <v>986</v>
      </c>
      <c r="N43" s="678">
        <v>25423</v>
      </c>
      <c r="O43" s="678">
        <v>66794</v>
      </c>
      <c r="P43" s="678">
        <v>156043026</v>
      </c>
      <c r="Q43" s="678">
        <v>2719294</v>
      </c>
      <c r="R43" s="679" t="s">
        <v>485</v>
      </c>
      <c r="S43" s="36"/>
      <c r="T43" s="36"/>
      <c r="U43" s="36"/>
      <c r="V43" s="36"/>
      <c r="W43" s="36"/>
      <c r="X43" s="36"/>
      <c r="Y43" s="36"/>
    </row>
    <row r="44" spans="1:25" s="37" customFormat="1" ht="10.5" customHeight="1" x14ac:dyDescent="0.15">
      <c r="A44" s="559" t="s">
        <v>634</v>
      </c>
      <c r="B44" s="37">
        <v>20891</v>
      </c>
      <c r="C44" s="37" t="s">
        <v>986</v>
      </c>
      <c r="D44" s="37">
        <v>46460</v>
      </c>
      <c r="E44" s="37">
        <v>91038</v>
      </c>
      <c r="F44" s="37" t="s">
        <v>986</v>
      </c>
      <c r="G44" s="37">
        <v>92648</v>
      </c>
      <c r="H44" s="37" t="s">
        <v>986</v>
      </c>
      <c r="I44" s="37">
        <v>92648</v>
      </c>
      <c r="J44" s="37" t="s">
        <v>986</v>
      </c>
      <c r="K44" s="37" t="s">
        <v>986</v>
      </c>
      <c r="L44" s="37" t="s">
        <v>986</v>
      </c>
      <c r="M44" s="37" t="s">
        <v>986</v>
      </c>
      <c r="N44" s="37" t="s">
        <v>986</v>
      </c>
      <c r="O44" s="37" t="s">
        <v>986</v>
      </c>
      <c r="P44" s="37">
        <v>132362206</v>
      </c>
      <c r="Q44" s="37" t="s">
        <v>986</v>
      </c>
      <c r="R44" s="39" t="s">
        <v>588</v>
      </c>
      <c r="S44" s="36"/>
      <c r="T44" s="36"/>
      <c r="U44" s="36"/>
      <c r="V44" s="36"/>
      <c r="W44" s="36"/>
      <c r="X44" s="36"/>
      <c r="Y44" s="36"/>
    </row>
    <row r="45" spans="1:25" s="37" customFormat="1" ht="10.5" customHeight="1" x14ac:dyDescent="0.15">
      <c r="A45" s="559" t="s">
        <v>635</v>
      </c>
      <c r="B45" s="37">
        <v>38774</v>
      </c>
      <c r="C45" s="37">
        <v>47366</v>
      </c>
      <c r="D45" s="37">
        <v>16085</v>
      </c>
      <c r="E45" s="37" t="s">
        <v>986</v>
      </c>
      <c r="F45" s="37" t="s">
        <v>986</v>
      </c>
      <c r="G45" s="37">
        <v>182256</v>
      </c>
      <c r="H45" s="37" t="s">
        <v>986</v>
      </c>
      <c r="I45" s="37">
        <v>182256</v>
      </c>
      <c r="J45" s="37">
        <v>173572</v>
      </c>
      <c r="K45" s="37">
        <v>36406</v>
      </c>
      <c r="L45" s="37">
        <v>41650</v>
      </c>
      <c r="M45" s="37">
        <v>63956</v>
      </c>
      <c r="N45" s="37" t="s">
        <v>986</v>
      </c>
      <c r="O45" s="37">
        <v>31560</v>
      </c>
      <c r="P45" s="37">
        <v>134068585</v>
      </c>
      <c r="Q45" s="37" t="s">
        <v>986</v>
      </c>
      <c r="R45" s="39" t="s">
        <v>636</v>
      </c>
      <c r="S45" s="36"/>
      <c r="T45" s="36"/>
      <c r="U45" s="36"/>
      <c r="V45" s="36"/>
      <c r="W45" s="36"/>
      <c r="X45" s="36"/>
      <c r="Y45" s="36"/>
    </row>
    <row r="46" spans="1:25" s="37" customFormat="1" ht="10.5" customHeight="1" x14ac:dyDescent="0.15">
      <c r="A46" s="559" t="s">
        <v>774</v>
      </c>
      <c r="B46" s="37">
        <v>32323</v>
      </c>
      <c r="C46" s="37" t="s">
        <v>986</v>
      </c>
      <c r="D46" s="37" t="s">
        <v>986</v>
      </c>
      <c r="E46" s="37" t="s">
        <v>986</v>
      </c>
      <c r="F46" s="37" t="s">
        <v>986</v>
      </c>
      <c r="G46" s="37">
        <v>187647</v>
      </c>
      <c r="H46" s="37">
        <v>45942</v>
      </c>
      <c r="I46" s="37">
        <v>141705</v>
      </c>
      <c r="J46" s="37">
        <v>58732</v>
      </c>
      <c r="K46" s="37" t="s">
        <v>986</v>
      </c>
      <c r="L46" s="37" t="s">
        <v>986</v>
      </c>
      <c r="M46" s="37">
        <v>58732</v>
      </c>
      <c r="N46" s="37" t="s">
        <v>986</v>
      </c>
      <c r="O46" s="37" t="s">
        <v>986</v>
      </c>
      <c r="P46" s="37">
        <v>149271694</v>
      </c>
      <c r="Q46" s="37" t="s">
        <v>986</v>
      </c>
      <c r="R46" s="39" t="s">
        <v>775</v>
      </c>
      <c r="S46" s="36"/>
      <c r="T46" s="36"/>
      <c r="U46" s="36"/>
      <c r="V46" s="36"/>
      <c r="W46" s="36"/>
      <c r="X46" s="36"/>
      <c r="Y46" s="36"/>
    </row>
    <row r="47" spans="1:25" s="37" customFormat="1" ht="10.5" customHeight="1" x14ac:dyDescent="0.15">
      <c r="A47" s="559" t="s">
        <v>987</v>
      </c>
      <c r="B47" s="37" t="s">
        <v>986</v>
      </c>
      <c r="C47" s="37" t="s">
        <v>986</v>
      </c>
      <c r="D47" s="37" t="s">
        <v>986</v>
      </c>
      <c r="E47" s="37" t="s">
        <v>986</v>
      </c>
      <c r="F47" s="37">
        <v>49784</v>
      </c>
      <c r="G47" s="37">
        <v>236405</v>
      </c>
      <c r="H47" s="37">
        <v>45743</v>
      </c>
      <c r="I47" s="37">
        <v>190662</v>
      </c>
      <c r="J47" s="37">
        <v>289831</v>
      </c>
      <c r="K47" s="37" t="s">
        <v>986</v>
      </c>
      <c r="L47" s="37" t="s">
        <v>986</v>
      </c>
      <c r="M47" s="37">
        <v>188613</v>
      </c>
      <c r="N47" s="37" t="s">
        <v>986</v>
      </c>
      <c r="O47" s="37">
        <v>101218</v>
      </c>
      <c r="P47" s="37">
        <v>140477368</v>
      </c>
      <c r="Q47" s="37" t="s">
        <v>986</v>
      </c>
      <c r="R47" s="39" t="s">
        <v>988</v>
      </c>
      <c r="S47" s="36"/>
      <c r="T47" s="36"/>
      <c r="U47" s="36"/>
      <c r="V47" s="36"/>
      <c r="W47" s="36"/>
      <c r="X47" s="36"/>
      <c r="Y47" s="36"/>
    </row>
    <row r="48" spans="1:25" s="37" customFormat="1" ht="10.5" customHeight="1" x14ac:dyDescent="0.15">
      <c r="A48" s="578"/>
      <c r="R48" s="39"/>
      <c r="S48" s="36"/>
      <c r="T48" s="36"/>
      <c r="U48" s="36"/>
      <c r="V48" s="36"/>
      <c r="W48" s="36"/>
      <c r="X48" s="36"/>
      <c r="Y48" s="36"/>
    </row>
    <row r="49" spans="1:25" s="37" customFormat="1" ht="10.5" customHeight="1" x14ac:dyDescent="0.15">
      <c r="A49" s="559" t="s">
        <v>989</v>
      </c>
      <c r="B49" s="37" t="s">
        <v>986</v>
      </c>
      <c r="C49" s="37" t="s">
        <v>986</v>
      </c>
      <c r="D49" s="37" t="s">
        <v>986</v>
      </c>
      <c r="E49" s="37" t="s">
        <v>986</v>
      </c>
      <c r="F49" s="37" t="s">
        <v>986</v>
      </c>
      <c r="G49" s="37">
        <v>191121</v>
      </c>
      <c r="H49" s="37" t="s">
        <v>986</v>
      </c>
      <c r="I49" s="37">
        <v>191121</v>
      </c>
      <c r="J49" s="37">
        <v>105331</v>
      </c>
      <c r="K49" s="37" t="s">
        <v>986</v>
      </c>
      <c r="L49" s="37" t="s">
        <v>986</v>
      </c>
      <c r="M49" s="37">
        <v>105331</v>
      </c>
      <c r="N49" s="37" t="s">
        <v>986</v>
      </c>
      <c r="O49" s="37" t="s">
        <v>986</v>
      </c>
      <c r="P49" s="37">
        <v>149059214</v>
      </c>
      <c r="Q49" s="37" t="s">
        <v>986</v>
      </c>
      <c r="R49" s="39" t="s">
        <v>776</v>
      </c>
      <c r="S49" s="36"/>
      <c r="T49" s="36"/>
      <c r="U49" s="36"/>
      <c r="V49" s="36"/>
      <c r="W49" s="36"/>
      <c r="X49" s="36"/>
      <c r="Y49" s="36"/>
    </row>
    <row r="50" spans="1:25" s="37" customFormat="1" ht="10.5" customHeight="1" x14ac:dyDescent="0.15">
      <c r="A50" s="559" t="s">
        <v>990</v>
      </c>
      <c r="B50" s="37" t="s">
        <v>986</v>
      </c>
      <c r="C50" s="37" t="s">
        <v>986</v>
      </c>
      <c r="D50" s="37" t="s">
        <v>986</v>
      </c>
      <c r="E50" s="37" t="s">
        <v>986</v>
      </c>
      <c r="F50" s="37">
        <v>49784</v>
      </c>
      <c r="G50" s="37">
        <v>190784</v>
      </c>
      <c r="H50" s="37">
        <v>45743</v>
      </c>
      <c r="I50" s="37">
        <v>145041</v>
      </c>
      <c r="J50" s="37">
        <v>268892</v>
      </c>
      <c r="K50" s="37" t="s">
        <v>986</v>
      </c>
      <c r="L50" s="37" t="s">
        <v>986</v>
      </c>
      <c r="M50" s="37">
        <v>167674</v>
      </c>
      <c r="N50" s="37" t="s">
        <v>986</v>
      </c>
      <c r="O50" s="37">
        <v>101218</v>
      </c>
      <c r="P50" s="37">
        <v>137163285</v>
      </c>
      <c r="Q50" s="37" t="s">
        <v>986</v>
      </c>
      <c r="R50" s="39" t="s">
        <v>991</v>
      </c>
      <c r="S50" s="36"/>
      <c r="T50" s="36"/>
      <c r="U50" s="36"/>
      <c r="V50" s="36"/>
      <c r="W50" s="36"/>
      <c r="X50" s="36"/>
      <c r="Y50" s="36"/>
    </row>
    <row r="51" spans="1:25" s="37" customFormat="1" ht="10.5" customHeight="1" x14ac:dyDescent="0.15">
      <c r="A51" s="578"/>
      <c r="R51" s="39"/>
      <c r="S51" s="36"/>
      <c r="T51" s="36"/>
      <c r="U51" s="36"/>
      <c r="V51" s="36"/>
      <c r="W51" s="36"/>
      <c r="X51" s="36"/>
      <c r="Y51" s="36"/>
    </row>
    <row r="52" spans="1:25" s="37" customFormat="1" ht="10.5" customHeight="1" x14ac:dyDescent="0.15">
      <c r="A52" s="559" t="s">
        <v>992</v>
      </c>
      <c r="B52" s="37" t="s">
        <v>986</v>
      </c>
      <c r="C52" s="37" t="s">
        <v>986</v>
      </c>
      <c r="D52" s="37" t="s">
        <v>986</v>
      </c>
      <c r="E52" s="37" t="s">
        <v>986</v>
      </c>
      <c r="F52" s="37" t="s">
        <v>986</v>
      </c>
      <c r="G52" s="37">
        <v>95447</v>
      </c>
      <c r="H52" s="37" t="s">
        <v>986</v>
      </c>
      <c r="I52" s="37">
        <v>95447</v>
      </c>
      <c r="J52" s="37">
        <v>46599</v>
      </c>
      <c r="K52" s="37" t="s">
        <v>986</v>
      </c>
      <c r="L52" s="37" t="s">
        <v>986</v>
      </c>
      <c r="M52" s="37">
        <v>46599</v>
      </c>
      <c r="N52" s="37" t="s">
        <v>986</v>
      </c>
      <c r="O52" s="37" t="s">
        <v>986</v>
      </c>
      <c r="P52" s="37">
        <v>36516213</v>
      </c>
      <c r="Q52" s="37" t="s">
        <v>986</v>
      </c>
      <c r="R52" s="39" t="s">
        <v>777</v>
      </c>
      <c r="S52" s="36"/>
      <c r="T52" s="36"/>
      <c r="U52" s="36"/>
      <c r="V52" s="36"/>
      <c r="W52" s="36"/>
      <c r="X52" s="36"/>
      <c r="Y52" s="36"/>
    </row>
    <row r="53" spans="1:25" s="37" customFormat="1" ht="10.5" customHeight="1" x14ac:dyDescent="0.15">
      <c r="A53" s="559" t="s">
        <v>637</v>
      </c>
      <c r="B53" s="37" t="s">
        <v>986</v>
      </c>
      <c r="C53" s="37" t="s">
        <v>986</v>
      </c>
      <c r="D53" s="37" t="s">
        <v>986</v>
      </c>
      <c r="E53" s="37" t="s">
        <v>986</v>
      </c>
      <c r="F53" s="37">
        <v>49784</v>
      </c>
      <c r="G53" s="37">
        <v>45743</v>
      </c>
      <c r="H53" s="37">
        <v>45743</v>
      </c>
      <c r="I53" s="37" t="s">
        <v>986</v>
      </c>
      <c r="J53" s="37">
        <v>118400</v>
      </c>
      <c r="K53" s="37" t="s">
        <v>986</v>
      </c>
      <c r="L53" s="37" t="s">
        <v>986</v>
      </c>
      <c r="M53" s="37">
        <v>64702</v>
      </c>
      <c r="N53" s="37" t="s">
        <v>986</v>
      </c>
      <c r="O53" s="37">
        <v>53698</v>
      </c>
      <c r="P53" s="37">
        <v>35321623</v>
      </c>
      <c r="Q53" s="37" t="s">
        <v>986</v>
      </c>
      <c r="R53" s="39" t="s">
        <v>85</v>
      </c>
      <c r="S53" s="36"/>
      <c r="T53" s="36"/>
      <c r="U53" s="36"/>
      <c r="V53" s="36"/>
      <c r="W53" s="36"/>
      <c r="X53" s="36"/>
      <c r="Y53" s="36"/>
    </row>
    <row r="54" spans="1:25" s="37" customFormat="1" ht="10.5" customHeight="1" x14ac:dyDescent="0.15">
      <c r="A54" s="559" t="s">
        <v>638</v>
      </c>
      <c r="B54" s="37" t="s">
        <v>986</v>
      </c>
      <c r="C54" s="37" t="s">
        <v>986</v>
      </c>
      <c r="D54" s="37" t="s">
        <v>986</v>
      </c>
      <c r="E54" s="37" t="s">
        <v>986</v>
      </c>
      <c r="F54" s="37" t="s">
        <v>986</v>
      </c>
      <c r="G54" s="37">
        <v>47643</v>
      </c>
      <c r="H54" s="37" t="s">
        <v>986</v>
      </c>
      <c r="I54" s="37">
        <v>47643</v>
      </c>
      <c r="J54" s="37">
        <v>24721</v>
      </c>
      <c r="K54" s="37" t="s">
        <v>986</v>
      </c>
      <c r="L54" s="37" t="s">
        <v>986</v>
      </c>
      <c r="M54" s="37">
        <v>24721</v>
      </c>
      <c r="N54" s="37" t="s">
        <v>986</v>
      </c>
      <c r="O54" s="37" t="s">
        <v>986</v>
      </c>
      <c r="P54" s="37">
        <v>34554058</v>
      </c>
      <c r="Q54" s="37" t="s">
        <v>986</v>
      </c>
      <c r="R54" s="39" t="s">
        <v>86</v>
      </c>
      <c r="S54" s="36"/>
      <c r="T54" s="36"/>
      <c r="U54" s="36"/>
      <c r="V54" s="36"/>
      <c r="W54" s="36"/>
      <c r="X54" s="36"/>
      <c r="Y54" s="36"/>
    </row>
    <row r="55" spans="1:25" s="37" customFormat="1" ht="10.5" customHeight="1" x14ac:dyDescent="0.15">
      <c r="A55" s="559" t="s">
        <v>639</v>
      </c>
      <c r="B55" s="37" t="s">
        <v>986</v>
      </c>
      <c r="C55" s="37" t="s">
        <v>986</v>
      </c>
      <c r="D55" s="37" t="s">
        <v>986</v>
      </c>
      <c r="E55" s="37" t="s">
        <v>986</v>
      </c>
      <c r="F55" s="37" t="s">
        <v>986</v>
      </c>
      <c r="G55" s="37">
        <v>47572</v>
      </c>
      <c r="H55" s="37" t="s">
        <v>986</v>
      </c>
      <c r="I55" s="37">
        <v>47572</v>
      </c>
      <c r="J55" s="37">
        <v>100111</v>
      </c>
      <c r="K55" s="37" t="s">
        <v>986</v>
      </c>
      <c r="L55" s="37" t="s">
        <v>986</v>
      </c>
      <c r="M55" s="37">
        <v>52591</v>
      </c>
      <c r="N55" s="37" t="s">
        <v>986</v>
      </c>
      <c r="O55" s="37">
        <v>47520</v>
      </c>
      <c r="P55" s="37">
        <v>34085474</v>
      </c>
      <c r="Q55" s="37" t="s">
        <v>986</v>
      </c>
      <c r="R55" s="39" t="s">
        <v>87</v>
      </c>
      <c r="S55" s="36"/>
      <c r="T55" s="36"/>
      <c r="U55" s="36"/>
      <c r="V55" s="36"/>
      <c r="W55" s="36"/>
      <c r="X55" s="36"/>
      <c r="Y55" s="36"/>
    </row>
    <row r="56" spans="1:25" s="37" customFormat="1" ht="10.5" customHeight="1" x14ac:dyDescent="0.15">
      <c r="A56" s="559" t="s">
        <v>993</v>
      </c>
      <c r="B56" s="37" t="s">
        <v>986</v>
      </c>
      <c r="C56" s="37" t="s">
        <v>986</v>
      </c>
      <c r="D56" s="37" t="s">
        <v>986</v>
      </c>
      <c r="E56" s="37" t="s">
        <v>986</v>
      </c>
      <c r="F56" s="37" t="s">
        <v>986</v>
      </c>
      <c r="G56" s="37">
        <v>49826</v>
      </c>
      <c r="H56" s="37" t="s">
        <v>986</v>
      </c>
      <c r="I56" s="37">
        <v>49826</v>
      </c>
      <c r="J56" s="37">
        <v>25660</v>
      </c>
      <c r="K56" s="37" t="s">
        <v>986</v>
      </c>
      <c r="L56" s="37" t="s">
        <v>986</v>
      </c>
      <c r="M56" s="37">
        <v>25660</v>
      </c>
      <c r="N56" s="37" t="s">
        <v>986</v>
      </c>
      <c r="O56" s="37" t="s">
        <v>986</v>
      </c>
      <c r="P56" s="37">
        <v>33202130</v>
      </c>
      <c r="Q56" s="37" t="s">
        <v>986</v>
      </c>
      <c r="R56" s="39" t="s">
        <v>994</v>
      </c>
      <c r="S56" s="36"/>
      <c r="T56" s="36"/>
      <c r="U56" s="36"/>
      <c r="V56" s="36"/>
      <c r="W56" s="36"/>
      <c r="X56" s="36"/>
      <c r="Y56" s="36"/>
    </row>
    <row r="57" spans="1:25" s="37" customFormat="1" ht="10.5" customHeight="1" x14ac:dyDescent="0.15">
      <c r="A57" s="578"/>
      <c r="R57" s="39"/>
      <c r="S57" s="36"/>
      <c r="T57" s="36"/>
      <c r="U57" s="36"/>
      <c r="V57" s="36"/>
      <c r="W57" s="36"/>
      <c r="X57" s="36"/>
      <c r="Y57" s="36"/>
    </row>
    <row r="58" spans="1:25" s="37" customFormat="1" ht="10.5" customHeight="1" x14ac:dyDescent="0.15">
      <c r="A58" s="559" t="s">
        <v>995</v>
      </c>
      <c r="B58" s="37" t="s">
        <v>986</v>
      </c>
      <c r="C58" s="37" t="s">
        <v>986</v>
      </c>
      <c r="D58" s="37" t="s">
        <v>986</v>
      </c>
      <c r="E58" s="37" t="s">
        <v>986</v>
      </c>
      <c r="F58" s="37" t="s">
        <v>986</v>
      </c>
      <c r="G58" s="37" t="s">
        <v>986</v>
      </c>
      <c r="H58" s="37" t="s">
        <v>986</v>
      </c>
      <c r="I58" s="37" t="s">
        <v>986</v>
      </c>
      <c r="J58" s="37">
        <v>22100</v>
      </c>
      <c r="K58" s="37" t="s">
        <v>986</v>
      </c>
      <c r="L58" s="37" t="s">
        <v>986</v>
      </c>
      <c r="M58" s="37">
        <v>22100</v>
      </c>
      <c r="N58" s="37" t="s">
        <v>986</v>
      </c>
      <c r="O58" s="37" t="s">
        <v>986</v>
      </c>
      <c r="P58" s="37">
        <v>12675646</v>
      </c>
      <c r="Q58" s="37" t="s">
        <v>986</v>
      </c>
      <c r="R58" s="39" t="s">
        <v>778</v>
      </c>
      <c r="S58" s="36"/>
      <c r="T58" s="36"/>
      <c r="U58" s="36"/>
      <c r="V58" s="36"/>
      <c r="W58" s="36"/>
      <c r="X58" s="36"/>
      <c r="Y58" s="36"/>
    </row>
    <row r="59" spans="1:25" s="37" customFormat="1" ht="10.5" customHeight="1" x14ac:dyDescent="0.15">
      <c r="A59" s="559" t="s">
        <v>640</v>
      </c>
      <c r="B59" s="37" t="s">
        <v>986</v>
      </c>
      <c r="C59" s="37" t="s">
        <v>986</v>
      </c>
      <c r="D59" s="37" t="s">
        <v>986</v>
      </c>
      <c r="E59" s="37" t="s">
        <v>986</v>
      </c>
      <c r="F59" s="37" t="s">
        <v>986</v>
      </c>
      <c r="G59" s="37">
        <v>47723</v>
      </c>
      <c r="H59" s="37" t="s">
        <v>986</v>
      </c>
      <c r="I59" s="37">
        <v>47723</v>
      </c>
      <c r="J59" s="37" t="s">
        <v>986</v>
      </c>
      <c r="K59" s="37" t="s">
        <v>986</v>
      </c>
      <c r="L59" s="37" t="s">
        <v>986</v>
      </c>
      <c r="M59" s="37" t="s">
        <v>986</v>
      </c>
      <c r="N59" s="37" t="s">
        <v>986</v>
      </c>
      <c r="O59" s="37" t="s">
        <v>986</v>
      </c>
      <c r="P59" s="37">
        <v>11910643</v>
      </c>
      <c r="Q59" s="37" t="s">
        <v>986</v>
      </c>
      <c r="R59" s="39" t="s">
        <v>73</v>
      </c>
      <c r="S59" s="36"/>
      <c r="T59" s="36"/>
      <c r="U59" s="36"/>
      <c r="V59" s="36"/>
      <c r="W59" s="36"/>
      <c r="X59" s="36"/>
      <c r="Y59" s="36"/>
    </row>
    <row r="60" spans="1:25" s="37" customFormat="1" ht="10.5" customHeight="1" x14ac:dyDescent="0.15">
      <c r="A60" s="559" t="s">
        <v>641</v>
      </c>
      <c r="B60" s="37" t="s">
        <v>986</v>
      </c>
      <c r="C60" s="37" t="s">
        <v>986</v>
      </c>
      <c r="D60" s="37" t="s">
        <v>986</v>
      </c>
      <c r="E60" s="37" t="s">
        <v>986</v>
      </c>
      <c r="F60" s="37" t="s">
        <v>986</v>
      </c>
      <c r="G60" s="37">
        <v>47724</v>
      </c>
      <c r="H60" s="37" t="s">
        <v>986</v>
      </c>
      <c r="I60" s="37">
        <v>47724</v>
      </c>
      <c r="J60" s="37">
        <v>24499</v>
      </c>
      <c r="K60" s="37" t="s">
        <v>986</v>
      </c>
      <c r="L60" s="37" t="s">
        <v>986</v>
      </c>
      <c r="M60" s="37">
        <v>24499</v>
      </c>
      <c r="N60" s="37" t="s">
        <v>986</v>
      </c>
      <c r="O60" s="37" t="s">
        <v>986</v>
      </c>
      <c r="P60" s="37">
        <v>11929924</v>
      </c>
      <c r="Q60" s="37" t="s">
        <v>986</v>
      </c>
      <c r="R60" s="39" t="s">
        <v>74</v>
      </c>
      <c r="S60" s="36"/>
      <c r="T60" s="36"/>
      <c r="U60" s="36"/>
      <c r="V60" s="36"/>
      <c r="W60" s="36"/>
      <c r="X60" s="36"/>
      <c r="Y60" s="36"/>
    </row>
    <row r="61" spans="1:25" s="37" customFormat="1" ht="10.5" customHeight="1" x14ac:dyDescent="0.15">
      <c r="A61" s="559" t="s">
        <v>642</v>
      </c>
      <c r="B61" s="37" t="s">
        <v>986</v>
      </c>
      <c r="C61" s="37" t="s">
        <v>986</v>
      </c>
      <c r="D61" s="37" t="s">
        <v>986</v>
      </c>
      <c r="E61" s="37" t="s">
        <v>986</v>
      </c>
      <c r="F61" s="37">
        <v>49784</v>
      </c>
      <c r="G61" s="37" t="s">
        <v>986</v>
      </c>
      <c r="H61" s="37" t="s">
        <v>986</v>
      </c>
      <c r="I61" s="37" t="s">
        <v>986</v>
      </c>
      <c r="J61" s="37">
        <v>32468</v>
      </c>
      <c r="K61" s="37" t="s">
        <v>986</v>
      </c>
      <c r="L61" s="37" t="s">
        <v>986</v>
      </c>
      <c r="M61" s="37">
        <v>32468</v>
      </c>
      <c r="N61" s="37" t="s">
        <v>986</v>
      </c>
      <c r="O61" s="37" t="s">
        <v>986</v>
      </c>
      <c r="P61" s="37">
        <v>13039799</v>
      </c>
      <c r="Q61" s="37" t="s">
        <v>986</v>
      </c>
      <c r="R61" s="39" t="s">
        <v>75</v>
      </c>
      <c r="S61" s="36"/>
      <c r="T61" s="36"/>
      <c r="U61" s="36"/>
      <c r="V61" s="36"/>
      <c r="W61" s="36"/>
      <c r="X61" s="36"/>
      <c r="Y61" s="36"/>
    </row>
    <row r="62" spans="1:25" s="37" customFormat="1" ht="10.5" customHeight="1" x14ac:dyDescent="0.15">
      <c r="A62" s="559" t="s">
        <v>643</v>
      </c>
      <c r="B62" s="37" t="s">
        <v>986</v>
      </c>
      <c r="C62" s="37" t="s">
        <v>986</v>
      </c>
      <c r="D62" s="37" t="s">
        <v>986</v>
      </c>
      <c r="E62" s="37" t="s">
        <v>986</v>
      </c>
      <c r="F62" s="37" t="s">
        <v>986</v>
      </c>
      <c r="G62" s="37" t="s">
        <v>986</v>
      </c>
      <c r="H62" s="37" t="s">
        <v>986</v>
      </c>
      <c r="I62" s="37" t="s">
        <v>986</v>
      </c>
      <c r="J62" s="37" t="s">
        <v>986</v>
      </c>
      <c r="K62" s="37" t="s">
        <v>986</v>
      </c>
      <c r="L62" s="37" t="s">
        <v>986</v>
      </c>
      <c r="M62" s="37" t="s">
        <v>986</v>
      </c>
      <c r="N62" s="37" t="s">
        <v>986</v>
      </c>
      <c r="O62" s="37" t="s">
        <v>986</v>
      </c>
      <c r="P62" s="37">
        <v>11694989</v>
      </c>
      <c r="Q62" s="37" t="s">
        <v>986</v>
      </c>
      <c r="R62" s="40" t="s">
        <v>88</v>
      </c>
      <c r="S62" s="36"/>
      <c r="T62" s="36"/>
      <c r="U62" s="36"/>
      <c r="V62" s="36"/>
      <c r="W62" s="36"/>
      <c r="X62" s="36"/>
      <c r="Y62" s="36"/>
    </row>
    <row r="63" spans="1:25" s="37" customFormat="1" ht="10.5" customHeight="1" x14ac:dyDescent="0.15">
      <c r="A63" s="559" t="s">
        <v>644</v>
      </c>
      <c r="B63" s="37" t="s">
        <v>986</v>
      </c>
      <c r="C63" s="37" t="s">
        <v>986</v>
      </c>
      <c r="D63" s="37" t="s">
        <v>986</v>
      </c>
      <c r="E63" s="37" t="s">
        <v>986</v>
      </c>
      <c r="F63" s="37" t="s">
        <v>986</v>
      </c>
      <c r="G63" s="37">
        <v>45743</v>
      </c>
      <c r="H63" s="37">
        <v>45743</v>
      </c>
      <c r="I63" s="37" t="s">
        <v>986</v>
      </c>
      <c r="J63" s="37">
        <v>85932</v>
      </c>
      <c r="K63" s="37" t="s">
        <v>986</v>
      </c>
      <c r="L63" s="37" t="s">
        <v>986</v>
      </c>
      <c r="M63" s="37">
        <v>32234</v>
      </c>
      <c r="N63" s="37" t="s">
        <v>986</v>
      </c>
      <c r="O63" s="37">
        <v>53698</v>
      </c>
      <c r="P63" s="37">
        <v>10586835</v>
      </c>
      <c r="Q63" s="37" t="s">
        <v>986</v>
      </c>
      <c r="R63" s="39" t="s">
        <v>89</v>
      </c>
      <c r="S63" s="36"/>
      <c r="T63" s="36"/>
      <c r="U63" s="36"/>
      <c r="V63" s="36"/>
      <c r="W63" s="36"/>
      <c r="X63" s="36"/>
      <c r="Y63" s="36"/>
    </row>
    <row r="64" spans="1:25" s="37" customFormat="1" ht="10.5" customHeight="1" x14ac:dyDescent="0.15">
      <c r="A64" s="559" t="s">
        <v>645</v>
      </c>
      <c r="B64" s="37" t="s">
        <v>986</v>
      </c>
      <c r="C64" s="37" t="s">
        <v>986</v>
      </c>
      <c r="D64" s="37" t="s">
        <v>986</v>
      </c>
      <c r="E64" s="37" t="s">
        <v>986</v>
      </c>
      <c r="F64" s="37" t="s">
        <v>986</v>
      </c>
      <c r="G64" s="37" t="s">
        <v>986</v>
      </c>
      <c r="H64" s="37" t="s">
        <v>986</v>
      </c>
      <c r="I64" s="37" t="s">
        <v>986</v>
      </c>
      <c r="J64" s="37" t="s">
        <v>986</v>
      </c>
      <c r="K64" s="37" t="s">
        <v>986</v>
      </c>
      <c r="L64" s="37" t="s">
        <v>986</v>
      </c>
      <c r="M64" s="37" t="s">
        <v>986</v>
      </c>
      <c r="N64" s="37" t="s">
        <v>986</v>
      </c>
      <c r="O64" s="37" t="s">
        <v>986</v>
      </c>
      <c r="P64" s="37">
        <v>10969589</v>
      </c>
      <c r="Q64" s="37" t="s">
        <v>986</v>
      </c>
      <c r="R64" s="39" t="s">
        <v>90</v>
      </c>
      <c r="S64" s="36"/>
      <c r="T64" s="36"/>
      <c r="U64" s="36"/>
      <c r="V64" s="36"/>
      <c r="W64" s="36"/>
      <c r="X64" s="36"/>
      <c r="Y64" s="36"/>
    </row>
    <row r="65" spans="1:25" s="37" customFormat="1" ht="10.5" customHeight="1" x14ac:dyDescent="0.15">
      <c r="A65" s="559" t="s">
        <v>646</v>
      </c>
      <c r="B65" s="37" t="s">
        <v>986</v>
      </c>
      <c r="C65" s="37" t="s">
        <v>986</v>
      </c>
      <c r="D65" s="37" t="s">
        <v>986</v>
      </c>
      <c r="E65" s="37" t="s">
        <v>986</v>
      </c>
      <c r="F65" s="37" t="s">
        <v>986</v>
      </c>
      <c r="G65" s="37">
        <v>47643</v>
      </c>
      <c r="H65" s="37" t="s">
        <v>986</v>
      </c>
      <c r="I65" s="37">
        <v>47643</v>
      </c>
      <c r="J65" s="37" t="s">
        <v>986</v>
      </c>
      <c r="K65" s="37" t="s">
        <v>986</v>
      </c>
      <c r="L65" s="37" t="s">
        <v>986</v>
      </c>
      <c r="M65" s="37" t="s">
        <v>986</v>
      </c>
      <c r="N65" s="37" t="s">
        <v>986</v>
      </c>
      <c r="O65" s="37" t="s">
        <v>986</v>
      </c>
      <c r="P65" s="37">
        <v>11641111</v>
      </c>
      <c r="Q65" s="37" t="s">
        <v>986</v>
      </c>
      <c r="R65" s="39" t="s">
        <v>91</v>
      </c>
      <c r="S65" s="36"/>
      <c r="T65" s="36"/>
      <c r="U65" s="36"/>
      <c r="V65" s="36"/>
      <c r="W65" s="36"/>
      <c r="X65" s="36"/>
      <c r="Y65" s="36"/>
    </row>
    <row r="66" spans="1:25" s="37" customFormat="1" ht="10.5" customHeight="1" x14ac:dyDescent="0.15">
      <c r="A66" s="559" t="s">
        <v>647</v>
      </c>
      <c r="B66" s="37" t="s">
        <v>986</v>
      </c>
      <c r="C66" s="37" t="s">
        <v>986</v>
      </c>
      <c r="D66" s="37" t="s">
        <v>986</v>
      </c>
      <c r="E66" s="37" t="s">
        <v>986</v>
      </c>
      <c r="F66" s="37" t="s">
        <v>986</v>
      </c>
      <c r="G66" s="37" t="s">
        <v>986</v>
      </c>
      <c r="H66" s="37" t="s">
        <v>986</v>
      </c>
      <c r="I66" s="37" t="s">
        <v>986</v>
      </c>
      <c r="J66" s="37">
        <v>24721</v>
      </c>
      <c r="K66" s="37" t="s">
        <v>986</v>
      </c>
      <c r="L66" s="37" t="s">
        <v>986</v>
      </c>
      <c r="M66" s="37">
        <v>24721</v>
      </c>
      <c r="N66" s="37" t="s">
        <v>986</v>
      </c>
      <c r="O66" s="37" t="s">
        <v>986</v>
      </c>
      <c r="P66" s="37">
        <v>11943358</v>
      </c>
      <c r="Q66" s="37" t="s">
        <v>986</v>
      </c>
      <c r="R66" s="39" t="s">
        <v>92</v>
      </c>
      <c r="S66" s="36"/>
      <c r="T66" s="36"/>
      <c r="U66" s="36"/>
      <c r="V66" s="36"/>
      <c r="W66" s="36"/>
      <c r="X66" s="36"/>
      <c r="Y66" s="36"/>
    </row>
    <row r="67" spans="1:25" s="37" customFormat="1" ht="10.5" customHeight="1" x14ac:dyDescent="0.15">
      <c r="A67" s="559" t="s">
        <v>648</v>
      </c>
      <c r="B67" s="37" t="s">
        <v>986</v>
      </c>
      <c r="C67" s="37" t="s">
        <v>986</v>
      </c>
      <c r="D67" s="37" t="s">
        <v>986</v>
      </c>
      <c r="E67" s="37" t="s">
        <v>986</v>
      </c>
      <c r="F67" s="37" t="s">
        <v>986</v>
      </c>
      <c r="G67" s="37" t="s">
        <v>986</v>
      </c>
      <c r="H67" s="37" t="s">
        <v>986</v>
      </c>
      <c r="I67" s="37" t="s">
        <v>986</v>
      </c>
      <c r="J67" s="37">
        <v>24888</v>
      </c>
      <c r="K67" s="37" t="s">
        <v>986</v>
      </c>
      <c r="L67" s="37" t="s">
        <v>986</v>
      </c>
      <c r="M67" s="37">
        <v>24888</v>
      </c>
      <c r="N67" s="37" t="s">
        <v>986</v>
      </c>
      <c r="O67" s="37" t="s">
        <v>986</v>
      </c>
      <c r="P67" s="37">
        <v>10468389</v>
      </c>
      <c r="Q67" s="37" t="s">
        <v>986</v>
      </c>
      <c r="R67" s="39" t="s">
        <v>76</v>
      </c>
      <c r="S67" s="36"/>
      <c r="T67" s="36"/>
      <c r="U67" s="36"/>
      <c r="V67" s="36"/>
      <c r="W67" s="36"/>
      <c r="X67" s="36"/>
      <c r="Y67" s="36"/>
    </row>
    <row r="68" spans="1:25" s="37" customFormat="1" ht="10.5" customHeight="1" x14ac:dyDescent="0.15">
      <c r="A68" s="559" t="s">
        <v>649</v>
      </c>
      <c r="B68" s="37" t="s">
        <v>986</v>
      </c>
      <c r="C68" s="37" t="s">
        <v>986</v>
      </c>
      <c r="D68" s="37" t="s">
        <v>986</v>
      </c>
      <c r="E68" s="37" t="s">
        <v>986</v>
      </c>
      <c r="F68" s="37" t="s">
        <v>986</v>
      </c>
      <c r="G68" s="37" t="s">
        <v>986</v>
      </c>
      <c r="H68" s="37" t="s">
        <v>986</v>
      </c>
      <c r="I68" s="37" t="s">
        <v>986</v>
      </c>
      <c r="J68" s="37">
        <v>47520</v>
      </c>
      <c r="K68" s="37" t="s">
        <v>986</v>
      </c>
      <c r="L68" s="37" t="s">
        <v>986</v>
      </c>
      <c r="M68" s="37" t="s">
        <v>986</v>
      </c>
      <c r="N68" s="37" t="s">
        <v>986</v>
      </c>
      <c r="O68" s="37">
        <v>47520</v>
      </c>
      <c r="P68" s="37">
        <v>11695107</v>
      </c>
      <c r="Q68" s="37" t="s">
        <v>986</v>
      </c>
      <c r="R68" s="39" t="s">
        <v>77</v>
      </c>
      <c r="S68" s="36"/>
      <c r="T68" s="36"/>
      <c r="U68" s="36"/>
      <c r="V68" s="36"/>
      <c r="W68" s="36"/>
      <c r="X68" s="36"/>
      <c r="Y68" s="36"/>
    </row>
    <row r="69" spans="1:25" s="37" customFormat="1" ht="10.5" customHeight="1" x14ac:dyDescent="0.15">
      <c r="A69" s="559" t="s">
        <v>650</v>
      </c>
      <c r="B69" s="37" t="s">
        <v>986</v>
      </c>
      <c r="C69" s="37" t="s">
        <v>986</v>
      </c>
      <c r="D69" s="37" t="s">
        <v>986</v>
      </c>
      <c r="E69" s="37" t="s">
        <v>986</v>
      </c>
      <c r="F69" s="37" t="s">
        <v>986</v>
      </c>
      <c r="G69" s="37">
        <v>47572</v>
      </c>
      <c r="H69" s="37" t="s">
        <v>986</v>
      </c>
      <c r="I69" s="37">
        <v>47572</v>
      </c>
      <c r="J69" s="37">
        <v>27703</v>
      </c>
      <c r="K69" s="37" t="s">
        <v>986</v>
      </c>
      <c r="L69" s="37" t="s">
        <v>986</v>
      </c>
      <c r="M69" s="37">
        <v>27703</v>
      </c>
      <c r="N69" s="37" t="s">
        <v>986</v>
      </c>
      <c r="O69" s="37" t="s">
        <v>986</v>
      </c>
      <c r="P69" s="37">
        <v>11921978</v>
      </c>
      <c r="Q69" s="37" t="s">
        <v>986</v>
      </c>
      <c r="R69" s="39" t="s">
        <v>78</v>
      </c>
      <c r="S69" s="36"/>
      <c r="T69" s="36"/>
      <c r="U69" s="36"/>
      <c r="V69" s="36"/>
      <c r="W69" s="36"/>
      <c r="X69" s="36"/>
      <c r="Y69" s="36"/>
    </row>
    <row r="70" spans="1:25" s="37" customFormat="1" ht="10.5" customHeight="1" x14ac:dyDescent="0.15">
      <c r="A70" s="559" t="s">
        <v>996</v>
      </c>
      <c r="B70" s="37" t="s">
        <v>986</v>
      </c>
      <c r="C70" s="37" t="s">
        <v>986</v>
      </c>
      <c r="D70" s="37" t="s">
        <v>986</v>
      </c>
      <c r="E70" s="37" t="s">
        <v>986</v>
      </c>
      <c r="F70" s="37" t="s">
        <v>986</v>
      </c>
      <c r="G70" s="37" t="s">
        <v>986</v>
      </c>
      <c r="H70" s="37" t="s">
        <v>986</v>
      </c>
      <c r="I70" s="37" t="s">
        <v>986</v>
      </c>
      <c r="J70" s="37">
        <v>25660</v>
      </c>
      <c r="K70" s="37" t="s">
        <v>986</v>
      </c>
      <c r="L70" s="37" t="s">
        <v>986</v>
      </c>
      <c r="M70" s="37">
        <v>25660</v>
      </c>
      <c r="N70" s="37" t="s">
        <v>986</v>
      </c>
      <c r="O70" s="37" t="s">
        <v>986</v>
      </c>
      <c r="P70" s="37">
        <v>11107105</v>
      </c>
      <c r="Q70" s="37" t="s">
        <v>986</v>
      </c>
      <c r="R70" s="39" t="s">
        <v>997</v>
      </c>
      <c r="S70" s="36"/>
      <c r="T70" s="36"/>
      <c r="U70" s="36"/>
      <c r="V70" s="36"/>
      <c r="W70" s="36"/>
      <c r="X70" s="36"/>
      <c r="Y70" s="36"/>
    </row>
    <row r="71" spans="1:25" s="37" customFormat="1" ht="10.5" customHeight="1" x14ac:dyDescent="0.15">
      <c r="A71" s="559" t="s">
        <v>651</v>
      </c>
      <c r="B71" s="37" t="s">
        <v>986</v>
      </c>
      <c r="C71" s="37" t="s">
        <v>986</v>
      </c>
      <c r="D71" s="37" t="s">
        <v>986</v>
      </c>
      <c r="E71" s="37" t="s">
        <v>986</v>
      </c>
      <c r="F71" s="37" t="s">
        <v>986</v>
      </c>
      <c r="G71" s="37">
        <v>49826</v>
      </c>
      <c r="H71" s="37" t="s">
        <v>986</v>
      </c>
      <c r="I71" s="37">
        <v>49826</v>
      </c>
      <c r="J71" s="37" t="s">
        <v>986</v>
      </c>
      <c r="K71" s="37" t="s">
        <v>986</v>
      </c>
      <c r="L71" s="37" t="s">
        <v>986</v>
      </c>
      <c r="M71" s="37" t="s">
        <v>986</v>
      </c>
      <c r="N71" s="37" t="s">
        <v>986</v>
      </c>
      <c r="O71" s="37" t="s">
        <v>986</v>
      </c>
      <c r="P71" s="37">
        <v>10911567</v>
      </c>
      <c r="Q71" s="37" t="s">
        <v>986</v>
      </c>
      <c r="R71" s="39" t="s">
        <v>73</v>
      </c>
      <c r="S71" s="36"/>
      <c r="T71" s="36"/>
      <c r="U71" s="36"/>
      <c r="V71" s="36"/>
      <c r="W71" s="36"/>
      <c r="X71" s="36"/>
      <c r="Y71" s="36"/>
    </row>
    <row r="72" spans="1:25" s="37" customFormat="1" ht="10.5" customHeight="1" x14ac:dyDescent="0.15">
      <c r="A72" s="661" t="s">
        <v>652</v>
      </c>
      <c r="B72" s="680" t="s">
        <v>986</v>
      </c>
      <c r="C72" s="681" t="s">
        <v>986</v>
      </c>
      <c r="D72" s="681" t="s">
        <v>986</v>
      </c>
      <c r="E72" s="681" t="s">
        <v>986</v>
      </c>
      <c r="F72" s="681" t="s">
        <v>986</v>
      </c>
      <c r="G72" s="681" t="s">
        <v>986</v>
      </c>
      <c r="H72" s="681" t="s">
        <v>986</v>
      </c>
      <c r="I72" s="681" t="s">
        <v>986</v>
      </c>
      <c r="J72" s="681" t="s">
        <v>986</v>
      </c>
      <c r="K72" s="681" t="s">
        <v>986</v>
      </c>
      <c r="L72" s="681" t="s">
        <v>986</v>
      </c>
      <c r="M72" s="681" t="s">
        <v>986</v>
      </c>
      <c r="N72" s="681" t="s">
        <v>986</v>
      </c>
      <c r="O72" s="681" t="s">
        <v>986</v>
      </c>
      <c r="P72" s="681">
        <v>11183458</v>
      </c>
      <c r="Q72" s="681" t="s">
        <v>986</v>
      </c>
      <c r="R72" s="682" t="s">
        <v>74</v>
      </c>
      <c r="S72" s="36"/>
      <c r="T72" s="36"/>
      <c r="U72" s="36"/>
      <c r="V72" s="36"/>
      <c r="W72" s="36"/>
      <c r="X72" s="36"/>
      <c r="Y72" s="36"/>
    </row>
    <row r="73" spans="1:25" ht="23.25" customHeight="1" x14ac:dyDescent="0.25">
      <c r="I73" s="41" t="s">
        <v>93</v>
      </c>
      <c r="Q73" s="42" t="s">
        <v>72</v>
      </c>
    </row>
    <row r="74" spans="1:25" s="17" customFormat="1" ht="11.25" customHeight="1" x14ac:dyDescent="0.15">
      <c r="A74" s="668"/>
      <c r="B74" s="683" t="s">
        <v>94</v>
      </c>
      <c r="C74" s="671"/>
      <c r="D74" s="671"/>
      <c r="E74" s="671"/>
      <c r="F74" s="671"/>
      <c r="G74" s="671"/>
      <c r="H74" s="671"/>
      <c r="I74" s="671"/>
      <c r="J74" s="671"/>
      <c r="K74" s="671"/>
      <c r="L74" s="671"/>
      <c r="M74" s="671"/>
      <c r="N74" s="671"/>
      <c r="O74" s="671"/>
      <c r="P74" s="671"/>
      <c r="Q74" s="671"/>
      <c r="R74" s="1030" t="s">
        <v>79</v>
      </c>
      <c r="S74" s="16"/>
      <c r="T74" s="16"/>
      <c r="U74" s="16"/>
      <c r="V74" s="16"/>
      <c r="W74" s="16"/>
      <c r="X74" s="16"/>
      <c r="Y74" s="16"/>
    </row>
    <row r="75" spans="1:25" s="35" customFormat="1" ht="28.5" customHeight="1" x14ac:dyDescent="0.15">
      <c r="A75" s="25" t="s">
        <v>172</v>
      </c>
      <c r="B75" s="684" t="s">
        <v>1003</v>
      </c>
      <c r="C75" s="674"/>
      <c r="D75" s="674"/>
      <c r="E75" s="674"/>
      <c r="F75" s="675"/>
      <c r="G75" s="673" t="s">
        <v>130</v>
      </c>
      <c r="H75" s="674"/>
      <c r="I75" s="675"/>
      <c r="J75" s="672" t="s">
        <v>427</v>
      </c>
      <c r="K75" s="673" t="s">
        <v>46</v>
      </c>
      <c r="L75" s="674"/>
      <c r="M75" s="674"/>
      <c r="N75" s="674"/>
      <c r="O75" s="674"/>
      <c r="P75" s="675"/>
      <c r="Q75" s="673" t="s">
        <v>134</v>
      </c>
      <c r="R75" s="1031"/>
      <c r="S75" s="13"/>
      <c r="T75" s="13"/>
      <c r="U75" s="13"/>
      <c r="V75" s="13"/>
      <c r="W75" s="13"/>
      <c r="X75" s="13"/>
      <c r="Y75" s="13"/>
    </row>
    <row r="76" spans="1:25" s="35" customFormat="1" ht="28.5" customHeight="1" x14ac:dyDescent="0.15">
      <c r="A76" s="25"/>
      <c r="B76" s="672" t="s">
        <v>131</v>
      </c>
      <c r="C76" s="672" t="s">
        <v>44</v>
      </c>
      <c r="D76" s="672" t="s">
        <v>1004</v>
      </c>
      <c r="E76" s="672" t="s">
        <v>1005</v>
      </c>
      <c r="F76" s="672" t="s">
        <v>132</v>
      </c>
      <c r="G76" s="14" t="s">
        <v>22</v>
      </c>
      <c r="H76" s="672" t="s">
        <v>45</v>
      </c>
      <c r="I76" s="672" t="s">
        <v>133</v>
      </c>
      <c r="J76" s="672" t="s">
        <v>1006</v>
      </c>
      <c r="K76" s="14" t="s">
        <v>33</v>
      </c>
      <c r="L76" s="672" t="s">
        <v>47</v>
      </c>
      <c r="M76" s="672" t="s">
        <v>48</v>
      </c>
      <c r="N76" s="672" t="s">
        <v>1007</v>
      </c>
      <c r="O76" s="672" t="s">
        <v>1008</v>
      </c>
      <c r="P76" s="672" t="s">
        <v>1009</v>
      </c>
      <c r="Q76" s="686" t="s">
        <v>34</v>
      </c>
      <c r="R76" s="1031"/>
      <c r="S76" s="13"/>
      <c r="T76" s="13"/>
      <c r="U76" s="13"/>
      <c r="V76" s="13"/>
      <c r="W76" s="13"/>
      <c r="X76" s="13"/>
      <c r="Y76" s="13"/>
    </row>
    <row r="77" spans="1:25" s="35" customFormat="1" ht="12" customHeight="1" x14ac:dyDescent="0.15">
      <c r="A77" s="687"/>
      <c r="B77" s="15" t="str">
        <f>PROPER("IRAN-L")</f>
        <v>Iran-L</v>
      </c>
      <c r="C77" s="15" t="str">
        <f>PROPER("IRAN-H")</f>
        <v>Iran-H</v>
      </c>
      <c r="D77" s="15" t="str">
        <f>PROPER("FOROZN-B")</f>
        <v>Forozn-B</v>
      </c>
      <c r="E77" s="15" t="str">
        <f>PROPER("S-PARS-C")</f>
        <v>S-Pars-C</v>
      </c>
      <c r="F77" s="15" t="str">
        <f>PROPER("SOROOSH")</f>
        <v>Soroosh</v>
      </c>
      <c r="G77" s="15"/>
      <c r="H77" s="15" t="str">
        <f>PROPER("BASRAH-L")</f>
        <v>Basrah-L</v>
      </c>
      <c r="I77" s="15" t="str">
        <f>PROPER("BASRAH-H")</f>
        <v>Basrah-H</v>
      </c>
      <c r="J77" s="15" t="str">
        <f>PROPER("BANOC-AM")</f>
        <v>Banoc-Am</v>
      </c>
      <c r="K77" s="15"/>
      <c r="L77" s="15" t="str">
        <f>PROPER("ARAB-L")</f>
        <v>Arab-L</v>
      </c>
      <c r="M77" s="15" t="str">
        <f>PROPER("ARAB-H")</f>
        <v>Arab-H</v>
      </c>
      <c r="N77" s="15" t="str">
        <f>PROPER("ARAB-M")</f>
        <v>Arab-M</v>
      </c>
      <c r="O77" s="15" t="str">
        <f>PROPER("ARAB-E-L")</f>
        <v>Arab-E-L</v>
      </c>
      <c r="P77" s="15" t="str">
        <f>PROPER("ARAB-S-L")</f>
        <v>Arab-S-L</v>
      </c>
      <c r="Q77" s="676"/>
      <c r="R77" s="1032"/>
      <c r="S77" s="13"/>
      <c r="T77" s="13"/>
      <c r="U77" s="13"/>
      <c r="V77" s="13"/>
      <c r="W77" s="13"/>
      <c r="X77" s="13"/>
      <c r="Y77" s="13"/>
    </row>
    <row r="78" spans="1:25" s="37" customFormat="1" ht="10.5" customHeight="1" x14ac:dyDescent="0.15">
      <c r="A78" s="657" t="s">
        <v>985</v>
      </c>
      <c r="B78" s="677">
        <v>128419</v>
      </c>
      <c r="C78" s="678">
        <v>1890751</v>
      </c>
      <c r="D78" s="678">
        <v>545313</v>
      </c>
      <c r="E78" s="678">
        <v>76246</v>
      </c>
      <c r="F78" s="678">
        <v>78565</v>
      </c>
      <c r="G78" s="678">
        <v>2465339</v>
      </c>
      <c r="H78" s="678">
        <v>2011168</v>
      </c>
      <c r="I78" s="678">
        <v>454171</v>
      </c>
      <c r="J78" s="678">
        <v>2911341</v>
      </c>
      <c r="K78" s="678">
        <v>61967631</v>
      </c>
      <c r="L78" s="678">
        <v>22969545</v>
      </c>
      <c r="M78" s="678">
        <v>7659329</v>
      </c>
      <c r="N78" s="678">
        <v>2260623</v>
      </c>
      <c r="O78" s="678">
        <v>26618296</v>
      </c>
      <c r="P78" s="678">
        <v>2459838</v>
      </c>
      <c r="Q78" s="678">
        <v>14692639</v>
      </c>
      <c r="R78" s="679" t="s">
        <v>485</v>
      </c>
      <c r="S78" s="36"/>
      <c r="T78" s="36"/>
      <c r="U78" s="36"/>
      <c r="V78" s="36"/>
      <c r="W78" s="36"/>
      <c r="X78" s="36"/>
      <c r="Y78" s="36"/>
    </row>
    <row r="79" spans="1:25" s="37" customFormat="1" ht="10.5" customHeight="1" x14ac:dyDescent="0.15">
      <c r="A79" s="559" t="s">
        <v>634</v>
      </c>
      <c r="B79" s="37" t="s">
        <v>986</v>
      </c>
      <c r="C79" s="37" t="s">
        <v>986</v>
      </c>
      <c r="D79" s="37" t="s">
        <v>986</v>
      </c>
      <c r="E79" s="37" t="s">
        <v>986</v>
      </c>
      <c r="F79" s="37" t="s">
        <v>986</v>
      </c>
      <c r="G79" s="37">
        <v>788821</v>
      </c>
      <c r="H79" s="37">
        <v>788821</v>
      </c>
      <c r="I79" s="37" t="s">
        <v>986</v>
      </c>
      <c r="J79" s="37">
        <v>2040752</v>
      </c>
      <c r="K79" s="37">
        <v>56773606</v>
      </c>
      <c r="L79" s="37">
        <v>23045058</v>
      </c>
      <c r="M79" s="37">
        <v>5919709</v>
      </c>
      <c r="N79" s="37">
        <v>2301674</v>
      </c>
      <c r="O79" s="37">
        <v>23320165</v>
      </c>
      <c r="P79" s="37">
        <v>2187000</v>
      </c>
      <c r="Q79" s="37">
        <v>13223305</v>
      </c>
      <c r="R79" s="39" t="s">
        <v>588</v>
      </c>
      <c r="S79" s="36"/>
      <c r="T79" s="36"/>
      <c r="U79" s="36"/>
      <c r="V79" s="36"/>
      <c r="W79" s="36"/>
      <c r="X79" s="36"/>
      <c r="Y79" s="36"/>
    </row>
    <row r="80" spans="1:25" s="37" customFormat="1" ht="10.5" customHeight="1" x14ac:dyDescent="0.15">
      <c r="A80" s="559" t="s">
        <v>635</v>
      </c>
      <c r="B80" s="37" t="s">
        <v>986</v>
      </c>
      <c r="C80" s="37" t="s">
        <v>986</v>
      </c>
      <c r="D80" s="37" t="s">
        <v>986</v>
      </c>
      <c r="E80" s="37" t="s">
        <v>986</v>
      </c>
      <c r="F80" s="37" t="s">
        <v>986</v>
      </c>
      <c r="G80" s="37">
        <v>157960</v>
      </c>
      <c r="H80" s="37">
        <v>157960</v>
      </c>
      <c r="I80" s="37" t="s">
        <v>986</v>
      </c>
      <c r="J80" s="37">
        <v>2050509</v>
      </c>
      <c r="K80" s="37">
        <v>56525615</v>
      </c>
      <c r="L80" s="37">
        <v>21970904</v>
      </c>
      <c r="M80" s="37">
        <v>8259483</v>
      </c>
      <c r="N80" s="37">
        <v>1894831</v>
      </c>
      <c r="O80" s="37">
        <v>22407111</v>
      </c>
      <c r="P80" s="37">
        <v>1993286</v>
      </c>
      <c r="Q80" s="37">
        <v>12105867</v>
      </c>
      <c r="R80" s="39" t="s">
        <v>636</v>
      </c>
      <c r="S80" s="36"/>
      <c r="T80" s="36"/>
      <c r="U80" s="36"/>
      <c r="V80" s="36"/>
      <c r="W80" s="36"/>
      <c r="X80" s="36"/>
      <c r="Y80" s="36"/>
    </row>
    <row r="81" spans="1:25" s="37" customFormat="1" ht="10.5" customHeight="1" x14ac:dyDescent="0.15">
      <c r="A81" s="559" t="s">
        <v>774</v>
      </c>
      <c r="B81" s="37" t="s">
        <v>986</v>
      </c>
      <c r="C81" s="37" t="s">
        <v>986</v>
      </c>
      <c r="D81" s="37" t="s">
        <v>986</v>
      </c>
      <c r="E81" s="37" t="s">
        <v>986</v>
      </c>
      <c r="F81" s="37" t="s">
        <v>986</v>
      </c>
      <c r="G81" s="37" t="s">
        <v>986</v>
      </c>
      <c r="H81" s="37" t="s">
        <v>986</v>
      </c>
      <c r="I81" s="37" t="s">
        <v>986</v>
      </c>
      <c r="J81" s="37">
        <v>2028574</v>
      </c>
      <c r="K81" s="37">
        <v>60374739</v>
      </c>
      <c r="L81" s="37">
        <v>24606708</v>
      </c>
      <c r="M81" s="37">
        <v>9051551</v>
      </c>
      <c r="N81" s="37">
        <v>1741401</v>
      </c>
      <c r="O81" s="37">
        <v>23205052</v>
      </c>
      <c r="P81" s="37">
        <v>1770027</v>
      </c>
      <c r="Q81" s="37">
        <v>12823959</v>
      </c>
      <c r="R81" s="39" t="s">
        <v>775</v>
      </c>
      <c r="S81" s="36"/>
      <c r="T81" s="36"/>
      <c r="U81" s="36"/>
      <c r="V81" s="36"/>
      <c r="W81" s="36"/>
      <c r="X81" s="36"/>
      <c r="Y81" s="36"/>
    </row>
    <row r="82" spans="1:25" s="37" customFormat="1" ht="10.5" customHeight="1" x14ac:dyDescent="0.15">
      <c r="A82" s="559" t="s">
        <v>987</v>
      </c>
      <c r="B82" s="37" t="s">
        <v>986</v>
      </c>
      <c r="C82" s="37" t="s">
        <v>986</v>
      </c>
      <c r="D82" s="37" t="s">
        <v>986</v>
      </c>
      <c r="E82" s="37" t="s">
        <v>986</v>
      </c>
      <c r="F82" s="37" t="s">
        <v>986</v>
      </c>
      <c r="G82" s="37" t="s">
        <v>986</v>
      </c>
      <c r="H82" s="37" t="s">
        <v>986</v>
      </c>
      <c r="I82" s="37" t="s">
        <v>986</v>
      </c>
      <c r="J82" s="37">
        <v>546392</v>
      </c>
      <c r="K82" s="37">
        <v>59661688</v>
      </c>
      <c r="L82" s="37">
        <v>21015823</v>
      </c>
      <c r="M82" s="37">
        <v>8419649</v>
      </c>
      <c r="N82" s="37">
        <v>1449505</v>
      </c>
      <c r="O82" s="37">
        <v>26611147</v>
      </c>
      <c r="P82" s="37">
        <v>2165564</v>
      </c>
      <c r="Q82" s="37">
        <v>12970854</v>
      </c>
      <c r="R82" s="39" t="s">
        <v>988</v>
      </c>
      <c r="S82" s="36"/>
      <c r="T82" s="36"/>
      <c r="U82" s="36"/>
      <c r="V82" s="36"/>
      <c r="W82" s="36"/>
      <c r="X82" s="36"/>
      <c r="Y82" s="36"/>
    </row>
    <row r="83" spans="1:25" s="37" customFormat="1" ht="10.5" customHeight="1" x14ac:dyDescent="0.15">
      <c r="A83" s="578"/>
      <c r="R83" s="39"/>
      <c r="S83" s="36"/>
      <c r="T83" s="36"/>
      <c r="U83" s="36"/>
      <c r="V83" s="36"/>
      <c r="W83" s="36"/>
      <c r="X83" s="36"/>
      <c r="Y83" s="36"/>
    </row>
    <row r="84" spans="1:25" s="37" customFormat="1" ht="10.5" customHeight="1" x14ac:dyDescent="0.15">
      <c r="A84" s="559" t="s">
        <v>989</v>
      </c>
      <c r="B84" s="37" t="s">
        <v>986</v>
      </c>
      <c r="C84" s="37" t="s">
        <v>986</v>
      </c>
      <c r="D84" s="37" t="s">
        <v>986</v>
      </c>
      <c r="E84" s="37" t="s">
        <v>986</v>
      </c>
      <c r="F84" s="37" t="s">
        <v>986</v>
      </c>
      <c r="G84" s="37" t="s">
        <v>986</v>
      </c>
      <c r="H84" s="37" t="s">
        <v>986</v>
      </c>
      <c r="I84" s="37" t="s">
        <v>986</v>
      </c>
      <c r="J84" s="37">
        <v>1521617</v>
      </c>
      <c r="K84" s="37">
        <v>61385051</v>
      </c>
      <c r="L84" s="37">
        <v>23160679</v>
      </c>
      <c r="M84" s="37">
        <v>9345354</v>
      </c>
      <c r="N84" s="37">
        <v>1620686</v>
      </c>
      <c r="O84" s="37">
        <v>25590359</v>
      </c>
      <c r="P84" s="37">
        <v>1667973</v>
      </c>
      <c r="Q84" s="37">
        <v>13374489</v>
      </c>
      <c r="R84" s="39" t="s">
        <v>776</v>
      </c>
      <c r="S84" s="36"/>
      <c r="T84" s="36"/>
      <c r="U84" s="36"/>
      <c r="V84" s="36"/>
      <c r="W84" s="36"/>
      <c r="X84" s="36"/>
      <c r="Y84" s="36"/>
    </row>
    <row r="85" spans="1:25" s="37" customFormat="1" ht="10.5" customHeight="1" x14ac:dyDescent="0.15">
      <c r="A85" s="559" t="s">
        <v>990</v>
      </c>
      <c r="B85" s="37" t="s">
        <v>986</v>
      </c>
      <c r="C85" s="37" t="s">
        <v>986</v>
      </c>
      <c r="D85" s="37" t="s">
        <v>986</v>
      </c>
      <c r="E85" s="37" t="s">
        <v>986</v>
      </c>
      <c r="F85" s="37" t="s">
        <v>986</v>
      </c>
      <c r="G85" s="37" t="s">
        <v>986</v>
      </c>
      <c r="H85" s="37" t="s">
        <v>986</v>
      </c>
      <c r="I85" s="37" t="s">
        <v>986</v>
      </c>
      <c r="J85" s="37">
        <v>382107</v>
      </c>
      <c r="K85" s="37">
        <v>57049359</v>
      </c>
      <c r="L85" s="37">
        <v>20354411</v>
      </c>
      <c r="M85" s="37">
        <v>7712490</v>
      </c>
      <c r="N85" s="37">
        <v>1511071</v>
      </c>
      <c r="O85" s="37">
        <v>25211329</v>
      </c>
      <c r="P85" s="37">
        <v>2260058</v>
      </c>
      <c r="Q85" s="37">
        <v>11818381</v>
      </c>
      <c r="R85" s="39" t="s">
        <v>991</v>
      </c>
      <c r="S85" s="36"/>
      <c r="T85" s="36"/>
      <c r="U85" s="36"/>
      <c r="V85" s="36"/>
      <c r="W85" s="36"/>
      <c r="X85" s="36"/>
      <c r="Y85" s="36"/>
    </row>
    <row r="86" spans="1:25" s="37" customFormat="1" ht="10.5" customHeight="1" x14ac:dyDescent="0.15">
      <c r="A86" s="578"/>
      <c r="R86" s="39"/>
      <c r="S86" s="36"/>
      <c r="T86" s="36"/>
      <c r="U86" s="36"/>
      <c r="V86" s="36"/>
      <c r="W86" s="36"/>
      <c r="X86" s="36"/>
      <c r="Y86" s="36"/>
    </row>
    <row r="87" spans="1:25" s="37" customFormat="1" ht="10.5" customHeight="1" x14ac:dyDescent="0.15">
      <c r="A87" s="559" t="s">
        <v>992</v>
      </c>
      <c r="B87" s="37" t="s">
        <v>986</v>
      </c>
      <c r="C87" s="37" t="s">
        <v>986</v>
      </c>
      <c r="D87" s="37" t="s">
        <v>986</v>
      </c>
      <c r="E87" s="37" t="s">
        <v>986</v>
      </c>
      <c r="F87" s="37" t="s">
        <v>986</v>
      </c>
      <c r="G87" s="37" t="s">
        <v>986</v>
      </c>
      <c r="H87" s="37" t="s">
        <v>986</v>
      </c>
      <c r="I87" s="37" t="s">
        <v>986</v>
      </c>
      <c r="J87" s="37">
        <v>239674</v>
      </c>
      <c r="K87" s="37">
        <v>16373803</v>
      </c>
      <c r="L87" s="37">
        <v>5739150</v>
      </c>
      <c r="M87" s="37">
        <v>2267423</v>
      </c>
      <c r="N87" s="37">
        <v>368571</v>
      </c>
      <c r="O87" s="37">
        <v>7546999</v>
      </c>
      <c r="P87" s="37">
        <v>451660</v>
      </c>
      <c r="Q87" s="37">
        <v>3670285</v>
      </c>
      <c r="R87" s="39" t="s">
        <v>777</v>
      </c>
      <c r="S87" s="36"/>
      <c r="T87" s="36"/>
      <c r="U87" s="36"/>
      <c r="V87" s="36"/>
      <c r="W87" s="36"/>
      <c r="X87" s="36"/>
      <c r="Y87" s="36"/>
    </row>
    <row r="88" spans="1:25" s="37" customFormat="1" ht="10.5" customHeight="1" x14ac:dyDescent="0.15">
      <c r="A88" s="559" t="s">
        <v>637</v>
      </c>
      <c r="B88" s="37" t="s">
        <v>986</v>
      </c>
      <c r="C88" s="37" t="s">
        <v>986</v>
      </c>
      <c r="D88" s="37" t="s">
        <v>986</v>
      </c>
      <c r="E88" s="37" t="s">
        <v>986</v>
      </c>
      <c r="F88" s="37" t="s">
        <v>986</v>
      </c>
      <c r="G88" s="37" t="s">
        <v>986</v>
      </c>
      <c r="H88" s="37" t="s">
        <v>986</v>
      </c>
      <c r="I88" s="37" t="s">
        <v>986</v>
      </c>
      <c r="J88" s="37">
        <v>76401</v>
      </c>
      <c r="K88" s="37">
        <v>14001869</v>
      </c>
      <c r="L88" s="37">
        <v>4957809</v>
      </c>
      <c r="M88" s="37">
        <v>2186023</v>
      </c>
      <c r="N88" s="37">
        <v>230006</v>
      </c>
      <c r="O88" s="37">
        <v>5870295</v>
      </c>
      <c r="P88" s="37">
        <v>757736</v>
      </c>
      <c r="Q88" s="37">
        <v>3338773</v>
      </c>
      <c r="R88" s="39" t="s">
        <v>85</v>
      </c>
      <c r="S88" s="36"/>
      <c r="T88" s="36"/>
      <c r="U88" s="36"/>
      <c r="V88" s="36"/>
      <c r="W88" s="36"/>
      <c r="X88" s="36"/>
      <c r="Y88" s="36"/>
    </row>
    <row r="89" spans="1:25" s="37" customFormat="1" ht="10.5" customHeight="1" x14ac:dyDescent="0.15">
      <c r="A89" s="559" t="s">
        <v>638</v>
      </c>
      <c r="B89" s="37" t="s">
        <v>986</v>
      </c>
      <c r="C89" s="37" t="s">
        <v>986</v>
      </c>
      <c r="D89" s="37" t="s">
        <v>986</v>
      </c>
      <c r="E89" s="37" t="s">
        <v>986</v>
      </c>
      <c r="F89" s="37" t="s">
        <v>986</v>
      </c>
      <c r="G89" s="37" t="s">
        <v>986</v>
      </c>
      <c r="H89" s="37" t="s">
        <v>986</v>
      </c>
      <c r="I89" s="37" t="s">
        <v>986</v>
      </c>
      <c r="J89" s="37">
        <v>152890</v>
      </c>
      <c r="K89" s="37">
        <v>13424289</v>
      </c>
      <c r="L89" s="37">
        <v>4491834</v>
      </c>
      <c r="M89" s="37">
        <v>1984520</v>
      </c>
      <c r="N89" s="37">
        <v>459011</v>
      </c>
      <c r="O89" s="37">
        <v>6077460</v>
      </c>
      <c r="P89" s="37">
        <v>411464</v>
      </c>
      <c r="Q89" s="37">
        <v>3301044</v>
      </c>
      <c r="R89" s="39" t="s">
        <v>86</v>
      </c>
      <c r="S89" s="36"/>
      <c r="T89" s="36"/>
      <c r="U89" s="36"/>
      <c r="V89" s="36"/>
      <c r="W89" s="36"/>
      <c r="X89" s="36"/>
      <c r="Y89" s="36"/>
    </row>
    <row r="90" spans="1:25" s="37" customFormat="1" ht="10.5" customHeight="1" x14ac:dyDescent="0.15">
      <c r="A90" s="559" t="s">
        <v>639</v>
      </c>
      <c r="B90" s="37" t="s">
        <v>986</v>
      </c>
      <c r="C90" s="37" t="s">
        <v>986</v>
      </c>
      <c r="D90" s="37" t="s">
        <v>986</v>
      </c>
      <c r="E90" s="37" t="s">
        <v>986</v>
      </c>
      <c r="F90" s="37" t="s">
        <v>986</v>
      </c>
      <c r="G90" s="37" t="s">
        <v>986</v>
      </c>
      <c r="H90" s="37" t="s">
        <v>986</v>
      </c>
      <c r="I90" s="37" t="s">
        <v>986</v>
      </c>
      <c r="J90" s="37">
        <v>77427</v>
      </c>
      <c r="K90" s="37">
        <v>15861727</v>
      </c>
      <c r="L90" s="37">
        <v>5827030</v>
      </c>
      <c r="M90" s="37">
        <v>1981683</v>
      </c>
      <c r="N90" s="37">
        <v>391917</v>
      </c>
      <c r="O90" s="37">
        <v>7116393</v>
      </c>
      <c r="P90" s="37">
        <v>544704</v>
      </c>
      <c r="Q90" s="37">
        <v>2660752</v>
      </c>
      <c r="R90" s="39" t="s">
        <v>87</v>
      </c>
      <c r="S90" s="36"/>
      <c r="T90" s="36"/>
      <c r="U90" s="36"/>
      <c r="V90" s="36"/>
      <c r="W90" s="36"/>
      <c r="X90" s="36"/>
      <c r="Y90" s="36"/>
    </row>
    <row r="91" spans="1:25" s="37" customFormat="1" ht="10.5" customHeight="1" x14ac:dyDescent="0.15">
      <c r="A91" s="559" t="s">
        <v>993</v>
      </c>
      <c r="B91" s="37" t="s">
        <v>986</v>
      </c>
      <c r="C91" s="37" t="s">
        <v>986</v>
      </c>
      <c r="D91" s="37" t="s">
        <v>986</v>
      </c>
      <c r="E91" s="37" t="s">
        <v>986</v>
      </c>
      <c r="F91" s="37" t="s">
        <v>986</v>
      </c>
      <c r="G91" s="37" t="s">
        <v>986</v>
      </c>
      <c r="H91" s="37" t="s">
        <v>986</v>
      </c>
      <c r="I91" s="37" t="s">
        <v>986</v>
      </c>
      <c r="J91" s="37">
        <v>75389</v>
      </c>
      <c r="K91" s="37">
        <v>13761474</v>
      </c>
      <c r="L91" s="37">
        <v>5077738</v>
      </c>
      <c r="M91" s="37">
        <v>1560264</v>
      </c>
      <c r="N91" s="37">
        <v>430137</v>
      </c>
      <c r="O91" s="37">
        <v>6147181</v>
      </c>
      <c r="P91" s="37">
        <v>546154</v>
      </c>
      <c r="Q91" s="37">
        <v>2517812</v>
      </c>
      <c r="R91" s="39" t="s">
        <v>994</v>
      </c>
      <c r="S91" s="36"/>
      <c r="T91" s="36"/>
      <c r="U91" s="36"/>
      <c r="V91" s="36"/>
      <c r="W91" s="36"/>
      <c r="X91" s="36"/>
      <c r="Y91" s="36"/>
    </row>
    <row r="92" spans="1:25" s="37" customFormat="1" ht="10.5" customHeight="1" x14ac:dyDescent="0.15">
      <c r="A92" s="578"/>
      <c r="R92" s="39"/>
      <c r="S92" s="36"/>
      <c r="T92" s="36"/>
      <c r="U92" s="36"/>
      <c r="V92" s="36"/>
      <c r="W92" s="36"/>
      <c r="X92" s="36"/>
      <c r="Y92" s="36"/>
    </row>
    <row r="93" spans="1:25" s="37" customFormat="1" ht="10.5" customHeight="1" x14ac:dyDescent="0.15">
      <c r="A93" s="559" t="s">
        <v>995</v>
      </c>
      <c r="B93" s="37" t="s">
        <v>986</v>
      </c>
      <c r="C93" s="37" t="s">
        <v>986</v>
      </c>
      <c r="D93" s="37" t="s">
        <v>986</v>
      </c>
      <c r="E93" s="37" t="s">
        <v>986</v>
      </c>
      <c r="F93" s="37" t="s">
        <v>986</v>
      </c>
      <c r="G93" s="37" t="s">
        <v>986</v>
      </c>
      <c r="H93" s="37" t="s">
        <v>986</v>
      </c>
      <c r="I93" s="37" t="s">
        <v>986</v>
      </c>
      <c r="J93" s="37" t="s">
        <v>986</v>
      </c>
      <c r="K93" s="37">
        <v>5898177</v>
      </c>
      <c r="L93" s="37">
        <v>1875047</v>
      </c>
      <c r="M93" s="37">
        <v>878070</v>
      </c>
      <c r="N93" s="37">
        <v>136199</v>
      </c>
      <c r="O93" s="37">
        <v>2811531</v>
      </c>
      <c r="P93" s="37">
        <v>197330</v>
      </c>
      <c r="Q93" s="37">
        <v>1343308</v>
      </c>
      <c r="R93" s="39" t="s">
        <v>778</v>
      </c>
      <c r="S93" s="36"/>
      <c r="T93" s="36"/>
      <c r="U93" s="36"/>
      <c r="V93" s="36"/>
      <c r="W93" s="36"/>
      <c r="X93" s="36"/>
      <c r="Y93" s="36"/>
    </row>
    <row r="94" spans="1:25" s="37" customFormat="1" ht="10.5" customHeight="1" x14ac:dyDescent="0.15">
      <c r="A94" s="559" t="s">
        <v>640</v>
      </c>
      <c r="B94" s="37" t="s">
        <v>986</v>
      </c>
      <c r="C94" s="37" t="s">
        <v>986</v>
      </c>
      <c r="D94" s="37" t="s">
        <v>986</v>
      </c>
      <c r="E94" s="37" t="s">
        <v>986</v>
      </c>
      <c r="F94" s="37" t="s">
        <v>986</v>
      </c>
      <c r="G94" s="37" t="s">
        <v>986</v>
      </c>
      <c r="H94" s="37" t="s">
        <v>986</v>
      </c>
      <c r="I94" s="37" t="s">
        <v>986</v>
      </c>
      <c r="J94" s="37">
        <v>160081</v>
      </c>
      <c r="K94" s="37">
        <v>5264149</v>
      </c>
      <c r="L94" s="37">
        <v>1644810</v>
      </c>
      <c r="M94" s="37">
        <v>708608</v>
      </c>
      <c r="N94" s="37">
        <v>123893</v>
      </c>
      <c r="O94" s="37">
        <v>2532508</v>
      </c>
      <c r="P94" s="37">
        <v>254330</v>
      </c>
      <c r="Q94" s="37">
        <v>1284165</v>
      </c>
      <c r="R94" s="39" t="s">
        <v>73</v>
      </c>
      <c r="S94" s="36"/>
      <c r="T94" s="36"/>
      <c r="U94" s="36"/>
      <c r="V94" s="36"/>
      <c r="W94" s="36"/>
      <c r="X94" s="36"/>
      <c r="Y94" s="36"/>
    </row>
    <row r="95" spans="1:25" s="37" customFormat="1" ht="10.5" customHeight="1" x14ac:dyDescent="0.15">
      <c r="A95" s="559" t="s">
        <v>641</v>
      </c>
      <c r="B95" s="37" t="s">
        <v>986</v>
      </c>
      <c r="C95" s="37" t="s">
        <v>986</v>
      </c>
      <c r="D95" s="37" t="s">
        <v>986</v>
      </c>
      <c r="E95" s="37" t="s">
        <v>986</v>
      </c>
      <c r="F95" s="37" t="s">
        <v>986</v>
      </c>
      <c r="G95" s="37" t="s">
        <v>986</v>
      </c>
      <c r="H95" s="37" t="s">
        <v>986</v>
      </c>
      <c r="I95" s="37" t="s">
        <v>986</v>
      </c>
      <c r="J95" s="37">
        <v>79593</v>
      </c>
      <c r="K95" s="37">
        <v>5211477</v>
      </c>
      <c r="L95" s="37">
        <v>2219293</v>
      </c>
      <c r="M95" s="37">
        <v>680745</v>
      </c>
      <c r="N95" s="37">
        <v>108479</v>
      </c>
      <c r="O95" s="37">
        <v>2202960</v>
      </c>
      <c r="P95" s="37" t="s">
        <v>986</v>
      </c>
      <c r="Q95" s="37">
        <v>1042812</v>
      </c>
      <c r="R95" s="39" t="s">
        <v>74</v>
      </c>
      <c r="S95" s="36"/>
      <c r="T95" s="36"/>
      <c r="U95" s="36"/>
      <c r="V95" s="36"/>
      <c r="W95" s="36"/>
      <c r="X95" s="36"/>
      <c r="Y95" s="36"/>
    </row>
    <row r="96" spans="1:25" s="37" customFormat="1" ht="10.5" customHeight="1" x14ac:dyDescent="0.15">
      <c r="A96" s="559" t="s">
        <v>642</v>
      </c>
      <c r="B96" s="37" t="s">
        <v>986</v>
      </c>
      <c r="C96" s="37" t="s">
        <v>986</v>
      </c>
      <c r="D96" s="37" t="s">
        <v>986</v>
      </c>
      <c r="E96" s="37" t="s">
        <v>986</v>
      </c>
      <c r="F96" s="37" t="s">
        <v>986</v>
      </c>
      <c r="G96" s="37" t="s">
        <v>986</v>
      </c>
      <c r="H96" s="37" t="s">
        <v>986</v>
      </c>
      <c r="I96" s="37" t="s">
        <v>986</v>
      </c>
      <c r="J96" s="37" t="s">
        <v>986</v>
      </c>
      <c r="K96" s="37">
        <v>4833606</v>
      </c>
      <c r="L96" s="37">
        <v>1578225</v>
      </c>
      <c r="M96" s="37">
        <v>810076</v>
      </c>
      <c r="N96" s="37">
        <v>122246</v>
      </c>
      <c r="O96" s="37">
        <v>1930933</v>
      </c>
      <c r="P96" s="37">
        <v>392126</v>
      </c>
      <c r="Q96" s="37">
        <v>1219695</v>
      </c>
      <c r="R96" s="39" t="s">
        <v>75</v>
      </c>
      <c r="S96" s="36"/>
      <c r="T96" s="36"/>
      <c r="U96" s="36"/>
      <c r="V96" s="36"/>
      <c r="W96" s="36"/>
      <c r="X96" s="36"/>
      <c r="Y96" s="36"/>
    </row>
    <row r="97" spans="1:25" s="37" customFormat="1" ht="10.5" customHeight="1" x14ac:dyDescent="0.15">
      <c r="A97" s="559" t="s">
        <v>643</v>
      </c>
      <c r="B97" s="37" t="s">
        <v>986</v>
      </c>
      <c r="C97" s="37" t="s">
        <v>986</v>
      </c>
      <c r="D97" s="37" t="s">
        <v>986</v>
      </c>
      <c r="E97" s="37" t="s">
        <v>986</v>
      </c>
      <c r="F97" s="37" t="s">
        <v>986</v>
      </c>
      <c r="G97" s="37" t="s">
        <v>986</v>
      </c>
      <c r="H97" s="37" t="s">
        <v>986</v>
      </c>
      <c r="I97" s="37" t="s">
        <v>986</v>
      </c>
      <c r="J97" s="37">
        <v>76401</v>
      </c>
      <c r="K97" s="37">
        <v>4661184</v>
      </c>
      <c r="L97" s="37">
        <v>1765344</v>
      </c>
      <c r="M97" s="37">
        <v>822749</v>
      </c>
      <c r="N97" s="37">
        <v>64456</v>
      </c>
      <c r="O97" s="37">
        <v>1809420</v>
      </c>
      <c r="P97" s="37">
        <v>199215</v>
      </c>
      <c r="Q97" s="37">
        <v>1022241</v>
      </c>
      <c r="R97" s="40" t="s">
        <v>88</v>
      </c>
      <c r="S97" s="36"/>
      <c r="T97" s="36"/>
      <c r="U97" s="36"/>
      <c r="V97" s="36"/>
      <c r="W97" s="36"/>
      <c r="X97" s="36"/>
      <c r="Y97" s="36"/>
    </row>
    <row r="98" spans="1:25" s="37" customFormat="1" ht="10.5" customHeight="1" x14ac:dyDescent="0.15">
      <c r="A98" s="559" t="s">
        <v>644</v>
      </c>
      <c r="B98" s="37" t="s">
        <v>986</v>
      </c>
      <c r="C98" s="37" t="s">
        <v>986</v>
      </c>
      <c r="D98" s="37" t="s">
        <v>986</v>
      </c>
      <c r="E98" s="37" t="s">
        <v>986</v>
      </c>
      <c r="F98" s="37" t="s">
        <v>986</v>
      </c>
      <c r="G98" s="37" t="s">
        <v>986</v>
      </c>
      <c r="H98" s="37" t="s">
        <v>986</v>
      </c>
      <c r="I98" s="37" t="s">
        <v>986</v>
      </c>
      <c r="J98" s="37" t="s">
        <v>986</v>
      </c>
      <c r="K98" s="37">
        <v>4507079</v>
      </c>
      <c r="L98" s="37">
        <v>1614240</v>
      </c>
      <c r="M98" s="37">
        <v>553198</v>
      </c>
      <c r="N98" s="37">
        <v>43304</v>
      </c>
      <c r="O98" s="37">
        <v>2129942</v>
      </c>
      <c r="P98" s="37">
        <v>166395</v>
      </c>
      <c r="Q98" s="37">
        <v>1096837</v>
      </c>
      <c r="R98" s="39" t="s">
        <v>89</v>
      </c>
      <c r="S98" s="36"/>
      <c r="T98" s="36"/>
      <c r="U98" s="36"/>
      <c r="V98" s="36"/>
      <c r="W98" s="36"/>
      <c r="X98" s="36"/>
      <c r="Y98" s="36"/>
    </row>
    <row r="99" spans="1:25" s="37" customFormat="1" ht="10.5" customHeight="1" x14ac:dyDescent="0.15">
      <c r="A99" s="559" t="s">
        <v>645</v>
      </c>
      <c r="B99" s="37" t="s">
        <v>986</v>
      </c>
      <c r="C99" s="37" t="s">
        <v>986</v>
      </c>
      <c r="D99" s="37" t="s">
        <v>986</v>
      </c>
      <c r="E99" s="37" t="s">
        <v>986</v>
      </c>
      <c r="F99" s="37" t="s">
        <v>986</v>
      </c>
      <c r="G99" s="37" t="s">
        <v>986</v>
      </c>
      <c r="H99" s="37" t="s">
        <v>986</v>
      </c>
      <c r="I99" s="37" t="s">
        <v>986</v>
      </c>
      <c r="J99" s="37">
        <v>77108</v>
      </c>
      <c r="K99" s="37">
        <v>4382253</v>
      </c>
      <c r="L99" s="37">
        <v>1539390</v>
      </c>
      <c r="M99" s="37">
        <v>750880</v>
      </c>
      <c r="N99" s="37">
        <v>241722</v>
      </c>
      <c r="O99" s="37">
        <v>1818639</v>
      </c>
      <c r="P99" s="37">
        <v>31622</v>
      </c>
      <c r="Q99" s="37">
        <v>1205270</v>
      </c>
      <c r="R99" s="39" t="s">
        <v>90</v>
      </c>
      <c r="S99" s="36"/>
      <c r="T99" s="36"/>
      <c r="U99" s="36"/>
      <c r="V99" s="36"/>
      <c r="W99" s="36"/>
      <c r="X99" s="36"/>
      <c r="Y99" s="36"/>
    </row>
    <row r="100" spans="1:25" s="37" customFormat="1" ht="10.5" customHeight="1" x14ac:dyDescent="0.15">
      <c r="A100" s="559" t="s">
        <v>646</v>
      </c>
      <c r="B100" s="37" t="s">
        <v>986</v>
      </c>
      <c r="C100" s="37" t="s">
        <v>986</v>
      </c>
      <c r="D100" s="37" t="s">
        <v>986</v>
      </c>
      <c r="E100" s="37" t="s">
        <v>986</v>
      </c>
      <c r="F100" s="37" t="s">
        <v>986</v>
      </c>
      <c r="G100" s="37" t="s">
        <v>986</v>
      </c>
      <c r="H100" s="37" t="s">
        <v>986</v>
      </c>
      <c r="I100" s="37" t="s">
        <v>986</v>
      </c>
      <c r="J100" s="37">
        <v>75782</v>
      </c>
      <c r="K100" s="37">
        <v>4433958</v>
      </c>
      <c r="L100" s="37">
        <v>1870126</v>
      </c>
      <c r="M100" s="37">
        <v>533685</v>
      </c>
      <c r="N100" s="37">
        <v>82369</v>
      </c>
      <c r="O100" s="37">
        <v>1754281</v>
      </c>
      <c r="P100" s="37">
        <v>193497</v>
      </c>
      <c r="Q100" s="37">
        <v>744502</v>
      </c>
      <c r="R100" s="39" t="s">
        <v>91</v>
      </c>
      <c r="S100" s="36"/>
      <c r="T100" s="36"/>
      <c r="U100" s="36"/>
      <c r="V100" s="36"/>
      <c r="W100" s="36"/>
      <c r="X100" s="36"/>
      <c r="Y100" s="36"/>
    </row>
    <row r="101" spans="1:25" s="37" customFormat="1" ht="10.5" customHeight="1" x14ac:dyDescent="0.15">
      <c r="A101" s="559" t="s">
        <v>647</v>
      </c>
      <c r="B101" s="37" t="s">
        <v>986</v>
      </c>
      <c r="C101" s="37" t="s">
        <v>986</v>
      </c>
      <c r="D101" s="37" t="s">
        <v>986</v>
      </c>
      <c r="E101" s="37" t="s">
        <v>986</v>
      </c>
      <c r="F101" s="37" t="s">
        <v>986</v>
      </c>
      <c r="G101" s="37" t="s">
        <v>986</v>
      </c>
      <c r="H101" s="37" t="s">
        <v>986</v>
      </c>
      <c r="I101" s="37" t="s">
        <v>986</v>
      </c>
      <c r="J101" s="37" t="s">
        <v>986</v>
      </c>
      <c r="K101" s="37">
        <v>4608078</v>
      </c>
      <c r="L101" s="37">
        <v>1082318</v>
      </c>
      <c r="M101" s="37">
        <v>699955</v>
      </c>
      <c r="N101" s="37">
        <v>134920</v>
      </c>
      <c r="O101" s="37">
        <v>2504540</v>
      </c>
      <c r="P101" s="37">
        <v>186345</v>
      </c>
      <c r="Q101" s="37">
        <v>1351272</v>
      </c>
      <c r="R101" s="39" t="s">
        <v>92</v>
      </c>
      <c r="S101" s="36"/>
      <c r="T101" s="36"/>
      <c r="U101" s="36"/>
      <c r="V101" s="36"/>
      <c r="W101" s="36"/>
      <c r="X101" s="36"/>
      <c r="Y101" s="36"/>
    </row>
    <row r="102" spans="1:25" s="37" customFormat="1" ht="10.5" customHeight="1" x14ac:dyDescent="0.15">
      <c r="A102" s="559" t="s">
        <v>648</v>
      </c>
      <c r="B102" s="37" t="s">
        <v>986</v>
      </c>
      <c r="C102" s="37" t="s">
        <v>986</v>
      </c>
      <c r="D102" s="37" t="s">
        <v>986</v>
      </c>
      <c r="E102" s="37" t="s">
        <v>986</v>
      </c>
      <c r="F102" s="37" t="s">
        <v>986</v>
      </c>
      <c r="G102" s="37" t="s">
        <v>986</v>
      </c>
      <c r="H102" s="37" t="s">
        <v>986</v>
      </c>
      <c r="I102" s="37" t="s">
        <v>986</v>
      </c>
      <c r="J102" s="37">
        <v>77427</v>
      </c>
      <c r="K102" s="37">
        <v>4821564</v>
      </c>
      <c r="L102" s="37">
        <v>1522683</v>
      </c>
      <c r="M102" s="37">
        <v>569781</v>
      </c>
      <c r="N102" s="37">
        <v>136670</v>
      </c>
      <c r="O102" s="37">
        <v>2412554</v>
      </c>
      <c r="P102" s="37">
        <v>179876</v>
      </c>
      <c r="Q102" s="37">
        <v>605341</v>
      </c>
      <c r="R102" s="39" t="s">
        <v>76</v>
      </c>
      <c r="S102" s="36"/>
      <c r="T102" s="36"/>
      <c r="U102" s="36"/>
      <c r="V102" s="36"/>
      <c r="W102" s="36"/>
      <c r="X102" s="36"/>
      <c r="Y102" s="36"/>
    </row>
    <row r="103" spans="1:25" s="37" customFormat="1" ht="10.5" customHeight="1" x14ac:dyDescent="0.15">
      <c r="A103" s="559" t="s">
        <v>649</v>
      </c>
      <c r="B103" s="37" t="s">
        <v>986</v>
      </c>
      <c r="C103" s="37" t="s">
        <v>986</v>
      </c>
      <c r="D103" s="37" t="s">
        <v>986</v>
      </c>
      <c r="E103" s="37" t="s">
        <v>986</v>
      </c>
      <c r="F103" s="37" t="s">
        <v>986</v>
      </c>
      <c r="G103" s="37" t="s">
        <v>986</v>
      </c>
      <c r="H103" s="37" t="s">
        <v>986</v>
      </c>
      <c r="I103" s="37" t="s">
        <v>986</v>
      </c>
      <c r="J103" s="37" t="s">
        <v>986</v>
      </c>
      <c r="K103" s="37">
        <v>5280808</v>
      </c>
      <c r="L103" s="37">
        <v>2176413</v>
      </c>
      <c r="M103" s="37">
        <v>650274</v>
      </c>
      <c r="N103" s="37">
        <v>137521</v>
      </c>
      <c r="O103" s="37">
        <v>2131130</v>
      </c>
      <c r="P103" s="37">
        <v>185470</v>
      </c>
      <c r="Q103" s="37">
        <v>1113558</v>
      </c>
      <c r="R103" s="39" t="s">
        <v>77</v>
      </c>
      <c r="S103" s="36"/>
      <c r="T103" s="36"/>
      <c r="U103" s="36"/>
      <c r="V103" s="36"/>
      <c r="W103" s="36"/>
      <c r="X103" s="36"/>
      <c r="Y103" s="36"/>
    </row>
    <row r="104" spans="1:25" s="37" customFormat="1" ht="10.5" customHeight="1" x14ac:dyDescent="0.15">
      <c r="A104" s="559" t="s">
        <v>650</v>
      </c>
      <c r="B104" s="37" t="s">
        <v>986</v>
      </c>
      <c r="C104" s="37" t="s">
        <v>986</v>
      </c>
      <c r="D104" s="37" t="s">
        <v>986</v>
      </c>
      <c r="E104" s="37" t="s">
        <v>986</v>
      </c>
      <c r="F104" s="37" t="s">
        <v>986</v>
      </c>
      <c r="G104" s="37" t="s">
        <v>986</v>
      </c>
      <c r="H104" s="37" t="s">
        <v>986</v>
      </c>
      <c r="I104" s="37" t="s">
        <v>986</v>
      </c>
      <c r="J104" s="37" t="s">
        <v>986</v>
      </c>
      <c r="K104" s="37">
        <v>5759355</v>
      </c>
      <c r="L104" s="37">
        <v>2127934</v>
      </c>
      <c r="M104" s="37">
        <v>761628</v>
      </c>
      <c r="N104" s="37">
        <v>117726</v>
      </c>
      <c r="O104" s="37">
        <v>2572709</v>
      </c>
      <c r="P104" s="37">
        <v>179358</v>
      </c>
      <c r="Q104" s="37">
        <v>941853</v>
      </c>
      <c r="R104" s="39" t="s">
        <v>78</v>
      </c>
      <c r="S104" s="36"/>
      <c r="T104" s="36"/>
      <c r="U104" s="36"/>
      <c r="V104" s="36"/>
      <c r="W104" s="36"/>
      <c r="X104" s="36"/>
      <c r="Y104" s="36"/>
    </row>
    <row r="105" spans="1:25" s="37" customFormat="1" ht="10.5" customHeight="1" x14ac:dyDescent="0.15">
      <c r="A105" s="559" t="s">
        <v>996</v>
      </c>
      <c r="B105" s="37" t="s">
        <v>986</v>
      </c>
      <c r="C105" s="37" t="s">
        <v>986</v>
      </c>
      <c r="D105" s="37" t="s">
        <v>986</v>
      </c>
      <c r="E105" s="37" t="s">
        <v>986</v>
      </c>
      <c r="F105" s="37" t="s">
        <v>986</v>
      </c>
      <c r="G105" s="37" t="s">
        <v>986</v>
      </c>
      <c r="H105" s="37" t="s">
        <v>986</v>
      </c>
      <c r="I105" s="37" t="s">
        <v>986</v>
      </c>
      <c r="J105" s="37">
        <v>75389</v>
      </c>
      <c r="K105" s="37">
        <v>4627700</v>
      </c>
      <c r="L105" s="37">
        <v>1835221</v>
      </c>
      <c r="M105" s="37">
        <v>512111</v>
      </c>
      <c r="N105" s="37">
        <v>76318</v>
      </c>
      <c r="O105" s="37">
        <v>2204050</v>
      </c>
      <c r="P105" s="37" t="s">
        <v>986</v>
      </c>
      <c r="Q105" s="37">
        <v>891798</v>
      </c>
      <c r="R105" s="39" t="s">
        <v>997</v>
      </c>
      <c r="S105" s="36"/>
      <c r="T105" s="36"/>
      <c r="U105" s="36"/>
      <c r="V105" s="36"/>
      <c r="W105" s="36"/>
      <c r="X105" s="36"/>
      <c r="Y105" s="36"/>
    </row>
    <row r="106" spans="1:25" s="37" customFormat="1" ht="10.5" customHeight="1" x14ac:dyDescent="0.15">
      <c r="A106" s="559" t="s">
        <v>651</v>
      </c>
      <c r="B106" s="37" t="s">
        <v>986</v>
      </c>
      <c r="C106" s="37" t="s">
        <v>986</v>
      </c>
      <c r="D106" s="37" t="s">
        <v>986</v>
      </c>
      <c r="E106" s="37" t="s">
        <v>986</v>
      </c>
      <c r="F106" s="37" t="s">
        <v>986</v>
      </c>
      <c r="G106" s="37" t="s">
        <v>986</v>
      </c>
      <c r="H106" s="37" t="s">
        <v>986</v>
      </c>
      <c r="I106" s="37" t="s">
        <v>986</v>
      </c>
      <c r="J106" s="37" t="s">
        <v>986</v>
      </c>
      <c r="K106" s="37">
        <v>4291013</v>
      </c>
      <c r="L106" s="37">
        <v>1457087</v>
      </c>
      <c r="M106" s="37">
        <v>500770</v>
      </c>
      <c r="N106" s="37">
        <v>106322</v>
      </c>
      <c r="O106" s="37">
        <v>2040398</v>
      </c>
      <c r="P106" s="37">
        <v>186436</v>
      </c>
      <c r="Q106" s="37">
        <v>813060</v>
      </c>
      <c r="R106" s="39" t="s">
        <v>73</v>
      </c>
      <c r="S106" s="36"/>
      <c r="T106" s="36"/>
      <c r="U106" s="36"/>
      <c r="V106" s="36"/>
      <c r="W106" s="36"/>
      <c r="X106" s="36"/>
      <c r="Y106" s="36"/>
    </row>
    <row r="107" spans="1:25" s="37" customFormat="1" ht="10.5" customHeight="1" x14ac:dyDescent="0.15">
      <c r="A107" s="661" t="s">
        <v>652</v>
      </c>
      <c r="B107" s="680" t="s">
        <v>986</v>
      </c>
      <c r="C107" s="681" t="s">
        <v>986</v>
      </c>
      <c r="D107" s="681" t="s">
        <v>986</v>
      </c>
      <c r="E107" s="681" t="s">
        <v>986</v>
      </c>
      <c r="F107" s="681" t="s">
        <v>986</v>
      </c>
      <c r="G107" s="681" t="s">
        <v>986</v>
      </c>
      <c r="H107" s="681" t="s">
        <v>986</v>
      </c>
      <c r="I107" s="681" t="s">
        <v>986</v>
      </c>
      <c r="J107" s="681" t="s">
        <v>986</v>
      </c>
      <c r="K107" s="681">
        <v>4842761</v>
      </c>
      <c r="L107" s="681">
        <v>1785430</v>
      </c>
      <c r="M107" s="681">
        <v>547383</v>
      </c>
      <c r="N107" s="681">
        <v>247497</v>
      </c>
      <c r="O107" s="681">
        <v>1902733</v>
      </c>
      <c r="P107" s="681">
        <v>359718</v>
      </c>
      <c r="Q107" s="681">
        <v>812954</v>
      </c>
      <c r="R107" s="682" t="s">
        <v>74</v>
      </c>
      <c r="S107" s="36"/>
      <c r="T107" s="36"/>
      <c r="U107" s="36"/>
      <c r="V107" s="36"/>
      <c r="W107" s="36"/>
      <c r="X107" s="36"/>
      <c r="Y107" s="36"/>
    </row>
    <row r="108" spans="1:25" ht="23.25" customHeight="1" x14ac:dyDescent="0.25">
      <c r="I108" s="41" t="s">
        <v>93</v>
      </c>
    </row>
    <row r="109" spans="1:25" s="17" customFormat="1" ht="11.25" customHeight="1" x14ac:dyDescent="0.15">
      <c r="A109" s="668"/>
      <c r="B109" s="683" t="s">
        <v>94</v>
      </c>
      <c r="C109" s="671"/>
      <c r="D109" s="671"/>
      <c r="E109" s="671"/>
      <c r="F109" s="671"/>
      <c r="G109" s="671"/>
      <c r="H109" s="671"/>
      <c r="I109" s="671"/>
      <c r="J109" s="671"/>
      <c r="K109" s="671"/>
      <c r="L109" s="671"/>
      <c r="M109" s="671"/>
      <c r="N109" s="671"/>
      <c r="O109" s="671"/>
      <c r="P109" s="671"/>
      <c r="Q109" s="671"/>
      <c r="R109" s="1030" t="s">
        <v>79</v>
      </c>
      <c r="S109" s="16"/>
      <c r="T109" s="16"/>
      <c r="U109" s="16"/>
      <c r="V109" s="16"/>
      <c r="W109" s="16"/>
      <c r="X109" s="16"/>
      <c r="Y109" s="16"/>
    </row>
    <row r="110" spans="1:25" s="35" customFormat="1" ht="28.5" customHeight="1" x14ac:dyDescent="0.15">
      <c r="A110" s="25" t="s">
        <v>172</v>
      </c>
      <c r="B110" s="684" t="s">
        <v>1010</v>
      </c>
      <c r="C110" s="675"/>
      <c r="D110" s="672" t="s">
        <v>591</v>
      </c>
      <c r="E110" s="673" t="s">
        <v>136</v>
      </c>
      <c r="F110" s="674"/>
      <c r="G110" s="674"/>
      <c r="H110" s="674"/>
      <c r="I110" s="674"/>
      <c r="J110" s="675"/>
      <c r="K110" s="673" t="s">
        <v>137</v>
      </c>
      <c r="L110" s="674"/>
      <c r="M110" s="675"/>
      <c r="N110" s="673" t="s">
        <v>138</v>
      </c>
      <c r="O110" s="674"/>
      <c r="P110" s="674"/>
      <c r="Q110" s="674"/>
      <c r="R110" s="1031"/>
      <c r="S110" s="13"/>
      <c r="T110" s="13"/>
      <c r="U110" s="13"/>
      <c r="V110" s="13"/>
      <c r="W110" s="13"/>
      <c r="X110" s="13"/>
      <c r="Y110" s="13"/>
    </row>
    <row r="111" spans="1:25" s="35" customFormat="1" ht="28.5" customHeight="1" x14ac:dyDescent="0.15">
      <c r="A111" s="25"/>
      <c r="B111" s="672" t="s">
        <v>135</v>
      </c>
      <c r="C111" s="685" t="s">
        <v>1011</v>
      </c>
      <c r="D111" s="672" t="s">
        <v>592</v>
      </c>
      <c r="E111" s="14" t="s">
        <v>35</v>
      </c>
      <c r="F111" s="672" t="s">
        <v>139</v>
      </c>
      <c r="G111" s="672" t="s">
        <v>140</v>
      </c>
      <c r="H111" s="672" t="s">
        <v>49</v>
      </c>
      <c r="I111" s="672" t="s">
        <v>1012</v>
      </c>
      <c r="J111" s="685" t="s">
        <v>1013</v>
      </c>
      <c r="K111" s="14" t="s">
        <v>36</v>
      </c>
      <c r="L111" s="672" t="s">
        <v>141</v>
      </c>
      <c r="M111" s="672" t="s">
        <v>176</v>
      </c>
      <c r="N111" s="14" t="s">
        <v>142</v>
      </c>
      <c r="O111" s="672" t="s">
        <v>143</v>
      </c>
      <c r="P111" s="672" t="s">
        <v>146</v>
      </c>
      <c r="Q111" s="673" t="s">
        <v>784</v>
      </c>
      <c r="R111" s="1031"/>
      <c r="S111" s="13"/>
      <c r="T111" s="13"/>
      <c r="U111" s="13"/>
      <c r="V111" s="13"/>
      <c r="W111" s="13"/>
      <c r="X111" s="13"/>
      <c r="Y111" s="13"/>
    </row>
    <row r="112" spans="1:25" s="35" customFormat="1" ht="12" customHeight="1" x14ac:dyDescent="0.15">
      <c r="A112" s="687"/>
      <c r="B112" s="15" t="str">
        <f>PROPER("KUWAIT")</f>
        <v>Kuwait</v>
      </c>
      <c r="C112" s="15" t="str">
        <f>PROPER("KWAIT-SL")</f>
        <v>Kwait-Sl</v>
      </c>
      <c r="D112" s="15" t="str">
        <f>PROPER("KHAFJI")</f>
        <v>Khafji</v>
      </c>
      <c r="E112" s="15"/>
      <c r="F112" s="15" t="str">
        <f>PROPER("QATAR")</f>
        <v>Qatar</v>
      </c>
      <c r="G112" s="15" t="str">
        <f>PROPER("QATAR-M")</f>
        <v>Qatar-M</v>
      </c>
      <c r="H112" s="15" t="str">
        <f>PROPER("A-SHAHEN")</f>
        <v>A-Shahen</v>
      </c>
      <c r="I112" s="15" t="str">
        <f>PROPER("LOWSUL-C")</f>
        <v>Lowsul-C</v>
      </c>
      <c r="J112" s="15" t="str">
        <f>PROPER("DEOD-F-C")</f>
        <v>Deod-F-C</v>
      </c>
      <c r="K112" s="15"/>
      <c r="L112" s="15" t="str">
        <f>PROPER("OMAN")</f>
        <v>Oman</v>
      </c>
      <c r="M112" s="15" t="str">
        <f>PROPER("WESTBUKH")</f>
        <v>Westbukh</v>
      </c>
      <c r="N112" s="15"/>
      <c r="O112" s="15" t="str">
        <f>PROPER("MURBAN")</f>
        <v>Murban</v>
      </c>
      <c r="P112" s="15" t="str">
        <f>PROPER("DUBAI")</f>
        <v>Dubai</v>
      </c>
      <c r="Q112" s="676" t="str">
        <f>PROPER("SHARJA-C")</f>
        <v>Sharja-C</v>
      </c>
      <c r="R112" s="1032"/>
      <c r="S112" s="13"/>
      <c r="T112" s="13"/>
      <c r="U112" s="13"/>
      <c r="V112" s="13"/>
      <c r="W112" s="13"/>
      <c r="X112" s="13"/>
      <c r="Y112" s="13"/>
    </row>
    <row r="113" spans="1:25" s="37" customFormat="1" ht="10.5" customHeight="1" x14ac:dyDescent="0.15">
      <c r="A113" s="657" t="s">
        <v>985</v>
      </c>
      <c r="B113" s="677">
        <v>11706239</v>
      </c>
      <c r="C113" s="678">
        <v>2986400</v>
      </c>
      <c r="D113" s="678" t="s">
        <v>986</v>
      </c>
      <c r="E113" s="678">
        <v>15567254</v>
      </c>
      <c r="F113" s="678">
        <v>4996484</v>
      </c>
      <c r="G113" s="678">
        <v>3427764</v>
      </c>
      <c r="H113" s="678">
        <v>4244379</v>
      </c>
      <c r="I113" s="678">
        <v>1322147</v>
      </c>
      <c r="J113" s="678">
        <v>1576480</v>
      </c>
      <c r="K113" s="678">
        <v>3352539</v>
      </c>
      <c r="L113" s="678">
        <v>3352539</v>
      </c>
      <c r="M113" s="678" t="s">
        <v>986</v>
      </c>
      <c r="N113" s="678">
        <v>52366989</v>
      </c>
      <c r="O113" s="678">
        <v>20937579</v>
      </c>
      <c r="P113" s="678">
        <v>1030693</v>
      </c>
      <c r="Q113" s="678" t="s">
        <v>986</v>
      </c>
      <c r="R113" s="679" t="s">
        <v>485</v>
      </c>
      <c r="S113" s="36"/>
      <c r="T113" s="36"/>
      <c r="U113" s="36"/>
      <c r="V113" s="36"/>
      <c r="W113" s="36"/>
      <c r="X113" s="36"/>
      <c r="Y113" s="36"/>
    </row>
    <row r="114" spans="1:25" s="37" customFormat="1" ht="10.5" customHeight="1" x14ac:dyDescent="0.15">
      <c r="A114" s="559" t="s">
        <v>634</v>
      </c>
      <c r="B114" s="37">
        <v>11363272</v>
      </c>
      <c r="C114" s="37">
        <v>1860033</v>
      </c>
      <c r="D114" s="37">
        <v>197107</v>
      </c>
      <c r="E114" s="37">
        <v>12371792</v>
      </c>
      <c r="F114" s="37">
        <v>4229452</v>
      </c>
      <c r="G114" s="37">
        <v>2610370</v>
      </c>
      <c r="H114" s="37">
        <v>3970725</v>
      </c>
      <c r="I114" s="37">
        <v>1086864</v>
      </c>
      <c r="J114" s="37">
        <v>474381</v>
      </c>
      <c r="K114" s="37">
        <v>668065</v>
      </c>
      <c r="L114" s="37">
        <v>668065</v>
      </c>
      <c r="M114" s="37" t="s">
        <v>986</v>
      </c>
      <c r="N114" s="37">
        <v>46298758</v>
      </c>
      <c r="O114" s="37">
        <v>18924462</v>
      </c>
      <c r="P114" s="37">
        <v>1426156</v>
      </c>
      <c r="Q114" s="37" t="s">
        <v>986</v>
      </c>
      <c r="R114" s="39" t="s">
        <v>588</v>
      </c>
      <c r="S114" s="36"/>
      <c r="T114" s="36"/>
      <c r="U114" s="36"/>
      <c r="V114" s="36"/>
      <c r="W114" s="36"/>
      <c r="X114" s="36"/>
      <c r="Y114" s="36"/>
    </row>
    <row r="115" spans="1:25" s="37" customFormat="1" ht="10.5" customHeight="1" x14ac:dyDescent="0.15">
      <c r="A115" s="559" t="s">
        <v>635</v>
      </c>
      <c r="B115" s="37">
        <v>11550466</v>
      </c>
      <c r="C115" s="37">
        <v>555401</v>
      </c>
      <c r="D115" s="37">
        <v>465530</v>
      </c>
      <c r="E115" s="37">
        <v>11301078</v>
      </c>
      <c r="F115" s="37">
        <v>3770218</v>
      </c>
      <c r="G115" s="37">
        <v>2082792</v>
      </c>
      <c r="H115" s="37">
        <v>4590851</v>
      </c>
      <c r="I115" s="37">
        <v>702166</v>
      </c>
      <c r="J115" s="37">
        <v>155051</v>
      </c>
      <c r="K115" s="37">
        <v>825144</v>
      </c>
      <c r="L115" s="37">
        <v>774331</v>
      </c>
      <c r="M115" s="37">
        <v>50813</v>
      </c>
      <c r="N115" s="37">
        <v>50636882</v>
      </c>
      <c r="O115" s="37">
        <v>26829061</v>
      </c>
      <c r="P115" s="37">
        <v>951338</v>
      </c>
      <c r="Q115" s="37">
        <v>37026</v>
      </c>
      <c r="R115" s="39" t="s">
        <v>636</v>
      </c>
      <c r="S115" s="36"/>
      <c r="T115" s="36"/>
      <c r="U115" s="36"/>
      <c r="V115" s="36"/>
      <c r="W115" s="36"/>
      <c r="X115" s="36"/>
      <c r="Y115" s="36"/>
    </row>
    <row r="116" spans="1:25" s="37" customFormat="1" ht="10.5" customHeight="1" x14ac:dyDescent="0.15">
      <c r="A116" s="559" t="s">
        <v>774</v>
      </c>
      <c r="B116" s="37">
        <v>11536043</v>
      </c>
      <c r="C116" s="37">
        <v>1287916</v>
      </c>
      <c r="D116" s="37">
        <v>496437</v>
      </c>
      <c r="E116" s="37">
        <v>11575819</v>
      </c>
      <c r="F116" s="37">
        <v>4683655</v>
      </c>
      <c r="G116" s="37">
        <v>3173150</v>
      </c>
      <c r="H116" s="37">
        <v>3520597</v>
      </c>
      <c r="I116" s="37">
        <v>40956</v>
      </c>
      <c r="J116" s="37">
        <v>157461</v>
      </c>
      <c r="K116" s="37">
        <v>1775320</v>
      </c>
      <c r="L116" s="37">
        <v>1775320</v>
      </c>
      <c r="M116" s="37" t="s">
        <v>986</v>
      </c>
      <c r="N116" s="37">
        <v>60196846</v>
      </c>
      <c r="O116" s="37">
        <v>29806500</v>
      </c>
      <c r="P116" s="37">
        <v>1000220</v>
      </c>
      <c r="Q116" s="37" t="s">
        <v>986</v>
      </c>
      <c r="R116" s="39" t="s">
        <v>775</v>
      </c>
      <c r="S116" s="36"/>
      <c r="T116" s="36"/>
      <c r="U116" s="36"/>
      <c r="V116" s="36"/>
      <c r="W116" s="36"/>
      <c r="X116" s="36"/>
      <c r="Y116" s="36"/>
    </row>
    <row r="117" spans="1:25" s="37" customFormat="1" ht="10.5" customHeight="1" x14ac:dyDescent="0.15">
      <c r="A117" s="559" t="s">
        <v>987</v>
      </c>
      <c r="B117" s="37">
        <v>11055746</v>
      </c>
      <c r="C117" s="37">
        <v>1915108</v>
      </c>
      <c r="D117" s="37">
        <v>655426</v>
      </c>
      <c r="E117" s="37">
        <v>7358833</v>
      </c>
      <c r="F117" s="37">
        <v>3000410</v>
      </c>
      <c r="G117" s="37">
        <v>2478893</v>
      </c>
      <c r="H117" s="37">
        <v>1722412</v>
      </c>
      <c r="I117" s="37">
        <v>39665</v>
      </c>
      <c r="J117" s="37">
        <v>117453</v>
      </c>
      <c r="K117" s="37">
        <v>1749174</v>
      </c>
      <c r="L117" s="37">
        <v>1749174</v>
      </c>
      <c r="M117" s="37" t="s">
        <v>986</v>
      </c>
      <c r="N117" s="37">
        <v>57535001</v>
      </c>
      <c r="O117" s="37">
        <v>29903586</v>
      </c>
      <c r="P117" s="37">
        <v>820559</v>
      </c>
      <c r="Q117" s="37" t="s">
        <v>986</v>
      </c>
      <c r="R117" s="39" t="s">
        <v>988</v>
      </c>
      <c r="S117" s="36"/>
      <c r="T117" s="36"/>
      <c r="U117" s="36"/>
      <c r="V117" s="36"/>
      <c r="W117" s="36"/>
      <c r="X117" s="36"/>
      <c r="Y117" s="36"/>
    </row>
    <row r="118" spans="1:25" s="37" customFormat="1" ht="10.5" customHeight="1" x14ac:dyDescent="0.15">
      <c r="A118" s="578"/>
      <c r="R118" s="39"/>
      <c r="S118" s="36"/>
      <c r="T118" s="36"/>
      <c r="U118" s="36"/>
      <c r="V118" s="36"/>
      <c r="W118" s="36"/>
      <c r="X118" s="36"/>
      <c r="Y118" s="36"/>
    </row>
    <row r="119" spans="1:25" s="37" customFormat="1" ht="10.5" customHeight="1" x14ac:dyDescent="0.15">
      <c r="A119" s="559" t="s">
        <v>989</v>
      </c>
      <c r="B119" s="37">
        <v>11833849</v>
      </c>
      <c r="C119" s="37">
        <v>1540640</v>
      </c>
      <c r="D119" s="37">
        <v>515796</v>
      </c>
      <c r="E119" s="37">
        <v>10177232</v>
      </c>
      <c r="F119" s="37">
        <v>3756142</v>
      </c>
      <c r="G119" s="37">
        <v>3325004</v>
      </c>
      <c r="H119" s="37">
        <v>2897669</v>
      </c>
      <c r="I119" s="37">
        <v>40956</v>
      </c>
      <c r="J119" s="37">
        <v>157461</v>
      </c>
      <c r="K119" s="37">
        <v>1774357</v>
      </c>
      <c r="L119" s="37">
        <v>1774357</v>
      </c>
      <c r="M119" s="37" t="s">
        <v>986</v>
      </c>
      <c r="N119" s="37">
        <v>60310672</v>
      </c>
      <c r="O119" s="37">
        <v>29904751</v>
      </c>
      <c r="P119" s="37">
        <v>1029683</v>
      </c>
      <c r="Q119" s="37" t="s">
        <v>986</v>
      </c>
      <c r="R119" s="39" t="s">
        <v>776</v>
      </c>
      <c r="S119" s="36"/>
      <c r="T119" s="36"/>
      <c r="U119" s="36"/>
      <c r="V119" s="36"/>
      <c r="W119" s="36"/>
      <c r="X119" s="36"/>
      <c r="Y119" s="36"/>
    </row>
    <row r="120" spans="1:25" s="37" customFormat="1" ht="10.5" customHeight="1" x14ac:dyDescent="0.15">
      <c r="A120" s="559" t="s">
        <v>990</v>
      </c>
      <c r="B120" s="37">
        <v>10081553</v>
      </c>
      <c r="C120" s="37">
        <v>1736828</v>
      </c>
      <c r="D120" s="37">
        <v>634018</v>
      </c>
      <c r="E120" s="37">
        <v>6467293</v>
      </c>
      <c r="F120" s="37">
        <v>3264793</v>
      </c>
      <c r="G120" s="37">
        <v>1701316</v>
      </c>
      <c r="H120" s="37">
        <v>1344066</v>
      </c>
      <c r="I120" s="37">
        <v>39665</v>
      </c>
      <c r="J120" s="37">
        <v>117453</v>
      </c>
      <c r="K120" s="37">
        <v>1590180</v>
      </c>
      <c r="L120" s="37">
        <v>1590180</v>
      </c>
      <c r="M120" s="37" t="s">
        <v>986</v>
      </c>
      <c r="N120" s="37">
        <v>59221947</v>
      </c>
      <c r="O120" s="37">
        <v>30327814</v>
      </c>
      <c r="P120" s="37">
        <v>632833</v>
      </c>
      <c r="Q120" s="37" t="s">
        <v>986</v>
      </c>
      <c r="R120" s="39" t="s">
        <v>991</v>
      </c>
      <c r="S120" s="36"/>
      <c r="T120" s="36"/>
      <c r="U120" s="36"/>
      <c r="V120" s="36"/>
      <c r="W120" s="36"/>
      <c r="X120" s="36"/>
      <c r="Y120" s="36"/>
    </row>
    <row r="121" spans="1:25" s="37" customFormat="1" ht="10.5" customHeight="1" x14ac:dyDescent="0.15">
      <c r="A121" s="578"/>
      <c r="R121" s="39"/>
      <c r="S121" s="36"/>
      <c r="T121" s="36"/>
      <c r="U121" s="36"/>
      <c r="V121" s="36"/>
      <c r="W121" s="36"/>
      <c r="X121" s="36"/>
      <c r="Y121" s="36"/>
    </row>
    <row r="122" spans="1:25" s="37" customFormat="1" ht="10.5" customHeight="1" x14ac:dyDescent="0.15">
      <c r="A122" s="559" t="s">
        <v>992</v>
      </c>
      <c r="B122" s="37">
        <v>3196565</v>
      </c>
      <c r="C122" s="37">
        <v>473720</v>
      </c>
      <c r="D122" s="37">
        <v>159517</v>
      </c>
      <c r="E122" s="37">
        <v>2178057</v>
      </c>
      <c r="F122" s="37">
        <v>710618</v>
      </c>
      <c r="G122" s="37">
        <v>1007659</v>
      </c>
      <c r="H122" s="37">
        <v>459780</v>
      </c>
      <c r="I122" s="37" t="s">
        <v>986</v>
      </c>
      <c r="J122" s="37" t="s">
        <v>986</v>
      </c>
      <c r="K122" s="37">
        <v>396547</v>
      </c>
      <c r="L122" s="37">
        <v>396547</v>
      </c>
      <c r="M122" s="37" t="s">
        <v>986</v>
      </c>
      <c r="N122" s="37">
        <v>13498330</v>
      </c>
      <c r="O122" s="37">
        <v>6856949</v>
      </c>
      <c r="P122" s="37">
        <v>266890</v>
      </c>
      <c r="Q122" s="37" t="s">
        <v>986</v>
      </c>
      <c r="R122" s="39" t="s">
        <v>777</v>
      </c>
      <c r="S122" s="36"/>
      <c r="T122" s="36"/>
      <c r="U122" s="36"/>
      <c r="V122" s="36"/>
      <c r="W122" s="36"/>
      <c r="X122" s="36"/>
      <c r="Y122" s="36"/>
    </row>
    <row r="123" spans="1:25" s="37" customFormat="1" ht="10.5" customHeight="1" x14ac:dyDescent="0.15">
      <c r="A123" s="559" t="s">
        <v>637</v>
      </c>
      <c r="B123" s="37">
        <v>2866027</v>
      </c>
      <c r="C123" s="37">
        <v>472746</v>
      </c>
      <c r="D123" s="37">
        <v>356732</v>
      </c>
      <c r="E123" s="37">
        <v>1922862</v>
      </c>
      <c r="F123" s="37">
        <v>786682</v>
      </c>
      <c r="G123" s="37">
        <v>535980</v>
      </c>
      <c r="H123" s="37">
        <v>558218</v>
      </c>
      <c r="I123" s="37" t="s">
        <v>986</v>
      </c>
      <c r="J123" s="37">
        <v>41982</v>
      </c>
      <c r="K123" s="37">
        <v>556738</v>
      </c>
      <c r="L123" s="37">
        <v>556738</v>
      </c>
      <c r="M123" s="37" t="s">
        <v>986</v>
      </c>
      <c r="N123" s="37">
        <v>15068248</v>
      </c>
      <c r="O123" s="37">
        <v>8029801</v>
      </c>
      <c r="P123" s="37">
        <v>315989</v>
      </c>
      <c r="Q123" s="37" t="s">
        <v>986</v>
      </c>
      <c r="R123" s="39" t="s">
        <v>85</v>
      </c>
      <c r="S123" s="36"/>
      <c r="T123" s="36"/>
      <c r="U123" s="36"/>
      <c r="V123" s="36"/>
      <c r="W123" s="36"/>
      <c r="X123" s="36"/>
      <c r="Y123" s="36"/>
    </row>
    <row r="124" spans="1:25" s="37" customFormat="1" ht="10.5" customHeight="1" x14ac:dyDescent="0.15">
      <c r="A124" s="559" t="s">
        <v>638</v>
      </c>
      <c r="B124" s="37">
        <v>2816619</v>
      </c>
      <c r="C124" s="37">
        <v>484425</v>
      </c>
      <c r="D124" s="37">
        <v>69506</v>
      </c>
      <c r="E124" s="37">
        <v>1770689</v>
      </c>
      <c r="F124" s="37">
        <v>715020</v>
      </c>
      <c r="G124" s="37">
        <v>549151</v>
      </c>
      <c r="H124" s="37">
        <v>391382</v>
      </c>
      <c r="I124" s="37">
        <v>39665</v>
      </c>
      <c r="J124" s="37">
        <v>75471</v>
      </c>
      <c r="K124" s="37">
        <v>557986</v>
      </c>
      <c r="L124" s="37">
        <v>557986</v>
      </c>
      <c r="M124" s="37" t="s">
        <v>986</v>
      </c>
      <c r="N124" s="37">
        <v>15277654</v>
      </c>
      <c r="O124" s="37">
        <v>8234442</v>
      </c>
      <c r="P124" s="37">
        <v>79286</v>
      </c>
      <c r="Q124" s="37" t="s">
        <v>986</v>
      </c>
      <c r="R124" s="39" t="s">
        <v>86</v>
      </c>
      <c r="S124" s="36"/>
      <c r="T124" s="36"/>
      <c r="U124" s="36"/>
      <c r="V124" s="36"/>
      <c r="W124" s="36"/>
      <c r="X124" s="36"/>
      <c r="Y124" s="36"/>
    </row>
    <row r="125" spans="1:25" s="37" customFormat="1" ht="10.5" customHeight="1" x14ac:dyDescent="0.15">
      <c r="A125" s="559" t="s">
        <v>639</v>
      </c>
      <c r="B125" s="37">
        <v>2176535</v>
      </c>
      <c r="C125" s="37">
        <v>484217</v>
      </c>
      <c r="D125" s="37">
        <v>69671</v>
      </c>
      <c r="E125" s="37">
        <v>1487225</v>
      </c>
      <c r="F125" s="37">
        <v>788090</v>
      </c>
      <c r="G125" s="37">
        <v>386103</v>
      </c>
      <c r="H125" s="37">
        <v>313032</v>
      </c>
      <c r="I125" s="37" t="s">
        <v>986</v>
      </c>
      <c r="J125" s="37" t="s">
        <v>986</v>
      </c>
      <c r="K125" s="37">
        <v>237903</v>
      </c>
      <c r="L125" s="37">
        <v>237903</v>
      </c>
      <c r="M125" s="37" t="s">
        <v>986</v>
      </c>
      <c r="N125" s="37">
        <v>13690769</v>
      </c>
      <c r="O125" s="37">
        <v>6782394</v>
      </c>
      <c r="P125" s="37">
        <v>158394</v>
      </c>
      <c r="Q125" s="37" t="s">
        <v>986</v>
      </c>
      <c r="R125" s="39" t="s">
        <v>87</v>
      </c>
      <c r="S125" s="36"/>
      <c r="T125" s="36"/>
      <c r="U125" s="36"/>
      <c r="V125" s="36"/>
      <c r="W125" s="36"/>
      <c r="X125" s="36"/>
      <c r="Y125" s="36"/>
    </row>
    <row r="126" spans="1:25" s="37" customFormat="1" ht="10.5" customHeight="1" x14ac:dyDescent="0.15">
      <c r="A126" s="559" t="s">
        <v>993</v>
      </c>
      <c r="B126" s="37">
        <v>2222372</v>
      </c>
      <c r="C126" s="37">
        <v>295440</v>
      </c>
      <c r="D126" s="37">
        <v>138109</v>
      </c>
      <c r="E126" s="37">
        <v>1286517</v>
      </c>
      <c r="F126" s="37">
        <v>975001</v>
      </c>
      <c r="G126" s="37">
        <v>230082</v>
      </c>
      <c r="H126" s="37">
        <v>81434</v>
      </c>
      <c r="I126" s="37" t="s">
        <v>986</v>
      </c>
      <c r="J126" s="37" t="s">
        <v>986</v>
      </c>
      <c r="K126" s="37">
        <v>237553</v>
      </c>
      <c r="L126" s="37">
        <v>237553</v>
      </c>
      <c r="M126" s="37" t="s">
        <v>986</v>
      </c>
      <c r="N126" s="37">
        <v>15185276</v>
      </c>
      <c r="O126" s="37">
        <v>7281177</v>
      </c>
      <c r="P126" s="37">
        <v>79164</v>
      </c>
      <c r="Q126" s="37" t="s">
        <v>986</v>
      </c>
      <c r="R126" s="39" t="s">
        <v>994</v>
      </c>
      <c r="S126" s="36"/>
      <c r="T126" s="36"/>
      <c r="U126" s="36"/>
      <c r="V126" s="36"/>
      <c r="W126" s="36"/>
      <c r="X126" s="36"/>
      <c r="Y126" s="36"/>
    </row>
    <row r="127" spans="1:25" s="37" customFormat="1" ht="10.5" customHeight="1" x14ac:dyDescent="0.15">
      <c r="A127" s="578"/>
      <c r="R127" s="39"/>
      <c r="S127" s="36"/>
      <c r="T127" s="36"/>
      <c r="U127" s="36"/>
      <c r="V127" s="36"/>
      <c r="W127" s="36"/>
      <c r="X127" s="36"/>
      <c r="Y127" s="36"/>
    </row>
    <row r="128" spans="1:25" s="37" customFormat="1" ht="10.5" customHeight="1" x14ac:dyDescent="0.15">
      <c r="A128" s="559" t="s">
        <v>995</v>
      </c>
      <c r="B128" s="37">
        <v>1186059</v>
      </c>
      <c r="C128" s="37">
        <v>157249</v>
      </c>
      <c r="D128" s="37">
        <v>71501</v>
      </c>
      <c r="E128" s="37">
        <v>616047</v>
      </c>
      <c r="F128" s="37">
        <v>236985</v>
      </c>
      <c r="G128" s="37">
        <v>302160</v>
      </c>
      <c r="H128" s="37">
        <v>76902</v>
      </c>
      <c r="I128" s="37" t="s">
        <v>986</v>
      </c>
      <c r="J128" s="37" t="s">
        <v>986</v>
      </c>
      <c r="K128" s="37">
        <v>158774</v>
      </c>
      <c r="L128" s="37">
        <v>158774</v>
      </c>
      <c r="M128" s="37" t="s">
        <v>986</v>
      </c>
      <c r="N128" s="37">
        <v>4587839</v>
      </c>
      <c r="O128" s="37">
        <v>2388783</v>
      </c>
      <c r="P128" s="37">
        <v>108857</v>
      </c>
      <c r="Q128" s="37" t="s">
        <v>986</v>
      </c>
      <c r="R128" s="39" t="s">
        <v>778</v>
      </c>
      <c r="S128" s="36"/>
      <c r="T128" s="36"/>
      <c r="U128" s="36"/>
      <c r="V128" s="36"/>
      <c r="W128" s="36"/>
      <c r="X128" s="36"/>
      <c r="Y128" s="36"/>
    </row>
    <row r="129" spans="1:25" s="37" customFormat="1" ht="10.5" customHeight="1" x14ac:dyDescent="0.15">
      <c r="A129" s="559" t="s">
        <v>640</v>
      </c>
      <c r="B129" s="37">
        <v>1122070</v>
      </c>
      <c r="C129" s="37">
        <v>162095</v>
      </c>
      <c r="D129" s="37" t="s">
        <v>986</v>
      </c>
      <c r="E129" s="37">
        <v>791732</v>
      </c>
      <c r="F129" s="37">
        <v>236268</v>
      </c>
      <c r="G129" s="37">
        <v>320546</v>
      </c>
      <c r="H129" s="37">
        <v>234918</v>
      </c>
      <c r="I129" s="37" t="s">
        <v>986</v>
      </c>
      <c r="J129" s="37" t="s">
        <v>986</v>
      </c>
      <c r="K129" s="37">
        <v>237773</v>
      </c>
      <c r="L129" s="37">
        <v>237773</v>
      </c>
      <c r="M129" s="37" t="s">
        <v>986</v>
      </c>
      <c r="N129" s="37">
        <v>4172743</v>
      </c>
      <c r="O129" s="37">
        <v>2034181</v>
      </c>
      <c r="P129" s="37">
        <v>79123</v>
      </c>
      <c r="Q129" s="37" t="s">
        <v>986</v>
      </c>
      <c r="R129" s="39" t="s">
        <v>73</v>
      </c>
      <c r="S129" s="36"/>
      <c r="T129" s="36"/>
      <c r="U129" s="36"/>
      <c r="V129" s="36"/>
      <c r="W129" s="36"/>
      <c r="X129" s="36"/>
      <c r="Y129" s="36"/>
    </row>
    <row r="130" spans="1:25" s="37" customFormat="1" ht="10.5" customHeight="1" x14ac:dyDescent="0.15">
      <c r="A130" s="559" t="s">
        <v>641</v>
      </c>
      <c r="B130" s="37">
        <v>888436</v>
      </c>
      <c r="C130" s="37">
        <v>154376</v>
      </c>
      <c r="D130" s="37">
        <v>88016</v>
      </c>
      <c r="E130" s="37">
        <v>770278</v>
      </c>
      <c r="F130" s="37">
        <v>237365</v>
      </c>
      <c r="G130" s="37">
        <v>384953</v>
      </c>
      <c r="H130" s="37">
        <v>147960</v>
      </c>
      <c r="I130" s="37" t="s">
        <v>986</v>
      </c>
      <c r="J130" s="37" t="s">
        <v>986</v>
      </c>
      <c r="K130" s="37" t="s">
        <v>986</v>
      </c>
      <c r="L130" s="37" t="s">
        <v>986</v>
      </c>
      <c r="M130" s="37" t="s">
        <v>986</v>
      </c>
      <c r="N130" s="37">
        <v>4737748</v>
      </c>
      <c r="O130" s="37">
        <v>2433985</v>
      </c>
      <c r="P130" s="37">
        <v>78910</v>
      </c>
      <c r="Q130" s="37" t="s">
        <v>986</v>
      </c>
      <c r="R130" s="39" t="s">
        <v>74</v>
      </c>
      <c r="S130" s="36"/>
      <c r="T130" s="36"/>
      <c r="U130" s="36"/>
      <c r="V130" s="36"/>
      <c r="W130" s="36"/>
      <c r="X130" s="36"/>
      <c r="Y130" s="36"/>
    </row>
    <row r="131" spans="1:25" s="37" customFormat="1" ht="10.5" customHeight="1" x14ac:dyDescent="0.15">
      <c r="A131" s="559" t="s">
        <v>642</v>
      </c>
      <c r="B131" s="37">
        <v>1063456</v>
      </c>
      <c r="C131" s="37">
        <v>156239</v>
      </c>
      <c r="D131" s="37">
        <v>128863</v>
      </c>
      <c r="E131" s="37">
        <v>850041</v>
      </c>
      <c r="F131" s="37">
        <v>408842</v>
      </c>
      <c r="G131" s="37">
        <v>232142</v>
      </c>
      <c r="H131" s="37">
        <v>167075</v>
      </c>
      <c r="I131" s="37" t="s">
        <v>986</v>
      </c>
      <c r="J131" s="37">
        <v>41982</v>
      </c>
      <c r="K131" s="37">
        <v>237634</v>
      </c>
      <c r="L131" s="37">
        <v>237634</v>
      </c>
      <c r="M131" s="37" t="s">
        <v>986</v>
      </c>
      <c r="N131" s="37">
        <v>5769960</v>
      </c>
      <c r="O131" s="37">
        <v>3176778</v>
      </c>
      <c r="P131" s="37">
        <v>93278</v>
      </c>
      <c r="Q131" s="37" t="s">
        <v>986</v>
      </c>
      <c r="R131" s="39" t="s">
        <v>75</v>
      </c>
      <c r="S131" s="36"/>
      <c r="T131" s="36"/>
      <c r="U131" s="36"/>
      <c r="V131" s="36"/>
      <c r="W131" s="36"/>
      <c r="X131" s="36"/>
      <c r="Y131" s="36"/>
    </row>
    <row r="132" spans="1:25" s="37" customFormat="1" ht="10.5" customHeight="1" x14ac:dyDescent="0.15">
      <c r="A132" s="559" t="s">
        <v>643</v>
      </c>
      <c r="B132" s="37">
        <v>862981</v>
      </c>
      <c r="C132" s="37">
        <v>159260</v>
      </c>
      <c r="D132" s="37" t="s">
        <v>986</v>
      </c>
      <c r="E132" s="37">
        <v>546844</v>
      </c>
      <c r="F132" s="37">
        <v>161423</v>
      </c>
      <c r="G132" s="37">
        <v>151104</v>
      </c>
      <c r="H132" s="37">
        <v>234317</v>
      </c>
      <c r="I132" s="37" t="s">
        <v>986</v>
      </c>
      <c r="J132" s="37" t="s">
        <v>986</v>
      </c>
      <c r="K132" s="37">
        <v>158706</v>
      </c>
      <c r="L132" s="37">
        <v>158706</v>
      </c>
      <c r="M132" s="37" t="s">
        <v>986</v>
      </c>
      <c r="N132" s="37">
        <v>5229613</v>
      </c>
      <c r="O132" s="37">
        <v>2808620</v>
      </c>
      <c r="P132" s="37">
        <v>143814</v>
      </c>
      <c r="Q132" s="37" t="s">
        <v>986</v>
      </c>
      <c r="R132" s="40" t="s">
        <v>88</v>
      </c>
      <c r="S132" s="36"/>
      <c r="T132" s="36"/>
      <c r="U132" s="36"/>
      <c r="V132" s="36"/>
      <c r="W132" s="36"/>
      <c r="X132" s="36"/>
      <c r="Y132" s="36"/>
    </row>
    <row r="133" spans="1:25" s="37" customFormat="1" ht="10.5" customHeight="1" x14ac:dyDescent="0.15">
      <c r="A133" s="559" t="s">
        <v>644</v>
      </c>
      <c r="B133" s="37">
        <v>939590</v>
      </c>
      <c r="C133" s="37">
        <v>157247</v>
      </c>
      <c r="D133" s="37">
        <v>227869</v>
      </c>
      <c r="E133" s="37">
        <v>525977</v>
      </c>
      <c r="F133" s="37">
        <v>216417</v>
      </c>
      <c r="G133" s="37">
        <v>152734</v>
      </c>
      <c r="H133" s="37">
        <v>156826</v>
      </c>
      <c r="I133" s="37" t="s">
        <v>986</v>
      </c>
      <c r="J133" s="37" t="s">
        <v>986</v>
      </c>
      <c r="K133" s="37">
        <v>160398</v>
      </c>
      <c r="L133" s="37">
        <v>160398</v>
      </c>
      <c r="M133" s="37" t="s">
        <v>986</v>
      </c>
      <c r="N133" s="37">
        <v>4068675</v>
      </c>
      <c r="O133" s="37">
        <v>2044403</v>
      </c>
      <c r="P133" s="37">
        <v>78897</v>
      </c>
      <c r="Q133" s="37" t="s">
        <v>986</v>
      </c>
      <c r="R133" s="39" t="s">
        <v>89</v>
      </c>
      <c r="S133" s="36"/>
      <c r="T133" s="36"/>
      <c r="U133" s="36"/>
      <c r="V133" s="36"/>
      <c r="W133" s="36"/>
      <c r="X133" s="36"/>
      <c r="Y133" s="36"/>
    </row>
    <row r="134" spans="1:25" s="37" customFormat="1" ht="10.5" customHeight="1" x14ac:dyDescent="0.15">
      <c r="A134" s="559" t="s">
        <v>645</v>
      </c>
      <c r="B134" s="37">
        <v>1014394</v>
      </c>
      <c r="C134" s="37">
        <v>190876</v>
      </c>
      <c r="D134" s="37">
        <v>51493</v>
      </c>
      <c r="E134" s="37">
        <v>480868</v>
      </c>
      <c r="F134" s="37">
        <v>172500</v>
      </c>
      <c r="G134" s="37">
        <v>153658</v>
      </c>
      <c r="H134" s="37">
        <v>154710</v>
      </c>
      <c r="I134" s="37" t="s">
        <v>986</v>
      </c>
      <c r="J134" s="37" t="s">
        <v>986</v>
      </c>
      <c r="K134" s="37" t="s">
        <v>986</v>
      </c>
      <c r="L134" s="37" t="s">
        <v>986</v>
      </c>
      <c r="M134" s="37" t="s">
        <v>986</v>
      </c>
      <c r="N134" s="37">
        <v>4772597</v>
      </c>
      <c r="O134" s="37">
        <v>2530548</v>
      </c>
      <c r="P134" s="37">
        <v>79286</v>
      </c>
      <c r="Q134" s="37" t="s">
        <v>986</v>
      </c>
      <c r="R134" s="39" t="s">
        <v>90</v>
      </c>
      <c r="S134" s="36"/>
      <c r="T134" s="36"/>
      <c r="U134" s="36"/>
      <c r="V134" s="36"/>
      <c r="W134" s="36"/>
      <c r="X134" s="36"/>
      <c r="Y134" s="36"/>
    </row>
    <row r="135" spans="1:25" s="37" customFormat="1" ht="10.5" customHeight="1" x14ac:dyDescent="0.15">
      <c r="A135" s="559" t="s">
        <v>646</v>
      </c>
      <c r="B135" s="37">
        <v>646184</v>
      </c>
      <c r="C135" s="37">
        <v>98318</v>
      </c>
      <c r="D135" s="37">
        <v>18013</v>
      </c>
      <c r="E135" s="37">
        <v>468767</v>
      </c>
      <c r="F135" s="37">
        <v>153296</v>
      </c>
      <c r="G135" s="37">
        <v>157022</v>
      </c>
      <c r="H135" s="37">
        <v>158449</v>
      </c>
      <c r="I135" s="37" t="s">
        <v>986</v>
      </c>
      <c r="J135" s="37" t="s">
        <v>986</v>
      </c>
      <c r="K135" s="37">
        <v>237794</v>
      </c>
      <c r="L135" s="37">
        <v>237794</v>
      </c>
      <c r="M135" s="37" t="s">
        <v>986</v>
      </c>
      <c r="N135" s="37">
        <v>5662295</v>
      </c>
      <c r="O135" s="37">
        <v>2775326</v>
      </c>
      <c r="P135" s="37" t="s">
        <v>986</v>
      </c>
      <c r="Q135" s="37" t="s">
        <v>986</v>
      </c>
      <c r="R135" s="39" t="s">
        <v>91</v>
      </c>
      <c r="S135" s="36"/>
      <c r="T135" s="36"/>
      <c r="U135" s="36"/>
      <c r="V135" s="36"/>
      <c r="W135" s="36"/>
      <c r="X135" s="36"/>
      <c r="Y135" s="36"/>
    </row>
    <row r="136" spans="1:25" s="37" customFormat="1" ht="10.5" customHeight="1" x14ac:dyDescent="0.15">
      <c r="A136" s="559" t="s">
        <v>647</v>
      </c>
      <c r="B136" s="37">
        <v>1156041</v>
      </c>
      <c r="C136" s="37">
        <v>195231</v>
      </c>
      <c r="D136" s="37" t="s">
        <v>986</v>
      </c>
      <c r="E136" s="37">
        <v>821054</v>
      </c>
      <c r="F136" s="37">
        <v>389224</v>
      </c>
      <c r="G136" s="37">
        <v>238471</v>
      </c>
      <c r="H136" s="37">
        <v>78223</v>
      </c>
      <c r="I136" s="37">
        <v>39665</v>
      </c>
      <c r="J136" s="37">
        <v>75471</v>
      </c>
      <c r="K136" s="37">
        <v>320192</v>
      </c>
      <c r="L136" s="37">
        <v>320192</v>
      </c>
      <c r="M136" s="37" t="s">
        <v>986</v>
      </c>
      <c r="N136" s="37">
        <v>4842762</v>
      </c>
      <c r="O136" s="37">
        <v>2928568</v>
      </c>
      <c r="P136" s="37" t="s">
        <v>986</v>
      </c>
      <c r="Q136" s="37" t="s">
        <v>986</v>
      </c>
      <c r="R136" s="39" t="s">
        <v>92</v>
      </c>
      <c r="S136" s="36"/>
      <c r="T136" s="36"/>
      <c r="U136" s="36"/>
      <c r="V136" s="36"/>
      <c r="W136" s="36"/>
      <c r="X136" s="36"/>
      <c r="Y136" s="36"/>
    </row>
    <row r="137" spans="1:25" s="37" customFormat="1" ht="10.5" customHeight="1" x14ac:dyDescent="0.15">
      <c r="A137" s="559" t="s">
        <v>648</v>
      </c>
      <c r="B137" s="37">
        <v>437424</v>
      </c>
      <c r="C137" s="37">
        <v>167917</v>
      </c>
      <c r="D137" s="37" t="s">
        <v>986</v>
      </c>
      <c r="E137" s="37">
        <v>359630</v>
      </c>
      <c r="F137" s="37">
        <v>238075</v>
      </c>
      <c r="G137" s="37">
        <v>75646</v>
      </c>
      <c r="H137" s="37">
        <v>45909</v>
      </c>
      <c r="I137" s="37" t="s">
        <v>986</v>
      </c>
      <c r="J137" s="37" t="s">
        <v>986</v>
      </c>
      <c r="K137" s="37" t="s">
        <v>986</v>
      </c>
      <c r="L137" s="37" t="s">
        <v>986</v>
      </c>
      <c r="M137" s="37" t="s">
        <v>986</v>
      </c>
      <c r="N137" s="37">
        <v>4604427</v>
      </c>
      <c r="O137" s="37">
        <v>2240796</v>
      </c>
      <c r="P137" s="37">
        <v>79198</v>
      </c>
      <c r="Q137" s="37" t="s">
        <v>986</v>
      </c>
      <c r="R137" s="39" t="s">
        <v>76</v>
      </c>
      <c r="S137" s="36"/>
      <c r="T137" s="36"/>
      <c r="U137" s="36"/>
      <c r="V137" s="36"/>
      <c r="W137" s="36"/>
      <c r="X137" s="36"/>
      <c r="Y137" s="36"/>
    </row>
    <row r="138" spans="1:25" s="37" customFormat="1" ht="10.5" customHeight="1" x14ac:dyDescent="0.15">
      <c r="A138" s="559" t="s">
        <v>649</v>
      </c>
      <c r="B138" s="37">
        <v>955131</v>
      </c>
      <c r="C138" s="37">
        <v>158427</v>
      </c>
      <c r="D138" s="37" t="s">
        <v>986</v>
      </c>
      <c r="E138" s="37">
        <v>575021</v>
      </c>
      <c r="F138" s="37">
        <v>312973</v>
      </c>
      <c r="G138" s="37">
        <v>153108</v>
      </c>
      <c r="H138" s="37">
        <v>108940</v>
      </c>
      <c r="I138" s="37" t="s">
        <v>986</v>
      </c>
      <c r="J138" s="37" t="s">
        <v>986</v>
      </c>
      <c r="K138" s="37">
        <v>79180</v>
      </c>
      <c r="L138" s="37">
        <v>79180</v>
      </c>
      <c r="M138" s="37" t="s">
        <v>986</v>
      </c>
      <c r="N138" s="37">
        <v>4646540</v>
      </c>
      <c r="O138" s="37">
        <v>2280291</v>
      </c>
      <c r="P138" s="37">
        <v>79196</v>
      </c>
      <c r="Q138" s="37" t="s">
        <v>986</v>
      </c>
      <c r="R138" s="39" t="s">
        <v>77</v>
      </c>
      <c r="S138" s="36"/>
      <c r="T138" s="36"/>
      <c r="U138" s="36"/>
      <c r="V138" s="36"/>
      <c r="W138" s="36"/>
      <c r="X138" s="36"/>
      <c r="Y138" s="36"/>
    </row>
    <row r="139" spans="1:25" s="37" customFormat="1" ht="10.5" customHeight="1" x14ac:dyDescent="0.15">
      <c r="A139" s="559" t="s">
        <v>650</v>
      </c>
      <c r="B139" s="37">
        <v>783980</v>
      </c>
      <c r="C139" s="37">
        <v>157873</v>
      </c>
      <c r="D139" s="37">
        <v>69671</v>
      </c>
      <c r="E139" s="37">
        <v>552574</v>
      </c>
      <c r="F139" s="37">
        <v>237042</v>
      </c>
      <c r="G139" s="37">
        <v>157349</v>
      </c>
      <c r="H139" s="37">
        <v>158183</v>
      </c>
      <c r="I139" s="37" t="s">
        <v>986</v>
      </c>
      <c r="J139" s="37" t="s">
        <v>986</v>
      </c>
      <c r="K139" s="37">
        <v>158723</v>
      </c>
      <c r="L139" s="37">
        <v>158723</v>
      </c>
      <c r="M139" s="37" t="s">
        <v>986</v>
      </c>
      <c r="N139" s="37">
        <v>4439802</v>
      </c>
      <c r="O139" s="37">
        <v>2261307</v>
      </c>
      <c r="P139" s="37" t="s">
        <v>986</v>
      </c>
      <c r="Q139" s="37" t="s">
        <v>986</v>
      </c>
      <c r="R139" s="39" t="s">
        <v>78</v>
      </c>
      <c r="S139" s="36"/>
      <c r="T139" s="36"/>
      <c r="U139" s="36"/>
      <c r="V139" s="36"/>
      <c r="W139" s="36"/>
      <c r="X139" s="36"/>
      <c r="Y139" s="36"/>
    </row>
    <row r="140" spans="1:25" s="37" customFormat="1" ht="10.5" customHeight="1" x14ac:dyDescent="0.15">
      <c r="A140" s="559" t="s">
        <v>996</v>
      </c>
      <c r="B140" s="37">
        <v>737759</v>
      </c>
      <c r="C140" s="37">
        <v>154039</v>
      </c>
      <c r="D140" s="37" t="s">
        <v>986</v>
      </c>
      <c r="E140" s="37">
        <v>419336</v>
      </c>
      <c r="F140" s="37">
        <v>324459</v>
      </c>
      <c r="G140" s="37">
        <v>94877</v>
      </c>
      <c r="H140" s="37" t="s">
        <v>986</v>
      </c>
      <c r="I140" s="37" t="s">
        <v>986</v>
      </c>
      <c r="J140" s="37" t="s">
        <v>986</v>
      </c>
      <c r="K140" s="37">
        <v>79124</v>
      </c>
      <c r="L140" s="37">
        <v>79124</v>
      </c>
      <c r="M140" s="37" t="s">
        <v>986</v>
      </c>
      <c r="N140" s="37">
        <v>5013758</v>
      </c>
      <c r="O140" s="37">
        <v>2068665</v>
      </c>
      <c r="P140" s="37">
        <v>79164</v>
      </c>
      <c r="Q140" s="37" t="s">
        <v>986</v>
      </c>
      <c r="R140" s="39" t="s">
        <v>997</v>
      </c>
      <c r="S140" s="36"/>
      <c r="T140" s="36"/>
      <c r="U140" s="36"/>
      <c r="V140" s="36"/>
      <c r="W140" s="36"/>
      <c r="X140" s="36"/>
      <c r="Y140" s="36"/>
    </row>
    <row r="141" spans="1:25" s="37" customFormat="1" ht="10.5" customHeight="1" x14ac:dyDescent="0.15">
      <c r="A141" s="559" t="s">
        <v>651</v>
      </c>
      <c r="B141" s="37">
        <v>765240</v>
      </c>
      <c r="C141" s="37">
        <v>47820</v>
      </c>
      <c r="D141" s="37">
        <v>69977</v>
      </c>
      <c r="E141" s="37">
        <v>619410</v>
      </c>
      <c r="F141" s="37">
        <v>402771</v>
      </c>
      <c r="G141" s="37">
        <v>135205</v>
      </c>
      <c r="H141" s="37">
        <v>81434</v>
      </c>
      <c r="I141" s="37" t="s">
        <v>986</v>
      </c>
      <c r="J141" s="37" t="s">
        <v>986</v>
      </c>
      <c r="K141" s="37">
        <v>148659</v>
      </c>
      <c r="L141" s="37">
        <v>148659</v>
      </c>
      <c r="M141" s="37" t="s">
        <v>986</v>
      </c>
      <c r="N141" s="37">
        <v>4969448</v>
      </c>
      <c r="O141" s="37">
        <v>2784093</v>
      </c>
      <c r="P141" s="37" t="s">
        <v>986</v>
      </c>
      <c r="Q141" s="37" t="s">
        <v>986</v>
      </c>
      <c r="R141" s="39" t="s">
        <v>73</v>
      </c>
      <c r="S141" s="36"/>
      <c r="T141" s="36"/>
      <c r="U141" s="36"/>
      <c r="V141" s="36"/>
      <c r="W141" s="36"/>
      <c r="X141" s="36"/>
      <c r="Y141" s="36"/>
    </row>
    <row r="142" spans="1:25" s="37" customFormat="1" ht="10.5" customHeight="1" x14ac:dyDescent="0.15">
      <c r="A142" s="661" t="s">
        <v>652</v>
      </c>
      <c r="B142" s="680">
        <v>719373</v>
      </c>
      <c r="C142" s="681">
        <v>93581</v>
      </c>
      <c r="D142" s="681">
        <v>68132</v>
      </c>
      <c r="E142" s="681">
        <v>247771</v>
      </c>
      <c r="F142" s="681">
        <v>247771</v>
      </c>
      <c r="G142" s="681" t="s">
        <v>986</v>
      </c>
      <c r="H142" s="681" t="s">
        <v>986</v>
      </c>
      <c r="I142" s="681" t="s">
        <v>986</v>
      </c>
      <c r="J142" s="681" t="s">
        <v>986</v>
      </c>
      <c r="K142" s="681">
        <v>9770</v>
      </c>
      <c r="L142" s="681">
        <v>9770</v>
      </c>
      <c r="M142" s="681" t="s">
        <v>986</v>
      </c>
      <c r="N142" s="681">
        <v>5202070</v>
      </c>
      <c r="O142" s="681">
        <v>2428419</v>
      </c>
      <c r="P142" s="681" t="s">
        <v>986</v>
      </c>
      <c r="Q142" s="681" t="s">
        <v>986</v>
      </c>
      <c r="R142" s="682" t="s">
        <v>74</v>
      </c>
      <c r="S142" s="36"/>
      <c r="T142" s="36"/>
      <c r="U142" s="36"/>
      <c r="V142" s="36"/>
      <c r="W142" s="36"/>
      <c r="X142" s="36"/>
      <c r="Y142" s="36"/>
    </row>
    <row r="143" spans="1:25" ht="23.25" customHeight="1" x14ac:dyDescent="0.25">
      <c r="I143" s="41" t="s">
        <v>93</v>
      </c>
      <c r="Q143" s="42" t="s">
        <v>72</v>
      </c>
    </row>
    <row r="144" spans="1:25" s="17" customFormat="1" ht="11.25" customHeight="1" x14ac:dyDescent="0.15">
      <c r="A144" s="668"/>
      <c r="B144" s="683" t="s">
        <v>94</v>
      </c>
      <c r="C144" s="671"/>
      <c r="D144" s="671"/>
      <c r="E144" s="668"/>
      <c r="F144" s="670"/>
      <c r="G144" s="671"/>
      <c r="H144" s="671"/>
      <c r="I144" s="671"/>
      <c r="J144" s="671"/>
      <c r="K144" s="668"/>
      <c r="L144" s="670"/>
      <c r="M144" s="671"/>
      <c r="N144" s="671"/>
      <c r="O144" s="671"/>
      <c r="P144" s="671"/>
      <c r="Q144" s="671"/>
      <c r="R144" s="1030" t="s">
        <v>79</v>
      </c>
      <c r="S144" s="16"/>
      <c r="T144" s="16"/>
      <c r="U144" s="16"/>
      <c r="V144" s="16"/>
      <c r="W144" s="16"/>
      <c r="X144" s="16"/>
      <c r="Y144" s="16"/>
    </row>
    <row r="145" spans="1:25" s="35" customFormat="1" ht="28.5" customHeight="1" x14ac:dyDescent="0.15">
      <c r="A145" s="25" t="s">
        <v>172</v>
      </c>
      <c r="B145" s="684" t="s">
        <v>1014</v>
      </c>
      <c r="C145" s="674"/>
      <c r="D145" s="674"/>
      <c r="E145" s="675"/>
      <c r="F145" s="14" t="s">
        <v>96</v>
      </c>
      <c r="G145" s="672" t="s">
        <v>1015</v>
      </c>
      <c r="H145" s="673" t="s">
        <v>150</v>
      </c>
      <c r="I145" s="674"/>
      <c r="J145" s="674"/>
      <c r="K145" s="675"/>
      <c r="L145" s="14" t="s">
        <v>98</v>
      </c>
      <c r="M145" s="672" t="s">
        <v>491</v>
      </c>
      <c r="N145" s="673" t="s">
        <v>151</v>
      </c>
      <c r="O145" s="674"/>
      <c r="P145" s="674"/>
      <c r="Q145" s="674"/>
      <c r="R145" s="1031"/>
      <c r="S145" s="13"/>
      <c r="T145" s="13"/>
      <c r="U145" s="13"/>
      <c r="V145" s="13"/>
      <c r="W145" s="13"/>
      <c r="X145" s="13"/>
      <c r="Y145" s="13"/>
    </row>
    <row r="146" spans="1:25" s="35" customFormat="1" ht="28.5" customHeight="1" x14ac:dyDescent="0.15">
      <c r="A146" s="25"/>
      <c r="B146" s="672" t="s">
        <v>147</v>
      </c>
      <c r="C146" s="672" t="s">
        <v>148</v>
      </c>
      <c r="D146" s="672" t="s">
        <v>428</v>
      </c>
      <c r="E146" s="672" t="s">
        <v>440</v>
      </c>
      <c r="F146" s="14" t="s">
        <v>101</v>
      </c>
      <c r="G146" s="672" t="s">
        <v>149</v>
      </c>
      <c r="H146" s="14" t="s">
        <v>64</v>
      </c>
      <c r="I146" s="672" t="s">
        <v>153</v>
      </c>
      <c r="J146" s="672" t="s">
        <v>154</v>
      </c>
      <c r="K146" s="672" t="s">
        <v>155</v>
      </c>
      <c r="L146" s="14" t="s">
        <v>156</v>
      </c>
      <c r="M146" s="672" t="s">
        <v>492</v>
      </c>
      <c r="N146" s="14" t="s">
        <v>62</v>
      </c>
      <c r="O146" s="672" t="s">
        <v>429</v>
      </c>
      <c r="P146" s="672" t="s">
        <v>175</v>
      </c>
      <c r="Q146" s="673" t="s">
        <v>430</v>
      </c>
      <c r="R146" s="1031"/>
      <c r="S146" s="13"/>
      <c r="T146" s="13"/>
      <c r="U146" s="13"/>
      <c r="V146" s="13"/>
      <c r="W146" s="13"/>
      <c r="X146" s="13"/>
      <c r="Y146" s="13"/>
    </row>
    <row r="147" spans="1:25" s="35" customFormat="1" ht="12" customHeight="1" x14ac:dyDescent="0.15">
      <c r="A147" s="687"/>
      <c r="B147" s="15" t="str">
        <f>PROPER("U-ZAKUM")</f>
        <v>U-Zakum</v>
      </c>
      <c r="C147" s="15" t="str">
        <f>PROPER("DAS")</f>
        <v>Das</v>
      </c>
      <c r="D147" s="15" t="str">
        <f>PROPER("MUBARRAZ")</f>
        <v>Mubarraz</v>
      </c>
      <c r="E147" s="15" t="str">
        <f>PROPER("UMM-LULU")</f>
        <v>Umm-Lulu</v>
      </c>
      <c r="F147" s="15"/>
      <c r="G147" s="15" t="str">
        <f>PROPER("FORTIES")</f>
        <v>Forties</v>
      </c>
      <c r="H147" s="15"/>
      <c r="I147" s="15" t="str">
        <f>PROPER("SOKOL")</f>
        <v>Sokol</v>
      </c>
      <c r="J147" s="15" t="str">
        <f>PROPER("ESPO-B")</f>
        <v>Espo-B</v>
      </c>
      <c r="K147" s="15" t="str">
        <f>PROPER("SAKHAL-B")</f>
        <v>Sakhal-B</v>
      </c>
      <c r="L147" s="15"/>
      <c r="M147" s="15" t="str">
        <f>PROPER("COLDLAKE")</f>
        <v>Coldlake</v>
      </c>
      <c r="N147" s="15"/>
      <c r="O147" s="15" t="str">
        <f>PROPER("WTIM")</f>
        <v>Wtim</v>
      </c>
      <c r="P147" s="15" t="str">
        <f>PROPER("EGL-FORD")</f>
        <v>Egl-Ford</v>
      </c>
      <c r="Q147" s="676" t="str">
        <f>PROPER("MARS")</f>
        <v>Mars</v>
      </c>
      <c r="R147" s="1032"/>
      <c r="S147" s="13"/>
      <c r="T147" s="13"/>
      <c r="U147" s="13"/>
      <c r="V147" s="13"/>
      <c r="W147" s="13"/>
      <c r="X147" s="13"/>
      <c r="Y147" s="13"/>
    </row>
    <row r="148" spans="1:25" s="37" customFormat="1" ht="10.5" customHeight="1" x14ac:dyDescent="0.15">
      <c r="A148" s="657" t="s">
        <v>985</v>
      </c>
      <c r="B148" s="677">
        <v>7667650</v>
      </c>
      <c r="C148" s="678">
        <v>20032829</v>
      </c>
      <c r="D148" s="678">
        <v>1925548</v>
      </c>
      <c r="E148" s="678">
        <v>772690</v>
      </c>
      <c r="F148" s="678">
        <v>8915306</v>
      </c>
      <c r="G148" s="678" t="s">
        <v>986</v>
      </c>
      <c r="H148" s="678">
        <v>8915306</v>
      </c>
      <c r="I148" s="678">
        <v>4377964</v>
      </c>
      <c r="J148" s="678">
        <v>2854377</v>
      </c>
      <c r="K148" s="678">
        <v>1682965</v>
      </c>
      <c r="L148" s="678">
        <v>3739047</v>
      </c>
      <c r="M148" s="678">
        <v>47092</v>
      </c>
      <c r="N148" s="678">
        <v>3691955</v>
      </c>
      <c r="O148" s="678">
        <v>2769318</v>
      </c>
      <c r="P148" s="678">
        <v>661738</v>
      </c>
      <c r="Q148" s="678">
        <v>158298</v>
      </c>
      <c r="R148" s="679" t="s">
        <v>485</v>
      </c>
      <c r="S148" s="36"/>
      <c r="T148" s="36"/>
      <c r="U148" s="36"/>
      <c r="V148" s="36"/>
      <c r="W148" s="36"/>
      <c r="X148" s="36"/>
      <c r="Y148" s="36"/>
    </row>
    <row r="149" spans="1:25" s="37" customFormat="1" ht="10.5" customHeight="1" x14ac:dyDescent="0.15">
      <c r="A149" s="559" t="s">
        <v>634</v>
      </c>
      <c r="B149" s="37">
        <v>6887720</v>
      </c>
      <c r="C149" s="37">
        <v>16584724</v>
      </c>
      <c r="D149" s="37">
        <v>1929409</v>
      </c>
      <c r="E149" s="37">
        <v>546287</v>
      </c>
      <c r="F149" s="37">
        <v>4942885</v>
      </c>
      <c r="G149" s="37" t="s">
        <v>986</v>
      </c>
      <c r="H149" s="37">
        <v>4942885</v>
      </c>
      <c r="I149" s="37">
        <v>2012019</v>
      </c>
      <c r="J149" s="37">
        <v>2241690</v>
      </c>
      <c r="K149" s="37">
        <v>689176</v>
      </c>
      <c r="L149" s="37">
        <v>1094794</v>
      </c>
      <c r="M149" s="37" t="s">
        <v>986</v>
      </c>
      <c r="N149" s="37">
        <v>1094794</v>
      </c>
      <c r="O149" s="37">
        <v>712543</v>
      </c>
      <c r="P149" s="37" t="s">
        <v>986</v>
      </c>
      <c r="Q149" s="37">
        <v>240225</v>
      </c>
      <c r="R149" s="39" t="s">
        <v>588</v>
      </c>
      <c r="S149" s="36"/>
      <c r="T149" s="36"/>
      <c r="U149" s="36"/>
      <c r="V149" s="36"/>
      <c r="W149" s="36"/>
      <c r="X149" s="36"/>
      <c r="Y149" s="36"/>
    </row>
    <row r="150" spans="1:25" s="37" customFormat="1" ht="10.5" customHeight="1" x14ac:dyDescent="0.15">
      <c r="A150" s="559" t="s">
        <v>635</v>
      </c>
      <c r="B150" s="37">
        <v>4907013</v>
      </c>
      <c r="C150" s="37">
        <v>14742070</v>
      </c>
      <c r="D150" s="37">
        <v>1893490</v>
      </c>
      <c r="E150" s="37">
        <v>1276884</v>
      </c>
      <c r="F150" s="37">
        <v>5183041</v>
      </c>
      <c r="G150" s="37">
        <v>10</v>
      </c>
      <c r="H150" s="37">
        <v>5183031</v>
      </c>
      <c r="I150" s="37">
        <v>1797812</v>
      </c>
      <c r="J150" s="37">
        <v>2932700</v>
      </c>
      <c r="K150" s="37">
        <v>452519</v>
      </c>
      <c r="L150" s="37">
        <v>469328</v>
      </c>
      <c r="M150" s="37" t="s">
        <v>986</v>
      </c>
      <c r="N150" s="37">
        <v>469328</v>
      </c>
      <c r="O150" s="37">
        <v>82295</v>
      </c>
      <c r="P150" s="37">
        <v>223881</v>
      </c>
      <c r="Q150" s="37">
        <v>163092</v>
      </c>
      <c r="R150" s="39" t="s">
        <v>636</v>
      </c>
      <c r="S150" s="36"/>
      <c r="T150" s="36"/>
      <c r="U150" s="36"/>
      <c r="V150" s="36"/>
      <c r="W150" s="36"/>
      <c r="X150" s="36"/>
      <c r="Y150" s="36"/>
    </row>
    <row r="151" spans="1:25" s="37" customFormat="1" ht="10.5" customHeight="1" x14ac:dyDescent="0.15">
      <c r="A151" s="559" t="s">
        <v>774</v>
      </c>
      <c r="B151" s="37">
        <v>8696476</v>
      </c>
      <c r="C151" s="37">
        <v>17446434</v>
      </c>
      <c r="D151" s="37">
        <v>1677941</v>
      </c>
      <c r="E151" s="37">
        <v>1569275</v>
      </c>
      <c r="F151" s="37">
        <v>2062879</v>
      </c>
      <c r="G151" s="37" t="s">
        <v>986</v>
      </c>
      <c r="H151" s="37">
        <v>2062879</v>
      </c>
      <c r="I151" s="37">
        <v>560379</v>
      </c>
      <c r="J151" s="37">
        <v>1174561</v>
      </c>
      <c r="K151" s="37">
        <v>327939</v>
      </c>
      <c r="L151" s="37">
        <v>1592968</v>
      </c>
      <c r="M151" s="37" t="s">
        <v>986</v>
      </c>
      <c r="N151" s="37">
        <v>1592968</v>
      </c>
      <c r="O151" s="37">
        <v>595702</v>
      </c>
      <c r="P151" s="37" t="s">
        <v>986</v>
      </c>
      <c r="Q151" s="37">
        <v>427613</v>
      </c>
      <c r="R151" s="39" t="s">
        <v>775</v>
      </c>
      <c r="S151" s="36"/>
      <c r="T151" s="36"/>
      <c r="U151" s="36"/>
      <c r="V151" s="36"/>
      <c r="W151" s="36"/>
      <c r="X151" s="36"/>
      <c r="Y151" s="36"/>
    </row>
    <row r="152" spans="1:25" s="37" customFormat="1" ht="10.5" customHeight="1" x14ac:dyDescent="0.15">
      <c r="A152" s="559" t="s">
        <v>987</v>
      </c>
      <c r="B152" s="37">
        <v>4467968</v>
      </c>
      <c r="C152" s="37">
        <v>19076482</v>
      </c>
      <c r="D152" s="37">
        <v>1611032</v>
      </c>
      <c r="E152" s="37">
        <v>1655374</v>
      </c>
      <c r="F152" s="37">
        <v>118876</v>
      </c>
      <c r="G152" s="37" t="s">
        <v>986</v>
      </c>
      <c r="H152" s="37">
        <v>118876</v>
      </c>
      <c r="I152" s="37" t="s">
        <v>986</v>
      </c>
      <c r="J152" s="37" t="s">
        <v>986</v>
      </c>
      <c r="K152" s="37">
        <v>118876</v>
      </c>
      <c r="L152" s="37">
        <v>3102976</v>
      </c>
      <c r="M152" s="37" t="s">
        <v>986</v>
      </c>
      <c r="N152" s="37">
        <v>3102976</v>
      </c>
      <c r="O152" s="37">
        <v>1455476</v>
      </c>
      <c r="P152" s="37" t="s">
        <v>986</v>
      </c>
      <c r="Q152" s="37">
        <v>865856</v>
      </c>
      <c r="R152" s="39" t="s">
        <v>988</v>
      </c>
      <c r="S152" s="36"/>
      <c r="T152" s="36"/>
      <c r="U152" s="36"/>
      <c r="V152" s="36"/>
      <c r="W152" s="36"/>
      <c r="X152" s="36"/>
      <c r="Y152" s="36"/>
    </row>
    <row r="153" spans="1:25" s="37" customFormat="1" ht="10.5" customHeight="1" x14ac:dyDescent="0.15">
      <c r="A153" s="578"/>
      <c r="R153" s="39"/>
      <c r="S153" s="36"/>
      <c r="T153" s="36"/>
      <c r="U153" s="36"/>
      <c r="V153" s="36"/>
      <c r="W153" s="36"/>
      <c r="X153" s="36"/>
      <c r="Y153" s="36"/>
    </row>
    <row r="154" spans="1:25" s="37" customFormat="1" ht="10.5" customHeight="1" x14ac:dyDescent="0.15">
      <c r="A154" s="559" t="s">
        <v>989</v>
      </c>
      <c r="B154" s="37">
        <v>8428499</v>
      </c>
      <c r="C154" s="37">
        <v>17650768</v>
      </c>
      <c r="D154" s="37">
        <v>1613226</v>
      </c>
      <c r="E154" s="37">
        <v>1683745</v>
      </c>
      <c r="F154" s="37">
        <v>624421</v>
      </c>
      <c r="G154" s="37" t="s">
        <v>986</v>
      </c>
      <c r="H154" s="37">
        <v>624421</v>
      </c>
      <c r="I154" s="37">
        <v>112090</v>
      </c>
      <c r="J154" s="37">
        <v>236402</v>
      </c>
      <c r="K154" s="37">
        <v>275929</v>
      </c>
      <c r="L154" s="37">
        <v>2286940</v>
      </c>
      <c r="M154" s="37" t="s">
        <v>986</v>
      </c>
      <c r="N154" s="37">
        <v>2286940</v>
      </c>
      <c r="O154" s="37">
        <v>848467</v>
      </c>
      <c r="P154" s="37" t="s">
        <v>986</v>
      </c>
      <c r="Q154" s="37">
        <v>868820</v>
      </c>
      <c r="R154" s="39" t="s">
        <v>776</v>
      </c>
      <c r="S154" s="36"/>
      <c r="T154" s="36"/>
      <c r="U154" s="36"/>
      <c r="V154" s="36"/>
      <c r="W154" s="36"/>
      <c r="X154" s="36"/>
      <c r="Y154" s="36"/>
    </row>
    <row r="155" spans="1:25" s="37" customFormat="1" ht="10.5" customHeight="1" x14ac:dyDescent="0.15">
      <c r="A155" s="559" t="s">
        <v>990</v>
      </c>
      <c r="B155" s="37">
        <v>3893323</v>
      </c>
      <c r="C155" s="37">
        <v>21072515</v>
      </c>
      <c r="D155" s="37">
        <v>1721341</v>
      </c>
      <c r="E155" s="37">
        <v>1574121</v>
      </c>
      <c r="F155" s="37" t="s">
        <v>986</v>
      </c>
      <c r="G155" s="37" t="s">
        <v>986</v>
      </c>
      <c r="H155" s="37" t="s">
        <v>986</v>
      </c>
      <c r="I155" s="37" t="s">
        <v>986</v>
      </c>
      <c r="J155" s="37" t="s">
        <v>986</v>
      </c>
      <c r="K155" s="37" t="s">
        <v>986</v>
      </c>
      <c r="L155" s="37">
        <v>3656826</v>
      </c>
      <c r="M155" s="37" t="s">
        <v>986</v>
      </c>
      <c r="N155" s="37">
        <v>3656826</v>
      </c>
      <c r="O155" s="37">
        <v>1969292</v>
      </c>
      <c r="P155" s="37" t="s">
        <v>986</v>
      </c>
      <c r="Q155" s="37">
        <v>708144</v>
      </c>
      <c r="R155" s="39" t="s">
        <v>991</v>
      </c>
      <c r="S155" s="36"/>
      <c r="T155" s="36"/>
      <c r="U155" s="36"/>
      <c r="V155" s="36"/>
      <c r="W155" s="36"/>
      <c r="X155" s="36"/>
      <c r="Y155" s="36"/>
    </row>
    <row r="156" spans="1:25" s="37" customFormat="1" ht="10.5" customHeight="1" x14ac:dyDescent="0.15">
      <c r="A156" s="578"/>
      <c r="R156" s="39"/>
      <c r="S156" s="36"/>
      <c r="T156" s="36"/>
      <c r="U156" s="36"/>
      <c r="V156" s="36"/>
      <c r="W156" s="36"/>
      <c r="X156" s="36"/>
      <c r="Y156" s="36"/>
    </row>
    <row r="157" spans="1:25" s="37" customFormat="1" ht="10.5" customHeight="1" x14ac:dyDescent="0.15">
      <c r="A157" s="559" t="s">
        <v>992</v>
      </c>
      <c r="B157" s="37">
        <v>1482755</v>
      </c>
      <c r="C157" s="37">
        <v>4047967</v>
      </c>
      <c r="D157" s="37">
        <v>406532</v>
      </c>
      <c r="E157" s="37">
        <v>437237</v>
      </c>
      <c r="F157" s="37">
        <v>118876</v>
      </c>
      <c r="G157" s="37" t="s">
        <v>986</v>
      </c>
      <c r="H157" s="37">
        <v>118876</v>
      </c>
      <c r="I157" s="37" t="s">
        <v>986</v>
      </c>
      <c r="J157" s="37" t="s">
        <v>986</v>
      </c>
      <c r="K157" s="37">
        <v>118876</v>
      </c>
      <c r="L157" s="37">
        <v>693972</v>
      </c>
      <c r="M157" s="37" t="s">
        <v>986</v>
      </c>
      <c r="N157" s="37">
        <v>693972</v>
      </c>
      <c r="O157" s="37">
        <v>252765</v>
      </c>
      <c r="P157" s="37" t="s">
        <v>986</v>
      </c>
      <c r="Q157" s="37">
        <v>441207</v>
      </c>
      <c r="R157" s="39" t="s">
        <v>777</v>
      </c>
      <c r="S157" s="36"/>
      <c r="T157" s="36"/>
      <c r="U157" s="36"/>
      <c r="V157" s="36"/>
      <c r="W157" s="36"/>
      <c r="X157" s="36"/>
      <c r="Y157" s="36"/>
    </row>
    <row r="158" spans="1:25" s="37" customFormat="1" ht="10.5" customHeight="1" x14ac:dyDescent="0.15">
      <c r="A158" s="559" t="s">
        <v>637</v>
      </c>
      <c r="B158" s="37">
        <v>810525</v>
      </c>
      <c r="C158" s="37">
        <v>4957702</v>
      </c>
      <c r="D158" s="37">
        <v>394892</v>
      </c>
      <c r="E158" s="37">
        <v>559339</v>
      </c>
      <c r="F158" s="37" t="s">
        <v>986</v>
      </c>
      <c r="G158" s="37" t="s">
        <v>986</v>
      </c>
      <c r="H158" s="37" t="s">
        <v>986</v>
      </c>
      <c r="I158" s="37" t="s">
        <v>986</v>
      </c>
      <c r="J158" s="37" t="s">
        <v>986</v>
      </c>
      <c r="K158" s="37" t="s">
        <v>986</v>
      </c>
      <c r="L158" s="37">
        <v>417238</v>
      </c>
      <c r="M158" s="37" t="s">
        <v>986</v>
      </c>
      <c r="N158" s="37">
        <v>417238</v>
      </c>
      <c r="O158" s="37">
        <v>257865</v>
      </c>
      <c r="P158" s="37" t="s">
        <v>986</v>
      </c>
      <c r="Q158" s="37">
        <v>159373</v>
      </c>
      <c r="R158" s="39" t="s">
        <v>85</v>
      </c>
      <c r="S158" s="36"/>
      <c r="T158" s="36"/>
      <c r="U158" s="36"/>
      <c r="V158" s="36"/>
      <c r="W158" s="36"/>
      <c r="X158" s="36"/>
      <c r="Y158" s="36"/>
    </row>
    <row r="159" spans="1:25" s="37" customFormat="1" ht="10.5" customHeight="1" x14ac:dyDescent="0.15">
      <c r="A159" s="559" t="s">
        <v>638</v>
      </c>
      <c r="B159" s="37">
        <v>978428</v>
      </c>
      <c r="C159" s="37">
        <v>5252600</v>
      </c>
      <c r="D159" s="37">
        <v>414960</v>
      </c>
      <c r="E159" s="37">
        <v>317938</v>
      </c>
      <c r="F159" s="37" t="s">
        <v>986</v>
      </c>
      <c r="G159" s="37" t="s">
        <v>986</v>
      </c>
      <c r="H159" s="37" t="s">
        <v>986</v>
      </c>
      <c r="I159" s="37" t="s">
        <v>986</v>
      </c>
      <c r="J159" s="37" t="s">
        <v>986</v>
      </c>
      <c r="K159" s="37" t="s">
        <v>986</v>
      </c>
      <c r="L159" s="37">
        <v>524379</v>
      </c>
      <c r="M159" s="37" t="s">
        <v>986</v>
      </c>
      <c r="N159" s="37">
        <v>524379</v>
      </c>
      <c r="O159" s="37">
        <v>199914</v>
      </c>
      <c r="P159" s="37" t="s">
        <v>986</v>
      </c>
      <c r="Q159" s="37">
        <v>134525</v>
      </c>
      <c r="R159" s="39" t="s">
        <v>86</v>
      </c>
      <c r="S159" s="36"/>
      <c r="T159" s="36"/>
      <c r="U159" s="36"/>
      <c r="V159" s="36"/>
      <c r="W159" s="36"/>
      <c r="X159" s="36"/>
      <c r="Y159" s="36"/>
    </row>
    <row r="160" spans="1:25" s="37" customFormat="1" ht="10.5" customHeight="1" x14ac:dyDescent="0.15">
      <c r="A160" s="559" t="s">
        <v>639</v>
      </c>
      <c r="B160" s="37">
        <v>1196260</v>
      </c>
      <c r="C160" s="37">
        <v>4818213</v>
      </c>
      <c r="D160" s="37">
        <v>394648</v>
      </c>
      <c r="E160" s="37">
        <v>340860</v>
      </c>
      <c r="F160" s="37" t="s">
        <v>986</v>
      </c>
      <c r="G160" s="37" t="s">
        <v>986</v>
      </c>
      <c r="H160" s="37" t="s">
        <v>986</v>
      </c>
      <c r="I160" s="37" t="s">
        <v>986</v>
      </c>
      <c r="J160" s="37" t="s">
        <v>986</v>
      </c>
      <c r="K160" s="37" t="s">
        <v>986</v>
      </c>
      <c r="L160" s="37">
        <v>1467387</v>
      </c>
      <c r="M160" s="37" t="s">
        <v>986</v>
      </c>
      <c r="N160" s="37">
        <v>1467387</v>
      </c>
      <c r="O160" s="37">
        <v>744932</v>
      </c>
      <c r="P160" s="37" t="s">
        <v>986</v>
      </c>
      <c r="Q160" s="37">
        <v>130751</v>
      </c>
      <c r="R160" s="39" t="s">
        <v>87</v>
      </c>
      <c r="S160" s="36"/>
      <c r="T160" s="36"/>
      <c r="U160" s="36"/>
      <c r="V160" s="36"/>
      <c r="W160" s="36"/>
      <c r="X160" s="36"/>
      <c r="Y160" s="36"/>
    </row>
    <row r="161" spans="1:25" s="37" customFormat="1" ht="10.5" customHeight="1" x14ac:dyDescent="0.15">
      <c r="A161" s="559" t="s">
        <v>993</v>
      </c>
      <c r="B161" s="37">
        <v>908110</v>
      </c>
      <c r="C161" s="37">
        <v>6044000</v>
      </c>
      <c r="D161" s="37">
        <v>516841</v>
      </c>
      <c r="E161" s="37">
        <v>355984</v>
      </c>
      <c r="F161" s="37" t="s">
        <v>986</v>
      </c>
      <c r="G161" s="37" t="s">
        <v>986</v>
      </c>
      <c r="H161" s="37" t="s">
        <v>986</v>
      </c>
      <c r="I161" s="37" t="s">
        <v>986</v>
      </c>
      <c r="J161" s="37" t="s">
        <v>986</v>
      </c>
      <c r="K161" s="37" t="s">
        <v>986</v>
      </c>
      <c r="L161" s="37">
        <v>1247822</v>
      </c>
      <c r="M161" s="37" t="s">
        <v>986</v>
      </c>
      <c r="N161" s="37">
        <v>1247822</v>
      </c>
      <c r="O161" s="37">
        <v>766581</v>
      </c>
      <c r="P161" s="37" t="s">
        <v>986</v>
      </c>
      <c r="Q161" s="37">
        <v>283495</v>
      </c>
      <c r="R161" s="39" t="s">
        <v>994</v>
      </c>
      <c r="S161" s="36"/>
      <c r="T161" s="36"/>
      <c r="U161" s="36"/>
      <c r="V161" s="36"/>
      <c r="W161" s="36"/>
      <c r="X161" s="36"/>
      <c r="Y161" s="36"/>
    </row>
    <row r="162" spans="1:25" s="37" customFormat="1" ht="10.5" customHeight="1" x14ac:dyDescent="0.15">
      <c r="A162" s="578"/>
      <c r="R162" s="39"/>
      <c r="S162" s="36"/>
      <c r="T162" s="36"/>
      <c r="U162" s="36"/>
      <c r="V162" s="36"/>
      <c r="W162" s="36"/>
      <c r="X162" s="36"/>
      <c r="Y162" s="36"/>
    </row>
    <row r="163" spans="1:25" s="37" customFormat="1" ht="10.5" customHeight="1" x14ac:dyDescent="0.15">
      <c r="A163" s="559" t="s">
        <v>995</v>
      </c>
      <c r="B163" s="37">
        <v>267297</v>
      </c>
      <c r="C163" s="37">
        <v>1548256</v>
      </c>
      <c r="D163" s="37">
        <v>142213</v>
      </c>
      <c r="E163" s="37">
        <v>132433</v>
      </c>
      <c r="F163" s="37">
        <v>118876</v>
      </c>
      <c r="G163" s="37" t="s">
        <v>986</v>
      </c>
      <c r="H163" s="37">
        <v>118876</v>
      </c>
      <c r="I163" s="37" t="s">
        <v>986</v>
      </c>
      <c r="J163" s="37" t="s">
        <v>986</v>
      </c>
      <c r="K163" s="37">
        <v>118876</v>
      </c>
      <c r="L163" s="37">
        <v>350631</v>
      </c>
      <c r="M163" s="37" t="s">
        <v>986</v>
      </c>
      <c r="N163" s="37">
        <v>350631</v>
      </c>
      <c r="O163" s="37">
        <v>72501</v>
      </c>
      <c r="P163" s="37" t="s">
        <v>986</v>
      </c>
      <c r="Q163" s="37">
        <v>278130</v>
      </c>
      <c r="R163" s="39" t="s">
        <v>778</v>
      </c>
      <c r="S163" s="36"/>
      <c r="T163" s="36"/>
      <c r="U163" s="36"/>
      <c r="V163" s="36"/>
      <c r="W163" s="36"/>
      <c r="X163" s="36"/>
      <c r="Y163" s="36"/>
    </row>
    <row r="164" spans="1:25" s="37" customFormat="1" ht="10.5" customHeight="1" x14ac:dyDescent="0.15">
      <c r="A164" s="559" t="s">
        <v>640</v>
      </c>
      <c r="B164" s="37">
        <v>739526</v>
      </c>
      <c r="C164" s="37">
        <v>1027377</v>
      </c>
      <c r="D164" s="37">
        <v>130201</v>
      </c>
      <c r="E164" s="37">
        <v>162335</v>
      </c>
      <c r="F164" s="37" t="s">
        <v>986</v>
      </c>
      <c r="G164" s="37" t="s">
        <v>986</v>
      </c>
      <c r="H164" s="37" t="s">
        <v>986</v>
      </c>
      <c r="I164" s="37" t="s">
        <v>986</v>
      </c>
      <c r="J164" s="37" t="s">
        <v>986</v>
      </c>
      <c r="K164" s="37" t="s">
        <v>986</v>
      </c>
      <c r="L164" s="37">
        <v>128460</v>
      </c>
      <c r="M164" s="37" t="s">
        <v>986</v>
      </c>
      <c r="N164" s="37">
        <v>128460</v>
      </c>
      <c r="O164" s="37">
        <v>128460</v>
      </c>
      <c r="P164" s="37" t="s">
        <v>986</v>
      </c>
      <c r="Q164" s="37" t="s">
        <v>986</v>
      </c>
      <c r="R164" s="39" t="s">
        <v>73</v>
      </c>
      <c r="S164" s="36"/>
      <c r="T164" s="36"/>
      <c r="U164" s="36"/>
      <c r="V164" s="36"/>
      <c r="W164" s="36"/>
      <c r="X164" s="36"/>
      <c r="Y164" s="36"/>
    </row>
    <row r="165" spans="1:25" s="37" customFormat="1" ht="10.5" customHeight="1" x14ac:dyDescent="0.15">
      <c r="A165" s="559" t="s">
        <v>641</v>
      </c>
      <c r="B165" s="37">
        <v>475932</v>
      </c>
      <c r="C165" s="37">
        <v>1472334</v>
      </c>
      <c r="D165" s="37">
        <v>134118</v>
      </c>
      <c r="E165" s="37">
        <v>142469</v>
      </c>
      <c r="F165" s="37" t="s">
        <v>986</v>
      </c>
      <c r="G165" s="37" t="s">
        <v>986</v>
      </c>
      <c r="H165" s="37" t="s">
        <v>986</v>
      </c>
      <c r="I165" s="37" t="s">
        <v>986</v>
      </c>
      <c r="J165" s="37" t="s">
        <v>986</v>
      </c>
      <c r="K165" s="37" t="s">
        <v>986</v>
      </c>
      <c r="L165" s="37">
        <v>214881</v>
      </c>
      <c r="M165" s="37" t="s">
        <v>986</v>
      </c>
      <c r="N165" s="37">
        <v>214881</v>
      </c>
      <c r="O165" s="37">
        <v>51804</v>
      </c>
      <c r="P165" s="37" t="s">
        <v>986</v>
      </c>
      <c r="Q165" s="37">
        <v>163077</v>
      </c>
      <c r="R165" s="39" t="s">
        <v>74</v>
      </c>
      <c r="S165" s="36"/>
      <c r="T165" s="36"/>
      <c r="U165" s="36"/>
      <c r="V165" s="36"/>
      <c r="W165" s="36"/>
      <c r="X165" s="36"/>
      <c r="Y165" s="36"/>
    </row>
    <row r="166" spans="1:25" s="37" customFormat="1" ht="10.5" customHeight="1" x14ac:dyDescent="0.15">
      <c r="A166" s="559" t="s">
        <v>642</v>
      </c>
      <c r="B166" s="37">
        <v>338841</v>
      </c>
      <c r="C166" s="37">
        <v>1800468</v>
      </c>
      <c r="D166" s="37">
        <v>125892</v>
      </c>
      <c r="E166" s="37">
        <v>234703</v>
      </c>
      <c r="F166" s="37" t="s">
        <v>986</v>
      </c>
      <c r="G166" s="37" t="s">
        <v>986</v>
      </c>
      <c r="H166" s="37" t="s">
        <v>986</v>
      </c>
      <c r="I166" s="37" t="s">
        <v>986</v>
      </c>
      <c r="J166" s="37" t="s">
        <v>986</v>
      </c>
      <c r="K166" s="37" t="s">
        <v>986</v>
      </c>
      <c r="L166" s="37">
        <v>290229</v>
      </c>
      <c r="M166" s="37" t="s">
        <v>986</v>
      </c>
      <c r="N166" s="37">
        <v>290229</v>
      </c>
      <c r="O166" s="37">
        <v>130856</v>
      </c>
      <c r="P166" s="37" t="s">
        <v>986</v>
      </c>
      <c r="Q166" s="37">
        <v>159373</v>
      </c>
      <c r="R166" s="39" t="s">
        <v>75</v>
      </c>
      <c r="S166" s="36"/>
      <c r="T166" s="36"/>
      <c r="U166" s="36"/>
      <c r="V166" s="36"/>
      <c r="W166" s="36"/>
      <c r="X166" s="36"/>
      <c r="Y166" s="36"/>
    </row>
    <row r="167" spans="1:25" s="37" customFormat="1" ht="10.5" customHeight="1" x14ac:dyDescent="0.15">
      <c r="A167" s="559" t="s">
        <v>643</v>
      </c>
      <c r="B167" s="37">
        <v>392219</v>
      </c>
      <c r="C167" s="37">
        <v>1541028</v>
      </c>
      <c r="D167" s="37">
        <v>138814</v>
      </c>
      <c r="E167" s="37">
        <v>205118</v>
      </c>
      <c r="F167" s="37" t="s">
        <v>986</v>
      </c>
      <c r="G167" s="37" t="s">
        <v>986</v>
      </c>
      <c r="H167" s="37" t="s">
        <v>986</v>
      </c>
      <c r="I167" s="37" t="s">
        <v>986</v>
      </c>
      <c r="J167" s="37" t="s">
        <v>986</v>
      </c>
      <c r="K167" s="37" t="s">
        <v>986</v>
      </c>
      <c r="L167" s="37">
        <v>78572</v>
      </c>
      <c r="M167" s="37" t="s">
        <v>986</v>
      </c>
      <c r="N167" s="37">
        <v>78572</v>
      </c>
      <c r="O167" s="37">
        <v>78572</v>
      </c>
      <c r="P167" s="37" t="s">
        <v>986</v>
      </c>
      <c r="Q167" s="37" t="s">
        <v>986</v>
      </c>
      <c r="R167" s="40" t="s">
        <v>88</v>
      </c>
      <c r="S167" s="36"/>
      <c r="T167" s="36"/>
      <c r="U167" s="36"/>
      <c r="V167" s="36"/>
      <c r="W167" s="36"/>
      <c r="X167" s="36"/>
      <c r="Y167" s="36"/>
    </row>
    <row r="168" spans="1:25" s="37" customFormat="1" ht="10.5" customHeight="1" x14ac:dyDescent="0.15">
      <c r="A168" s="559" t="s">
        <v>644</v>
      </c>
      <c r="B168" s="37">
        <v>79465</v>
      </c>
      <c r="C168" s="37">
        <v>1616206</v>
      </c>
      <c r="D168" s="37">
        <v>130186</v>
      </c>
      <c r="E168" s="37">
        <v>119518</v>
      </c>
      <c r="F168" s="37" t="s">
        <v>986</v>
      </c>
      <c r="G168" s="37" t="s">
        <v>986</v>
      </c>
      <c r="H168" s="37" t="s">
        <v>986</v>
      </c>
      <c r="I168" s="37" t="s">
        <v>986</v>
      </c>
      <c r="J168" s="37" t="s">
        <v>986</v>
      </c>
      <c r="K168" s="37" t="s">
        <v>986</v>
      </c>
      <c r="L168" s="37">
        <v>48437</v>
      </c>
      <c r="M168" s="37" t="s">
        <v>986</v>
      </c>
      <c r="N168" s="37">
        <v>48437</v>
      </c>
      <c r="O168" s="37">
        <v>48437</v>
      </c>
      <c r="P168" s="37" t="s">
        <v>986</v>
      </c>
      <c r="Q168" s="37" t="s">
        <v>986</v>
      </c>
      <c r="R168" s="39" t="s">
        <v>89</v>
      </c>
      <c r="S168" s="36"/>
      <c r="T168" s="36"/>
      <c r="U168" s="36"/>
      <c r="V168" s="36"/>
      <c r="W168" s="36"/>
      <c r="X168" s="36"/>
      <c r="Y168" s="36"/>
    </row>
    <row r="169" spans="1:25" s="37" customFormat="1" ht="10.5" customHeight="1" x14ac:dyDescent="0.15">
      <c r="A169" s="559" t="s">
        <v>645</v>
      </c>
      <c r="B169" s="37">
        <v>292172</v>
      </c>
      <c r="C169" s="37">
        <v>1778640</v>
      </c>
      <c r="D169" s="37">
        <v>91951</v>
      </c>
      <c r="E169" s="37" t="s">
        <v>986</v>
      </c>
      <c r="F169" s="37" t="s">
        <v>986</v>
      </c>
      <c r="G169" s="37" t="s">
        <v>986</v>
      </c>
      <c r="H169" s="37" t="s">
        <v>986</v>
      </c>
      <c r="I169" s="37" t="s">
        <v>986</v>
      </c>
      <c r="J169" s="37" t="s">
        <v>986</v>
      </c>
      <c r="K169" s="37" t="s">
        <v>986</v>
      </c>
      <c r="L169" s="37">
        <v>346041</v>
      </c>
      <c r="M169" s="37" t="s">
        <v>986</v>
      </c>
      <c r="N169" s="37">
        <v>346041</v>
      </c>
      <c r="O169" s="37">
        <v>21576</v>
      </c>
      <c r="P169" s="37" t="s">
        <v>986</v>
      </c>
      <c r="Q169" s="37">
        <v>134525</v>
      </c>
      <c r="R169" s="39" t="s">
        <v>90</v>
      </c>
      <c r="S169" s="36"/>
      <c r="T169" s="36"/>
      <c r="U169" s="36"/>
      <c r="V169" s="36"/>
      <c r="W169" s="36"/>
      <c r="X169" s="36"/>
      <c r="Y169" s="36"/>
    </row>
    <row r="170" spans="1:25" s="37" customFormat="1" ht="10.5" customHeight="1" x14ac:dyDescent="0.15">
      <c r="A170" s="559" t="s">
        <v>646</v>
      </c>
      <c r="B170" s="37">
        <v>339512</v>
      </c>
      <c r="C170" s="37">
        <v>2215571</v>
      </c>
      <c r="D170" s="37">
        <v>179888</v>
      </c>
      <c r="E170" s="37">
        <v>151998</v>
      </c>
      <c r="F170" s="37" t="s">
        <v>986</v>
      </c>
      <c r="G170" s="37" t="s">
        <v>986</v>
      </c>
      <c r="H170" s="37" t="s">
        <v>986</v>
      </c>
      <c r="I170" s="37" t="s">
        <v>986</v>
      </c>
      <c r="J170" s="37" t="s">
        <v>986</v>
      </c>
      <c r="K170" s="37" t="s">
        <v>986</v>
      </c>
      <c r="L170" s="37">
        <v>110649</v>
      </c>
      <c r="M170" s="37" t="s">
        <v>986</v>
      </c>
      <c r="N170" s="37">
        <v>110649</v>
      </c>
      <c r="O170" s="37">
        <v>110649</v>
      </c>
      <c r="P170" s="37" t="s">
        <v>986</v>
      </c>
      <c r="Q170" s="37" t="s">
        <v>986</v>
      </c>
      <c r="R170" s="39" t="s">
        <v>91</v>
      </c>
      <c r="S170" s="36"/>
      <c r="T170" s="36"/>
      <c r="U170" s="36"/>
      <c r="V170" s="36"/>
      <c r="W170" s="36"/>
      <c r="X170" s="36"/>
      <c r="Y170" s="36"/>
    </row>
    <row r="171" spans="1:25" s="37" customFormat="1" ht="10.5" customHeight="1" x14ac:dyDescent="0.15">
      <c r="A171" s="559" t="s">
        <v>647</v>
      </c>
      <c r="B171" s="37">
        <v>346744</v>
      </c>
      <c r="C171" s="37">
        <v>1258389</v>
      </c>
      <c r="D171" s="37">
        <v>143121</v>
      </c>
      <c r="E171" s="37">
        <v>165940</v>
      </c>
      <c r="F171" s="37" t="s">
        <v>986</v>
      </c>
      <c r="G171" s="37" t="s">
        <v>986</v>
      </c>
      <c r="H171" s="37" t="s">
        <v>986</v>
      </c>
      <c r="I171" s="37" t="s">
        <v>986</v>
      </c>
      <c r="J171" s="37" t="s">
        <v>986</v>
      </c>
      <c r="K171" s="37" t="s">
        <v>986</v>
      </c>
      <c r="L171" s="37">
        <v>67689</v>
      </c>
      <c r="M171" s="37" t="s">
        <v>986</v>
      </c>
      <c r="N171" s="37">
        <v>67689</v>
      </c>
      <c r="O171" s="37">
        <v>67689</v>
      </c>
      <c r="P171" s="37" t="s">
        <v>986</v>
      </c>
      <c r="Q171" s="37" t="s">
        <v>986</v>
      </c>
      <c r="R171" s="39" t="s">
        <v>92</v>
      </c>
      <c r="S171" s="36"/>
      <c r="T171" s="36"/>
      <c r="U171" s="36"/>
      <c r="V171" s="36"/>
      <c r="W171" s="36"/>
      <c r="X171" s="36"/>
      <c r="Y171" s="36"/>
    </row>
    <row r="172" spans="1:25" s="37" customFormat="1" ht="10.5" customHeight="1" x14ac:dyDescent="0.15">
      <c r="A172" s="559" t="s">
        <v>648</v>
      </c>
      <c r="B172" s="37">
        <v>436141</v>
      </c>
      <c r="C172" s="37">
        <v>1650625</v>
      </c>
      <c r="D172" s="37">
        <v>22109</v>
      </c>
      <c r="E172" s="37">
        <v>175558</v>
      </c>
      <c r="F172" s="37" t="s">
        <v>986</v>
      </c>
      <c r="G172" s="37" t="s">
        <v>986</v>
      </c>
      <c r="H172" s="37" t="s">
        <v>986</v>
      </c>
      <c r="I172" s="37" t="s">
        <v>986</v>
      </c>
      <c r="J172" s="37" t="s">
        <v>986</v>
      </c>
      <c r="K172" s="37" t="s">
        <v>986</v>
      </c>
      <c r="L172" s="37">
        <v>403240</v>
      </c>
      <c r="M172" s="37" t="s">
        <v>986</v>
      </c>
      <c r="N172" s="37">
        <v>403240</v>
      </c>
      <c r="O172" s="37">
        <v>203784</v>
      </c>
      <c r="P172" s="37" t="s">
        <v>986</v>
      </c>
      <c r="Q172" s="37" t="s">
        <v>986</v>
      </c>
      <c r="R172" s="39" t="s">
        <v>76</v>
      </c>
      <c r="S172" s="36"/>
      <c r="T172" s="36"/>
      <c r="U172" s="36"/>
      <c r="V172" s="36"/>
      <c r="W172" s="36"/>
      <c r="X172" s="36"/>
      <c r="Y172" s="36"/>
    </row>
    <row r="173" spans="1:25" s="37" customFormat="1" ht="10.5" customHeight="1" x14ac:dyDescent="0.15">
      <c r="A173" s="559" t="s">
        <v>649</v>
      </c>
      <c r="B173" s="37">
        <v>340123</v>
      </c>
      <c r="C173" s="37">
        <v>1586199</v>
      </c>
      <c r="D173" s="37">
        <v>242257</v>
      </c>
      <c r="E173" s="37">
        <v>118474</v>
      </c>
      <c r="F173" s="37" t="s">
        <v>986</v>
      </c>
      <c r="G173" s="37" t="s">
        <v>986</v>
      </c>
      <c r="H173" s="37" t="s">
        <v>986</v>
      </c>
      <c r="I173" s="37" t="s">
        <v>986</v>
      </c>
      <c r="J173" s="37" t="s">
        <v>986</v>
      </c>
      <c r="K173" s="37" t="s">
        <v>986</v>
      </c>
      <c r="L173" s="37">
        <v>379098</v>
      </c>
      <c r="M173" s="37" t="s">
        <v>986</v>
      </c>
      <c r="N173" s="37">
        <v>379098</v>
      </c>
      <c r="O173" s="37">
        <v>176975</v>
      </c>
      <c r="P173" s="37" t="s">
        <v>986</v>
      </c>
      <c r="Q173" s="37" t="s">
        <v>986</v>
      </c>
      <c r="R173" s="39" t="s">
        <v>77</v>
      </c>
      <c r="S173" s="36"/>
      <c r="T173" s="36"/>
      <c r="U173" s="36"/>
      <c r="V173" s="36"/>
      <c r="W173" s="36"/>
      <c r="X173" s="36"/>
      <c r="Y173" s="36"/>
    </row>
    <row r="174" spans="1:25" s="37" customFormat="1" ht="10.5" customHeight="1" x14ac:dyDescent="0.15">
      <c r="A174" s="559" t="s">
        <v>650</v>
      </c>
      <c r="B174" s="37">
        <v>419996</v>
      </c>
      <c r="C174" s="37">
        <v>1581389</v>
      </c>
      <c r="D174" s="37">
        <v>130282</v>
      </c>
      <c r="E174" s="37">
        <v>46828</v>
      </c>
      <c r="F174" s="37" t="s">
        <v>986</v>
      </c>
      <c r="G174" s="37" t="s">
        <v>986</v>
      </c>
      <c r="H174" s="37" t="s">
        <v>986</v>
      </c>
      <c r="I174" s="37" t="s">
        <v>986</v>
      </c>
      <c r="J174" s="37" t="s">
        <v>986</v>
      </c>
      <c r="K174" s="37" t="s">
        <v>986</v>
      </c>
      <c r="L174" s="37">
        <v>685049</v>
      </c>
      <c r="M174" s="37" t="s">
        <v>986</v>
      </c>
      <c r="N174" s="37">
        <v>685049</v>
      </c>
      <c r="O174" s="37">
        <v>364173</v>
      </c>
      <c r="P174" s="37" t="s">
        <v>986</v>
      </c>
      <c r="Q174" s="37">
        <v>130751</v>
      </c>
      <c r="R174" s="39" t="s">
        <v>78</v>
      </c>
      <c r="S174" s="36"/>
      <c r="T174" s="36"/>
      <c r="U174" s="36"/>
      <c r="V174" s="36"/>
      <c r="W174" s="36"/>
      <c r="X174" s="36"/>
      <c r="Y174" s="36"/>
    </row>
    <row r="175" spans="1:25" s="37" customFormat="1" ht="10.5" customHeight="1" x14ac:dyDescent="0.15">
      <c r="A175" s="559" t="s">
        <v>996</v>
      </c>
      <c r="B175" s="37">
        <v>480687</v>
      </c>
      <c r="C175" s="37">
        <v>2110206</v>
      </c>
      <c r="D175" s="37">
        <v>244981</v>
      </c>
      <c r="E175" s="37">
        <v>30055</v>
      </c>
      <c r="F175" s="37" t="s">
        <v>986</v>
      </c>
      <c r="G175" s="37" t="s">
        <v>986</v>
      </c>
      <c r="H175" s="37" t="s">
        <v>986</v>
      </c>
      <c r="I175" s="37" t="s">
        <v>986</v>
      </c>
      <c r="J175" s="37" t="s">
        <v>986</v>
      </c>
      <c r="K175" s="37" t="s">
        <v>986</v>
      </c>
      <c r="L175" s="37">
        <v>643568</v>
      </c>
      <c r="M175" s="37" t="s">
        <v>986</v>
      </c>
      <c r="N175" s="37">
        <v>643568</v>
      </c>
      <c r="O175" s="37">
        <v>316030</v>
      </c>
      <c r="P175" s="37" t="s">
        <v>986</v>
      </c>
      <c r="Q175" s="37">
        <v>129792</v>
      </c>
      <c r="R175" s="39" t="s">
        <v>997</v>
      </c>
      <c r="S175" s="36"/>
      <c r="T175" s="36"/>
      <c r="U175" s="36"/>
      <c r="V175" s="36"/>
      <c r="W175" s="36"/>
      <c r="X175" s="36"/>
      <c r="Y175" s="36"/>
    </row>
    <row r="176" spans="1:25" s="37" customFormat="1" ht="10.5" customHeight="1" x14ac:dyDescent="0.15">
      <c r="A176" s="559" t="s">
        <v>651</v>
      </c>
      <c r="B176" s="37">
        <v>174081</v>
      </c>
      <c r="C176" s="37">
        <v>1762334</v>
      </c>
      <c r="D176" s="37">
        <v>69194</v>
      </c>
      <c r="E176" s="37">
        <v>179746</v>
      </c>
      <c r="F176" s="37" t="s">
        <v>986</v>
      </c>
      <c r="G176" s="37" t="s">
        <v>986</v>
      </c>
      <c r="H176" s="37" t="s">
        <v>986</v>
      </c>
      <c r="I176" s="37" t="s">
        <v>986</v>
      </c>
      <c r="J176" s="37" t="s">
        <v>986</v>
      </c>
      <c r="K176" s="37" t="s">
        <v>986</v>
      </c>
      <c r="L176" s="37">
        <v>124912</v>
      </c>
      <c r="M176" s="37" t="s">
        <v>986</v>
      </c>
      <c r="N176" s="37">
        <v>124912</v>
      </c>
      <c r="O176" s="37">
        <v>124912</v>
      </c>
      <c r="P176" s="37" t="s">
        <v>986</v>
      </c>
      <c r="Q176" s="37" t="s">
        <v>986</v>
      </c>
      <c r="R176" s="39" t="s">
        <v>73</v>
      </c>
      <c r="S176" s="36"/>
      <c r="T176" s="36"/>
      <c r="U176" s="36"/>
      <c r="V176" s="36"/>
      <c r="W176" s="36"/>
      <c r="X176" s="36"/>
      <c r="Y176" s="36"/>
    </row>
    <row r="177" spans="1:25" s="37" customFormat="1" ht="10.5" customHeight="1" x14ac:dyDescent="0.15">
      <c r="A177" s="661" t="s">
        <v>652</v>
      </c>
      <c r="B177" s="680">
        <v>253342</v>
      </c>
      <c r="C177" s="681">
        <v>2171460</v>
      </c>
      <c r="D177" s="681">
        <v>202666</v>
      </c>
      <c r="E177" s="681">
        <v>146183</v>
      </c>
      <c r="F177" s="681" t="s">
        <v>986</v>
      </c>
      <c r="G177" s="681" t="s">
        <v>986</v>
      </c>
      <c r="H177" s="681" t="s">
        <v>986</v>
      </c>
      <c r="I177" s="681" t="s">
        <v>986</v>
      </c>
      <c r="J177" s="681" t="s">
        <v>986</v>
      </c>
      <c r="K177" s="681" t="s">
        <v>986</v>
      </c>
      <c r="L177" s="681">
        <v>479342</v>
      </c>
      <c r="M177" s="681" t="s">
        <v>986</v>
      </c>
      <c r="N177" s="681">
        <v>479342</v>
      </c>
      <c r="O177" s="681">
        <v>325639</v>
      </c>
      <c r="P177" s="681" t="s">
        <v>986</v>
      </c>
      <c r="Q177" s="681">
        <v>153703</v>
      </c>
      <c r="R177" s="682" t="s">
        <v>74</v>
      </c>
      <c r="S177" s="36"/>
      <c r="T177" s="36"/>
      <c r="U177" s="36"/>
      <c r="V177" s="36"/>
      <c r="W177" s="36"/>
      <c r="X177" s="36"/>
      <c r="Y177" s="36"/>
    </row>
    <row r="178" spans="1:25" ht="23.25" customHeight="1" x14ac:dyDescent="0.25">
      <c r="I178" s="41" t="s">
        <v>93</v>
      </c>
    </row>
    <row r="179" spans="1:25" s="17" customFormat="1" ht="11.25" customHeight="1" x14ac:dyDescent="0.15">
      <c r="A179" s="668"/>
      <c r="B179" s="683" t="s">
        <v>1016</v>
      </c>
      <c r="C179" s="668"/>
      <c r="D179" s="670"/>
      <c r="E179" s="671"/>
      <c r="F179" s="671"/>
      <c r="G179" s="671"/>
      <c r="H179" s="671"/>
      <c r="I179" s="671"/>
      <c r="J179" s="671"/>
      <c r="K179" s="671"/>
      <c r="L179" s="671"/>
      <c r="M179" s="671"/>
      <c r="N179" s="671"/>
      <c r="O179" s="671"/>
      <c r="P179" s="668"/>
      <c r="Q179" s="670"/>
      <c r="R179" s="1030" t="s">
        <v>79</v>
      </c>
      <c r="S179" s="16"/>
      <c r="T179" s="16"/>
      <c r="U179" s="16"/>
      <c r="V179" s="16"/>
      <c r="W179" s="16"/>
      <c r="X179" s="16"/>
      <c r="Y179" s="16"/>
    </row>
    <row r="180" spans="1:25" s="35" customFormat="1" ht="28.5" customHeight="1" x14ac:dyDescent="0.15">
      <c r="A180" s="25" t="s">
        <v>172</v>
      </c>
      <c r="B180" s="684" t="s">
        <v>1017</v>
      </c>
      <c r="C180" s="675"/>
      <c r="D180" s="14" t="s">
        <v>99</v>
      </c>
      <c r="E180" s="673" t="s">
        <v>152</v>
      </c>
      <c r="F180" s="674"/>
      <c r="G180" s="675"/>
      <c r="H180" s="673" t="s">
        <v>1018</v>
      </c>
      <c r="I180" s="674"/>
      <c r="J180" s="675"/>
      <c r="K180" s="673" t="s">
        <v>158</v>
      </c>
      <c r="L180" s="674"/>
      <c r="M180" s="675"/>
      <c r="N180" s="673" t="s">
        <v>657</v>
      </c>
      <c r="O180" s="674"/>
      <c r="P180" s="675"/>
      <c r="Q180" s="686" t="s">
        <v>159</v>
      </c>
      <c r="R180" s="1031"/>
      <c r="S180" s="13"/>
      <c r="T180" s="13"/>
      <c r="U180" s="13"/>
      <c r="V180" s="13"/>
      <c r="W180" s="13"/>
      <c r="X180" s="13"/>
      <c r="Y180" s="13"/>
    </row>
    <row r="181" spans="1:25" s="35" customFormat="1" ht="28.5" customHeight="1" x14ac:dyDescent="0.15">
      <c r="A181" s="25"/>
      <c r="B181" s="685" t="s">
        <v>1019</v>
      </c>
      <c r="C181" s="672" t="s">
        <v>1020</v>
      </c>
      <c r="D181" s="14" t="s">
        <v>104</v>
      </c>
      <c r="E181" s="14" t="s">
        <v>66</v>
      </c>
      <c r="F181" s="672" t="s">
        <v>157</v>
      </c>
      <c r="G181" s="672" t="s">
        <v>161</v>
      </c>
      <c r="H181" s="14" t="s">
        <v>68</v>
      </c>
      <c r="I181" s="672" t="s">
        <v>162</v>
      </c>
      <c r="J181" s="672" t="s">
        <v>1021</v>
      </c>
      <c r="K181" s="14" t="s">
        <v>23</v>
      </c>
      <c r="L181" s="672" t="s">
        <v>163</v>
      </c>
      <c r="M181" s="672" t="s">
        <v>164</v>
      </c>
      <c r="N181" s="14" t="s">
        <v>654</v>
      </c>
      <c r="O181" s="672" t="s">
        <v>658</v>
      </c>
      <c r="P181" s="672" t="s">
        <v>659</v>
      </c>
      <c r="Q181" s="686" t="s">
        <v>24</v>
      </c>
      <c r="R181" s="1031"/>
      <c r="S181" s="13"/>
      <c r="T181" s="13"/>
      <c r="U181" s="13"/>
      <c r="V181" s="13"/>
      <c r="W181" s="13"/>
      <c r="X181" s="13"/>
      <c r="Y181" s="13"/>
    </row>
    <row r="182" spans="1:25" s="35" customFormat="1" ht="12" customHeight="1" x14ac:dyDescent="0.15">
      <c r="A182" s="687"/>
      <c r="B182" s="15" t="str">
        <f>PROPER("WTL")</f>
        <v>Wtl</v>
      </c>
      <c r="C182" s="15" t="str">
        <f>PROPER("UTICA-C")</f>
        <v>Utica-C</v>
      </c>
      <c r="D182" s="15"/>
      <c r="E182" s="15"/>
      <c r="F182" s="15" t="str">
        <f>PROPER("ISTHMUS")</f>
        <v>Isthmus</v>
      </c>
      <c r="G182" s="15" t="str">
        <f>PROPER("MAYA")</f>
        <v>Maya</v>
      </c>
      <c r="H182" s="15"/>
      <c r="I182" s="15" t="str">
        <f>PROPER("CASTLA-B")</f>
        <v>Castla-B</v>
      </c>
      <c r="J182" s="15" t="str">
        <f>PROPER("MARES-B")</f>
        <v>Mares-B</v>
      </c>
      <c r="K182" s="15"/>
      <c r="L182" s="15" t="str">
        <f>PROPER("ORIENTE")</f>
        <v>Oriente</v>
      </c>
      <c r="M182" s="15" t="str">
        <f>PROPER("NAPO")</f>
        <v>Napo</v>
      </c>
      <c r="N182" s="15"/>
      <c r="O182" s="15" t="str">
        <f>PROPER("BUZIOS")</f>
        <v>Buzios</v>
      </c>
      <c r="P182" s="15" t="str">
        <f>PROPER("TUPI")</f>
        <v>Tupi</v>
      </c>
      <c r="Q182" s="676"/>
      <c r="R182" s="1032"/>
      <c r="S182" s="13"/>
      <c r="T182" s="13"/>
      <c r="U182" s="13"/>
      <c r="V182" s="13"/>
      <c r="W182" s="13"/>
      <c r="X182" s="13"/>
      <c r="Y182" s="13"/>
    </row>
    <row r="183" spans="1:25" s="37" customFormat="1" ht="10.5" customHeight="1" x14ac:dyDescent="0.15">
      <c r="A183" s="657" t="s">
        <v>985</v>
      </c>
      <c r="B183" s="677">
        <v>102601</v>
      </c>
      <c r="C183" s="678" t="s">
        <v>986</v>
      </c>
      <c r="D183" s="678">
        <v>2678816</v>
      </c>
      <c r="E183" s="678">
        <v>319147</v>
      </c>
      <c r="F183" s="678" t="s">
        <v>986</v>
      </c>
      <c r="G183" s="678">
        <v>319147</v>
      </c>
      <c r="H183" s="678">
        <v>158877</v>
      </c>
      <c r="I183" s="678">
        <v>158877</v>
      </c>
      <c r="J183" s="678" t="s">
        <v>986</v>
      </c>
      <c r="K183" s="678">
        <v>2200792</v>
      </c>
      <c r="L183" s="678">
        <v>119843</v>
      </c>
      <c r="M183" s="678">
        <v>2080949</v>
      </c>
      <c r="N183" s="678" t="s">
        <v>986</v>
      </c>
      <c r="O183" s="678" t="s">
        <v>986</v>
      </c>
      <c r="P183" s="678" t="s">
        <v>986</v>
      </c>
      <c r="Q183" s="678">
        <v>742099</v>
      </c>
      <c r="R183" s="679" t="s">
        <v>485</v>
      </c>
      <c r="S183" s="36"/>
      <c r="T183" s="36"/>
      <c r="U183" s="36"/>
      <c r="V183" s="36"/>
      <c r="W183" s="36"/>
      <c r="X183" s="36"/>
      <c r="Y183" s="36"/>
    </row>
    <row r="184" spans="1:25" s="37" customFormat="1" ht="10.5" customHeight="1" x14ac:dyDescent="0.15">
      <c r="A184" s="559" t="s">
        <v>634</v>
      </c>
      <c r="B184" s="37" t="s">
        <v>986</v>
      </c>
      <c r="C184" s="37">
        <v>142026</v>
      </c>
      <c r="D184" s="37">
        <v>2530556</v>
      </c>
      <c r="E184" s="37">
        <v>81102</v>
      </c>
      <c r="F184" s="37" t="s">
        <v>986</v>
      </c>
      <c r="G184" s="37">
        <v>81102</v>
      </c>
      <c r="H184" s="37" t="s">
        <v>986</v>
      </c>
      <c r="I184" s="37" t="s">
        <v>986</v>
      </c>
      <c r="J184" s="37" t="s">
        <v>986</v>
      </c>
      <c r="K184" s="37">
        <v>2449454</v>
      </c>
      <c r="L184" s="37">
        <v>58385</v>
      </c>
      <c r="M184" s="37">
        <v>2391069</v>
      </c>
      <c r="N184" s="37" t="s">
        <v>986</v>
      </c>
      <c r="O184" s="37" t="s">
        <v>986</v>
      </c>
      <c r="P184" s="37" t="s">
        <v>986</v>
      </c>
      <c r="Q184" s="37">
        <v>421459</v>
      </c>
      <c r="R184" s="39" t="s">
        <v>588</v>
      </c>
      <c r="S184" s="36"/>
      <c r="T184" s="36"/>
      <c r="U184" s="36"/>
      <c r="V184" s="36"/>
      <c r="W184" s="36"/>
      <c r="X184" s="36"/>
      <c r="Y184" s="36"/>
    </row>
    <row r="185" spans="1:25" s="37" customFormat="1" ht="10.5" customHeight="1" x14ac:dyDescent="0.15">
      <c r="A185" s="559" t="s">
        <v>635</v>
      </c>
      <c r="B185" s="37">
        <v>60</v>
      </c>
      <c r="C185" s="37" t="s">
        <v>986</v>
      </c>
      <c r="D185" s="37">
        <v>2444840</v>
      </c>
      <c r="E185" s="37">
        <v>114870</v>
      </c>
      <c r="F185" s="37">
        <v>114870</v>
      </c>
      <c r="G185" s="37" t="s">
        <v>986</v>
      </c>
      <c r="H185" s="37" t="s">
        <v>986</v>
      </c>
      <c r="I185" s="37" t="s">
        <v>986</v>
      </c>
      <c r="J185" s="37" t="s">
        <v>986</v>
      </c>
      <c r="K185" s="37">
        <v>2329652</v>
      </c>
      <c r="L185" s="37">
        <v>189111</v>
      </c>
      <c r="M185" s="37">
        <v>2140541</v>
      </c>
      <c r="N185" s="37">
        <v>318</v>
      </c>
      <c r="O185" s="37">
        <v>157</v>
      </c>
      <c r="P185" s="37">
        <v>161</v>
      </c>
      <c r="Q185" s="37">
        <v>752667</v>
      </c>
      <c r="R185" s="39" t="s">
        <v>636</v>
      </c>
      <c r="S185" s="36"/>
      <c r="T185" s="36"/>
      <c r="U185" s="36"/>
      <c r="V185" s="36"/>
      <c r="W185" s="36"/>
      <c r="X185" s="36"/>
      <c r="Y185" s="36"/>
    </row>
    <row r="186" spans="1:25" s="37" customFormat="1" ht="10.5" customHeight="1" x14ac:dyDescent="0.15">
      <c r="A186" s="559" t="s">
        <v>774</v>
      </c>
      <c r="B186" s="37">
        <v>569653</v>
      </c>
      <c r="C186" s="37" t="s">
        <v>986</v>
      </c>
      <c r="D186" s="37">
        <v>3616062</v>
      </c>
      <c r="E186" s="37">
        <v>650033</v>
      </c>
      <c r="F186" s="37">
        <v>650033</v>
      </c>
      <c r="G186" s="37" t="s">
        <v>986</v>
      </c>
      <c r="H186" s="37" t="s">
        <v>986</v>
      </c>
      <c r="I186" s="37" t="s">
        <v>986</v>
      </c>
      <c r="J186" s="37" t="s">
        <v>986</v>
      </c>
      <c r="K186" s="37">
        <v>2966029</v>
      </c>
      <c r="L186" s="37">
        <v>156602</v>
      </c>
      <c r="M186" s="37">
        <v>2809427</v>
      </c>
      <c r="N186" s="37" t="s">
        <v>986</v>
      </c>
      <c r="O186" s="37" t="s">
        <v>986</v>
      </c>
      <c r="P186" s="37" t="s">
        <v>986</v>
      </c>
      <c r="Q186" s="37">
        <v>342064</v>
      </c>
      <c r="R186" s="39" t="s">
        <v>775</v>
      </c>
      <c r="S186" s="36"/>
      <c r="T186" s="36"/>
      <c r="U186" s="36"/>
      <c r="V186" s="36"/>
      <c r="W186" s="36"/>
      <c r="X186" s="36"/>
      <c r="Y186" s="36"/>
    </row>
    <row r="187" spans="1:25" s="37" customFormat="1" ht="10.5" customHeight="1" x14ac:dyDescent="0.15">
      <c r="A187" s="559" t="s">
        <v>987</v>
      </c>
      <c r="B187" s="37">
        <v>781644</v>
      </c>
      <c r="C187" s="37" t="s">
        <v>986</v>
      </c>
      <c r="D187" s="37">
        <v>2269621</v>
      </c>
      <c r="E187" s="37">
        <v>126257</v>
      </c>
      <c r="F187" s="37">
        <v>126257</v>
      </c>
      <c r="G187" s="37" t="s">
        <v>986</v>
      </c>
      <c r="H187" s="37">
        <v>31701</v>
      </c>
      <c r="I187" s="37" t="s">
        <v>986</v>
      </c>
      <c r="J187" s="37">
        <v>31701</v>
      </c>
      <c r="K187" s="37">
        <v>2111663</v>
      </c>
      <c r="L187" s="37">
        <v>173220</v>
      </c>
      <c r="M187" s="37">
        <v>1938443</v>
      </c>
      <c r="N187" s="37" t="s">
        <v>986</v>
      </c>
      <c r="O187" s="37" t="s">
        <v>986</v>
      </c>
      <c r="P187" s="37" t="s">
        <v>986</v>
      </c>
      <c r="Q187" s="37">
        <v>24826</v>
      </c>
      <c r="R187" s="39" t="s">
        <v>988</v>
      </c>
      <c r="S187" s="36"/>
      <c r="T187" s="36"/>
      <c r="U187" s="36"/>
      <c r="V187" s="36"/>
      <c r="W187" s="36"/>
      <c r="X187" s="36"/>
      <c r="Y187" s="36"/>
    </row>
    <row r="188" spans="1:25" s="37" customFormat="1" ht="10.5" customHeight="1" x14ac:dyDescent="0.15">
      <c r="A188" s="578"/>
      <c r="R188" s="39"/>
      <c r="S188" s="36"/>
      <c r="T188" s="36"/>
      <c r="U188" s="36"/>
      <c r="V188" s="36"/>
      <c r="W188" s="36"/>
      <c r="X188" s="36"/>
      <c r="Y188" s="36"/>
    </row>
    <row r="189" spans="1:25" s="37" customFormat="1" ht="10.5" customHeight="1" x14ac:dyDescent="0.15">
      <c r="A189" s="559" t="s">
        <v>989</v>
      </c>
      <c r="B189" s="37">
        <v>569653</v>
      </c>
      <c r="C189" s="37" t="s">
        <v>986</v>
      </c>
      <c r="D189" s="37">
        <v>3005494</v>
      </c>
      <c r="E189" s="37">
        <v>403871</v>
      </c>
      <c r="F189" s="37">
        <v>403871</v>
      </c>
      <c r="G189" s="37" t="s">
        <v>986</v>
      </c>
      <c r="H189" s="37" t="s">
        <v>986</v>
      </c>
      <c r="I189" s="37" t="s">
        <v>986</v>
      </c>
      <c r="J189" s="37" t="s">
        <v>986</v>
      </c>
      <c r="K189" s="37">
        <v>2601623</v>
      </c>
      <c r="L189" s="37" t="s">
        <v>986</v>
      </c>
      <c r="M189" s="37">
        <v>2601623</v>
      </c>
      <c r="N189" s="37" t="s">
        <v>986</v>
      </c>
      <c r="O189" s="37" t="s">
        <v>986</v>
      </c>
      <c r="P189" s="37" t="s">
        <v>986</v>
      </c>
      <c r="Q189" s="37">
        <v>173591</v>
      </c>
      <c r="R189" s="39" t="s">
        <v>776</v>
      </c>
      <c r="S189" s="36"/>
      <c r="T189" s="36"/>
      <c r="U189" s="36"/>
      <c r="V189" s="36"/>
      <c r="W189" s="36"/>
      <c r="X189" s="36"/>
      <c r="Y189" s="36"/>
    </row>
    <row r="190" spans="1:25" s="37" customFormat="1" ht="10.5" customHeight="1" x14ac:dyDescent="0.15">
      <c r="A190" s="559" t="s">
        <v>990</v>
      </c>
      <c r="B190" s="37">
        <v>979390</v>
      </c>
      <c r="C190" s="37" t="s">
        <v>986</v>
      </c>
      <c r="D190" s="37">
        <v>2375463</v>
      </c>
      <c r="E190" s="37">
        <v>126257</v>
      </c>
      <c r="F190" s="37">
        <v>126257</v>
      </c>
      <c r="G190" s="37" t="s">
        <v>986</v>
      </c>
      <c r="H190" s="37">
        <v>31701</v>
      </c>
      <c r="I190" s="37" t="s">
        <v>986</v>
      </c>
      <c r="J190" s="37">
        <v>31701</v>
      </c>
      <c r="K190" s="37">
        <v>2217505</v>
      </c>
      <c r="L190" s="37">
        <v>173220</v>
      </c>
      <c r="M190" s="37">
        <v>2044285</v>
      </c>
      <c r="N190" s="37" t="s">
        <v>986</v>
      </c>
      <c r="O190" s="37" t="s">
        <v>986</v>
      </c>
      <c r="P190" s="37" t="s">
        <v>986</v>
      </c>
      <c r="Q190" s="37">
        <v>24826</v>
      </c>
      <c r="R190" s="39" t="s">
        <v>991</v>
      </c>
      <c r="S190" s="36"/>
      <c r="T190" s="36"/>
      <c r="U190" s="36"/>
      <c r="V190" s="36"/>
      <c r="W190" s="36"/>
      <c r="X190" s="36"/>
      <c r="Y190" s="36"/>
    </row>
    <row r="191" spans="1:25" s="37" customFormat="1" ht="10.5" customHeight="1" x14ac:dyDescent="0.15">
      <c r="A191" s="578"/>
      <c r="R191" s="39"/>
      <c r="S191" s="36"/>
      <c r="T191" s="36"/>
      <c r="U191" s="36"/>
      <c r="V191" s="36"/>
      <c r="W191" s="36"/>
      <c r="X191" s="36"/>
      <c r="Y191" s="36"/>
    </row>
    <row r="192" spans="1:25" s="37" customFormat="1" ht="10.5" customHeight="1" x14ac:dyDescent="0.15">
      <c r="A192" s="559" t="s">
        <v>992</v>
      </c>
      <c r="B192" s="37" t="s">
        <v>986</v>
      </c>
      <c r="C192" s="37" t="s">
        <v>986</v>
      </c>
      <c r="D192" s="37">
        <v>308071</v>
      </c>
      <c r="E192" s="37" t="s">
        <v>986</v>
      </c>
      <c r="F192" s="37" t="s">
        <v>986</v>
      </c>
      <c r="G192" s="37" t="s">
        <v>986</v>
      </c>
      <c r="H192" s="37" t="s">
        <v>986</v>
      </c>
      <c r="I192" s="37" t="s">
        <v>986</v>
      </c>
      <c r="J192" s="37" t="s">
        <v>986</v>
      </c>
      <c r="K192" s="37">
        <v>308071</v>
      </c>
      <c r="L192" s="37" t="s">
        <v>986</v>
      </c>
      <c r="M192" s="37">
        <v>308071</v>
      </c>
      <c r="N192" s="37" t="s">
        <v>986</v>
      </c>
      <c r="O192" s="37" t="s">
        <v>986</v>
      </c>
      <c r="P192" s="37" t="s">
        <v>986</v>
      </c>
      <c r="Q192" s="37" t="s">
        <v>986</v>
      </c>
      <c r="R192" s="39" t="s">
        <v>777</v>
      </c>
      <c r="S192" s="36"/>
      <c r="T192" s="36"/>
      <c r="U192" s="36"/>
      <c r="V192" s="36"/>
      <c r="W192" s="36"/>
      <c r="X192" s="36"/>
      <c r="Y192" s="36"/>
    </row>
    <row r="193" spans="1:25" s="37" customFormat="1" ht="10.5" customHeight="1" x14ac:dyDescent="0.15">
      <c r="A193" s="559" t="s">
        <v>637</v>
      </c>
      <c r="B193" s="37" t="s">
        <v>986</v>
      </c>
      <c r="C193" s="37" t="s">
        <v>986</v>
      </c>
      <c r="D193" s="37">
        <v>472756</v>
      </c>
      <c r="E193" s="37" t="s">
        <v>986</v>
      </c>
      <c r="F193" s="37" t="s">
        <v>986</v>
      </c>
      <c r="G193" s="37" t="s">
        <v>986</v>
      </c>
      <c r="H193" s="37" t="s">
        <v>986</v>
      </c>
      <c r="I193" s="37" t="s">
        <v>986</v>
      </c>
      <c r="J193" s="37" t="s">
        <v>986</v>
      </c>
      <c r="K193" s="37">
        <v>472756</v>
      </c>
      <c r="L193" s="37">
        <v>47856</v>
      </c>
      <c r="M193" s="37">
        <v>424900</v>
      </c>
      <c r="N193" s="37" t="s">
        <v>986</v>
      </c>
      <c r="O193" s="37" t="s">
        <v>986</v>
      </c>
      <c r="P193" s="37" t="s">
        <v>986</v>
      </c>
      <c r="Q193" s="37" t="s">
        <v>986</v>
      </c>
      <c r="R193" s="39" t="s">
        <v>85</v>
      </c>
      <c r="S193" s="36"/>
      <c r="T193" s="36"/>
      <c r="U193" s="36"/>
      <c r="V193" s="36"/>
      <c r="W193" s="36"/>
      <c r="X193" s="36"/>
      <c r="Y193" s="36"/>
    </row>
    <row r="194" spans="1:25" s="37" customFormat="1" ht="10.5" customHeight="1" x14ac:dyDescent="0.15">
      <c r="A194" s="559" t="s">
        <v>638</v>
      </c>
      <c r="B194" s="37">
        <v>189940</v>
      </c>
      <c r="C194" s="37" t="s">
        <v>986</v>
      </c>
      <c r="D194" s="37">
        <v>657324</v>
      </c>
      <c r="E194" s="37" t="s">
        <v>986</v>
      </c>
      <c r="F194" s="37" t="s">
        <v>986</v>
      </c>
      <c r="G194" s="37" t="s">
        <v>986</v>
      </c>
      <c r="H194" s="37" t="s">
        <v>986</v>
      </c>
      <c r="I194" s="37" t="s">
        <v>986</v>
      </c>
      <c r="J194" s="37" t="s">
        <v>986</v>
      </c>
      <c r="K194" s="37">
        <v>657324</v>
      </c>
      <c r="L194" s="37">
        <v>69555</v>
      </c>
      <c r="M194" s="37">
        <v>587769</v>
      </c>
      <c r="N194" s="37" t="s">
        <v>986</v>
      </c>
      <c r="O194" s="37" t="s">
        <v>986</v>
      </c>
      <c r="P194" s="37" t="s">
        <v>986</v>
      </c>
      <c r="Q194" s="37" t="s">
        <v>986</v>
      </c>
      <c r="R194" s="39" t="s">
        <v>86</v>
      </c>
      <c r="S194" s="36"/>
      <c r="T194" s="36"/>
      <c r="U194" s="36"/>
      <c r="V194" s="36"/>
      <c r="W194" s="36"/>
      <c r="X194" s="36"/>
      <c r="Y194" s="36"/>
    </row>
    <row r="195" spans="1:25" s="37" customFormat="1" ht="10.5" customHeight="1" x14ac:dyDescent="0.15">
      <c r="A195" s="559" t="s">
        <v>639</v>
      </c>
      <c r="B195" s="37">
        <v>591704</v>
      </c>
      <c r="C195" s="37" t="s">
        <v>986</v>
      </c>
      <c r="D195" s="37">
        <v>831470</v>
      </c>
      <c r="E195" s="37">
        <v>126257</v>
      </c>
      <c r="F195" s="37">
        <v>126257</v>
      </c>
      <c r="G195" s="37" t="s">
        <v>986</v>
      </c>
      <c r="H195" s="37">
        <v>31701</v>
      </c>
      <c r="I195" s="37" t="s">
        <v>986</v>
      </c>
      <c r="J195" s="37">
        <v>31701</v>
      </c>
      <c r="K195" s="37">
        <v>673512</v>
      </c>
      <c r="L195" s="37">
        <v>55809</v>
      </c>
      <c r="M195" s="37">
        <v>617703</v>
      </c>
      <c r="N195" s="37" t="s">
        <v>986</v>
      </c>
      <c r="O195" s="37" t="s">
        <v>986</v>
      </c>
      <c r="P195" s="37" t="s">
        <v>986</v>
      </c>
      <c r="Q195" s="37">
        <v>24826</v>
      </c>
      <c r="R195" s="39" t="s">
        <v>87</v>
      </c>
      <c r="S195" s="36"/>
      <c r="T195" s="36"/>
      <c r="U195" s="36"/>
      <c r="V195" s="36"/>
      <c r="W195" s="36"/>
      <c r="X195" s="36"/>
      <c r="Y195" s="36"/>
    </row>
    <row r="196" spans="1:25" s="37" customFormat="1" ht="10.5" customHeight="1" x14ac:dyDescent="0.15">
      <c r="A196" s="559" t="s">
        <v>993</v>
      </c>
      <c r="B196" s="37">
        <v>197746</v>
      </c>
      <c r="C196" s="37" t="s">
        <v>986</v>
      </c>
      <c r="D196" s="37">
        <v>413913</v>
      </c>
      <c r="E196" s="37" t="s">
        <v>986</v>
      </c>
      <c r="F196" s="37" t="s">
        <v>986</v>
      </c>
      <c r="G196" s="37" t="s">
        <v>986</v>
      </c>
      <c r="H196" s="37" t="s">
        <v>986</v>
      </c>
      <c r="I196" s="37" t="s">
        <v>986</v>
      </c>
      <c r="J196" s="37" t="s">
        <v>986</v>
      </c>
      <c r="K196" s="37">
        <v>413913</v>
      </c>
      <c r="L196" s="37" t="s">
        <v>986</v>
      </c>
      <c r="M196" s="37">
        <v>413913</v>
      </c>
      <c r="N196" s="37" t="s">
        <v>986</v>
      </c>
      <c r="O196" s="37" t="s">
        <v>986</v>
      </c>
      <c r="P196" s="37" t="s">
        <v>986</v>
      </c>
      <c r="Q196" s="37" t="s">
        <v>986</v>
      </c>
      <c r="R196" s="39" t="s">
        <v>994</v>
      </c>
      <c r="S196" s="36"/>
      <c r="T196" s="36"/>
      <c r="U196" s="36"/>
      <c r="V196" s="36"/>
      <c r="W196" s="36"/>
      <c r="X196" s="36"/>
      <c r="Y196" s="36"/>
    </row>
    <row r="197" spans="1:25" s="37" customFormat="1" ht="10.5" customHeight="1" x14ac:dyDescent="0.15">
      <c r="A197" s="578"/>
      <c r="R197" s="39"/>
      <c r="S197" s="36"/>
      <c r="T197" s="36"/>
      <c r="U197" s="36"/>
      <c r="V197" s="36"/>
      <c r="W197" s="36"/>
      <c r="X197" s="36"/>
      <c r="Y197" s="36"/>
    </row>
    <row r="198" spans="1:25" s="37" customFormat="1" ht="10.5" customHeight="1" x14ac:dyDescent="0.15">
      <c r="A198" s="559" t="s">
        <v>995</v>
      </c>
      <c r="B198" s="37" t="s">
        <v>986</v>
      </c>
      <c r="C198" s="37" t="s">
        <v>986</v>
      </c>
      <c r="D198" s="37">
        <v>210346</v>
      </c>
      <c r="E198" s="37" t="s">
        <v>986</v>
      </c>
      <c r="F198" s="37" t="s">
        <v>986</v>
      </c>
      <c r="G198" s="37" t="s">
        <v>986</v>
      </c>
      <c r="H198" s="37" t="s">
        <v>986</v>
      </c>
      <c r="I198" s="37" t="s">
        <v>986</v>
      </c>
      <c r="J198" s="37" t="s">
        <v>986</v>
      </c>
      <c r="K198" s="37">
        <v>210346</v>
      </c>
      <c r="L198" s="37" t="s">
        <v>986</v>
      </c>
      <c r="M198" s="37">
        <v>210346</v>
      </c>
      <c r="N198" s="37" t="s">
        <v>986</v>
      </c>
      <c r="O198" s="37" t="s">
        <v>986</v>
      </c>
      <c r="P198" s="37" t="s">
        <v>986</v>
      </c>
      <c r="Q198" s="37" t="s">
        <v>986</v>
      </c>
      <c r="R198" s="39" t="s">
        <v>778</v>
      </c>
      <c r="S198" s="36"/>
      <c r="T198" s="36"/>
      <c r="U198" s="36"/>
      <c r="V198" s="36"/>
      <c r="W198" s="36"/>
      <c r="X198" s="36"/>
      <c r="Y198" s="36"/>
    </row>
    <row r="199" spans="1:25" s="37" customFormat="1" ht="10.5" customHeight="1" x14ac:dyDescent="0.15">
      <c r="A199" s="559" t="s">
        <v>640</v>
      </c>
      <c r="B199" s="37" t="s">
        <v>986</v>
      </c>
      <c r="C199" s="37" t="s">
        <v>986</v>
      </c>
      <c r="D199" s="37" t="s">
        <v>986</v>
      </c>
      <c r="E199" s="37" t="s">
        <v>986</v>
      </c>
      <c r="F199" s="37" t="s">
        <v>986</v>
      </c>
      <c r="G199" s="37" t="s">
        <v>986</v>
      </c>
      <c r="H199" s="37" t="s">
        <v>986</v>
      </c>
      <c r="I199" s="37" t="s">
        <v>986</v>
      </c>
      <c r="J199" s="37" t="s">
        <v>986</v>
      </c>
      <c r="K199" s="37" t="s">
        <v>986</v>
      </c>
      <c r="L199" s="37" t="s">
        <v>986</v>
      </c>
      <c r="M199" s="37" t="s">
        <v>986</v>
      </c>
      <c r="N199" s="37" t="s">
        <v>986</v>
      </c>
      <c r="O199" s="37" t="s">
        <v>986</v>
      </c>
      <c r="P199" s="37" t="s">
        <v>986</v>
      </c>
      <c r="Q199" s="37" t="s">
        <v>986</v>
      </c>
      <c r="R199" s="39" t="s">
        <v>73</v>
      </c>
      <c r="S199" s="36"/>
      <c r="T199" s="36"/>
      <c r="U199" s="36"/>
      <c r="V199" s="36"/>
      <c r="W199" s="36"/>
      <c r="X199" s="36"/>
      <c r="Y199" s="36"/>
    </row>
    <row r="200" spans="1:25" s="37" customFormat="1" ht="10.5" customHeight="1" x14ac:dyDescent="0.15">
      <c r="A200" s="559" t="s">
        <v>641</v>
      </c>
      <c r="B200" s="37" t="s">
        <v>986</v>
      </c>
      <c r="C200" s="37" t="s">
        <v>986</v>
      </c>
      <c r="D200" s="37">
        <v>97725</v>
      </c>
      <c r="E200" s="37" t="s">
        <v>986</v>
      </c>
      <c r="F200" s="37" t="s">
        <v>986</v>
      </c>
      <c r="G200" s="37" t="s">
        <v>986</v>
      </c>
      <c r="H200" s="37" t="s">
        <v>986</v>
      </c>
      <c r="I200" s="37" t="s">
        <v>986</v>
      </c>
      <c r="J200" s="37" t="s">
        <v>986</v>
      </c>
      <c r="K200" s="37">
        <v>97725</v>
      </c>
      <c r="L200" s="37" t="s">
        <v>986</v>
      </c>
      <c r="M200" s="37">
        <v>97725</v>
      </c>
      <c r="N200" s="37" t="s">
        <v>986</v>
      </c>
      <c r="O200" s="37" t="s">
        <v>986</v>
      </c>
      <c r="P200" s="37" t="s">
        <v>986</v>
      </c>
      <c r="Q200" s="37" t="s">
        <v>986</v>
      </c>
      <c r="R200" s="39" t="s">
        <v>74</v>
      </c>
      <c r="S200" s="36"/>
      <c r="T200" s="36"/>
      <c r="U200" s="36"/>
      <c r="V200" s="36"/>
      <c r="W200" s="36"/>
      <c r="X200" s="36"/>
      <c r="Y200" s="36"/>
    </row>
    <row r="201" spans="1:25" s="37" customFormat="1" ht="10.5" customHeight="1" x14ac:dyDescent="0.15">
      <c r="A201" s="559" t="s">
        <v>642</v>
      </c>
      <c r="B201" s="37" t="s">
        <v>986</v>
      </c>
      <c r="C201" s="37" t="s">
        <v>986</v>
      </c>
      <c r="D201" s="37">
        <v>139717</v>
      </c>
      <c r="E201" s="37" t="s">
        <v>986</v>
      </c>
      <c r="F201" s="37" t="s">
        <v>986</v>
      </c>
      <c r="G201" s="37" t="s">
        <v>986</v>
      </c>
      <c r="H201" s="37" t="s">
        <v>986</v>
      </c>
      <c r="I201" s="37" t="s">
        <v>986</v>
      </c>
      <c r="J201" s="37" t="s">
        <v>986</v>
      </c>
      <c r="K201" s="37">
        <v>139717</v>
      </c>
      <c r="L201" s="37" t="s">
        <v>986</v>
      </c>
      <c r="M201" s="37">
        <v>139717</v>
      </c>
      <c r="N201" s="37" t="s">
        <v>986</v>
      </c>
      <c r="O201" s="37" t="s">
        <v>986</v>
      </c>
      <c r="P201" s="37" t="s">
        <v>986</v>
      </c>
      <c r="Q201" s="37" t="s">
        <v>986</v>
      </c>
      <c r="R201" s="39" t="s">
        <v>75</v>
      </c>
      <c r="S201" s="36"/>
      <c r="T201" s="36"/>
      <c r="U201" s="36"/>
      <c r="V201" s="36"/>
      <c r="W201" s="36"/>
      <c r="X201" s="36"/>
      <c r="Y201" s="36"/>
    </row>
    <row r="202" spans="1:25" s="37" customFormat="1" ht="10.5" customHeight="1" x14ac:dyDescent="0.15">
      <c r="A202" s="559" t="s">
        <v>643</v>
      </c>
      <c r="B202" s="37" t="s">
        <v>986</v>
      </c>
      <c r="C202" s="37" t="s">
        <v>986</v>
      </c>
      <c r="D202" s="37">
        <v>256689</v>
      </c>
      <c r="E202" s="37" t="s">
        <v>986</v>
      </c>
      <c r="F202" s="37" t="s">
        <v>986</v>
      </c>
      <c r="G202" s="37" t="s">
        <v>986</v>
      </c>
      <c r="H202" s="37" t="s">
        <v>986</v>
      </c>
      <c r="I202" s="37" t="s">
        <v>986</v>
      </c>
      <c r="J202" s="37" t="s">
        <v>986</v>
      </c>
      <c r="K202" s="37">
        <v>256689</v>
      </c>
      <c r="L202" s="37">
        <v>47856</v>
      </c>
      <c r="M202" s="37">
        <v>208833</v>
      </c>
      <c r="N202" s="37" t="s">
        <v>986</v>
      </c>
      <c r="O202" s="37" t="s">
        <v>986</v>
      </c>
      <c r="P202" s="37" t="s">
        <v>986</v>
      </c>
      <c r="Q202" s="37" t="s">
        <v>986</v>
      </c>
      <c r="R202" s="40" t="s">
        <v>88</v>
      </c>
      <c r="S202" s="36"/>
      <c r="T202" s="36"/>
      <c r="U202" s="36"/>
      <c r="V202" s="36"/>
      <c r="W202" s="36"/>
      <c r="X202" s="36"/>
      <c r="Y202" s="36"/>
    </row>
    <row r="203" spans="1:25" s="37" customFormat="1" ht="10.5" customHeight="1" x14ac:dyDescent="0.15">
      <c r="A203" s="559" t="s">
        <v>644</v>
      </c>
      <c r="B203" s="37" t="s">
        <v>986</v>
      </c>
      <c r="C203" s="37" t="s">
        <v>986</v>
      </c>
      <c r="D203" s="37">
        <v>76350</v>
      </c>
      <c r="E203" s="37" t="s">
        <v>986</v>
      </c>
      <c r="F203" s="37" t="s">
        <v>986</v>
      </c>
      <c r="G203" s="37" t="s">
        <v>986</v>
      </c>
      <c r="H203" s="37" t="s">
        <v>986</v>
      </c>
      <c r="I203" s="37" t="s">
        <v>986</v>
      </c>
      <c r="J203" s="37" t="s">
        <v>986</v>
      </c>
      <c r="K203" s="37">
        <v>76350</v>
      </c>
      <c r="L203" s="37" t="s">
        <v>986</v>
      </c>
      <c r="M203" s="37">
        <v>76350</v>
      </c>
      <c r="N203" s="37" t="s">
        <v>986</v>
      </c>
      <c r="O203" s="37" t="s">
        <v>986</v>
      </c>
      <c r="P203" s="37" t="s">
        <v>986</v>
      </c>
      <c r="Q203" s="37" t="s">
        <v>986</v>
      </c>
      <c r="R203" s="39" t="s">
        <v>89</v>
      </c>
      <c r="S203" s="36"/>
      <c r="T203" s="36"/>
      <c r="U203" s="36"/>
      <c r="V203" s="36"/>
      <c r="W203" s="36"/>
      <c r="X203" s="36"/>
      <c r="Y203" s="36"/>
    </row>
    <row r="204" spans="1:25" s="37" customFormat="1" ht="10.5" customHeight="1" x14ac:dyDescent="0.15">
      <c r="A204" s="559" t="s">
        <v>645</v>
      </c>
      <c r="B204" s="37">
        <v>189940</v>
      </c>
      <c r="C204" s="37" t="s">
        <v>986</v>
      </c>
      <c r="D204" s="37">
        <v>90111</v>
      </c>
      <c r="E204" s="37" t="s">
        <v>986</v>
      </c>
      <c r="F204" s="37" t="s">
        <v>986</v>
      </c>
      <c r="G204" s="37" t="s">
        <v>986</v>
      </c>
      <c r="H204" s="37" t="s">
        <v>986</v>
      </c>
      <c r="I204" s="37" t="s">
        <v>986</v>
      </c>
      <c r="J204" s="37" t="s">
        <v>986</v>
      </c>
      <c r="K204" s="37">
        <v>90111</v>
      </c>
      <c r="L204" s="37" t="s">
        <v>986</v>
      </c>
      <c r="M204" s="37">
        <v>90111</v>
      </c>
      <c r="N204" s="37" t="s">
        <v>986</v>
      </c>
      <c r="O204" s="37" t="s">
        <v>986</v>
      </c>
      <c r="P204" s="37" t="s">
        <v>986</v>
      </c>
      <c r="Q204" s="37" t="s">
        <v>986</v>
      </c>
      <c r="R204" s="39" t="s">
        <v>90</v>
      </c>
      <c r="S204" s="36"/>
      <c r="T204" s="36"/>
      <c r="U204" s="36"/>
      <c r="V204" s="36"/>
      <c r="W204" s="36"/>
      <c r="X204" s="36"/>
      <c r="Y204" s="36"/>
    </row>
    <row r="205" spans="1:25" s="37" customFormat="1" ht="10.5" customHeight="1" x14ac:dyDescent="0.15">
      <c r="A205" s="559" t="s">
        <v>646</v>
      </c>
      <c r="B205" s="37" t="s">
        <v>986</v>
      </c>
      <c r="C205" s="37" t="s">
        <v>986</v>
      </c>
      <c r="D205" s="37">
        <v>341707</v>
      </c>
      <c r="E205" s="37" t="s">
        <v>986</v>
      </c>
      <c r="F205" s="37" t="s">
        <v>986</v>
      </c>
      <c r="G205" s="37" t="s">
        <v>986</v>
      </c>
      <c r="H205" s="37" t="s">
        <v>986</v>
      </c>
      <c r="I205" s="37" t="s">
        <v>986</v>
      </c>
      <c r="J205" s="37" t="s">
        <v>986</v>
      </c>
      <c r="K205" s="37">
        <v>341707</v>
      </c>
      <c r="L205" s="37">
        <v>69555</v>
      </c>
      <c r="M205" s="37">
        <v>272152</v>
      </c>
      <c r="N205" s="37" t="s">
        <v>986</v>
      </c>
      <c r="O205" s="37" t="s">
        <v>986</v>
      </c>
      <c r="P205" s="37" t="s">
        <v>986</v>
      </c>
      <c r="Q205" s="37" t="s">
        <v>986</v>
      </c>
      <c r="R205" s="39" t="s">
        <v>91</v>
      </c>
      <c r="S205" s="36"/>
      <c r="T205" s="36"/>
      <c r="U205" s="36"/>
      <c r="V205" s="36"/>
      <c r="W205" s="36"/>
      <c r="X205" s="36"/>
      <c r="Y205" s="36"/>
    </row>
    <row r="206" spans="1:25" s="37" customFormat="1" ht="10.5" customHeight="1" x14ac:dyDescent="0.15">
      <c r="A206" s="559" t="s">
        <v>647</v>
      </c>
      <c r="B206" s="37" t="s">
        <v>986</v>
      </c>
      <c r="C206" s="37" t="s">
        <v>986</v>
      </c>
      <c r="D206" s="37">
        <v>225506</v>
      </c>
      <c r="E206" s="37" t="s">
        <v>986</v>
      </c>
      <c r="F206" s="37" t="s">
        <v>986</v>
      </c>
      <c r="G206" s="37" t="s">
        <v>986</v>
      </c>
      <c r="H206" s="37" t="s">
        <v>986</v>
      </c>
      <c r="I206" s="37" t="s">
        <v>986</v>
      </c>
      <c r="J206" s="37" t="s">
        <v>986</v>
      </c>
      <c r="K206" s="37">
        <v>225506</v>
      </c>
      <c r="L206" s="37" t="s">
        <v>986</v>
      </c>
      <c r="M206" s="37">
        <v>225506</v>
      </c>
      <c r="N206" s="37" t="s">
        <v>986</v>
      </c>
      <c r="O206" s="37" t="s">
        <v>986</v>
      </c>
      <c r="P206" s="37" t="s">
        <v>986</v>
      </c>
      <c r="Q206" s="37" t="s">
        <v>986</v>
      </c>
      <c r="R206" s="39" t="s">
        <v>92</v>
      </c>
      <c r="S206" s="36"/>
      <c r="T206" s="36"/>
      <c r="U206" s="36"/>
      <c r="V206" s="36"/>
      <c r="W206" s="36"/>
      <c r="X206" s="36"/>
      <c r="Y206" s="36"/>
    </row>
    <row r="207" spans="1:25" s="37" customFormat="1" ht="10.5" customHeight="1" x14ac:dyDescent="0.15">
      <c r="A207" s="559" t="s">
        <v>648</v>
      </c>
      <c r="B207" s="37">
        <v>199456</v>
      </c>
      <c r="C207" s="37" t="s">
        <v>986</v>
      </c>
      <c r="D207" s="37">
        <v>245131</v>
      </c>
      <c r="E207" s="37" t="s">
        <v>986</v>
      </c>
      <c r="F207" s="37" t="s">
        <v>986</v>
      </c>
      <c r="G207" s="37" t="s">
        <v>986</v>
      </c>
      <c r="H207" s="37">
        <v>31701</v>
      </c>
      <c r="I207" s="37" t="s">
        <v>986</v>
      </c>
      <c r="J207" s="37">
        <v>31701</v>
      </c>
      <c r="K207" s="37">
        <v>213430</v>
      </c>
      <c r="L207" s="37" t="s">
        <v>986</v>
      </c>
      <c r="M207" s="37">
        <v>213430</v>
      </c>
      <c r="N207" s="37" t="s">
        <v>986</v>
      </c>
      <c r="O207" s="37" t="s">
        <v>986</v>
      </c>
      <c r="P207" s="37" t="s">
        <v>986</v>
      </c>
      <c r="Q207" s="37" t="s">
        <v>986</v>
      </c>
      <c r="R207" s="39" t="s">
        <v>76</v>
      </c>
      <c r="S207" s="36"/>
      <c r="T207" s="36"/>
      <c r="U207" s="36"/>
      <c r="V207" s="36"/>
      <c r="W207" s="36"/>
      <c r="X207" s="36"/>
      <c r="Y207" s="36"/>
    </row>
    <row r="208" spans="1:25" s="37" customFormat="1" ht="10.5" customHeight="1" x14ac:dyDescent="0.15">
      <c r="A208" s="559" t="s">
        <v>649</v>
      </c>
      <c r="B208" s="37">
        <v>202123</v>
      </c>
      <c r="C208" s="37" t="s">
        <v>986</v>
      </c>
      <c r="D208" s="37">
        <v>177532</v>
      </c>
      <c r="E208" s="37" t="s">
        <v>986</v>
      </c>
      <c r="F208" s="37" t="s">
        <v>986</v>
      </c>
      <c r="G208" s="37" t="s">
        <v>986</v>
      </c>
      <c r="H208" s="37" t="s">
        <v>986</v>
      </c>
      <c r="I208" s="37" t="s">
        <v>986</v>
      </c>
      <c r="J208" s="37" t="s">
        <v>986</v>
      </c>
      <c r="K208" s="37">
        <v>177532</v>
      </c>
      <c r="L208" s="37" t="s">
        <v>986</v>
      </c>
      <c r="M208" s="37">
        <v>177532</v>
      </c>
      <c r="N208" s="37" t="s">
        <v>986</v>
      </c>
      <c r="O208" s="37" t="s">
        <v>986</v>
      </c>
      <c r="P208" s="37" t="s">
        <v>986</v>
      </c>
      <c r="Q208" s="37">
        <v>24826</v>
      </c>
      <c r="R208" s="39" t="s">
        <v>77</v>
      </c>
      <c r="S208" s="36"/>
      <c r="T208" s="36"/>
      <c r="U208" s="36"/>
      <c r="V208" s="36"/>
      <c r="W208" s="36"/>
      <c r="X208" s="36"/>
      <c r="Y208" s="36"/>
    </row>
    <row r="209" spans="1:25" s="37" customFormat="1" ht="10.5" customHeight="1" x14ac:dyDescent="0.15">
      <c r="A209" s="559" t="s">
        <v>650</v>
      </c>
      <c r="B209" s="37">
        <v>190125</v>
      </c>
      <c r="C209" s="37" t="s">
        <v>986</v>
      </c>
      <c r="D209" s="37">
        <v>408807</v>
      </c>
      <c r="E209" s="37">
        <v>126257</v>
      </c>
      <c r="F209" s="37">
        <v>126257</v>
      </c>
      <c r="G209" s="37" t="s">
        <v>986</v>
      </c>
      <c r="H209" s="37" t="s">
        <v>986</v>
      </c>
      <c r="I209" s="37" t="s">
        <v>986</v>
      </c>
      <c r="J209" s="37" t="s">
        <v>986</v>
      </c>
      <c r="K209" s="37">
        <v>282550</v>
      </c>
      <c r="L209" s="37">
        <v>55809</v>
      </c>
      <c r="M209" s="37">
        <v>226741</v>
      </c>
      <c r="N209" s="37" t="s">
        <v>986</v>
      </c>
      <c r="O209" s="37" t="s">
        <v>986</v>
      </c>
      <c r="P209" s="37" t="s">
        <v>986</v>
      </c>
      <c r="Q209" s="37" t="s">
        <v>986</v>
      </c>
      <c r="R209" s="39" t="s">
        <v>78</v>
      </c>
      <c r="S209" s="36"/>
      <c r="T209" s="36"/>
      <c r="U209" s="36"/>
      <c r="V209" s="36"/>
      <c r="W209" s="36"/>
      <c r="X209" s="36"/>
      <c r="Y209" s="36"/>
    </row>
    <row r="210" spans="1:25" s="37" customFormat="1" ht="10.5" customHeight="1" x14ac:dyDescent="0.15">
      <c r="A210" s="559" t="s">
        <v>996</v>
      </c>
      <c r="B210" s="37">
        <v>197746</v>
      </c>
      <c r="C210" s="37" t="s">
        <v>986</v>
      </c>
      <c r="D210" s="37">
        <v>110258</v>
      </c>
      <c r="E210" s="37" t="s">
        <v>986</v>
      </c>
      <c r="F210" s="37" t="s">
        <v>986</v>
      </c>
      <c r="G210" s="37" t="s">
        <v>986</v>
      </c>
      <c r="H210" s="37" t="s">
        <v>986</v>
      </c>
      <c r="I210" s="37" t="s">
        <v>986</v>
      </c>
      <c r="J210" s="37" t="s">
        <v>986</v>
      </c>
      <c r="K210" s="37">
        <v>110258</v>
      </c>
      <c r="L210" s="37" t="s">
        <v>986</v>
      </c>
      <c r="M210" s="37">
        <v>110258</v>
      </c>
      <c r="N210" s="37" t="s">
        <v>986</v>
      </c>
      <c r="O210" s="37" t="s">
        <v>986</v>
      </c>
      <c r="P210" s="37" t="s">
        <v>986</v>
      </c>
      <c r="Q210" s="37" t="s">
        <v>986</v>
      </c>
      <c r="R210" s="39" t="s">
        <v>997</v>
      </c>
      <c r="S210" s="36"/>
      <c r="T210" s="36"/>
      <c r="U210" s="36"/>
      <c r="V210" s="36"/>
      <c r="W210" s="36"/>
      <c r="X210" s="36"/>
      <c r="Y210" s="36"/>
    </row>
    <row r="211" spans="1:25" s="37" customFormat="1" ht="10.5" customHeight="1" x14ac:dyDescent="0.15">
      <c r="A211" s="559" t="s">
        <v>651</v>
      </c>
      <c r="B211" s="37" t="s">
        <v>986</v>
      </c>
      <c r="C211" s="37" t="s">
        <v>986</v>
      </c>
      <c r="D211" s="37">
        <v>192366</v>
      </c>
      <c r="E211" s="37" t="s">
        <v>986</v>
      </c>
      <c r="F211" s="37" t="s">
        <v>986</v>
      </c>
      <c r="G211" s="37" t="s">
        <v>986</v>
      </c>
      <c r="H211" s="37" t="s">
        <v>986</v>
      </c>
      <c r="I211" s="37" t="s">
        <v>986</v>
      </c>
      <c r="J211" s="37" t="s">
        <v>986</v>
      </c>
      <c r="K211" s="37">
        <v>192366</v>
      </c>
      <c r="L211" s="37" t="s">
        <v>986</v>
      </c>
      <c r="M211" s="37">
        <v>192366</v>
      </c>
      <c r="N211" s="37" t="s">
        <v>986</v>
      </c>
      <c r="O211" s="37" t="s">
        <v>986</v>
      </c>
      <c r="P211" s="37" t="s">
        <v>986</v>
      </c>
      <c r="Q211" s="37" t="s">
        <v>986</v>
      </c>
      <c r="R211" s="39" t="s">
        <v>73</v>
      </c>
      <c r="S211" s="36"/>
      <c r="T211" s="36"/>
      <c r="U211" s="36"/>
      <c r="V211" s="36"/>
      <c r="W211" s="36"/>
      <c r="X211" s="36"/>
      <c r="Y211" s="36"/>
    </row>
    <row r="212" spans="1:25" s="37" customFormat="1" ht="10.5" customHeight="1" x14ac:dyDescent="0.15">
      <c r="A212" s="661" t="s">
        <v>652</v>
      </c>
      <c r="B212" s="680" t="s">
        <v>986</v>
      </c>
      <c r="C212" s="681" t="s">
        <v>986</v>
      </c>
      <c r="D212" s="681">
        <v>111289</v>
      </c>
      <c r="E212" s="681" t="s">
        <v>986</v>
      </c>
      <c r="F212" s="681" t="s">
        <v>986</v>
      </c>
      <c r="G212" s="681" t="s">
        <v>986</v>
      </c>
      <c r="H212" s="681" t="s">
        <v>986</v>
      </c>
      <c r="I212" s="681" t="s">
        <v>986</v>
      </c>
      <c r="J212" s="681" t="s">
        <v>986</v>
      </c>
      <c r="K212" s="681">
        <v>111289</v>
      </c>
      <c r="L212" s="681" t="s">
        <v>986</v>
      </c>
      <c r="M212" s="681">
        <v>111289</v>
      </c>
      <c r="N212" s="681" t="s">
        <v>986</v>
      </c>
      <c r="O212" s="681" t="s">
        <v>986</v>
      </c>
      <c r="P212" s="681" t="s">
        <v>986</v>
      </c>
      <c r="Q212" s="681" t="s">
        <v>986</v>
      </c>
      <c r="R212" s="682" t="s">
        <v>74</v>
      </c>
      <c r="S212" s="36"/>
      <c r="T212" s="36"/>
      <c r="U212" s="36"/>
      <c r="V212" s="36"/>
      <c r="W212" s="36"/>
      <c r="X212" s="36"/>
      <c r="Y212" s="36"/>
    </row>
    <row r="213" spans="1:25" ht="23.25" customHeight="1" x14ac:dyDescent="0.25">
      <c r="I213" s="41" t="s">
        <v>93</v>
      </c>
      <c r="Q213" s="42" t="s">
        <v>72</v>
      </c>
    </row>
    <row r="214" spans="1:25" s="17" customFormat="1" ht="11.25" customHeight="1" x14ac:dyDescent="0.15">
      <c r="A214" s="668"/>
      <c r="B214" s="683" t="s">
        <v>166</v>
      </c>
      <c r="C214" s="671"/>
      <c r="D214" s="671"/>
      <c r="E214" s="671"/>
      <c r="F214" s="671"/>
      <c r="G214" s="671"/>
      <c r="H214" s="671"/>
      <c r="I214" s="671"/>
      <c r="J214" s="668"/>
      <c r="K214" s="670"/>
      <c r="L214" s="671"/>
      <c r="M214" s="671"/>
      <c r="N214" s="671"/>
      <c r="O214" s="671"/>
      <c r="P214" s="671"/>
      <c r="Q214" s="671"/>
      <c r="R214" s="1030" t="s">
        <v>79</v>
      </c>
      <c r="S214" s="16"/>
      <c r="T214" s="16"/>
      <c r="U214" s="16"/>
      <c r="V214" s="16"/>
      <c r="W214" s="16"/>
      <c r="X214" s="16"/>
      <c r="Y214" s="16"/>
    </row>
    <row r="215" spans="1:25" s="35" customFormat="1" ht="28.5" customHeight="1" x14ac:dyDescent="0.15">
      <c r="A215" s="25" t="s">
        <v>172</v>
      </c>
      <c r="B215" s="672" t="s">
        <v>160</v>
      </c>
      <c r="C215" s="673" t="s">
        <v>493</v>
      </c>
      <c r="D215" s="674"/>
      <c r="E215" s="675"/>
      <c r="F215" s="672" t="s">
        <v>593</v>
      </c>
      <c r="G215" s="672" t="s">
        <v>494</v>
      </c>
      <c r="H215" s="672" t="s">
        <v>594</v>
      </c>
      <c r="I215" s="672" t="s">
        <v>1022</v>
      </c>
      <c r="J215" s="672" t="s">
        <v>431</v>
      </c>
      <c r="K215" s="14" t="s">
        <v>108</v>
      </c>
      <c r="L215" s="673" t="s">
        <v>169</v>
      </c>
      <c r="M215" s="674"/>
      <c r="N215" s="674"/>
      <c r="O215" s="674"/>
      <c r="P215" s="674"/>
      <c r="Q215" s="674"/>
      <c r="R215" s="1031"/>
      <c r="S215" s="13"/>
      <c r="T215" s="13"/>
      <c r="U215" s="13"/>
      <c r="V215" s="13"/>
      <c r="W215" s="13"/>
      <c r="X215" s="13"/>
      <c r="Y215" s="13"/>
    </row>
    <row r="216" spans="1:25" s="35" customFormat="1" ht="28.5" customHeight="1" x14ac:dyDescent="0.15">
      <c r="A216" s="25"/>
      <c r="B216" s="672" t="s">
        <v>165</v>
      </c>
      <c r="C216" s="14" t="s">
        <v>110</v>
      </c>
      <c r="D216" s="672" t="s">
        <v>495</v>
      </c>
      <c r="E216" s="672" t="s">
        <v>496</v>
      </c>
      <c r="F216" s="672" t="s">
        <v>50</v>
      </c>
      <c r="G216" s="672" t="s">
        <v>497</v>
      </c>
      <c r="H216" s="672" t="s">
        <v>498</v>
      </c>
      <c r="I216" s="672" t="s">
        <v>441</v>
      </c>
      <c r="J216" s="672" t="s">
        <v>785</v>
      </c>
      <c r="K216" s="14" t="s">
        <v>51</v>
      </c>
      <c r="L216" s="14" t="s">
        <v>52</v>
      </c>
      <c r="M216" s="685" t="s">
        <v>1023</v>
      </c>
      <c r="N216" s="672" t="s">
        <v>170</v>
      </c>
      <c r="O216" s="672" t="s">
        <v>1024</v>
      </c>
      <c r="P216" s="672" t="s">
        <v>171</v>
      </c>
      <c r="Q216" s="673" t="s">
        <v>783</v>
      </c>
      <c r="R216" s="1031"/>
      <c r="S216" s="13"/>
      <c r="T216" s="13"/>
      <c r="U216" s="13"/>
      <c r="V216" s="13"/>
      <c r="W216" s="13"/>
      <c r="X216" s="13"/>
      <c r="Y216" s="13"/>
    </row>
    <row r="217" spans="1:25" s="35" customFormat="1" ht="12" customHeight="1" x14ac:dyDescent="0.15">
      <c r="A217" s="687"/>
      <c r="B217" s="15" t="str">
        <f>PROPER("SAHARA-B")</f>
        <v>Sahara-B</v>
      </c>
      <c r="C217" s="15"/>
      <c r="D217" s="15" t="str">
        <f>PROPER("AMNA")</f>
        <v>Amna</v>
      </c>
      <c r="E217" s="15" t="str">
        <f>PROPER("BU-ATTFL")</f>
        <v>Bu-Attfl</v>
      </c>
      <c r="F217" s="15" t="str">
        <f>PROPER("NILE")</f>
        <v>Nile</v>
      </c>
      <c r="G217" s="15" t="str">
        <f>PROPER("EBOME")</f>
        <v>Ebome</v>
      </c>
      <c r="H217" s="15" t="str">
        <f>PROPER("OGUENDJO")</f>
        <v>Oguendjo</v>
      </c>
      <c r="I217" s="15" t="str">
        <f>PROPER("OLOMBEND")</f>
        <v>Olombend</v>
      </c>
      <c r="J217" s="15" t="str">
        <f>PROPER("TEMANE-C")</f>
        <v>Temane-C</v>
      </c>
      <c r="K217" s="15"/>
      <c r="L217" s="15"/>
      <c r="M217" s="15" t="str">
        <f>PROPER("N･W･S-C")</f>
        <v>N･W･S-C</v>
      </c>
      <c r="N217" s="15" t="str">
        <f>PROPER("WANDOO")</f>
        <v>Wandoo</v>
      </c>
      <c r="O217" s="15" t="str">
        <f>PROPER("COSSACK")</f>
        <v>Cossack</v>
      </c>
      <c r="P217" s="15" t="str">
        <f>PROPER("STAG")</f>
        <v>Stag</v>
      </c>
      <c r="Q217" s="676" t="str">
        <f>PROPER("VANGOG-B")</f>
        <v>Vangog-B</v>
      </c>
      <c r="R217" s="1032"/>
      <c r="S217" s="13"/>
      <c r="T217" s="13"/>
      <c r="U217" s="13"/>
      <c r="V217" s="13"/>
      <c r="W217" s="13"/>
      <c r="X217" s="13"/>
      <c r="Y217" s="13"/>
    </row>
    <row r="218" spans="1:25" s="37" customFormat="1" ht="10.5" customHeight="1" x14ac:dyDescent="0.15">
      <c r="A218" s="657" t="s">
        <v>985</v>
      </c>
      <c r="B218" s="677">
        <v>498520</v>
      </c>
      <c r="C218" s="678" t="s">
        <v>986</v>
      </c>
      <c r="D218" s="678" t="s">
        <v>986</v>
      </c>
      <c r="E218" s="678" t="s">
        <v>986</v>
      </c>
      <c r="F218" s="678" t="s">
        <v>986</v>
      </c>
      <c r="G218" s="678">
        <v>58730</v>
      </c>
      <c r="H218" s="678">
        <v>41986</v>
      </c>
      <c r="I218" s="678">
        <v>142863</v>
      </c>
      <c r="J218" s="678" t="s">
        <v>986</v>
      </c>
      <c r="K218" s="678">
        <v>450273</v>
      </c>
      <c r="L218" s="678">
        <v>416430</v>
      </c>
      <c r="M218" s="678" t="s">
        <v>986</v>
      </c>
      <c r="N218" s="678">
        <v>259512</v>
      </c>
      <c r="O218" s="678" t="s">
        <v>986</v>
      </c>
      <c r="P218" s="678" t="s">
        <v>986</v>
      </c>
      <c r="Q218" s="678" t="s">
        <v>986</v>
      </c>
      <c r="R218" s="679" t="s">
        <v>485</v>
      </c>
      <c r="S218" s="36"/>
      <c r="T218" s="36"/>
      <c r="U218" s="36"/>
      <c r="V218" s="36"/>
      <c r="W218" s="36"/>
      <c r="X218" s="36"/>
      <c r="Y218" s="36"/>
    </row>
    <row r="219" spans="1:25" s="37" customFormat="1" ht="10.5" customHeight="1" x14ac:dyDescent="0.15">
      <c r="A219" s="559" t="s">
        <v>634</v>
      </c>
      <c r="B219" s="37">
        <v>369843</v>
      </c>
      <c r="C219" s="37">
        <v>51616</v>
      </c>
      <c r="D219" s="37">
        <v>26414</v>
      </c>
      <c r="E219" s="37">
        <v>25202</v>
      </c>
      <c r="F219" s="37" t="s">
        <v>986</v>
      </c>
      <c r="G219" s="37" t="s">
        <v>986</v>
      </c>
      <c r="H219" s="37" t="s">
        <v>986</v>
      </c>
      <c r="I219" s="37" t="s">
        <v>986</v>
      </c>
      <c r="J219" s="37" t="s">
        <v>986</v>
      </c>
      <c r="K219" s="37">
        <v>359911</v>
      </c>
      <c r="L219" s="37">
        <v>313145</v>
      </c>
      <c r="M219" s="37" t="s">
        <v>986</v>
      </c>
      <c r="N219" s="37">
        <v>210750</v>
      </c>
      <c r="O219" s="37" t="s">
        <v>986</v>
      </c>
      <c r="P219" s="37" t="s">
        <v>986</v>
      </c>
      <c r="Q219" s="37" t="s">
        <v>986</v>
      </c>
      <c r="R219" s="39" t="s">
        <v>588</v>
      </c>
      <c r="S219" s="36"/>
      <c r="T219" s="36"/>
      <c r="U219" s="36"/>
      <c r="V219" s="36"/>
      <c r="W219" s="36"/>
      <c r="X219" s="36"/>
      <c r="Y219" s="36"/>
    </row>
    <row r="220" spans="1:25" s="37" customFormat="1" ht="10.5" customHeight="1" x14ac:dyDescent="0.15">
      <c r="A220" s="559" t="s">
        <v>635</v>
      </c>
      <c r="B220" s="37">
        <v>498527</v>
      </c>
      <c r="C220" s="37">
        <v>67609</v>
      </c>
      <c r="D220" s="37" t="s">
        <v>986</v>
      </c>
      <c r="E220" s="37">
        <v>67609</v>
      </c>
      <c r="F220" s="37">
        <v>151524</v>
      </c>
      <c r="G220" s="37" t="s">
        <v>986</v>
      </c>
      <c r="H220" s="37" t="s">
        <v>986</v>
      </c>
      <c r="I220" s="37" t="s">
        <v>986</v>
      </c>
      <c r="J220" s="37">
        <v>35007</v>
      </c>
      <c r="K220" s="37">
        <v>333763</v>
      </c>
      <c r="L220" s="37">
        <v>259648</v>
      </c>
      <c r="M220" s="37" t="s">
        <v>986</v>
      </c>
      <c r="N220" s="37">
        <v>208293</v>
      </c>
      <c r="O220" s="37" t="s">
        <v>986</v>
      </c>
      <c r="P220" s="37" t="s">
        <v>986</v>
      </c>
      <c r="Q220" s="37" t="s">
        <v>986</v>
      </c>
      <c r="R220" s="39" t="s">
        <v>636</v>
      </c>
      <c r="S220" s="36"/>
      <c r="T220" s="36"/>
      <c r="U220" s="36"/>
      <c r="V220" s="36"/>
      <c r="W220" s="36"/>
      <c r="X220" s="36"/>
      <c r="Y220" s="36"/>
    </row>
    <row r="221" spans="1:25" s="37" customFormat="1" ht="10.5" customHeight="1" x14ac:dyDescent="0.15">
      <c r="A221" s="559" t="s">
        <v>774</v>
      </c>
      <c r="B221" s="37">
        <v>86900</v>
      </c>
      <c r="C221" s="37" t="s">
        <v>986</v>
      </c>
      <c r="D221" s="37" t="s">
        <v>986</v>
      </c>
      <c r="E221" s="37" t="s">
        <v>986</v>
      </c>
      <c r="F221" s="37">
        <v>97200</v>
      </c>
      <c r="G221" s="37" t="s">
        <v>986</v>
      </c>
      <c r="H221" s="37" t="s">
        <v>986</v>
      </c>
      <c r="I221" s="37">
        <v>157964</v>
      </c>
      <c r="J221" s="37" t="s">
        <v>986</v>
      </c>
      <c r="K221" s="37">
        <v>393846</v>
      </c>
      <c r="L221" s="37">
        <v>363482</v>
      </c>
      <c r="M221" s="37">
        <v>48240</v>
      </c>
      <c r="N221" s="37">
        <v>250251</v>
      </c>
      <c r="O221" s="37" t="s">
        <v>986</v>
      </c>
      <c r="P221" s="37">
        <v>5181</v>
      </c>
      <c r="Q221" s="37">
        <v>55880</v>
      </c>
      <c r="R221" s="39" t="s">
        <v>775</v>
      </c>
      <c r="S221" s="36"/>
      <c r="T221" s="36"/>
      <c r="U221" s="36"/>
      <c r="V221" s="36"/>
      <c r="W221" s="36"/>
      <c r="X221" s="36"/>
      <c r="Y221" s="36"/>
    </row>
    <row r="222" spans="1:25" s="37" customFormat="1" ht="10.5" customHeight="1" x14ac:dyDescent="0.15">
      <c r="A222" s="559" t="s">
        <v>987</v>
      </c>
      <c r="B222" s="37" t="s">
        <v>986</v>
      </c>
      <c r="C222" s="37" t="s">
        <v>986</v>
      </c>
      <c r="D222" s="37" t="s">
        <v>986</v>
      </c>
      <c r="E222" s="37" t="s">
        <v>986</v>
      </c>
      <c r="F222" s="37">
        <v>24826</v>
      </c>
      <c r="G222" s="37" t="s">
        <v>986</v>
      </c>
      <c r="H222" s="37" t="s">
        <v>986</v>
      </c>
      <c r="I222" s="37" t="s">
        <v>986</v>
      </c>
      <c r="J222" s="37" t="s">
        <v>986</v>
      </c>
      <c r="K222" s="37">
        <v>620923</v>
      </c>
      <c r="L222" s="37">
        <v>620923</v>
      </c>
      <c r="M222" s="37" t="s">
        <v>986</v>
      </c>
      <c r="N222" s="37">
        <v>53820</v>
      </c>
      <c r="O222" s="37">
        <v>103414</v>
      </c>
      <c r="P222" s="37">
        <v>9995</v>
      </c>
      <c r="Q222" s="37" t="s">
        <v>986</v>
      </c>
      <c r="R222" s="39" t="s">
        <v>988</v>
      </c>
      <c r="S222" s="36"/>
      <c r="T222" s="36"/>
      <c r="U222" s="36"/>
      <c r="V222" s="36"/>
      <c r="W222" s="36"/>
      <c r="X222" s="36"/>
      <c r="Y222" s="36"/>
    </row>
    <row r="223" spans="1:25" s="37" customFormat="1" ht="10.5" customHeight="1" x14ac:dyDescent="0.15">
      <c r="A223" s="578"/>
      <c r="R223" s="39"/>
      <c r="S223" s="36"/>
      <c r="T223" s="36"/>
      <c r="U223" s="36"/>
      <c r="V223" s="36"/>
      <c r="W223" s="36"/>
      <c r="X223" s="36"/>
      <c r="Y223" s="36"/>
    </row>
    <row r="224" spans="1:25" s="37" customFormat="1" ht="10.5" customHeight="1" x14ac:dyDescent="0.15">
      <c r="A224" s="559" t="s">
        <v>989</v>
      </c>
      <c r="B224" s="37">
        <v>15627</v>
      </c>
      <c r="C224" s="37" t="s">
        <v>986</v>
      </c>
      <c r="D224" s="37" t="s">
        <v>986</v>
      </c>
      <c r="E224" s="37" t="s">
        <v>986</v>
      </c>
      <c r="F224" s="37" t="s">
        <v>986</v>
      </c>
      <c r="G224" s="37" t="s">
        <v>986</v>
      </c>
      <c r="H224" s="37" t="s">
        <v>986</v>
      </c>
      <c r="I224" s="37">
        <v>157964</v>
      </c>
      <c r="J224" s="37" t="s">
        <v>986</v>
      </c>
      <c r="K224" s="37">
        <v>294455</v>
      </c>
      <c r="L224" s="37">
        <v>275845</v>
      </c>
      <c r="M224" s="37">
        <v>48240</v>
      </c>
      <c r="N224" s="37">
        <v>199165</v>
      </c>
      <c r="O224" s="37" t="s">
        <v>986</v>
      </c>
      <c r="P224" s="37">
        <v>5181</v>
      </c>
      <c r="Q224" s="37" t="s">
        <v>986</v>
      </c>
      <c r="R224" s="39" t="s">
        <v>776</v>
      </c>
      <c r="S224" s="36"/>
      <c r="T224" s="36"/>
      <c r="U224" s="36"/>
      <c r="V224" s="36"/>
      <c r="W224" s="36"/>
      <c r="X224" s="36"/>
      <c r="Y224" s="36"/>
    </row>
    <row r="225" spans="1:25" s="37" customFormat="1" ht="10.5" customHeight="1" x14ac:dyDescent="0.15">
      <c r="A225" s="559" t="s">
        <v>990</v>
      </c>
      <c r="B225" s="37" t="s">
        <v>986</v>
      </c>
      <c r="C225" s="37" t="s">
        <v>986</v>
      </c>
      <c r="D225" s="37" t="s">
        <v>986</v>
      </c>
      <c r="E225" s="37" t="s">
        <v>986</v>
      </c>
      <c r="F225" s="37">
        <v>24826</v>
      </c>
      <c r="G225" s="37" t="s">
        <v>986</v>
      </c>
      <c r="H225" s="37" t="s">
        <v>986</v>
      </c>
      <c r="I225" s="37" t="s">
        <v>986</v>
      </c>
      <c r="J225" s="37" t="s">
        <v>986</v>
      </c>
      <c r="K225" s="37">
        <v>661105</v>
      </c>
      <c r="L225" s="37">
        <v>661105</v>
      </c>
      <c r="M225" s="37" t="s">
        <v>986</v>
      </c>
      <c r="N225" s="37">
        <v>117261</v>
      </c>
      <c r="O225" s="37">
        <v>103414</v>
      </c>
      <c r="P225" s="37">
        <v>9995</v>
      </c>
      <c r="Q225" s="37" t="s">
        <v>986</v>
      </c>
      <c r="R225" s="39" t="s">
        <v>991</v>
      </c>
      <c r="S225" s="36"/>
      <c r="T225" s="36"/>
      <c r="U225" s="36"/>
      <c r="V225" s="36"/>
      <c r="W225" s="36"/>
      <c r="X225" s="36"/>
      <c r="Y225" s="36"/>
    </row>
    <row r="226" spans="1:25" s="37" customFormat="1" ht="10.5" customHeight="1" x14ac:dyDescent="0.15">
      <c r="A226" s="578"/>
      <c r="R226" s="39"/>
      <c r="S226" s="36"/>
      <c r="T226" s="36"/>
      <c r="U226" s="36"/>
      <c r="V226" s="36"/>
      <c r="W226" s="36"/>
      <c r="X226" s="36"/>
      <c r="Y226" s="36"/>
    </row>
    <row r="227" spans="1:25" s="37" customFormat="1" ht="10.5" customHeight="1" x14ac:dyDescent="0.15">
      <c r="A227" s="559" t="s">
        <v>992</v>
      </c>
      <c r="B227" s="37" t="s">
        <v>986</v>
      </c>
      <c r="C227" s="37" t="s">
        <v>986</v>
      </c>
      <c r="D227" s="37" t="s">
        <v>986</v>
      </c>
      <c r="E227" s="37" t="s">
        <v>986</v>
      </c>
      <c r="F227" s="37" t="s">
        <v>986</v>
      </c>
      <c r="G227" s="37" t="s">
        <v>986</v>
      </c>
      <c r="H227" s="37" t="s">
        <v>986</v>
      </c>
      <c r="I227" s="37" t="s">
        <v>986</v>
      </c>
      <c r="J227" s="37" t="s">
        <v>986</v>
      </c>
      <c r="K227" s="37">
        <v>36965</v>
      </c>
      <c r="L227" s="37">
        <v>36965</v>
      </c>
      <c r="M227" s="37" t="s">
        <v>986</v>
      </c>
      <c r="N227" s="37">
        <v>13706</v>
      </c>
      <c r="O227" s="37" t="s">
        <v>986</v>
      </c>
      <c r="P227" s="37" t="s">
        <v>986</v>
      </c>
      <c r="Q227" s="37" t="s">
        <v>986</v>
      </c>
      <c r="R227" s="39" t="s">
        <v>777</v>
      </c>
      <c r="S227" s="36"/>
      <c r="T227" s="36"/>
      <c r="U227" s="36"/>
      <c r="V227" s="36"/>
      <c r="W227" s="36"/>
      <c r="X227" s="36"/>
      <c r="Y227" s="36"/>
    </row>
    <row r="228" spans="1:25" s="37" customFormat="1" ht="10.5" customHeight="1" x14ac:dyDescent="0.15">
      <c r="A228" s="559" t="s">
        <v>637</v>
      </c>
      <c r="B228" s="37" t="s">
        <v>986</v>
      </c>
      <c r="C228" s="37" t="s">
        <v>986</v>
      </c>
      <c r="D228" s="37" t="s">
        <v>986</v>
      </c>
      <c r="E228" s="37" t="s">
        <v>986</v>
      </c>
      <c r="F228" s="37" t="s">
        <v>986</v>
      </c>
      <c r="G228" s="37" t="s">
        <v>986</v>
      </c>
      <c r="H228" s="37" t="s">
        <v>986</v>
      </c>
      <c r="I228" s="37" t="s">
        <v>986</v>
      </c>
      <c r="J228" s="37" t="s">
        <v>986</v>
      </c>
      <c r="K228" s="37">
        <v>172584</v>
      </c>
      <c r="L228" s="37">
        <v>172584</v>
      </c>
      <c r="M228" s="37" t="s">
        <v>986</v>
      </c>
      <c r="N228" s="37" t="s">
        <v>986</v>
      </c>
      <c r="O228" s="37">
        <v>103414</v>
      </c>
      <c r="P228" s="37">
        <v>5013</v>
      </c>
      <c r="Q228" s="37" t="s">
        <v>986</v>
      </c>
      <c r="R228" s="39" t="s">
        <v>85</v>
      </c>
      <c r="S228" s="36"/>
      <c r="T228" s="36"/>
      <c r="U228" s="36"/>
      <c r="V228" s="36"/>
      <c r="W228" s="36"/>
      <c r="X228" s="36"/>
      <c r="Y228" s="36"/>
    </row>
    <row r="229" spans="1:25" s="37" customFormat="1" ht="10.5" customHeight="1" x14ac:dyDescent="0.15">
      <c r="A229" s="559" t="s">
        <v>638</v>
      </c>
      <c r="B229" s="37" t="s">
        <v>986</v>
      </c>
      <c r="C229" s="37" t="s">
        <v>986</v>
      </c>
      <c r="D229" s="37" t="s">
        <v>986</v>
      </c>
      <c r="E229" s="37" t="s">
        <v>986</v>
      </c>
      <c r="F229" s="37" t="s">
        <v>986</v>
      </c>
      <c r="G229" s="37" t="s">
        <v>986</v>
      </c>
      <c r="H229" s="37" t="s">
        <v>986</v>
      </c>
      <c r="I229" s="37" t="s">
        <v>986</v>
      </c>
      <c r="J229" s="37" t="s">
        <v>986</v>
      </c>
      <c r="K229" s="37">
        <v>248828</v>
      </c>
      <c r="L229" s="37">
        <v>248828</v>
      </c>
      <c r="M229" s="37" t="s">
        <v>986</v>
      </c>
      <c r="N229" s="37" t="s">
        <v>986</v>
      </c>
      <c r="O229" s="37" t="s">
        <v>986</v>
      </c>
      <c r="P229" s="37">
        <v>4982</v>
      </c>
      <c r="Q229" s="37" t="s">
        <v>986</v>
      </c>
      <c r="R229" s="39" t="s">
        <v>86</v>
      </c>
      <c r="S229" s="36"/>
      <c r="T229" s="36"/>
      <c r="U229" s="36"/>
      <c r="V229" s="36"/>
      <c r="W229" s="36"/>
      <c r="X229" s="36"/>
      <c r="Y229" s="36"/>
    </row>
    <row r="230" spans="1:25" s="37" customFormat="1" ht="10.5" customHeight="1" x14ac:dyDescent="0.15">
      <c r="A230" s="559" t="s">
        <v>639</v>
      </c>
      <c r="B230" s="37" t="s">
        <v>986</v>
      </c>
      <c r="C230" s="37" t="s">
        <v>986</v>
      </c>
      <c r="D230" s="37" t="s">
        <v>986</v>
      </c>
      <c r="E230" s="37" t="s">
        <v>986</v>
      </c>
      <c r="F230" s="37">
        <v>24826</v>
      </c>
      <c r="G230" s="37" t="s">
        <v>986</v>
      </c>
      <c r="H230" s="37" t="s">
        <v>986</v>
      </c>
      <c r="I230" s="37" t="s">
        <v>986</v>
      </c>
      <c r="J230" s="37" t="s">
        <v>986</v>
      </c>
      <c r="K230" s="37">
        <v>162546</v>
      </c>
      <c r="L230" s="37">
        <v>162546</v>
      </c>
      <c r="M230" s="37" t="s">
        <v>986</v>
      </c>
      <c r="N230" s="37">
        <v>40114</v>
      </c>
      <c r="O230" s="37" t="s">
        <v>986</v>
      </c>
      <c r="P230" s="37" t="s">
        <v>986</v>
      </c>
      <c r="Q230" s="37" t="s">
        <v>986</v>
      </c>
      <c r="R230" s="39" t="s">
        <v>87</v>
      </c>
      <c r="S230" s="36"/>
      <c r="T230" s="36"/>
      <c r="U230" s="36"/>
      <c r="V230" s="36"/>
      <c r="W230" s="36"/>
      <c r="X230" s="36"/>
      <c r="Y230" s="36"/>
    </row>
    <row r="231" spans="1:25" s="37" customFormat="1" ht="10.5" customHeight="1" x14ac:dyDescent="0.15">
      <c r="A231" s="559" t="s">
        <v>993</v>
      </c>
      <c r="B231" s="37" t="s">
        <v>986</v>
      </c>
      <c r="C231" s="37" t="s">
        <v>986</v>
      </c>
      <c r="D231" s="37" t="s">
        <v>986</v>
      </c>
      <c r="E231" s="37" t="s">
        <v>986</v>
      </c>
      <c r="F231" s="37" t="s">
        <v>986</v>
      </c>
      <c r="G231" s="37" t="s">
        <v>986</v>
      </c>
      <c r="H231" s="37" t="s">
        <v>986</v>
      </c>
      <c r="I231" s="37" t="s">
        <v>986</v>
      </c>
      <c r="J231" s="37" t="s">
        <v>986</v>
      </c>
      <c r="K231" s="37">
        <v>77147</v>
      </c>
      <c r="L231" s="37">
        <v>77147</v>
      </c>
      <c r="M231" s="37" t="s">
        <v>986</v>
      </c>
      <c r="N231" s="37">
        <v>77147</v>
      </c>
      <c r="O231" s="37" t="s">
        <v>986</v>
      </c>
      <c r="P231" s="37" t="s">
        <v>986</v>
      </c>
      <c r="Q231" s="37" t="s">
        <v>986</v>
      </c>
      <c r="R231" s="39" t="s">
        <v>994</v>
      </c>
      <c r="S231" s="36"/>
      <c r="T231" s="36"/>
      <c r="U231" s="36"/>
      <c r="V231" s="36"/>
      <c r="W231" s="36"/>
      <c r="X231" s="36"/>
      <c r="Y231" s="36"/>
    </row>
    <row r="232" spans="1:25" s="37" customFormat="1" ht="10.5" customHeight="1" x14ac:dyDescent="0.15">
      <c r="A232" s="578"/>
      <c r="R232" s="39"/>
      <c r="S232" s="36"/>
      <c r="T232" s="36"/>
      <c r="U232" s="36"/>
      <c r="V232" s="36"/>
      <c r="W232" s="36"/>
      <c r="X232" s="36"/>
      <c r="Y232" s="36"/>
    </row>
    <row r="233" spans="1:25" s="37" customFormat="1" ht="10.5" customHeight="1" x14ac:dyDescent="0.15">
      <c r="A233" s="559" t="s">
        <v>995</v>
      </c>
      <c r="B233" s="37" t="s">
        <v>986</v>
      </c>
      <c r="C233" s="37" t="s">
        <v>986</v>
      </c>
      <c r="D233" s="37" t="s">
        <v>986</v>
      </c>
      <c r="E233" s="37" t="s">
        <v>986</v>
      </c>
      <c r="F233" s="37" t="s">
        <v>986</v>
      </c>
      <c r="G233" s="37" t="s">
        <v>986</v>
      </c>
      <c r="H233" s="37" t="s">
        <v>986</v>
      </c>
      <c r="I233" s="37" t="s">
        <v>986</v>
      </c>
      <c r="J233" s="37" t="s">
        <v>986</v>
      </c>
      <c r="K233" s="37">
        <v>13706</v>
      </c>
      <c r="L233" s="37">
        <v>13706</v>
      </c>
      <c r="M233" s="37" t="s">
        <v>986</v>
      </c>
      <c r="N233" s="37">
        <v>13706</v>
      </c>
      <c r="O233" s="37" t="s">
        <v>986</v>
      </c>
      <c r="P233" s="37" t="s">
        <v>986</v>
      </c>
      <c r="Q233" s="37" t="s">
        <v>986</v>
      </c>
      <c r="R233" s="39" t="s">
        <v>778</v>
      </c>
      <c r="S233" s="36"/>
      <c r="T233" s="36"/>
      <c r="U233" s="36"/>
      <c r="V233" s="36"/>
      <c r="W233" s="36"/>
      <c r="X233" s="36"/>
      <c r="Y233" s="36"/>
    </row>
    <row r="234" spans="1:25" s="37" customFormat="1" ht="10.5" customHeight="1" x14ac:dyDescent="0.15">
      <c r="A234" s="559" t="s">
        <v>640</v>
      </c>
      <c r="B234" s="37" t="s">
        <v>986</v>
      </c>
      <c r="C234" s="37" t="s">
        <v>986</v>
      </c>
      <c r="D234" s="37" t="s">
        <v>986</v>
      </c>
      <c r="E234" s="37" t="s">
        <v>986</v>
      </c>
      <c r="F234" s="37" t="s">
        <v>986</v>
      </c>
      <c r="G234" s="37" t="s">
        <v>986</v>
      </c>
      <c r="H234" s="37" t="s">
        <v>986</v>
      </c>
      <c r="I234" s="37" t="s">
        <v>986</v>
      </c>
      <c r="J234" s="37" t="s">
        <v>986</v>
      </c>
      <c r="K234" s="37">
        <v>23259</v>
      </c>
      <c r="L234" s="37">
        <v>23259</v>
      </c>
      <c r="M234" s="37" t="s">
        <v>986</v>
      </c>
      <c r="N234" s="37" t="s">
        <v>986</v>
      </c>
      <c r="O234" s="37" t="s">
        <v>986</v>
      </c>
      <c r="P234" s="37" t="s">
        <v>986</v>
      </c>
      <c r="Q234" s="37" t="s">
        <v>986</v>
      </c>
      <c r="R234" s="39" t="s">
        <v>73</v>
      </c>
      <c r="S234" s="36"/>
      <c r="T234" s="36"/>
      <c r="U234" s="36"/>
      <c r="V234" s="36"/>
      <c r="W234" s="36"/>
      <c r="X234" s="36"/>
      <c r="Y234" s="36"/>
    </row>
    <row r="235" spans="1:25" s="37" customFormat="1" ht="10.5" customHeight="1" x14ac:dyDescent="0.15">
      <c r="A235" s="559" t="s">
        <v>641</v>
      </c>
      <c r="B235" s="37" t="s">
        <v>986</v>
      </c>
      <c r="C235" s="37" t="s">
        <v>986</v>
      </c>
      <c r="D235" s="37" t="s">
        <v>986</v>
      </c>
      <c r="E235" s="37" t="s">
        <v>986</v>
      </c>
      <c r="F235" s="37" t="s">
        <v>986</v>
      </c>
      <c r="G235" s="37" t="s">
        <v>986</v>
      </c>
      <c r="H235" s="37" t="s">
        <v>986</v>
      </c>
      <c r="I235" s="37" t="s">
        <v>986</v>
      </c>
      <c r="J235" s="37" t="s">
        <v>986</v>
      </c>
      <c r="K235" s="37" t="s">
        <v>986</v>
      </c>
      <c r="L235" s="37" t="s">
        <v>986</v>
      </c>
      <c r="M235" s="37" t="s">
        <v>986</v>
      </c>
      <c r="N235" s="37" t="s">
        <v>986</v>
      </c>
      <c r="O235" s="37" t="s">
        <v>986</v>
      </c>
      <c r="P235" s="37" t="s">
        <v>986</v>
      </c>
      <c r="Q235" s="37" t="s">
        <v>986</v>
      </c>
      <c r="R235" s="39" t="s">
        <v>74</v>
      </c>
      <c r="S235" s="36"/>
      <c r="T235" s="36"/>
      <c r="U235" s="36"/>
      <c r="V235" s="36"/>
      <c r="W235" s="36"/>
      <c r="X235" s="36"/>
      <c r="Y235" s="36"/>
    </row>
    <row r="236" spans="1:25" s="37" customFormat="1" ht="10.5" customHeight="1" x14ac:dyDescent="0.15">
      <c r="A236" s="559" t="s">
        <v>642</v>
      </c>
      <c r="B236" s="37" t="s">
        <v>986</v>
      </c>
      <c r="C236" s="37" t="s">
        <v>986</v>
      </c>
      <c r="D236" s="37" t="s">
        <v>986</v>
      </c>
      <c r="E236" s="37" t="s">
        <v>986</v>
      </c>
      <c r="F236" s="37" t="s">
        <v>986</v>
      </c>
      <c r="G236" s="37" t="s">
        <v>986</v>
      </c>
      <c r="H236" s="37" t="s">
        <v>986</v>
      </c>
      <c r="I236" s="37" t="s">
        <v>986</v>
      </c>
      <c r="J236" s="37" t="s">
        <v>986</v>
      </c>
      <c r="K236" s="37">
        <v>140805</v>
      </c>
      <c r="L236" s="37">
        <v>140805</v>
      </c>
      <c r="M236" s="37" t="s">
        <v>986</v>
      </c>
      <c r="N236" s="37" t="s">
        <v>986</v>
      </c>
      <c r="O236" s="37">
        <v>103414</v>
      </c>
      <c r="P236" s="37">
        <v>5013</v>
      </c>
      <c r="Q236" s="37" t="s">
        <v>986</v>
      </c>
      <c r="R236" s="39" t="s">
        <v>75</v>
      </c>
      <c r="S236" s="36"/>
      <c r="T236" s="36"/>
      <c r="U236" s="36"/>
      <c r="V236" s="36"/>
      <c r="W236" s="36"/>
      <c r="X236" s="36"/>
      <c r="Y236" s="36"/>
    </row>
    <row r="237" spans="1:25" s="37" customFormat="1" ht="10.5" customHeight="1" x14ac:dyDescent="0.15">
      <c r="A237" s="559" t="s">
        <v>643</v>
      </c>
      <c r="B237" s="37" t="s">
        <v>986</v>
      </c>
      <c r="C237" s="37" t="s">
        <v>986</v>
      </c>
      <c r="D237" s="37" t="s">
        <v>986</v>
      </c>
      <c r="E237" s="37" t="s">
        <v>986</v>
      </c>
      <c r="F237" s="37" t="s">
        <v>986</v>
      </c>
      <c r="G237" s="37" t="s">
        <v>986</v>
      </c>
      <c r="H237" s="37" t="s">
        <v>986</v>
      </c>
      <c r="I237" s="37" t="s">
        <v>986</v>
      </c>
      <c r="J237" s="37" t="s">
        <v>986</v>
      </c>
      <c r="K237" s="37" t="s">
        <v>986</v>
      </c>
      <c r="L237" s="37" t="s">
        <v>986</v>
      </c>
      <c r="M237" s="37" t="s">
        <v>986</v>
      </c>
      <c r="N237" s="37" t="s">
        <v>986</v>
      </c>
      <c r="O237" s="37" t="s">
        <v>986</v>
      </c>
      <c r="P237" s="37" t="s">
        <v>986</v>
      </c>
      <c r="Q237" s="37" t="s">
        <v>986</v>
      </c>
      <c r="R237" s="40" t="s">
        <v>88</v>
      </c>
      <c r="S237" s="36"/>
      <c r="T237" s="36"/>
      <c r="U237" s="36"/>
      <c r="V237" s="36"/>
      <c r="W237" s="36"/>
      <c r="X237" s="36"/>
      <c r="Y237" s="36"/>
    </row>
    <row r="238" spans="1:25" s="37" customFormat="1" ht="10.5" customHeight="1" x14ac:dyDescent="0.15">
      <c r="A238" s="559" t="s">
        <v>644</v>
      </c>
      <c r="B238" s="37" t="s">
        <v>986</v>
      </c>
      <c r="C238" s="37" t="s">
        <v>986</v>
      </c>
      <c r="D238" s="37" t="s">
        <v>986</v>
      </c>
      <c r="E238" s="37" t="s">
        <v>986</v>
      </c>
      <c r="F238" s="37" t="s">
        <v>986</v>
      </c>
      <c r="G238" s="37" t="s">
        <v>986</v>
      </c>
      <c r="H238" s="37" t="s">
        <v>986</v>
      </c>
      <c r="I238" s="37" t="s">
        <v>986</v>
      </c>
      <c r="J238" s="37" t="s">
        <v>986</v>
      </c>
      <c r="K238" s="37">
        <v>31779</v>
      </c>
      <c r="L238" s="37">
        <v>31779</v>
      </c>
      <c r="M238" s="37" t="s">
        <v>986</v>
      </c>
      <c r="N238" s="37" t="s">
        <v>986</v>
      </c>
      <c r="O238" s="37" t="s">
        <v>986</v>
      </c>
      <c r="P238" s="37" t="s">
        <v>986</v>
      </c>
      <c r="Q238" s="37" t="s">
        <v>986</v>
      </c>
      <c r="R238" s="39" t="s">
        <v>89</v>
      </c>
      <c r="S238" s="36"/>
      <c r="T238" s="36"/>
      <c r="U238" s="36"/>
      <c r="V238" s="36"/>
      <c r="W238" s="36"/>
      <c r="X238" s="36"/>
      <c r="Y238" s="36"/>
    </row>
    <row r="239" spans="1:25" s="37" customFormat="1" ht="10.5" customHeight="1" x14ac:dyDescent="0.15">
      <c r="A239" s="559" t="s">
        <v>645</v>
      </c>
      <c r="B239" s="37" t="s">
        <v>986</v>
      </c>
      <c r="C239" s="37" t="s">
        <v>986</v>
      </c>
      <c r="D239" s="37" t="s">
        <v>986</v>
      </c>
      <c r="E239" s="37" t="s">
        <v>986</v>
      </c>
      <c r="F239" s="37" t="s">
        <v>986</v>
      </c>
      <c r="G239" s="37" t="s">
        <v>986</v>
      </c>
      <c r="H239" s="37" t="s">
        <v>986</v>
      </c>
      <c r="I239" s="37" t="s">
        <v>986</v>
      </c>
      <c r="J239" s="37" t="s">
        <v>986</v>
      </c>
      <c r="K239" s="37">
        <v>15663</v>
      </c>
      <c r="L239" s="37">
        <v>15663</v>
      </c>
      <c r="M239" s="37" t="s">
        <v>986</v>
      </c>
      <c r="N239" s="37" t="s">
        <v>986</v>
      </c>
      <c r="O239" s="37" t="s">
        <v>986</v>
      </c>
      <c r="P239" s="37">
        <v>4982</v>
      </c>
      <c r="Q239" s="37" t="s">
        <v>986</v>
      </c>
      <c r="R239" s="39" t="s">
        <v>90</v>
      </c>
      <c r="S239" s="36"/>
      <c r="T239" s="36"/>
      <c r="U239" s="36"/>
      <c r="V239" s="36"/>
      <c r="W239" s="36"/>
      <c r="X239" s="36"/>
      <c r="Y239" s="36"/>
    </row>
    <row r="240" spans="1:25" s="37" customFormat="1" ht="10.5" customHeight="1" x14ac:dyDescent="0.15">
      <c r="A240" s="559" t="s">
        <v>646</v>
      </c>
      <c r="B240" s="37" t="s">
        <v>986</v>
      </c>
      <c r="C240" s="37" t="s">
        <v>986</v>
      </c>
      <c r="D240" s="37" t="s">
        <v>986</v>
      </c>
      <c r="E240" s="37" t="s">
        <v>986</v>
      </c>
      <c r="F240" s="37" t="s">
        <v>986</v>
      </c>
      <c r="G240" s="37" t="s">
        <v>986</v>
      </c>
      <c r="H240" s="37" t="s">
        <v>986</v>
      </c>
      <c r="I240" s="37" t="s">
        <v>986</v>
      </c>
      <c r="J240" s="37" t="s">
        <v>986</v>
      </c>
      <c r="K240" s="37">
        <v>121372</v>
      </c>
      <c r="L240" s="37">
        <v>121372</v>
      </c>
      <c r="M240" s="37" t="s">
        <v>986</v>
      </c>
      <c r="N240" s="37" t="s">
        <v>986</v>
      </c>
      <c r="O240" s="37" t="s">
        <v>986</v>
      </c>
      <c r="P240" s="37" t="s">
        <v>986</v>
      </c>
      <c r="Q240" s="37" t="s">
        <v>986</v>
      </c>
      <c r="R240" s="39" t="s">
        <v>91</v>
      </c>
      <c r="S240" s="36"/>
      <c r="T240" s="36"/>
      <c r="U240" s="36"/>
      <c r="V240" s="36"/>
      <c r="W240" s="36"/>
      <c r="X240" s="36"/>
      <c r="Y240" s="36"/>
    </row>
    <row r="241" spans="1:25" s="37" customFormat="1" ht="10.5" customHeight="1" x14ac:dyDescent="0.15">
      <c r="A241" s="559" t="s">
        <v>647</v>
      </c>
      <c r="B241" s="37" t="s">
        <v>986</v>
      </c>
      <c r="C241" s="37" t="s">
        <v>986</v>
      </c>
      <c r="D241" s="37" t="s">
        <v>986</v>
      </c>
      <c r="E241" s="37" t="s">
        <v>986</v>
      </c>
      <c r="F241" s="37" t="s">
        <v>986</v>
      </c>
      <c r="G241" s="37" t="s">
        <v>986</v>
      </c>
      <c r="H241" s="37" t="s">
        <v>986</v>
      </c>
      <c r="I241" s="37" t="s">
        <v>986</v>
      </c>
      <c r="J241" s="37" t="s">
        <v>986</v>
      </c>
      <c r="K241" s="37">
        <v>111793</v>
      </c>
      <c r="L241" s="37">
        <v>111793</v>
      </c>
      <c r="M241" s="37" t="s">
        <v>986</v>
      </c>
      <c r="N241" s="37" t="s">
        <v>986</v>
      </c>
      <c r="O241" s="37" t="s">
        <v>986</v>
      </c>
      <c r="P241" s="37" t="s">
        <v>986</v>
      </c>
      <c r="Q241" s="37" t="s">
        <v>986</v>
      </c>
      <c r="R241" s="39" t="s">
        <v>92</v>
      </c>
      <c r="S241" s="36"/>
      <c r="T241" s="36"/>
      <c r="U241" s="36"/>
      <c r="V241" s="36"/>
      <c r="W241" s="36"/>
      <c r="X241" s="36"/>
      <c r="Y241" s="36"/>
    </row>
    <row r="242" spans="1:25" s="37" customFormat="1" ht="10.5" customHeight="1" x14ac:dyDescent="0.15">
      <c r="A242" s="559" t="s">
        <v>648</v>
      </c>
      <c r="B242" s="37" t="s">
        <v>986</v>
      </c>
      <c r="C242" s="37" t="s">
        <v>986</v>
      </c>
      <c r="D242" s="37" t="s">
        <v>986</v>
      </c>
      <c r="E242" s="37" t="s">
        <v>986</v>
      </c>
      <c r="F242" s="37" t="s">
        <v>986</v>
      </c>
      <c r="G242" s="37" t="s">
        <v>986</v>
      </c>
      <c r="H242" s="37" t="s">
        <v>986</v>
      </c>
      <c r="I242" s="37" t="s">
        <v>986</v>
      </c>
      <c r="J242" s="37" t="s">
        <v>986</v>
      </c>
      <c r="K242" s="37">
        <v>113990</v>
      </c>
      <c r="L242" s="37">
        <v>113990</v>
      </c>
      <c r="M242" s="37" t="s">
        <v>986</v>
      </c>
      <c r="N242" s="37" t="s">
        <v>986</v>
      </c>
      <c r="O242" s="37" t="s">
        <v>986</v>
      </c>
      <c r="P242" s="37" t="s">
        <v>986</v>
      </c>
      <c r="Q242" s="37" t="s">
        <v>986</v>
      </c>
      <c r="R242" s="39" t="s">
        <v>76</v>
      </c>
      <c r="S242" s="36"/>
      <c r="T242" s="36"/>
      <c r="U242" s="36"/>
      <c r="V242" s="36"/>
      <c r="W242" s="36"/>
      <c r="X242" s="36"/>
      <c r="Y242" s="36"/>
    </row>
    <row r="243" spans="1:25" s="37" customFormat="1" ht="10.5" customHeight="1" x14ac:dyDescent="0.15">
      <c r="A243" s="559" t="s">
        <v>649</v>
      </c>
      <c r="B243" s="37" t="s">
        <v>986</v>
      </c>
      <c r="C243" s="37" t="s">
        <v>986</v>
      </c>
      <c r="D243" s="37" t="s">
        <v>986</v>
      </c>
      <c r="E243" s="37" t="s">
        <v>986</v>
      </c>
      <c r="F243" s="37">
        <v>24826</v>
      </c>
      <c r="G243" s="37" t="s">
        <v>986</v>
      </c>
      <c r="H243" s="37" t="s">
        <v>986</v>
      </c>
      <c r="I243" s="37" t="s">
        <v>986</v>
      </c>
      <c r="J243" s="37" t="s">
        <v>986</v>
      </c>
      <c r="K243" s="37">
        <v>40114</v>
      </c>
      <c r="L243" s="37">
        <v>40114</v>
      </c>
      <c r="M243" s="37" t="s">
        <v>986</v>
      </c>
      <c r="N243" s="37">
        <v>40114</v>
      </c>
      <c r="O243" s="37" t="s">
        <v>986</v>
      </c>
      <c r="P243" s="37" t="s">
        <v>986</v>
      </c>
      <c r="Q243" s="37" t="s">
        <v>986</v>
      </c>
      <c r="R243" s="39" t="s">
        <v>77</v>
      </c>
      <c r="S243" s="36"/>
      <c r="T243" s="36"/>
      <c r="U243" s="36"/>
      <c r="V243" s="36"/>
      <c r="W243" s="36"/>
      <c r="X243" s="36"/>
      <c r="Y243" s="36"/>
    </row>
    <row r="244" spans="1:25" s="37" customFormat="1" ht="10.5" customHeight="1" x14ac:dyDescent="0.15">
      <c r="A244" s="559" t="s">
        <v>650</v>
      </c>
      <c r="B244" s="37" t="s">
        <v>986</v>
      </c>
      <c r="C244" s="37" t="s">
        <v>986</v>
      </c>
      <c r="D244" s="37" t="s">
        <v>986</v>
      </c>
      <c r="E244" s="37" t="s">
        <v>986</v>
      </c>
      <c r="F244" s="37" t="s">
        <v>986</v>
      </c>
      <c r="G244" s="37" t="s">
        <v>986</v>
      </c>
      <c r="H244" s="37" t="s">
        <v>986</v>
      </c>
      <c r="I244" s="37" t="s">
        <v>986</v>
      </c>
      <c r="J244" s="37" t="s">
        <v>986</v>
      </c>
      <c r="K244" s="37">
        <v>8442</v>
      </c>
      <c r="L244" s="37">
        <v>8442</v>
      </c>
      <c r="M244" s="37" t="s">
        <v>986</v>
      </c>
      <c r="N244" s="37" t="s">
        <v>986</v>
      </c>
      <c r="O244" s="37" t="s">
        <v>986</v>
      </c>
      <c r="P244" s="37" t="s">
        <v>986</v>
      </c>
      <c r="Q244" s="37" t="s">
        <v>986</v>
      </c>
      <c r="R244" s="39" t="s">
        <v>78</v>
      </c>
      <c r="S244" s="36"/>
      <c r="T244" s="36"/>
      <c r="U244" s="36"/>
      <c r="V244" s="36"/>
      <c r="W244" s="36"/>
      <c r="X244" s="36"/>
      <c r="Y244" s="36"/>
    </row>
    <row r="245" spans="1:25" s="37" customFormat="1" ht="10.5" customHeight="1" x14ac:dyDescent="0.15">
      <c r="A245" s="559" t="s">
        <v>996</v>
      </c>
      <c r="B245" s="37" t="s">
        <v>986</v>
      </c>
      <c r="C245" s="37" t="s">
        <v>986</v>
      </c>
      <c r="D245" s="37" t="s">
        <v>986</v>
      </c>
      <c r="E245" s="37" t="s">
        <v>986</v>
      </c>
      <c r="F245" s="37" t="s">
        <v>986</v>
      </c>
      <c r="G245" s="37" t="s">
        <v>986</v>
      </c>
      <c r="H245" s="37" t="s">
        <v>986</v>
      </c>
      <c r="I245" s="37" t="s">
        <v>986</v>
      </c>
      <c r="J245" s="37" t="s">
        <v>986</v>
      </c>
      <c r="K245" s="37">
        <v>42827</v>
      </c>
      <c r="L245" s="37">
        <v>42827</v>
      </c>
      <c r="M245" s="37" t="s">
        <v>986</v>
      </c>
      <c r="N245" s="37">
        <v>42827</v>
      </c>
      <c r="O245" s="37" t="s">
        <v>986</v>
      </c>
      <c r="P245" s="37" t="s">
        <v>986</v>
      </c>
      <c r="Q245" s="37" t="s">
        <v>986</v>
      </c>
      <c r="R245" s="39" t="s">
        <v>997</v>
      </c>
      <c r="S245" s="36"/>
      <c r="T245" s="36"/>
      <c r="U245" s="36"/>
      <c r="V245" s="36"/>
      <c r="W245" s="36"/>
      <c r="X245" s="36"/>
      <c r="Y245" s="36"/>
    </row>
    <row r="246" spans="1:25" s="37" customFormat="1" ht="10.5" customHeight="1" x14ac:dyDescent="0.15">
      <c r="A246" s="559" t="s">
        <v>651</v>
      </c>
      <c r="B246" s="37" t="s">
        <v>986</v>
      </c>
      <c r="C246" s="37" t="s">
        <v>986</v>
      </c>
      <c r="D246" s="37" t="s">
        <v>986</v>
      </c>
      <c r="E246" s="37" t="s">
        <v>986</v>
      </c>
      <c r="F246" s="37" t="s">
        <v>986</v>
      </c>
      <c r="G246" s="37" t="s">
        <v>986</v>
      </c>
      <c r="H246" s="37" t="s">
        <v>986</v>
      </c>
      <c r="I246" s="37" t="s">
        <v>986</v>
      </c>
      <c r="J246" s="37" t="s">
        <v>986</v>
      </c>
      <c r="K246" s="37" t="s">
        <v>986</v>
      </c>
      <c r="L246" s="37" t="s">
        <v>986</v>
      </c>
      <c r="M246" s="37" t="s">
        <v>986</v>
      </c>
      <c r="N246" s="37" t="s">
        <v>986</v>
      </c>
      <c r="O246" s="37" t="s">
        <v>986</v>
      </c>
      <c r="P246" s="37" t="s">
        <v>986</v>
      </c>
      <c r="Q246" s="37" t="s">
        <v>986</v>
      </c>
      <c r="R246" s="39" t="s">
        <v>73</v>
      </c>
      <c r="S246" s="36"/>
      <c r="T246" s="36"/>
      <c r="U246" s="36"/>
      <c r="V246" s="36"/>
      <c r="W246" s="36"/>
      <c r="X246" s="36"/>
      <c r="Y246" s="36"/>
    </row>
    <row r="247" spans="1:25" s="37" customFormat="1" ht="10.5" customHeight="1" x14ac:dyDescent="0.15">
      <c r="A247" s="661" t="s">
        <v>652</v>
      </c>
      <c r="B247" s="680" t="s">
        <v>986</v>
      </c>
      <c r="C247" s="681" t="s">
        <v>986</v>
      </c>
      <c r="D247" s="681" t="s">
        <v>986</v>
      </c>
      <c r="E247" s="681" t="s">
        <v>986</v>
      </c>
      <c r="F247" s="681" t="s">
        <v>986</v>
      </c>
      <c r="G247" s="681" t="s">
        <v>986</v>
      </c>
      <c r="H247" s="681" t="s">
        <v>986</v>
      </c>
      <c r="I247" s="681" t="s">
        <v>986</v>
      </c>
      <c r="J247" s="681" t="s">
        <v>986</v>
      </c>
      <c r="K247" s="681">
        <v>34320</v>
      </c>
      <c r="L247" s="681">
        <v>34320</v>
      </c>
      <c r="M247" s="681" t="s">
        <v>986</v>
      </c>
      <c r="N247" s="681">
        <v>34320</v>
      </c>
      <c r="O247" s="681" t="s">
        <v>986</v>
      </c>
      <c r="P247" s="681" t="s">
        <v>986</v>
      </c>
      <c r="Q247" s="681" t="s">
        <v>986</v>
      </c>
      <c r="R247" s="682" t="s">
        <v>74</v>
      </c>
      <c r="S247" s="36"/>
      <c r="T247" s="36"/>
      <c r="U247" s="36"/>
      <c r="V247" s="36"/>
      <c r="W247" s="36"/>
      <c r="X247" s="36"/>
      <c r="Y247" s="36"/>
    </row>
    <row r="248" spans="1:25" ht="23.25" customHeight="1" x14ac:dyDescent="0.25"/>
    <row r="249" spans="1:25" s="17" customFormat="1" ht="11.25" customHeight="1" x14ac:dyDescent="0.15">
      <c r="A249" s="668"/>
      <c r="B249" s="683" t="s">
        <v>111</v>
      </c>
      <c r="C249" s="671"/>
      <c r="D249" s="671"/>
      <c r="E249" s="671"/>
      <c r="F249" s="671"/>
      <c r="G249" s="668"/>
      <c r="H249" s="1030" t="s">
        <v>79</v>
      </c>
      <c r="S249" s="16"/>
      <c r="T249" s="16"/>
      <c r="U249" s="16"/>
      <c r="V249" s="16"/>
      <c r="W249" s="16"/>
      <c r="X249" s="16"/>
      <c r="Y249" s="16"/>
    </row>
    <row r="250" spans="1:25" s="35" customFormat="1" ht="28.5" customHeight="1" x14ac:dyDescent="0.15">
      <c r="A250" s="25" t="s">
        <v>172</v>
      </c>
      <c r="B250" s="684" t="s">
        <v>786</v>
      </c>
      <c r="C250" s="674"/>
      <c r="D250" s="674"/>
      <c r="E250" s="674"/>
      <c r="F250" s="675"/>
      <c r="G250" s="685" t="s">
        <v>781</v>
      </c>
      <c r="H250" s="1031"/>
      <c r="S250" s="13"/>
      <c r="T250" s="13"/>
      <c r="U250" s="13"/>
      <c r="V250" s="13"/>
      <c r="W250" s="13"/>
      <c r="X250" s="13"/>
      <c r="Y250" s="13"/>
    </row>
    <row r="251" spans="1:25" s="35" customFormat="1" ht="28.5" customHeight="1" x14ac:dyDescent="0.15">
      <c r="A251" s="25"/>
      <c r="B251" s="672" t="s">
        <v>660</v>
      </c>
      <c r="C251" s="672" t="s">
        <v>788</v>
      </c>
      <c r="D251" s="672" t="s">
        <v>789</v>
      </c>
      <c r="E251" s="688" t="s">
        <v>1025</v>
      </c>
      <c r="F251" s="672" t="s">
        <v>1026</v>
      </c>
      <c r="G251" s="685" t="s">
        <v>1027</v>
      </c>
      <c r="H251" s="1031"/>
      <c r="S251" s="13"/>
      <c r="T251" s="13"/>
      <c r="U251" s="13"/>
      <c r="V251" s="13"/>
      <c r="W251" s="13"/>
      <c r="X251" s="13"/>
      <c r="Y251" s="13"/>
    </row>
    <row r="252" spans="1:25" s="35" customFormat="1" ht="12" customHeight="1" x14ac:dyDescent="0.15">
      <c r="A252" s="687"/>
      <c r="B252" s="15" t="str">
        <f>PROPER("PYRENEES")</f>
        <v>Pyrenees</v>
      </c>
      <c r="C252" s="15" t="str">
        <f>PROPER("PLUTO-C")</f>
        <v>Pluto-C</v>
      </c>
      <c r="D252" s="15" t="str">
        <f>PROPER("WHTSTN-C")</f>
        <v>Whtstn-C</v>
      </c>
      <c r="E252" s="15" t="str">
        <f>PROPER("ICHTHY-C")</f>
        <v>Ichthy-C</v>
      </c>
      <c r="F252" s="15" t="str">
        <f>PROPER("CLIFHEAD")</f>
        <v>Clifhead</v>
      </c>
      <c r="G252" s="15" t="str">
        <f>PROPER("PAPUA-FO")</f>
        <v>Papua-Fo</v>
      </c>
      <c r="H252" s="1032"/>
      <c r="S252" s="13"/>
      <c r="T252" s="13"/>
      <c r="U252" s="13"/>
      <c r="V252" s="13"/>
      <c r="W252" s="13"/>
      <c r="X252" s="13"/>
      <c r="Y252" s="13"/>
    </row>
    <row r="253" spans="1:25" s="37" customFormat="1" ht="10.5" customHeight="1" x14ac:dyDescent="0.15">
      <c r="A253" s="657" t="s">
        <v>985</v>
      </c>
      <c r="B253" s="677" t="s">
        <v>986</v>
      </c>
      <c r="C253" s="678" t="s">
        <v>986</v>
      </c>
      <c r="D253" s="678">
        <v>54012</v>
      </c>
      <c r="E253" s="678">
        <v>102906</v>
      </c>
      <c r="F253" s="678" t="s">
        <v>986</v>
      </c>
      <c r="G253" s="689">
        <v>33843</v>
      </c>
      <c r="H253" s="679" t="s">
        <v>485</v>
      </c>
      <c r="S253" s="36"/>
      <c r="T253" s="36"/>
      <c r="U253" s="36"/>
      <c r="V253" s="36"/>
      <c r="W253" s="36"/>
      <c r="X253" s="36"/>
      <c r="Y253" s="36"/>
    </row>
    <row r="254" spans="1:25" s="37" customFormat="1" ht="10.5" customHeight="1" x14ac:dyDescent="0.15">
      <c r="A254" s="559" t="s">
        <v>634</v>
      </c>
      <c r="B254" s="37" t="s">
        <v>986</v>
      </c>
      <c r="C254" s="37" t="s">
        <v>986</v>
      </c>
      <c r="D254" s="37" t="s">
        <v>986</v>
      </c>
      <c r="E254" s="37">
        <v>102395</v>
      </c>
      <c r="F254" s="37" t="s">
        <v>986</v>
      </c>
      <c r="G254" s="579">
        <v>46766</v>
      </c>
      <c r="H254" s="39" t="s">
        <v>588</v>
      </c>
      <c r="S254" s="36"/>
      <c r="T254" s="36"/>
      <c r="U254" s="36"/>
      <c r="V254" s="36"/>
      <c r="W254" s="36"/>
      <c r="X254" s="36"/>
      <c r="Y254" s="36"/>
    </row>
    <row r="255" spans="1:25" s="37" customFormat="1" ht="10.5" customHeight="1" x14ac:dyDescent="0.15">
      <c r="A255" s="559" t="s">
        <v>635</v>
      </c>
      <c r="B255" s="37" t="s">
        <v>986</v>
      </c>
      <c r="C255" s="37">
        <v>51355</v>
      </c>
      <c r="D255" s="37" t="s">
        <v>986</v>
      </c>
      <c r="E255" s="37" t="s">
        <v>986</v>
      </c>
      <c r="F255" s="37" t="s">
        <v>986</v>
      </c>
      <c r="G255" s="579">
        <v>74115</v>
      </c>
      <c r="H255" s="39" t="s">
        <v>636</v>
      </c>
      <c r="S255" s="36"/>
      <c r="T255" s="36"/>
      <c r="U255" s="36"/>
      <c r="V255" s="36"/>
      <c r="W255" s="36"/>
      <c r="X255" s="36"/>
      <c r="Y255" s="36"/>
    </row>
    <row r="256" spans="1:25" s="37" customFormat="1" ht="10.5" customHeight="1" x14ac:dyDescent="0.15">
      <c r="A256" s="559" t="s">
        <v>774</v>
      </c>
      <c r="B256" s="37">
        <v>3930</v>
      </c>
      <c r="C256" s="37" t="s">
        <v>986</v>
      </c>
      <c r="D256" s="37" t="s">
        <v>986</v>
      </c>
      <c r="E256" s="37" t="s">
        <v>986</v>
      </c>
      <c r="F256" s="37" t="s">
        <v>986</v>
      </c>
      <c r="G256" s="579">
        <v>30364</v>
      </c>
      <c r="H256" s="39" t="s">
        <v>775</v>
      </c>
      <c r="S256" s="36"/>
      <c r="T256" s="36"/>
      <c r="U256" s="36"/>
      <c r="V256" s="36"/>
      <c r="W256" s="36"/>
      <c r="X256" s="36"/>
      <c r="Y256" s="36"/>
    </row>
    <row r="257" spans="1:25" s="37" customFormat="1" ht="10.5" customHeight="1" x14ac:dyDescent="0.15">
      <c r="A257" s="559" t="s">
        <v>987</v>
      </c>
      <c r="B257" s="37">
        <v>149496</v>
      </c>
      <c r="C257" s="37" t="s">
        <v>986</v>
      </c>
      <c r="D257" s="37" t="s">
        <v>986</v>
      </c>
      <c r="E257" s="37">
        <v>287439</v>
      </c>
      <c r="F257" s="37">
        <v>16759</v>
      </c>
      <c r="G257" s="579" t="s">
        <v>986</v>
      </c>
      <c r="H257" s="39" t="s">
        <v>988</v>
      </c>
      <c r="S257" s="36"/>
      <c r="T257" s="36"/>
      <c r="U257" s="36"/>
      <c r="V257" s="36"/>
      <c r="W257" s="36"/>
      <c r="X257" s="36"/>
      <c r="Y257" s="36"/>
    </row>
    <row r="258" spans="1:25" s="37" customFormat="1" ht="10.5" customHeight="1" x14ac:dyDescent="0.15">
      <c r="A258" s="578"/>
      <c r="G258" s="579"/>
      <c r="H258" s="39"/>
      <c r="S258" s="36"/>
      <c r="T258" s="36"/>
      <c r="U258" s="36"/>
      <c r="V258" s="36"/>
      <c r="W258" s="36"/>
      <c r="X258" s="36"/>
      <c r="Y258" s="36"/>
    </row>
    <row r="259" spans="1:25" s="37" customFormat="1" ht="10.5" customHeight="1" x14ac:dyDescent="0.15">
      <c r="A259" s="559" t="s">
        <v>989</v>
      </c>
      <c r="B259" s="37">
        <v>23259</v>
      </c>
      <c r="C259" s="37" t="s">
        <v>986</v>
      </c>
      <c r="D259" s="37" t="s">
        <v>986</v>
      </c>
      <c r="E259" s="37" t="s">
        <v>986</v>
      </c>
      <c r="F259" s="37" t="s">
        <v>986</v>
      </c>
      <c r="G259" s="579">
        <v>18610</v>
      </c>
      <c r="H259" s="39" t="s">
        <v>776</v>
      </c>
      <c r="S259" s="36"/>
      <c r="T259" s="36"/>
      <c r="U259" s="36"/>
      <c r="V259" s="36"/>
      <c r="W259" s="36"/>
      <c r="X259" s="36"/>
      <c r="Y259" s="36"/>
    </row>
    <row r="260" spans="1:25" s="37" customFormat="1" ht="10.5" customHeight="1" x14ac:dyDescent="0.15">
      <c r="A260" s="559" t="s">
        <v>990</v>
      </c>
      <c r="B260" s="37">
        <v>126237</v>
      </c>
      <c r="C260" s="37" t="s">
        <v>986</v>
      </c>
      <c r="D260" s="37" t="s">
        <v>986</v>
      </c>
      <c r="E260" s="37">
        <v>287439</v>
      </c>
      <c r="F260" s="37">
        <v>16759</v>
      </c>
      <c r="G260" s="579" t="s">
        <v>986</v>
      </c>
      <c r="H260" s="39" t="s">
        <v>991</v>
      </c>
      <c r="S260" s="36"/>
      <c r="T260" s="36"/>
      <c r="U260" s="36"/>
      <c r="V260" s="36"/>
      <c r="W260" s="36"/>
      <c r="X260" s="36"/>
      <c r="Y260" s="36"/>
    </row>
    <row r="261" spans="1:25" s="37" customFormat="1" ht="10.5" customHeight="1" x14ac:dyDescent="0.15">
      <c r="A261" s="578"/>
      <c r="G261" s="579"/>
      <c r="H261" s="39"/>
      <c r="S261" s="36"/>
      <c r="T261" s="36"/>
      <c r="U261" s="36"/>
      <c r="V261" s="36"/>
      <c r="W261" s="36"/>
      <c r="X261" s="36"/>
      <c r="Y261" s="36"/>
    </row>
    <row r="262" spans="1:25" s="37" customFormat="1" ht="10.5" customHeight="1" x14ac:dyDescent="0.15">
      <c r="A262" s="559" t="s">
        <v>992</v>
      </c>
      <c r="B262" s="37">
        <v>23259</v>
      </c>
      <c r="C262" s="37" t="s">
        <v>986</v>
      </c>
      <c r="D262" s="37" t="s">
        <v>986</v>
      </c>
      <c r="E262" s="37" t="s">
        <v>986</v>
      </c>
      <c r="F262" s="37" t="s">
        <v>986</v>
      </c>
      <c r="G262" s="579" t="s">
        <v>986</v>
      </c>
      <c r="H262" s="39" t="s">
        <v>777</v>
      </c>
      <c r="S262" s="36"/>
      <c r="T262" s="36"/>
      <c r="U262" s="36"/>
      <c r="V262" s="36"/>
      <c r="W262" s="36"/>
      <c r="X262" s="36"/>
      <c r="Y262" s="36"/>
    </row>
    <row r="263" spans="1:25" s="37" customFormat="1" ht="10.5" customHeight="1" x14ac:dyDescent="0.15">
      <c r="A263" s="559" t="s">
        <v>637</v>
      </c>
      <c r="B263" s="37">
        <v>64157</v>
      </c>
      <c r="C263" s="37" t="s">
        <v>986</v>
      </c>
      <c r="D263" s="37" t="s">
        <v>986</v>
      </c>
      <c r="E263" s="37" t="s">
        <v>986</v>
      </c>
      <c r="F263" s="37" t="s">
        <v>986</v>
      </c>
      <c r="G263" s="579" t="s">
        <v>986</v>
      </c>
      <c r="H263" s="39" t="s">
        <v>85</v>
      </c>
      <c r="S263" s="36"/>
      <c r="T263" s="36"/>
      <c r="U263" s="36"/>
      <c r="V263" s="36"/>
      <c r="W263" s="36"/>
      <c r="X263" s="36"/>
      <c r="Y263" s="36"/>
    </row>
    <row r="264" spans="1:25" s="37" customFormat="1" ht="10.5" customHeight="1" x14ac:dyDescent="0.15">
      <c r="A264" s="559" t="s">
        <v>638</v>
      </c>
      <c r="B264" s="37">
        <v>33897</v>
      </c>
      <c r="C264" s="37" t="s">
        <v>986</v>
      </c>
      <c r="D264" s="37" t="s">
        <v>986</v>
      </c>
      <c r="E264" s="37">
        <v>201632</v>
      </c>
      <c r="F264" s="37">
        <v>8317</v>
      </c>
      <c r="G264" s="579" t="s">
        <v>986</v>
      </c>
      <c r="H264" s="39" t="s">
        <v>86</v>
      </c>
      <c r="S264" s="36"/>
      <c r="T264" s="36"/>
      <c r="U264" s="36"/>
      <c r="V264" s="36"/>
      <c r="W264" s="36"/>
      <c r="X264" s="36"/>
      <c r="Y264" s="36"/>
    </row>
    <row r="265" spans="1:25" s="37" customFormat="1" ht="10.5" customHeight="1" x14ac:dyDescent="0.15">
      <c r="A265" s="559" t="s">
        <v>639</v>
      </c>
      <c r="B265" s="37">
        <v>28183</v>
      </c>
      <c r="C265" s="37" t="s">
        <v>986</v>
      </c>
      <c r="D265" s="37" t="s">
        <v>986</v>
      </c>
      <c r="E265" s="37">
        <v>85807</v>
      </c>
      <c r="F265" s="37">
        <v>8442</v>
      </c>
      <c r="G265" s="579" t="s">
        <v>986</v>
      </c>
      <c r="H265" s="39" t="s">
        <v>87</v>
      </c>
      <c r="S265" s="36"/>
      <c r="T265" s="36"/>
      <c r="U265" s="36"/>
      <c r="V265" s="36"/>
      <c r="W265" s="36"/>
      <c r="X265" s="36"/>
      <c r="Y265" s="36"/>
    </row>
    <row r="266" spans="1:25" s="37" customFormat="1" ht="10.5" customHeight="1" x14ac:dyDescent="0.15">
      <c r="A266" s="559" t="s">
        <v>993</v>
      </c>
      <c r="B266" s="37" t="s">
        <v>986</v>
      </c>
      <c r="C266" s="37" t="s">
        <v>986</v>
      </c>
      <c r="D266" s="37" t="s">
        <v>986</v>
      </c>
      <c r="E266" s="37" t="s">
        <v>986</v>
      </c>
      <c r="F266" s="37" t="s">
        <v>986</v>
      </c>
      <c r="G266" s="579" t="s">
        <v>986</v>
      </c>
      <c r="H266" s="39" t="s">
        <v>994</v>
      </c>
      <c r="S266" s="36"/>
      <c r="T266" s="36"/>
      <c r="U266" s="36"/>
      <c r="V266" s="36"/>
      <c r="W266" s="36"/>
      <c r="X266" s="36"/>
      <c r="Y266" s="36"/>
    </row>
    <row r="267" spans="1:25" s="37" customFormat="1" ht="10.5" customHeight="1" x14ac:dyDescent="0.15">
      <c r="A267" s="578"/>
      <c r="G267" s="579"/>
      <c r="H267" s="39"/>
      <c r="S267" s="36"/>
      <c r="T267" s="36"/>
      <c r="U267" s="36"/>
      <c r="V267" s="36"/>
      <c r="W267" s="36"/>
      <c r="X267" s="36"/>
      <c r="Y267" s="36"/>
    </row>
    <row r="268" spans="1:25" s="37" customFormat="1" ht="10.5" customHeight="1" x14ac:dyDescent="0.15">
      <c r="A268" s="559" t="s">
        <v>995</v>
      </c>
      <c r="B268" s="37" t="s">
        <v>986</v>
      </c>
      <c r="C268" s="37" t="s">
        <v>986</v>
      </c>
      <c r="D268" s="37" t="s">
        <v>986</v>
      </c>
      <c r="E268" s="37" t="s">
        <v>986</v>
      </c>
      <c r="F268" s="37" t="s">
        <v>986</v>
      </c>
      <c r="G268" s="579" t="s">
        <v>986</v>
      </c>
      <c r="H268" s="39" t="s">
        <v>778</v>
      </c>
      <c r="S268" s="36"/>
      <c r="T268" s="36"/>
      <c r="U268" s="36"/>
      <c r="V268" s="36"/>
      <c r="W268" s="36"/>
      <c r="X268" s="36"/>
      <c r="Y268" s="36"/>
    </row>
    <row r="269" spans="1:25" s="37" customFormat="1" ht="10.5" customHeight="1" x14ac:dyDescent="0.15">
      <c r="A269" s="559" t="s">
        <v>640</v>
      </c>
      <c r="B269" s="37">
        <v>23259</v>
      </c>
      <c r="C269" s="37" t="s">
        <v>986</v>
      </c>
      <c r="D269" s="37" t="s">
        <v>986</v>
      </c>
      <c r="E269" s="37" t="s">
        <v>986</v>
      </c>
      <c r="F269" s="37" t="s">
        <v>986</v>
      </c>
      <c r="G269" s="579" t="s">
        <v>986</v>
      </c>
      <c r="H269" s="39" t="s">
        <v>73</v>
      </c>
      <c r="S269" s="36"/>
      <c r="T269" s="36"/>
      <c r="U269" s="36"/>
      <c r="V269" s="36"/>
      <c r="W269" s="36"/>
      <c r="X269" s="36"/>
      <c r="Y269" s="36"/>
    </row>
    <row r="270" spans="1:25" s="37" customFormat="1" ht="10.5" customHeight="1" x14ac:dyDescent="0.15">
      <c r="A270" s="559" t="s">
        <v>641</v>
      </c>
      <c r="B270" s="37" t="s">
        <v>986</v>
      </c>
      <c r="C270" s="37" t="s">
        <v>986</v>
      </c>
      <c r="D270" s="37" t="s">
        <v>986</v>
      </c>
      <c r="E270" s="37" t="s">
        <v>986</v>
      </c>
      <c r="F270" s="37" t="s">
        <v>986</v>
      </c>
      <c r="G270" s="579" t="s">
        <v>986</v>
      </c>
      <c r="H270" s="39" t="s">
        <v>74</v>
      </c>
      <c r="S270" s="36"/>
      <c r="T270" s="36"/>
      <c r="U270" s="36"/>
      <c r="V270" s="36"/>
      <c r="W270" s="36"/>
      <c r="X270" s="36"/>
      <c r="Y270" s="36"/>
    </row>
    <row r="271" spans="1:25" s="37" customFormat="1" ht="10.5" customHeight="1" x14ac:dyDescent="0.15">
      <c r="A271" s="559" t="s">
        <v>642</v>
      </c>
      <c r="B271" s="37">
        <v>32378</v>
      </c>
      <c r="C271" s="37" t="s">
        <v>986</v>
      </c>
      <c r="D271" s="37" t="s">
        <v>986</v>
      </c>
      <c r="E271" s="37" t="s">
        <v>986</v>
      </c>
      <c r="F271" s="37" t="s">
        <v>986</v>
      </c>
      <c r="G271" s="579" t="s">
        <v>986</v>
      </c>
      <c r="H271" s="39" t="s">
        <v>75</v>
      </c>
      <c r="S271" s="36"/>
      <c r="T271" s="36"/>
      <c r="U271" s="36"/>
      <c r="V271" s="36"/>
      <c r="W271" s="36"/>
      <c r="X271" s="36"/>
      <c r="Y271" s="36"/>
    </row>
    <row r="272" spans="1:25" s="37" customFormat="1" ht="10.5" customHeight="1" x14ac:dyDescent="0.15">
      <c r="A272" s="559" t="s">
        <v>643</v>
      </c>
      <c r="B272" s="37" t="s">
        <v>986</v>
      </c>
      <c r="C272" s="37" t="s">
        <v>986</v>
      </c>
      <c r="D272" s="37" t="s">
        <v>986</v>
      </c>
      <c r="E272" s="37" t="s">
        <v>986</v>
      </c>
      <c r="F272" s="37" t="s">
        <v>986</v>
      </c>
      <c r="G272" s="579" t="s">
        <v>986</v>
      </c>
      <c r="H272" s="40" t="s">
        <v>88</v>
      </c>
      <c r="S272" s="36"/>
      <c r="T272" s="36"/>
      <c r="U272" s="36"/>
      <c r="V272" s="36"/>
      <c r="W272" s="36"/>
      <c r="X272" s="36"/>
      <c r="Y272" s="36"/>
    </row>
    <row r="273" spans="1:25" s="37" customFormat="1" ht="10.5" customHeight="1" x14ac:dyDescent="0.15">
      <c r="A273" s="559" t="s">
        <v>644</v>
      </c>
      <c r="B273" s="37">
        <v>31779</v>
      </c>
      <c r="C273" s="37" t="s">
        <v>986</v>
      </c>
      <c r="D273" s="37" t="s">
        <v>986</v>
      </c>
      <c r="E273" s="37" t="s">
        <v>986</v>
      </c>
      <c r="F273" s="37" t="s">
        <v>986</v>
      </c>
      <c r="G273" s="579" t="s">
        <v>986</v>
      </c>
      <c r="H273" s="39" t="s">
        <v>89</v>
      </c>
      <c r="S273" s="36"/>
      <c r="T273" s="36"/>
      <c r="U273" s="36"/>
      <c r="V273" s="36"/>
      <c r="W273" s="36"/>
      <c r="X273" s="36"/>
      <c r="Y273" s="36"/>
    </row>
    <row r="274" spans="1:25" s="37" customFormat="1" ht="10.5" customHeight="1" x14ac:dyDescent="0.15">
      <c r="A274" s="559" t="s">
        <v>645</v>
      </c>
      <c r="B274" s="37">
        <v>10681</v>
      </c>
      <c r="C274" s="37" t="s">
        <v>986</v>
      </c>
      <c r="D274" s="37" t="s">
        <v>986</v>
      </c>
      <c r="E274" s="37" t="s">
        <v>986</v>
      </c>
      <c r="F274" s="37" t="s">
        <v>986</v>
      </c>
      <c r="G274" s="579" t="s">
        <v>986</v>
      </c>
      <c r="H274" s="39" t="s">
        <v>90</v>
      </c>
      <c r="S274" s="36"/>
      <c r="T274" s="36"/>
      <c r="U274" s="36"/>
      <c r="V274" s="36"/>
      <c r="W274" s="36"/>
      <c r="X274" s="36"/>
      <c r="Y274" s="36"/>
    </row>
    <row r="275" spans="1:25" s="37" customFormat="1" ht="10.5" customHeight="1" x14ac:dyDescent="0.15">
      <c r="A275" s="559" t="s">
        <v>646</v>
      </c>
      <c r="B275" s="37">
        <v>23216</v>
      </c>
      <c r="C275" s="37" t="s">
        <v>986</v>
      </c>
      <c r="D275" s="37" t="s">
        <v>986</v>
      </c>
      <c r="E275" s="37">
        <v>98156</v>
      </c>
      <c r="F275" s="37" t="s">
        <v>986</v>
      </c>
      <c r="G275" s="579" t="s">
        <v>986</v>
      </c>
      <c r="H275" s="39" t="s">
        <v>91</v>
      </c>
      <c r="S275" s="36"/>
      <c r="T275" s="36"/>
      <c r="U275" s="36"/>
      <c r="V275" s="36"/>
      <c r="W275" s="36"/>
      <c r="X275" s="36"/>
      <c r="Y275" s="36"/>
    </row>
    <row r="276" spans="1:25" s="37" customFormat="1" ht="10.5" customHeight="1" x14ac:dyDescent="0.15">
      <c r="A276" s="559" t="s">
        <v>647</v>
      </c>
      <c r="B276" s="37" t="s">
        <v>986</v>
      </c>
      <c r="C276" s="37" t="s">
        <v>986</v>
      </c>
      <c r="D276" s="37" t="s">
        <v>986</v>
      </c>
      <c r="E276" s="37">
        <v>103476</v>
      </c>
      <c r="F276" s="37">
        <v>8317</v>
      </c>
      <c r="G276" s="579" t="s">
        <v>986</v>
      </c>
      <c r="H276" s="39" t="s">
        <v>92</v>
      </c>
      <c r="S276" s="36"/>
      <c r="T276" s="36"/>
      <c r="U276" s="36"/>
      <c r="V276" s="36"/>
      <c r="W276" s="36"/>
      <c r="X276" s="36"/>
      <c r="Y276" s="36"/>
    </row>
    <row r="277" spans="1:25" s="37" customFormat="1" ht="10.5" customHeight="1" x14ac:dyDescent="0.15">
      <c r="A277" s="559" t="s">
        <v>648</v>
      </c>
      <c r="B277" s="37">
        <v>28183</v>
      </c>
      <c r="C277" s="37" t="s">
        <v>986</v>
      </c>
      <c r="D277" s="37" t="s">
        <v>986</v>
      </c>
      <c r="E277" s="37">
        <v>85807</v>
      </c>
      <c r="F277" s="37" t="s">
        <v>986</v>
      </c>
      <c r="G277" s="579" t="s">
        <v>986</v>
      </c>
      <c r="H277" s="39" t="s">
        <v>76</v>
      </c>
      <c r="S277" s="36"/>
      <c r="T277" s="36"/>
      <c r="U277" s="36"/>
      <c r="V277" s="36"/>
      <c r="W277" s="36"/>
      <c r="X277" s="36"/>
      <c r="Y277" s="36"/>
    </row>
    <row r="278" spans="1:25" s="37" customFormat="1" ht="10.5" customHeight="1" x14ac:dyDescent="0.15">
      <c r="A278" s="559" t="s">
        <v>649</v>
      </c>
      <c r="B278" s="37" t="s">
        <v>986</v>
      </c>
      <c r="C278" s="37" t="s">
        <v>986</v>
      </c>
      <c r="D278" s="37" t="s">
        <v>986</v>
      </c>
      <c r="E278" s="37" t="s">
        <v>986</v>
      </c>
      <c r="F278" s="37" t="s">
        <v>986</v>
      </c>
      <c r="G278" s="579" t="s">
        <v>986</v>
      </c>
      <c r="H278" s="39" t="s">
        <v>77</v>
      </c>
      <c r="S278" s="36"/>
      <c r="T278" s="36"/>
      <c r="U278" s="36"/>
      <c r="V278" s="36"/>
      <c r="W278" s="36"/>
      <c r="X278" s="36"/>
      <c r="Y278" s="36"/>
    </row>
    <row r="279" spans="1:25" s="37" customFormat="1" ht="10.5" customHeight="1" x14ac:dyDescent="0.15">
      <c r="A279" s="559" t="s">
        <v>650</v>
      </c>
      <c r="B279" s="37" t="s">
        <v>986</v>
      </c>
      <c r="C279" s="37" t="s">
        <v>986</v>
      </c>
      <c r="D279" s="37" t="s">
        <v>986</v>
      </c>
      <c r="E279" s="37" t="s">
        <v>986</v>
      </c>
      <c r="F279" s="37">
        <v>8442</v>
      </c>
      <c r="G279" s="579" t="s">
        <v>986</v>
      </c>
      <c r="H279" s="39" t="s">
        <v>78</v>
      </c>
      <c r="S279" s="36"/>
      <c r="T279" s="36"/>
      <c r="U279" s="36"/>
      <c r="V279" s="36"/>
      <c r="W279" s="36"/>
      <c r="X279" s="36"/>
      <c r="Y279" s="36"/>
    </row>
    <row r="280" spans="1:25" s="37" customFormat="1" ht="10.5" customHeight="1" x14ac:dyDescent="0.15">
      <c r="A280" s="559" t="s">
        <v>996</v>
      </c>
      <c r="B280" s="37" t="s">
        <v>986</v>
      </c>
      <c r="C280" s="37" t="s">
        <v>986</v>
      </c>
      <c r="D280" s="37" t="s">
        <v>986</v>
      </c>
      <c r="E280" s="37" t="s">
        <v>986</v>
      </c>
      <c r="F280" s="37" t="s">
        <v>986</v>
      </c>
      <c r="G280" s="579" t="s">
        <v>986</v>
      </c>
      <c r="H280" s="39" t="s">
        <v>997</v>
      </c>
      <c r="S280" s="36"/>
      <c r="T280" s="36"/>
      <c r="U280" s="36"/>
      <c r="V280" s="36"/>
      <c r="W280" s="36"/>
      <c r="X280" s="36"/>
      <c r="Y280" s="36"/>
    </row>
    <row r="281" spans="1:25" s="37" customFormat="1" ht="10.5" customHeight="1" x14ac:dyDescent="0.15">
      <c r="A281" s="559" t="s">
        <v>651</v>
      </c>
      <c r="B281" s="37" t="s">
        <v>986</v>
      </c>
      <c r="C281" s="37" t="s">
        <v>986</v>
      </c>
      <c r="D281" s="37" t="s">
        <v>986</v>
      </c>
      <c r="E281" s="37" t="s">
        <v>986</v>
      </c>
      <c r="F281" s="37" t="s">
        <v>986</v>
      </c>
      <c r="G281" s="579" t="s">
        <v>986</v>
      </c>
      <c r="H281" s="39" t="s">
        <v>73</v>
      </c>
      <c r="S281" s="36"/>
      <c r="T281" s="36"/>
      <c r="U281" s="36"/>
      <c r="V281" s="36"/>
      <c r="W281" s="36"/>
      <c r="X281" s="36"/>
      <c r="Y281" s="36"/>
    </row>
    <row r="282" spans="1:25" s="37" customFormat="1" ht="10.5" customHeight="1" x14ac:dyDescent="0.15">
      <c r="A282" s="661" t="s">
        <v>652</v>
      </c>
      <c r="B282" s="680" t="s">
        <v>986</v>
      </c>
      <c r="C282" s="681" t="s">
        <v>986</v>
      </c>
      <c r="D282" s="681" t="s">
        <v>986</v>
      </c>
      <c r="E282" s="681" t="s">
        <v>986</v>
      </c>
      <c r="F282" s="681" t="s">
        <v>986</v>
      </c>
      <c r="G282" s="690" t="s">
        <v>986</v>
      </c>
      <c r="H282" s="682" t="s">
        <v>74</v>
      </c>
      <c r="S282" s="36"/>
      <c r="T282" s="36"/>
      <c r="U282" s="36"/>
      <c r="V282" s="36"/>
      <c r="W282" s="36"/>
      <c r="X282" s="36"/>
      <c r="Y282" s="36"/>
    </row>
    <row r="283" spans="1:25" ht="23.25" customHeight="1" x14ac:dyDescent="0.25"/>
  </sheetData>
  <mergeCells count="9">
    <mergeCell ref="R179:R182"/>
    <mergeCell ref="R214:R217"/>
    <mergeCell ref="H249:H252"/>
    <mergeCell ref="A3:E3"/>
    <mergeCell ref="R4:R7"/>
    <mergeCell ref="R39:R42"/>
    <mergeCell ref="R74:R77"/>
    <mergeCell ref="R109:R112"/>
    <mergeCell ref="R144:R147"/>
  </mergeCells>
  <phoneticPr fontId="33"/>
  <pageMargins left="0.59055118110236227" right="0.59055118110236227" top="0.59055118110236227" bottom="0.59055118110236227" header="0.19685039370078741" footer="0.31496062992125984"/>
  <pageSetup paperSize="9" scale="99" pageOrder="overThenDown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11"/>
  <sheetViews>
    <sheetView view="pageBreakPreview" zoomScaleNormal="100" zoomScaleSheetLayoutView="100" workbookViewId="0">
      <pane xSplit="1" topLeftCell="B1" activePane="topRight" state="frozen"/>
      <selection pane="topRight"/>
    </sheetView>
  </sheetViews>
  <sheetFormatPr defaultRowHeight="24" x14ac:dyDescent="0.15"/>
  <cols>
    <col min="1" max="1" width="14.625" style="43" customWidth="1"/>
    <col min="2" max="17" width="9.75" style="43" customWidth="1"/>
    <col min="18" max="18" width="10.75" style="43" customWidth="1"/>
    <col min="19" max="19" width="10.25" style="43" customWidth="1"/>
    <col min="20" max="20" width="22.375" style="43" customWidth="1"/>
    <col min="21" max="16384" width="9" style="43"/>
  </cols>
  <sheetData>
    <row r="1" spans="1:19" ht="3" customHeight="1" x14ac:dyDescent="0.15"/>
    <row r="2" spans="1:19" ht="5.25" customHeight="1" x14ac:dyDescent="0.15"/>
    <row r="3" spans="1:19" ht="18.75" customHeight="1" x14ac:dyDescent="0.15">
      <c r="A3" s="287" t="s">
        <v>178</v>
      </c>
      <c r="B3" s="561"/>
      <c r="C3" s="561"/>
      <c r="I3" s="24" t="s">
        <v>434</v>
      </c>
      <c r="Q3" s="23" t="s">
        <v>435</v>
      </c>
      <c r="R3" s="23"/>
      <c r="S3" s="44"/>
    </row>
    <row r="4" spans="1:19" s="643" customFormat="1" ht="12" customHeight="1" x14ac:dyDescent="0.15">
      <c r="A4" s="724"/>
      <c r="B4" s="725"/>
      <c r="C4" s="726"/>
      <c r="D4" s="727"/>
      <c r="E4" s="727"/>
      <c r="F4" s="727"/>
      <c r="G4" s="727"/>
      <c r="H4" s="727"/>
      <c r="I4" s="727"/>
      <c r="J4" s="727"/>
      <c r="K4" s="727"/>
      <c r="L4" s="727"/>
      <c r="M4" s="727"/>
      <c r="N4" s="727"/>
      <c r="O4" s="727"/>
      <c r="P4" s="727"/>
      <c r="Q4" s="727"/>
      <c r="R4" s="1027" t="s">
        <v>79</v>
      </c>
    </row>
    <row r="5" spans="1:19" s="29" customFormat="1" ht="13.5" customHeight="1" x14ac:dyDescent="0.15">
      <c r="A5" s="27"/>
      <c r="B5" s="637" t="s">
        <v>55</v>
      </c>
      <c r="C5" s="637" t="s">
        <v>179</v>
      </c>
      <c r="D5" s="654"/>
      <c r="E5" s="728"/>
      <c r="F5" s="654"/>
      <c r="G5" s="729"/>
      <c r="H5" s="729"/>
      <c r="I5" s="729"/>
      <c r="J5" s="729"/>
      <c r="K5" s="729"/>
      <c r="L5" s="729"/>
      <c r="M5" s="729"/>
      <c r="N5" s="728"/>
      <c r="O5" s="654"/>
      <c r="P5" s="728"/>
      <c r="Q5" s="654"/>
      <c r="R5" s="1028"/>
    </row>
    <row r="6" spans="1:19" s="29" customFormat="1" ht="33.75" customHeight="1" x14ac:dyDescent="0.15">
      <c r="A6" s="27" t="s">
        <v>172</v>
      </c>
      <c r="B6" s="637" t="s">
        <v>54</v>
      </c>
      <c r="C6" s="637" t="s">
        <v>180</v>
      </c>
      <c r="D6" s="637" t="s">
        <v>114</v>
      </c>
      <c r="E6" s="653" t="s">
        <v>616</v>
      </c>
      <c r="F6" s="637" t="s">
        <v>81</v>
      </c>
      <c r="G6" s="654" t="s">
        <v>115</v>
      </c>
      <c r="H6" s="729"/>
      <c r="I6" s="728"/>
      <c r="J6" s="654" t="s">
        <v>122</v>
      </c>
      <c r="K6" s="728"/>
      <c r="L6" s="654" t="s">
        <v>39</v>
      </c>
      <c r="M6" s="729"/>
      <c r="N6" s="728"/>
      <c r="O6" s="637" t="s">
        <v>82</v>
      </c>
      <c r="P6" s="730" t="s">
        <v>185</v>
      </c>
      <c r="Q6" s="644" t="s">
        <v>159</v>
      </c>
      <c r="R6" s="1028"/>
    </row>
    <row r="7" spans="1:19" s="29" customFormat="1" ht="22.5" customHeight="1" x14ac:dyDescent="0.15">
      <c r="A7" s="27"/>
      <c r="B7" s="637"/>
      <c r="C7" s="637"/>
      <c r="D7" s="637" t="s">
        <v>83</v>
      </c>
      <c r="E7" s="653" t="s">
        <v>617</v>
      </c>
      <c r="F7" s="637" t="s">
        <v>84</v>
      </c>
      <c r="G7" s="637" t="s">
        <v>38</v>
      </c>
      <c r="H7" s="653" t="s">
        <v>119</v>
      </c>
      <c r="I7" s="653" t="s">
        <v>120</v>
      </c>
      <c r="J7" s="637" t="s">
        <v>18</v>
      </c>
      <c r="K7" s="653" t="s">
        <v>1002</v>
      </c>
      <c r="L7" s="637" t="s">
        <v>20</v>
      </c>
      <c r="M7" s="653" t="s">
        <v>40</v>
      </c>
      <c r="N7" s="653" t="s">
        <v>41</v>
      </c>
      <c r="O7" s="637" t="s">
        <v>43</v>
      </c>
      <c r="P7" s="653" t="s">
        <v>144</v>
      </c>
      <c r="Q7" s="644" t="s">
        <v>24</v>
      </c>
      <c r="R7" s="1028"/>
    </row>
    <row r="8" spans="1:19" s="29" customFormat="1" ht="13.5" customHeight="1" x14ac:dyDescent="0.15">
      <c r="A8" s="27"/>
      <c r="B8" s="638"/>
      <c r="C8" s="638"/>
      <c r="D8" s="638"/>
      <c r="E8" s="638" t="str">
        <f>PROPER("Domestic")</f>
        <v>Domestic</v>
      </c>
      <c r="F8" s="638"/>
      <c r="G8" s="638"/>
      <c r="H8" s="638" t="str">
        <f>PROPER("SUTUDEN")</f>
        <v>Sutuden</v>
      </c>
      <c r="I8" s="638" t="str">
        <f>PROPER("CHIM-SAO")</f>
        <v>Chim-Sao</v>
      </c>
      <c r="J8" s="638"/>
      <c r="K8" s="638" t="str">
        <f>PROPER("KIKEH")</f>
        <v>Kikeh</v>
      </c>
      <c r="L8" s="638"/>
      <c r="M8" s="638" t="str">
        <f>PROPER("DURI")</f>
        <v>Duri</v>
      </c>
      <c r="N8" s="638" t="str">
        <f>PROPER("SUMATR-L")</f>
        <v>Sumatr-L</v>
      </c>
      <c r="O8" s="638"/>
      <c r="P8" s="638" t="str">
        <f>PROPER("U-SHAIF")</f>
        <v>U-Shaif</v>
      </c>
      <c r="Q8" s="656"/>
      <c r="R8" s="1029"/>
    </row>
    <row r="9" spans="1:19" s="45" customFormat="1" ht="9.75" customHeight="1" x14ac:dyDescent="0.15">
      <c r="A9" s="657" t="s">
        <v>985</v>
      </c>
      <c r="B9" s="731">
        <v>236193</v>
      </c>
      <c r="C9" s="732">
        <v>46004</v>
      </c>
      <c r="D9" s="732" t="s">
        <v>986</v>
      </c>
      <c r="E9" s="732" t="s">
        <v>986</v>
      </c>
      <c r="F9" s="732">
        <v>45617</v>
      </c>
      <c r="G9" s="732">
        <v>1373</v>
      </c>
      <c r="H9" s="732">
        <v>1373</v>
      </c>
      <c r="I9" s="732" t="s">
        <v>986</v>
      </c>
      <c r="J9" s="732" t="s">
        <v>986</v>
      </c>
      <c r="K9" s="732" t="s">
        <v>986</v>
      </c>
      <c r="L9" s="732">
        <v>44244</v>
      </c>
      <c r="M9" s="732">
        <v>5002</v>
      </c>
      <c r="N9" s="732">
        <v>39242</v>
      </c>
      <c r="O9" s="732">
        <v>48</v>
      </c>
      <c r="P9" s="732">
        <v>48</v>
      </c>
      <c r="Q9" s="732">
        <v>339</v>
      </c>
      <c r="R9" s="733" t="s">
        <v>485</v>
      </c>
    </row>
    <row r="10" spans="1:19" s="45" customFormat="1" ht="9.75" customHeight="1" x14ac:dyDescent="0.15">
      <c r="A10" s="559" t="s">
        <v>634</v>
      </c>
      <c r="B10" s="46">
        <v>172468</v>
      </c>
      <c r="C10" s="45">
        <v>68257</v>
      </c>
      <c r="D10" s="45" t="s">
        <v>986</v>
      </c>
      <c r="E10" s="45" t="s">
        <v>986</v>
      </c>
      <c r="F10" s="45">
        <v>68257</v>
      </c>
      <c r="G10" s="45" t="s">
        <v>986</v>
      </c>
      <c r="H10" s="45" t="s">
        <v>986</v>
      </c>
      <c r="I10" s="45" t="s">
        <v>986</v>
      </c>
      <c r="J10" s="45" t="s">
        <v>986</v>
      </c>
      <c r="K10" s="45" t="s">
        <v>986</v>
      </c>
      <c r="L10" s="45">
        <v>68257</v>
      </c>
      <c r="M10" s="45">
        <v>58255</v>
      </c>
      <c r="N10" s="45">
        <v>10002</v>
      </c>
      <c r="O10" s="45" t="s">
        <v>986</v>
      </c>
      <c r="P10" s="45" t="s">
        <v>986</v>
      </c>
      <c r="Q10" s="45" t="s">
        <v>986</v>
      </c>
      <c r="R10" s="47" t="s">
        <v>588</v>
      </c>
    </row>
    <row r="11" spans="1:19" s="45" customFormat="1" ht="9.75" customHeight="1" x14ac:dyDescent="0.15">
      <c r="A11" s="559" t="s">
        <v>635</v>
      </c>
      <c r="B11" s="46">
        <v>507367</v>
      </c>
      <c r="C11" s="45">
        <v>254198</v>
      </c>
      <c r="D11" s="45">
        <v>34948</v>
      </c>
      <c r="E11" s="45">
        <v>34948</v>
      </c>
      <c r="F11" s="45">
        <v>219250</v>
      </c>
      <c r="G11" s="45" t="s">
        <v>986</v>
      </c>
      <c r="H11" s="45" t="s">
        <v>986</v>
      </c>
      <c r="I11" s="45" t="s">
        <v>986</v>
      </c>
      <c r="J11" s="45" t="s">
        <v>986</v>
      </c>
      <c r="K11" s="45" t="s">
        <v>986</v>
      </c>
      <c r="L11" s="45">
        <v>219250</v>
      </c>
      <c r="M11" s="45">
        <v>135931</v>
      </c>
      <c r="N11" s="45">
        <v>83319</v>
      </c>
      <c r="O11" s="45" t="s">
        <v>986</v>
      </c>
      <c r="P11" s="45" t="s">
        <v>986</v>
      </c>
      <c r="Q11" s="45" t="s">
        <v>986</v>
      </c>
      <c r="R11" s="47" t="s">
        <v>636</v>
      </c>
    </row>
    <row r="12" spans="1:19" s="45" customFormat="1" ht="9.75" customHeight="1" x14ac:dyDescent="0.15">
      <c r="A12" s="559" t="s">
        <v>774</v>
      </c>
      <c r="B12" s="46">
        <v>333153</v>
      </c>
      <c r="C12" s="45">
        <v>183125</v>
      </c>
      <c r="D12" s="45">
        <v>3000</v>
      </c>
      <c r="E12" s="45">
        <v>3000</v>
      </c>
      <c r="F12" s="45">
        <v>138093</v>
      </c>
      <c r="G12" s="45">
        <v>97729</v>
      </c>
      <c r="H12" s="45">
        <v>6315</v>
      </c>
      <c r="I12" s="45">
        <v>91414</v>
      </c>
      <c r="J12" s="45" t="s">
        <v>986</v>
      </c>
      <c r="K12" s="45" t="s">
        <v>986</v>
      </c>
      <c r="L12" s="45">
        <v>40364</v>
      </c>
      <c r="M12" s="45">
        <v>32976</v>
      </c>
      <c r="N12" s="45">
        <v>7388</v>
      </c>
      <c r="O12" s="45" t="s">
        <v>986</v>
      </c>
      <c r="P12" s="45" t="s">
        <v>986</v>
      </c>
      <c r="Q12" s="45">
        <v>19468</v>
      </c>
      <c r="R12" s="47" t="s">
        <v>775</v>
      </c>
    </row>
    <row r="13" spans="1:19" s="45" customFormat="1" ht="9.75" customHeight="1" x14ac:dyDescent="0.15">
      <c r="A13" s="559" t="s">
        <v>987</v>
      </c>
      <c r="B13" s="46">
        <v>219540</v>
      </c>
      <c r="C13" s="45">
        <v>114203</v>
      </c>
      <c r="D13" s="45">
        <v>11153</v>
      </c>
      <c r="E13" s="45">
        <v>11153</v>
      </c>
      <c r="F13" s="45">
        <v>70014</v>
      </c>
      <c r="G13" s="45">
        <v>31232</v>
      </c>
      <c r="H13" s="45">
        <v>31232</v>
      </c>
      <c r="I13" s="45" t="s">
        <v>986</v>
      </c>
      <c r="J13" s="45">
        <v>25273</v>
      </c>
      <c r="K13" s="45">
        <v>25273</v>
      </c>
      <c r="L13" s="45">
        <v>13509</v>
      </c>
      <c r="M13" s="45">
        <v>13509</v>
      </c>
      <c r="N13" s="45" t="s">
        <v>986</v>
      </c>
      <c r="O13" s="45" t="s">
        <v>986</v>
      </c>
      <c r="P13" s="45" t="s">
        <v>986</v>
      </c>
      <c r="Q13" s="45" t="s">
        <v>986</v>
      </c>
      <c r="R13" s="47" t="s">
        <v>988</v>
      </c>
    </row>
    <row r="14" spans="1:19" s="45" customFormat="1" ht="9.75" customHeight="1" x14ac:dyDescent="0.15">
      <c r="A14" s="578"/>
      <c r="B14" s="46"/>
      <c r="R14" s="47"/>
    </row>
    <row r="15" spans="1:19" s="45" customFormat="1" ht="9.75" customHeight="1" x14ac:dyDescent="0.15">
      <c r="A15" s="559" t="s">
        <v>989</v>
      </c>
      <c r="B15" s="46">
        <v>378147</v>
      </c>
      <c r="C15" s="45">
        <v>225389</v>
      </c>
      <c r="D15" s="45">
        <v>11697</v>
      </c>
      <c r="E15" s="45">
        <v>11697</v>
      </c>
      <c r="F15" s="45">
        <v>157100</v>
      </c>
      <c r="G15" s="45">
        <v>128961</v>
      </c>
      <c r="H15" s="45">
        <v>37547</v>
      </c>
      <c r="I15" s="45">
        <v>91414</v>
      </c>
      <c r="J15" s="45" t="s">
        <v>986</v>
      </c>
      <c r="K15" s="45" t="s">
        <v>986</v>
      </c>
      <c r="L15" s="45">
        <v>28139</v>
      </c>
      <c r="M15" s="45">
        <v>28139</v>
      </c>
      <c r="N15" s="45" t="s">
        <v>986</v>
      </c>
      <c r="O15" s="45" t="s">
        <v>986</v>
      </c>
      <c r="P15" s="45" t="s">
        <v>986</v>
      </c>
      <c r="Q15" s="45">
        <v>992</v>
      </c>
      <c r="R15" s="47" t="s">
        <v>776</v>
      </c>
    </row>
    <row r="16" spans="1:19" s="45" customFormat="1" ht="9.75" customHeight="1" x14ac:dyDescent="0.15">
      <c r="A16" s="559" t="s">
        <v>990</v>
      </c>
      <c r="B16" s="46">
        <v>148403</v>
      </c>
      <c r="C16" s="45">
        <v>40082</v>
      </c>
      <c r="D16" s="45">
        <v>2456</v>
      </c>
      <c r="E16" s="45">
        <v>2456</v>
      </c>
      <c r="F16" s="45">
        <v>37626</v>
      </c>
      <c r="G16" s="45" t="s">
        <v>986</v>
      </c>
      <c r="H16" s="45" t="s">
        <v>986</v>
      </c>
      <c r="I16" s="45" t="s">
        <v>986</v>
      </c>
      <c r="J16" s="45">
        <v>30275</v>
      </c>
      <c r="K16" s="45">
        <v>30275</v>
      </c>
      <c r="L16" s="45">
        <v>7351</v>
      </c>
      <c r="M16" s="45">
        <v>7351</v>
      </c>
      <c r="N16" s="45" t="s">
        <v>986</v>
      </c>
      <c r="O16" s="45" t="s">
        <v>986</v>
      </c>
      <c r="P16" s="45" t="s">
        <v>986</v>
      </c>
      <c r="Q16" s="45" t="s">
        <v>986</v>
      </c>
      <c r="R16" s="47" t="s">
        <v>991</v>
      </c>
    </row>
    <row r="17" spans="1:18" s="45" customFormat="1" ht="9.75" customHeight="1" x14ac:dyDescent="0.15">
      <c r="A17" s="578"/>
      <c r="B17" s="46"/>
      <c r="R17" s="47"/>
    </row>
    <row r="18" spans="1:18" s="45" customFormat="1" ht="9.75" customHeight="1" x14ac:dyDescent="0.15">
      <c r="A18" s="559" t="s">
        <v>992</v>
      </c>
      <c r="B18" s="46">
        <v>108713</v>
      </c>
      <c r="C18" s="45">
        <v>79123</v>
      </c>
      <c r="D18" s="45">
        <v>8697</v>
      </c>
      <c r="E18" s="45">
        <v>8697</v>
      </c>
      <c r="F18" s="45">
        <v>37390</v>
      </c>
      <c r="G18" s="45">
        <v>31232</v>
      </c>
      <c r="H18" s="45">
        <v>31232</v>
      </c>
      <c r="I18" s="45" t="s">
        <v>986</v>
      </c>
      <c r="J18" s="45" t="s">
        <v>986</v>
      </c>
      <c r="K18" s="45" t="s">
        <v>986</v>
      </c>
      <c r="L18" s="45">
        <v>6158</v>
      </c>
      <c r="M18" s="45">
        <v>6158</v>
      </c>
      <c r="N18" s="45" t="s">
        <v>986</v>
      </c>
      <c r="O18" s="45" t="s">
        <v>986</v>
      </c>
      <c r="P18" s="45" t="s">
        <v>986</v>
      </c>
      <c r="Q18" s="45" t="s">
        <v>986</v>
      </c>
      <c r="R18" s="47" t="s">
        <v>777</v>
      </c>
    </row>
    <row r="19" spans="1:18" s="45" customFormat="1" ht="9.75" customHeight="1" x14ac:dyDescent="0.15">
      <c r="A19" s="559" t="s">
        <v>637</v>
      </c>
      <c r="B19" s="46">
        <v>34285</v>
      </c>
      <c r="C19" s="45">
        <v>10075</v>
      </c>
      <c r="D19" s="45">
        <v>2456</v>
      </c>
      <c r="E19" s="45">
        <v>2456</v>
      </c>
      <c r="F19" s="45">
        <v>7619</v>
      </c>
      <c r="G19" s="45" t="s">
        <v>986</v>
      </c>
      <c r="H19" s="45" t="s">
        <v>986</v>
      </c>
      <c r="I19" s="45" t="s">
        <v>986</v>
      </c>
      <c r="J19" s="45">
        <v>268</v>
      </c>
      <c r="K19" s="45">
        <v>268</v>
      </c>
      <c r="L19" s="45">
        <v>7351</v>
      </c>
      <c r="M19" s="45">
        <v>7351</v>
      </c>
      <c r="N19" s="45" t="s">
        <v>986</v>
      </c>
      <c r="O19" s="45" t="s">
        <v>986</v>
      </c>
      <c r="P19" s="45" t="s">
        <v>986</v>
      </c>
      <c r="Q19" s="45" t="s">
        <v>986</v>
      </c>
      <c r="R19" s="47" t="s">
        <v>85</v>
      </c>
    </row>
    <row r="20" spans="1:18" s="45" customFormat="1" ht="9.75" customHeight="1" x14ac:dyDescent="0.15">
      <c r="A20" s="559" t="s">
        <v>638</v>
      </c>
      <c r="B20" s="46">
        <v>38624</v>
      </c>
      <c r="C20" s="45">
        <v>20005</v>
      </c>
      <c r="D20" s="45" t="s">
        <v>986</v>
      </c>
      <c r="E20" s="45" t="s">
        <v>986</v>
      </c>
      <c r="F20" s="45">
        <v>20005</v>
      </c>
      <c r="G20" s="45" t="s">
        <v>986</v>
      </c>
      <c r="H20" s="45" t="s">
        <v>986</v>
      </c>
      <c r="I20" s="45" t="s">
        <v>986</v>
      </c>
      <c r="J20" s="45">
        <v>20005</v>
      </c>
      <c r="K20" s="45">
        <v>20005</v>
      </c>
      <c r="L20" s="45" t="s">
        <v>986</v>
      </c>
      <c r="M20" s="45" t="s">
        <v>986</v>
      </c>
      <c r="N20" s="45" t="s">
        <v>986</v>
      </c>
      <c r="O20" s="45" t="s">
        <v>986</v>
      </c>
      <c r="P20" s="45" t="s">
        <v>986</v>
      </c>
      <c r="Q20" s="45" t="s">
        <v>986</v>
      </c>
      <c r="R20" s="47" t="s">
        <v>86</v>
      </c>
    </row>
    <row r="21" spans="1:18" s="45" customFormat="1" ht="9.75" customHeight="1" x14ac:dyDescent="0.15">
      <c r="A21" s="559" t="s">
        <v>639</v>
      </c>
      <c r="B21" s="46">
        <v>37918</v>
      </c>
      <c r="C21" s="45">
        <v>5000</v>
      </c>
      <c r="D21" s="45" t="s">
        <v>986</v>
      </c>
      <c r="E21" s="45" t="s">
        <v>986</v>
      </c>
      <c r="F21" s="45">
        <v>5000</v>
      </c>
      <c r="G21" s="45" t="s">
        <v>986</v>
      </c>
      <c r="H21" s="45" t="s">
        <v>986</v>
      </c>
      <c r="I21" s="45" t="s">
        <v>986</v>
      </c>
      <c r="J21" s="45">
        <v>5000</v>
      </c>
      <c r="K21" s="45">
        <v>5000</v>
      </c>
      <c r="L21" s="45" t="s">
        <v>986</v>
      </c>
      <c r="M21" s="45" t="s">
        <v>986</v>
      </c>
      <c r="N21" s="45" t="s">
        <v>986</v>
      </c>
      <c r="O21" s="45" t="s">
        <v>986</v>
      </c>
      <c r="P21" s="45" t="s">
        <v>986</v>
      </c>
      <c r="Q21" s="45" t="s">
        <v>986</v>
      </c>
      <c r="R21" s="47" t="s">
        <v>87</v>
      </c>
    </row>
    <row r="22" spans="1:18" s="45" customFormat="1" ht="9.75" customHeight="1" x14ac:dyDescent="0.15">
      <c r="A22" s="559" t="s">
        <v>993</v>
      </c>
      <c r="B22" s="46">
        <v>37576</v>
      </c>
      <c r="C22" s="45">
        <v>5002</v>
      </c>
      <c r="D22" s="45" t="s">
        <v>986</v>
      </c>
      <c r="E22" s="45" t="s">
        <v>986</v>
      </c>
      <c r="F22" s="45">
        <v>5002</v>
      </c>
      <c r="G22" s="45" t="s">
        <v>986</v>
      </c>
      <c r="H22" s="45" t="s">
        <v>986</v>
      </c>
      <c r="I22" s="45" t="s">
        <v>986</v>
      </c>
      <c r="J22" s="45">
        <v>5002</v>
      </c>
      <c r="K22" s="45">
        <v>5002</v>
      </c>
      <c r="L22" s="45" t="s">
        <v>986</v>
      </c>
      <c r="M22" s="45" t="s">
        <v>986</v>
      </c>
      <c r="N22" s="45" t="s">
        <v>986</v>
      </c>
      <c r="O22" s="45" t="s">
        <v>986</v>
      </c>
      <c r="P22" s="45" t="s">
        <v>986</v>
      </c>
      <c r="Q22" s="45" t="s">
        <v>986</v>
      </c>
      <c r="R22" s="47" t="s">
        <v>994</v>
      </c>
    </row>
    <row r="23" spans="1:18" s="45" customFormat="1" ht="9.75" customHeight="1" x14ac:dyDescent="0.15">
      <c r="A23" s="578"/>
      <c r="B23" s="46"/>
      <c r="R23" s="47"/>
    </row>
    <row r="24" spans="1:18" s="45" customFormat="1" ht="9.75" customHeight="1" x14ac:dyDescent="0.15">
      <c r="A24" s="559" t="s">
        <v>995</v>
      </c>
      <c r="B24" s="46">
        <v>37213</v>
      </c>
      <c r="C24" s="45">
        <v>25766</v>
      </c>
      <c r="D24" s="45" t="s">
        <v>986</v>
      </c>
      <c r="E24" s="45" t="s">
        <v>986</v>
      </c>
      <c r="F24" s="45">
        <v>20765</v>
      </c>
      <c r="G24" s="45">
        <v>17902</v>
      </c>
      <c r="H24" s="45">
        <v>17902</v>
      </c>
      <c r="I24" s="45" t="s">
        <v>986</v>
      </c>
      <c r="J24" s="45" t="s">
        <v>986</v>
      </c>
      <c r="K24" s="45" t="s">
        <v>986</v>
      </c>
      <c r="L24" s="45">
        <v>2863</v>
      </c>
      <c r="M24" s="45">
        <v>2863</v>
      </c>
      <c r="N24" s="45" t="s">
        <v>986</v>
      </c>
      <c r="O24" s="45" t="s">
        <v>986</v>
      </c>
      <c r="P24" s="45" t="s">
        <v>986</v>
      </c>
      <c r="Q24" s="45" t="s">
        <v>986</v>
      </c>
      <c r="R24" s="47" t="s">
        <v>778</v>
      </c>
    </row>
    <row r="25" spans="1:18" s="45" customFormat="1" ht="9.75" customHeight="1" x14ac:dyDescent="0.15">
      <c r="A25" s="559" t="s">
        <v>640</v>
      </c>
      <c r="B25" s="46">
        <v>55817</v>
      </c>
      <c r="C25" s="45">
        <v>48657</v>
      </c>
      <c r="D25" s="45">
        <v>4044</v>
      </c>
      <c r="E25" s="45">
        <v>4044</v>
      </c>
      <c r="F25" s="45">
        <v>16578</v>
      </c>
      <c r="G25" s="45">
        <v>13330</v>
      </c>
      <c r="H25" s="45">
        <v>13330</v>
      </c>
      <c r="I25" s="45" t="s">
        <v>986</v>
      </c>
      <c r="J25" s="45" t="s">
        <v>986</v>
      </c>
      <c r="K25" s="45" t="s">
        <v>986</v>
      </c>
      <c r="L25" s="45">
        <v>3248</v>
      </c>
      <c r="M25" s="45">
        <v>3248</v>
      </c>
      <c r="N25" s="45" t="s">
        <v>986</v>
      </c>
      <c r="O25" s="45" t="s">
        <v>986</v>
      </c>
      <c r="P25" s="45" t="s">
        <v>986</v>
      </c>
      <c r="Q25" s="45" t="s">
        <v>986</v>
      </c>
      <c r="R25" s="47" t="s">
        <v>73</v>
      </c>
    </row>
    <row r="26" spans="1:18" s="45" customFormat="1" ht="9.75" customHeight="1" x14ac:dyDescent="0.15">
      <c r="A26" s="559" t="s">
        <v>641</v>
      </c>
      <c r="B26" s="46">
        <v>15683</v>
      </c>
      <c r="C26" s="45">
        <v>4700</v>
      </c>
      <c r="D26" s="45">
        <v>4653</v>
      </c>
      <c r="E26" s="45">
        <v>4653</v>
      </c>
      <c r="F26" s="45">
        <v>47</v>
      </c>
      <c r="G26" s="45" t="s">
        <v>986</v>
      </c>
      <c r="H26" s="45" t="s">
        <v>986</v>
      </c>
      <c r="I26" s="45" t="s">
        <v>986</v>
      </c>
      <c r="J26" s="45" t="s">
        <v>986</v>
      </c>
      <c r="K26" s="45" t="s">
        <v>986</v>
      </c>
      <c r="L26" s="45">
        <v>47</v>
      </c>
      <c r="M26" s="45">
        <v>47</v>
      </c>
      <c r="N26" s="45" t="s">
        <v>986</v>
      </c>
      <c r="O26" s="45" t="s">
        <v>986</v>
      </c>
      <c r="P26" s="45" t="s">
        <v>986</v>
      </c>
      <c r="Q26" s="45" t="s">
        <v>986</v>
      </c>
      <c r="R26" s="47" t="s">
        <v>74</v>
      </c>
    </row>
    <row r="27" spans="1:18" s="45" customFormat="1" ht="9.75" customHeight="1" x14ac:dyDescent="0.15">
      <c r="A27" s="559" t="s">
        <v>642</v>
      </c>
      <c r="B27" s="46">
        <v>15735</v>
      </c>
      <c r="C27" s="45">
        <v>10075</v>
      </c>
      <c r="D27" s="45">
        <v>2456</v>
      </c>
      <c r="E27" s="45">
        <v>2456</v>
      </c>
      <c r="F27" s="45">
        <v>7619</v>
      </c>
      <c r="G27" s="45" t="s">
        <v>986</v>
      </c>
      <c r="H27" s="45" t="s">
        <v>986</v>
      </c>
      <c r="I27" s="45" t="s">
        <v>986</v>
      </c>
      <c r="J27" s="45">
        <v>268</v>
      </c>
      <c r="K27" s="45">
        <v>268</v>
      </c>
      <c r="L27" s="45">
        <v>7351</v>
      </c>
      <c r="M27" s="45">
        <v>7351</v>
      </c>
      <c r="N27" s="45" t="s">
        <v>986</v>
      </c>
      <c r="O27" s="45" t="s">
        <v>986</v>
      </c>
      <c r="P27" s="45" t="s">
        <v>986</v>
      </c>
      <c r="Q27" s="45" t="s">
        <v>986</v>
      </c>
      <c r="R27" s="47" t="s">
        <v>75</v>
      </c>
    </row>
    <row r="28" spans="1:18" s="45" customFormat="1" ht="9.75" customHeight="1" x14ac:dyDescent="0.15">
      <c r="A28" s="559" t="s">
        <v>643</v>
      </c>
      <c r="B28" s="46">
        <v>8976</v>
      </c>
      <c r="C28" s="45" t="s">
        <v>986</v>
      </c>
      <c r="D28" s="45" t="s">
        <v>986</v>
      </c>
      <c r="E28" s="45" t="s">
        <v>986</v>
      </c>
      <c r="F28" s="45" t="s">
        <v>986</v>
      </c>
      <c r="G28" s="45" t="s">
        <v>986</v>
      </c>
      <c r="H28" s="45" t="s">
        <v>986</v>
      </c>
      <c r="I28" s="45" t="s">
        <v>986</v>
      </c>
      <c r="J28" s="45" t="s">
        <v>986</v>
      </c>
      <c r="K28" s="45" t="s">
        <v>986</v>
      </c>
      <c r="L28" s="45" t="s">
        <v>986</v>
      </c>
      <c r="M28" s="45" t="s">
        <v>986</v>
      </c>
      <c r="N28" s="45" t="s">
        <v>986</v>
      </c>
      <c r="O28" s="45" t="s">
        <v>986</v>
      </c>
      <c r="P28" s="45" t="s">
        <v>986</v>
      </c>
      <c r="Q28" s="45" t="s">
        <v>986</v>
      </c>
      <c r="R28" s="48" t="s">
        <v>88</v>
      </c>
    </row>
    <row r="29" spans="1:18" s="45" customFormat="1" ht="9.75" customHeight="1" x14ac:dyDescent="0.15">
      <c r="A29" s="559" t="s">
        <v>644</v>
      </c>
      <c r="B29" s="46">
        <v>9574</v>
      </c>
      <c r="C29" s="45" t="s">
        <v>986</v>
      </c>
      <c r="D29" s="45" t="s">
        <v>986</v>
      </c>
      <c r="E29" s="45" t="s">
        <v>986</v>
      </c>
      <c r="F29" s="45" t="s">
        <v>986</v>
      </c>
      <c r="G29" s="45" t="s">
        <v>986</v>
      </c>
      <c r="H29" s="45" t="s">
        <v>986</v>
      </c>
      <c r="I29" s="45" t="s">
        <v>986</v>
      </c>
      <c r="J29" s="45" t="s">
        <v>986</v>
      </c>
      <c r="K29" s="45" t="s">
        <v>986</v>
      </c>
      <c r="L29" s="45" t="s">
        <v>986</v>
      </c>
      <c r="M29" s="45" t="s">
        <v>986</v>
      </c>
      <c r="N29" s="45" t="s">
        <v>986</v>
      </c>
      <c r="O29" s="45" t="s">
        <v>986</v>
      </c>
      <c r="P29" s="45" t="s">
        <v>986</v>
      </c>
      <c r="Q29" s="45" t="s">
        <v>986</v>
      </c>
      <c r="R29" s="47" t="s">
        <v>89</v>
      </c>
    </row>
    <row r="30" spans="1:18" s="45" customFormat="1" ht="9.75" customHeight="1" x14ac:dyDescent="0.15">
      <c r="A30" s="559" t="s">
        <v>645</v>
      </c>
      <c r="B30" s="46">
        <v>13757</v>
      </c>
      <c r="C30" s="45">
        <v>10001</v>
      </c>
      <c r="D30" s="45" t="s">
        <v>986</v>
      </c>
      <c r="E30" s="45" t="s">
        <v>986</v>
      </c>
      <c r="F30" s="45">
        <v>10001</v>
      </c>
      <c r="G30" s="45" t="s">
        <v>986</v>
      </c>
      <c r="H30" s="45" t="s">
        <v>986</v>
      </c>
      <c r="I30" s="45" t="s">
        <v>986</v>
      </c>
      <c r="J30" s="45">
        <v>10001</v>
      </c>
      <c r="K30" s="45">
        <v>10001</v>
      </c>
      <c r="L30" s="45" t="s">
        <v>986</v>
      </c>
      <c r="M30" s="45" t="s">
        <v>986</v>
      </c>
      <c r="N30" s="45" t="s">
        <v>986</v>
      </c>
      <c r="O30" s="45" t="s">
        <v>986</v>
      </c>
      <c r="P30" s="45" t="s">
        <v>986</v>
      </c>
      <c r="Q30" s="45" t="s">
        <v>986</v>
      </c>
      <c r="R30" s="47" t="s">
        <v>90</v>
      </c>
    </row>
    <row r="31" spans="1:18" s="45" customFormat="1" ht="9.75" customHeight="1" x14ac:dyDescent="0.15">
      <c r="A31" s="559" t="s">
        <v>646</v>
      </c>
      <c r="B31" s="46">
        <v>6364</v>
      </c>
      <c r="C31" s="45" t="s">
        <v>986</v>
      </c>
      <c r="D31" s="45" t="s">
        <v>986</v>
      </c>
      <c r="E31" s="45" t="s">
        <v>986</v>
      </c>
      <c r="F31" s="45" t="s">
        <v>986</v>
      </c>
      <c r="G31" s="45" t="s">
        <v>986</v>
      </c>
      <c r="H31" s="45" t="s">
        <v>986</v>
      </c>
      <c r="I31" s="45" t="s">
        <v>986</v>
      </c>
      <c r="J31" s="45" t="s">
        <v>986</v>
      </c>
      <c r="K31" s="45" t="s">
        <v>986</v>
      </c>
      <c r="L31" s="45" t="s">
        <v>986</v>
      </c>
      <c r="M31" s="45" t="s">
        <v>986</v>
      </c>
      <c r="N31" s="45" t="s">
        <v>986</v>
      </c>
      <c r="O31" s="45" t="s">
        <v>986</v>
      </c>
      <c r="P31" s="45" t="s">
        <v>986</v>
      </c>
      <c r="Q31" s="45" t="s">
        <v>986</v>
      </c>
      <c r="R31" s="47" t="s">
        <v>91</v>
      </c>
    </row>
    <row r="32" spans="1:18" s="45" customFormat="1" ht="9.75" customHeight="1" x14ac:dyDescent="0.15">
      <c r="A32" s="559" t="s">
        <v>647</v>
      </c>
      <c r="B32" s="46">
        <v>18503</v>
      </c>
      <c r="C32" s="45">
        <v>10004</v>
      </c>
      <c r="D32" s="45" t="s">
        <v>986</v>
      </c>
      <c r="E32" s="45" t="s">
        <v>986</v>
      </c>
      <c r="F32" s="45">
        <v>10004</v>
      </c>
      <c r="G32" s="45" t="s">
        <v>986</v>
      </c>
      <c r="H32" s="45" t="s">
        <v>986</v>
      </c>
      <c r="I32" s="45" t="s">
        <v>986</v>
      </c>
      <c r="J32" s="45">
        <v>10004</v>
      </c>
      <c r="K32" s="45">
        <v>10004</v>
      </c>
      <c r="L32" s="45" t="s">
        <v>986</v>
      </c>
      <c r="M32" s="45" t="s">
        <v>986</v>
      </c>
      <c r="N32" s="45" t="s">
        <v>986</v>
      </c>
      <c r="O32" s="45" t="s">
        <v>986</v>
      </c>
      <c r="P32" s="45" t="s">
        <v>986</v>
      </c>
      <c r="Q32" s="45" t="s">
        <v>986</v>
      </c>
      <c r="R32" s="47" t="s">
        <v>92</v>
      </c>
    </row>
    <row r="33" spans="1:18" s="45" customFormat="1" ht="9.75" customHeight="1" x14ac:dyDescent="0.15">
      <c r="A33" s="559" t="s">
        <v>648</v>
      </c>
      <c r="B33" s="46">
        <v>15535</v>
      </c>
      <c r="C33" s="45">
        <v>5000</v>
      </c>
      <c r="D33" s="45" t="s">
        <v>986</v>
      </c>
      <c r="E33" s="45" t="s">
        <v>986</v>
      </c>
      <c r="F33" s="45">
        <v>5000</v>
      </c>
      <c r="G33" s="45" t="s">
        <v>986</v>
      </c>
      <c r="H33" s="45" t="s">
        <v>986</v>
      </c>
      <c r="I33" s="45" t="s">
        <v>986</v>
      </c>
      <c r="J33" s="45">
        <v>5000</v>
      </c>
      <c r="K33" s="45">
        <v>5000</v>
      </c>
      <c r="L33" s="45" t="s">
        <v>986</v>
      </c>
      <c r="M33" s="45" t="s">
        <v>986</v>
      </c>
      <c r="N33" s="45" t="s">
        <v>986</v>
      </c>
      <c r="O33" s="45" t="s">
        <v>986</v>
      </c>
      <c r="P33" s="45" t="s">
        <v>986</v>
      </c>
      <c r="Q33" s="45" t="s">
        <v>986</v>
      </c>
      <c r="R33" s="47" t="s">
        <v>76</v>
      </c>
    </row>
    <row r="34" spans="1:18" s="45" customFormat="1" ht="9.75" customHeight="1" x14ac:dyDescent="0.15">
      <c r="A34" s="559" t="s">
        <v>649</v>
      </c>
      <c r="B34" s="46">
        <v>11514</v>
      </c>
      <c r="C34" s="45" t="s">
        <v>986</v>
      </c>
      <c r="D34" s="45" t="s">
        <v>986</v>
      </c>
      <c r="E34" s="45" t="s">
        <v>986</v>
      </c>
      <c r="F34" s="45" t="s">
        <v>986</v>
      </c>
      <c r="G34" s="45" t="s">
        <v>986</v>
      </c>
      <c r="H34" s="45" t="s">
        <v>986</v>
      </c>
      <c r="I34" s="45" t="s">
        <v>986</v>
      </c>
      <c r="J34" s="45" t="s">
        <v>986</v>
      </c>
      <c r="K34" s="45" t="s">
        <v>986</v>
      </c>
      <c r="L34" s="45" t="s">
        <v>986</v>
      </c>
      <c r="M34" s="45" t="s">
        <v>986</v>
      </c>
      <c r="N34" s="45" t="s">
        <v>986</v>
      </c>
      <c r="O34" s="45" t="s">
        <v>986</v>
      </c>
      <c r="P34" s="45" t="s">
        <v>986</v>
      </c>
      <c r="Q34" s="45" t="s">
        <v>986</v>
      </c>
      <c r="R34" s="47" t="s">
        <v>77</v>
      </c>
    </row>
    <row r="35" spans="1:18" s="45" customFormat="1" ht="9.75" customHeight="1" x14ac:dyDescent="0.15">
      <c r="A35" s="559" t="s">
        <v>650</v>
      </c>
      <c r="B35" s="46">
        <v>10869</v>
      </c>
      <c r="C35" s="45" t="s">
        <v>986</v>
      </c>
      <c r="D35" s="45" t="s">
        <v>986</v>
      </c>
      <c r="E35" s="45" t="s">
        <v>986</v>
      </c>
      <c r="F35" s="45" t="s">
        <v>986</v>
      </c>
      <c r="G35" s="45" t="s">
        <v>986</v>
      </c>
      <c r="H35" s="45" t="s">
        <v>986</v>
      </c>
      <c r="I35" s="45" t="s">
        <v>986</v>
      </c>
      <c r="J35" s="45" t="s">
        <v>986</v>
      </c>
      <c r="K35" s="45" t="s">
        <v>986</v>
      </c>
      <c r="L35" s="45" t="s">
        <v>986</v>
      </c>
      <c r="M35" s="45" t="s">
        <v>986</v>
      </c>
      <c r="N35" s="45" t="s">
        <v>986</v>
      </c>
      <c r="O35" s="45" t="s">
        <v>986</v>
      </c>
      <c r="P35" s="45" t="s">
        <v>986</v>
      </c>
      <c r="Q35" s="45" t="s">
        <v>986</v>
      </c>
      <c r="R35" s="47" t="s">
        <v>78</v>
      </c>
    </row>
    <row r="36" spans="1:18" s="45" customFormat="1" ht="9.75" customHeight="1" x14ac:dyDescent="0.15">
      <c r="A36" s="559" t="s">
        <v>996</v>
      </c>
      <c r="B36" s="46">
        <v>12385</v>
      </c>
      <c r="C36" s="45">
        <v>5002</v>
      </c>
      <c r="D36" s="45" t="s">
        <v>986</v>
      </c>
      <c r="E36" s="45" t="s">
        <v>986</v>
      </c>
      <c r="F36" s="45">
        <v>5002</v>
      </c>
      <c r="G36" s="45" t="s">
        <v>986</v>
      </c>
      <c r="H36" s="45" t="s">
        <v>986</v>
      </c>
      <c r="I36" s="45" t="s">
        <v>986</v>
      </c>
      <c r="J36" s="45">
        <v>5002</v>
      </c>
      <c r="K36" s="45">
        <v>5002</v>
      </c>
      <c r="L36" s="45" t="s">
        <v>986</v>
      </c>
      <c r="M36" s="45" t="s">
        <v>986</v>
      </c>
      <c r="N36" s="45" t="s">
        <v>986</v>
      </c>
      <c r="O36" s="45" t="s">
        <v>986</v>
      </c>
      <c r="P36" s="45" t="s">
        <v>986</v>
      </c>
      <c r="Q36" s="45" t="s">
        <v>986</v>
      </c>
      <c r="R36" s="47" t="s">
        <v>997</v>
      </c>
    </row>
    <row r="37" spans="1:18" s="45" customFormat="1" ht="9.75" customHeight="1" x14ac:dyDescent="0.15">
      <c r="A37" s="559" t="s">
        <v>651</v>
      </c>
      <c r="B37" s="46">
        <v>14811</v>
      </c>
      <c r="C37" s="45" t="s">
        <v>986</v>
      </c>
      <c r="D37" s="45" t="s">
        <v>986</v>
      </c>
      <c r="E37" s="45" t="s">
        <v>986</v>
      </c>
      <c r="F37" s="45" t="s">
        <v>986</v>
      </c>
      <c r="G37" s="45" t="s">
        <v>986</v>
      </c>
      <c r="H37" s="45" t="s">
        <v>986</v>
      </c>
      <c r="I37" s="45" t="s">
        <v>986</v>
      </c>
      <c r="J37" s="45" t="s">
        <v>986</v>
      </c>
      <c r="K37" s="45" t="s">
        <v>986</v>
      </c>
      <c r="L37" s="45" t="s">
        <v>986</v>
      </c>
      <c r="M37" s="45" t="s">
        <v>986</v>
      </c>
      <c r="N37" s="45" t="s">
        <v>986</v>
      </c>
      <c r="O37" s="45" t="s">
        <v>986</v>
      </c>
      <c r="P37" s="45" t="s">
        <v>986</v>
      </c>
      <c r="Q37" s="45" t="s">
        <v>986</v>
      </c>
      <c r="R37" s="47" t="s">
        <v>73</v>
      </c>
    </row>
    <row r="38" spans="1:18" s="45" customFormat="1" ht="9.75" customHeight="1" x14ac:dyDescent="0.15">
      <c r="A38" s="661" t="s">
        <v>652</v>
      </c>
      <c r="B38" s="734">
        <v>10380</v>
      </c>
      <c r="C38" s="735" t="s">
        <v>986</v>
      </c>
      <c r="D38" s="735" t="s">
        <v>986</v>
      </c>
      <c r="E38" s="735" t="s">
        <v>986</v>
      </c>
      <c r="F38" s="735" t="s">
        <v>986</v>
      </c>
      <c r="G38" s="735" t="s">
        <v>986</v>
      </c>
      <c r="H38" s="735" t="s">
        <v>986</v>
      </c>
      <c r="I38" s="735" t="s">
        <v>986</v>
      </c>
      <c r="J38" s="735" t="s">
        <v>986</v>
      </c>
      <c r="K38" s="735" t="s">
        <v>986</v>
      </c>
      <c r="L38" s="735" t="s">
        <v>986</v>
      </c>
      <c r="M38" s="735" t="s">
        <v>986</v>
      </c>
      <c r="N38" s="735" t="s">
        <v>986</v>
      </c>
      <c r="O38" s="735" t="s">
        <v>986</v>
      </c>
      <c r="P38" s="735" t="s">
        <v>986</v>
      </c>
      <c r="Q38" s="735" t="s">
        <v>986</v>
      </c>
      <c r="R38" s="736" t="s">
        <v>74</v>
      </c>
    </row>
    <row r="39" spans="1:18" ht="21.75" customHeight="1" x14ac:dyDescent="0.15">
      <c r="I39" s="24" t="s">
        <v>93</v>
      </c>
    </row>
    <row r="40" spans="1:18" s="643" customFormat="1" ht="12" customHeight="1" x14ac:dyDescent="0.15">
      <c r="A40" s="724"/>
      <c r="B40" s="737" t="s">
        <v>181</v>
      </c>
      <c r="C40" s="727"/>
      <c r="D40" s="727"/>
      <c r="E40" s="727"/>
      <c r="F40" s="727"/>
      <c r="G40" s="724"/>
      <c r="H40" s="726"/>
      <c r="I40" s="727"/>
      <c r="J40" s="727"/>
      <c r="K40" s="727"/>
      <c r="L40" s="727"/>
      <c r="M40" s="727"/>
      <c r="N40" s="727"/>
      <c r="O40" s="727"/>
      <c r="P40" s="727"/>
      <c r="Q40" s="727"/>
      <c r="R40" s="1027" t="s">
        <v>79</v>
      </c>
    </row>
    <row r="41" spans="1:18" s="29" customFormat="1" ht="13.5" customHeight="1" x14ac:dyDescent="0.15">
      <c r="A41" s="27"/>
      <c r="B41" s="737" t="s">
        <v>166</v>
      </c>
      <c r="C41" s="729"/>
      <c r="D41" s="729"/>
      <c r="E41" s="728"/>
      <c r="F41" s="654"/>
      <c r="G41" s="728"/>
      <c r="H41" s="637" t="s">
        <v>182</v>
      </c>
      <c r="I41" s="654"/>
      <c r="J41" s="728"/>
      <c r="K41" s="654"/>
      <c r="L41" s="728"/>
      <c r="M41" s="654"/>
      <c r="N41" s="729"/>
      <c r="O41" s="729"/>
      <c r="P41" s="729"/>
      <c r="Q41" s="729"/>
      <c r="R41" s="1028"/>
    </row>
    <row r="42" spans="1:18" s="29" customFormat="1" ht="33.75" customHeight="1" x14ac:dyDescent="0.15">
      <c r="A42" s="27" t="s">
        <v>172</v>
      </c>
      <c r="B42" s="653" t="s">
        <v>593</v>
      </c>
      <c r="C42" s="654" t="s">
        <v>167</v>
      </c>
      <c r="D42" s="729"/>
      <c r="E42" s="728"/>
      <c r="F42" s="637" t="s">
        <v>108</v>
      </c>
      <c r="G42" s="653" t="s">
        <v>1028</v>
      </c>
      <c r="H42" s="637" t="s">
        <v>183</v>
      </c>
      <c r="I42" s="637" t="s">
        <v>82</v>
      </c>
      <c r="J42" s="730" t="s">
        <v>185</v>
      </c>
      <c r="K42" s="637" t="s">
        <v>159</v>
      </c>
      <c r="L42" s="653" t="s">
        <v>431</v>
      </c>
      <c r="M42" s="637" t="s">
        <v>108</v>
      </c>
      <c r="N42" s="654" t="s">
        <v>169</v>
      </c>
      <c r="O42" s="729"/>
      <c r="P42" s="729"/>
      <c r="Q42" s="729"/>
      <c r="R42" s="1028"/>
    </row>
    <row r="43" spans="1:18" s="29" customFormat="1" ht="22.5" customHeight="1" x14ac:dyDescent="0.15">
      <c r="A43" s="27"/>
      <c r="B43" s="653" t="s">
        <v>50</v>
      </c>
      <c r="C43" s="637" t="s">
        <v>26</v>
      </c>
      <c r="D43" s="653" t="s">
        <v>168</v>
      </c>
      <c r="E43" s="653" t="s">
        <v>782</v>
      </c>
      <c r="F43" s="637" t="s">
        <v>51</v>
      </c>
      <c r="G43" s="653" t="s">
        <v>783</v>
      </c>
      <c r="H43" s="637"/>
      <c r="I43" s="637" t="s">
        <v>43</v>
      </c>
      <c r="J43" s="653" t="s">
        <v>784</v>
      </c>
      <c r="K43" s="637" t="s">
        <v>24</v>
      </c>
      <c r="L43" s="653" t="s">
        <v>785</v>
      </c>
      <c r="M43" s="637" t="s">
        <v>51</v>
      </c>
      <c r="N43" s="637" t="s">
        <v>52</v>
      </c>
      <c r="O43" s="738" t="s">
        <v>787</v>
      </c>
      <c r="P43" s="653" t="s">
        <v>788</v>
      </c>
      <c r="Q43" s="654" t="s">
        <v>789</v>
      </c>
      <c r="R43" s="1028"/>
    </row>
    <row r="44" spans="1:18" s="29" customFormat="1" ht="13.5" customHeight="1" x14ac:dyDescent="0.15">
      <c r="A44" s="655"/>
      <c r="B44" s="638" t="str">
        <f>PROPER("NILE")</f>
        <v>Nile</v>
      </c>
      <c r="C44" s="638"/>
      <c r="D44" s="638" t="str">
        <f>PROPER("RABI-L")</f>
        <v>Rabi-L</v>
      </c>
      <c r="E44" s="638" t="str">
        <f>PROPER("RABI-BLD")</f>
        <v>Rabi-Bld</v>
      </c>
      <c r="F44" s="638"/>
      <c r="G44" s="638" t="str">
        <f>PROPER("VANGOG-B")</f>
        <v>Vangog-B</v>
      </c>
      <c r="H44" s="638"/>
      <c r="I44" s="638"/>
      <c r="J44" s="638" t="str">
        <f>PROPER("SHARJA-C")</f>
        <v>Sharja-C</v>
      </c>
      <c r="K44" s="638"/>
      <c r="L44" s="638" t="str">
        <f>PROPER("TEMANE-C")</f>
        <v>Temane-C</v>
      </c>
      <c r="M44" s="638"/>
      <c r="N44" s="638"/>
      <c r="O44" s="638" t="str">
        <f>PROPER("N･W･S-C")</f>
        <v>N･W･S-C</v>
      </c>
      <c r="P44" s="638" t="str">
        <f>PROPER("PLUTO-C")</f>
        <v>Pluto-C</v>
      </c>
      <c r="Q44" s="656" t="str">
        <f>PROPER("WHTSTN-C")</f>
        <v>Whtstn-C</v>
      </c>
      <c r="R44" s="1029"/>
    </row>
    <row r="45" spans="1:18" s="45" customFormat="1" ht="9.75" customHeight="1" x14ac:dyDescent="0.15">
      <c r="A45" s="657" t="s">
        <v>985</v>
      </c>
      <c r="B45" s="731" t="s">
        <v>986</v>
      </c>
      <c r="C45" s="732">
        <v>339</v>
      </c>
      <c r="D45" s="732">
        <v>1</v>
      </c>
      <c r="E45" s="732">
        <v>338</v>
      </c>
      <c r="F45" s="732" t="s">
        <v>986</v>
      </c>
      <c r="G45" s="732" t="s">
        <v>986</v>
      </c>
      <c r="H45" s="732">
        <v>54012</v>
      </c>
      <c r="I45" s="732" t="s">
        <v>986</v>
      </c>
      <c r="J45" s="732" t="s">
        <v>986</v>
      </c>
      <c r="K45" s="732" t="s">
        <v>986</v>
      </c>
      <c r="L45" s="732" t="s">
        <v>986</v>
      </c>
      <c r="M45" s="732">
        <v>54012</v>
      </c>
      <c r="N45" s="732">
        <v>54012</v>
      </c>
      <c r="O45" s="732" t="s">
        <v>986</v>
      </c>
      <c r="P45" s="732" t="s">
        <v>986</v>
      </c>
      <c r="Q45" s="732">
        <v>54012</v>
      </c>
      <c r="R45" s="733" t="s">
        <v>485</v>
      </c>
    </row>
    <row r="46" spans="1:18" s="45" customFormat="1" ht="9.75" customHeight="1" x14ac:dyDescent="0.15">
      <c r="A46" s="559" t="s">
        <v>634</v>
      </c>
      <c r="B46" s="45" t="s">
        <v>986</v>
      </c>
      <c r="C46" s="45" t="s">
        <v>986</v>
      </c>
      <c r="D46" s="45" t="s">
        <v>986</v>
      </c>
      <c r="E46" s="45" t="s">
        <v>986</v>
      </c>
      <c r="F46" s="45" t="s">
        <v>986</v>
      </c>
      <c r="G46" s="45" t="s">
        <v>986</v>
      </c>
      <c r="H46" s="45" t="s">
        <v>986</v>
      </c>
      <c r="I46" s="45" t="s">
        <v>986</v>
      </c>
      <c r="J46" s="45" t="s">
        <v>986</v>
      </c>
      <c r="K46" s="45" t="s">
        <v>986</v>
      </c>
      <c r="L46" s="45" t="s">
        <v>986</v>
      </c>
      <c r="M46" s="45" t="s">
        <v>986</v>
      </c>
      <c r="N46" s="45" t="s">
        <v>986</v>
      </c>
      <c r="O46" s="45" t="s">
        <v>986</v>
      </c>
      <c r="P46" s="45" t="s">
        <v>986</v>
      </c>
      <c r="Q46" s="45" t="s">
        <v>986</v>
      </c>
      <c r="R46" s="47" t="s">
        <v>588</v>
      </c>
    </row>
    <row r="47" spans="1:18" s="45" customFormat="1" ht="9.75" customHeight="1" x14ac:dyDescent="0.15">
      <c r="A47" s="559" t="s">
        <v>635</v>
      </c>
      <c r="B47" s="45" t="s">
        <v>986</v>
      </c>
      <c r="C47" s="45" t="s">
        <v>986</v>
      </c>
      <c r="D47" s="45" t="s">
        <v>986</v>
      </c>
      <c r="E47" s="45" t="s">
        <v>986</v>
      </c>
      <c r="F47" s="45" t="s">
        <v>986</v>
      </c>
      <c r="G47" s="45" t="s">
        <v>986</v>
      </c>
      <c r="H47" s="45">
        <v>123388</v>
      </c>
      <c r="I47" s="45">
        <v>37026</v>
      </c>
      <c r="J47" s="45">
        <v>37026</v>
      </c>
      <c r="K47" s="45">
        <v>35007</v>
      </c>
      <c r="L47" s="45">
        <v>35007</v>
      </c>
      <c r="M47" s="45">
        <v>51355</v>
      </c>
      <c r="N47" s="45">
        <v>51355</v>
      </c>
      <c r="O47" s="45" t="s">
        <v>986</v>
      </c>
      <c r="P47" s="45">
        <v>51355</v>
      </c>
      <c r="Q47" s="45" t="s">
        <v>986</v>
      </c>
      <c r="R47" s="47" t="s">
        <v>636</v>
      </c>
    </row>
    <row r="48" spans="1:18" s="45" customFormat="1" ht="9.75" customHeight="1" x14ac:dyDescent="0.15">
      <c r="A48" s="559" t="s">
        <v>774</v>
      </c>
      <c r="B48" s="45">
        <v>19468</v>
      </c>
      <c r="C48" s="45" t="s">
        <v>986</v>
      </c>
      <c r="D48" s="45" t="s">
        <v>986</v>
      </c>
      <c r="E48" s="45" t="s">
        <v>986</v>
      </c>
      <c r="F48" s="45">
        <v>22564</v>
      </c>
      <c r="G48" s="45">
        <v>22564</v>
      </c>
      <c r="H48" s="45">
        <v>48240</v>
      </c>
      <c r="I48" s="45" t="s">
        <v>986</v>
      </c>
      <c r="J48" s="45" t="s">
        <v>986</v>
      </c>
      <c r="K48" s="45" t="s">
        <v>986</v>
      </c>
      <c r="L48" s="45" t="s">
        <v>986</v>
      </c>
      <c r="M48" s="45">
        <v>48240</v>
      </c>
      <c r="N48" s="45">
        <v>48240</v>
      </c>
      <c r="O48" s="45">
        <v>48240</v>
      </c>
      <c r="P48" s="45" t="s">
        <v>986</v>
      </c>
      <c r="Q48" s="45" t="s">
        <v>986</v>
      </c>
      <c r="R48" s="47" t="s">
        <v>775</v>
      </c>
    </row>
    <row r="49" spans="1:18" s="45" customFormat="1" ht="9.75" customHeight="1" x14ac:dyDescent="0.15">
      <c r="A49" s="559" t="s">
        <v>987</v>
      </c>
      <c r="B49" s="45" t="s">
        <v>986</v>
      </c>
      <c r="C49" s="45" t="s">
        <v>986</v>
      </c>
      <c r="D49" s="45" t="s">
        <v>986</v>
      </c>
      <c r="E49" s="45" t="s">
        <v>986</v>
      </c>
      <c r="F49" s="45">
        <v>33036</v>
      </c>
      <c r="G49" s="45">
        <v>33036</v>
      </c>
      <c r="H49" s="45" t="s">
        <v>986</v>
      </c>
      <c r="I49" s="45" t="s">
        <v>986</v>
      </c>
      <c r="J49" s="45" t="s">
        <v>986</v>
      </c>
      <c r="K49" s="45" t="s">
        <v>986</v>
      </c>
      <c r="L49" s="45" t="s">
        <v>986</v>
      </c>
      <c r="M49" s="45" t="s">
        <v>986</v>
      </c>
      <c r="N49" s="45" t="s">
        <v>986</v>
      </c>
      <c r="O49" s="45" t="s">
        <v>986</v>
      </c>
      <c r="P49" s="45" t="s">
        <v>986</v>
      </c>
      <c r="Q49" s="45" t="s">
        <v>986</v>
      </c>
      <c r="R49" s="47" t="s">
        <v>988</v>
      </c>
    </row>
    <row r="50" spans="1:18" s="45" customFormat="1" ht="9.75" customHeight="1" x14ac:dyDescent="0.15">
      <c r="A50" s="578"/>
      <c r="R50" s="47"/>
    </row>
    <row r="51" spans="1:18" s="45" customFormat="1" ht="9.75" customHeight="1" x14ac:dyDescent="0.15">
      <c r="A51" s="559" t="s">
        <v>989</v>
      </c>
      <c r="B51" s="45">
        <v>992</v>
      </c>
      <c r="C51" s="45" t="s">
        <v>986</v>
      </c>
      <c r="D51" s="45" t="s">
        <v>986</v>
      </c>
      <c r="E51" s="45" t="s">
        <v>986</v>
      </c>
      <c r="F51" s="45">
        <v>55600</v>
      </c>
      <c r="G51" s="45">
        <v>55600</v>
      </c>
      <c r="H51" s="45">
        <v>48240</v>
      </c>
      <c r="I51" s="45" t="s">
        <v>986</v>
      </c>
      <c r="J51" s="45" t="s">
        <v>986</v>
      </c>
      <c r="K51" s="45" t="s">
        <v>986</v>
      </c>
      <c r="L51" s="45" t="s">
        <v>986</v>
      </c>
      <c r="M51" s="45">
        <v>48240</v>
      </c>
      <c r="N51" s="45">
        <v>48240</v>
      </c>
      <c r="O51" s="45">
        <v>48240</v>
      </c>
      <c r="P51" s="45" t="s">
        <v>986</v>
      </c>
      <c r="Q51" s="45" t="s">
        <v>986</v>
      </c>
      <c r="R51" s="47" t="s">
        <v>776</v>
      </c>
    </row>
    <row r="52" spans="1:18" s="45" customFormat="1" ht="9.75" customHeight="1" x14ac:dyDescent="0.15">
      <c r="A52" s="559" t="s">
        <v>990</v>
      </c>
      <c r="B52" s="45" t="s">
        <v>986</v>
      </c>
      <c r="C52" s="45" t="s">
        <v>986</v>
      </c>
      <c r="D52" s="45" t="s">
        <v>986</v>
      </c>
      <c r="E52" s="45" t="s">
        <v>986</v>
      </c>
      <c r="F52" s="45" t="s">
        <v>986</v>
      </c>
      <c r="G52" s="45" t="s">
        <v>986</v>
      </c>
      <c r="H52" s="45" t="s">
        <v>986</v>
      </c>
      <c r="I52" s="45" t="s">
        <v>986</v>
      </c>
      <c r="J52" s="45" t="s">
        <v>986</v>
      </c>
      <c r="K52" s="45" t="s">
        <v>986</v>
      </c>
      <c r="L52" s="45" t="s">
        <v>986</v>
      </c>
      <c r="M52" s="45" t="s">
        <v>986</v>
      </c>
      <c r="N52" s="45" t="s">
        <v>986</v>
      </c>
      <c r="O52" s="45" t="s">
        <v>986</v>
      </c>
      <c r="P52" s="45" t="s">
        <v>986</v>
      </c>
      <c r="Q52" s="45" t="s">
        <v>986</v>
      </c>
      <c r="R52" s="47" t="s">
        <v>991</v>
      </c>
    </row>
    <row r="53" spans="1:18" s="45" customFormat="1" ht="9.75" customHeight="1" x14ac:dyDescent="0.15">
      <c r="A53" s="578"/>
      <c r="R53" s="47"/>
    </row>
    <row r="54" spans="1:18" s="45" customFormat="1" ht="9.75" customHeight="1" x14ac:dyDescent="0.15">
      <c r="A54" s="559" t="s">
        <v>992</v>
      </c>
      <c r="B54" s="45" t="s">
        <v>986</v>
      </c>
      <c r="C54" s="45" t="s">
        <v>986</v>
      </c>
      <c r="D54" s="45" t="s">
        <v>986</v>
      </c>
      <c r="E54" s="45" t="s">
        <v>986</v>
      </c>
      <c r="F54" s="45">
        <v>33036</v>
      </c>
      <c r="G54" s="45">
        <v>33036</v>
      </c>
      <c r="H54" s="45" t="s">
        <v>986</v>
      </c>
      <c r="I54" s="45" t="s">
        <v>986</v>
      </c>
      <c r="J54" s="45" t="s">
        <v>986</v>
      </c>
      <c r="K54" s="45" t="s">
        <v>986</v>
      </c>
      <c r="L54" s="45" t="s">
        <v>986</v>
      </c>
      <c r="M54" s="45" t="s">
        <v>986</v>
      </c>
      <c r="N54" s="45" t="s">
        <v>986</v>
      </c>
      <c r="O54" s="45" t="s">
        <v>986</v>
      </c>
      <c r="P54" s="45" t="s">
        <v>986</v>
      </c>
      <c r="Q54" s="45" t="s">
        <v>986</v>
      </c>
      <c r="R54" s="47" t="s">
        <v>777</v>
      </c>
    </row>
    <row r="55" spans="1:18" s="45" customFormat="1" ht="9.75" customHeight="1" x14ac:dyDescent="0.15">
      <c r="A55" s="559" t="s">
        <v>637</v>
      </c>
      <c r="B55" s="45" t="s">
        <v>986</v>
      </c>
      <c r="C55" s="45" t="s">
        <v>986</v>
      </c>
      <c r="D55" s="45" t="s">
        <v>986</v>
      </c>
      <c r="E55" s="45" t="s">
        <v>986</v>
      </c>
      <c r="F55" s="45" t="s">
        <v>986</v>
      </c>
      <c r="G55" s="45" t="s">
        <v>986</v>
      </c>
      <c r="H55" s="45" t="s">
        <v>986</v>
      </c>
      <c r="I55" s="45" t="s">
        <v>986</v>
      </c>
      <c r="J55" s="45" t="s">
        <v>986</v>
      </c>
      <c r="K55" s="45" t="s">
        <v>986</v>
      </c>
      <c r="L55" s="45" t="s">
        <v>986</v>
      </c>
      <c r="M55" s="45" t="s">
        <v>986</v>
      </c>
      <c r="N55" s="45" t="s">
        <v>986</v>
      </c>
      <c r="O55" s="45" t="s">
        <v>986</v>
      </c>
      <c r="P55" s="45" t="s">
        <v>986</v>
      </c>
      <c r="Q55" s="45" t="s">
        <v>986</v>
      </c>
      <c r="R55" s="47" t="s">
        <v>85</v>
      </c>
    </row>
    <row r="56" spans="1:18" s="45" customFormat="1" ht="9.75" customHeight="1" x14ac:dyDescent="0.15">
      <c r="A56" s="559" t="s">
        <v>638</v>
      </c>
      <c r="B56" s="45" t="s">
        <v>986</v>
      </c>
      <c r="C56" s="45" t="s">
        <v>986</v>
      </c>
      <c r="D56" s="45" t="s">
        <v>986</v>
      </c>
      <c r="E56" s="45" t="s">
        <v>986</v>
      </c>
      <c r="F56" s="45" t="s">
        <v>986</v>
      </c>
      <c r="G56" s="45" t="s">
        <v>986</v>
      </c>
      <c r="H56" s="45" t="s">
        <v>986</v>
      </c>
      <c r="I56" s="45" t="s">
        <v>986</v>
      </c>
      <c r="J56" s="45" t="s">
        <v>986</v>
      </c>
      <c r="K56" s="45" t="s">
        <v>986</v>
      </c>
      <c r="L56" s="45" t="s">
        <v>986</v>
      </c>
      <c r="M56" s="45" t="s">
        <v>986</v>
      </c>
      <c r="N56" s="45" t="s">
        <v>986</v>
      </c>
      <c r="O56" s="45" t="s">
        <v>986</v>
      </c>
      <c r="P56" s="45" t="s">
        <v>986</v>
      </c>
      <c r="Q56" s="45" t="s">
        <v>986</v>
      </c>
      <c r="R56" s="47" t="s">
        <v>86</v>
      </c>
    </row>
    <row r="57" spans="1:18" s="45" customFormat="1" ht="9.75" customHeight="1" x14ac:dyDescent="0.15">
      <c r="A57" s="559" t="s">
        <v>639</v>
      </c>
      <c r="B57" s="45" t="s">
        <v>986</v>
      </c>
      <c r="C57" s="45" t="s">
        <v>986</v>
      </c>
      <c r="D57" s="45" t="s">
        <v>986</v>
      </c>
      <c r="E57" s="45" t="s">
        <v>986</v>
      </c>
      <c r="F57" s="45" t="s">
        <v>986</v>
      </c>
      <c r="G57" s="45" t="s">
        <v>986</v>
      </c>
      <c r="H57" s="45" t="s">
        <v>986</v>
      </c>
      <c r="I57" s="45" t="s">
        <v>986</v>
      </c>
      <c r="J57" s="45" t="s">
        <v>986</v>
      </c>
      <c r="K57" s="45" t="s">
        <v>986</v>
      </c>
      <c r="L57" s="45" t="s">
        <v>986</v>
      </c>
      <c r="M57" s="45" t="s">
        <v>986</v>
      </c>
      <c r="N57" s="45" t="s">
        <v>986</v>
      </c>
      <c r="O57" s="45" t="s">
        <v>986</v>
      </c>
      <c r="P57" s="45" t="s">
        <v>986</v>
      </c>
      <c r="Q57" s="45" t="s">
        <v>986</v>
      </c>
      <c r="R57" s="47" t="s">
        <v>87</v>
      </c>
    </row>
    <row r="58" spans="1:18" s="45" customFormat="1" ht="9.75" customHeight="1" x14ac:dyDescent="0.15">
      <c r="A58" s="559" t="s">
        <v>993</v>
      </c>
      <c r="B58" s="45" t="s">
        <v>986</v>
      </c>
      <c r="C58" s="45" t="s">
        <v>986</v>
      </c>
      <c r="D58" s="45" t="s">
        <v>986</v>
      </c>
      <c r="E58" s="45" t="s">
        <v>986</v>
      </c>
      <c r="F58" s="45" t="s">
        <v>986</v>
      </c>
      <c r="G58" s="45" t="s">
        <v>986</v>
      </c>
      <c r="H58" s="45" t="s">
        <v>986</v>
      </c>
      <c r="I58" s="45" t="s">
        <v>986</v>
      </c>
      <c r="J58" s="45" t="s">
        <v>986</v>
      </c>
      <c r="K58" s="45" t="s">
        <v>986</v>
      </c>
      <c r="L58" s="45" t="s">
        <v>986</v>
      </c>
      <c r="M58" s="45" t="s">
        <v>986</v>
      </c>
      <c r="N58" s="45" t="s">
        <v>986</v>
      </c>
      <c r="O58" s="45" t="s">
        <v>986</v>
      </c>
      <c r="P58" s="45" t="s">
        <v>986</v>
      </c>
      <c r="Q58" s="45" t="s">
        <v>986</v>
      </c>
      <c r="R58" s="47" t="s">
        <v>994</v>
      </c>
    </row>
    <row r="59" spans="1:18" s="45" customFormat="1" ht="9.75" customHeight="1" x14ac:dyDescent="0.15">
      <c r="A59" s="578"/>
      <c r="R59" s="47"/>
    </row>
    <row r="60" spans="1:18" s="45" customFormat="1" ht="9.75" customHeight="1" x14ac:dyDescent="0.15">
      <c r="A60" s="559" t="s">
        <v>995</v>
      </c>
      <c r="B60" s="45" t="s">
        <v>986</v>
      </c>
      <c r="C60" s="45" t="s">
        <v>986</v>
      </c>
      <c r="D60" s="45" t="s">
        <v>986</v>
      </c>
      <c r="E60" s="45" t="s">
        <v>986</v>
      </c>
      <c r="F60" s="45">
        <v>5001</v>
      </c>
      <c r="G60" s="45">
        <v>5001</v>
      </c>
      <c r="H60" s="45" t="s">
        <v>986</v>
      </c>
      <c r="I60" s="45" t="s">
        <v>986</v>
      </c>
      <c r="J60" s="45" t="s">
        <v>986</v>
      </c>
      <c r="K60" s="45" t="s">
        <v>986</v>
      </c>
      <c r="L60" s="45" t="s">
        <v>986</v>
      </c>
      <c r="M60" s="45" t="s">
        <v>986</v>
      </c>
      <c r="N60" s="45" t="s">
        <v>986</v>
      </c>
      <c r="O60" s="45" t="s">
        <v>986</v>
      </c>
      <c r="P60" s="45" t="s">
        <v>986</v>
      </c>
      <c r="Q60" s="45" t="s">
        <v>986</v>
      </c>
      <c r="R60" s="47" t="s">
        <v>778</v>
      </c>
    </row>
    <row r="61" spans="1:18" s="45" customFormat="1" ht="9.75" customHeight="1" x14ac:dyDescent="0.15">
      <c r="A61" s="559" t="s">
        <v>640</v>
      </c>
      <c r="B61" s="45" t="s">
        <v>986</v>
      </c>
      <c r="C61" s="45" t="s">
        <v>986</v>
      </c>
      <c r="D61" s="45" t="s">
        <v>986</v>
      </c>
      <c r="E61" s="45" t="s">
        <v>986</v>
      </c>
      <c r="F61" s="45">
        <v>28035</v>
      </c>
      <c r="G61" s="45">
        <v>28035</v>
      </c>
      <c r="H61" s="45" t="s">
        <v>986</v>
      </c>
      <c r="I61" s="45" t="s">
        <v>986</v>
      </c>
      <c r="J61" s="45" t="s">
        <v>986</v>
      </c>
      <c r="K61" s="45" t="s">
        <v>986</v>
      </c>
      <c r="L61" s="45" t="s">
        <v>986</v>
      </c>
      <c r="M61" s="45" t="s">
        <v>986</v>
      </c>
      <c r="N61" s="45" t="s">
        <v>986</v>
      </c>
      <c r="O61" s="45" t="s">
        <v>986</v>
      </c>
      <c r="P61" s="45" t="s">
        <v>986</v>
      </c>
      <c r="Q61" s="45" t="s">
        <v>986</v>
      </c>
      <c r="R61" s="47" t="s">
        <v>73</v>
      </c>
    </row>
    <row r="62" spans="1:18" s="45" customFormat="1" ht="9.75" customHeight="1" x14ac:dyDescent="0.15">
      <c r="A62" s="559" t="s">
        <v>641</v>
      </c>
      <c r="B62" s="45" t="s">
        <v>986</v>
      </c>
      <c r="C62" s="45" t="s">
        <v>986</v>
      </c>
      <c r="D62" s="45" t="s">
        <v>986</v>
      </c>
      <c r="E62" s="45" t="s">
        <v>986</v>
      </c>
      <c r="F62" s="45" t="s">
        <v>986</v>
      </c>
      <c r="G62" s="45" t="s">
        <v>986</v>
      </c>
      <c r="H62" s="45" t="s">
        <v>986</v>
      </c>
      <c r="I62" s="45" t="s">
        <v>986</v>
      </c>
      <c r="J62" s="45" t="s">
        <v>986</v>
      </c>
      <c r="K62" s="45" t="s">
        <v>986</v>
      </c>
      <c r="L62" s="45" t="s">
        <v>986</v>
      </c>
      <c r="M62" s="45" t="s">
        <v>986</v>
      </c>
      <c r="N62" s="45" t="s">
        <v>986</v>
      </c>
      <c r="O62" s="45" t="s">
        <v>986</v>
      </c>
      <c r="P62" s="45" t="s">
        <v>986</v>
      </c>
      <c r="Q62" s="45" t="s">
        <v>986</v>
      </c>
      <c r="R62" s="47" t="s">
        <v>74</v>
      </c>
    </row>
    <row r="63" spans="1:18" s="45" customFormat="1" ht="9.75" customHeight="1" x14ac:dyDescent="0.15">
      <c r="A63" s="559" t="s">
        <v>642</v>
      </c>
      <c r="B63" s="45" t="s">
        <v>986</v>
      </c>
      <c r="C63" s="45" t="s">
        <v>986</v>
      </c>
      <c r="D63" s="45" t="s">
        <v>986</v>
      </c>
      <c r="E63" s="45" t="s">
        <v>986</v>
      </c>
      <c r="F63" s="45" t="s">
        <v>986</v>
      </c>
      <c r="G63" s="45" t="s">
        <v>986</v>
      </c>
      <c r="H63" s="45" t="s">
        <v>986</v>
      </c>
      <c r="I63" s="45" t="s">
        <v>986</v>
      </c>
      <c r="J63" s="45" t="s">
        <v>986</v>
      </c>
      <c r="K63" s="45" t="s">
        <v>986</v>
      </c>
      <c r="L63" s="45" t="s">
        <v>986</v>
      </c>
      <c r="M63" s="45" t="s">
        <v>986</v>
      </c>
      <c r="N63" s="45" t="s">
        <v>986</v>
      </c>
      <c r="O63" s="45" t="s">
        <v>986</v>
      </c>
      <c r="P63" s="45" t="s">
        <v>986</v>
      </c>
      <c r="Q63" s="45" t="s">
        <v>986</v>
      </c>
      <c r="R63" s="47" t="s">
        <v>75</v>
      </c>
    </row>
    <row r="64" spans="1:18" s="45" customFormat="1" ht="9.75" customHeight="1" x14ac:dyDescent="0.15">
      <c r="A64" s="559" t="s">
        <v>643</v>
      </c>
      <c r="B64" s="45" t="s">
        <v>986</v>
      </c>
      <c r="C64" s="45" t="s">
        <v>986</v>
      </c>
      <c r="D64" s="45" t="s">
        <v>986</v>
      </c>
      <c r="E64" s="45" t="s">
        <v>986</v>
      </c>
      <c r="F64" s="45" t="s">
        <v>986</v>
      </c>
      <c r="G64" s="45" t="s">
        <v>986</v>
      </c>
      <c r="H64" s="45" t="s">
        <v>986</v>
      </c>
      <c r="I64" s="45" t="s">
        <v>986</v>
      </c>
      <c r="J64" s="45" t="s">
        <v>986</v>
      </c>
      <c r="K64" s="45" t="s">
        <v>986</v>
      </c>
      <c r="L64" s="45" t="s">
        <v>986</v>
      </c>
      <c r="M64" s="45" t="s">
        <v>986</v>
      </c>
      <c r="N64" s="45" t="s">
        <v>986</v>
      </c>
      <c r="O64" s="45" t="s">
        <v>986</v>
      </c>
      <c r="P64" s="45" t="s">
        <v>986</v>
      </c>
      <c r="Q64" s="45" t="s">
        <v>986</v>
      </c>
      <c r="R64" s="48" t="s">
        <v>88</v>
      </c>
    </row>
    <row r="65" spans="1:18" s="45" customFormat="1" ht="9.75" customHeight="1" x14ac:dyDescent="0.15">
      <c r="A65" s="559" t="s">
        <v>644</v>
      </c>
      <c r="B65" s="45" t="s">
        <v>986</v>
      </c>
      <c r="C65" s="45" t="s">
        <v>986</v>
      </c>
      <c r="D65" s="45" t="s">
        <v>986</v>
      </c>
      <c r="E65" s="45" t="s">
        <v>986</v>
      </c>
      <c r="F65" s="45" t="s">
        <v>986</v>
      </c>
      <c r="G65" s="45" t="s">
        <v>986</v>
      </c>
      <c r="H65" s="45" t="s">
        <v>986</v>
      </c>
      <c r="I65" s="45" t="s">
        <v>986</v>
      </c>
      <c r="J65" s="45" t="s">
        <v>986</v>
      </c>
      <c r="K65" s="45" t="s">
        <v>986</v>
      </c>
      <c r="L65" s="45" t="s">
        <v>986</v>
      </c>
      <c r="M65" s="45" t="s">
        <v>986</v>
      </c>
      <c r="N65" s="45" t="s">
        <v>986</v>
      </c>
      <c r="O65" s="45" t="s">
        <v>986</v>
      </c>
      <c r="P65" s="45" t="s">
        <v>986</v>
      </c>
      <c r="Q65" s="45" t="s">
        <v>986</v>
      </c>
      <c r="R65" s="47" t="s">
        <v>89</v>
      </c>
    </row>
    <row r="66" spans="1:18" s="45" customFormat="1" ht="9.75" customHeight="1" x14ac:dyDescent="0.15">
      <c r="A66" s="559" t="s">
        <v>645</v>
      </c>
      <c r="B66" s="45" t="s">
        <v>986</v>
      </c>
      <c r="C66" s="45" t="s">
        <v>986</v>
      </c>
      <c r="D66" s="45" t="s">
        <v>986</v>
      </c>
      <c r="E66" s="45" t="s">
        <v>986</v>
      </c>
      <c r="F66" s="45" t="s">
        <v>986</v>
      </c>
      <c r="G66" s="45" t="s">
        <v>986</v>
      </c>
      <c r="H66" s="45" t="s">
        <v>986</v>
      </c>
      <c r="I66" s="45" t="s">
        <v>986</v>
      </c>
      <c r="J66" s="45" t="s">
        <v>986</v>
      </c>
      <c r="K66" s="45" t="s">
        <v>986</v>
      </c>
      <c r="L66" s="45" t="s">
        <v>986</v>
      </c>
      <c r="M66" s="45" t="s">
        <v>986</v>
      </c>
      <c r="N66" s="45" t="s">
        <v>986</v>
      </c>
      <c r="O66" s="45" t="s">
        <v>986</v>
      </c>
      <c r="P66" s="45" t="s">
        <v>986</v>
      </c>
      <c r="Q66" s="45" t="s">
        <v>986</v>
      </c>
      <c r="R66" s="47" t="s">
        <v>90</v>
      </c>
    </row>
    <row r="67" spans="1:18" s="45" customFormat="1" ht="9.75" customHeight="1" x14ac:dyDescent="0.15">
      <c r="A67" s="559" t="s">
        <v>646</v>
      </c>
      <c r="B67" s="45" t="s">
        <v>986</v>
      </c>
      <c r="C67" s="45" t="s">
        <v>986</v>
      </c>
      <c r="D67" s="45" t="s">
        <v>986</v>
      </c>
      <c r="E67" s="45" t="s">
        <v>986</v>
      </c>
      <c r="F67" s="45" t="s">
        <v>986</v>
      </c>
      <c r="G67" s="45" t="s">
        <v>986</v>
      </c>
      <c r="H67" s="45" t="s">
        <v>986</v>
      </c>
      <c r="I67" s="45" t="s">
        <v>986</v>
      </c>
      <c r="J67" s="45" t="s">
        <v>986</v>
      </c>
      <c r="K67" s="45" t="s">
        <v>986</v>
      </c>
      <c r="L67" s="45" t="s">
        <v>986</v>
      </c>
      <c r="M67" s="45" t="s">
        <v>986</v>
      </c>
      <c r="N67" s="45" t="s">
        <v>986</v>
      </c>
      <c r="O67" s="45" t="s">
        <v>986</v>
      </c>
      <c r="P67" s="45" t="s">
        <v>986</v>
      </c>
      <c r="Q67" s="45" t="s">
        <v>986</v>
      </c>
      <c r="R67" s="47" t="s">
        <v>91</v>
      </c>
    </row>
    <row r="68" spans="1:18" s="45" customFormat="1" ht="9.75" customHeight="1" x14ac:dyDescent="0.15">
      <c r="A68" s="559" t="s">
        <v>647</v>
      </c>
      <c r="B68" s="45" t="s">
        <v>986</v>
      </c>
      <c r="C68" s="45" t="s">
        <v>986</v>
      </c>
      <c r="D68" s="45" t="s">
        <v>986</v>
      </c>
      <c r="E68" s="45" t="s">
        <v>986</v>
      </c>
      <c r="F68" s="45" t="s">
        <v>986</v>
      </c>
      <c r="G68" s="45" t="s">
        <v>986</v>
      </c>
      <c r="H68" s="45" t="s">
        <v>986</v>
      </c>
      <c r="I68" s="45" t="s">
        <v>986</v>
      </c>
      <c r="J68" s="45" t="s">
        <v>986</v>
      </c>
      <c r="K68" s="45" t="s">
        <v>986</v>
      </c>
      <c r="L68" s="45" t="s">
        <v>986</v>
      </c>
      <c r="M68" s="45" t="s">
        <v>986</v>
      </c>
      <c r="N68" s="45" t="s">
        <v>986</v>
      </c>
      <c r="O68" s="45" t="s">
        <v>986</v>
      </c>
      <c r="P68" s="45" t="s">
        <v>986</v>
      </c>
      <c r="Q68" s="45" t="s">
        <v>986</v>
      </c>
      <c r="R68" s="47" t="s">
        <v>92</v>
      </c>
    </row>
    <row r="69" spans="1:18" s="45" customFormat="1" ht="9.75" customHeight="1" x14ac:dyDescent="0.15">
      <c r="A69" s="559" t="s">
        <v>648</v>
      </c>
      <c r="B69" s="45" t="s">
        <v>986</v>
      </c>
      <c r="C69" s="45" t="s">
        <v>986</v>
      </c>
      <c r="D69" s="45" t="s">
        <v>986</v>
      </c>
      <c r="E69" s="45" t="s">
        <v>986</v>
      </c>
      <c r="F69" s="45" t="s">
        <v>986</v>
      </c>
      <c r="G69" s="45" t="s">
        <v>986</v>
      </c>
      <c r="H69" s="45" t="s">
        <v>986</v>
      </c>
      <c r="I69" s="45" t="s">
        <v>986</v>
      </c>
      <c r="J69" s="45" t="s">
        <v>986</v>
      </c>
      <c r="K69" s="45" t="s">
        <v>986</v>
      </c>
      <c r="L69" s="45" t="s">
        <v>986</v>
      </c>
      <c r="M69" s="45" t="s">
        <v>986</v>
      </c>
      <c r="N69" s="45" t="s">
        <v>986</v>
      </c>
      <c r="O69" s="45" t="s">
        <v>986</v>
      </c>
      <c r="P69" s="45" t="s">
        <v>986</v>
      </c>
      <c r="Q69" s="45" t="s">
        <v>986</v>
      </c>
      <c r="R69" s="47" t="s">
        <v>76</v>
      </c>
    </row>
    <row r="70" spans="1:18" s="45" customFormat="1" ht="9.75" customHeight="1" x14ac:dyDescent="0.15">
      <c r="A70" s="559" t="s">
        <v>649</v>
      </c>
      <c r="B70" s="45" t="s">
        <v>986</v>
      </c>
      <c r="C70" s="45" t="s">
        <v>986</v>
      </c>
      <c r="D70" s="45" t="s">
        <v>986</v>
      </c>
      <c r="E70" s="45" t="s">
        <v>986</v>
      </c>
      <c r="F70" s="45" t="s">
        <v>986</v>
      </c>
      <c r="G70" s="45" t="s">
        <v>986</v>
      </c>
      <c r="H70" s="45" t="s">
        <v>986</v>
      </c>
      <c r="I70" s="45" t="s">
        <v>986</v>
      </c>
      <c r="J70" s="45" t="s">
        <v>986</v>
      </c>
      <c r="K70" s="45" t="s">
        <v>986</v>
      </c>
      <c r="L70" s="45" t="s">
        <v>986</v>
      </c>
      <c r="M70" s="45" t="s">
        <v>986</v>
      </c>
      <c r="N70" s="45" t="s">
        <v>986</v>
      </c>
      <c r="O70" s="45" t="s">
        <v>986</v>
      </c>
      <c r="P70" s="45" t="s">
        <v>986</v>
      </c>
      <c r="Q70" s="45" t="s">
        <v>986</v>
      </c>
      <c r="R70" s="47" t="s">
        <v>77</v>
      </c>
    </row>
    <row r="71" spans="1:18" s="45" customFormat="1" ht="9.75" customHeight="1" x14ac:dyDescent="0.15">
      <c r="A71" s="559" t="s">
        <v>650</v>
      </c>
      <c r="B71" s="45" t="s">
        <v>986</v>
      </c>
      <c r="C71" s="45" t="s">
        <v>986</v>
      </c>
      <c r="D71" s="45" t="s">
        <v>986</v>
      </c>
      <c r="E71" s="45" t="s">
        <v>986</v>
      </c>
      <c r="F71" s="45" t="s">
        <v>986</v>
      </c>
      <c r="G71" s="45" t="s">
        <v>986</v>
      </c>
      <c r="H71" s="45" t="s">
        <v>986</v>
      </c>
      <c r="I71" s="45" t="s">
        <v>986</v>
      </c>
      <c r="J71" s="45" t="s">
        <v>986</v>
      </c>
      <c r="K71" s="45" t="s">
        <v>986</v>
      </c>
      <c r="L71" s="45" t="s">
        <v>986</v>
      </c>
      <c r="M71" s="45" t="s">
        <v>986</v>
      </c>
      <c r="N71" s="45" t="s">
        <v>986</v>
      </c>
      <c r="O71" s="45" t="s">
        <v>986</v>
      </c>
      <c r="P71" s="45" t="s">
        <v>986</v>
      </c>
      <c r="Q71" s="45" t="s">
        <v>986</v>
      </c>
      <c r="R71" s="47" t="s">
        <v>78</v>
      </c>
    </row>
    <row r="72" spans="1:18" s="45" customFormat="1" ht="9.75" customHeight="1" x14ac:dyDescent="0.15">
      <c r="A72" s="559" t="s">
        <v>996</v>
      </c>
      <c r="B72" s="45" t="s">
        <v>986</v>
      </c>
      <c r="C72" s="45" t="s">
        <v>986</v>
      </c>
      <c r="D72" s="45" t="s">
        <v>986</v>
      </c>
      <c r="E72" s="45" t="s">
        <v>986</v>
      </c>
      <c r="F72" s="45" t="s">
        <v>986</v>
      </c>
      <c r="G72" s="45" t="s">
        <v>986</v>
      </c>
      <c r="H72" s="45" t="s">
        <v>986</v>
      </c>
      <c r="I72" s="45" t="s">
        <v>986</v>
      </c>
      <c r="J72" s="45" t="s">
        <v>986</v>
      </c>
      <c r="K72" s="45" t="s">
        <v>986</v>
      </c>
      <c r="L72" s="45" t="s">
        <v>986</v>
      </c>
      <c r="M72" s="45" t="s">
        <v>986</v>
      </c>
      <c r="N72" s="45" t="s">
        <v>986</v>
      </c>
      <c r="O72" s="45" t="s">
        <v>986</v>
      </c>
      <c r="P72" s="45" t="s">
        <v>986</v>
      </c>
      <c r="Q72" s="45" t="s">
        <v>986</v>
      </c>
      <c r="R72" s="47" t="s">
        <v>997</v>
      </c>
    </row>
    <row r="73" spans="1:18" s="45" customFormat="1" ht="9.75" customHeight="1" x14ac:dyDescent="0.15">
      <c r="A73" s="559" t="s">
        <v>651</v>
      </c>
      <c r="B73" s="45" t="s">
        <v>986</v>
      </c>
      <c r="C73" s="45" t="s">
        <v>986</v>
      </c>
      <c r="D73" s="45" t="s">
        <v>986</v>
      </c>
      <c r="E73" s="45" t="s">
        <v>986</v>
      </c>
      <c r="F73" s="45" t="s">
        <v>986</v>
      </c>
      <c r="G73" s="45" t="s">
        <v>986</v>
      </c>
      <c r="H73" s="45" t="s">
        <v>986</v>
      </c>
      <c r="I73" s="45" t="s">
        <v>986</v>
      </c>
      <c r="J73" s="45" t="s">
        <v>986</v>
      </c>
      <c r="K73" s="45" t="s">
        <v>986</v>
      </c>
      <c r="L73" s="45" t="s">
        <v>986</v>
      </c>
      <c r="M73" s="45" t="s">
        <v>986</v>
      </c>
      <c r="N73" s="45" t="s">
        <v>986</v>
      </c>
      <c r="O73" s="45" t="s">
        <v>986</v>
      </c>
      <c r="P73" s="45" t="s">
        <v>986</v>
      </c>
      <c r="Q73" s="45" t="s">
        <v>986</v>
      </c>
      <c r="R73" s="47" t="s">
        <v>73</v>
      </c>
    </row>
    <row r="74" spans="1:18" s="45" customFormat="1" ht="9.75" customHeight="1" x14ac:dyDescent="0.15">
      <c r="A74" s="661" t="s">
        <v>652</v>
      </c>
      <c r="B74" s="734" t="s">
        <v>986</v>
      </c>
      <c r="C74" s="735" t="s">
        <v>986</v>
      </c>
      <c r="D74" s="735" t="s">
        <v>986</v>
      </c>
      <c r="E74" s="735" t="s">
        <v>986</v>
      </c>
      <c r="F74" s="735" t="s">
        <v>986</v>
      </c>
      <c r="G74" s="735" t="s">
        <v>986</v>
      </c>
      <c r="H74" s="735" t="s">
        <v>986</v>
      </c>
      <c r="I74" s="735" t="s">
        <v>986</v>
      </c>
      <c r="J74" s="735" t="s">
        <v>986</v>
      </c>
      <c r="K74" s="735" t="s">
        <v>986</v>
      </c>
      <c r="L74" s="735" t="s">
        <v>986</v>
      </c>
      <c r="M74" s="735" t="s">
        <v>986</v>
      </c>
      <c r="N74" s="735" t="s">
        <v>986</v>
      </c>
      <c r="O74" s="735" t="s">
        <v>986</v>
      </c>
      <c r="P74" s="735" t="s">
        <v>986</v>
      </c>
      <c r="Q74" s="735" t="s">
        <v>986</v>
      </c>
      <c r="R74" s="736" t="s">
        <v>74</v>
      </c>
    </row>
    <row r="75" spans="1:18" ht="21.75" customHeight="1" x14ac:dyDescent="0.15">
      <c r="I75" s="24" t="s">
        <v>93</v>
      </c>
      <c r="N75" s="23" t="s">
        <v>72</v>
      </c>
    </row>
    <row r="76" spans="1:18" s="643" customFormat="1" ht="12" customHeight="1" x14ac:dyDescent="0.15">
      <c r="A76" s="724"/>
      <c r="B76" s="726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4"/>
      <c r="N76" s="1027" t="s">
        <v>79</v>
      </c>
    </row>
    <row r="77" spans="1:18" s="29" customFormat="1" ht="13.5" customHeight="1" x14ac:dyDescent="0.15">
      <c r="A77" s="27"/>
      <c r="B77" s="637" t="s">
        <v>184</v>
      </c>
      <c r="C77" s="654"/>
      <c r="D77" s="728"/>
      <c r="E77" s="654"/>
      <c r="F77" s="728"/>
      <c r="G77" s="654"/>
      <c r="H77" s="728"/>
      <c r="I77" s="654"/>
      <c r="J77" s="729"/>
      <c r="K77" s="729"/>
      <c r="L77" s="729"/>
      <c r="M77" s="728"/>
      <c r="N77" s="1028"/>
    </row>
    <row r="78" spans="1:18" s="29" customFormat="1" ht="33.75" customHeight="1" x14ac:dyDescent="0.15">
      <c r="A78" s="27" t="s">
        <v>172</v>
      </c>
      <c r="B78" s="637" t="s">
        <v>186</v>
      </c>
      <c r="C78" s="637" t="s">
        <v>114</v>
      </c>
      <c r="D78" s="653" t="s">
        <v>616</v>
      </c>
      <c r="E78" s="637" t="s">
        <v>81</v>
      </c>
      <c r="F78" s="653" t="s">
        <v>187</v>
      </c>
      <c r="G78" s="637" t="s">
        <v>82</v>
      </c>
      <c r="H78" s="653" t="s">
        <v>661</v>
      </c>
      <c r="I78" s="637" t="s">
        <v>108</v>
      </c>
      <c r="J78" s="654" t="s">
        <v>169</v>
      </c>
      <c r="K78" s="729"/>
      <c r="L78" s="729"/>
      <c r="M78" s="728"/>
      <c r="N78" s="1028"/>
    </row>
    <row r="79" spans="1:18" s="29" customFormat="1" ht="22.5" customHeight="1" x14ac:dyDescent="0.15">
      <c r="A79" s="27"/>
      <c r="B79" s="637"/>
      <c r="C79" s="637" t="s">
        <v>83</v>
      </c>
      <c r="D79" s="653" t="s">
        <v>617</v>
      </c>
      <c r="E79" s="637" t="s">
        <v>84</v>
      </c>
      <c r="F79" s="653" t="s">
        <v>40</v>
      </c>
      <c r="G79" s="637" t="s">
        <v>43</v>
      </c>
      <c r="H79" s="653" t="s">
        <v>47</v>
      </c>
      <c r="I79" s="637" t="s">
        <v>51</v>
      </c>
      <c r="J79" s="637" t="s">
        <v>52</v>
      </c>
      <c r="K79" s="653" t="s">
        <v>170</v>
      </c>
      <c r="L79" s="653" t="s">
        <v>171</v>
      </c>
      <c r="M79" s="653" t="s">
        <v>660</v>
      </c>
      <c r="N79" s="1028"/>
    </row>
    <row r="80" spans="1:18" s="29" customFormat="1" ht="13.5" customHeight="1" x14ac:dyDescent="0.15">
      <c r="A80" s="655"/>
      <c r="B80" s="638"/>
      <c r="C80" s="638"/>
      <c r="D80" s="638" t="str">
        <f>PROPER("Domestic")</f>
        <v>Domestic</v>
      </c>
      <c r="E80" s="638"/>
      <c r="F80" s="638" t="str">
        <f>PROPER("DURI")</f>
        <v>Duri</v>
      </c>
      <c r="G80" s="638"/>
      <c r="H80" s="638" t="str">
        <f>PROPER("ARAB-L")</f>
        <v>Arab-L</v>
      </c>
      <c r="I80" s="638"/>
      <c r="J80" s="638"/>
      <c r="K80" s="638" t="str">
        <f>PROPER("WANDOO")</f>
        <v>Wandoo</v>
      </c>
      <c r="L80" s="638" t="str">
        <f>PROPER("STAG")</f>
        <v>Stag</v>
      </c>
      <c r="M80" s="638" t="str">
        <f>PROPER("PYRENEES")</f>
        <v>Pyrenees</v>
      </c>
      <c r="N80" s="1029"/>
    </row>
    <row r="81" spans="1:14" s="45" customFormat="1" ht="9.75" customHeight="1" x14ac:dyDescent="0.15">
      <c r="A81" s="657" t="s">
        <v>985</v>
      </c>
      <c r="B81" s="731">
        <v>136177</v>
      </c>
      <c r="C81" s="732" t="s">
        <v>986</v>
      </c>
      <c r="D81" s="732" t="s">
        <v>986</v>
      </c>
      <c r="E81" s="732">
        <v>8554</v>
      </c>
      <c r="F81" s="732">
        <v>8554</v>
      </c>
      <c r="G81" s="732">
        <v>5037</v>
      </c>
      <c r="H81" s="732">
        <v>5037</v>
      </c>
      <c r="I81" s="732">
        <v>122586</v>
      </c>
      <c r="J81" s="732">
        <v>122586</v>
      </c>
      <c r="K81" s="732">
        <v>122586</v>
      </c>
      <c r="L81" s="732" t="s">
        <v>986</v>
      </c>
      <c r="M81" s="739" t="s">
        <v>986</v>
      </c>
      <c r="N81" s="733" t="s">
        <v>485</v>
      </c>
    </row>
    <row r="82" spans="1:14" s="45" customFormat="1" ht="9.75" customHeight="1" x14ac:dyDescent="0.15">
      <c r="A82" s="559" t="s">
        <v>634</v>
      </c>
      <c r="B82" s="45">
        <v>104211</v>
      </c>
      <c r="C82" s="45" t="s">
        <v>986</v>
      </c>
      <c r="D82" s="45" t="s">
        <v>986</v>
      </c>
      <c r="E82" s="45" t="s">
        <v>986</v>
      </c>
      <c r="F82" s="45" t="s">
        <v>986</v>
      </c>
      <c r="G82" s="45">
        <v>5050</v>
      </c>
      <c r="H82" s="45">
        <v>5050</v>
      </c>
      <c r="I82" s="45">
        <v>99161</v>
      </c>
      <c r="J82" s="45">
        <v>99161</v>
      </c>
      <c r="K82" s="45">
        <v>99161</v>
      </c>
      <c r="L82" s="45" t="s">
        <v>986</v>
      </c>
      <c r="M82" s="49" t="s">
        <v>986</v>
      </c>
      <c r="N82" s="47" t="s">
        <v>588</v>
      </c>
    </row>
    <row r="83" spans="1:14" s="45" customFormat="1" ht="9.75" customHeight="1" x14ac:dyDescent="0.15">
      <c r="A83" s="559" t="s">
        <v>635</v>
      </c>
      <c r="B83" s="45">
        <v>129781</v>
      </c>
      <c r="C83" s="45" t="s">
        <v>986</v>
      </c>
      <c r="D83" s="45" t="s">
        <v>986</v>
      </c>
      <c r="E83" s="45">
        <v>8947</v>
      </c>
      <c r="F83" s="45">
        <v>8947</v>
      </c>
      <c r="G83" s="45">
        <v>5334</v>
      </c>
      <c r="H83" s="45">
        <v>5334</v>
      </c>
      <c r="I83" s="45">
        <v>115500</v>
      </c>
      <c r="J83" s="45">
        <v>115500</v>
      </c>
      <c r="K83" s="45">
        <v>115500</v>
      </c>
      <c r="L83" s="45" t="s">
        <v>986</v>
      </c>
      <c r="M83" s="49" t="s">
        <v>986</v>
      </c>
      <c r="N83" s="47" t="s">
        <v>636</v>
      </c>
    </row>
    <row r="84" spans="1:14" s="45" customFormat="1" ht="9.75" customHeight="1" x14ac:dyDescent="0.15">
      <c r="A84" s="559" t="s">
        <v>774</v>
      </c>
      <c r="B84" s="45">
        <v>101788</v>
      </c>
      <c r="C84" s="45" t="s">
        <v>986</v>
      </c>
      <c r="D84" s="45" t="s">
        <v>986</v>
      </c>
      <c r="E84" s="45" t="s">
        <v>986</v>
      </c>
      <c r="F84" s="45" t="s">
        <v>986</v>
      </c>
      <c r="G84" s="45">
        <v>400</v>
      </c>
      <c r="H84" s="45">
        <v>400</v>
      </c>
      <c r="I84" s="45">
        <v>101388</v>
      </c>
      <c r="J84" s="45">
        <v>101388</v>
      </c>
      <c r="K84" s="45">
        <v>101388</v>
      </c>
      <c r="L84" s="45" t="s">
        <v>986</v>
      </c>
      <c r="M84" s="49" t="s">
        <v>986</v>
      </c>
      <c r="N84" s="47" t="s">
        <v>775</v>
      </c>
    </row>
    <row r="85" spans="1:14" s="45" customFormat="1" ht="9.75" customHeight="1" x14ac:dyDescent="0.15">
      <c r="A85" s="559" t="s">
        <v>987</v>
      </c>
      <c r="B85" s="45">
        <v>105337</v>
      </c>
      <c r="C85" s="45" t="s">
        <v>986</v>
      </c>
      <c r="D85" s="45" t="s">
        <v>986</v>
      </c>
      <c r="E85" s="45" t="s">
        <v>986</v>
      </c>
      <c r="F85" s="45" t="s">
        <v>986</v>
      </c>
      <c r="G85" s="45" t="s">
        <v>986</v>
      </c>
      <c r="H85" s="45" t="s">
        <v>986</v>
      </c>
      <c r="I85" s="45">
        <v>105337</v>
      </c>
      <c r="J85" s="45">
        <v>105337</v>
      </c>
      <c r="K85" s="45">
        <v>45370</v>
      </c>
      <c r="L85" s="45">
        <v>8454</v>
      </c>
      <c r="M85" s="49">
        <v>51513</v>
      </c>
      <c r="N85" s="47" t="s">
        <v>988</v>
      </c>
    </row>
    <row r="86" spans="1:14" s="45" customFormat="1" ht="9.75" customHeight="1" x14ac:dyDescent="0.15">
      <c r="A86" s="578"/>
      <c r="M86" s="49"/>
      <c r="N86" s="47"/>
    </row>
    <row r="87" spans="1:14" s="45" customFormat="1" ht="9.75" customHeight="1" x14ac:dyDescent="0.15">
      <c r="A87" s="559" t="s">
        <v>989</v>
      </c>
      <c r="B87" s="45">
        <v>104518</v>
      </c>
      <c r="C87" s="45" t="s">
        <v>986</v>
      </c>
      <c r="D87" s="45" t="s">
        <v>986</v>
      </c>
      <c r="E87" s="45" t="s">
        <v>986</v>
      </c>
      <c r="F87" s="45" t="s">
        <v>986</v>
      </c>
      <c r="G87" s="45" t="s">
        <v>986</v>
      </c>
      <c r="H87" s="45" t="s">
        <v>986</v>
      </c>
      <c r="I87" s="45">
        <v>104518</v>
      </c>
      <c r="J87" s="45">
        <v>104518</v>
      </c>
      <c r="K87" s="45">
        <v>98793</v>
      </c>
      <c r="L87" s="45" t="s">
        <v>986</v>
      </c>
      <c r="M87" s="49">
        <v>5725</v>
      </c>
      <c r="N87" s="47" t="s">
        <v>776</v>
      </c>
    </row>
    <row r="88" spans="1:14" s="45" customFormat="1" ht="9.75" customHeight="1" x14ac:dyDescent="0.15">
      <c r="A88" s="559" t="s">
        <v>990</v>
      </c>
      <c r="B88" s="45">
        <v>108321</v>
      </c>
      <c r="C88" s="45">
        <v>7512</v>
      </c>
      <c r="D88" s="45">
        <v>7512</v>
      </c>
      <c r="E88" s="45" t="s">
        <v>986</v>
      </c>
      <c r="F88" s="45" t="s">
        <v>986</v>
      </c>
      <c r="G88" s="45" t="s">
        <v>986</v>
      </c>
      <c r="H88" s="45" t="s">
        <v>986</v>
      </c>
      <c r="I88" s="45">
        <v>100809</v>
      </c>
      <c r="J88" s="45">
        <v>100809</v>
      </c>
      <c r="K88" s="45">
        <v>41577</v>
      </c>
      <c r="L88" s="45">
        <v>9610</v>
      </c>
      <c r="M88" s="49">
        <v>49622</v>
      </c>
      <c r="N88" s="47" t="s">
        <v>991</v>
      </c>
    </row>
    <row r="89" spans="1:14" s="45" customFormat="1" ht="9.75" customHeight="1" x14ac:dyDescent="0.15">
      <c r="A89" s="578"/>
      <c r="M89" s="49"/>
      <c r="N89" s="47"/>
    </row>
    <row r="90" spans="1:14" s="45" customFormat="1" ht="9.75" customHeight="1" x14ac:dyDescent="0.15">
      <c r="A90" s="559" t="s">
        <v>992</v>
      </c>
      <c r="B90" s="45">
        <v>29590</v>
      </c>
      <c r="C90" s="45" t="s">
        <v>986</v>
      </c>
      <c r="D90" s="45" t="s">
        <v>986</v>
      </c>
      <c r="E90" s="45" t="s">
        <v>986</v>
      </c>
      <c r="F90" s="45" t="s">
        <v>986</v>
      </c>
      <c r="G90" s="45" t="s">
        <v>986</v>
      </c>
      <c r="H90" s="45" t="s">
        <v>986</v>
      </c>
      <c r="I90" s="45">
        <v>29590</v>
      </c>
      <c r="J90" s="45">
        <v>29590</v>
      </c>
      <c r="K90" s="45">
        <v>23865</v>
      </c>
      <c r="L90" s="45" t="s">
        <v>986</v>
      </c>
      <c r="M90" s="49">
        <v>5725</v>
      </c>
      <c r="N90" s="47" t="s">
        <v>777</v>
      </c>
    </row>
    <row r="91" spans="1:14" s="45" customFormat="1" ht="9.75" customHeight="1" x14ac:dyDescent="0.15">
      <c r="A91" s="559" t="s">
        <v>637</v>
      </c>
      <c r="B91" s="45">
        <v>24210</v>
      </c>
      <c r="C91" s="45" t="s">
        <v>986</v>
      </c>
      <c r="D91" s="45" t="s">
        <v>986</v>
      </c>
      <c r="E91" s="45" t="s">
        <v>986</v>
      </c>
      <c r="F91" s="45" t="s">
        <v>986</v>
      </c>
      <c r="G91" s="45" t="s">
        <v>986</v>
      </c>
      <c r="H91" s="45" t="s">
        <v>986</v>
      </c>
      <c r="I91" s="45">
        <v>24210</v>
      </c>
      <c r="J91" s="45">
        <v>24210</v>
      </c>
      <c r="K91" s="45">
        <v>7700</v>
      </c>
      <c r="L91" s="45">
        <v>994</v>
      </c>
      <c r="M91" s="49">
        <v>15516</v>
      </c>
      <c r="N91" s="47" t="s">
        <v>85</v>
      </c>
    </row>
    <row r="92" spans="1:14" s="45" customFormat="1" ht="9.75" customHeight="1" x14ac:dyDescent="0.15">
      <c r="A92" s="559" t="s">
        <v>638</v>
      </c>
      <c r="B92" s="45">
        <v>18619</v>
      </c>
      <c r="C92" s="45" t="s">
        <v>986</v>
      </c>
      <c r="D92" s="45" t="s">
        <v>986</v>
      </c>
      <c r="E92" s="45" t="s">
        <v>986</v>
      </c>
      <c r="F92" s="45" t="s">
        <v>986</v>
      </c>
      <c r="G92" s="45" t="s">
        <v>986</v>
      </c>
      <c r="H92" s="45" t="s">
        <v>986</v>
      </c>
      <c r="I92" s="45">
        <v>18619</v>
      </c>
      <c r="J92" s="45">
        <v>18619</v>
      </c>
      <c r="K92" s="45">
        <v>1964</v>
      </c>
      <c r="L92" s="45">
        <v>5663</v>
      </c>
      <c r="M92" s="49">
        <v>10992</v>
      </c>
      <c r="N92" s="47" t="s">
        <v>86</v>
      </c>
    </row>
    <row r="93" spans="1:14" s="45" customFormat="1" ht="9.75" customHeight="1" x14ac:dyDescent="0.15">
      <c r="A93" s="559" t="s">
        <v>639</v>
      </c>
      <c r="B93" s="45">
        <v>32918</v>
      </c>
      <c r="C93" s="45" t="s">
        <v>986</v>
      </c>
      <c r="D93" s="45" t="s">
        <v>986</v>
      </c>
      <c r="E93" s="45" t="s">
        <v>986</v>
      </c>
      <c r="F93" s="45" t="s">
        <v>986</v>
      </c>
      <c r="G93" s="45" t="s">
        <v>986</v>
      </c>
      <c r="H93" s="45" t="s">
        <v>986</v>
      </c>
      <c r="I93" s="45">
        <v>32918</v>
      </c>
      <c r="J93" s="45">
        <v>32918</v>
      </c>
      <c r="K93" s="45">
        <v>11841</v>
      </c>
      <c r="L93" s="45">
        <v>1797</v>
      </c>
      <c r="M93" s="49">
        <v>19280</v>
      </c>
      <c r="N93" s="47" t="s">
        <v>87</v>
      </c>
    </row>
    <row r="94" spans="1:14" s="45" customFormat="1" ht="9.75" customHeight="1" x14ac:dyDescent="0.15">
      <c r="A94" s="559" t="s">
        <v>993</v>
      </c>
      <c r="B94" s="45">
        <v>32574</v>
      </c>
      <c r="C94" s="45">
        <v>7512</v>
      </c>
      <c r="D94" s="45">
        <v>7512</v>
      </c>
      <c r="E94" s="45" t="s">
        <v>986</v>
      </c>
      <c r="F94" s="45" t="s">
        <v>986</v>
      </c>
      <c r="G94" s="45" t="s">
        <v>986</v>
      </c>
      <c r="H94" s="45" t="s">
        <v>986</v>
      </c>
      <c r="I94" s="45">
        <v>25062</v>
      </c>
      <c r="J94" s="45">
        <v>25062</v>
      </c>
      <c r="K94" s="45">
        <v>20072</v>
      </c>
      <c r="L94" s="45">
        <v>1156</v>
      </c>
      <c r="M94" s="49">
        <v>3834</v>
      </c>
      <c r="N94" s="47" t="s">
        <v>994</v>
      </c>
    </row>
    <row r="95" spans="1:14" s="45" customFormat="1" ht="9.75" customHeight="1" x14ac:dyDescent="0.15">
      <c r="A95" s="578"/>
      <c r="M95" s="49"/>
      <c r="N95" s="47"/>
    </row>
    <row r="96" spans="1:14" s="45" customFormat="1" ht="9.75" customHeight="1" x14ac:dyDescent="0.15">
      <c r="A96" s="559" t="s">
        <v>995</v>
      </c>
      <c r="B96" s="45">
        <v>11447</v>
      </c>
      <c r="C96" s="45" t="s">
        <v>986</v>
      </c>
      <c r="D96" s="45" t="s">
        <v>986</v>
      </c>
      <c r="E96" s="45" t="s">
        <v>986</v>
      </c>
      <c r="F96" s="45" t="s">
        <v>986</v>
      </c>
      <c r="G96" s="45" t="s">
        <v>986</v>
      </c>
      <c r="H96" s="45" t="s">
        <v>986</v>
      </c>
      <c r="I96" s="45">
        <v>11447</v>
      </c>
      <c r="J96" s="45">
        <v>11447</v>
      </c>
      <c r="K96" s="45">
        <v>11447</v>
      </c>
      <c r="L96" s="45" t="s">
        <v>986</v>
      </c>
      <c r="M96" s="49" t="s">
        <v>986</v>
      </c>
      <c r="N96" s="47" t="s">
        <v>778</v>
      </c>
    </row>
    <row r="97" spans="1:14" s="45" customFormat="1" ht="9.75" customHeight="1" x14ac:dyDescent="0.15">
      <c r="A97" s="559" t="s">
        <v>640</v>
      </c>
      <c r="B97" s="45">
        <v>7160</v>
      </c>
      <c r="C97" s="45" t="s">
        <v>986</v>
      </c>
      <c r="D97" s="45" t="s">
        <v>986</v>
      </c>
      <c r="E97" s="45" t="s">
        <v>986</v>
      </c>
      <c r="F97" s="45" t="s">
        <v>986</v>
      </c>
      <c r="G97" s="45" t="s">
        <v>986</v>
      </c>
      <c r="H97" s="45" t="s">
        <v>986</v>
      </c>
      <c r="I97" s="45">
        <v>7160</v>
      </c>
      <c r="J97" s="45">
        <v>7160</v>
      </c>
      <c r="K97" s="45">
        <v>5223</v>
      </c>
      <c r="L97" s="45" t="s">
        <v>986</v>
      </c>
      <c r="M97" s="49">
        <v>1937</v>
      </c>
      <c r="N97" s="47" t="s">
        <v>73</v>
      </c>
    </row>
    <row r="98" spans="1:14" s="45" customFormat="1" ht="9.75" customHeight="1" x14ac:dyDescent="0.15">
      <c r="A98" s="559" t="s">
        <v>641</v>
      </c>
      <c r="B98" s="45">
        <v>10983</v>
      </c>
      <c r="C98" s="45" t="s">
        <v>986</v>
      </c>
      <c r="D98" s="45" t="s">
        <v>986</v>
      </c>
      <c r="E98" s="45" t="s">
        <v>986</v>
      </c>
      <c r="F98" s="45" t="s">
        <v>986</v>
      </c>
      <c r="G98" s="45" t="s">
        <v>986</v>
      </c>
      <c r="H98" s="45" t="s">
        <v>986</v>
      </c>
      <c r="I98" s="45">
        <v>10983</v>
      </c>
      <c r="J98" s="45">
        <v>10983</v>
      </c>
      <c r="K98" s="45">
        <v>7195</v>
      </c>
      <c r="L98" s="45" t="s">
        <v>986</v>
      </c>
      <c r="M98" s="49">
        <v>3788</v>
      </c>
      <c r="N98" s="47" t="s">
        <v>74</v>
      </c>
    </row>
    <row r="99" spans="1:14" s="45" customFormat="1" ht="9.75" customHeight="1" x14ac:dyDescent="0.15">
      <c r="A99" s="559" t="s">
        <v>642</v>
      </c>
      <c r="B99" s="45">
        <v>5660</v>
      </c>
      <c r="C99" s="45" t="s">
        <v>986</v>
      </c>
      <c r="D99" s="45" t="s">
        <v>986</v>
      </c>
      <c r="E99" s="45" t="s">
        <v>986</v>
      </c>
      <c r="F99" s="45" t="s">
        <v>986</v>
      </c>
      <c r="G99" s="45" t="s">
        <v>986</v>
      </c>
      <c r="H99" s="45" t="s">
        <v>986</v>
      </c>
      <c r="I99" s="45">
        <v>5660</v>
      </c>
      <c r="J99" s="45">
        <v>5660</v>
      </c>
      <c r="K99" s="45">
        <v>1264</v>
      </c>
      <c r="L99" s="45" t="s">
        <v>986</v>
      </c>
      <c r="M99" s="49">
        <v>4396</v>
      </c>
      <c r="N99" s="47" t="s">
        <v>75</v>
      </c>
    </row>
    <row r="100" spans="1:14" s="45" customFormat="1" ht="9.75" customHeight="1" x14ac:dyDescent="0.15">
      <c r="A100" s="559" t="s">
        <v>643</v>
      </c>
      <c r="B100" s="45">
        <v>8976</v>
      </c>
      <c r="C100" s="45" t="s">
        <v>986</v>
      </c>
      <c r="D100" s="45" t="s">
        <v>986</v>
      </c>
      <c r="E100" s="45" t="s">
        <v>986</v>
      </c>
      <c r="F100" s="45" t="s">
        <v>986</v>
      </c>
      <c r="G100" s="45" t="s">
        <v>986</v>
      </c>
      <c r="H100" s="45" t="s">
        <v>986</v>
      </c>
      <c r="I100" s="45">
        <v>8976</v>
      </c>
      <c r="J100" s="45">
        <v>8976</v>
      </c>
      <c r="K100" s="45">
        <v>4637</v>
      </c>
      <c r="L100" s="45" t="s">
        <v>986</v>
      </c>
      <c r="M100" s="49">
        <v>4339</v>
      </c>
      <c r="N100" s="48" t="s">
        <v>88</v>
      </c>
    </row>
    <row r="101" spans="1:14" s="45" customFormat="1" ht="9.75" customHeight="1" x14ac:dyDescent="0.15">
      <c r="A101" s="559" t="s">
        <v>644</v>
      </c>
      <c r="B101" s="45">
        <v>9574</v>
      </c>
      <c r="C101" s="45" t="s">
        <v>986</v>
      </c>
      <c r="D101" s="45" t="s">
        <v>986</v>
      </c>
      <c r="E101" s="45" t="s">
        <v>986</v>
      </c>
      <c r="F101" s="45" t="s">
        <v>986</v>
      </c>
      <c r="G101" s="45" t="s">
        <v>986</v>
      </c>
      <c r="H101" s="45" t="s">
        <v>986</v>
      </c>
      <c r="I101" s="45">
        <v>9574</v>
      </c>
      <c r="J101" s="45">
        <v>9574</v>
      </c>
      <c r="K101" s="45">
        <v>1799</v>
      </c>
      <c r="L101" s="45">
        <v>994</v>
      </c>
      <c r="M101" s="49">
        <v>6781</v>
      </c>
      <c r="N101" s="47" t="s">
        <v>89</v>
      </c>
    </row>
    <row r="102" spans="1:14" s="45" customFormat="1" ht="9.75" customHeight="1" x14ac:dyDescent="0.15">
      <c r="A102" s="559" t="s">
        <v>645</v>
      </c>
      <c r="B102" s="45">
        <v>3756</v>
      </c>
      <c r="C102" s="45" t="s">
        <v>986</v>
      </c>
      <c r="D102" s="45" t="s">
        <v>986</v>
      </c>
      <c r="E102" s="45" t="s">
        <v>986</v>
      </c>
      <c r="F102" s="45" t="s">
        <v>986</v>
      </c>
      <c r="G102" s="45" t="s">
        <v>986</v>
      </c>
      <c r="H102" s="45" t="s">
        <v>986</v>
      </c>
      <c r="I102" s="45">
        <v>3756</v>
      </c>
      <c r="J102" s="45">
        <v>3756</v>
      </c>
      <c r="K102" s="45">
        <v>627</v>
      </c>
      <c r="L102" s="45">
        <v>402</v>
      </c>
      <c r="M102" s="49">
        <v>2727</v>
      </c>
      <c r="N102" s="47" t="s">
        <v>90</v>
      </c>
    </row>
    <row r="103" spans="1:14" s="45" customFormat="1" ht="9.75" customHeight="1" x14ac:dyDescent="0.15">
      <c r="A103" s="559" t="s">
        <v>646</v>
      </c>
      <c r="B103" s="45">
        <v>6364</v>
      </c>
      <c r="C103" s="45" t="s">
        <v>986</v>
      </c>
      <c r="D103" s="45" t="s">
        <v>986</v>
      </c>
      <c r="E103" s="45" t="s">
        <v>986</v>
      </c>
      <c r="F103" s="45" t="s">
        <v>986</v>
      </c>
      <c r="G103" s="45" t="s">
        <v>986</v>
      </c>
      <c r="H103" s="45" t="s">
        <v>986</v>
      </c>
      <c r="I103" s="45">
        <v>6364</v>
      </c>
      <c r="J103" s="45">
        <v>6364</v>
      </c>
      <c r="K103" s="45">
        <v>842</v>
      </c>
      <c r="L103" s="45">
        <v>171</v>
      </c>
      <c r="M103" s="49">
        <v>5351</v>
      </c>
      <c r="N103" s="47" t="s">
        <v>91</v>
      </c>
    </row>
    <row r="104" spans="1:14" s="45" customFormat="1" ht="9.75" customHeight="1" x14ac:dyDescent="0.15">
      <c r="A104" s="559" t="s">
        <v>647</v>
      </c>
      <c r="B104" s="45">
        <v>8499</v>
      </c>
      <c r="C104" s="45" t="s">
        <v>986</v>
      </c>
      <c r="D104" s="45" t="s">
        <v>986</v>
      </c>
      <c r="E104" s="45" t="s">
        <v>986</v>
      </c>
      <c r="F104" s="45" t="s">
        <v>986</v>
      </c>
      <c r="G104" s="45" t="s">
        <v>986</v>
      </c>
      <c r="H104" s="45" t="s">
        <v>986</v>
      </c>
      <c r="I104" s="45">
        <v>8499</v>
      </c>
      <c r="J104" s="45">
        <v>8499</v>
      </c>
      <c r="K104" s="45">
        <v>495</v>
      </c>
      <c r="L104" s="45">
        <v>5090</v>
      </c>
      <c r="M104" s="49">
        <v>2914</v>
      </c>
      <c r="N104" s="47" t="s">
        <v>92</v>
      </c>
    </row>
    <row r="105" spans="1:14" s="45" customFormat="1" ht="9.75" customHeight="1" x14ac:dyDescent="0.15">
      <c r="A105" s="559" t="s">
        <v>648</v>
      </c>
      <c r="B105" s="45">
        <v>10535</v>
      </c>
      <c r="C105" s="45" t="s">
        <v>986</v>
      </c>
      <c r="D105" s="45" t="s">
        <v>986</v>
      </c>
      <c r="E105" s="45" t="s">
        <v>986</v>
      </c>
      <c r="F105" s="45" t="s">
        <v>986</v>
      </c>
      <c r="G105" s="45" t="s">
        <v>986</v>
      </c>
      <c r="H105" s="45" t="s">
        <v>986</v>
      </c>
      <c r="I105" s="45">
        <v>10535</v>
      </c>
      <c r="J105" s="45">
        <v>10535</v>
      </c>
      <c r="K105" s="45">
        <v>444</v>
      </c>
      <c r="L105" s="45">
        <v>1471</v>
      </c>
      <c r="M105" s="49">
        <v>8620</v>
      </c>
      <c r="N105" s="47" t="s">
        <v>76</v>
      </c>
    </row>
    <row r="106" spans="1:14" s="45" customFormat="1" ht="9.75" customHeight="1" x14ac:dyDescent="0.15">
      <c r="A106" s="559" t="s">
        <v>649</v>
      </c>
      <c r="B106" s="45">
        <v>11514</v>
      </c>
      <c r="C106" s="45" t="s">
        <v>986</v>
      </c>
      <c r="D106" s="45" t="s">
        <v>986</v>
      </c>
      <c r="E106" s="45" t="s">
        <v>986</v>
      </c>
      <c r="F106" s="45" t="s">
        <v>986</v>
      </c>
      <c r="G106" s="45" t="s">
        <v>986</v>
      </c>
      <c r="H106" s="45" t="s">
        <v>986</v>
      </c>
      <c r="I106" s="45">
        <v>11514</v>
      </c>
      <c r="J106" s="45">
        <v>11514</v>
      </c>
      <c r="K106" s="45">
        <v>3636</v>
      </c>
      <c r="L106" s="45">
        <v>248</v>
      </c>
      <c r="M106" s="49">
        <v>7630</v>
      </c>
      <c r="N106" s="47" t="s">
        <v>77</v>
      </c>
    </row>
    <row r="107" spans="1:14" s="45" customFormat="1" ht="9.75" customHeight="1" x14ac:dyDescent="0.15">
      <c r="A107" s="559" t="s">
        <v>650</v>
      </c>
      <c r="B107" s="45">
        <v>10869</v>
      </c>
      <c r="C107" s="45" t="s">
        <v>986</v>
      </c>
      <c r="D107" s="45" t="s">
        <v>986</v>
      </c>
      <c r="E107" s="45" t="s">
        <v>986</v>
      </c>
      <c r="F107" s="45" t="s">
        <v>986</v>
      </c>
      <c r="G107" s="45" t="s">
        <v>986</v>
      </c>
      <c r="H107" s="45" t="s">
        <v>986</v>
      </c>
      <c r="I107" s="45">
        <v>10869</v>
      </c>
      <c r="J107" s="45">
        <v>10869</v>
      </c>
      <c r="K107" s="45">
        <v>7761</v>
      </c>
      <c r="L107" s="45">
        <v>78</v>
      </c>
      <c r="M107" s="49">
        <v>3030</v>
      </c>
      <c r="N107" s="47" t="s">
        <v>78</v>
      </c>
    </row>
    <row r="108" spans="1:14" s="45" customFormat="1" ht="9.75" customHeight="1" x14ac:dyDescent="0.15">
      <c r="A108" s="559" t="s">
        <v>996</v>
      </c>
      <c r="B108" s="45">
        <v>7383</v>
      </c>
      <c r="C108" s="45" t="s">
        <v>986</v>
      </c>
      <c r="D108" s="45" t="s">
        <v>986</v>
      </c>
      <c r="E108" s="45" t="s">
        <v>986</v>
      </c>
      <c r="F108" s="45" t="s">
        <v>986</v>
      </c>
      <c r="G108" s="45" t="s">
        <v>986</v>
      </c>
      <c r="H108" s="45" t="s">
        <v>986</v>
      </c>
      <c r="I108" s="45">
        <v>7383</v>
      </c>
      <c r="J108" s="45">
        <v>7383</v>
      </c>
      <c r="K108" s="45">
        <v>5786</v>
      </c>
      <c r="L108" s="45">
        <v>84</v>
      </c>
      <c r="M108" s="49">
        <v>1513</v>
      </c>
      <c r="N108" s="47" t="s">
        <v>997</v>
      </c>
    </row>
    <row r="109" spans="1:14" s="45" customFormat="1" ht="9.75" customHeight="1" x14ac:dyDescent="0.15">
      <c r="A109" s="559" t="s">
        <v>651</v>
      </c>
      <c r="B109" s="45">
        <v>14811</v>
      </c>
      <c r="C109" s="45">
        <v>4548</v>
      </c>
      <c r="D109" s="45">
        <v>4548</v>
      </c>
      <c r="E109" s="45" t="s">
        <v>986</v>
      </c>
      <c r="F109" s="45" t="s">
        <v>986</v>
      </c>
      <c r="G109" s="45" t="s">
        <v>986</v>
      </c>
      <c r="H109" s="45" t="s">
        <v>986</v>
      </c>
      <c r="I109" s="45">
        <v>10263</v>
      </c>
      <c r="J109" s="45">
        <v>10263</v>
      </c>
      <c r="K109" s="45">
        <v>9127</v>
      </c>
      <c r="L109" s="45">
        <v>288</v>
      </c>
      <c r="M109" s="49">
        <v>848</v>
      </c>
      <c r="N109" s="47" t="s">
        <v>73</v>
      </c>
    </row>
    <row r="110" spans="1:14" s="45" customFormat="1" ht="9.75" customHeight="1" x14ac:dyDescent="0.15">
      <c r="A110" s="661" t="s">
        <v>652</v>
      </c>
      <c r="B110" s="734">
        <v>10380</v>
      </c>
      <c r="C110" s="735">
        <v>2964</v>
      </c>
      <c r="D110" s="735">
        <v>2964</v>
      </c>
      <c r="E110" s="735" t="s">
        <v>986</v>
      </c>
      <c r="F110" s="735" t="s">
        <v>986</v>
      </c>
      <c r="G110" s="735" t="s">
        <v>986</v>
      </c>
      <c r="H110" s="735" t="s">
        <v>986</v>
      </c>
      <c r="I110" s="735">
        <v>7416</v>
      </c>
      <c r="J110" s="735">
        <v>7416</v>
      </c>
      <c r="K110" s="735">
        <v>5159</v>
      </c>
      <c r="L110" s="735">
        <v>784</v>
      </c>
      <c r="M110" s="740">
        <v>1473</v>
      </c>
      <c r="N110" s="736" t="s">
        <v>74</v>
      </c>
    </row>
    <row r="111" spans="1:14" ht="21.75" customHeight="1" x14ac:dyDescent="0.15"/>
  </sheetData>
  <mergeCells count="3">
    <mergeCell ref="R4:R8"/>
    <mergeCell ref="R40:R44"/>
    <mergeCell ref="N76:N80"/>
  </mergeCells>
  <phoneticPr fontId="33"/>
  <pageMargins left="0.59055118110236227" right="0.59055118110236227" top="0.59055118110236227" bottom="0.59055118110236227" header="0.31496062992125984" footer="0.11811023622047245"/>
  <pageSetup paperSize="9" scale="98" pageOrder="overThenDown" orientation="portrait" r:id="rId1"/>
  <headerFooter alignWithMargins="0"/>
  <rowBreaks count="1" manualBreakCount="1">
    <brk id="74" max="17" man="1"/>
  </rowBreaks>
  <colBreaks count="1" manualBreakCount="1">
    <brk id="9" min="1" max="10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23"/>
  <sheetViews>
    <sheetView view="pageBreakPreview" zoomScaleNormal="100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/>
    </sheetView>
  </sheetViews>
  <sheetFormatPr defaultRowHeight="13.5" x14ac:dyDescent="0.15"/>
  <cols>
    <col min="1" max="1" width="3.375" style="50" customWidth="1"/>
    <col min="2" max="2" width="3.25" style="50" customWidth="1"/>
    <col min="3" max="3" width="6.125" style="50" customWidth="1"/>
    <col min="4" max="4" width="0.875" style="50" customWidth="1"/>
    <col min="5" max="11" width="10.625" style="50" customWidth="1"/>
    <col min="12" max="16" width="8.625" style="50" customWidth="1"/>
    <col min="17" max="17" width="9.5" style="50" customWidth="1"/>
    <col min="18" max="20" width="8.625" style="50" customWidth="1"/>
    <col min="21" max="21" width="8.375" style="50" customWidth="1"/>
    <col min="22" max="22" width="2.625" style="50" customWidth="1"/>
    <col min="23" max="16384" width="9" style="50"/>
  </cols>
  <sheetData>
    <row r="1" spans="1:22" ht="12.75" customHeight="1" x14ac:dyDescent="0.15"/>
    <row r="2" spans="1:22" s="77" customFormat="1" ht="12.75" customHeight="1" x14ac:dyDescent="0.15">
      <c r="A2" s="96" t="s">
        <v>200</v>
      </c>
      <c r="B2" s="96"/>
      <c r="C2" s="96"/>
      <c r="D2" s="96"/>
      <c r="E2" s="96"/>
      <c r="F2" s="467"/>
      <c r="G2" s="468"/>
      <c r="H2" s="468"/>
      <c r="I2" s="95"/>
      <c r="J2" s="95"/>
      <c r="K2" s="95"/>
      <c r="L2" s="95"/>
      <c r="M2" s="95"/>
      <c r="N2" s="95"/>
      <c r="O2" s="95"/>
      <c r="P2" s="95"/>
      <c r="Q2" s="95"/>
    </row>
    <row r="3" spans="1:22" s="77" customFormat="1" ht="12.75" customHeight="1" x14ac:dyDescent="0.15">
      <c r="A3" s="741" t="s">
        <v>199</v>
      </c>
      <c r="B3" s="742"/>
      <c r="C3" s="743"/>
      <c r="D3" s="743"/>
      <c r="E3" s="743"/>
      <c r="F3" s="467"/>
      <c r="G3" s="468"/>
      <c r="H3" s="468"/>
      <c r="I3" s="95"/>
      <c r="J3" s="95"/>
      <c r="K3" s="580" t="s">
        <v>93</v>
      </c>
      <c r="L3" s="95"/>
      <c r="M3" s="95"/>
      <c r="N3" s="95"/>
      <c r="O3" s="95"/>
      <c r="P3" s="744" t="s">
        <v>196</v>
      </c>
      <c r="Q3" s="744"/>
      <c r="R3" s="94"/>
    </row>
    <row r="4" spans="1:22" s="68" customFormat="1" ht="10.5" customHeight="1" x14ac:dyDescent="0.15">
      <c r="A4" s="1037" t="s">
        <v>571</v>
      </c>
      <c r="B4" s="1037"/>
      <c r="C4" s="1037"/>
      <c r="D4" s="1038"/>
      <c r="E4" s="93"/>
      <c r="F4" s="1043"/>
      <c r="G4" s="1043"/>
      <c r="H4" s="1043"/>
      <c r="I4" s="1043"/>
      <c r="J4" s="1043"/>
      <c r="K4" s="1043"/>
      <c r="L4" s="1043"/>
      <c r="M4" s="1043"/>
      <c r="N4" s="1043"/>
      <c r="O4" s="1043"/>
      <c r="P4" s="1044"/>
      <c r="Q4" s="1027" t="s">
        <v>595</v>
      </c>
      <c r="R4" s="639"/>
      <c r="S4" s="77"/>
      <c r="T4" s="77"/>
      <c r="U4" s="77"/>
      <c r="V4" s="77"/>
    </row>
    <row r="5" spans="1:22" s="68" customFormat="1" ht="11.45" customHeight="1" x14ac:dyDescent="0.15">
      <c r="A5" s="1039"/>
      <c r="B5" s="1039"/>
      <c r="C5" s="1039"/>
      <c r="D5" s="1040"/>
      <c r="E5" s="70" t="s">
        <v>195</v>
      </c>
      <c r="F5" s="745"/>
      <c r="G5" s="745"/>
      <c r="H5" s="746" t="s">
        <v>194</v>
      </c>
      <c r="I5" s="747"/>
      <c r="J5" s="748"/>
      <c r="K5" s="746" t="s">
        <v>193</v>
      </c>
      <c r="L5" s="747"/>
      <c r="M5" s="749"/>
      <c r="N5" s="746" t="s">
        <v>192</v>
      </c>
      <c r="O5" s="750"/>
      <c r="P5" s="751"/>
      <c r="Q5" s="1036"/>
      <c r="R5" s="639"/>
      <c r="S5" s="77"/>
      <c r="T5" s="77"/>
      <c r="U5" s="77"/>
      <c r="V5" s="77"/>
    </row>
    <row r="6" spans="1:22" s="68" customFormat="1" ht="11.45" customHeight="1" x14ac:dyDescent="0.15">
      <c r="A6" s="1039"/>
      <c r="B6" s="1039"/>
      <c r="C6" s="1039"/>
      <c r="D6" s="1040"/>
      <c r="E6" s="93"/>
      <c r="F6" s="75"/>
      <c r="G6" s="75"/>
      <c r="H6" s="70" t="s">
        <v>189</v>
      </c>
      <c r="I6" s="752"/>
      <c r="J6" s="753"/>
      <c r="K6" s="70" t="s">
        <v>190</v>
      </c>
      <c r="L6" s="754"/>
      <c r="M6" s="755"/>
      <c r="N6" s="70" t="s">
        <v>189</v>
      </c>
      <c r="O6" s="756"/>
      <c r="P6" s="640"/>
      <c r="Q6" s="1036"/>
      <c r="R6" s="639"/>
      <c r="S6" s="77"/>
      <c r="T6" s="77"/>
      <c r="U6" s="77"/>
      <c r="V6" s="77"/>
    </row>
    <row r="7" spans="1:22" s="68" customFormat="1" ht="11.45" customHeight="1" x14ac:dyDescent="0.15">
      <c r="A7" s="1039"/>
      <c r="B7" s="1039"/>
      <c r="C7" s="1039"/>
      <c r="D7" s="1040"/>
      <c r="E7" s="70" t="s">
        <v>468</v>
      </c>
      <c r="F7" s="71" t="s">
        <v>662</v>
      </c>
      <c r="G7" s="71" t="s">
        <v>663</v>
      </c>
      <c r="H7" s="71" t="s">
        <v>198</v>
      </c>
      <c r="I7" s="639" t="s">
        <v>662</v>
      </c>
      <c r="J7" s="757" t="s">
        <v>663</v>
      </c>
      <c r="K7" s="1034" t="s">
        <v>188</v>
      </c>
      <c r="L7" s="757" t="s">
        <v>662</v>
      </c>
      <c r="M7" s="757" t="s">
        <v>663</v>
      </c>
      <c r="N7" s="1034" t="s">
        <v>664</v>
      </c>
      <c r="O7" s="746" t="s">
        <v>662</v>
      </c>
      <c r="P7" s="757" t="s">
        <v>663</v>
      </c>
      <c r="Q7" s="1036"/>
      <c r="R7" s="639"/>
      <c r="S7" s="77"/>
      <c r="T7" s="77"/>
      <c r="U7" s="77"/>
      <c r="V7" s="77"/>
    </row>
    <row r="8" spans="1:22" s="68" customFormat="1" ht="11.45" customHeight="1" x14ac:dyDescent="0.15">
      <c r="A8" s="1039"/>
      <c r="B8" s="1039"/>
      <c r="C8" s="1039"/>
      <c r="D8" s="1040"/>
      <c r="E8" s="1034"/>
      <c r="F8" s="1034" t="s">
        <v>665</v>
      </c>
      <c r="G8" s="1034" t="s">
        <v>666</v>
      </c>
      <c r="H8" s="69" t="s">
        <v>54</v>
      </c>
      <c r="I8" s="1034" t="s">
        <v>665</v>
      </c>
      <c r="J8" s="1034" t="s">
        <v>666</v>
      </c>
      <c r="K8" s="1034"/>
      <c r="L8" s="1034" t="s">
        <v>665</v>
      </c>
      <c r="M8" s="1034" t="s">
        <v>666</v>
      </c>
      <c r="N8" s="1034"/>
      <c r="O8" s="1034" t="s">
        <v>665</v>
      </c>
      <c r="P8" s="1034" t="s">
        <v>666</v>
      </c>
      <c r="Q8" s="1036"/>
      <c r="R8" s="639"/>
      <c r="S8" s="77"/>
      <c r="T8" s="77"/>
      <c r="U8" s="77"/>
      <c r="V8" s="77"/>
    </row>
    <row r="9" spans="1:22" s="68" customFormat="1" ht="11.45" customHeight="1" x14ac:dyDescent="0.15">
      <c r="A9" s="1041"/>
      <c r="B9" s="1041"/>
      <c r="C9" s="1041"/>
      <c r="D9" s="1042"/>
      <c r="E9" s="1045"/>
      <c r="F9" s="1035"/>
      <c r="G9" s="1035"/>
      <c r="H9" s="641"/>
      <c r="I9" s="1035"/>
      <c r="J9" s="1035"/>
      <c r="K9" s="641" t="s">
        <v>468</v>
      </c>
      <c r="L9" s="1035"/>
      <c r="M9" s="1035"/>
      <c r="N9" s="758" t="s">
        <v>468</v>
      </c>
      <c r="O9" s="1035"/>
      <c r="P9" s="1035"/>
      <c r="Q9" s="759"/>
      <c r="S9" s="77"/>
      <c r="T9" s="77"/>
      <c r="U9" s="77"/>
      <c r="V9" s="77"/>
    </row>
    <row r="10" spans="1:22" s="52" customFormat="1" ht="9.75" customHeight="1" x14ac:dyDescent="0.15">
      <c r="A10" s="760" t="s">
        <v>790</v>
      </c>
      <c r="B10" s="645" t="s">
        <v>791</v>
      </c>
      <c r="C10" s="53"/>
      <c r="D10" s="208"/>
      <c r="E10" s="87">
        <v>177048024</v>
      </c>
      <c r="F10" s="86">
        <v>176540466</v>
      </c>
      <c r="G10" s="86">
        <v>507558</v>
      </c>
      <c r="H10" s="86">
        <v>176787722</v>
      </c>
      <c r="I10" s="86">
        <v>176280164</v>
      </c>
      <c r="J10" s="86">
        <v>507558</v>
      </c>
      <c r="K10" s="86">
        <v>260302</v>
      </c>
      <c r="L10" s="86">
        <v>260302</v>
      </c>
      <c r="M10" s="86" t="s">
        <v>1029</v>
      </c>
      <c r="N10" s="86" t="s">
        <v>1029</v>
      </c>
      <c r="O10" s="86" t="s">
        <v>1029</v>
      </c>
      <c r="P10" s="86" t="s">
        <v>1029</v>
      </c>
      <c r="Q10" s="67" t="s">
        <v>792</v>
      </c>
      <c r="R10" s="90"/>
      <c r="S10" s="77"/>
      <c r="T10" s="77"/>
      <c r="U10" s="77"/>
      <c r="V10" s="77"/>
    </row>
    <row r="11" spans="1:22" s="52" customFormat="1" ht="9.75" customHeight="1" x14ac:dyDescent="0.15">
      <c r="A11" s="201" t="s">
        <v>235</v>
      </c>
      <c r="B11" s="645">
        <v>2</v>
      </c>
      <c r="C11" s="53"/>
      <c r="D11" s="208"/>
      <c r="E11" s="87">
        <v>145229769</v>
      </c>
      <c r="F11" s="86">
        <v>144787326</v>
      </c>
      <c r="G11" s="86">
        <v>442443</v>
      </c>
      <c r="H11" s="86">
        <v>145016852</v>
      </c>
      <c r="I11" s="86">
        <v>144574409</v>
      </c>
      <c r="J11" s="86">
        <v>442443</v>
      </c>
      <c r="K11" s="86">
        <v>212917</v>
      </c>
      <c r="L11" s="86">
        <v>212917</v>
      </c>
      <c r="M11" s="86" t="s">
        <v>1029</v>
      </c>
      <c r="N11" s="86" t="s">
        <v>1029</v>
      </c>
      <c r="O11" s="86" t="s">
        <v>1029</v>
      </c>
      <c r="P11" s="86" t="s">
        <v>1029</v>
      </c>
      <c r="Q11" s="67" t="s">
        <v>793</v>
      </c>
      <c r="R11" s="90"/>
      <c r="S11" s="77"/>
      <c r="T11" s="77"/>
      <c r="U11" s="77"/>
      <c r="V11" s="77"/>
    </row>
    <row r="12" spans="1:22" s="52" customFormat="1" ht="9.75" customHeight="1" x14ac:dyDescent="0.15">
      <c r="A12" s="201" t="s">
        <v>235</v>
      </c>
      <c r="B12" s="645">
        <v>3</v>
      </c>
      <c r="C12" s="53"/>
      <c r="D12" s="208"/>
      <c r="E12" s="87">
        <v>144648208</v>
      </c>
      <c r="F12" s="86">
        <v>144149620</v>
      </c>
      <c r="G12" s="86">
        <v>498588</v>
      </c>
      <c r="H12" s="86">
        <v>144402535</v>
      </c>
      <c r="I12" s="86">
        <v>143903947</v>
      </c>
      <c r="J12" s="86">
        <v>498588</v>
      </c>
      <c r="K12" s="86">
        <v>245673</v>
      </c>
      <c r="L12" s="86">
        <v>245673</v>
      </c>
      <c r="M12" s="86" t="s">
        <v>1029</v>
      </c>
      <c r="N12" s="86" t="s">
        <v>1029</v>
      </c>
      <c r="O12" s="86" t="s">
        <v>1029</v>
      </c>
      <c r="P12" s="86" t="s">
        <v>1029</v>
      </c>
      <c r="Q12" s="67" t="s">
        <v>794</v>
      </c>
      <c r="R12" s="90"/>
      <c r="S12" s="77"/>
      <c r="T12" s="77"/>
      <c r="U12" s="77"/>
      <c r="V12" s="77"/>
    </row>
    <row r="13" spans="1:22" s="52" customFormat="1" ht="9.75" customHeight="1" x14ac:dyDescent="0.15">
      <c r="A13" s="201" t="s">
        <v>235</v>
      </c>
      <c r="B13" s="645">
        <v>4</v>
      </c>
      <c r="C13" s="53"/>
      <c r="D13" s="208"/>
      <c r="E13" s="87">
        <v>156575830</v>
      </c>
      <c r="F13" s="86">
        <v>156179142</v>
      </c>
      <c r="G13" s="86">
        <v>396688</v>
      </c>
      <c r="H13" s="86">
        <v>156351040</v>
      </c>
      <c r="I13" s="86">
        <v>155954352</v>
      </c>
      <c r="J13" s="86">
        <v>396688</v>
      </c>
      <c r="K13" s="86">
        <v>224790</v>
      </c>
      <c r="L13" s="86">
        <v>224790</v>
      </c>
      <c r="M13" s="86" t="s">
        <v>1029</v>
      </c>
      <c r="N13" s="86" t="s">
        <v>1029</v>
      </c>
      <c r="O13" s="86" t="s">
        <v>1029</v>
      </c>
      <c r="P13" s="86" t="s">
        <v>1029</v>
      </c>
      <c r="Q13" s="67" t="s">
        <v>795</v>
      </c>
      <c r="R13" s="90"/>
      <c r="S13" s="77"/>
      <c r="T13" s="77"/>
      <c r="U13" s="77"/>
      <c r="V13" s="77"/>
    </row>
    <row r="14" spans="1:22" s="52" customFormat="1" ht="9.75" customHeight="1" x14ac:dyDescent="0.15">
      <c r="A14" s="201" t="s">
        <v>235</v>
      </c>
      <c r="B14" s="645">
        <v>5</v>
      </c>
      <c r="C14" s="53"/>
      <c r="D14" s="208"/>
      <c r="E14" s="87">
        <v>147886058</v>
      </c>
      <c r="F14" s="86">
        <v>147499114</v>
      </c>
      <c r="G14" s="86">
        <v>386944</v>
      </c>
      <c r="H14" s="86">
        <v>147663243</v>
      </c>
      <c r="I14" s="86">
        <v>147276299</v>
      </c>
      <c r="J14" s="86">
        <v>386944</v>
      </c>
      <c r="K14" s="86">
        <v>222815</v>
      </c>
      <c r="L14" s="86">
        <v>222815</v>
      </c>
      <c r="M14" s="86" t="s">
        <v>1029</v>
      </c>
      <c r="N14" s="86" t="s">
        <v>1029</v>
      </c>
      <c r="O14" s="86" t="s">
        <v>1029</v>
      </c>
      <c r="P14" s="86" t="s">
        <v>1029</v>
      </c>
      <c r="Q14" s="67" t="s">
        <v>1030</v>
      </c>
      <c r="R14" s="90"/>
      <c r="S14" s="77"/>
      <c r="T14" s="77"/>
      <c r="U14" s="77"/>
      <c r="V14" s="77"/>
    </row>
    <row r="15" spans="1:22" s="52" customFormat="1" ht="9.75" customHeight="1" x14ac:dyDescent="0.15">
      <c r="A15" s="201"/>
      <c r="B15" s="201"/>
      <c r="C15" s="643"/>
      <c r="D15" s="204"/>
      <c r="E15" s="87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61"/>
      <c r="R15" s="76"/>
      <c r="S15" s="77"/>
      <c r="T15" s="77"/>
      <c r="U15" s="77"/>
      <c r="V15" s="77"/>
    </row>
    <row r="16" spans="1:22" s="52" customFormat="1" ht="9.75" customHeight="1" x14ac:dyDescent="0.15">
      <c r="A16" s="645" t="s">
        <v>790</v>
      </c>
      <c r="B16" s="645" t="s">
        <v>1031</v>
      </c>
      <c r="C16" s="581"/>
      <c r="D16" s="206"/>
      <c r="E16" s="87">
        <v>156238430</v>
      </c>
      <c r="F16" s="86">
        <v>155857473</v>
      </c>
      <c r="G16" s="86">
        <v>380957</v>
      </c>
      <c r="H16" s="86">
        <v>156015743</v>
      </c>
      <c r="I16" s="86">
        <v>155634786</v>
      </c>
      <c r="J16" s="86">
        <v>380957</v>
      </c>
      <c r="K16" s="86">
        <v>222687</v>
      </c>
      <c r="L16" s="86">
        <v>222687</v>
      </c>
      <c r="M16" s="86" t="s">
        <v>1029</v>
      </c>
      <c r="N16" s="91" t="s">
        <v>1029</v>
      </c>
      <c r="O16" s="86" t="s">
        <v>1029</v>
      </c>
      <c r="P16" s="91" t="s">
        <v>1029</v>
      </c>
      <c r="Q16" s="66" t="s">
        <v>796</v>
      </c>
      <c r="R16" s="90"/>
      <c r="S16" s="77"/>
      <c r="T16" s="77"/>
      <c r="U16" s="77"/>
      <c r="V16" s="77"/>
    </row>
    <row r="17" spans="1:22" s="52" customFormat="1" ht="9.75" customHeight="1" x14ac:dyDescent="0.15">
      <c r="A17" s="201" t="s">
        <v>235</v>
      </c>
      <c r="B17" s="645">
        <v>5</v>
      </c>
      <c r="C17" s="581"/>
      <c r="D17" s="206"/>
      <c r="E17" s="87">
        <v>145063939</v>
      </c>
      <c r="F17" s="86">
        <v>144674670</v>
      </c>
      <c r="G17" s="86">
        <v>389269</v>
      </c>
      <c r="H17" s="86">
        <v>144841139</v>
      </c>
      <c r="I17" s="86">
        <v>144451870</v>
      </c>
      <c r="J17" s="86">
        <v>389269</v>
      </c>
      <c r="K17" s="86">
        <v>222800</v>
      </c>
      <c r="L17" s="86">
        <v>222800</v>
      </c>
      <c r="M17" s="86" t="s">
        <v>1029</v>
      </c>
      <c r="N17" s="91" t="s">
        <v>1029</v>
      </c>
      <c r="O17" s="86" t="s">
        <v>1029</v>
      </c>
      <c r="P17" s="91" t="s">
        <v>1029</v>
      </c>
      <c r="Q17" s="66" t="s">
        <v>1032</v>
      </c>
      <c r="R17" s="90"/>
      <c r="S17" s="77"/>
      <c r="T17" s="77"/>
      <c r="U17" s="77"/>
      <c r="V17" s="77"/>
    </row>
    <row r="18" spans="1:22" s="52" customFormat="1" ht="9.75" customHeight="1" x14ac:dyDescent="0.15">
      <c r="A18" s="201"/>
      <c r="B18" s="201"/>
      <c r="C18" s="643"/>
      <c r="D18" s="204"/>
      <c r="E18" s="87"/>
      <c r="F18" s="86"/>
      <c r="G18" s="86"/>
      <c r="H18" s="86"/>
      <c r="I18" s="86"/>
      <c r="J18" s="86"/>
      <c r="K18" s="86"/>
      <c r="L18" s="86"/>
      <c r="M18" s="86"/>
      <c r="N18" s="86"/>
      <c r="O18" s="57"/>
      <c r="P18" s="86"/>
      <c r="Q18" s="61"/>
      <c r="R18" s="76"/>
      <c r="S18" s="88"/>
      <c r="T18" s="77"/>
      <c r="U18" s="77"/>
      <c r="V18" s="77"/>
    </row>
    <row r="19" spans="1:22" s="52" customFormat="1" ht="9.75" customHeight="1" x14ac:dyDescent="0.15">
      <c r="A19" s="645" t="s">
        <v>790</v>
      </c>
      <c r="B19" s="645" t="s">
        <v>800</v>
      </c>
      <c r="C19" s="645" t="s">
        <v>682</v>
      </c>
      <c r="D19" s="206"/>
      <c r="E19" s="87">
        <v>39402928</v>
      </c>
      <c r="F19" s="86">
        <v>39308788</v>
      </c>
      <c r="G19" s="86">
        <v>94140</v>
      </c>
      <c r="H19" s="86">
        <v>39345236</v>
      </c>
      <c r="I19" s="86">
        <v>39251096</v>
      </c>
      <c r="J19" s="86">
        <v>94140</v>
      </c>
      <c r="K19" s="86">
        <v>57692</v>
      </c>
      <c r="L19" s="86">
        <v>57692</v>
      </c>
      <c r="M19" s="86" t="s">
        <v>1029</v>
      </c>
      <c r="N19" s="86" t="s">
        <v>1029</v>
      </c>
      <c r="O19" s="86" t="s">
        <v>1029</v>
      </c>
      <c r="P19" s="86" t="s">
        <v>1029</v>
      </c>
      <c r="Q19" s="62" t="s">
        <v>801</v>
      </c>
      <c r="R19" s="90"/>
      <c r="S19" s="88"/>
      <c r="T19" s="77"/>
      <c r="U19" s="77"/>
      <c r="V19" s="77"/>
    </row>
    <row r="20" spans="1:22" s="52" customFormat="1" ht="9.75" customHeight="1" x14ac:dyDescent="0.15">
      <c r="A20" s="201" t="s">
        <v>235</v>
      </c>
      <c r="B20" s="201" t="s">
        <v>235</v>
      </c>
      <c r="C20" s="645" t="s">
        <v>683</v>
      </c>
      <c r="D20" s="206"/>
      <c r="E20" s="87">
        <v>34203734</v>
      </c>
      <c r="F20" s="86">
        <v>34110319</v>
      </c>
      <c r="G20" s="86">
        <v>93415</v>
      </c>
      <c r="H20" s="86">
        <v>34146189</v>
      </c>
      <c r="I20" s="86">
        <v>34052774</v>
      </c>
      <c r="J20" s="86">
        <v>93415</v>
      </c>
      <c r="K20" s="86">
        <v>57545</v>
      </c>
      <c r="L20" s="86">
        <v>57545</v>
      </c>
      <c r="M20" s="86" t="s">
        <v>1029</v>
      </c>
      <c r="N20" s="86" t="s">
        <v>1029</v>
      </c>
      <c r="O20" s="86" t="s">
        <v>1029</v>
      </c>
      <c r="P20" s="86" t="s">
        <v>1029</v>
      </c>
      <c r="Q20" s="65" t="s">
        <v>797</v>
      </c>
      <c r="R20" s="90"/>
      <c r="S20" s="88"/>
      <c r="T20" s="77"/>
      <c r="U20" s="77"/>
      <c r="V20" s="77"/>
    </row>
    <row r="21" spans="1:22" s="52" customFormat="1" ht="9.75" customHeight="1" x14ac:dyDescent="0.15">
      <c r="A21" s="201" t="s">
        <v>235</v>
      </c>
      <c r="B21" s="201" t="s">
        <v>235</v>
      </c>
      <c r="C21" s="645" t="s">
        <v>684</v>
      </c>
      <c r="D21" s="206"/>
      <c r="E21" s="87">
        <v>37248694</v>
      </c>
      <c r="F21" s="86">
        <v>37149338</v>
      </c>
      <c r="G21" s="86">
        <v>99356</v>
      </c>
      <c r="H21" s="86">
        <v>37204362</v>
      </c>
      <c r="I21" s="86">
        <v>37105006</v>
      </c>
      <c r="J21" s="86">
        <v>99356</v>
      </c>
      <c r="K21" s="86">
        <v>44332</v>
      </c>
      <c r="L21" s="86">
        <v>44332</v>
      </c>
      <c r="M21" s="86" t="s">
        <v>1029</v>
      </c>
      <c r="N21" s="86" t="s">
        <v>1029</v>
      </c>
      <c r="O21" s="86" t="s">
        <v>1029</v>
      </c>
      <c r="P21" s="86" t="s">
        <v>1029</v>
      </c>
      <c r="Q21" s="64" t="s">
        <v>798</v>
      </c>
      <c r="R21" s="82"/>
      <c r="S21" s="88"/>
      <c r="T21" s="77"/>
      <c r="U21" s="77"/>
      <c r="V21" s="77"/>
    </row>
    <row r="22" spans="1:22" s="52" customFormat="1" ht="9.75" customHeight="1" x14ac:dyDescent="0.15">
      <c r="A22" s="201" t="s">
        <v>235</v>
      </c>
      <c r="B22" s="201" t="s">
        <v>235</v>
      </c>
      <c r="C22" s="645" t="s">
        <v>596</v>
      </c>
      <c r="D22" s="206"/>
      <c r="E22" s="87">
        <v>37030702</v>
      </c>
      <c r="F22" s="86">
        <v>36930669</v>
      </c>
      <c r="G22" s="86">
        <v>100033</v>
      </c>
      <c r="H22" s="86">
        <v>36967456</v>
      </c>
      <c r="I22" s="86">
        <v>36867423</v>
      </c>
      <c r="J22" s="86">
        <v>100033</v>
      </c>
      <c r="K22" s="86">
        <v>63246</v>
      </c>
      <c r="L22" s="86">
        <v>63246</v>
      </c>
      <c r="M22" s="86" t="s">
        <v>1029</v>
      </c>
      <c r="N22" s="86" t="s">
        <v>1029</v>
      </c>
      <c r="O22" s="86" t="s">
        <v>1029</v>
      </c>
      <c r="P22" s="86" t="s">
        <v>1029</v>
      </c>
      <c r="Q22" s="63" t="s">
        <v>799</v>
      </c>
      <c r="R22" s="82"/>
      <c r="S22" s="88"/>
      <c r="T22" s="77"/>
      <c r="U22" s="77"/>
      <c r="V22" s="77"/>
    </row>
    <row r="23" spans="1:22" s="52" customFormat="1" ht="9.75" customHeight="1" x14ac:dyDescent="0.15">
      <c r="A23" s="645" t="s">
        <v>790</v>
      </c>
      <c r="B23" s="645" t="s">
        <v>1033</v>
      </c>
      <c r="C23" s="645" t="s">
        <v>685</v>
      </c>
      <c r="D23" s="206"/>
      <c r="E23" s="87">
        <v>36580809</v>
      </c>
      <c r="F23" s="86">
        <v>36484344</v>
      </c>
      <c r="G23" s="86">
        <v>96465</v>
      </c>
      <c r="H23" s="86">
        <v>36523132</v>
      </c>
      <c r="I23" s="86">
        <v>36426667</v>
      </c>
      <c r="J23" s="86">
        <v>96465</v>
      </c>
      <c r="K23" s="86">
        <v>57677</v>
      </c>
      <c r="L23" s="86">
        <v>57677</v>
      </c>
      <c r="M23" s="86" t="s">
        <v>1029</v>
      </c>
      <c r="N23" s="86" t="s">
        <v>1029</v>
      </c>
      <c r="O23" s="86" t="s">
        <v>1029</v>
      </c>
      <c r="P23" s="86" t="s">
        <v>1029</v>
      </c>
      <c r="Q23" s="62" t="s">
        <v>1034</v>
      </c>
      <c r="R23" s="82"/>
      <c r="S23" s="88"/>
      <c r="T23" s="77"/>
      <c r="U23" s="77"/>
      <c r="V23" s="77"/>
    </row>
    <row r="24" spans="1:22" s="52" customFormat="1" ht="9.75" customHeight="1" x14ac:dyDescent="0.15">
      <c r="A24" s="201"/>
      <c r="B24" s="201"/>
      <c r="C24" s="643"/>
      <c r="D24" s="204"/>
      <c r="E24" s="87"/>
      <c r="F24" s="86"/>
      <c r="G24" s="86"/>
      <c r="H24" s="86"/>
      <c r="I24" s="86"/>
      <c r="J24" s="86"/>
      <c r="K24" s="86"/>
      <c r="L24" s="86"/>
      <c r="M24" s="86"/>
      <c r="N24" s="86"/>
      <c r="O24" s="57"/>
      <c r="P24" s="86"/>
      <c r="Q24" s="61"/>
      <c r="R24" s="90"/>
      <c r="S24" s="88"/>
      <c r="T24" s="77"/>
      <c r="U24" s="77"/>
      <c r="V24" s="77"/>
    </row>
    <row r="25" spans="1:22" s="52" customFormat="1" ht="9.75" customHeight="1" x14ac:dyDescent="0.15">
      <c r="A25" s="645" t="s">
        <v>790</v>
      </c>
      <c r="B25" s="645" t="s">
        <v>800</v>
      </c>
      <c r="C25" s="201" t="s">
        <v>667</v>
      </c>
      <c r="D25" s="200"/>
      <c r="E25" s="87">
        <v>14084844</v>
      </c>
      <c r="F25" s="86">
        <v>14048121</v>
      </c>
      <c r="G25" s="86">
        <v>36723</v>
      </c>
      <c r="H25" s="86">
        <v>14061167</v>
      </c>
      <c r="I25" s="86">
        <v>14024444</v>
      </c>
      <c r="J25" s="86">
        <v>36723</v>
      </c>
      <c r="K25" s="86">
        <v>23677</v>
      </c>
      <c r="L25" s="86">
        <v>23677</v>
      </c>
      <c r="M25" s="86" t="s">
        <v>1029</v>
      </c>
      <c r="N25" s="86" t="s">
        <v>1029</v>
      </c>
      <c r="O25" s="86" t="s">
        <v>1029</v>
      </c>
      <c r="P25" s="86" t="s">
        <v>1029</v>
      </c>
      <c r="Q25" s="60" t="s">
        <v>816</v>
      </c>
      <c r="R25" s="82"/>
      <c r="S25" s="88"/>
      <c r="T25" s="77"/>
      <c r="U25" s="77"/>
      <c r="V25" s="77"/>
    </row>
    <row r="26" spans="1:22" s="52" customFormat="1" ht="9.75" customHeight="1" x14ac:dyDescent="0.15">
      <c r="A26" s="201" t="s">
        <v>235</v>
      </c>
      <c r="B26" s="201" t="s">
        <v>235</v>
      </c>
      <c r="C26" s="201" t="s">
        <v>668</v>
      </c>
      <c r="D26" s="200"/>
      <c r="E26" s="87">
        <v>12351717</v>
      </c>
      <c r="F26" s="86">
        <v>12324353</v>
      </c>
      <c r="G26" s="86">
        <v>27364</v>
      </c>
      <c r="H26" s="86">
        <v>12341887</v>
      </c>
      <c r="I26" s="86">
        <v>12314523</v>
      </c>
      <c r="J26" s="86">
        <v>27364</v>
      </c>
      <c r="K26" s="86">
        <v>9830</v>
      </c>
      <c r="L26" s="86">
        <v>9830</v>
      </c>
      <c r="M26" s="86" t="s">
        <v>1029</v>
      </c>
      <c r="N26" s="86" t="s">
        <v>1029</v>
      </c>
      <c r="O26" s="86" t="s">
        <v>1029</v>
      </c>
      <c r="P26" s="86" t="s">
        <v>1029</v>
      </c>
      <c r="Q26" s="55" t="s">
        <v>802</v>
      </c>
      <c r="R26" s="82"/>
      <c r="S26" s="88"/>
      <c r="T26" s="77"/>
      <c r="U26" s="77"/>
      <c r="V26" s="77"/>
    </row>
    <row r="27" spans="1:22" s="52" customFormat="1" ht="9.75" customHeight="1" x14ac:dyDescent="0.15">
      <c r="A27" s="201" t="s">
        <v>235</v>
      </c>
      <c r="B27" s="201" t="s">
        <v>235</v>
      </c>
      <c r="C27" s="201" t="s">
        <v>669</v>
      </c>
      <c r="D27" s="200"/>
      <c r="E27" s="87">
        <v>12966367</v>
      </c>
      <c r="F27" s="86">
        <v>12936314</v>
      </c>
      <c r="G27" s="86">
        <v>30053</v>
      </c>
      <c r="H27" s="86">
        <v>12942182</v>
      </c>
      <c r="I27" s="86">
        <v>12912129</v>
      </c>
      <c r="J27" s="86">
        <v>30053</v>
      </c>
      <c r="K27" s="86">
        <v>24185</v>
      </c>
      <c r="L27" s="86">
        <v>24185</v>
      </c>
      <c r="M27" s="86" t="s">
        <v>1029</v>
      </c>
      <c r="N27" s="86" t="s">
        <v>1029</v>
      </c>
      <c r="O27" s="86" t="s">
        <v>1029</v>
      </c>
      <c r="P27" s="89" t="s">
        <v>1029</v>
      </c>
      <c r="Q27" s="55" t="s">
        <v>803</v>
      </c>
      <c r="R27" s="82"/>
      <c r="S27" s="88"/>
      <c r="T27" s="77"/>
      <c r="U27" s="77"/>
      <c r="V27" s="77"/>
    </row>
    <row r="28" spans="1:22" s="52" customFormat="1" ht="9.75" customHeight="1" x14ac:dyDescent="0.15">
      <c r="A28" s="201" t="s">
        <v>235</v>
      </c>
      <c r="B28" s="201" t="s">
        <v>235</v>
      </c>
      <c r="C28" s="201" t="s">
        <v>670</v>
      </c>
      <c r="D28" s="200"/>
      <c r="E28" s="87">
        <v>12456964</v>
      </c>
      <c r="F28" s="86">
        <v>12422579</v>
      </c>
      <c r="G28" s="86">
        <v>34385</v>
      </c>
      <c r="H28" s="86">
        <v>12441896</v>
      </c>
      <c r="I28" s="86">
        <v>12407511</v>
      </c>
      <c r="J28" s="86">
        <v>34385</v>
      </c>
      <c r="K28" s="86">
        <v>15068</v>
      </c>
      <c r="L28" s="86">
        <v>15068</v>
      </c>
      <c r="M28" s="86" t="s">
        <v>1029</v>
      </c>
      <c r="N28" s="86" t="s">
        <v>1029</v>
      </c>
      <c r="O28" s="86" t="s">
        <v>1029</v>
      </c>
      <c r="P28" s="86" t="s">
        <v>1029</v>
      </c>
      <c r="Q28" s="55" t="s">
        <v>804</v>
      </c>
      <c r="R28" s="82"/>
      <c r="S28" s="88"/>
      <c r="T28" s="77"/>
      <c r="U28" s="77"/>
      <c r="V28" s="77"/>
    </row>
    <row r="29" spans="1:22" s="52" customFormat="1" ht="9.75" customHeight="1" x14ac:dyDescent="0.15">
      <c r="A29" s="201" t="s">
        <v>235</v>
      </c>
      <c r="B29" s="201" t="s">
        <v>235</v>
      </c>
      <c r="C29" s="201" t="s">
        <v>671</v>
      </c>
      <c r="D29" s="200"/>
      <c r="E29" s="87">
        <v>11410320</v>
      </c>
      <c r="F29" s="86">
        <v>11386830</v>
      </c>
      <c r="G29" s="86">
        <v>23490</v>
      </c>
      <c r="H29" s="86">
        <v>11387579</v>
      </c>
      <c r="I29" s="86">
        <v>11364089</v>
      </c>
      <c r="J29" s="86">
        <v>23490</v>
      </c>
      <c r="K29" s="86">
        <v>22741</v>
      </c>
      <c r="L29" s="86">
        <v>22741</v>
      </c>
      <c r="M29" s="86" t="s">
        <v>1029</v>
      </c>
      <c r="N29" s="86" t="s">
        <v>1029</v>
      </c>
      <c r="O29" s="86" t="s">
        <v>1029</v>
      </c>
      <c r="P29" s="86" t="s">
        <v>1029</v>
      </c>
      <c r="Q29" s="55" t="s">
        <v>805</v>
      </c>
      <c r="R29" s="82"/>
      <c r="S29" s="88"/>
      <c r="T29" s="77"/>
      <c r="U29" s="77"/>
      <c r="V29" s="77"/>
    </row>
    <row r="30" spans="1:22" s="52" customFormat="1" ht="9.75" customHeight="1" x14ac:dyDescent="0.15">
      <c r="A30" s="201" t="s">
        <v>235</v>
      </c>
      <c r="B30" s="201" t="s">
        <v>235</v>
      </c>
      <c r="C30" s="201" t="s">
        <v>672</v>
      </c>
      <c r="D30" s="200"/>
      <c r="E30" s="87">
        <v>10336450</v>
      </c>
      <c r="F30" s="86">
        <v>10300910</v>
      </c>
      <c r="G30" s="86">
        <v>35540</v>
      </c>
      <c r="H30" s="86">
        <v>10316714</v>
      </c>
      <c r="I30" s="86">
        <v>10281174</v>
      </c>
      <c r="J30" s="86">
        <v>35540</v>
      </c>
      <c r="K30" s="86">
        <v>19736</v>
      </c>
      <c r="L30" s="86">
        <v>19736</v>
      </c>
      <c r="M30" s="86" t="s">
        <v>1029</v>
      </c>
      <c r="N30" s="86" t="s">
        <v>1029</v>
      </c>
      <c r="O30" s="86" t="s">
        <v>1029</v>
      </c>
      <c r="P30" s="86" t="s">
        <v>1029</v>
      </c>
      <c r="Q30" s="55" t="s">
        <v>806</v>
      </c>
      <c r="R30" s="82"/>
      <c r="S30" s="88"/>
      <c r="T30" s="77"/>
      <c r="U30" s="77"/>
      <c r="V30" s="77"/>
    </row>
    <row r="31" spans="1:22" s="52" customFormat="1" ht="9.75" customHeight="1" x14ac:dyDescent="0.15">
      <c r="A31" s="201" t="s">
        <v>235</v>
      </c>
      <c r="B31" s="201" t="s">
        <v>235</v>
      </c>
      <c r="C31" s="201" t="s">
        <v>673</v>
      </c>
      <c r="D31" s="200"/>
      <c r="E31" s="87">
        <v>11685275</v>
      </c>
      <c r="F31" s="86">
        <v>11641447</v>
      </c>
      <c r="G31" s="86">
        <v>43828</v>
      </c>
      <c r="H31" s="86">
        <v>11670443</v>
      </c>
      <c r="I31" s="86">
        <v>11626615</v>
      </c>
      <c r="J31" s="86">
        <v>43828</v>
      </c>
      <c r="K31" s="86">
        <v>14832</v>
      </c>
      <c r="L31" s="86">
        <v>14832</v>
      </c>
      <c r="M31" s="86" t="s">
        <v>1029</v>
      </c>
      <c r="N31" s="86" t="s">
        <v>1029</v>
      </c>
      <c r="O31" s="86" t="s">
        <v>1029</v>
      </c>
      <c r="P31" s="86" t="s">
        <v>1029</v>
      </c>
      <c r="Q31" s="55" t="s">
        <v>807</v>
      </c>
      <c r="R31" s="82"/>
      <c r="S31" s="77"/>
      <c r="T31" s="77"/>
      <c r="U31" s="77"/>
      <c r="V31" s="77"/>
    </row>
    <row r="32" spans="1:22" s="52" customFormat="1" ht="9.75" customHeight="1" x14ac:dyDescent="0.15">
      <c r="A32" s="201" t="s">
        <v>235</v>
      </c>
      <c r="B32" s="201" t="s">
        <v>235</v>
      </c>
      <c r="C32" s="201" t="s">
        <v>674</v>
      </c>
      <c r="D32" s="200"/>
      <c r="E32" s="87">
        <v>13540659</v>
      </c>
      <c r="F32" s="86">
        <v>13515790</v>
      </c>
      <c r="G32" s="86">
        <v>24869</v>
      </c>
      <c r="H32" s="86">
        <v>13523100</v>
      </c>
      <c r="I32" s="86">
        <v>13498231</v>
      </c>
      <c r="J32" s="86">
        <v>24869</v>
      </c>
      <c r="K32" s="86">
        <v>17559</v>
      </c>
      <c r="L32" s="86">
        <v>17559</v>
      </c>
      <c r="M32" s="86" t="s">
        <v>1029</v>
      </c>
      <c r="N32" s="86" t="s">
        <v>1029</v>
      </c>
      <c r="O32" s="86" t="s">
        <v>1029</v>
      </c>
      <c r="P32" s="86" t="s">
        <v>1029</v>
      </c>
      <c r="Q32" s="55" t="s">
        <v>808</v>
      </c>
      <c r="R32" s="82"/>
      <c r="S32" s="77"/>
      <c r="T32" s="77"/>
      <c r="U32" s="77"/>
      <c r="V32" s="77"/>
    </row>
    <row r="33" spans="1:22" s="52" customFormat="1" ht="9.75" customHeight="1" x14ac:dyDescent="0.15">
      <c r="A33" s="201" t="s">
        <v>235</v>
      </c>
      <c r="B33" s="201" t="s">
        <v>235</v>
      </c>
      <c r="C33" s="201" t="s">
        <v>675</v>
      </c>
      <c r="D33" s="200"/>
      <c r="E33" s="87">
        <v>12022760</v>
      </c>
      <c r="F33" s="86">
        <v>11992101</v>
      </c>
      <c r="G33" s="86">
        <v>30659</v>
      </c>
      <c r="H33" s="86">
        <v>12010819</v>
      </c>
      <c r="I33" s="86">
        <v>11980160</v>
      </c>
      <c r="J33" s="86">
        <v>30659</v>
      </c>
      <c r="K33" s="86">
        <v>11941</v>
      </c>
      <c r="L33" s="86">
        <v>11941</v>
      </c>
      <c r="M33" s="86" t="s">
        <v>1029</v>
      </c>
      <c r="N33" s="86" t="s">
        <v>1029</v>
      </c>
      <c r="O33" s="86" t="s">
        <v>1029</v>
      </c>
      <c r="P33" s="86" t="s">
        <v>1029</v>
      </c>
      <c r="Q33" s="55" t="s">
        <v>809</v>
      </c>
      <c r="R33" s="82"/>
      <c r="S33" s="77"/>
      <c r="T33" s="77"/>
      <c r="U33" s="77"/>
      <c r="V33" s="77"/>
    </row>
    <row r="34" spans="1:22" s="52" customFormat="1" ht="9.75" customHeight="1" x14ac:dyDescent="0.15">
      <c r="A34" s="201" t="s">
        <v>235</v>
      </c>
      <c r="B34" s="201" t="s">
        <v>235</v>
      </c>
      <c r="C34" s="582" t="s">
        <v>810</v>
      </c>
      <c r="D34" s="200"/>
      <c r="E34" s="87">
        <v>12020245</v>
      </c>
      <c r="F34" s="86">
        <v>11991417</v>
      </c>
      <c r="G34" s="86">
        <v>28828</v>
      </c>
      <c r="H34" s="86">
        <v>11997668</v>
      </c>
      <c r="I34" s="86">
        <v>11968840</v>
      </c>
      <c r="J34" s="86">
        <v>28828</v>
      </c>
      <c r="K34" s="86">
        <v>22577</v>
      </c>
      <c r="L34" s="86">
        <v>22577</v>
      </c>
      <c r="M34" s="86" t="s">
        <v>1029</v>
      </c>
      <c r="N34" s="86" t="s">
        <v>1029</v>
      </c>
      <c r="O34" s="86" t="s">
        <v>1029</v>
      </c>
      <c r="P34" s="86" t="s">
        <v>1029</v>
      </c>
      <c r="Q34" s="55" t="s">
        <v>811</v>
      </c>
      <c r="R34" s="82"/>
      <c r="S34" s="77"/>
      <c r="T34" s="77"/>
      <c r="U34" s="77"/>
      <c r="V34" s="77"/>
    </row>
    <row r="35" spans="1:22" s="52" customFormat="1" ht="9.75" customHeight="1" x14ac:dyDescent="0.15">
      <c r="A35" s="201" t="s">
        <v>235</v>
      </c>
      <c r="B35" s="201" t="s">
        <v>235</v>
      </c>
      <c r="C35" s="582" t="s">
        <v>812</v>
      </c>
      <c r="D35" s="200"/>
      <c r="E35" s="87">
        <v>11765352</v>
      </c>
      <c r="F35" s="86">
        <v>11723256</v>
      </c>
      <c r="G35" s="86">
        <v>42096</v>
      </c>
      <c r="H35" s="86">
        <v>11745933</v>
      </c>
      <c r="I35" s="86">
        <v>11703837</v>
      </c>
      <c r="J35" s="86">
        <v>42096</v>
      </c>
      <c r="K35" s="86">
        <v>19419</v>
      </c>
      <c r="L35" s="86">
        <v>19419</v>
      </c>
      <c r="M35" s="86" t="s">
        <v>1029</v>
      </c>
      <c r="N35" s="86" t="s">
        <v>1029</v>
      </c>
      <c r="O35" s="86" t="s">
        <v>1029</v>
      </c>
      <c r="P35" s="86" t="s">
        <v>1029</v>
      </c>
      <c r="Q35" s="55" t="s">
        <v>813</v>
      </c>
      <c r="R35" s="82"/>
      <c r="S35" s="77"/>
      <c r="T35" s="77"/>
      <c r="U35" s="77"/>
      <c r="V35" s="77"/>
    </row>
    <row r="36" spans="1:22" s="52" customFormat="1" ht="9.75" customHeight="1" x14ac:dyDescent="0.15">
      <c r="A36" s="201" t="s">
        <v>235</v>
      </c>
      <c r="B36" s="201" t="s">
        <v>235</v>
      </c>
      <c r="C36" s="582" t="s">
        <v>814</v>
      </c>
      <c r="D36" s="200"/>
      <c r="E36" s="87">
        <v>13245105</v>
      </c>
      <c r="F36" s="86">
        <v>13215996</v>
      </c>
      <c r="G36" s="86">
        <v>29109</v>
      </c>
      <c r="H36" s="86">
        <v>13223855</v>
      </c>
      <c r="I36" s="86">
        <v>13194746</v>
      </c>
      <c r="J36" s="86">
        <v>29109</v>
      </c>
      <c r="K36" s="86">
        <v>21250</v>
      </c>
      <c r="L36" s="86">
        <v>21250</v>
      </c>
      <c r="M36" s="86" t="s">
        <v>1029</v>
      </c>
      <c r="N36" s="86" t="s">
        <v>1029</v>
      </c>
      <c r="O36" s="86" t="s">
        <v>1029</v>
      </c>
      <c r="P36" s="86" t="s">
        <v>1029</v>
      </c>
      <c r="Q36" s="55" t="s">
        <v>815</v>
      </c>
      <c r="R36" s="82"/>
      <c r="S36" s="77"/>
      <c r="T36" s="77"/>
      <c r="U36" s="77"/>
      <c r="V36" s="77"/>
    </row>
    <row r="37" spans="1:22" s="52" customFormat="1" ht="9.75" customHeight="1" x14ac:dyDescent="0.15">
      <c r="A37" s="645" t="s">
        <v>790</v>
      </c>
      <c r="B37" s="645" t="s">
        <v>1033</v>
      </c>
      <c r="C37" s="201" t="s">
        <v>676</v>
      </c>
      <c r="D37" s="200"/>
      <c r="E37" s="87">
        <v>12811398</v>
      </c>
      <c r="F37" s="86">
        <v>12791042</v>
      </c>
      <c r="G37" s="86">
        <v>20356</v>
      </c>
      <c r="H37" s="86">
        <v>12793537</v>
      </c>
      <c r="I37" s="86">
        <v>12773181</v>
      </c>
      <c r="J37" s="86">
        <v>20356</v>
      </c>
      <c r="K37" s="86">
        <v>17861</v>
      </c>
      <c r="L37" s="86">
        <v>17861</v>
      </c>
      <c r="M37" s="86" t="s">
        <v>1029</v>
      </c>
      <c r="N37" s="86" t="s">
        <v>1029</v>
      </c>
      <c r="O37" s="86" t="s">
        <v>1029</v>
      </c>
      <c r="P37" s="86" t="s">
        <v>1029</v>
      </c>
      <c r="Q37" s="60" t="s">
        <v>1035</v>
      </c>
      <c r="R37" s="82"/>
      <c r="S37" s="77"/>
      <c r="T37" s="77"/>
      <c r="U37" s="77"/>
      <c r="V37" s="77"/>
    </row>
    <row r="38" spans="1:22" s="52" customFormat="1" ht="9.75" customHeight="1" x14ac:dyDescent="0.15">
      <c r="A38" s="201" t="s">
        <v>235</v>
      </c>
      <c r="B38" s="201" t="s">
        <v>235</v>
      </c>
      <c r="C38" s="201" t="s">
        <v>668</v>
      </c>
      <c r="D38" s="200"/>
      <c r="E38" s="87">
        <v>11388657</v>
      </c>
      <c r="F38" s="86">
        <v>11347246</v>
      </c>
      <c r="G38" s="86">
        <v>41411</v>
      </c>
      <c r="H38" s="86">
        <v>11368927</v>
      </c>
      <c r="I38" s="86">
        <v>11327516</v>
      </c>
      <c r="J38" s="86">
        <v>41411</v>
      </c>
      <c r="K38" s="86">
        <v>19730</v>
      </c>
      <c r="L38" s="86">
        <v>19730</v>
      </c>
      <c r="M38" s="86" t="s">
        <v>1029</v>
      </c>
      <c r="N38" s="86" t="s">
        <v>1029</v>
      </c>
      <c r="O38" s="86" t="s">
        <v>1029</v>
      </c>
      <c r="P38" s="86" t="s">
        <v>1029</v>
      </c>
      <c r="Q38" s="55" t="s">
        <v>802</v>
      </c>
      <c r="R38" s="82"/>
      <c r="S38" s="77"/>
      <c r="T38" s="77"/>
      <c r="U38" s="77"/>
      <c r="V38" s="77"/>
    </row>
    <row r="39" spans="1:22" s="52" customFormat="1" ht="9.75" customHeight="1" x14ac:dyDescent="0.15">
      <c r="A39" s="761" t="s">
        <v>235</v>
      </c>
      <c r="B39" s="761" t="s">
        <v>235</v>
      </c>
      <c r="C39" s="762" t="s">
        <v>677</v>
      </c>
      <c r="D39" s="763"/>
      <c r="E39" s="764">
        <v>12380754</v>
      </c>
      <c r="F39" s="765">
        <v>12346056</v>
      </c>
      <c r="G39" s="765">
        <v>34698</v>
      </c>
      <c r="H39" s="765">
        <v>12360668</v>
      </c>
      <c r="I39" s="765">
        <v>12325970</v>
      </c>
      <c r="J39" s="765">
        <v>34698</v>
      </c>
      <c r="K39" s="765">
        <v>20086</v>
      </c>
      <c r="L39" s="765">
        <v>20086</v>
      </c>
      <c r="M39" s="765" t="s">
        <v>1029</v>
      </c>
      <c r="N39" s="765" t="s">
        <v>1029</v>
      </c>
      <c r="O39" s="765" t="s">
        <v>1029</v>
      </c>
      <c r="P39" s="765" t="s">
        <v>1029</v>
      </c>
      <c r="Q39" s="766" t="s">
        <v>803</v>
      </c>
      <c r="R39" s="82"/>
      <c r="S39" s="77"/>
      <c r="T39" s="77"/>
      <c r="U39" s="77"/>
      <c r="V39" s="77"/>
    </row>
    <row r="40" spans="1:22" s="52" customFormat="1" ht="9.75" customHeight="1" x14ac:dyDescent="0.15">
      <c r="A40" s="85"/>
      <c r="B40" s="85"/>
      <c r="C40" s="90"/>
      <c r="D40" s="85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3"/>
      <c r="R40" s="82"/>
      <c r="S40" s="77"/>
      <c r="T40" s="77"/>
      <c r="U40" s="77"/>
      <c r="V40" s="77"/>
    </row>
    <row r="41" spans="1:22" s="79" customFormat="1" ht="9.75" customHeight="1" x14ac:dyDescent="0.15">
      <c r="A41" s="81"/>
      <c r="B41" s="81"/>
      <c r="C41" s="81"/>
      <c r="D41" s="81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77"/>
      <c r="T41" s="77"/>
      <c r="U41" s="77"/>
      <c r="V41" s="77"/>
    </row>
    <row r="42" spans="1:22" s="77" customFormat="1" ht="12.75" customHeight="1" x14ac:dyDescent="0.15">
      <c r="A42" s="741" t="s">
        <v>197</v>
      </c>
      <c r="B42" s="767"/>
      <c r="C42" s="768"/>
      <c r="D42" s="768"/>
      <c r="E42" s="768"/>
      <c r="K42" s="580" t="s">
        <v>93</v>
      </c>
      <c r="S42" s="768"/>
      <c r="T42" s="744" t="s">
        <v>196</v>
      </c>
      <c r="U42" s="768"/>
    </row>
    <row r="43" spans="1:22" s="68" customFormat="1" ht="10.5" customHeight="1" x14ac:dyDescent="0.15">
      <c r="A43" s="1037" t="s">
        <v>571</v>
      </c>
      <c r="B43" s="1037"/>
      <c r="C43" s="1037"/>
      <c r="D43" s="1038"/>
      <c r="E43" s="70"/>
      <c r="F43" s="1043"/>
      <c r="G43" s="1043"/>
      <c r="H43" s="1043"/>
      <c r="I43" s="1043"/>
      <c r="J43" s="1043"/>
      <c r="K43" s="1043"/>
      <c r="L43" s="1043"/>
      <c r="M43" s="1043"/>
      <c r="N43" s="1043"/>
      <c r="O43" s="1043"/>
      <c r="P43" s="1043"/>
      <c r="Q43" s="1043"/>
      <c r="R43" s="1043"/>
      <c r="S43" s="769"/>
      <c r="T43" s="728"/>
      <c r="U43" s="1027" t="s">
        <v>595</v>
      </c>
    </row>
    <row r="44" spans="1:22" s="68" customFormat="1" ht="11.45" customHeight="1" x14ac:dyDescent="0.15">
      <c r="A44" s="1039"/>
      <c r="B44" s="1039"/>
      <c r="C44" s="1039"/>
      <c r="D44" s="1040"/>
      <c r="E44" s="70" t="s">
        <v>195</v>
      </c>
      <c r="F44" s="745"/>
      <c r="G44" s="749"/>
      <c r="H44" s="746" t="s">
        <v>194</v>
      </c>
      <c r="I44" s="747"/>
      <c r="J44" s="748"/>
      <c r="K44" s="746" t="s">
        <v>193</v>
      </c>
      <c r="L44" s="747"/>
      <c r="M44" s="749"/>
      <c r="N44" s="746" t="s">
        <v>192</v>
      </c>
      <c r="O44" s="750"/>
      <c r="P44" s="751"/>
      <c r="Q44" s="746" t="s">
        <v>678</v>
      </c>
      <c r="R44" s="747"/>
      <c r="S44" s="770"/>
      <c r="T44" s="757" t="s">
        <v>191</v>
      </c>
      <c r="U44" s="1036"/>
      <c r="V44" s="76"/>
    </row>
    <row r="45" spans="1:22" s="68" customFormat="1" ht="21" customHeight="1" x14ac:dyDescent="0.15">
      <c r="A45" s="1039"/>
      <c r="B45" s="1039"/>
      <c r="C45" s="1039"/>
      <c r="D45" s="1040"/>
      <c r="E45" s="70"/>
      <c r="F45" s="75"/>
      <c r="G45" s="640"/>
      <c r="H45" s="70" t="s">
        <v>190</v>
      </c>
      <c r="I45" s="752"/>
      <c r="J45" s="753"/>
      <c r="K45" s="70" t="s">
        <v>190</v>
      </c>
      <c r="L45" s="771"/>
      <c r="M45" s="772"/>
      <c r="N45" s="70" t="s">
        <v>189</v>
      </c>
      <c r="O45" s="756"/>
      <c r="P45" s="640"/>
      <c r="Q45" s="69" t="s">
        <v>189</v>
      </c>
      <c r="R45" s="73"/>
      <c r="S45" s="72"/>
      <c r="T45" s="641" t="s">
        <v>679</v>
      </c>
      <c r="U45" s="1036"/>
    </row>
    <row r="46" spans="1:22" s="68" customFormat="1" ht="15" customHeight="1" x14ac:dyDescent="0.15">
      <c r="A46" s="1039"/>
      <c r="B46" s="1039"/>
      <c r="C46" s="1039"/>
      <c r="D46" s="1040"/>
      <c r="E46" s="70" t="s">
        <v>468</v>
      </c>
      <c r="F46" s="71" t="s">
        <v>662</v>
      </c>
      <c r="G46" s="71" t="s">
        <v>663</v>
      </c>
      <c r="H46" s="70" t="s">
        <v>680</v>
      </c>
      <c r="I46" s="757" t="s">
        <v>662</v>
      </c>
      <c r="J46" s="757" t="s">
        <v>663</v>
      </c>
      <c r="K46" s="1034" t="s">
        <v>188</v>
      </c>
      <c r="L46" s="757" t="s">
        <v>662</v>
      </c>
      <c r="M46" s="757" t="s">
        <v>663</v>
      </c>
      <c r="N46" s="1034" t="s">
        <v>664</v>
      </c>
      <c r="O46" s="757" t="s">
        <v>662</v>
      </c>
      <c r="P46" s="757" t="s">
        <v>663</v>
      </c>
      <c r="Q46" s="1034" t="s">
        <v>817</v>
      </c>
      <c r="R46" s="757" t="s">
        <v>662</v>
      </c>
      <c r="S46" s="757" t="s">
        <v>663</v>
      </c>
      <c r="T46" s="757" t="s">
        <v>663</v>
      </c>
      <c r="U46" s="1036"/>
    </row>
    <row r="47" spans="1:22" s="68" customFormat="1" ht="14.25" customHeight="1" x14ac:dyDescent="0.15">
      <c r="A47" s="1039"/>
      <c r="B47" s="1039"/>
      <c r="C47" s="1039"/>
      <c r="D47" s="1040"/>
      <c r="E47" s="1034"/>
      <c r="F47" s="1034" t="s">
        <v>665</v>
      </c>
      <c r="G47" s="1034" t="s">
        <v>666</v>
      </c>
      <c r="H47" s="69" t="s">
        <v>54</v>
      </c>
      <c r="I47" s="1034" t="s">
        <v>665</v>
      </c>
      <c r="J47" s="1034" t="s">
        <v>666</v>
      </c>
      <c r="K47" s="1034"/>
      <c r="L47" s="1034" t="s">
        <v>665</v>
      </c>
      <c r="M47" s="1034" t="s">
        <v>666</v>
      </c>
      <c r="N47" s="1034"/>
      <c r="O47" s="1034" t="s">
        <v>665</v>
      </c>
      <c r="P47" s="1034" t="s">
        <v>666</v>
      </c>
      <c r="Q47" s="1034"/>
      <c r="R47" s="1034" t="s">
        <v>665</v>
      </c>
      <c r="S47" s="1034" t="s">
        <v>666</v>
      </c>
      <c r="T47" s="1034" t="s">
        <v>666</v>
      </c>
      <c r="U47" s="1036"/>
    </row>
    <row r="48" spans="1:22" s="68" customFormat="1" ht="11.45" customHeight="1" x14ac:dyDescent="0.15">
      <c r="A48" s="1041"/>
      <c r="B48" s="1041"/>
      <c r="C48" s="1041"/>
      <c r="D48" s="1042"/>
      <c r="E48" s="1046"/>
      <c r="F48" s="1035"/>
      <c r="G48" s="1035"/>
      <c r="H48" s="641"/>
      <c r="I48" s="1035"/>
      <c r="J48" s="1035"/>
      <c r="K48" s="641" t="s">
        <v>468</v>
      </c>
      <c r="L48" s="1035"/>
      <c r="M48" s="1035"/>
      <c r="N48" s="758" t="s">
        <v>468</v>
      </c>
      <c r="O48" s="1035"/>
      <c r="P48" s="1035"/>
      <c r="Q48" s="641" t="s">
        <v>468</v>
      </c>
      <c r="R48" s="1035"/>
      <c r="S48" s="1035"/>
      <c r="T48" s="1035"/>
      <c r="U48" s="759"/>
    </row>
    <row r="49" spans="1:22" s="52" customFormat="1" ht="9.75" customHeight="1" x14ac:dyDescent="0.15">
      <c r="A49" s="645" t="s">
        <v>790</v>
      </c>
      <c r="B49" s="645" t="s">
        <v>791</v>
      </c>
      <c r="C49" s="53"/>
      <c r="D49" s="208"/>
      <c r="E49" s="59">
        <v>11745857</v>
      </c>
      <c r="F49" s="57">
        <v>11672724</v>
      </c>
      <c r="G49" s="57">
        <v>73133</v>
      </c>
      <c r="H49" s="57">
        <v>9867893</v>
      </c>
      <c r="I49" s="57">
        <v>9830995</v>
      </c>
      <c r="J49" s="57">
        <v>36898</v>
      </c>
      <c r="K49" s="57">
        <v>12293</v>
      </c>
      <c r="L49" s="57">
        <v>12293</v>
      </c>
      <c r="M49" s="57" t="s">
        <v>1029</v>
      </c>
      <c r="N49" s="57" t="s">
        <v>1029</v>
      </c>
      <c r="O49" s="57" t="s">
        <v>1029</v>
      </c>
      <c r="P49" s="57" t="s">
        <v>1029</v>
      </c>
      <c r="Q49" s="57">
        <v>1838252</v>
      </c>
      <c r="R49" s="57">
        <v>1829436</v>
      </c>
      <c r="S49" s="57">
        <v>8816</v>
      </c>
      <c r="T49" s="56">
        <v>27419</v>
      </c>
      <c r="U49" s="67" t="s">
        <v>792</v>
      </c>
      <c r="V49" s="53"/>
    </row>
    <row r="50" spans="1:22" s="52" customFormat="1" ht="9.75" customHeight="1" x14ac:dyDescent="0.15">
      <c r="A50" s="201" t="s">
        <v>235</v>
      </c>
      <c r="B50" s="645">
        <v>2</v>
      </c>
      <c r="C50" s="53"/>
      <c r="D50" s="208"/>
      <c r="E50" s="59">
        <v>10603153</v>
      </c>
      <c r="F50" s="57">
        <v>10481207</v>
      </c>
      <c r="G50" s="57">
        <v>121946</v>
      </c>
      <c r="H50" s="57">
        <v>7998782</v>
      </c>
      <c r="I50" s="57">
        <v>7945265</v>
      </c>
      <c r="J50" s="57">
        <v>53517</v>
      </c>
      <c r="K50" s="57">
        <v>7834</v>
      </c>
      <c r="L50" s="57">
        <v>7834</v>
      </c>
      <c r="M50" s="57" t="s">
        <v>1029</v>
      </c>
      <c r="N50" s="57" t="s">
        <v>1029</v>
      </c>
      <c r="O50" s="57" t="s">
        <v>1029</v>
      </c>
      <c r="P50" s="57" t="s">
        <v>1029</v>
      </c>
      <c r="Q50" s="57">
        <v>2557914</v>
      </c>
      <c r="R50" s="57">
        <v>2528108</v>
      </c>
      <c r="S50" s="57">
        <v>29806</v>
      </c>
      <c r="T50" s="56">
        <v>38623</v>
      </c>
      <c r="U50" s="67" t="s">
        <v>793</v>
      </c>
      <c r="V50" s="53"/>
    </row>
    <row r="51" spans="1:22" s="52" customFormat="1" ht="9.75" customHeight="1" x14ac:dyDescent="0.15">
      <c r="A51" s="201" t="s">
        <v>235</v>
      </c>
      <c r="B51" s="645">
        <v>3</v>
      </c>
      <c r="C51" s="53"/>
      <c r="D51" s="208"/>
      <c r="E51" s="59">
        <v>9623233</v>
      </c>
      <c r="F51" s="57">
        <v>9556452</v>
      </c>
      <c r="G51" s="57">
        <v>66781</v>
      </c>
      <c r="H51" s="57">
        <v>8345118</v>
      </c>
      <c r="I51" s="57">
        <v>8328435</v>
      </c>
      <c r="J51" s="57">
        <v>16683</v>
      </c>
      <c r="K51" s="57">
        <v>5901</v>
      </c>
      <c r="L51" s="57">
        <v>5901</v>
      </c>
      <c r="M51" s="57" t="s">
        <v>1029</v>
      </c>
      <c r="N51" s="57" t="s">
        <v>1029</v>
      </c>
      <c r="O51" s="57" t="s">
        <v>1029</v>
      </c>
      <c r="P51" s="57" t="s">
        <v>1029</v>
      </c>
      <c r="Q51" s="57">
        <v>1237692</v>
      </c>
      <c r="R51" s="57">
        <v>1222116</v>
      </c>
      <c r="S51" s="57">
        <v>15576</v>
      </c>
      <c r="T51" s="56">
        <v>34522</v>
      </c>
      <c r="U51" s="67" t="s">
        <v>794</v>
      </c>
      <c r="V51" s="53"/>
    </row>
    <row r="52" spans="1:22" s="52" customFormat="1" ht="9.75" customHeight="1" x14ac:dyDescent="0.15">
      <c r="A52" s="201" t="s">
        <v>235</v>
      </c>
      <c r="B52" s="645">
        <v>4</v>
      </c>
      <c r="C52" s="53"/>
      <c r="D52" s="208"/>
      <c r="E52" s="59">
        <v>11362314</v>
      </c>
      <c r="F52" s="57">
        <v>11290857</v>
      </c>
      <c r="G52" s="57">
        <v>71457</v>
      </c>
      <c r="H52" s="57">
        <v>8920402</v>
      </c>
      <c r="I52" s="57">
        <v>8895856</v>
      </c>
      <c r="J52" s="57">
        <v>24546</v>
      </c>
      <c r="K52" s="57">
        <v>5361</v>
      </c>
      <c r="L52" s="57">
        <v>5361</v>
      </c>
      <c r="M52" s="57" t="s">
        <v>1029</v>
      </c>
      <c r="N52" s="57" t="s">
        <v>1029</v>
      </c>
      <c r="O52" s="57" t="s">
        <v>1029</v>
      </c>
      <c r="P52" s="57" t="s">
        <v>1029</v>
      </c>
      <c r="Q52" s="57">
        <v>2408940</v>
      </c>
      <c r="R52" s="57">
        <v>2389640</v>
      </c>
      <c r="S52" s="57">
        <v>19300</v>
      </c>
      <c r="T52" s="56">
        <v>27611</v>
      </c>
      <c r="U52" s="67" t="s">
        <v>795</v>
      </c>
      <c r="V52" s="53"/>
    </row>
    <row r="53" spans="1:22" s="52" customFormat="1" ht="9.75" customHeight="1" x14ac:dyDescent="0.15">
      <c r="A53" s="201" t="s">
        <v>235</v>
      </c>
      <c r="B53" s="645">
        <v>5</v>
      </c>
      <c r="C53" s="53"/>
      <c r="D53" s="208"/>
      <c r="E53" s="59">
        <v>11404745</v>
      </c>
      <c r="F53" s="57">
        <v>11343754</v>
      </c>
      <c r="G53" s="57">
        <v>60991</v>
      </c>
      <c r="H53" s="57">
        <v>8517062</v>
      </c>
      <c r="I53" s="57">
        <v>8505071</v>
      </c>
      <c r="J53" s="57">
        <v>11991</v>
      </c>
      <c r="K53" s="57">
        <v>6525</v>
      </c>
      <c r="L53" s="57">
        <v>6525</v>
      </c>
      <c r="M53" s="57" t="s">
        <v>1029</v>
      </c>
      <c r="N53" s="57" t="s">
        <v>1029</v>
      </c>
      <c r="O53" s="57" t="s">
        <v>1029</v>
      </c>
      <c r="P53" s="57" t="s">
        <v>1029</v>
      </c>
      <c r="Q53" s="57">
        <v>2850984</v>
      </c>
      <c r="R53" s="57">
        <v>2832158</v>
      </c>
      <c r="S53" s="57">
        <v>18826</v>
      </c>
      <c r="T53" s="56">
        <v>30174</v>
      </c>
      <c r="U53" s="67" t="s">
        <v>1030</v>
      </c>
      <c r="V53" s="53"/>
    </row>
    <row r="54" spans="1:22" s="52" customFormat="1" ht="9.75" customHeight="1" x14ac:dyDescent="0.15">
      <c r="A54" s="201"/>
      <c r="B54" s="201"/>
      <c r="C54" s="643"/>
      <c r="D54" s="204"/>
      <c r="E54" s="59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6"/>
      <c r="U54" s="61"/>
      <c r="V54" s="53"/>
    </row>
    <row r="55" spans="1:22" s="52" customFormat="1" ht="9.75" customHeight="1" x14ac:dyDescent="0.15">
      <c r="A55" s="645" t="s">
        <v>790</v>
      </c>
      <c r="B55" s="645" t="s">
        <v>1031</v>
      </c>
      <c r="C55" s="581"/>
      <c r="D55" s="206"/>
      <c r="E55" s="59">
        <v>9893035</v>
      </c>
      <c r="F55" s="57">
        <v>9813595</v>
      </c>
      <c r="G55" s="57">
        <v>79440</v>
      </c>
      <c r="H55" s="57">
        <v>7681019</v>
      </c>
      <c r="I55" s="57">
        <v>7645873</v>
      </c>
      <c r="J55" s="57">
        <v>35146</v>
      </c>
      <c r="K55" s="57">
        <v>3609</v>
      </c>
      <c r="L55" s="57">
        <v>3609</v>
      </c>
      <c r="M55" s="57" t="s">
        <v>1029</v>
      </c>
      <c r="N55" s="57" t="s">
        <v>1029</v>
      </c>
      <c r="O55" s="57" t="s">
        <v>1029</v>
      </c>
      <c r="P55" s="57" t="s">
        <v>1029</v>
      </c>
      <c r="Q55" s="57">
        <v>2179986</v>
      </c>
      <c r="R55" s="57">
        <v>2164113</v>
      </c>
      <c r="S55" s="57">
        <v>15873</v>
      </c>
      <c r="T55" s="56">
        <v>28421</v>
      </c>
      <c r="U55" s="66" t="s">
        <v>796</v>
      </c>
      <c r="V55" s="57"/>
    </row>
    <row r="56" spans="1:22" s="52" customFormat="1" ht="9.75" customHeight="1" x14ac:dyDescent="0.15">
      <c r="A56" s="201" t="s">
        <v>235</v>
      </c>
      <c r="B56" s="645">
        <v>5</v>
      </c>
      <c r="C56" s="581"/>
      <c r="D56" s="206"/>
      <c r="E56" s="59">
        <v>9978300</v>
      </c>
      <c r="F56" s="57">
        <v>9915396</v>
      </c>
      <c r="G56" s="57">
        <v>62904</v>
      </c>
      <c r="H56" s="57">
        <v>7214879</v>
      </c>
      <c r="I56" s="57">
        <v>7204672</v>
      </c>
      <c r="J56" s="57">
        <v>10207</v>
      </c>
      <c r="K56" s="57">
        <v>1829</v>
      </c>
      <c r="L56" s="57">
        <v>1829</v>
      </c>
      <c r="M56" s="57" t="s">
        <v>1029</v>
      </c>
      <c r="N56" s="57" t="s">
        <v>1029</v>
      </c>
      <c r="O56" s="57" t="s">
        <v>1029</v>
      </c>
      <c r="P56" s="57" t="s">
        <v>1029</v>
      </c>
      <c r="Q56" s="57">
        <v>2729265</v>
      </c>
      <c r="R56" s="57">
        <v>2708895</v>
      </c>
      <c r="S56" s="57">
        <v>20370</v>
      </c>
      <c r="T56" s="56">
        <v>32327</v>
      </c>
      <c r="U56" s="66" t="s">
        <v>1032</v>
      </c>
      <c r="V56" s="53"/>
    </row>
    <row r="57" spans="1:22" s="52" customFormat="1" ht="9.75" customHeight="1" x14ac:dyDescent="0.15">
      <c r="A57" s="201"/>
      <c r="B57" s="201"/>
      <c r="C57" s="643"/>
      <c r="D57" s="204"/>
      <c r="E57" s="59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6"/>
      <c r="U57" s="61"/>
      <c r="V57" s="53"/>
    </row>
    <row r="58" spans="1:22" s="52" customFormat="1" ht="9.75" customHeight="1" x14ac:dyDescent="0.15">
      <c r="A58" s="645" t="s">
        <v>790</v>
      </c>
      <c r="B58" s="645" t="s">
        <v>800</v>
      </c>
      <c r="C58" s="645" t="s">
        <v>818</v>
      </c>
      <c r="D58" s="206"/>
      <c r="E58" s="59">
        <v>9893035</v>
      </c>
      <c r="F58" s="57">
        <v>9813595</v>
      </c>
      <c r="G58" s="57">
        <v>79440</v>
      </c>
      <c r="H58" s="57">
        <v>7681019</v>
      </c>
      <c r="I58" s="57">
        <v>7645873</v>
      </c>
      <c r="J58" s="57">
        <v>35146</v>
      </c>
      <c r="K58" s="57">
        <v>3609</v>
      </c>
      <c r="L58" s="57">
        <v>3609</v>
      </c>
      <c r="M58" s="57" t="s">
        <v>1029</v>
      </c>
      <c r="N58" s="57" t="s">
        <v>1029</v>
      </c>
      <c r="O58" s="57" t="s">
        <v>1029</v>
      </c>
      <c r="P58" s="57" t="s">
        <v>1029</v>
      </c>
      <c r="Q58" s="57">
        <v>2179986</v>
      </c>
      <c r="R58" s="57">
        <v>2164113</v>
      </c>
      <c r="S58" s="57">
        <v>15873</v>
      </c>
      <c r="T58" s="56">
        <v>28421</v>
      </c>
      <c r="U58" s="62" t="s">
        <v>801</v>
      </c>
      <c r="V58" s="53"/>
    </row>
    <row r="59" spans="1:22" s="52" customFormat="1" ht="9.75" customHeight="1" x14ac:dyDescent="0.15">
      <c r="A59" s="201" t="s">
        <v>235</v>
      </c>
      <c r="B59" s="201" t="s">
        <v>235</v>
      </c>
      <c r="C59" s="645" t="s">
        <v>819</v>
      </c>
      <c r="D59" s="206"/>
      <c r="E59" s="59">
        <v>12388597</v>
      </c>
      <c r="F59" s="57">
        <v>12322127</v>
      </c>
      <c r="G59" s="57">
        <v>66470</v>
      </c>
      <c r="H59" s="57">
        <v>9382897</v>
      </c>
      <c r="I59" s="57">
        <v>9349754</v>
      </c>
      <c r="J59" s="57">
        <v>33143</v>
      </c>
      <c r="K59" s="57">
        <v>4564</v>
      </c>
      <c r="L59" s="57">
        <v>4564</v>
      </c>
      <c r="M59" s="57" t="s">
        <v>1029</v>
      </c>
      <c r="N59" s="57" t="s">
        <v>1029</v>
      </c>
      <c r="O59" s="57" t="s">
        <v>1029</v>
      </c>
      <c r="P59" s="57" t="s">
        <v>1029</v>
      </c>
      <c r="Q59" s="57">
        <v>2975881</v>
      </c>
      <c r="R59" s="57">
        <v>2967809</v>
      </c>
      <c r="S59" s="57">
        <v>8072</v>
      </c>
      <c r="T59" s="56">
        <v>25255</v>
      </c>
      <c r="U59" s="65" t="s">
        <v>797</v>
      </c>
      <c r="V59" s="53"/>
    </row>
    <row r="60" spans="1:22" s="52" customFormat="1" ht="9.75" customHeight="1" x14ac:dyDescent="0.15">
      <c r="A60" s="201" t="s">
        <v>235</v>
      </c>
      <c r="B60" s="201" t="s">
        <v>235</v>
      </c>
      <c r="C60" s="645" t="s">
        <v>820</v>
      </c>
      <c r="D60" s="206"/>
      <c r="E60" s="59">
        <v>11532226</v>
      </c>
      <c r="F60" s="57">
        <v>11474154</v>
      </c>
      <c r="G60" s="57">
        <v>58072</v>
      </c>
      <c r="H60" s="57">
        <v>8460105</v>
      </c>
      <c r="I60" s="57">
        <v>8442459</v>
      </c>
      <c r="J60" s="57">
        <v>17646</v>
      </c>
      <c r="K60" s="57">
        <v>3904</v>
      </c>
      <c r="L60" s="57">
        <v>3904</v>
      </c>
      <c r="M60" s="57" t="s">
        <v>1029</v>
      </c>
      <c r="N60" s="57" t="s">
        <v>1029</v>
      </c>
      <c r="O60" s="57" t="s">
        <v>1029</v>
      </c>
      <c r="P60" s="57" t="s">
        <v>1029</v>
      </c>
      <c r="Q60" s="57">
        <v>3041095</v>
      </c>
      <c r="R60" s="57">
        <v>3027791</v>
      </c>
      <c r="S60" s="57">
        <v>13304</v>
      </c>
      <c r="T60" s="56">
        <v>27122</v>
      </c>
      <c r="U60" s="64" t="s">
        <v>798</v>
      </c>
      <c r="V60" s="53"/>
    </row>
    <row r="61" spans="1:22" s="52" customFormat="1" ht="9.75" customHeight="1" x14ac:dyDescent="0.15">
      <c r="A61" s="201" t="s">
        <v>235</v>
      </c>
      <c r="B61" s="201" t="s">
        <v>235</v>
      </c>
      <c r="C61" s="645" t="s">
        <v>821</v>
      </c>
      <c r="D61" s="206"/>
      <c r="E61" s="59">
        <v>11404745</v>
      </c>
      <c r="F61" s="57">
        <v>11343754</v>
      </c>
      <c r="G61" s="57">
        <v>60991</v>
      </c>
      <c r="H61" s="57">
        <v>8517062</v>
      </c>
      <c r="I61" s="57">
        <v>8505071</v>
      </c>
      <c r="J61" s="57">
        <v>11991</v>
      </c>
      <c r="K61" s="57">
        <v>6525</v>
      </c>
      <c r="L61" s="57">
        <v>6525</v>
      </c>
      <c r="M61" s="57" t="s">
        <v>1029</v>
      </c>
      <c r="N61" s="57" t="s">
        <v>1029</v>
      </c>
      <c r="O61" s="57" t="s">
        <v>1029</v>
      </c>
      <c r="P61" s="57" t="s">
        <v>1029</v>
      </c>
      <c r="Q61" s="57">
        <v>2850984</v>
      </c>
      <c r="R61" s="57">
        <v>2832158</v>
      </c>
      <c r="S61" s="57">
        <v>18826</v>
      </c>
      <c r="T61" s="56">
        <v>30174</v>
      </c>
      <c r="U61" s="63" t="s">
        <v>799</v>
      </c>
      <c r="V61" s="53"/>
    </row>
    <row r="62" spans="1:22" s="52" customFormat="1" ht="9.75" customHeight="1" x14ac:dyDescent="0.15">
      <c r="A62" s="645" t="s">
        <v>790</v>
      </c>
      <c r="B62" s="645" t="s">
        <v>1033</v>
      </c>
      <c r="C62" s="645" t="s">
        <v>1036</v>
      </c>
      <c r="D62" s="206"/>
      <c r="E62" s="59">
        <v>9978300</v>
      </c>
      <c r="F62" s="57">
        <v>9915396</v>
      </c>
      <c r="G62" s="57">
        <v>62904</v>
      </c>
      <c r="H62" s="57">
        <v>7214879</v>
      </c>
      <c r="I62" s="57">
        <v>7204672</v>
      </c>
      <c r="J62" s="57">
        <v>10207</v>
      </c>
      <c r="K62" s="57">
        <v>1829</v>
      </c>
      <c r="L62" s="57">
        <v>1829</v>
      </c>
      <c r="M62" s="57" t="s">
        <v>1029</v>
      </c>
      <c r="N62" s="57" t="s">
        <v>1029</v>
      </c>
      <c r="O62" s="57" t="s">
        <v>1029</v>
      </c>
      <c r="P62" s="57" t="s">
        <v>1029</v>
      </c>
      <c r="Q62" s="57">
        <v>2729265</v>
      </c>
      <c r="R62" s="57">
        <v>2708895</v>
      </c>
      <c r="S62" s="57">
        <v>20370</v>
      </c>
      <c r="T62" s="56">
        <v>32327</v>
      </c>
      <c r="U62" s="62" t="s">
        <v>1034</v>
      </c>
      <c r="V62" s="53"/>
    </row>
    <row r="63" spans="1:22" s="52" customFormat="1" ht="9.75" customHeight="1" x14ac:dyDescent="0.15">
      <c r="A63" s="201"/>
      <c r="B63" s="201"/>
      <c r="C63" s="643"/>
      <c r="D63" s="204"/>
      <c r="E63" s="59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6"/>
      <c r="U63" s="61"/>
      <c r="V63" s="53"/>
    </row>
    <row r="64" spans="1:22" s="52" customFormat="1" ht="9.75" customHeight="1" x14ac:dyDescent="0.15">
      <c r="A64" s="645" t="s">
        <v>790</v>
      </c>
      <c r="B64" s="645" t="s">
        <v>800</v>
      </c>
      <c r="C64" s="201" t="s">
        <v>822</v>
      </c>
      <c r="D64" s="200"/>
      <c r="E64" s="59">
        <v>10714752</v>
      </c>
      <c r="F64" s="57">
        <v>10636296</v>
      </c>
      <c r="G64" s="57">
        <v>78456</v>
      </c>
      <c r="H64" s="57">
        <v>8308833</v>
      </c>
      <c r="I64" s="57">
        <v>8284050</v>
      </c>
      <c r="J64" s="57">
        <v>24783</v>
      </c>
      <c r="K64" s="57">
        <v>6134</v>
      </c>
      <c r="L64" s="57">
        <v>6134</v>
      </c>
      <c r="M64" s="57" t="s">
        <v>1029</v>
      </c>
      <c r="N64" s="57" t="s">
        <v>1029</v>
      </c>
      <c r="O64" s="57" t="s">
        <v>1029</v>
      </c>
      <c r="P64" s="57" t="s">
        <v>1029</v>
      </c>
      <c r="Q64" s="58">
        <v>2364082</v>
      </c>
      <c r="R64" s="58">
        <v>2346112</v>
      </c>
      <c r="S64" s="57">
        <v>17970</v>
      </c>
      <c r="T64" s="56">
        <v>35703</v>
      </c>
      <c r="U64" s="60" t="s">
        <v>816</v>
      </c>
      <c r="V64" s="53"/>
    </row>
    <row r="65" spans="1:22" s="52" customFormat="1" ht="9.75" customHeight="1" x14ac:dyDescent="0.15">
      <c r="A65" s="201" t="s">
        <v>235</v>
      </c>
      <c r="B65" s="201" t="s">
        <v>235</v>
      </c>
      <c r="C65" s="201" t="s">
        <v>823</v>
      </c>
      <c r="D65" s="200"/>
      <c r="E65" s="59">
        <v>10476142</v>
      </c>
      <c r="F65" s="57">
        <v>10395331</v>
      </c>
      <c r="G65" s="57">
        <v>80811</v>
      </c>
      <c r="H65" s="57">
        <v>7727631</v>
      </c>
      <c r="I65" s="57">
        <v>7696716</v>
      </c>
      <c r="J65" s="57">
        <v>30915</v>
      </c>
      <c r="K65" s="57">
        <v>3451</v>
      </c>
      <c r="L65" s="57">
        <v>3451</v>
      </c>
      <c r="M65" s="57" t="s">
        <v>1029</v>
      </c>
      <c r="N65" s="57" t="s">
        <v>1029</v>
      </c>
      <c r="O65" s="57" t="s">
        <v>1029</v>
      </c>
      <c r="P65" s="57" t="s">
        <v>1029</v>
      </c>
      <c r="Q65" s="58">
        <v>2716248</v>
      </c>
      <c r="R65" s="58">
        <v>2695164</v>
      </c>
      <c r="S65" s="57">
        <v>21084</v>
      </c>
      <c r="T65" s="56">
        <v>28812</v>
      </c>
      <c r="U65" s="55" t="s">
        <v>802</v>
      </c>
      <c r="V65" s="53"/>
    </row>
    <row r="66" spans="1:22" s="52" customFormat="1" ht="9.75" customHeight="1" x14ac:dyDescent="0.15">
      <c r="A66" s="201" t="s">
        <v>235</v>
      </c>
      <c r="B66" s="201" t="s">
        <v>235</v>
      </c>
      <c r="C66" s="201" t="s">
        <v>669</v>
      </c>
      <c r="D66" s="200"/>
      <c r="E66" s="59">
        <v>9893035</v>
      </c>
      <c r="F66" s="57">
        <v>9813595</v>
      </c>
      <c r="G66" s="57">
        <v>79440</v>
      </c>
      <c r="H66" s="57">
        <v>7681019</v>
      </c>
      <c r="I66" s="57">
        <v>7645873</v>
      </c>
      <c r="J66" s="57">
        <v>35146</v>
      </c>
      <c r="K66" s="57">
        <v>3609</v>
      </c>
      <c r="L66" s="57">
        <v>3609</v>
      </c>
      <c r="M66" s="57" t="s">
        <v>1029</v>
      </c>
      <c r="N66" s="57" t="s">
        <v>1029</v>
      </c>
      <c r="O66" s="57" t="s">
        <v>1029</v>
      </c>
      <c r="P66" s="57" t="s">
        <v>1029</v>
      </c>
      <c r="Q66" s="58">
        <v>2179986</v>
      </c>
      <c r="R66" s="58">
        <v>2164113</v>
      </c>
      <c r="S66" s="57">
        <v>15873</v>
      </c>
      <c r="T66" s="56">
        <v>28421</v>
      </c>
      <c r="U66" s="55" t="s">
        <v>803</v>
      </c>
      <c r="V66" s="53"/>
    </row>
    <row r="67" spans="1:22" s="52" customFormat="1" ht="9.75" customHeight="1" x14ac:dyDescent="0.15">
      <c r="A67" s="201" t="s">
        <v>235</v>
      </c>
      <c r="B67" s="201" t="s">
        <v>235</v>
      </c>
      <c r="C67" s="201" t="s">
        <v>670</v>
      </c>
      <c r="D67" s="200"/>
      <c r="E67" s="59">
        <v>11153844</v>
      </c>
      <c r="F67" s="57">
        <v>11081825</v>
      </c>
      <c r="G67" s="57">
        <v>72019</v>
      </c>
      <c r="H67" s="57">
        <v>8435461</v>
      </c>
      <c r="I67" s="57">
        <v>8407264</v>
      </c>
      <c r="J67" s="57">
        <v>28197</v>
      </c>
      <c r="K67" s="57">
        <v>5046</v>
      </c>
      <c r="L67" s="57">
        <v>5046</v>
      </c>
      <c r="M67" s="57" t="s">
        <v>1029</v>
      </c>
      <c r="N67" s="57" t="s">
        <v>1029</v>
      </c>
      <c r="O67" s="57" t="s">
        <v>1029</v>
      </c>
      <c r="P67" s="57" t="s">
        <v>1029</v>
      </c>
      <c r="Q67" s="58">
        <v>2683340</v>
      </c>
      <c r="R67" s="58">
        <v>2669515</v>
      </c>
      <c r="S67" s="57">
        <v>13825</v>
      </c>
      <c r="T67" s="56">
        <v>29997</v>
      </c>
      <c r="U67" s="55" t="s">
        <v>804</v>
      </c>
      <c r="V67" s="53"/>
    </row>
    <row r="68" spans="1:22" s="52" customFormat="1" ht="9.75" customHeight="1" x14ac:dyDescent="0.15">
      <c r="A68" s="201" t="s">
        <v>235</v>
      </c>
      <c r="B68" s="201" t="s">
        <v>235</v>
      </c>
      <c r="C68" s="201" t="s">
        <v>671</v>
      </c>
      <c r="D68" s="200"/>
      <c r="E68" s="59">
        <v>11831952</v>
      </c>
      <c r="F68" s="57">
        <v>11753996</v>
      </c>
      <c r="G68" s="57">
        <v>77956</v>
      </c>
      <c r="H68" s="57">
        <v>8697857</v>
      </c>
      <c r="I68" s="57">
        <v>8661381</v>
      </c>
      <c r="J68" s="57">
        <v>36476</v>
      </c>
      <c r="K68" s="57">
        <v>5872</v>
      </c>
      <c r="L68" s="57">
        <v>5872</v>
      </c>
      <c r="M68" s="57" t="s">
        <v>1029</v>
      </c>
      <c r="N68" s="57" t="s">
        <v>1029</v>
      </c>
      <c r="O68" s="57" t="s">
        <v>1029</v>
      </c>
      <c r="P68" s="57" t="s">
        <v>1029</v>
      </c>
      <c r="Q68" s="58">
        <v>3097968</v>
      </c>
      <c r="R68" s="58">
        <v>3086743</v>
      </c>
      <c r="S68" s="57">
        <v>11225</v>
      </c>
      <c r="T68" s="56">
        <v>30255</v>
      </c>
      <c r="U68" s="55" t="s">
        <v>805</v>
      </c>
      <c r="V68" s="53"/>
    </row>
    <row r="69" spans="1:22" s="52" customFormat="1" ht="9.75" customHeight="1" x14ac:dyDescent="0.15">
      <c r="A69" s="201" t="s">
        <v>235</v>
      </c>
      <c r="B69" s="201" t="s">
        <v>235</v>
      </c>
      <c r="C69" s="201" t="s">
        <v>672</v>
      </c>
      <c r="D69" s="200"/>
      <c r="E69" s="59">
        <v>12388597</v>
      </c>
      <c r="F69" s="57">
        <v>12322127</v>
      </c>
      <c r="G69" s="57">
        <v>66470</v>
      </c>
      <c r="H69" s="57">
        <v>9382897</v>
      </c>
      <c r="I69" s="57">
        <v>9349754</v>
      </c>
      <c r="J69" s="57">
        <v>33143</v>
      </c>
      <c r="K69" s="57">
        <v>4564</v>
      </c>
      <c r="L69" s="57">
        <v>4564</v>
      </c>
      <c r="M69" s="57" t="s">
        <v>1029</v>
      </c>
      <c r="N69" s="57" t="s">
        <v>1029</v>
      </c>
      <c r="O69" s="57" t="s">
        <v>1029</v>
      </c>
      <c r="P69" s="57" t="s">
        <v>1029</v>
      </c>
      <c r="Q69" s="58">
        <v>2975881</v>
      </c>
      <c r="R69" s="58">
        <v>2967809</v>
      </c>
      <c r="S69" s="57">
        <v>8072</v>
      </c>
      <c r="T69" s="56">
        <v>25255</v>
      </c>
      <c r="U69" s="55" t="s">
        <v>806</v>
      </c>
      <c r="V69" s="53"/>
    </row>
    <row r="70" spans="1:22" s="52" customFormat="1" ht="9.75" customHeight="1" x14ac:dyDescent="0.15">
      <c r="A70" s="201" t="s">
        <v>235</v>
      </c>
      <c r="B70" s="201" t="s">
        <v>235</v>
      </c>
      <c r="C70" s="201" t="s">
        <v>673</v>
      </c>
      <c r="D70" s="200"/>
      <c r="E70" s="59">
        <v>12347748</v>
      </c>
      <c r="F70" s="57">
        <v>12285842</v>
      </c>
      <c r="G70" s="57">
        <v>61906</v>
      </c>
      <c r="H70" s="57">
        <v>9450017</v>
      </c>
      <c r="I70" s="57">
        <v>9427680</v>
      </c>
      <c r="J70" s="57">
        <v>22337</v>
      </c>
      <c r="K70" s="57">
        <v>4963</v>
      </c>
      <c r="L70" s="57">
        <v>4963</v>
      </c>
      <c r="M70" s="57" t="s">
        <v>1029</v>
      </c>
      <c r="N70" s="57" t="s">
        <v>1029</v>
      </c>
      <c r="O70" s="57" t="s">
        <v>1029</v>
      </c>
      <c r="P70" s="57" t="s">
        <v>1029</v>
      </c>
      <c r="Q70" s="58">
        <v>2865114</v>
      </c>
      <c r="R70" s="58">
        <v>2853199</v>
      </c>
      <c r="S70" s="57">
        <v>11915</v>
      </c>
      <c r="T70" s="56">
        <v>27654</v>
      </c>
      <c r="U70" s="55" t="s">
        <v>807</v>
      </c>
      <c r="V70" s="53"/>
    </row>
    <row r="71" spans="1:22" s="52" customFormat="1" ht="9.75" customHeight="1" x14ac:dyDescent="0.15">
      <c r="A71" s="201" t="s">
        <v>235</v>
      </c>
      <c r="B71" s="201" t="s">
        <v>235</v>
      </c>
      <c r="C71" s="201" t="s">
        <v>674</v>
      </c>
      <c r="D71" s="200"/>
      <c r="E71" s="59">
        <v>11119224</v>
      </c>
      <c r="F71" s="57">
        <v>11056112</v>
      </c>
      <c r="G71" s="57">
        <v>63112</v>
      </c>
      <c r="H71" s="57">
        <v>8015044</v>
      </c>
      <c r="I71" s="57">
        <v>7995224</v>
      </c>
      <c r="J71" s="57">
        <v>19820</v>
      </c>
      <c r="K71" s="57">
        <v>4009</v>
      </c>
      <c r="L71" s="57">
        <v>4009</v>
      </c>
      <c r="M71" s="57" t="s">
        <v>1029</v>
      </c>
      <c r="N71" s="57" t="s">
        <v>1029</v>
      </c>
      <c r="O71" s="57" t="s">
        <v>1029</v>
      </c>
      <c r="P71" s="57" t="s">
        <v>1029</v>
      </c>
      <c r="Q71" s="58">
        <v>3070329</v>
      </c>
      <c r="R71" s="58">
        <v>3056879</v>
      </c>
      <c r="S71" s="57">
        <v>13450</v>
      </c>
      <c r="T71" s="56">
        <v>29842</v>
      </c>
      <c r="U71" s="55" t="s">
        <v>808</v>
      </c>
      <c r="V71" s="53"/>
    </row>
    <row r="72" spans="1:22" s="52" customFormat="1" ht="9.75" customHeight="1" x14ac:dyDescent="0.15">
      <c r="A72" s="201" t="s">
        <v>235</v>
      </c>
      <c r="B72" s="201" t="s">
        <v>235</v>
      </c>
      <c r="C72" s="201" t="s">
        <v>675</v>
      </c>
      <c r="D72" s="200"/>
      <c r="E72" s="59">
        <v>11532226</v>
      </c>
      <c r="F72" s="57">
        <v>11474154</v>
      </c>
      <c r="G72" s="57">
        <v>58072</v>
      </c>
      <c r="H72" s="57">
        <v>8460105</v>
      </c>
      <c r="I72" s="57">
        <v>8442459</v>
      </c>
      <c r="J72" s="57">
        <v>17646</v>
      </c>
      <c r="K72" s="57">
        <v>3904</v>
      </c>
      <c r="L72" s="57">
        <v>3904</v>
      </c>
      <c r="M72" s="57" t="s">
        <v>1029</v>
      </c>
      <c r="N72" s="57" t="s">
        <v>1029</v>
      </c>
      <c r="O72" s="57" t="s">
        <v>1029</v>
      </c>
      <c r="P72" s="57" t="s">
        <v>1029</v>
      </c>
      <c r="Q72" s="58">
        <v>3041095</v>
      </c>
      <c r="R72" s="58">
        <v>3027791</v>
      </c>
      <c r="S72" s="57">
        <v>13304</v>
      </c>
      <c r="T72" s="56">
        <v>27122</v>
      </c>
      <c r="U72" s="55" t="s">
        <v>809</v>
      </c>
      <c r="V72" s="53"/>
    </row>
    <row r="73" spans="1:22" s="52" customFormat="1" ht="9.75" customHeight="1" x14ac:dyDescent="0.15">
      <c r="A73" s="201" t="s">
        <v>235</v>
      </c>
      <c r="B73" s="201" t="s">
        <v>235</v>
      </c>
      <c r="C73" s="201" t="s">
        <v>824</v>
      </c>
      <c r="D73" s="200"/>
      <c r="E73" s="59">
        <v>10911732</v>
      </c>
      <c r="F73" s="57">
        <v>10846857</v>
      </c>
      <c r="G73" s="57">
        <v>64875</v>
      </c>
      <c r="H73" s="57">
        <v>8215662</v>
      </c>
      <c r="I73" s="57">
        <v>8188522</v>
      </c>
      <c r="J73" s="57">
        <v>27140</v>
      </c>
      <c r="K73" s="57">
        <v>3728</v>
      </c>
      <c r="L73" s="57">
        <v>3728</v>
      </c>
      <c r="M73" s="57" t="s">
        <v>1029</v>
      </c>
      <c r="N73" s="57" t="s">
        <v>1029</v>
      </c>
      <c r="O73" s="57" t="s">
        <v>1029</v>
      </c>
      <c r="P73" s="57" t="s">
        <v>1029</v>
      </c>
      <c r="Q73" s="58">
        <v>2663330</v>
      </c>
      <c r="R73" s="58">
        <v>2654607</v>
      </c>
      <c r="S73" s="57">
        <v>8723</v>
      </c>
      <c r="T73" s="56">
        <v>29012</v>
      </c>
      <c r="U73" s="55" t="s">
        <v>811</v>
      </c>
      <c r="V73" s="53"/>
    </row>
    <row r="74" spans="1:22" s="52" customFormat="1" ht="9.75" customHeight="1" x14ac:dyDescent="0.15">
      <c r="A74" s="201" t="s">
        <v>235</v>
      </c>
      <c r="B74" s="201" t="s">
        <v>235</v>
      </c>
      <c r="C74" s="201" t="s">
        <v>825</v>
      </c>
      <c r="D74" s="200"/>
      <c r="E74" s="59">
        <v>11534592</v>
      </c>
      <c r="F74" s="57">
        <v>11479378</v>
      </c>
      <c r="G74" s="57">
        <v>55214</v>
      </c>
      <c r="H74" s="57">
        <v>8395726</v>
      </c>
      <c r="I74" s="57">
        <v>8385406</v>
      </c>
      <c r="J74" s="57">
        <v>10320</v>
      </c>
      <c r="K74" s="57">
        <v>3641</v>
      </c>
      <c r="L74" s="57">
        <v>3641</v>
      </c>
      <c r="M74" s="57" t="s">
        <v>1029</v>
      </c>
      <c r="N74" s="57" t="s">
        <v>1029</v>
      </c>
      <c r="O74" s="57" t="s">
        <v>1029</v>
      </c>
      <c r="P74" s="57" t="s">
        <v>1029</v>
      </c>
      <c r="Q74" s="58">
        <v>3105199</v>
      </c>
      <c r="R74" s="58">
        <v>3090331</v>
      </c>
      <c r="S74" s="57">
        <v>14868</v>
      </c>
      <c r="T74" s="56">
        <v>30026</v>
      </c>
      <c r="U74" s="55" t="s">
        <v>813</v>
      </c>
      <c r="V74" s="53"/>
    </row>
    <row r="75" spans="1:22" s="52" customFormat="1" ht="9.75" customHeight="1" x14ac:dyDescent="0.15">
      <c r="A75" s="201" t="s">
        <v>235</v>
      </c>
      <c r="B75" s="201" t="s">
        <v>235</v>
      </c>
      <c r="C75" s="201" t="s">
        <v>826</v>
      </c>
      <c r="D75" s="200"/>
      <c r="E75" s="59">
        <v>11404745</v>
      </c>
      <c r="F75" s="57">
        <v>11343754</v>
      </c>
      <c r="G75" s="57">
        <v>60991</v>
      </c>
      <c r="H75" s="57">
        <v>8517062</v>
      </c>
      <c r="I75" s="57">
        <v>8505071</v>
      </c>
      <c r="J75" s="57">
        <v>11991</v>
      </c>
      <c r="K75" s="57">
        <v>6525</v>
      </c>
      <c r="L75" s="57">
        <v>6525</v>
      </c>
      <c r="M75" s="57" t="s">
        <v>1029</v>
      </c>
      <c r="N75" s="57" t="s">
        <v>1029</v>
      </c>
      <c r="O75" s="57" t="s">
        <v>1029</v>
      </c>
      <c r="P75" s="57" t="s">
        <v>1029</v>
      </c>
      <c r="Q75" s="58">
        <v>2850984</v>
      </c>
      <c r="R75" s="58">
        <v>2832158</v>
      </c>
      <c r="S75" s="57">
        <v>18826</v>
      </c>
      <c r="T75" s="56">
        <v>30174</v>
      </c>
      <c r="U75" s="55" t="s">
        <v>815</v>
      </c>
      <c r="V75" s="53"/>
    </row>
    <row r="76" spans="1:22" s="52" customFormat="1" ht="9.75" customHeight="1" x14ac:dyDescent="0.15">
      <c r="A76" s="645" t="s">
        <v>790</v>
      </c>
      <c r="B76" s="645" t="s">
        <v>1033</v>
      </c>
      <c r="C76" s="201" t="s">
        <v>1037</v>
      </c>
      <c r="D76" s="200"/>
      <c r="E76" s="59">
        <v>10600600</v>
      </c>
      <c r="F76" s="57">
        <v>10526156</v>
      </c>
      <c r="G76" s="57">
        <v>74444</v>
      </c>
      <c r="H76" s="57">
        <v>7720243</v>
      </c>
      <c r="I76" s="57">
        <v>7701790</v>
      </c>
      <c r="J76" s="57">
        <v>18453</v>
      </c>
      <c r="K76" s="57">
        <v>5788</v>
      </c>
      <c r="L76" s="57">
        <v>5788</v>
      </c>
      <c r="M76" s="57" t="s">
        <v>1029</v>
      </c>
      <c r="N76" s="57" t="s">
        <v>1029</v>
      </c>
      <c r="O76" s="57" t="s">
        <v>1029</v>
      </c>
      <c r="P76" s="57" t="s">
        <v>1029</v>
      </c>
      <c r="Q76" s="58">
        <v>2844812</v>
      </c>
      <c r="R76" s="58">
        <v>2818578</v>
      </c>
      <c r="S76" s="57">
        <v>26234</v>
      </c>
      <c r="T76" s="56">
        <v>29757</v>
      </c>
      <c r="U76" s="60" t="s">
        <v>1035</v>
      </c>
      <c r="V76" s="53"/>
    </row>
    <row r="77" spans="1:22" s="52" customFormat="1" ht="9.75" customHeight="1" x14ac:dyDescent="0.15">
      <c r="A77" s="201" t="s">
        <v>235</v>
      </c>
      <c r="B77" s="201" t="s">
        <v>235</v>
      </c>
      <c r="C77" s="201" t="s">
        <v>823</v>
      </c>
      <c r="D77" s="200"/>
      <c r="E77" s="59">
        <v>10518649</v>
      </c>
      <c r="F77" s="57">
        <v>10451601</v>
      </c>
      <c r="G77" s="57">
        <v>67048</v>
      </c>
      <c r="H77" s="57">
        <v>7926515</v>
      </c>
      <c r="I77" s="57">
        <v>7912101</v>
      </c>
      <c r="J77" s="57">
        <v>14414</v>
      </c>
      <c r="K77" s="57">
        <v>5131</v>
      </c>
      <c r="L77" s="57">
        <v>5131</v>
      </c>
      <c r="M77" s="57" t="s">
        <v>1029</v>
      </c>
      <c r="N77" s="57" t="s">
        <v>1029</v>
      </c>
      <c r="O77" s="57" t="s">
        <v>1029</v>
      </c>
      <c r="P77" s="57" t="s">
        <v>1029</v>
      </c>
      <c r="Q77" s="58">
        <v>2552941</v>
      </c>
      <c r="R77" s="58">
        <v>2534369</v>
      </c>
      <c r="S77" s="57">
        <v>18572</v>
      </c>
      <c r="T77" s="56">
        <v>34062</v>
      </c>
      <c r="U77" s="55" t="s">
        <v>802</v>
      </c>
      <c r="V77" s="53"/>
    </row>
    <row r="78" spans="1:22" s="52" customFormat="1" ht="9.75" customHeight="1" x14ac:dyDescent="0.15">
      <c r="A78" s="761" t="s">
        <v>235</v>
      </c>
      <c r="B78" s="761" t="s">
        <v>235</v>
      </c>
      <c r="C78" s="762" t="s">
        <v>669</v>
      </c>
      <c r="D78" s="763"/>
      <c r="E78" s="773">
        <v>9978300</v>
      </c>
      <c r="F78" s="774">
        <v>9915396</v>
      </c>
      <c r="G78" s="774">
        <v>62904</v>
      </c>
      <c r="H78" s="774">
        <v>7214879</v>
      </c>
      <c r="I78" s="774">
        <v>7204672</v>
      </c>
      <c r="J78" s="774">
        <v>10207</v>
      </c>
      <c r="K78" s="774">
        <v>1829</v>
      </c>
      <c r="L78" s="774">
        <v>1829</v>
      </c>
      <c r="M78" s="774" t="s">
        <v>1029</v>
      </c>
      <c r="N78" s="774" t="s">
        <v>1029</v>
      </c>
      <c r="O78" s="774" t="s">
        <v>1029</v>
      </c>
      <c r="P78" s="774" t="s">
        <v>1029</v>
      </c>
      <c r="Q78" s="774">
        <v>2729265</v>
      </c>
      <c r="R78" s="774">
        <v>2708895</v>
      </c>
      <c r="S78" s="774">
        <v>20370</v>
      </c>
      <c r="T78" s="775">
        <v>32327</v>
      </c>
      <c r="U78" s="766" t="s">
        <v>803</v>
      </c>
      <c r="V78" s="53"/>
    </row>
    <row r="79" spans="1:22" s="52" customFormat="1" ht="9.9499999999999993" customHeight="1" x14ac:dyDescent="0.15">
      <c r="N79" s="776"/>
      <c r="O79" s="776"/>
      <c r="P79" s="776"/>
    </row>
    <row r="80" spans="1:22" s="51" customFormat="1" ht="11.45" customHeight="1" x14ac:dyDescent="0.15"/>
    <row r="81" s="51" customFormat="1" ht="11.45" customHeight="1" x14ac:dyDescent="0.15"/>
    <row r="82" s="51" customFormat="1" ht="11.45" customHeight="1" x14ac:dyDescent="0.15"/>
    <row r="83" s="51" customFormat="1" ht="11.45" customHeight="1" x14ac:dyDescent="0.15"/>
    <row r="84" s="51" customFormat="1" ht="11.45" customHeight="1" x14ac:dyDescent="0.15"/>
    <row r="85" s="51" customFormat="1" ht="11.45" customHeight="1" x14ac:dyDescent="0.15"/>
    <row r="86" s="51" customFormat="1" ht="11.45" customHeight="1" x14ac:dyDescent="0.15"/>
    <row r="87" s="51" customFormat="1" ht="11.45" customHeight="1" x14ac:dyDescent="0.15"/>
    <row r="88" s="51" customFormat="1" ht="11.45" customHeight="1" x14ac:dyDescent="0.15"/>
    <row r="89" s="51" customFormat="1" ht="11.45" customHeight="1" x14ac:dyDescent="0.15"/>
    <row r="90" s="51" customFormat="1" ht="11.45" customHeight="1" x14ac:dyDescent="0.15"/>
    <row r="91" s="51" customFormat="1" ht="11.45" customHeight="1" x14ac:dyDescent="0.15"/>
    <row r="92" ht="11.45" customHeight="1" x14ac:dyDescent="0.15"/>
    <row r="93" ht="11.45" customHeight="1" x14ac:dyDescent="0.15"/>
    <row r="94" ht="11.45" customHeight="1" x14ac:dyDescent="0.15"/>
    <row r="95" ht="11.45" customHeight="1" x14ac:dyDescent="0.15"/>
    <row r="96" ht="11.45" customHeight="1" x14ac:dyDescent="0.15"/>
    <row r="97" ht="11.45" customHeight="1" x14ac:dyDescent="0.15"/>
    <row r="98" ht="11.45" customHeight="1" x14ac:dyDescent="0.15"/>
    <row r="99" ht="11.45" customHeight="1" x14ac:dyDescent="0.15"/>
    <row r="100" ht="11.45" customHeight="1" x14ac:dyDescent="0.15"/>
    <row r="101" ht="11.45" customHeight="1" x14ac:dyDescent="0.15"/>
    <row r="102" ht="11.45" customHeight="1" x14ac:dyDescent="0.15"/>
    <row r="103" ht="11.45" customHeight="1" x14ac:dyDescent="0.15"/>
    <row r="104" ht="11.45" customHeight="1" x14ac:dyDescent="0.15"/>
    <row r="105" ht="11.45" customHeight="1" x14ac:dyDescent="0.15"/>
    <row r="106" ht="11.45" customHeight="1" x14ac:dyDescent="0.15"/>
    <row r="107" ht="11.45" customHeight="1" x14ac:dyDescent="0.15"/>
    <row r="108" ht="11.45" customHeight="1" x14ac:dyDescent="0.15"/>
    <row r="109" ht="11.45" customHeight="1" x14ac:dyDescent="0.15"/>
    <row r="110" ht="12.95" customHeight="1" x14ac:dyDescent="0.15"/>
    <row r="111" ht="12.95" customHeight="1" x14ac:dyDescent="0.15"/>
    <row r="112" ht="12.95" customHeight="1" x14ac:dyDescent="0.15"/>
    <row r="113" ht="12.95" customHeight="1" x14ac:dyDescent="0.15"/>
    <row r="114" ht="12.95" customHeight="1" x14ac:dyDescent="0.15"/>
    <row r="115" ht="12.95" customHeight="1" x14ac:dyDescent="0.15"/>
    <row r="116" ht="12.9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</sheetData>
  <mergeCells count="32">
    <mergeCell ref="F8:F9"/>
    <mergeCell ref="G8:G9"/>
    <mergeCell ref="I8:I9"/>
    <mergeCell ref="J8:J9"/>
    <mergeCell ref="L8:L9"/>
    <mergeCell ref="M8:M9"/>
    <mergeCell ref="O8:O9"/>
    <mergeCell ref="P8:P9"/>
    <mergeCell ref="A43:D48"/>
    <mergeCell ref="F43:R43"/>
    <mergeCell ref="M47:M48"/>
    <mergeCell ref="O47:O48"/>
    <mergeCell ref="P47:P48"/>
    <mergeCell ref="R47:R48"/>
    <mergeCell ref="A4:D9"/>
    <mergeCell ref="F4:P4"/>
    <mergeCell ref="Q4:Q8"/>
    <mergeCell ref="K7:K8"/>
    <mergeCell ref="N7:N8"/>
    <mergeCell ref="E8:E9"/>
    <mergeCell ref="E47:E48"/>
    <mergeCell ref="F47:F48"/>
    <mergeCell ref="G47:G48"/>
    <mergeCell ref="I47:I48"/>
    <mergeCell ref="J47:J48"/>
    <mergeCell ref="S47:S48"/>
    <mergeCell ref="T47:T48"/>
    <mergeCell ref="U43:U47"/>
    <mergeCell ref="K46:K47"/>
    <mergeCell ref="N46:N47"/>
    <mergeCell ref="Q46:Q47"/>
    <mergeCell ref="L47:L48"/>
  </mergeCells>
  <phoneticPr fontId="33"/>
  <pageMargins left="0.59055118110236227" right="0.59055118110236227" top="0.59055118110236227" bottom="0.59055118110236227" header="0.59055118110236227" footer="0.15748031496062992"/>
  <pageSetup paperSize="9" fitToHeight="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8"/>
  <sheetViews>
    <sheetView view="pageBreakPreview" zoomScaleNormal="50" zoomScaleSheetLayoutView="100" workbookViewId="0"/>
  </sheetViews>
  <sheetFormatPr defaultRowHeight="17.25" x14ac:dyDescent="0.2"/>
  <cols>
    <col min="1" max="1" width="2.625" style="97" customWidth="1"/>
    <col min="2" max="2" width="12.375" style="97" customWidth="1"/>
    <col min="3" max="3" width="9.75" style="97" customWidth="1"/>
    <col min="4" max="4" width="8.625" style="97" customWidth="1"/>
    <col min="5" max="18" width="8.375" style="97" customWidth="1"/>
    <col min="19" max="19" width="18.625" style="509" customWidth="1"/>
    <col min="20" max="20" width="12.125" style="98" customWidth="1"/>
    <col min="21" max="16384" width="9" style="97"/>
  </cols>
  <sheetData>
    <row r="1" spans="1:20" s="478" customFormat="1" ht="17.25" customHeight="1" x14ac:dyDescent="0.15">
      <c r="A1" s="476"/>
      <c r="B1" s="476" t="s">
        <v>228</v>
      </c>
      <c r="C1" s="477"/>
      <c r="D1" s="96"/>
      <c r="E1" s="96"/>
      <c r="F1" s="96"/>
      <c r="G1" s="96"/>
      <c r="H1" s="96"/>
      <c r="I1" s="476"/>
      <c r="J1" s="476"/>
      <c r="K1" s="96"/>
      <c r="L1" s="562"/>
      <c r="M1" s="562"/>
      <c r="N1" s="562"/>
      <c r="O1" s="562"/>
      <c r="P1" s="562"/>
      <c r="Q1" s="562"/>
      <c r="T1" s="562"/>
    </row>
    <row r="2" spans="1:20" s="480" customFormat="1" ht="17.25" customHeight="1" x14ac:dyDescent="0.15">
      <c r="A2" s="96"/>
      <c r="B2" s="476" t="s">
        <v>499</v>
      </c>
      <c r="C2" s="477"/>
      <c r="D2" s="96"/>
      <c r="E2" s="96"/>
      <c r="F2" s="96"/>
      <c r="G2" s="476"/>
      <c r="H2" s="476"/>
      <c r="I2" s="476"/>
      <c r="J2" s="476"/>
      <c r="K2" s="96"/>
      <c r="L2" s="479"/>
      <c r="M2" s="479"/>
      <c r="N2" s="479"/>
      <c r="O2" s="479"/>
      <c r="T2" s="479"/>
    </row>
    <row r="3" spans="1:20" s="50" customFormat="1" ht="17.25" customHeight="1" x14ac:dyDescent="0.15">
      <c r="A3" s="96"/>
      <c r="B3" s="777" t="s">
        <v>1038</v>
      </c>
      <c r="C3" s="778"/>
      <c r="D3" s="743"/>
      <c r="E3" s="743"/>
      <c r="F3" s="743"/>
      <c r="G3" s="743"/>
      <c r="H3" s="743"/>
      <c r="I3" s="743"/>
      <c r="J3" s="743"/>
      <c r="K3" s="743"/>
      <c r="L3" s="779"/>
      <c r="M3" s="779"/>
      <c r="N3" s="779"/>
      <c r="O3" s="779"/>
      <c r="P3" s="779"/>
      <c r="Q3" s="771"/>
      <c r="R3" s="744" t="s">
        <v>681</v>
      </c>
      <c r="S3" s="744"/>
      <c r="T3" s="320"/>
    </row>
    <row r="4" spans="1:20" s="486" customFormat="1" ht="16.5" customHeight="1" x14ac:dyDescent="0.15">
      <c r="A4" s="482"/>
      <c r="B4" s="483"/>
      <c r="C4" s="780"/>
      <c r="D4" s="136"/>
      <c r="E4" s="136"/>
      <c r="F4" s="136"/>
      <c r="G4" s="136"/>
      <c r="H4" s="136"/>
      <c r="I4" s="136"/>
      <c r="J4" s="136"/>
      <c r="K4" s="135"/>
      <c r="L4" s="134"/>
      <c r="M4" s="133"/>
      <c r="N4" s="133"/>
      <c r="O4" s="133"/>
      <c r="P4" s="133"/>
      <c r="Q4" s="132"/>
      <c r="R4" s="131"/>
      <c r="S4" s="485"/>
      <c r="T4" s="76"/>
    </row>
    <row r="5" spans="1:20" s="486" customFormat="1" ht="16.5" customHeight="1" x14ac:dyDescent="0.15">
      <c r="A5" s="487"/>
      <c r="B5" s="488" t="s">
        <v>500</v>
      </c>
      <c r="C5" s="124" t="s">
        <v>227</v>
      </c>
      <c r="D5" s="119" t="s">
        <v>501</v>
      </c>
      <c r="E5" s="119" t="s">
        <v>502</v>
      </c>
      <c r="F5" s="119" t="s">
        <v>503</v>
      </c>
      <c r="G5" s="119" t="s">
        <v>504</v>
      </c>
      <c r="H5" s="119" t="s">
        <v>505</v>
      </c>
      <c r="I5" s="119" t="s">
        <v>506</v>
      </c>
      <c r="J5" s="129"/>
      <c r="K5" s="128"/>
      <c r="L5" s="121" t="s">
        <v>507</v>
      </c>
      <c r="M5" s="122" t="s">
        <v>508</v>
      </c>
      <c r="N5" s="122" t="s">
        <v>509</v>
      </c>
      <c r="O5" s="122" t="s">
        <v>510</v>
      </c>
      <c r="P5" s="127" t="s">
        <v>511</v>
      </c>
      <c r="Q5" s="126"/>
      <c r="R5" s="125"/>
      <c r="S5" s="119" t="s">
        <v>226</v>
      </c>
      <c r="T5" s="76"/>
    </row>
    <row r="6" spans="1:20" s="486" customFormat="1" ht="16.5" customHeight="1" x14ac:dyDescent="0.15">
      <c r="A6" s="487"/>
      <c r="B6" s="488"/>
      <c r="C6" s="124"/>
      <c r="D6" s="119" t="s">
        <v>224</v>
      </c>
      <c r="E6" s="119" t="s">
        <v>224</v>
      </c>
      <c r="F6" s="119" t="s">
        <v>225</v>
      </c>
      <c r="G6" s="119"/>
      <c r="H6" s="119"/>
      <c r="I6" s="119" t="s">
        <v>224</v>
      </c>
      <c r="J6" s="119" t="s">
        <v>223</v>
      </c>
      <c r="K6" s="781" t="s">
        <v>222</v>
      </c>
      <c r="L6" s="121"/>
      <c r="M6" s="122"/>
      <c r="N6" s="122"/>
      <c r="O6" s="122"/>
      <c r="P6" s="122"/>
      <c r="Q6" s="122" t="s">
        <v>512</v>
      </c>
      <c r="R6" s="121" t="s">
        <v>513</v>
      </c>
      <c r="S6" s="119"/>
      <c r="T6" s="76"/>
    </row>
    <row r="7" spans="1:20" s="486" customFormat="1" ht="33.75" customHeight="1" x14ac:dyDescent="0.15">
      <c r="A7" s="487"/>
      <c r="B7" s="489"/>
      <c r="C7" s="118" t="s">
        <v>827</v>
      </c>
      <c r="D7" s="118" t="s">
        <v>221</v>
      </c>
      <c r="E7" s="118" t="s">
        <v>522</v>
      </c>
      <c r="F7" s="118" t="s">
        <v>523</v>
      </c>
      <c r="G7" s="118" t="s">
        <v>220</v>
      </c>
      <c r="H7" s="118" t="s">
        <v>514</v>
      </c>
      <c r="I7" s="118" t="s">
        <v>828</v>
      </c>
      <c r="J7" s="118" t="s">
        <v>524</v>
      </c>
      <c r="K7" s="117" t="s">
        <v>543</v>
      </c>
      <c r="L7" s="116" t="s">
        <v>515</v>
      </c>
      <c r="M7" s="116" t="s">
        <v>219</v>
      </c>
      <c r="N7" s="116" t="s">
        <v>218</v>
      </c>
      <c r="O7" s="115" t="s">
        <v>217</v>
      </c>
      <c r="P7" s="642" t="s">
        <v>526</v>
      </c>
      <c r="Q7" s="114"/>
      <c r="R7" s="114"/>
      <c r="S7" s="490"/>
      <c r="T7" s="76"/>
    </row>
    <row r="8" spans="1:20" s="68" customFormat="1" ht="15.6" customHeight="1" x14ac:dyDescent="0.15">
      <c r="A8" s="491"/>
      <c r="B8" s="483"/>
      <c r="C8" s="782"/>
      <c r="D8" s="783"/>
      <c r="E8" s="783"/>
      <c r="F8" s="783"/>
      <c r="G8" s="783"/>
      <c r="H8" s="783"/>
      <c r="I8" s="783"/>
      <c r="J8" s="783"/>
      <c r="K8" s="783"/>
      <c r="L8" s="783"/>
      <c r="M8" s="783"/>
      <c r="N8" s="783"/>
      <c r="O8" s="783"/>
      <c r="P8" s="783"/>
      <c r="Q8" s="783"/>
      <c r="R8" s="784"/>
      <c r="S8" s="492"/>
      <c r="T8" s="94"/>
    </row>
    <row r="9" spans="1:20" s="495" customFormat="1" ht="15.6" customHeight="1" x14ac:dyDescent="0.15">
      <c r="A9" s="491"/>
      <c r="B9" s="493" t="s">
        <v>216</v>
      </c>
      <c r="C9" s="109">
        <v>9403695</v>
      </c>
      <c r="D9" s="108">
        <v>1625380</v>
      </c>
      <c r="E9" s="108">
        <v>1590140</v>
      </c>
      <c r="F9" s="108">
        <v>791004</v>
      </c>
      <c r="G9" s="108">
        <v>2120399</v>
      </c>
      <c r="H9" s="108">
        <v>1402501</v>
      </c>
      <c r="I9" s="108">
        <v>1874271</v>
      </c>
      <c r="J9" s="108">
        <v>687475</v>
      </c>
      <c r="K9" s="108">
        <v>1186796</v>
      </c>
      <c r="L9" s="108">
        <v>488975</v>
      </c>
      <c r="M9" s="108">
        <v>225622</v>
      </c>
      <c r="N9" s="108">
        <v>9977</v>
      </c>
      <c r="O9" s="108">
        <v>13995</v>
      </c>
      <c r="P9" s="108">
        <v>1793484</v>
      </c>
      <c r="Q9" s="108">
        <v>1186507</v>
      </c>
      <c r="R9" s="107">
        <v>606977</v>
      </c>
      <c r="S9" s="494" t="s">
        <v>215</v>
      </c>
      <c r="T9" s="491"/>
    </row>
    <row r="10" spans="1:20" s="68" customFormat="1" ht="15.6" customHeight="1" x14ac:dyDescent="0.15">
      <c r="A10" s="491"/>
      <c r="B10" s="483" t="s">
        <v>214</v>
      </c>
      <c r="C10" s="106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11"/>
      <c r="Q10" s="111"/>
      <c r="R10" s="110"/>
      <c r="S10" s="496"/>
      <c r="T10" s="491"/>
    </row>
    <row r="11" spans="1:20" s="68" customFormat="1" ht="15.6" customHeight="1" x14ac:dyDescent="0.15">
      <c r="A11" s="491"/>
      <c r="B11" s="497" t="s">
        <v>527</v>
      </c>
      <c r="C11" s="106">
        <v>5116893</v>
      </c>
      <c r="D11" s="105">
        <v>857246</v>
      </c>
      <c r="E11" s="113">
        <v>1102736</v>
      </c>
      <c r="F11" s="113">
        <v>431266</v>
      </c>
      <c r="G11" s="113">
        <v>790935</v>
      </c>
      <c r="H11" s="113">
        <v>841368</v>
      </c>
      <c r="I11" s="105">
        <v>1093342</v>
      </c>
      <c r="J11" s="113">
        <v>278932</v>
      </c>
      <c r="K11" s="113">
        <v>814410</v>
      </c>
      <c r="L11" s="113">
        <v>171799</v>
      </c>
      <c r="M11" s="113">
        <v>184950</v>
      </c>
      <c r="N11" s="113" t="s">
        <v>1029</v>
      </c>
      <c r="O11" s="113">
        <v>3036</v>
      </c>
      <c r="P11" s="105">
        <v>198207</v>
      </c>
      <c r="Q11" s="105">
        <v>73934</v>
      </c>
      <c r="R11" s="104">
        <v>124273</v>
      </c>
      <c r="S11" s="492" t="s">
        <v>198</v>
      </c>
      <c r="T11" s="491"/>
    </row>
    <row r="12" spans="1:20" s="68" customFormat="1" ht="15.6" customHeight="1" x14ac:dyDescent="0.15">
      <c r="A12" s="491"/>
      <c r="B12" s="497"/>
      <c r="C12" s="106"/>
      <c r="D12" s="105"/>
      <c r="E12" s="113"/>
      <c r="F12" s="113"/>
      <c r="G12" s="113"/>
      <c r="H12" s="113"/>
      <c r="I12" s="105"/>
      <c r="J12" s="113"/>
      <c r="K12" s="113"/>
      <c r="L12" s="113"/>
      <c r="M12" s="113"/>
      <c r="N12" s="113"/>
      <c r="O12" s="113"/>
      <c r="P12" s="113"/>
      <c r="Q12" s="113"/>
      <c r="R12" s="112"/>
      <c r="S12" s="492"/>
      <c r="T12" s="491"/>
    </row>
    <row r="13" spans="1:20" s="68" customFormat="1" ht="23.25" customHeight="1" x14ac:dyDescent="0.15">
      <c r="A13" s="491"/>
      <c r="B13" s="497" t="s">
        <v>829</v>
      </c>
      <c r="C13" s="106">
        <v>4286802</v>
      </c>
      <c r="D13" s="105">
        <v>768134</v>
      </c>
      <c r="E13" s="105">
        <v>487404</v>
      </c>
      <c r="F13" s="105">
        <v>359738</v>
      </c>
      <c r="G13" s="105">
        <v>1329464</v>
      </c>
      <c r="H13" s="105">
        <v>561133</v>
      </c>
      <c r="I13" s="105">
        <v>780929</v>
      </c>
      <c r="J13" s="105">
        <v>408543</v>
      </c>
      <c r="K13" s="105">
        <v>372386</v>
      </c>
      <c r="L13" s="105">
        <v>317176</v>
      </c>
      <c r="M13" s="105">
        <v>40672</v>
      </c>
      <c r="N13" s="105">
        <v>9977</v>
      </c>
      <c r="O13" s="105">
        <v>10959</v>
      </c>
      <c r="P13" s="113">
        <v>1595277</v>
      </c>
      <c r="Q13" s="113">
        <v>1112573</v>
      </c>
      <c r="R13" s="112">
        <v>482704</v>
      </c>
      <c r="S13" s="492" t="s">
        <v>202</v>
      </c>
      <c r="T13" s="491"/>
    </row>
    <row r="14" spans="1:20" s="68" customFormat="1" ht="15.6" customHeight="1" x14ac:dyDescent="0.15">
      <c r="A14" s="491"/>
      <c r="B14" s="483" t="s">
        <v>214</v>
      </c>
      <c r="C14" s="106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11"/>
      <c r="Q14" s="111"/>
      <c r="R14" s="110"/>
      <c r="S14" s="496"/>
      <c r="T14" s="491"/>
    </row>
    <row r="15" spans="1:20" s="68" customFormat="1" ht="15.6" customHeight="1" x14ac:dyDescent="0.15">
      <c r="A15" s="491"/>
      <c r="B15" s="498" t="s">
        <v>213</v>
      </c>
      <c r="C15" s="109">
        <v>178380050</v>
      </c>
      <c r="D15" s="108">
        <v>48781027</v>
      </c>
      <c r="E15" s="108">
        <v>38227820</v>
      </c>
      <c r="F15" s="108">
        <v>12318562</v>
      </c>
      <c r="G15" s="108">
        <v>13699889</v>
      </c>
      <c r="H15" s="108">
        <v>37579725</v>
      </c>
      <c r="I15" s="108">
        <v>27773027</v>
      </c>
      <c r="J15" s="108">
        <v>10385413</v>
      </c>
      <c r="K15" s="108">
        <v>17387614</v>
      </c>
      <c r="L15" s="108">
        <v>2617083</v>
      </c>
      <c r="M15" s="108">
        <v>1954640</v>
      </c>
      <c r="N15" s="108">
        <v>66265</v>
      </c>
      <c r="O15" s="108">
        <v>53643</v>
      </c>
      <c r="P15" s="108">
        <v>13302199</v>
      </c>
      <c r="Q15" s="108">
        <v>10328659</v>
      </c>
      <c r="R15" s="107">
        <v>2973540</v>
      </c>
      <c r="S15" s="499" t="s">
        <v>528</v>
      </c>
      <c r="T15" s="491"/>
    </row>
    <row r="16" spans="1:20" s="68" customFormat="1" ht="15.6" customHeight="1" x14ac:dyDescent="0.15">
      <c r="A16" s="491"/>
      <c r="B16" s="483"/>
      <c r="C16" s="106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11"/>
      <c r="Q16" s="111"/>
      <c r="R16" s="110"/>
      <c r="S16" s="492"/>
      <c r="T16" s="491"/>
    </row>
    <row r="17" spans="1:20" s="68" customFormat="1" ht="15.6" customHeight="1" x14ac:dyDescent="0.15">
      <c r="A17" s="491"/>
      <c r="B17" s="497" t="s">
        <v>830</v>
      </c>
      <c r="C17" s="106">
        <v>143623638</v>
      </c>
      <c r="D17" s="105">
        <v>45066891</v>
      </c>
      <c r="E17" s="105">
        <v>13197663</v>
      </c>
      <c r="F17" s="105">
        <v>11694486</v>
      </c>
      <c r="G17" s="105">
        <v>11324156</v>
      </c>
      <c r="H17" s="105">
        <v>36098292</v>
      </c>
      <c r="I17" s="105">
        <v>26242150</v>
      </c>
      <c r="J17" s="105">
        <v>10099488</v>
      </c>
      <c r="K17" s="105">
        <v>16142662</v>
      </c>
      <c r="L17" s="105">
        <v>2376453</v>
      </c>
      <c r="M17" s="105">
        <v>1920717</v>
      </c>
      <c r="N17" s="105">
        <v>56066</v>
      </c>
      <c r="O17" s="105">
        <v>33903</v>
      </c>
      <c r="P17" s="105">
        <v>2614615</v>
      </c>
      <c r="Q17" s="105">
        <v>1568681</v>
      </c>
      <c r="R17" s="104">
        <v>1045934</v>
      </c>
      <c r="S17" s="492" t="s">
        <v>212</v>
      </c>
      <c r="T17" s="491"/>
    </row>
    <row r="18" spans="1:20" s="68" customFormat="1" ht="15.6" customHeight="1" x14ac:dyDescent="0.15">
      <c r="A18" s="491"/>
      <c r="B18" s="497"/>
      <c r="C18" s="106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4"/>
      <c r="S18" s="492"/>
      <c r="T18" s="491"/>
    </row>
    <row r="19" spans="1:20" s="68" customFormat="1" ht="15.6" customHeight="1" x14ac:dyDescent="0.15">
      <c r="A19" s="491"/>
      <c r="B19" s="497" t="s">
        <v>529</v>
      </c>
      <c r="C19" s="106">
        <v>32531948</v>
      </c>
      <c r="D19" s="105">
        <v>3201446</v>
      </c>
      <c r="E19" s="105">
        <v>25030157</v>
      </c>
      <c r="F19" s="105">
        <v>76311</v>
      </c>
      <c r="G19" s="105">
        <v>2032129</v>
      </c>
      <c r="H19" s="105">
        <v>1205535</v>
      </c>
      <c r="I19" s="105">
        <v>986370</v>
      </c>
      <c r="J19" s="105">
        <v>12114</v>
      </c>
      <c r="K19" s="105">
        <v>974256</v>
      </c>
      <c r="L19" s="105">
        <v>239176</v>
      </c>
      <c r="M19" s="105">
        <v>15538</v>
      </c>
      <c r="N19" s="105">
        <v>1902</v>
      </c>
      <c r="O19" s="105">
        <v>18789</v>
      </c>
      <c r="P19" s="105">
        <v>10553947</v>
      </c>
      <c r="Q19" s="105">
        <v>8684766</v>
      </c>
      <c r="R19" s="104">
        <v>1869181</v>
      </c>
      <c r="S19" s="500" t="s">
        <v>211</v>
      </c>
      <c r="T19" s="491"/>
    </row>
    <row r="20" spans="1:20" s="68" customFormat="1" ht="15.6" customHeight="1" x14ac:dyDescent="0.15">
      <c r="A20" s="491"/>
      <c r="B20" s="497"/>
      <c r="C20" s="106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11"/>
      <c r="Q20" s="111"/>
      <c r="R20" s="110"/>
      <c r="S20" s="500"/>
      <c r="T20" s="491"/>
    </row>
    <row r="21" spans="1:20" s="68" customFormat="1" ht="30.75" customHeight="1" x14ac:dyDescent="0.15">
      <c r="A21" s="491"/>
      <c r="B21" s="497" t="s">
        <v>831</v>
      </c>
      <c r="C21" s="106">
        <v>212736</v>
      </c>
      <c r="D21" s="105" t="s">
        <v>1029</v>
      </c>
      <c r="E21" s="105" t="s">
        <v>1029</v>
      </c>
      <c r="F21" s="105">
        <v>25258</v>
      </c>
      <c r="G21" s="105">
        <v>98303</v>
      </c>
      <c r="H21" s="105">
        <v>22839</v>
      </c>
      <c r="I21" s="105">
        <v>66336</v>
      </c>
      <c r="J21" s="105">
        <v>66336</v>
      </c>
      <c r="K21" s="105" t="s">
        <v>1029</v>
      </c>
      <c r="L21" s="105" t="s">
        <v>1029</v>
      </c>
      <c r="M21" s="105" t="s">
        <v>1029</v>
      </c>
      <c r="N21" s="105">
        <v>8297</v>
      </c>
      <c r="O21" s="105" t="s">
        <v>1029</v>
      </c>
      <c r="P21" s="105">
        <v>32672</v>
      </c>
      <c r="Q21" s="105" t="s">
        <v>1029</v>
      </c>
      <c r="R21" s="104">
        <v>32672</v>
      </c>
      <c r="S21" s="500" t="s">
        <v>516</v>
      </c>
      <c r="T21" s="491"/>
    </row>
    <row r="22" spans="1:20" s="68" customFormat="1" ht="15.6" customHeight="1" x14ac:dyDescent="0.15">
      <c r="A22" s="491"/>
      <c r="B22" s="497"/>
      <c r="C22" s="106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11"/>
      <c r="Q22" s="111"/>
      <c r="R22" s="110"/>
      <c r="S22" s="500"/>
      <c r="T22" s="491"/>
    </row>
    <row r="23" spans="1:20" s="68" customFormat="1" ht="22.5" customHeight="1" x14ac:dyDescent="0.15">
      <c r="A23" s="491"/>
      <c r="B23" s="497" t="s">
        <v>832</v>
      </c>
      <c r="C23" s="106" t="s">
        <v>1029</v>
      </c>
      <c r="D23" s="105" t="s">
        <v>1029</v>
      </c>
      <c r="E23" s="105" t="s">
        <v>1029</v>
      </c>
      <c r="F23" s="105" t="s">
        <v>1029</v>
      </c>
      <c r="G23" s="105" t="s">
        <v>1029</v>
      </c>
      <c r="H23" s="105" t="s">
        <v>1029</v>
      </c>
      <c r="I23" s="105" t="s">
        <v>1029</v>
      </c>
      <c r="J23" s="105" t="s">
        <v>1029</v>
      </c>
      <c r="K23" s="105" t="s">
        <v>1029</v>
      </c>
      <c r="L23" s="105" t="s">
        <v>1029</v>
      </c>
      <c r="M23" s="105" t="s">
        <v>1029</v>
      </c>
      <c r="N23" s="105" t="s">
        <v>1029</v>
      </c>
      <c r="O23" s="105" t="s">
        <v>1029</v>
      </c>
      <c r="P23" s="105" t="s">
        <v>1029</v>
      </c>
      <c r="Q23" s="105" t="s">
        <v>1029</v>
      </c>
      <c r="R23" s="104" t="s">
        <v>1029</v>
      </c>
      <c r="S23" s="500" t="s">
        <v>517</v>
      </c>
      <c r="T23" s="491"/>
    </row>
    <row r="24" spans="1:20" s="68" customFormat="1" ht="15.6" customHeight="1" x14ac:dyDescent="0.15">
      <c r="A24" s="491"/>
      <c r="B24" s="497"/>
      <c r="C24" s="106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11"/>
      <c r="Q24" s="111"/>
      <c r="R24" s="110"/>
      <c r="S24" s="500"/>
      <c r="T24" s="491"/>
    </row>
    <row r="25" spans="1:20" s="68" customFormat="1" ht="15.6" customHeight="1" x14ac:dyDescent="0.15">
      <c r="A25" s="491"/>
      <c r="B25" s="501" t="s">
        <v>518</v>
      </c>
      <c r="C25" s="106">
        <v>2011728</v>
      </c>
      <c r="D25" s="105">
        <v>512690</v>
      </c>
      <c r="E25" s="105" t="s">
        <v>1029</v>
      </c>
      <c r="F25" s="105">
        <v>522507</v>
      </c>
      <c r="G25" s="105">
        <v>245301</v>
      </c>
      <c r="H25" s="105">
        <v>253059</v>
      </c>
      <c r="I25" s="105">
        <v>478171</v>
      </c>
      <c r="J25" s="105">
        <v>207475</v>
      </c>
      <c r="K25" s="105">
        <v>270696</v>
      </c>
      <c r="L25" s="105">
        <v>1454</v>
      </c>
      <c r="M25" s="105">
        <v>18385</v>
      </c>
      <c r="N25" s="105" t="s">
        <v>1029</v>
      </c>
      <c r="O25" s="105">
        <v>951</v>
      </c>
      <c r="P25" s="105">
        <v>100965</v>
      </c>
      <c r="Q25" s="105">
        <v>75212</v>
      </c>
      <c r="R25" s="104">
        <v>25753</v>
      </c>
      <c r="S25" s="500" t="s">
        <v>210</v>
      </c>
      <c r="T25" s="491"/>
    </row>
    <row r="26" spans="1:20" s="68" customFormat="1" ht="15.6" customHeight="1" x14ac:dyDescent="0.15">
      <c r="A26" s="491"/>
      <c r="B26" s="502"/>
      <c r="C26" s="106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4"/>
      <c r="S26" s="500"/>
      <c r="T26" s="491"/>
    </row>
    <row r="27" spans="1:20" s="68" customFormat="1" ht="15.6" customHeight="1" x14ac:dyDescent="0.15">
      <c r="A27" s="491"/>
      <c r="B27" s="498" t="s">
        <v>209</v>
      </c>
      <c r="C27" s="109">
        <v>178574246</v>
      </c>
      <c r="D27" s="108">
        <v>48828924</v>
      </c>
      <c r="E27" s="108">
        <v>38439327</v>
      </c>
      <c r="F27" s="108">
        <v>12400499</v>
      </c>
      <c r="G27" s="108">
        <v>13511570</v>
      </c>
      <c r="H27" s="108">
        <v>37738860</v>
      </c>
      <c r="I27" s="108">
        <v>27655066</v>
      </c>
      <c r="J27" s="108">
        <v>10337621</v>
      </c>
      <c r="K27" s="108">
        <v>17317445</v>
      </c>
      <c r="L27" s="108">
        <v>2667647</v>
      </c>
      <c r="M27" s="108">
        <v>1957772</v>
      </c>
      <c r="N27" s="108">
        <v>66892</v>
      </c>
      <c r="O27" s="108">
        <v>56005</v>
      </c>
      <c r="P27" s="108">
        <v>13329114</v>
      </c>
      <c r="Q27" s="108">
        <v>10326009</v>
      </c>
      <c r="R27" s="107">
        <v>3003105</v>
      </c>
      <c r="S27" s="494" t="s">
        <v>530</v>
      </c>
      <c r="T27" s="491"/>
    </row>
    <row r="28" spans="1:20" s="68" customFormat="1" ht="15.6" customHeight="1" x14ac:dyDescent="0.15">
      <c r="A28" s="491"/>
      <c r="B28" s="483"/>
      <c r="C28" s="106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11"/>
      <c r="Q28" s="111"/>
      <c r="R28" s="110"/>
      <c r="S28" s="500"/>
      <c r="T28" s="491"/>
    </row>
    <row r="29" spans="1:20" s="68" customFormat="1" ht="15.6" customHeight="1" x14ac:dyDescent="0.15">
      <c r="A29" s="94"/>
      <c r="B29" s="497" t="s">
        <v>208</v>
      </c>
      <c r="C29" s="106">
        <v>146823040</v>
      </c>
      <c r="D29" s="105">
        <v>44645283</v>
      </c>
      <c r="E29" s="105">
        <v>36784913</v>
      </c>
      <c r="F29" s="105">
        <v>4294171</v>
      </c>
      <c r="G29" s="105">
        <v>11906008</v>
      </c>
      <c r="H29" s="105">
        <v>31390845</v>
      </c>
      <c r="I29" s="105">
        <v>17801820</v>
      </c>
      <c r="J29" s="105">
        <v>10063753</v>
      </c>
      <c r="K29" s="105">
        <v>7738067</v>
      </c>
      <c r="L29" s="105">
        <v>1861998</v>
      </c>
      <c r="M29" s="105">
        <v>1500885</v>
      </c>
      <c r="N29" s="105">
        <v>47005</v>
      </c>
      <c r="O29" s="105">
        <v>36028</v>
      </c>
      <c r="P29" s="105">
        <v>11964211</v>
      </c>
      <c r="Q29" s="105">
        <v>9841398</v>
      </c>
      <c r="R29" s="104">
        <v>2122813</v>
      </c>
      <c r="S29" s="500" t="s">
        <v>207</v>
      </c>
      <c r="T29" s="94"/>
    </row>
    <row r="30" spans="1:20" s="68" customFormat="1" ht="15.6" customHeight="1" x14ac:dyDescent="0.15">
      <c r="A30" s="94"/>
      <c r="B30" s="497"/>
      <c r="C30" s="106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4"/>
      <c r="S30" s="500"/>
      <c r="T30" s="94"/>
    </row>
    <row r="31" spans="1:20" s="68" customFormat="1" ht="15.6" customHeight="1" x14ac:dyDescent="0.15">
      <c r="A31" s="491"/>
      <c r="B31" s="497" t="s">
        <v>531</v>
      </c>
      <c r="C31" s="106">
        <v>27336418</v>
      </c>
      <c r="D31" s="105">
        <v>4161292</v>
      </c>
      <c r="E31" s="105">
        <v>55245</v>
      </c>
      <c r="F31" s="105">
        <v>7971235</v>
      </c>
      <c r="G31" s="105">
        <v>1064996</v>
      </c>
      <c r="H31" s="105">
        <v>6222490</v>
      </c>
      <c r="I31" s="105">
        <v>7861160</v>
      </c>
      <c r="J31" s="105">
        <v>109014</v>
      </c>
      <c r="K31" s="105">
        <v>7752146</v>
      </c>
      <c r="L31" s="105">
        <v>601426</v>
      </c>
      <c r="M31" s="105" t="s">
        <v>1029</v>
      </c>
      <c r="N31" s="105">
        <v>744</v>
      </c>
      <c r="O31" s="105">
        <v>19234</v>
      </c>
      <c r="P31" s="105">
        <v>224841</v>
      </c>
      <c r="Q31" s="105">
        <v>218966</v>
      </c>
      <c r="R31" s="104">
        <v>5875</v>
      </c>
      <c r="S31" s="500" t="s">
        <v>206</v>
      </c>
      <c r="T31" s="491"/>
    </row>
    <row r="32" spans="1:20" s="68" customFormat="1" ht="15.6" customHeight="1" x14ac:dyDescent="0.15">
      <c r="A32" s="491"/>
      <c r="B32" s="497"/>
      <c r="C32" s="106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4"/>
      <c r="S32" s="500"/>
      <c r="T32" s="491"/>
    </row>
    <row r="33" spans="1:20" s="68" customFormat="1" ht="31.5" customHeight="1" x14ac:dyDescent="0.15">
      <c r="A33" s="491"/>
      <c r="B33" s="497" t="s">
        <v>833</v>
      </c>
      <c r="C33" s="106">
        <v>1701366</v>
      </c>
      <c r="D33" s="105">
        <v>10169</v>
      </c>
      <c r="E33" s="105">
        <v>1106095</v>
      </c>
      <c r="F33" s="105">
        <v>125927</v>
      </c>
      <c r="G33" s="105">
        <v>222019</v>
      </c>
      <c r="H33" s="105">
        <v>94788</v>
      </c>
      <c r="I33" s="105">
        <v>142368</v>
      </c>
      <c r="J33" s="105">
        <v>6124</v>
      </c>
      <c r="K33" s="105">
        <v>136244</v>
      </c>
      <c r="L33" s="105">
        <v>8091</v>
      </c>
      <c r="M33" s="105">
        <v>1280</v>
      </c>
      <c r="N33" s="105" t="s">
        <v>1029</v>
      </c>
      <c r="O33" s="105" t="s">
        <v>1029</v>
      </c>
      <c r="P33" s="105">
        <v>714490</v>
      </c>
      <c r="Q33" s="105">
        <v>67268</v>
      </c>
      <c r="R33" s="104">
        <v>647222</v>
      </c>
      <c r="S33" s="500" t="s">
        <v>519</v>
      </c>
      <c r="T33" s="491"/>
    </row>
    <row r="34" spans="1:20" s="68" customFormat="1" ht="15.6" customHeight="1" x14ac:dyDescent="0.15">
      <c r="A34" s="491"/>
      <c r="B34" s="497"/>
      <c r="C34" s="106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4"/>
      <c r="S34" s="500"/>
      <c r="T34" s="491"/>
    </row>
    <row r="35" spans="1:20" s="68" customFormat="1" ht="15.6" customHeight="1" x14ac:dyDescent="0.15">
      <c r="A35" s="491"/>
      <c r="B35" s="497" t="s">
        <v>532</v>
      </c>
      <c r="C35" s="106">
        <v>1855669</v>
      </c>
      <c r="D35" s="105">
        <v>379</v>
      </c>
      <c r="E35" s="105">
        <v>30420</v>
      </c>
      <c r="F35" s="105" t="s">
        <v>1029</v>
      </c>
      <c r="G35" s="105">
        <v>113233</v>
      </c>
      <c r="H35" s="105">
        <v>1714</v>
      </c>
      <c r="I35" s="105">
        <v>1709923</v>
      </c>
      <c r="J35" s="105">
        <v>152355</v>
      </c>
      <c r="K35" s="105">
        <v>1557568</v>
      </c>
      <c r="L35" s="105">
        <v>54802</v>
      </c>
      <c r="M35" s="105">
        <v>424113</v>
      </c>
      <c r="N35" s="105">
        <v>2</v>
      </c>
      <c r="O35" s="105" t="s">
        <v>1029</v>
      </c>
      <c r="P35" s="105">
        <v>174307</v>
      </c>
      <c r="Q35" s="105">
        <v>21721</v>
      </c>
      <c r="R35" s="104">
        <v>152586</v>
      </c>
      <c r="S35" s="500" t="s">
        <v>205</v>
      </c>
      <c r="T35" s="491"/>
    </row>
    <row r="36" spans="1:20" s="68" customFormat="1" ht="15.6" customHeight="1" x14ac:dyDescent="0.15">
      <c r="A36" s="491"/>
      <c r="B36" s="497"/>
      <c r="C36" s="106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4"/>
      <c r="S36" s="500"/>
      <c r="T36" s="491"/>
    </row>
    <row r="37" spans="1:20" s="68" customFormat="1" ht="15.6" customHeight="1" x14ac:dyDescent="0.15">
      <c r="A37" s="491"/>
      <c r="B37" s="497" t="s">
        <v>533</v>
      </c>
      <c r="C37" s="106">
        <v>857753</v>
      </c>
      <c r="D37" s="105">
        <v>11801</v>
      </c>
      <c r="E37" s="105">
        <v>462654</v>
      </c>
      <c r="F37" s="105">
        <v>9166</v>
      </c>
      <c r="G37" s="105">
        <v>205314</v>
      </c>
      <c r="H37" s="105">
        <v>29023</v>
      </c>
      <c r="I37" s="105">
        <v>139795</v>
      </c>
      <c r="J37" s="105">
        <v>6375</v>
      </c>
      <c r="K37" s="105">
        <v>133420</v>
      </c>
      <c r="L37" s="105">
        <v>141330</v>
      </c>
      <c r="M37" s="105">
        <v>31494</v>
      </c>
      <c r="N37" s="105">
        <v>19141</v>
      </c>
      <c r="O37" s="105">
        <v>743</v>
      </c>
      <c r="P37" s="105">
        <v>251265</v>
      </c>
      <c r="Q37" s="105">
        <v>176656</v>
      </c>
      <c r="R37" s="104">
        <v>74609</v>
      </c>
      <c r="S37" s="500" t="s">
        <v>204</v>
      </c>
      <c r="T37" s="491"/>
    </row>
    <row r="38" spans="1:20" s="68" customFormat="1" ht="15.6" customHeight="1" x14ac:dyDescent="0.15">
      <c r="A38" s="491"/>
      <c r="B38" s="483"/>
      <c r="C38" s="106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4"/>
      <c r="S38" s="500"/>
      <c r="T38" s="491"/>
    </row>
    <row r="39" spans="1:20" s="68" customFormat="1" ht="15.6" customHeight="1" x14ac:dyDescent="0.15">
      <c r="A39" s="491"/>
      <c r="B39" s="498" t="s">
        <v>203</v>
      </c>
      <c r="C39" s="109">
        <v>9209499</v>
      </c>
      <c r="D39" s="108">
        <v>1577483</v>
      </c>
      <c r="E39" s="108">
        <v>1378633</v>
      </c>
      <c r="F39" s="108">
        <v>709067</v>
      </c>
      <c r="G39" s="108">
        <v>2308718</v>
      </c>
      <c r="H39" s="108">
        <v>1243366</v>
      </c>
      <c r="I39" s="108">
        <v>1992232</v>
      </c>
      <c r="J39" s="108">
        <v>735267</v>
      </c>
      <c r="K39" s="108">
        <v>1256965</v>
      </c>
      <c r="L39" s="108">
        <v>438411</v>
      </c>
      <c r="M39" s="108">
        <v>222490</v>
      </c>
      <c r="N39" s="108">
        <v>9350</v>
      </c>
      <c r="O39" s="108">
        <v>11633</v>
      </c>
      <c r="P39" s="108">
        <v>1766569</v>
      </c>
      <c r="Q39" s="108">
        <v>1189157</v>
      </c>
      <c r="R39" s="107">
        <v>577412</v>
      </c>
      <c r="S39" s="494" t="s">
        <v>534</v>
      </c>
      <c r="T39" s="491"/>
    </row>
    <row r="40" spans="1:20" s="68" customFormat="1" ht="15.6" customHeight="1" x14ac:dyDescent="0.15">
      <c r="A40" s="491"/>
      <c r="B40" s="483"/>
      <c r="C40" s="106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4"/>
      <c r="S40" s="500"/>
      <c r="T40" s="491"/>
    </row>
    <row r="41" spans="1:20" s="68" customFormat="1" ht="15.6" customHeight="1" x14ac:dyDescent="0.15">
      <c r="A41" s="491"/>
      <c r="B41" s="497" t="s">
        <v>527</v>
      </c>
      <c r="C41" s="106">
        <v>4963621</v>
      </c>
      <c r="D41" s="105">
        <v>815906</v>
      </c>
      <c r="E41" s="105">
        <v>992767</v>
      </c>
      <c r="F41" s="105">
        <v>391127</v>
      </c>
      <c r="G41" s="105">
        <v>924450</v>
      </c>
      <c r="H41" s="105">
        <v>631653</v>
      </c>
      <c r="I41" s="105">
        <v>1207718</v>
      </c>
      <c r="J41" s="105">
        <v>311613</v>
      </c>
      <c r="K41" s="105">
        <v>896105</v>
      </c>
      <c r="L41" s="105">
        <v>143009</v>
      </c>
      <c r="M41" s="105">
        <v>181077</v>
      </c>
      <c r="N41" s="105" t="s">
        <v>1029</v>
      </c>
      <c r="O41" s="105">
        <v>3495</v>
      </c>
      <c r="P41" s="105">
        <v>207632</v>
      </c>
      <c r="Q41" s="105">
        <v>76639</v>
      </c>
      <c r="R41" s="104">
        <v>130993</v>
      </c>
      <c r="S41" s="492" t="s">
        <v>198</v>
      </c>
      <c r="T41" s="491"/>
    </row>
    <row r="42" spans="1:20" s="68" customFormat="1" ht="15.6" customHeight="1" x14ac:dyDescent="0.15">
      <c r="A42" s="491"/>
      <c r="B42" s="497"/>
      <c r="C42" s="106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4"/>
      <c r="S42" s="492"/>
      <c r="T42" s="491"/>
    </row>
    <row r="43" spans="1:20" s="68" customFormat="1" ht="21" customHeight="1" x14ac:dyDescent="0.15">
      <c r="A43" s="491"/>
      <c r="B43" s="497" t="s">
        <v>829</v>
      </c>
      <c r="C43" s="106">
        <v>4245878</v>
      </c>
      <c r="D43" s="105">
        <v>761577</v>
      </c>
      <c r="E43" s="105">
        <v>385866</v>
      </c>
      <c r="F43" s="105">
        <v>317940</v>
      </c>
      <c r="G43" s="105">
        <v>1384268</v>
      </c>
      <c r="H43" s="105">
        <v>611713</v>
      </c>
      <c r="I43" s="105">
        <v>784514</v>
      </c>
      <c r="J43" s="105">
        <v>423654</v>
      </c>
      <c r="K43" s="105">
        <v>360860</v>
      </c>
      <c r="L43" s="105">
        <v>295402</v>
      </c>
      <c r="M43" s="105">
        <v>41413</v>
      </c>
      <c r="N43" s="105">
        <v>9350</v>
      </c>
      <c r="O43" s="105">
        <v>8138</v>
      </c>
      <c r="P43" s="105">
        <v>1558937</v>
      </c>
      <c r="Q43" s="105">
        <v>1112518</v>
      </c>
      <c r="R43" s="104">
        <v>446419</v>
      </c>
      <c r="S43" s="492" t="s">
        <v>202</v>
      </c>
      <c r="T43" s="491"/>
    </row>
    <row r="44" spans="1:20" s="68" customFormat="1" ht="15.6" customHeight="1" x14ac:dyDescent="0.15">
      <c r="A44" s="491"/>
      <c r="B44" s="503"/>
      <c r="C44" s="103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1"/>
      <c r="S44" s="504"/>
      <c r="T44" s="94"/>
    </row>
    <row r="45" spans="1:20" s="99" customFormat="1" ht="15.6" customHeight="1" x14ac:dyDescent="0.15">
      <c r="A45" s="505"/>
      <c r="B45" s="100" t="s">
        <v>201</v>
      </c>
      <c r="C45" s="506"/>
      <c r="D45" s="506"/>
      <c r="E45" s="506"/>
      <c r="F45" s="506"/>
      <c r="G45" s="506"/>
      <c r="H45" s="506"/>
      <c r="I45" s="506"/>
      <c r="K45" s="100"/>
      <c r="L45" s="100" t="s">
        <v>520</v>
      </c>
      <c r="M45" s="506"/>
      <c r="N45" s="100"/>
      <c r="O45" s="506"/>
      <c r="P45" s="506"/>
      <c r="Q45" s="506"/>
      <c r="R45" s="506"/>
      <c r="S45" s="506"/>
      <c r="T45" s="507"/>
    </row>
    <row r="46" spans="1:20" s="99" customFormat="1" ht="15.6" customHeight="1" x14ac:dyDescent="0.15">
      <c r="A46" s="505"/>
      <c r="B46" s="99" t="s">
        <v>535</v>
      </c>
      <c r="C46" s="506"/>
      <c r="D46" s="506"/>
      <c r="E46" s="506"/>
      <c r="F46" s="505"/>
      <c r="K46" s="100"/>
      <c r="L46" s="100" t="s">
        <v>521</v>
      </c>
      <c r="M46" s="506"/>
      <c r="N46" s="506"/>
      <c r="O46" s="506"/>
      <c r="P46" s="506"/>
      <c r="Q46" s="506"/>
      <c r="R46" s="506"/>
      <c r="S46" s="506"/>
      <c r="T46" s="507"/>
    </row>
    <row r="47" spans="1:20" s="99" customFormat="1" ht="15.6" customHeight="1" x14ac:dyDescent="0.15">
      <c r="A47" s="505"/>
      <c r="B47" s="99" t="s">
        <v>536</v>
      </c>
      <c r="C47" s="506"/>
      <c r="D47" s="506"/>
      <c r="E47" s="506"/>
      <c r="F47" s="506"/>
      <c r="G47" s="506"/>
      <c r="H47" s="506"/>
      <c r="I47" s="506"/>
      <c r="J47" s="506"/>
      <c r="K47" s="100"/>
      <c r="L47" s="100" t="s">
        <v>1039</v>
      </c>
      <c r="M47" s="506"/>
      <c r="N47" s="506"/>
      <c r="O47" s="506"/>
      <c r="P47" s="506"/>
      <c r="Q47" s="506"/>
      <c r="R47" s="506"/>
      <c r="S47" s="506"/>
      <c r="T47" s="507"/>
    </row>
    <row r="48" spans="1:20" s="99" customFormat="1" ht="17.100000000000001" customHeight="1" x14ac:dyDescent="0.15">
      <c r="A48" s="505"/>
      <c r="B48" s="100" t="s">
        <v>834</v>
      </c>
      <c r="C48" s="508"/>
      <c r="D48" s="506"/>
      <c r="E48" s="506"/>
      <c r="F48" s="506"/>
      <c r="G48" s="506"/>
      <c r="H48" s="506"/>
      <c r="I48" s="506"/>
      <c r="J48" s="506"/>
      <c r="K48" s="506"/>
      <c r="L48" s="506"/>
      <c r="M48" s="506"/>
      <c r="N48" s="506"/>
      <c r="O48" s="506"/>
      <c r="P48" s="506"/>
      <c r="Q48" s="506"/>
      <c r="R48" s="506"/>
      <c r="S48" s="506"/>
      <c r="T48" s="507"/>
    </row>
  </sheetData>
  <phoneticPr fontId="33"/>
  <pageMargins left="0.59055118110236227" right="0.55118110236220474" top="0.59055118110236227" bottom="0.59055118110236227" header="0.59055118110236227" footer="0.59055118110236227"/>
  <pageSetup paperSize="9" orientation="portrait" horizontalDpi="400" r:id="rId1"/>
  <headerFooter alignWithMargins="0">
    <oddHeader xml:space="preserve">&amp;R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49"/>
  <sheetViews>
    <sheetView view="pageBreakPreview" zoomScaleNormal="55" zoomScaleSheetLayoutView="55" workbookViewId="0"/>
  </sheetViews>
  <sheetFormatPr defaultRowHeight="17.25" x14ac:dyDescent="0.2"/>
  <cols>
    <col min="1" max="1" width="2.625" style="97" customWidth="1"/>
    <col min="2" max="2" width="12.25" style="97" customWidth="1"/>
    <col min="3" max="3" width="8.875" style="97" customWidth="1"/>
    <col min="4" max="18" width="8.375" style="97" customWidth="1"/>
    <col min="19" max="19" width="18.625" style="509" customWidth="1"/>
    <col min="20" max="20" width="12.125" style="98" customWidth="1"/>
    <col min="21" max="16384" width="9" style="97"/>
  </cols>
  <sheetData>
    <row r="1" spans="1:20" s="478" customFormat="1" ht="17.25" customHeight="1" x14ac:dyDescent="0.1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510"/>
      <c r="M1" s="510"/>
      <c r="N1" s="510"/>
      <c r="O1" s="510"/>
      <c r="P1" s="510"/>
      <c r="Q1" s="510"/>
      <c r="R1" s="495"/>
      <c r="S1" s="495"/>
      <c r="T1" s="510"/>
    </row>
    <row r="2" spans="1:20" s="480" customFormat="1" ht="17.25" customHeight="1" x14ac:dyDescent="0.1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510"/>
      <c r="M2" s="510"/>
      <c r="N2" s="510"/>
      <c r="O2" s="510"/>
      <c r="P2" s="495"/>
      <c r="Q2" s="495"/>
      <c r="R2" s="495"/>
      <c r="S2" s="495"/>
      <c r="T2" s="510"/>
    </row>
    <row r="3" spans="1:20" s="50" customFormat="1" ht="17.25" customHeight="1" x14ac:dyDescent="0.15">
      <c r="A3" s="68"/>
      <c r="B3" s="137" t="s">
        <v>1040</v>
      </c>
      <c r="C3" s="563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8" t="s">
        <v>681</v>
      </c>
      <c r="S3" s="78"/>
      <c r="T3" s="76"/>
    </row>
    <row r="4" spans="1:20" s="68" customFormat="1" ht="17.25" customHeight="1" x14ac:dyDescent="0.15">
      <c r="A4" s="482"/>
      <c r="B4" s="483"/>
      <c r="C4" s="780"/>
      <c r="D4" s="136"/>
      <c r="E4" s="136"/>
      <c r="F4" s="136"/>
      <c r="G4" s="136"/>
      <c r="H4" s="136"/>
      <c r="I4" s="136"/>
      <c r="J4" s="136"/>
      <c r="K4" s="135"/>
      <c r="L4" s="134"/>
      <c r="M4" s="133"/>
      <c r="N4" s="133"/>
      <c r="O4" s="133"/>
      <c r="P4" s="133"/>
      <c r="Q4" s="132"/>
      <c r="R4" s="131"/>
      <c r="S4" s="485"/>
      <c r="T4" s="76"/>
    </row>
    <row r="5" spans="1:20" s="68" customFormat="1" ht="17.25" customHeight="1" x14ac:dyDescent="0.15">
      <c r="A5" s="487"/>
      <c r="B5" s="488" t="s">
        <v>500</v>
      </c>
      <c r="C5" s="124" t="s">
        <v>227</v>
      </c>
      <c r="D5" s="119" t="s">
        <v>501</v>
      </c>
      <c r="E5" s="119" t="s">
        <v>502</v>
      </c>
      <c r="F5" s="119" t="s">
        <v>503</v>
      </c>
      <c r="G5" s="119" t="s">
        <v>504</v>
      </c>
      <c r="H5" s="119" t="s">
        <v>505</v>
      </c>
      <c r="I5" s="119" t="s">
        <v>506</v>
      </c>
      <c r="J5" s="129"/>
      <c r="K5" s="128"/>
      <c r="L5" s="121" t="s">
        <v>507</v>
      </c>
      <c r="M5" s="122" t="s">
        <v>508</v>
      </c>
      <c r="N5" s="122" t="s">
        <v>509</v>
      </c>
      <c r="O5" s="122" t="s">
        <v>510</v>
      </c>
      <c r="P5" s="127" t="s">
        <v>511</v>
      </c>
      <c r="Q5" s="126"/>
      <c r="R5" s="125"/>
      <c r="S5" s="119" t="s">
        <v>226</v>
      </c>
      <c r="T5" s="76"/>
    </row>
    <row r="6" spans="1:20" s="68" customFormat="1" ht="17.25" customHeight="1" x14ac:dyDescent="0.15">
      <c r="A6" s="487"/>
      <c r="B6" s="488"/>
      <c r="C6" s="124"/>
      <c r="D6" s="119" t="s">
        <v>224</v>
      </c>
      <c r="E6" s="119" t="s">
        <v>224</v>
      </c>
      <c r="F6" s="119" t="s">
        <v>225</v>
      </c>
      <c r="G6" s="119"/>
      <c r="H6" s="119"/>
      <c r="I6" s="119" t="s">
        <v>224</v>
      </c>
      <c r="J6" s="119" t="s">
        <v>223</v>
      </c>
      <c r="K6" s="781" t="s">
        <v>222</v>
      </c>
      <c r="L6" s="121"/>
      <c r="M6" s="122"/>
      <c r="N6" s="122"/>
      <c r="O6" s="122"/>
      <c r="P6" s="122"/>
      <c r="Q6" s="122" t="s">
        <v>512</v>
      </c>
      <c r="R6" s="121" t="s">
        <v>513</v>
      </c>
      <c r="S6" s="119"/>
      <c r="T6" s="76"/>
    </row>
    <row r="7" spans="1:20" s="68" customFormat="1" ht="34.5" customHeight="1" x14ac:dyDescent="0.15">
      <c r="A7" s="487"/>
      <c r="B7" s="489"/>
      <c r="C7" s="118" t="s">
        <v>827</v>
      </c>
      <c r="D7" s="118" t="s">
        <v>221</v>
      </c>
      <c r="E7" s="118" t="s">
        <v>522</v>
      </c>
      <c r="F7" s="118" t="s">
        <v>523</v>
      </c>
      <c r="G7" s="118" t="s">
        <v>220</v>
      </c>
      <c r="H7" s="118" t="s">
        <v>514</v>
      </c>
      <c r="I7" s="118" t="s">
        <v>828</v>
      </c>
      <c r="J7" s="118" t="s">
        <v>524</v>
      </c>
      <c r="K7" s="117" t="s">
        <v>525</v>
      </c>
      <c r="L7" s="116" t="s">
        <v>229</v>
      </c>
      <c r="M7" s="116" t="s">
        <v>219</v>
      </c>
      <c r="N7" s="116" t="s">
        <v>218</v>
      </c>
      <c r="O7" s="115" t="s">
        <v>217</v>
      </c>
      <c r="P7" s="642" t="s">
        <v>526</v>
      </c>
      <c r="Q7" s="114"/>
      <c r="R7" s="114"/>
      <c r="S7" s="490"/>
      <c r="T7" s="76"/>
    </row>
    <row r="8" spans="1:20" s="68" customFormat="1" ht="15.2" customHeight="1" x14ac:dyDescent="0.15">
      <c r="A8" s="491"/>
      <c r="B8" s="483"/>
      <c r="C8" s="785"/>
      <c r="D8" s="786"/>
      <c r="E8" s="786"/>
      <c r="F8" s="786"/>
      <c r="G8" s="786"/>
      <c r="H8" s="786"/>
      <c r="I8" s="786"/>
      <c r="J8" s="786"/>
      <c r="K8" s="786"/>
      <c r="L8" s="786"/>
      <c r="M8" s="786"/>
      <c r="N8" s="786"/>
      <c r="O8" s="786"/>
      <c r="P8" s="786"/>
      <c r="Q8" s="786"/>
      <c r="R8" s="787"/>
      <c r="S8" s="492"/>
      <c r="T8" s="94"/>
    </row>
    <row r="9" spans="1:20" s="68" customFormat="1" ht="15.2" customHeight="1" x14ac:dyDescent="0.15">
      <c r="A9" s="491"/>
      <c r="B9" s="493" t="s">
        <v>1118</v>
      </c>
      <c r="C9" s="109">
        <v>7914729</v>
      </c>
      <c r="D9" s="108">
        <v>1616359</v>
      </c>
      <c r="E9" s="108">
        <v>1408210</v>
      </c>
      <c r="F9" s="108">
        <v>633135</v>
      </c>
      <c r="G9" s="108">
        <v>1273171</v>
      </c>
      <c r="H9" s="108">
        <v>1161634</v>
      </c>
      <c r="I9" s="108">
        <v>1822220</v>
      </c>
      <c r="J9" s="108">
        <v>702157</v>
      </c>
      <c r="K9" s="108">
        <v>1120063</v>
      </c>
      <c r="L9" s="108">
        <v>492952</v>
      </c>
      <c r="M9" s="108">
        <v>218651</v>
      </c>
      <c r="N9" s="108">
        <v>9698</v>
      </c>
      <c r="O9" s="108">
        <v>14642</v>
      </c>
      <c r="P9" s="108">
        <v>1736640</v>
      </c>
      <c r="Q9" s="108">
        <v>1164313</v>
      </c>
      <c r="R9" s="107">
        <v>572327</v>
      </c>
      <c r="S9" s="494" t="s">
        <v>215</v>
      </c>
      <c r="T9" s="491"/>
    </row>
    <row r="10" spans="1:20" s="68" customFormat="1" ht="15.2" customHeight="1" x14ac:dyDescent="0.15">
      <c r="A10" s="491"/>
      <c r="B10" s="483" t="s">
        <v>214</v>
      </c>
      <c r="C10" s="106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11"/>
      <c r="Q10" s="111"/>
      <c r="R10" s="110"/>
      <c r="S10" s="496"/>
      <c r="T10" s="491"/>
    </row>
    <row r="11" spans="1:20" s="68" customFormat="1" ht="15.2" customHeight="1" x14ac:dyDescent="0.15">
      <c r="A11" s="491"/>
      <c r="B11" s="497" t="s">
        <v>527</v>
      </c>
      <c r="C11" s="106">
        <v>4428396</v>
      </c>
      <c r="D11" s="105">
        <v>854168</v>
      </c>
      <c r="E11" s="113">
        <v>1114374</v>
      </c>
      <c r="F11" s="113">
        <v>348322</v>
      </c>
      <c r="G11" s="113">
        <v>562872</v>
      </c>
      <c r="H11" s="113">
        <v>540871</v>
      </c>
      <c r="I11" s="105">
        <v>1007789</v>
      </c>
      <c r="J11" s="113">
        <v>296157</v>
      </c>
      <c r="K11" s="113">
        <v>711632</v>
      </c>
      <c r="L11" s="113">
        <v>176856</v>
      </c>
      <c r="M11" s="113">
        <v>168766</v>
      </c>
      <c r="N11" s="113" t="s">
        <v>1029</v>
      </c>
      <c r="O11" s="113">
        <v>5284</v>
      </c>
      <c r="P11" s="105">
        <v>213947</v>
      </c>
      <c r="Q11" s="105">
        <v>79762</v>
      </c>
      <c r="R11" s="104">
        <v>134185</v>
      </c>
      <c r="S11" s="492" t="s">
        <v>198</v>
      </c>
      <c r="T11" s="491"/>
    </row>
    <row r="12" spans="1:20" s="68" customFormat="1" ht="15.2" customHeight="1" x14ac:dyDescent="0.15">
      <c r="A12" s="491"/>
      <c r="B12" s="497"/>
      <c r="C12" s="106"/>
      <c r="D12" s="105"/>
      <c r="E12" s="113"/>
      <c r="F12" s="113"/>
      <c r="G12" s="113"/>
      <c r="H12" s="113"/>
      <c r="I12" s="105"/>
      <c r="J12" s="113"/>
      <c r="K12" s="113"/>
      <c r="L12" s="113"/>
      <c r="M12" s="113"/>
      <c r="N12" s="113"/>
      <c r="O12" s="113"/>
      <c r="P12" s="113"/>
      <c r="Q12" s="113"/>
      <c r="R12" s="112"/>
      <c r="S12" s="492"/>
      <c r="T12" s="491"/>
    </row>
    <row r="13" spans="1:20" s="68" customFormat="1" ht="21" customHeight="1" x14ac:dyDescent="0.15">
      <c r="A13" s="491"/>
      <c r="B13" s="497" t="s">
        <v>829</v>
      </c>
      <c r="C13" s="106">
        <v>3486333</v>
      </c>
      <c r="D13" s="105">
        <v>762191</v>
      </c>
      <c r="E13" s="105">
        <v>293836</v>
      </c>
      <c r="F13" s="105">
        <v>284813</v>
      </c>
      <c r="G13" s="105">
        <v>710299</v>
      </c>
      <c r="H13" s="105">
        <v>620763</v>
      </c>
      <c r="I13" s="105">
        <v>814431</v>
      </c>
      <c r="J13" s="105">
        <v>406000</v>
      </c>
      <c r="K13" s="105">
        <v>408431</v>
      </c>
      <c r="L13" s="105">
        <v>316096</v>
      </c>
      <c r="M13" s="105">
        <v>49885</v>
      </c>
      <c r="N13" s="105">
        <v>9698</v>
      </c>
      <c r="O13" s="105">
        <v>9358</v>
      </c>
      <c r="P13" s="113">
        <v>1522693</v>
      </c>
      <c r="Q13" s="113">
        <v>1084551</v>
      </c>
      <c r="R13" s="112">
        <v>438142</v>
      </c>
      <c r="S13" s="492" t="s">
        <v>202</v>
      </c>
      <c r="T13" s="491"/>
    </row>
    <row r="14" spans="1:20" s="68" customFormat="1" ht="15.2" customHeight="1" x14ac:dyDescent="0.15">
      <c r="A14" s="491"/>
      <c r="B14" s="483" t="s">
        <v>214</v>
      </c>
      <c r="C14" s="106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11"/>
      <c r="Q14" s="111"/>
      <c r="R14" s="110"/>
      <c r="S14" s="496"/>
      <c r="T14" s="491"/>
    </row>
    <row r="15" spans="1:20" s="68" customFormat="1" ht="15.2" customHeight="1" x14ac:dyDescent="0.15">
      <c r="A15" s="491"/>
      <c r="B15" s="498" t="s">
        <v>213</v>
      </c>
      <c r="C15" s="109">
        <v>175247365</v>
      </c>
      <c r="D15" s="108">
        <v>48342710</v>
      </c>
      <c r="E15" s="108">
        <v>37915786</v>
      </c>
      <c r="F15" s="108">
        <v>12668065</v>
      </c>
      <c r="G15" s="108">
        <v>12989554</v>
      </c>
      <c r="H15" s="108">
        <v>37029320</v>
      </c>
      <c r="I15" s="108">
        <v>26301930</v>
      </c>
      <c r="J15" s="108">
        <v>10057158</v>
      </c>
      <c r="K15" s="108">
        <v>16244772</v>
      </c>
      <c r="L15" s="108">
        <v>2511184</v>
      </c>
      <c r="M15" s="108">
        <v>1856160</v>
      </c>
      <c r="N15" s="108">
        <v>66810</v>
      </c>
      <c r="O15" s="108">
        <v>54910</v>
      </c>
      <c r="P15" s="108">
        <v>13043039</v>
      </c>
      <c r="Q15" s="108">
        <v>10068001</v>
      </c>
      <c r="R15" s="107">
        <v>2975038</v>
      </c>
      <c r="S15" s="499" t="s">
        <v>528</v>
      </c>
      <c r="T15" s="491"/>
    </row>
    <row r="16" spans="1:20" s="68" customFormat="1" ht="15.2" customHeight="1" x14ac:dyDescent="0.15">
      <c r="A16" s="491"/>
      <c r="B16" s="483"/>
      <c r="C16" s="106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11"/>
      <c r="Q16" s="111"/>
      <c r="R16" s="110"/>
      <c r="S16" s="492"/>
      <c r="T16" s="491"/>
    </row>
    <row r="17" spans="1:20" s="68" customFormat="1" ht="15.2" customHeight="1" x14ac:dyDescent="0.15">
      <c r="A17" s="491"/>
      <c r="B17" s="497" t="s">
        <v>830</v>
      </c>
      <c r="C17" s="106">
        <v>140760029</v>
      </c>
      <c r="D17" s="105">
        <v>44297982</v>
      </c>
      <c r="E17" s="105">
        <v>12973578</v>
      </c>
      <c r="F17" s="105">
        <v>11871701</v>
      </c>
      <c r="G17" s="105">
        <v>10764111</v>
      </c>
      <c r="H17" s="105">
        <v>35512457</v>
      </c>
      <c r="I17" s="105">
        <v>25340200</v>
      </c>
      <c r="J17" s="105">
        <v>9777909</v>
      </c>
      <c r="K17" s="105">
        <v>15562291</v>
      </c>
      <c r="L17" s="105">
        <v>2293512</v>
      </c>
      <c r="M17" s="105">
        <v>1824677</v>
      </c>
      <c r="N17" s="221">
        <v>56737</v>
      </c>
      <c r="O17" s="105">
        <v>32289</v>
      </c>
      <c r="P17" s="105">
        <v>2606323</v>
      </c>
      <c r="Q17" s="105">
        <v>1544492</v>
      </c>
      <c r="R17" s="104">
        <v>1061831</v>
      </c>
      <c r="S17" s="492" t="s">
        <v>212</v>
      </c>
      <c r="T17" s="491"/>
    </row>
    <row r="18" spans="1:20" s="68" customFormat="1" ht="15.2" customHeight="1" x14ac:dyDescent="0.15">
      <c r="A18" s="491"/>
      <c r="B18" s="497"/>
      <c r="C18" s="106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4"/>
      <c r="S18" s="492"/>
      <c r="T18" s="491"/>
    </row>
    <row r="19" spans="1:20" s="68" customFormat="1" ht="15.2" customHeight="1" x14ac:dyDescent="0.15">
      <c r="A19" s="491"/>
      <c r="B19" s="497" t="s">
        <v>529</v>
      </c>
      <c r="C19" s="106">
        <v>32236558</v>
      </c>
      <c r="D19" s="105">
        <v>3548046</v>
      </c>
      <c r="E19" s="105">
        <v>24942208</v>
      </c>
      <c r="F19" s="105">
        <v>41820</v>
      </c>
      <c r="G19" s="105">
        <v>1951566</v>
      </c>
      <c r="H19" s="105">
        <v>1245764</v>
      </c>
      <c r="I19" s="105">
        <v>507154</v>
      </c>
      <c r="J19" s="105">
        <v>12114</v>
      </c>
      <c r="K19" s="105">
        <v>495040</v>
      </c>
      <c r="L19" s="105">
        <v>217672</v>
      </c>
      <c r="M19" s="105">
        <v>13779</v>
      </c>
      <c r="N19" s="105">
        <v>1750</v>
      </c>
      <c r="O19" s="105">
        <v>21626</v>
      </c>
      <c r="P19" s="105">
        <v>10334029</v>
      </c>
      <c r="Q19" s="105">
        <v>8458944</v>
      </c>
      <c r="R19" s="104">
        <v>1875085</v>
      </c>
      <c r="S19" s="500" t="s">
        <v>211</v>
      </c>
      <c r="T19" s="491"/>
    </row>
    <row r="20" spans="1:20" s="68" customFormat="1" ht="15.2" customHeight="1" x14ac:dyDescent="0.15">
      <c r="A20" s="491"/>
      <c r="B20" s="497"/>
      <c r="C20" s="106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11"/>
      <c r="Q20" s="111"/>
      <c r="R20" s="110"/>
      <c r="S20" s="500"/>
      <c r="T20" s="491"/>
    </row>
    <row r="21" spans="1:20" s="68" customFormat="1" ht="30.75" customHeight="1" x14ac:dyDescent="0.15">
      <c r="A21" s="491"/>
      <c r="B21" s="497" t="s">
        <v>831</v>
      </c>
      <c r="C21" s="106">
        <v>151067</v>
      </c>
      <c r="D21" s="105" t="s">
        <v>1029</v>
      </c>
      <c r="E21" s="105" t="s">
        <v>1029</v>
      </c>
      <c r="F21" s="105">
        <v>25258</v>
      </c>
      <c r="G21" s="105">
        <v>29988</v>
      </c>
      <c r="H21" s="105">
        <v>29988</v>
      </c>
      <c r="I21" s="105">
        <v>65833</v>
      </c>
      <c r="J21" s="105">
        <v>65833</v>
      </c>
      <c r="K21" s="105" t="s">
        <v>1029</v>
      </c>
      <c r="L21" s="105" t="s">
        <v>1029</v>
      </c>
      <c r="M21" s="105" t="s">
        <v>1029</v>
      </c>
      <c r="N21" s="105">
        <v>8323</v>
      </c>
      <c r="O21" s="105" t="s">
        <v>1029</v>
      </c>
      <c r="P21" s="105">
        <v>32136</v>
      </c>
      <c r="Q21" s="105" t="s">
        <v>1029</v>
      </c>
      <c r="R21" s="104">
        <v>32136</v>
      </c>
      <c r="S21" s="500" t="s">
        <v>516</v>
      </c>
      <c r="T21" s="491"/>
    </row>
    <row r="22" spans="1:20" s="68" customFormat="1" ht="15.2" customHeight="1" x14ac:dyDescent="0.15">
      <c r="A22" s="491"/>
      <c r="B22" s="497"/>
      <c r="C22" s="106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11"/>
      <c r="Q22" s="111"/>
      <c r="R22" s="110"/>
      <c r="S22" s="500"/>
      <c r="T22" s="491"/>
    </row>
    <row r="23" spans="1:20" s="68" customFormat="1" ht="23.25" customHeight="1" x14ac:dyDescent="0.15">
      <c r="A23" s="491"/>
      <c r="B23" s="497" t="s">
        <v>835</v>
      </c>
      <c r="C23" s="106" t="s">
        <v>1029</v>
      </c>
      <c r="D23" s="105" t="s">
        <v>1029</v>
      </c>
      <c r="E23" s="105" t="s">
        <v>1029</v>
      </c>
      <c r="F23" s="105" t="s">
        <v>1029</v>
      </c>
      <c r="G23" s="105" t="s">
        <v>1029</v>
      </c>
      <c r="H23" s="105" t="s">
        <v>1029</v>
      </c>
      <c r="I23" s="105" t="s">
        <v>1029</v>
      </c>
      <c r="J23" s="105" t="s">
        <v>1029</v>
      </c>
      <c r="K23" s="105" t="s">
        <v>1029</v>
      </c>
      <c r="L23" s="105" t="s">
        <v>1029</v>
      </c>
      <c r="M23" s="105" t="s">
        <v>1029</v>
      </c>
      <c r="N23" s="105" t="s">
        <v>1029</v>
      </c>
      <c r="O23" s="105" t="s">
        <v>1029</v>
      </c>
      <c r="P23" s="105" t="s">
        <v>1029</v>
      </c>
      <c r="Q23" s="105" t="s">
        <v>1029</v>
      </c>
      <c r="R23" s="104" t="s">
        <v>1029</v>
      </c>
      <c r="S23" s="500" t="s">
        <v>517</v>
      </c>
      <c r="T23" s="491"/>
    </row>
    <row r="24" spans="1:20" s="68" customFormat="1" ht="15.2" customHeight="1" x14ac:dyDescent="0.15">
      <c r="A24" s="491"/>
      <c r="B24" s="497"/>
      <c r="C24" s="106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11"/>
      <c r="Q24" s="111"/>
      <c r="R24" s="110"/>
      <c r="S24" s="500"/>
      <c r="T24" s="491"/>
    </row>
    <row r="25" spans="1:20" s="68" customFormat="1" ht="15.2" customHeight="1" x14ac:dyDescent="0.15">
      <c r="A25" s="491"/>
      <c r="B25" s="501" t="s">
        <v>518</v>
      </c>
      <c r="C25" s="106">
        <v>2099711</v>
      </c>
      <c r="D25" s="105">
        <v>496682</v>
      </c>
      <c r="E25" s="105" t="s">
        <v>1029</v>
      </c>
      <c r="F25" s="105">
        <v>729286</v>
      </c>
      <c r="G25" s="105">
        <v>243889</v>
      </c>
      <c r="H25" s="105">
        <v>241111</v>
      </c>
      <c r="I25" s="105">
        <v>388743</v>
      </c>
      <c r="J25" s="105">
        <v>201302</v>
      </c>
      <c r="K25" s="105">
        <v>187441</v>
      </c>
      <c r="L25" s="105" t="s">
        <v>1029</v>
      </c>
      <c r="M25" s="105">
        <v>17704</v>
      </c>
      <c r="N25" s="105" t="s">
        <v>1029</v>
      </c>
      <c r="O25" s="105">
        <v>995</v>
      </c>
      <c r="P25" s="105">
        <v>70551</v>
      </c>
      <c r="Q25" s="105">
        <v>64565</v>
      </c>
      <c r="R25" s="104">
        <v>5986</v>
      </c>
      <c r="S25" s="500" t="s">
        <v>210</v>
      </c>
      <c r="T25" s="491"/>
    </row>
    <row r="26" spans="1:20" s="68" customFormat="1" ht="15.2" customHeight="1" x14ac:dyDescent="0.15">
      <c r="A26" s="491"/>
      <c r="B26" s="502"/>
      <c r="C26" s="106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11"/>
      <c r="Q26" s="111"/>
      <c r="R26" s="110"/>
      <c r="S26" s="500"/>
      <c r="T26" s="491"/>
    </row>
    <row r="27" spans="1:20" s="68" customFormat="1" ht="15.2" customHeight="1" x14ac:dyDescent="0.15">
      <c r="A27" s="491"/>
      <c r="B27" s="498" t="s">
        <v>209</v>
      </c>
      <c r="C27" s="109">
        <v>175193300</v>
      </c>
      <c r="D27" s="108">
        <v>48405313</v>
      </c>
      <c r="E27" s="108">
        <v>37900714</v>
      </c>
      <c r="F27" s="108">
        <v>12583636</v>
      </c>
      <c r="G27" s="108">
        <v>13111034</v>
      </c>
      <c r="H27" s="108">
        <v>36825107</v>
      </c>
      <c r="I27" s="108">
        <v>26367496</v>
      </c>
      <c r="J27" s="108">
        <v>10127985</v>
      </c>
      <c r="K27" s="108">
        <v>16239511</v>
      </c>
      <c r="L27" s="108">
        <v>2576649</v>
      </c>
      <c r="M27" s="108">
        <v>1881829</v>
      </c>
      <c r="N27" s="108">
        <v>67146</v>
      </c>
      <c r="O27" s="108">
        <v>57950</v>
      </c>
      <c r="P27" s="108">
        <v>13176195</v>
      </c>
      <c r="Q27" s="108">
        <v>10206685</v>
      </c>
      <c r="R27" s="107">
        <v>2969510</v>
      </c>
      <c r="S27" s="494" t="s">
        <v>530</v>
      </c>
      <c r="T27" s="491"/>
    </row>
    <row r="28" spans="1:20" s="68" customFormat="1" ht="15.2" customHeight="1" x14ac:dyDescent="0.15">
      <c r="A28" s="491"/>
      <c r="B28" s="483"/>
      <c r="C28" s="106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11"/>
      <c r="Q28" s="111"/>
      <c r="R28" s="110"/>
      <c r="S28" s="500"/>
      <c r="T28" s="491"/>
    </row>
    <row r="29" spans="1:20" s="68" customFormat="1" ht="15.2" customHeight="1" x14ac:dyDescent="0.15">
      <c r="A29" s="94"/>
      <c r="B29" s="497" t="s">
        <v>208</v>
      </c>
      <c r="C29" s="106">
        <v>144571333</v>
      </c>
      <c r="D29" s="105">
        <v>44504902</v>
      </c>
      <c r="E29" s="105">
        <v>36159823</v>
      </c>
      <c r="F29" s="105">
        <v>4381180</v>
      </c>
      <c r="G29" s="105">
        <v>11798074</v>
      </c>
      <c r="H29" s="105">
        <v>31225349</v>
      </c>
      <c r="I29" s="105">
        <v>16502005</v>
      </c>
      <c r="J29" s="105">
        <v>9841630</v>
      </c>
      <c r="K29" s="105">
        <v>6660375</v>
      </c>
      <c r="L29" s="105">
        <v>1835283</v>
      </c>
      <c r="M29" s="105">
        <v>1439865</v>
      </c>
      <c r="N29" s="105">
        <v>47046</v>
      </c>
      <c r="O29" s="105">
        <v>36980</v>
      </c>
      <c r="P29" s="105">
        <v>11757767</v>
      </c>
      <c r="Q29" s="105">
        <v>9724483</v>
      </c>
      <c r="R29" s="104">
        <v>2033284</v>
      </c>
      <c r="S29" s="500" t="s">
        <v>207</v>
      </c>
      <c r="T29" s="94"/>
    </row>
    <row r="30" spans="1:20" s="68" customFormat="1" ht="15.2" customHeight="1" x14ac:dyDescent="0.15">
      <c r="A30" s="94"/>
      <c r="B30" s="497"/>
      <c r="C30" s="106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4"/>
      <c r="S30" s="500"/>
      <c r="T30" s="94"/>
    </row>
    <row r="31" spans="1:20" s="68" customFormat="1" ht="15.2" customHeight="1" x14ac:dyDescent="0.15">
      <c r="A31" s="491"/>
      <c r="B31" s="497" t="s">
        <v>531</v>
      </c>
      <c r="C31" s="106">
        <v>26285591</v>
      </c>
      <c r="D31" s="105">
        <v>3863550</v>
      </c>
      <c r="E31" s="105">
        <v>77491</v>
      </c>
      <c r="F31" s="105">
        <v>8067262</v>
      </c>
      <c r="G31" s="105">
        <v>818830</v>
      </c>
      <c r="H31" s="105">
        <v>5537708</v>
      </c>
      <c r="I31" s="105">
        <v>7920750</v>
      </c>
      <c r="J31" s="105">
        <v>90893</v>
      </c>
      <c r="K31" s="105">
        <v>7829857</v>
      </c>
      <c r="L31" s="105">
        <v>523212</v>
      </c>
      <c r="M31" s="105" t="s">
        <v>1029</v>
      </c>
      <c r="N31" s="105">
        <v>730</v>
      </c>
      <c r="O31" s="105">
        <v>19930</v>
      </c>
      <c r="P31" s="105">
        <v>196191</v>
      </c>
      <c r="Q31" s="105">
        <v>191818</v>
      </c>
      <c r="R31" s="104">
        <v>4373</v>
      </c>
      <c r="S31" s="500" t="s">
        <v>206</v>
      </c>
      <c r="T31" s="491"/>
    </row>
    <row r="32" spans="1:20" s="68" customFormat="1" ht="15.2" customHeight="1" x14ac:dyDescent="0.15">
      <c r="A32" s="491"/>
      <c r="B32" s="497"/>
      <c r="C32" s="106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4"/>
      <c r="S32" s="500"/>
      <c r="T32" s="491"/>
    </row>
    <row r="33" spans="1:20" s="68" customFormat="1" ht="32.25" customHeight="1" x14ac:dyDescent="0.15">
      <c r="A33" s="491"/>
      <c r="B33" s="497" t="s">
        <v>833</v>
      </c>
      <c r="C33" s="106">
        <v>1749620</v>
      </c>
      <c r="D33" s="105">
        <v>10618</v>
      </c>
      <c r="E33" s="105">
        <v>1205017</v>
      </c>
      <c r="F33" s="105">
        <v>131345</v>
      </c>
      <c r="G33" s="105">
        <v>217791</v>
      </c>
      <c r="H33" s="105">
        <v>35622</v>
      </c>
      <c r="I33" s="105">
        <v>149227</v>
      </c>
      <c r="J33" s="105">
        <v>6124</v>
      </c>
      <c r="K33" s="105">
        <v>143103</v>
      </c>
      <c r="L33" s="105">
        <v>8123</v>
      </c>
      <c r="M33" s="105">
        <v>1280</v>
      </c>
      <c r="N33" s="105" t="s">
        <v>1029</v>
      </c>
      <c r="O33" s="105" t="s">
        <v>1029</v>
      </c>
      <c r="P33" s="105">
        <v>785469</v>
      </c>
      <c r="Q33" s="105">
        <v>75995</v>
      </c>
      <c r="R33" s="104">
        <v>709474</v>
      </c>
      <c r="S33" s="500" t="s">
        <v>519</v>
      </c>
      <c r="T33" s="491"/>
    </row>
    <row r="34" spans="1:20" s="68" customFormat="1" ht="15.2" customHeight="1" x14ac:dyDescent="0.15">
      <c r="A34" s="491"/>
      <c r="B34" s="497"/>
      <c r="C34" s="106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4"/>
      <c r="S34" s="500"/>
      <c r="T34" s="491"/>
    </row>
    <row r="35" spans="1:20" s="68" customFormat="1" ht="15.2" customHeight="1" x14ac:dyDescent="0.15">
      <c r="A35" s="491"/>
      <c r="B35" s="497" t="s">
        <v>532</v>
      </c>
      <c r="C35" s="106">
        <v>1778862</v>
      </c>
      <c r="D35" s="105">
        <v>435</v>
      </c>
      <c r="E35" s="105">
        <v>29023</v>
      </c>
      <c r="F35" s="105" t="s">
        <v>1029</v>
      </c>
      <c r="G35" s="105">
        <v>93580</v>
      </c>
      <c r="H35" s="105">
        <v>1739</v>
      </c>
      <c r="I35" s="105">
        <v>1654085</v>
      </c>
      <c r="J35" s="105">
        <v>181329</v>
      </c>
      <c r="K35" s="105">
        <v>1472756</v>
      </c>
      <c r="L35" s="105">
        <v>54075</v>
      </c>
      <c r="M35" s="105">
        <v>399889</v>
      </c>
      <c r="N35" s="105">
        <v>2</v>
      </c>
      <c r="O35" s="105" t="s">
        <v>1029</v>
      </c>
      <c r="P35" s="105">
        <v>171913</v>
      </c>
      <c r="Q35" s="105">
        <v>24143</v>
      </c>
      <c r="R35" s="104">
        <v>147770</v>
      </c>
      <c r="S35" s="500" t="s">
        <v>205</v>
      </c>
      <c r="T35" s="491"/>
    </row>
    <row r="36" spans="1:20" s="68" customFormat="1" ht="15.2" customHeight="1" x14ac:dyDescent="0.15">
      <c r="A36" s="491"/>
      <c r="B36" s="497"/>
      <c r="C36" s="106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4"/>
      <c r="S36" s="500"/>
      <c r="T36" s="491"/>
    </row>
    <row r="37" spans="1:20" s="68" customFormat="1" ht="15.2" customHeight="1" x14ac:dyDescent="0.15">
      <c r="A37" s="491"/>
      <c r="B37" s="501" t="s">
        <v>533</v>
      </c>
      <c r="C37" s="106">
        <v>807894</v>
      </c>
      <c r="D37" s="105">
        <v>25808</v>
      </c>
      <c r="E37" s="105">
        <v>429360</v>
      </c>
      <c r="F37" s="105">
        <v>3849</v>
      </c>
      <c r="G37" s="105">
        <v>182759</v>
      </c>
      <c r="H37" s="105">
        <v>24689</v>
      </c>
      <c r="I37" s="105">
        <v>141429</v>
      </c>
      <c r="J37" s="105">
        <v>8009</v>
      </c>
      <c r="K37" s="105">
        <v>133420</v>
      </c>
      <c r="L37" s="105">
        <v>155956</v>
      </c>
      <c r="M37" s="105">
        <v>40795</v>
      </c>
      <c r="N37" s="105">
        <v>19368</v>
      </c>
      <c r="O37" s="105">
        <v>1040</v>
      </c>
      <c r="P37" s="105">
        <v>264855</v>
      </c>
      <c r="Q37" s="105">
        <v>190246</v>
      </c>
      <c r="R37" s="104">
        <v>74609</v>
      </c>
      <c r="S37" s="500" t="s">
        <v>204</v>
      </c>
      <c r="T37" s="491"/>
    </row>
    <row r="38" spans="1:20" s="68" customFormat="1" ht="15.2" customHeight="1" x14ac:dyDescent="0.15">
      <c r="A38" s="491"/>
      <c r="B38" s="483"/>
      <c r="C38" s="106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4"/>
      <c r="S38" s="500"/>
      <c r="T38" s="491"/>
    </row>
    <row r="39" spans="1:20" s="68" customFormat="1" ht="15.2" customHeight="1" x14ac:dyDescent="0.15">
      <c r="A39" s="491"/>
      <c r="B39" s="498" t="s">
        <v>1119</v>
      </c>
      <c r="C39" s="109">
        <v>7968794</v>
      </c>
      <c r="D39" s="108">
        <v>1553756</v>
      </c>
      <c r="E39" s="108">
        <v>1423282</v>
      </c>
      <c r="F39" s="108">
        <v>717564</v>
      </c>
      <c r="G39" s="108">
        <v>1151691</v>
      </c>
      <c r="H39" s="108">
        <v>1365847</v>
      </c>
      <c r="I39" s="108">
        <v>1756654</v>
      </c>
      <c r="J39" s="108">
        <v>631330</v>
      </c>
      <c r="K39" s="108">
        <v>1125324</v>
      </c>
      <c r="L39" s="108">
        <v>427487</v>
      </c>
      <c r="M39" s="108">
        <v>192982</v>
      </c>
      <c r="N39" s="108">
        <v>9362</v>
      </c>
      <c r="O39" s="108">
        <v>11602</v>
      </c>
      <c r="P39" s="108">
        <v>1603484</v>
      </c>
      <c r="Q39" s="108">
        <v>1025629</v>
      </c>
      <c r="R39" s="107">
        <v>577855</v>
      </c>
      <c r="S39" s="494" t="s">
        <v>534</v>
      </c>
      <c r="T39" s="491"/>
    </row>
    <row r="40" spans="1:20" s="68" customFormat="1" ht="15.2" customHeight="1" x14ac:dyDescent="0.15">
      <c r="A40" s="491"/>
      <c r="B40" s="483"/>
      <c r="C40" s="106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4"/>
      <c r="S40" s="500"/>
      <c r="T40" s="491"/>
    </row>
    <row r="41" spans="1:20" s="68" customFormat="1" ht="15.2" customHeight="1" x14ac:dyDescent="0.15">
      <c r="A41" s="491"/>
      <c r="B41" s="497" t="s">
        <v>527</v>
      </c>
      <c r="C41" s="106">
        <v>4624021</v>
      </c>
      <c r="D41" s="105">
        <v>815259</v>
      </c>
      <c r="E41" s="105">
        <v>1018670</v>
      </c>
      <c r="F41" s="105">
        <v>395341</v>
      </c>
      <c r="G41" s="105">
        <v>606068</v>
      </c>
      <c r="H41" s="105">
        <v>707472</v>
      </c>
      <c r="I41" s="105">
        <v>1081211</v>
      </c>
      <c r="J41" s="105">
        <v>290384</v>
      </c>
      <c r="K41" s="105">
        <v>790827</v>
      </c>
      <c r="L41" s="105">
        <v>154085</v>
      </c>
      <c r="M41" s="105">
        <v>149312</v>
      </c>
      <c r="N41" s="105" t="s">
        <v>1029</v>
      </c>
      <c r="O41" s="105">
        <v>3570</v>
      </c>
      <c r="P41" s="105">
        <v>225119</v>
      </c>
      <c r="Q41" s="105">
        <v>75171</v>
      </c>
      <c r="R41" s="104">
        <v>149948</v>
      </c>
      <c r="S41" s="492" t="s">
        <v>198</v>
      </c>
      <c r="T41" s="491"/>
    </row>
    <row r="42" spans="1:20" s="68" customFormat="1" ht="15.2" customHeight="1" x14ac:dyDescent="0.15">
      <c r="A42" s="491"/>
      <c r="B42" s="497"/>
      <c r="C42" s="106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4"/>
      <c r="S42" s="492"/>
      <c r="T42" s="491"/>
    </row>
    <row r="43" spans="1:20" s="68" customFormat="1" ht="21" customHeight="1" x14ac:dyDescent="0.15">
      <c r="A43" s="491"/>
      <c r="B43" s="497" t="s">
        <v>829</v>
      </c>
      <c r="C43" s="140">
        <v>3344773</v>
      </c>
      <c r="D43" s="139">
        <v>738497</v>
      </c>
      <c r="E43" s="138">
        <v>404612</v>
      </c>
      <c r="F43" s="139">
        <v>322223</v>
      </c>
      <c r="G43" s="139">
        <v>545623</v>
      </c>
      <c r="H43" s="139">
        <v>658375</v>
      </c>
      <c r="I43" s="138">
        <v>675443</v>
      </c>
      <c r="J43" s="138">
        <v>340946</v>
      </c>
      <c r="K43" s="139">
        <v>334497</v>
      </c>
      <c r="L43" s="138">
        <v>273402</v>
      </c>
      <c r="M43" s="138">
        <v>43670</v>
      </c>
      <c r="N43" s="138">
        <v>9362</v>
      </c>
      <c r="O43" s="138">
        <v>8032</v>
      </c>
      <c r="P43" s="138">
        <v>1378365</v>
      </c>
      <c r="Q43" s="138">
        <v>950458</v>
      </c>
      <c r="R43" s="586">
        <v>427907</v>
      </c>
      <c r="S43" s="492" t="s">
        <v>202</v>
      </c>
      <c r="T43" s="491"/>
    </row>
    <row r="44" spans="1:20" s="68" customFormat="1" ht="15.2" customHeight="1" x14ac:dyDescent="0.15">
      <c r="A44" s="491"/>
      <c r="B44" s="503"/>
      <c r="C44" s="103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504"/>
      <c r="T44" s="94"/>
    </row>
    <row r="45" spans="1:20" s="99" customFormat="1" ht="15.2" customHeight="1" x14ac:dyDescent="0.15">
      <c r="A45" s="505"/>
      <c r="B45" s="100" t="s">
        <v>201</v>
      </c>
      <c r="C45" s="506"/>
      <c r="D45" s="506"/>
      <c r="E45" s="506"/>
      <c r="F45" s="506"/>
      <c r="G45" s="506"/>
      <c r="H45" s="506"/>
      <c r="I45" s="506"/>
      <c r="L45" s="100" t="s">
        <v>520</v>
      </c>
      <c r="M45" s="506"/>
      <c r="N45" s="100"/>
      <c r="O45" s="506"/>
      <c r="P45" s="506"/>
      <c r="Q45" s="506"/>
      <c r="R45" s="506"/>
      <c r="S45" s="506"/>
      <c r="T45" s="507"/>
    </row>
    <row r="46" spans="1:20" s="99" customFormat="1" ht="15.2" customHeight="1" x14ac:dyDescent="0.15">
      <c r="A46" s="505"/>
      <c r="B46" s="99" t="s">
        <v>535</v>
      </c>
      <c r="C46" s="506"/>
      <c r="D46" s="506"/>
      <c r="E46" s="506"/>
      <c r="F46" s="505"/>
      <c r="L46" s="100" t="s">
        <v>521</v>
      </c>
      <c r="M46" s="506"/>
      <c r="N46" s="506"/>
      <c r="O46" s="506"/>
      <c r="P46" s="506"/>
      <c r="Q46" s="506"/>
      <c r="R46" s="506"/>
      <c r="S46" s="506"/>
      <c r="T46" s="507"/>
    </row>
    <row r="47" spans="1:20" s="99" customFormat="1" ht="15.2" customHeight="1" x14ac:dyDescent="0.15">
      <c r="A47" s="505"/>
      <c r="B47" s="99" t="s">
        <v>536</v>
      </c>
      <c r="C47" s="506"/>
      <c r="D47" s="506"/>
      <c r="E47" s="506"/>
      <c r="F47" s="505"/>
      <c r="G47" s="100"/>
      <c r="H47" s="506"/>
      <c r="I47" s="506"/>
      <c r="J47" s="506"/>
      <c r="L47" s="100" t="s">
        <v>1039</v>
      </c>
      <c r="M47" s="506"/>
      <c r="N47" s="506"/>
      <c r="O47" s="506"/>
      <c r="P47" s="506"/>
      <c r="Q47" s="506"/>
      <c r="R47" s="506"/>
      <c r="S47" s="506"/>
      <c r="T47" s="507"/>
    </row>
    <row r="48" spans="1:20" s="99" customFormat="1" ht="15.2" customHeight="1" x14ac:dyDescent="0.15">
      <c r="A48" s="505"/>
      <c r="B48" s="587" t="s">
        <v>836</v>
      </c>
      <c r="C48" s="506"/>
      <c r="D48" s="506"/>
      <c r="E48" s="506"/>
      <c r="F48" s="506"/>
      <c r="G48" s="506"/>
      <c r="H48" s="506"/>
      <c r="I48" s="506"/>
      <c r="J48" s="506"/>
      <c r="K48" s="506"/>
      <c r="L48" s="506"/>
      <c r="M48" s="506"/>
      <c r="N48" s="506"/>
      <c r="O48" s="506"/>
      <c r="P48" s="506"/>
      <c r="Q48" s="506"/>
      <c r="R48" s="506"/>
      <c r="S48" s="506"/>
      <c r="T48" s="507"/>
    </row>
    <row r="49" spans="20:20" s="99" customFormat="1" ht="15.2" customHeight="1" x14ac:dyDescent="0.15">
      <c r="T49" s="192"/>
    </row>
  </sheetData>
  <phoneticPr fontId="33"/>
  <pageMargins left="0.59055118110236227" right="0.59055118110236227" top="0.59055118110236227" bottom="0.59055118110236227" header="0.59055118110236227" footer="0.15748031496062992"/>
  <pageSetup paperSize="9" fitToHeight="0" orientation="portrait" r:id="rId1"/>
  <headerFooter alignWithMargins="0">
    <oddHeader xml:space="preserve">&amp;R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45"/>
  <sheetViews>
    <sheetView view="pageBreakPreview" zoomScaleNormal="50" zoomScaleSheetLayoutView="100" workbookViewId="0"/>
  </sheetViews>
  <sheetFormatPr defaultRowHeight="17.25" x14ac:dyDescent="0.2"/>
  <cols>
    <col min="1" max="1" width="2.625" style="141" customWidth="1"/>
    <col min="2" max="2" width="12.375" style="141" customWidth="1"/>
    <col min="3" max="3" width="8.875" style="141" customWidth="1"/>
    <col min="4" max="18" width="8.375" style="141" customWidth="1"/>
    <col min="19" max="19" width="18.625" style="143" customWidth="1"/>
    <col min="20" max="20" width="2.625" style="142" customWidth="1"/>
    <col min="21" max="21" width="6.5" style="141" customWidth="1"/>
    <col min="22" max="16384" width="9" style="141"/>
  </cols>
  <sheetData>
    <row r="1" spans="1:20" s="184" customFormat="1" ht="17.25" customHeight="1" x14ac:dyDescent="0.2">
      <c r="A1" s="186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S1" s="185"/>
      <c r="T1" s="175"/>
    </row>
    <row r="2" spans="1:20" s="175" customFormat="1" ht="17.25" customHeight="1" x14ac:dyDescent="0.2">
      <c r="A2" s="181"/>
      <c r="B2" s="183" t="s">
        <v>597</v>
      </c>
      <c r="C2" s="180"/>
      <c r="D2" s="180"/>
      <c r="E2" s="176"/>
      <c r="F2" s="182"/>
      <c r="G2" s="181"/>
      <c r="H2" s="181"/>
      <c r="I2" s="139"/>
      <c r="J2" s="176"/>
      <c r="K2" s="176"/>
      <c r="L2" s="179"/>
      <c r="M2" s="176"/>
      <c r="N2" s="178"/>
      <c r="O2" s="178"/>
      <c r="P2" s="178"/>
      <c r="Q2" s="178"/>
      <c r="R2" s="178"/>
      <c r="S2" s="177"/>
      <c r="T2" s="176"/>
    </row>
    <row r="3" spans="1:20" s="175" customFormat="1" ht="17.25" customHeight="1" x14ac:dyDescent="0.2">
      <c r="A3" s="181"/>
      <c r="B3" s="183" t="s">
        <v>537</v>
      </c>
      <c r="C3" s="180"/>
      <c r="D3" s="180"/>
      <c r="E3" s="176"/>
      <c r="F3" s="182"/>
      <c r="G3" s="181"/>
      <c r="H3" s="181"/>
      <c r="I3" s="180"/>
      <c r="J3" s="176"/>
      <c r="K3" s="176"/>
      <c r="L3" s="179"/>
      <c r="M3" s="176"/>
      <c r="N3" s="178"/>
      <c r="O3" s="178"/>
      <c r="P3" s="178"/>
      <c r="Q3" s="178"/>
      <c r="R3" s="178"/>
      <c r="S3" s="177"/>
      <c r="T3" s="176"/>
    </row>
    <row r="4" spans="1:20" ht="17.25" customHeight="1" x14ac:dyDescent="0.2">
      <c r="A4" s="174"/>
      <c r="B4" s="137" t="s">
        <v>1038</v>
      </c>
      <c r="C4" s="172"/>
      <c r="D4" s="172"/>
      <c r="E4" s="172"/>
      <c r="F4" s="173" t="s">
        <v>214</v>
      </c>
      <c r="G4" s="172" t="s">
        <v>214</v>
      </c>
      <c r="H4" s="172"/>
      <c r="I4" s="172"/>
      <c r="J4" s="172"/>
      <c r="K4" s="172"/>
      <c r="L4" s="171"/>
      <c r="M4" s="171"/>
      <c r="N4" s="170"/>
      <c r="O4" s="481"/>
      <c r="P4" s="481"/>
      <c r="Q4" s="74"/>
      <c r="R4" s="78" t="s">
        <v>681</v>
      </c>
      <c r="S4" s="169"/>
      <c r="T4" s="168"/>
    </row>
    <row r="5" spans="1:20" s="144" customFormat="1" ht="17.25" customHeight="1" x14ac:dyDescent="0.15">
      <c r="A5" s="147"/>
      <c r="B5" s="167"/>
      <c r="C5" s="780"/>
      <c r="D5" s="136"/>
      <c r="E5" s="136"/>
      <c r="F5" s="136"/>
      <c r="G5" s="136"/>
      <c r="H5" s="136"/>
      <c r="I5" s="136"/>
      <c r="J5" s="136"/>
      <c r="K5" s="135"/>
      <c r="L5" s="134"/>
      <c r="M5" s="133"/>
      <c r="N5" s="133"/>
      <c r="O5" s="133"/>
      <c r="P5" s="133"/>
      <c r="Q5" s="132"/>
      <c r="R5" s="131"/>
      <c r="S5" s="485"/>
      <c r="T5" s="132"/>
    </row>
    <row r="6" spans="1:20" s="144" customFormat="1" ht="17.25" customHeight="1" x14ac:dyDescent="0.15">
      <c r="A6" s="165"/>
      <c r="B6" s="166" t="s">
        <v>500</v>
      </c>
      <c r="C6" s="124" t="s">
        <v>227</v>
      </c>
      <c r="D6" s="119" t="s">
        <v>501</v>
      </c>
      <c r="E6" s="119" t="s">
        <v>502</v>
      </c>
      <c r="F6" s="119" t="s">
        <v>503</v>
      </c>
      <c r="G6" s="119" t="s">
        <v>504</v>
      </c>
      <c r="H6" s="119" t="s">
        <v>505</v>
      </c>
      <c r="I6" s="119" t="s">
        <v>506</v>
      </c>
      <c r="J6" s="129"/>
      <c r="K6" s="128"/>
      <c r="L6" s="121" t="s">
        <v>507</v>
      </c>
      <c r="M6" s="122" t="s">
        <v>508</v>
      </c>
      <c r="N6" s="122" t="s">
        <v>509</v>
      </c>
      <c r="O6" s="122" t="s">
        <v>510</v>
      </c>
      <c r="P6" s="127" t="s">
        <v>542</v>
      </c>
      <c r="Q6" s="126"/>
      <c r="R6" s="125"/>
      <c r="S6" s="119" t="s">
        <v>226</v>
      </c>
      <c r="T6" s="132"/>
    </row>
    <row r="7" spans="1:20" s="144" customFormat="1" ht="17.25" customHeight="1" x14ac:dyDescent="0.15">
      <c r="A7" s="165"/>
      <c r="B7" s="166"/>
      <c r="C7" s="124"/>
      <c r="D7" s="119" t="s">
        <v>224</v>
      </c>
      <c r="E7" s="119" t="s">
        <v>224</v>
      </c>
      <c r="F7" s="119" t="s">
        <v>225</v>
      </c>
      <c r="G7" s="119"/>
      <c r="H7" s="119"/>
      <c r="I7" s="119" t="s">
        <v>224</v>
      </c>
      <c r="J7" s="119" t="s">
        <v>223</v>
      </c>
      <c r="K7" s="781" t="s">
        <v>222</v>
      </c>
      <c r="L7" s="121"/>
      <c r="M7" s="122"/>
      <c r="N7" s="122"/>
      <c r="O7" s="122"/>
      <c r="P7" s="122"/>
      <c r="Q7" s="122" t="s">
        <v>512</v>
      </c>
      <c r="R7" s="121" t="s">
        <v>513</v>
      </c>
      <c r="S7" s="119"/>
      <c r="T7" s="132"/>
    </row>
    <row r="8" spans="1:20" s="144" customFormat="1" ht="34.5" customHeight="1" x14ac:dyDescent="0.15">
      <c r="A8" s="165"/>
      <c r="B8" s="164"/>
      <c r="C8" s="118" t="s">
        <v>827</v>
      </c>
      <c r="D8" s="118" t="s">
        <v>221</v>
      </c>
      <c r="E8" s="118" t="s">
        <v>522</v>
      </c>
      <c r="F8" s="118" t="s">
        <v>523</v>
      </c>
      <c r="G8" s="118" t="s">
        <v>220</v>
      </c>
      <c r="H8" s="118" t="s">
        <v>514</v>
      </c>
      <c r="I8" s="118" t="s">
        <v>828</v>
      </c>
      <c r="J8" s="118" t="s">
        <v>524</v>
      </c>
      <c r="K8" s="117" t="s">
        <v>543</v>
      </c>
      <c r="L8" s="116" t="s">
        <v>538</v>
      </c>
      <c r="M8" s="116" t="s">
        <v>219</v>
      </c>
      <c r="N8" s="116" t="s">
        <v>218</v>
      </c>
      <c r="O8" s="115" t="s">
        <v>217</v>
      </c>
      <c r="P8" s="642" t="s">
        <v>526</v>
      </c>
      <c r="Q8" s="114"/>
      <c r="R8" s="114"/>
      <c r="S8" s="490"/>
      <c r="T8" s="132"/>
    </row>
    <row r="9" spans="1:20" s="144" customFormat="1" ht="15" customHeight="1" x14ac:dyDescent="0.15">
      <c r="A9" s="138"/>
      <c r="B9" s="157"/>
      <c r="C9" s="788"/>
      <c r="D9" s="789"/>
      <c r="E9" s="789"/>
      <c r="F9" s="789"/>
      <c r="G9" s="789"/>
      <c r="H9" s="789"/>
      <c r="I9" s="789"/>
      <c r="J9" s="789"/>
      <c r="K9" s="789"/>
      <c r="L9" s="789"/>
      <c r="M9" s="789"/>
      <c r="N9" s="789"/>
      <c r="O9" s="789"/>
      <c r="P9" s="163"/>
      <c r="Q9" s="163"/>
      <c r="R9" s="790"/>
      <c r="S9" s="132"/>
      <c r="T9" s="138"/>
    </row>
    <row r="10" spans="1:20" s="144" customFormat="1" ht="15" customHeight="1" x14ac:dyDescent="0.15">
      <c r="A10" s="138"/>
      <c r="B10" s="157" t="s">
        <v>1120</v>
      </c>
      <c r="C10" s="156">
        <v>4286802</v>
      </c>
      <c r="D10" s="139">
        <v>768134</v>
      </c>
      <c r="E10" s="139">
        <v>487404</v>
      </c>
      <c r="F10" s="139">
        <v>359738</v>
      </c>
      <c r="G10" s="139">
        <v>1329464</v>
      </c>
      <c r="H10" s="139">
        <v>561133</v>
      </c>
      <c r="I10" s="139">
        <v>780929</v>
      </c>
      <c r="J10" s="139">
        <v>408543</v>
      </c>
      <c r="K10" s="139">
        <v>372386</v>
      </c>
      <c r="L10" s="139">
        <v>317176</v>
      </c>
      <c r="M10" s="139">
        <v>40672</v>
      </c>
      <c r="N10" s="139">
        <v>9977</v>
      </c>
      <c r="O10" s="139">
        <v>10959</v>
      </c>
      <c r="P10" s="139">
        <v>1595277</v>
      </c>
      <c r="Q10" s="139">
        <v>1112573</v>
      </c>
      <c r="R10" s="154">
        <v>482704</v>
      </c>
      <c r="S10" s="146" t="s">
        <v>215</v>
      </c>
      <c r="T10" s="138"/>
    </row>
    <row r="11" spans="1:20" s="144" customFormat="1" ht="15" customHeight="1" x14ac:dyDescent="0.15">
      <c r="A11" s="138"/>
      <c r="B11" s="157"/>
      <c r="C11" s="156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54"/>
      <c r="S11" s="146"/>
      <c r="T11" s="138"/>
    </row>
    <row r="12" spans="1:20" s="144" customFormat="1" ht="15" customHeight="1" x14ac:dyDescent="0.15">
      <c r="A12" s="138"/>
      <c r="B12" s="161" t="s">
        <v>213</v>
      </c>
      <c r="C12" s="160">
        <v>363523809</v>
      </c>
      <c r="D12" s="159">
        <v>103867686</v>
      </c>
      <c r="E12" s="159">
        <v>66279312</v>
      </c>
      <c r="F12" s="159">
        <v>22168534</v>
      </c>
      <c r="G12" s="159">
        <v>33996652</v>
      </c>
      <c r="H12" s="159">
        <v>81881678</v>
      </c>
      <c r="I12" s="159">
        <v>55329947</v>
      </c>
      <c r="J12" s="159">
        <v>24065134</v>
      </c>
      <c r="K12" s="159">
        <v>31264813</v>
      </c>
      <c r="L12" s="159">
        <v>5309472</v>
      </c>
      <c r="M12" s="159">
        <v>3226975</v>
      </c>
      <c r="N12" s="159">
        <v>99944</v>
      </c>
      <c r="O12" s="159">
        <v>98768</v>
      </c>
      <c r="P12" s="159">
        <v>30663485</v>
      </c>
      <c r="Q12" s="159">
        <v>24440544</v>
      </c>
      <c r="R12" s="588">
        <v>6222941</v>
      </c>
      <c r="S12" s="589" t="s">
        <v>528</v>
      </c>
      <c r="T12" s="138"/>
    </row>
    <row r="13" spans="1:20" s="144" customFormat="1" ht="15" customHeight="1" x14ac:dyDescent="0.15">
      <c r="A13" s="138"/>
      <c r="B13" s="157"/>
      <c r="C13" s="156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54"/>
      <c r="S13" s="146"/>
      <c r="T13" s="138"/>
    </row>
    <row r="14" spans="1:20" s="144" customFormat="1" ht="21" customHeight="1" x14ac:dyDescent="0.15">
      <c r="A14" s="138"/>
      <c r="B14" s="158" t="s">
        <v>837</v>
      </c>
      <c r="C14" s="156">
        <v>169560836</v>
      </c>
      <c r="D14" s="139">
        <v>47427945</v>
      </c>
      <c r="E14" s="139">
        <v>33462627</v>
      </c>
      <c r="F14" s="139">
        <v>11895138</v>
      </c>
      <c r="G14" s="139">
        <v>12675906</v>
      </c>
      <c r="H14" s="139">
        <v>37826764</v>
      </c>
      <c r="I14" s="139">
        <v>26272456</v>
      </c>
      <c r="J14" s="139">
        <v>10218054</v>
      </c>
      <c r="K14" s="139">
        <v>16054402</v>
      </c>
      <c r="L14" s="139">
        <v>2376453</v>
      </c>
      <c r="M14" s="139">
        <v>1593634</v>
      </c>
      <c r="N14" s="139">
        <v>56066</v>
      </c>
      <c r="O14" s="139">
        <v>48200</v>
      </c>
      <c r="P14" s="139">
        <v>3627350</v>
      </c>
      <c r="Q14" s="139">
        <v>2328996</v>
      </c>
      <c r="R14" s="154">
        <v>1298354</v>
      </c>
      <c r="S14" s="146" t="s">
        <v>212</v>
      </c>
      <c r="T14" s="138"/>
    </row>
    <row r="15" spans="1:20" s="144" customFormat="1" ht="15" customHeight="1" x14ac:dyDescent="0.15">
      <c r="A15" s="138"/>
      <c r="B15" s="158"/>
      <c r="C15" s="156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54"/>
      <c r="S15" s="146"/>
      <c r="T15" s="138"/>
    </row>
    <row r="16" spans="1:20" s="144" customFormat="1" ht="15" customHeight="1" x14ac:dyDescent="0.15">
      <c r="A16" s="138"/>
      <c r="B16" s="158" t="s">
        <v>598</v>
      </c>
      <c r="C16" s="156">
        <v>32531948</v>
      </c>
      <c r="D16" s="139">
        <v>3201446</v>
      </c>
      <c r="E16" s="139">
        <v>25030157</v>
      </c>
      <c r="F16" s="139">
        <v>76311</v>
      </c>
      <c r="G16" s="139">
        <v>2032129</v>
      </c>
      <c r="H16" s="139">
        <v>1205535</v>
      </c>
      <c r="I16" s="139">
        <v>986370</v>
      </c>
      <c r="J16" s="139">
        <v>12114</v>
      </c>
      <c r="K16" s="139">
        <v>974256</v>
      </c>
      <c r="L16" s="139">
        <v>239176</v>
      </c>
      <c r="M16" s="139">
        <v>15538</v>
      </c>
      <c r="N16" s="139">
        <v>1902</v>
      </c>
      <c r="O16" s="139">
        <v>18789</v>
      </c>
      <c r="P16" s="139">
        <v>10553947</v>
      </c>
      <c r="Q16" s="139">
        <v>8684766</v>
      </c>
      <c r="R16" s="154">
        <v>1869181</v>
      </c>
      <c r="S16" s="146" t="s">
        <v>211</v>
      </c>
      <c r="T16" s="138"/>
    </row>
    <row r="17" spans="1:20" s="144" customFormat="1" ht="15" customHeight="1" x14ac:dyDescent="0.15">
      <c r="A17" s="138"/>
      <c r="B17" s="158"/>
      <c r="C17" s="156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54"/>
      <c r="S17" s="146"/>
      <c r="T17" s="138"/>
    </row>
    <row r="18" spans="1:20" s="144" customFormat="1" ht="31.5" customHeight="1" x14ac:dyDescent="0.15">
      <c r="A18" s="138"/>
      <c r="B18" s="162" t="s">
        <v>234</v>
      </c>
      <c r="C18" s="156">
        <v>98482275</v>
      </c>
      <c r="D18" s="139">
        <v>29862571</v>
      </c>
      <c r="E18" s="139">
        <v>5876223</v>
      </c>
      <c r="F18" s="139">
        <v>5464972</v>
      </c>
      <c r="G18" s="139">
        <v>11596623</v>
      </c>
      <c r="H18" s="139">
        <v>26630836</v>
      </c>
      <c r="I18" s="139">
        <v>19051050</v>
      </c>
      <c r="J18" s="139">
        <v>7833443</v>
      </c>
      <c r="K18" s="139">
        <v>11217607</v>
      </c>
      <c r="L18" s="139">
        <v>1225836</v>
      </c>
      <c r="M18" s="139">
        <v>1097762</v>
      </c>
      <c r="N18" s="139">
        <v>13809</v>
      </c>
      <c r="O18" s="139">
        <v>7975</v>
      </c>
      <c r="P18" s="139">
        <v>9595362</v>
      </c>
      <c r="Q18" s="139">
        <v>7161564</v>
      </c>
      <c r="R18" s="154">
        <v>2433798</v>
      </c>
      <c r="S18" s="146" t="s">
        <v>599</v>
      </c>
      <c r="T18" s="138"/>
    </row>
    <row r="19" spans="1:20" s="144" customFormat="1" ht="15" customHeight="1" x14ac:dyDescent="0.15">
      <c r="A19" s="138"/>
      <c r="B19" s="158"/>
      <c r="C19" s="156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54"/>
      <c r="S19" s="146"/>
      <c r="T19" s="138"/>
    </row>
    <row r="20" spans="1:20" s="144" customFormat="1" ht="25.5" customHeight="1" x14ac:dyDescent="0.15">
      <c r="A20" s="138"/>
      <c r="B20" s="158" t="s">
        <v>838</v>
      </c>
      <c r="C20" s="156">
        <v>9384296</v>
      </c>
      <c r="D20" s="139">
        <v>3477824</v>
      </c>
      <c r="E20" s="139">
        <v>512694</v>
      </c>
      <c r="F20" s="139">
        <v>21055</v>
      </c>
      <c r="G20" s="139">
        <v>1436575</v>
      </c>
      <c r="H20" s="139">
        <v>1623281</v>
      </c>
      <c r="I20" s="139">
        <v>2312867</v>
      </c>
      <c r="J20" s="139">
        <v>1448295</v>
      </c>
      <c r="K20" s="139">
        <v>864572</v>
      </c>
      <c r="L20" s="139">
        <v>466103</v>
      </c>
      <c r="M20" s="139">
        <v>116203</v>
      </c>
      <c r="N20" s="139">
        <v>4420</v>
      </c>
      <c r="O20" s="139">
        <v>20042</v>
      </c>
      <c r="P20" s="139">
        <v>2640919</v>
      </c>
      <c r="Q20" s="139">
        <v>2364025</v>
      </c>
      <c r="R20" s="154">
        <v>276894</v>
      </c>
      <c r="S20" s="146" t="s">
        <v>600</v>
      </c>
      <c r="T20" s="138"/>
    </row>
    <row r="21" spans="1:20" s="144" customFormat="1" ht="15" customHeight="1" x14ac:dyDescent="0.15">
      <c r="A21" s="138"/>
      <c r="B21" s="158"/>
      <c r="C21" s="156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54"/>
      <c r="S21" s="146"/>
      <c r="T21" s="138"/>
    </row>
    <row r="22" spans="1:20" s="144" customFormat="1" ht="30.75" customHeight="1" x14ac:dyDescent="0.15">
      <c r="A22" s="138"/>
      <c r="B22" s="158" t="s">
        <v>839</v>
      </c>
      <c r="C22" s="156">
        <v>193974</v>
      </c>
      <c r="D22" s="139" t="s">
        <v>1029</v>
      </c>
      <c r="E22" s="139" t="s">
        <v>1029</v>
      </c>
      <c r="F22" s="139" t="s">
        <v>1029</v>
      </c>
      <c r="G22" s="139">
        <v>118904</v>
      </c>
      <c r="H22" s="139">
        <v>25922</v>
      </c>
      <c r="I22" s="139">
        <v>49148</v>
      </c>
      <c r="J22" s="139">
        <v>48841</v>
      </c>
      <c r="K22" s="139">
        <v>307</v>
      </c>
      <c r="L22" s="139">
        <v>206</v>
      </c>
      <c r="M22" s="139" t="s">
        <v>1029</v>
      </c>
      <c r="N22" s="139">
        <v>8297</v>
      </c>
      <c r="O22" s="139" t="s">
        <v>1029</v>
      </c>
      <c r="P22" s="139">
        <v>32672</v>
      </c>
      <c r="Q22" s="139" t="s">
        <v>1029</v>
      </c>
      <c r="R22" s="154">
        <v>32672</v>
      </c>
      <c r="S22" s="146" t="s">
        <v>544</v>
      </c>
      <c r="T22" s="138"/>
    </row>
    <row r="23" spans="1:20" s="144" customFormat="1" ht="15" customHeight="1" x14ac:dyDescent="0.15">
      <c r="A23" s="138"/>
      <c r="B23" s="158"/>
      <c r="C23" s="156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54"/>
      <c r="S23" s="146"/>
      <c r="T23" s="138"/>
    </row>
    <row r="24" spans="1:20" s="144" customFormat="1" ht="21" customHeight="1" x14ac:dyDescent="0.15">
      <c r="A24" s="138"/>
      <c r="B24" s="497" t="s">
        <v>832</v>
      </c>
      <c r="C24" s="156" t="s">
        <v>1029</v>
      </c>
      <c r="D24" s="139" t="s">
        <v>1029</v>
      </c>
      <c r="E24" s="139" t="s">
        <v>1029</v>
      </c>
      <c r="F24" s="139" t="s">
        <v>1029</v>
      </c>
      <c r="G24" s="139" t="s">
        <v>1029</v>
      </c>
      <c r="H24" s="139" t="s">
        <v>1029</v>
      </c>
      <c r="I24" s="139" t="s">
        <v>1029</v>
      </c>
      <c r="J24" s="139" t="s">
        <v>1029</v>
      </c>
      <c r="K24" s="139" t="s">
        <v>1029</v>
      </c>
      <c r="L24" s="139" t="s">
        <v>1029</v>
      </c>
      <c r="M24" s="139" t="s">
        <v>1029</v>
      </c>
      <c r="N24" s="139" t="s">
        <v>1029</v>
      </c>
      <c r="O24" s="139" t="s">
        <v>1029</v>
      </c>
      <c r="P24" s="139" t="s">
        <v>1029</v>
      </c>
      <c r="Q24" s="139" t="s">
        <v>1029</v>
      </c>
      <c r="R24" s="154" t="s">
        <v>1029</v>
      </c>
      <c r="S24" s="146" t="s">
        <v>233</v>
      </c>
      <c r="T24" s="138"/>
    </row>
    <row r="25" spans="1:20" s="144" customFormat="1" ht="15" customHeight="1" x14ac:dyDescent="0.15">
      <c r="A25" s="138"/>
      <c r="B25" s="158"/>
      <c r="C25" s="156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54"/>
      <c r="S25" s="146"/>
      <c r="T25" s="138"/>
    </row>
    <row r="26" spans="1:20" s="144" customFormat="1" ht="15" customHeight="1" x14ac:dyDescent="0.15">
      <c r="A26" s="138"/>
      <c r="B26" s="158" t="s">
        <v>601</v>
      </c>
      <c r="C26" s="156">
        <v>53370480</v>
      </c>
      <c r="D26" s="139">
        <v>19897900</v>
      </c>
      <c r="E26" s="139">
        <v>1397611</v>
      </c>
      <c r="F26" s="139">
        <v>4711058</v>
      </c>
      <c r="G26" s="139">
        <v>6136515</v>
      </c>
      <c r="H26" s="139">
        <v>14569340</v>
      </c>
      <c r="I26" s="139">
        <v>6658056</v>
      </c>
      <c r="J26" s="139">
        <v>4504387</v>
      </c>
      <c r="K26" s="139">
        <v>2153669</v>
      </c>
      <c r="L26" s="139">
        <v>1001698</v>
      </c>
      <c r="M26" s="139">
        <v>403838</v>
      </c>
      <c r="N26" s="139">
        <v>15450</v>
      </c>
      <c r="O26" s="139">
        <v>3762</v>
      </c>
      <c r="P26" s="139">
        <v>4213235</v>
      </c>
      <c r="Q26" s="139">
        <v>3901193</v>
      </c>
      <c r="R26" s="154">
        <v>312042</v>
      </c>
      <c r="S26" s="146" t="s">
        <v>545</v>
      </c>
      <c r="T26" s="138"/>
    </row>
    <row r="27" spans="1:20" s="144" customFormat="1" ht="15" customHeight="1" x14ac:dyDescent="0.15">
      <c r="A27" s="138"/>
      <c r="B27" s="157"/>
      <c r="C27" s="156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54"/>
      <c r="S27" s="146"/>
      <c r="T27" s="138"/>
    </row>
    <row r="28" spans="1:20" s="144" customFormat="1" ht="15" customHeight="1" x14ac:dyDescent="0.15">
      <c r="A28" s="138"/>
      <c r="B28" s="161" t="s">
        <v>209</v>
      </c>
      <c r="C28" s="160">
        <v>363564733</v>
      </c>
      <c r="D28" s="159">
        <v>103874243</v>
      </c>
      <c r="E28" s="159">
        <v>66380850</v>
      </c>
      <c r="F28" s="159">
        <v>22210332</v>
      </c>
      <c r="G28" s="159">
        <v>33941848</v>
      </c>
      <c r="H28" s="159">
        <v>81831098</v>
      </c>
      <c r="I28" s="159">
        <v>55326362</v>
      </c>
      <c r="J28" s="159">
        <v>24050023</v>
      </c>
      <c r="K28" s="159">
        <v>31276339</v>
      </c>
      <c r="L28" s="159">
        <v>5331246</v>
      </c>
      <c r="M28" s="159">
        <v>3226234</v>
      </c>
      <c r="N28" s="159">
        <v>100571</v>
      </c>
      <c r="O28" s="159">
        <v>101589</v>
      </c>
      <c r="P28" s="159">
        <v>30699825</v>
      </c>
      <c r="Q28" s="159">
        <v>24440599</v>
      </c>
      <c r="R28" s="588">
        <v>6259226</v>
      </c>
      <c r="S28" s="590" t="s">
        <v>530</v>
      </c>
      <c r="T28" s="138"/>
    </row>
    <row r="29" spans="1:20" s="144" customFormat="1" ht="15" customHeight="1" x14ac:dyDescent="0.15">
      <c r="A29" s="138"/>
      <c r="B29" s="157"/>
      <c r="C29" s="156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54"/>
      <c r="S29" s="146"/>
      <c r="T29" s="138"/>
    </row>
    <row r="30" spans="1:20" s="144" customFormat="1" ht="21" customHeight="1" x14ac:dyDescent="0.15">
      <c r="A30" s="138"/>
      <c r="B30" s="158" t="s">
        <v>232</v>
      </c>
      <c r="C30" s="156">
        <v>184737891</v>
      </c>
      <c r="D30" s="139">
        <v>55578101</v>
      </c>
      <c r="E30" s="139">
        <v>41747570</v>
      </c>
      <c r="F30" s="139">
        <v>4877808</v>
      </c>
      <c r="G30" s="139">
        <v>17044743</v>
      </c>
      <c r="H30" s="139">
        <v>41127313</v>
      </c>
      <c r="I30" s="139">
        <v>24362356</v>
      </c>
      <c r="J30" s="139">
        <v>14724781</v>
      </c>
      <c r="K30" s="139">
        <v>9637575</v>
      </c>
      <c r="L30" s="139">
        <v>2086392</v>
      </c>
      <c r="M30" s="139">
        <v>2168662</v>
      </c>
      <c r="N30" s="139">
        <v>52723</v>
      </c>
      <c r="O30" s="139">
        <v>48812</v>
      </c>
      <c r="P30" s="139">
        <v>16869699</v>
      </c>
      <c r="Q30" s="139">
        <v>13948945</v>
      </c>
      <c r="R30" s="154">
        <v>2920754</v>
      </c>
      <c r="S30" s="146" t="s">
        <v>546</v>
      </c>
      <c r="T30" s="138"/>
    </row>
    <row r="31" spans="1:20" s="144" customFormat="1" ht="15" customHeight="1" x14ac:dyDescent="0.15">
      <c r="A31" s="138"/>
      <c r="B31" s="158"/>
      <c r="C31" s="156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54"/>
      <c r="S31" s="146"/>
      <c r="T31" s="138"/>
    </row>
    <row r="32" spans="1:20" s="144" customFormat="1" ht="31.5" customHeight="1" x14ac:dyDescent="0.15">
      <c r="A32" s="138"/>
      <c r="B32" s="158" t="s">
        <v>231</v>
      </c>
      <c r="C32" s="156">
        <v>99047991</v>
      </c>
      <c r="D32" s="139">
        <v>24737712</v>
      </c>
      <c r="E32" s="139">
        <v>22717718</v>
      </c>
      <c r="F32" s="139">
        <v>5111201</v>
      </c>
      <c r="G32" s="139">
        <v>9706343</v>
      </c>
      <c r="H32" s="139">
        <v>20064885</v>
      </c>
      <c r="I32" s="139">
        <v>16710132</v>
      </c>
      <c r="J32" s="139">
        <v>4895776</v>
      </c>
      <c r="K32" s="139">
        <v>11814356</v>
      </c>
      <c r="L32" s="139">
        <v>1438755</v>
      </c>
      <c r="M32" s="139">
        <v>640603</v>
      </c>
      <c r="N32" s="139">
        <v>12511</v>
      </c>
      <c r="O32" s="139">
        <v>29989</v>
      </c>
      <c r="P32" s="139">
        <v>9209078</v>
      </c>
      <c r="Q32" s="139">
        <v>6237379</v>
      </c>
      <c r="R32" s="154">
        <v>2971699</v>
      </c>
      <c r="S32" s="146" t="s">
        <v>547</v>
      </c>
      <c r="T32" s="138"/>
    </row>
    <row r="33" spans="1:21" s="144" customFormat="1" ht="15" customHeight="1" x14ac:dyDescent="0.15">
      <c r="A33" s="138"/>
      <c r="B33" s="158"/>
      <c r="C33" s="156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54"/>
      <c r="S33" s="146"/>
      <c r="T33" s="138"/>
    </row>
    <row r="34" spans="1:21" s="144" customFormat="1" ht="15" customHeight="1" x14ac:dyDescent="0.15">
      <c r="A34" s="138"/>
      <c r="B34" s="158" t="s">
        <v>539</v>
      </c>
      <c r="C34" s="156">
        <v>27336418</v>
      </c>
      <c r="D34" s="139">
        <v>4161292</v>
      </c>
      <c r="E34" s="139">
        <v>55245</v>
      </c>
      <c r="F34" s="139">
        <v>7971235</v>
      </c>
      <c r="G34" s="139">
        <v>1064996</v>
      </c>
      <c r="H34" s="139">
        <v>6222490</v>
      </c>
      <c r="I34" s="139">
        <v>7861160</v>
      </c>
      <c r="J34" s="139">
        <v>109014</v>
      </c>
      <c r="K34" s="139">
        <v>7752146</v>
      </c>
      <c r="L34" s="139">
        <v>601426</v>
      </c>
      <c r="M34" s="139" t="s">
        <v>1029</v>
      </c>
      <c r="N34" s="139">
        <v>744</v>
      </c>
      <c r="O34" s="139">
        <v>19234</v>
      </c>
      <c r="P34" s="139">
        <v>224841</v>
      </c>
      <c r="Q34" s="139">
        <v>218966</v>
      </c>
      <c r="R34" s="154">
        <v>5875</v>
      </c>
      <c r="S34" s="146" t="s">
        <v>206</v>
      </c>
      <c r="T34" s="138"/>
    </row>
    <row r="35" spans="1:21" s="144" customFormat="1" ht="15" customHeight="1" x14ac:dyDescent="0.15">
      <c r="A35" s="138"/>
      <c r="B35" s="158"/>
      <c r="C35" s="156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54"/>
      <c r="S35" s="146"/>
      <c r="T35" s="138"/>
    </row>
    <row r="36" spans="1:21" s="144" customFormat="1" ht="31.5" customHeight="1" x14ac:dyDescent="0.15">
      <c r="A36" s="138"/>
      <c r="B36" s="158" t="s">
        <v>840</v>
      </c>
      <c r="C36" s="156">
        <v>194180</v>
      </c>
      <c r="D36" s="139" t="s">
        <v>1029</v>
      </c>
      <c r="E36" s="139" t="s">
        <v>1029</v>
      </c>
      <c r="F36" s="139">
        <v>52371</v>
      </c>
      <c r="G36" s="139">
        <v>26128</v>
      </c>
      <c r="H36" s="139">
        <v>70536</v>
      </c>
      <c r="I36" s="139">
        <v>45145</v>
      </c>
      <c r="J36" s="139">
        <v>304</v>
      </c>
      <c r="K36" s="139">
        <v>44841</v>
      </c>
      <c r="L36" s="139">
        <v>8297</v>
      </c>
      <c r="M36" s="139" t="s">
        <v>1029</v>
      </c>
      <c r="N36" s="139" t="s">
        <v>1029</v>
      </c>
      <c r="O36" s="139" t="s">
        <v>1029</v>
      </c>
      <c r="P36" s="139">
        <v>32672</v>
      </c>
      <c r="Q36" s="139">
        <v>32672</v>
      </c>
      <c r="R36" s="154" t="s">
        <v>1029</v>
      </c>
      <c r="S36" s="146" t="s">
        <v>540</v>
      </c>
      <c r="T36" s="138"/>
    </row>
    <row r="37" spans="1:21" s="144" customFormat="1" ht="15" customHeight="1" x14ac:dyDescent="0.15">
      <c r="A37" s="138"/>
      <c r="B37" s="158"/>
      <c r="C37" s="156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54"/>
      <c r="S37" s="146"/>
      <c r="T37" s="138"/>
    </row>
    <row r="38" spans="1:21" s="144" customFormat="1" ht="15" customHeight="1" x14ac:dyDescent="0.15">
      <c r="A38" s="138"/>
      <c r="B38" s="158" t="s">
        <v>541</v>
      </c>
      <c r="C38" s="156">
        <v>31748</v>
      </c>
      <c r="D38" s="139">
        <v>127</v>
      </c>
      <c r="E38" s="139">
        <v>52</v>
      </c>
      <c r="F38" s="139" t="s">
        <v>1029</v>
      </c>
      <c r="G38" s="139">
        <v>3110</v>
      </c>
      <c r="H38" s="139">
        <v>570</v>
      </c>
      <c r="I38" s="139">
        <v>27889</v>
      </c>
      <c r="J38" s="139">
        <v>16861</v>
      </c>
      <c r="K38" s="139">
        <v>11028</v>
      </c>
      <c r="L38" s="139">
        <v>54802</v>
      </c>
      <c r="M38" s="139">
        <v>22</v>
      </c>
      <c r="N38" s="139">
        <v>2</v>
      </c>
      <c r="O38" s="139" t="s">
        <v>1029</v>
      </c>
      <c r="P38" s="139" t="s">
        <v>1029</v>
      </c>
      <c r="Q38" s="139" t="s">
        <v>1029</v>
      </c>
      <c r="R38" s="154" t="s">
        <v>1029</v>
      </c>
      <c r="S38" s="146" t="s">
        <v>205</v>
      </c>
      <c r="T38" s="138"/>
    </row>
    <row r="39" spans="1:21" s="144" customFormat="1" ht="15" customHeight="1" x14ac:dyDescent="0.15">
      <c r="A39" s="138"/>
      <c r="B39" s="158"/>
      <c r="C39" s="156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54"/>
      <c r="S39" s="146"/>
      <c r="T39" s="138"/>
    </row>
    <row r="40" spans="1:21" s="144" customFormat="1" ht="15" customHeight="1" x14ac:dyDescent="0.15">
      <c r="A40" s="138"/>
      <c r="B40" s="158" t="s">
        <v>602</v>
      </c>
      <c r="C40" s="156">
        <v>52216505</v>
      </c>
      <c r="D40" s="139">
        <v>19397011</v>
      </c>
      <c r="E40" s="139">
        <v>1860265</v>
      </c>
      <c r="F40" s="139">
        <v>4197717</v>
      </c>
      <c r="G40" s="139">
        <v>6096528</v>
      </c>
      <c r="H40" s="139">
        <v>14345304</v>
      </c>
      <c r="I40" s="139">
        <v>6319680</v>
      </c>
      <c r="J40" s="139">
        <v>4303287</v>
      </c>
      <c r="K40" s="139">
        <v>2016393</v>
      </c>
      <c r="L40" s="139">
        <v>1141574</v>
      </c>
      <c r="M40" s="139">
        <v>416947</v>
      </c>
      <c r="N40" s="139">
        <v>34591</v>
      </c>
      <c r="O40" s="139">
        <v>3554</v>
      </c>
      <c r="P40" s="139">
        <v>4363535</v>
      </c>
      <c r="Q40" s="139">
        <v>4002637</v>
      </c>
      <c r="R40" s="154">
        <v>360898</v>
      </c>
      <c r="S40" s="146" t="s">
        <v>204</v>
      </c>
      <c r="T40" s="138"/>
    </row>
    <row r="41" spans="1:21" s="144" customFormat="1" ht="15" customHeight="1" x14ac:dyDescent="0.15">
      <c r="A41" s="138"/>
      <c r="B41" s="157"/>
      <c r="C41" s="156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54"/>
      <c r="S41" s="146"/>
      <c r="T41" s="138"/>
    </row>
    <row r="42" spans="1:21" ht="15" customHeight="1" x14ac:dyDescent="0.15">
      <c r="A42" s="138"/>
      <c r="B42" s="155" t="s">
        <v>1121</v>
      </c>
      <c r="C42" s="139">
        <v>4245878</v>
      </c>
      <c r="D42" s="139">
        <v>761577</v>
      </c>
      <c r="E42" s="139">
        <v>385866</v>
      </c>
      <c r="F42" s="139">
        <v>317940</v>
      </c>
      <c r="G42" s="139">
        <v>1384268</v>
      </c>
      <c r="H42" s="139">
        <v>611713</v>
      </c>
      <c r="I42" s="139">
        <v>784514</v>
      </c>
      <c r="J42" s="139">
        <v>423654</v>
      </c>
      <c r="K42" s="139">
        <v>360860</v>
      </c>
      <c r="L42" s="139">
        <v>295402</v>
      </c>
      <c r="M42" s="139">
        <v>41413</v>
      </c>
      <c r="N42" s="139">
        <v>9350</v>
      </c>
      <c r="O42" s="139">
        <v>8138</v>
      </c>
      <c r="P42" s="139">
        <v>1558937</v>
      </c>
      <c r="Q42" s="139">
        <v>1112518</v>
      </c>
      <c r="R42" s="154">
        <v>446419</v>
      </c>
      <c r="S42" s="146" t="s">
        <v>230</v>
      </c>
      <c r="T42" s="138"/>
    </row>
    <row r="43" spans="1:21" ht="15" customHeight="1" x14ac:dyDescent="0.2">
      <c r="A43" s="153"/>
      <c r="B43" s="152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0"/>
      <c r="S43" s="151"/>
      <c r="T43" s="149"/>
      <c r="U43" s="148"/>
    </row>
    <row r="44" spans="1:21" s="144" customFormat="1" ht="15" customHeight="1" x14ac:dyDescent="0.15">
      <c r="A44" s="145"/>
      <c r="B44" s="99" t="s">
        <v>548</v>
      </c>
      <c r="C44" s="130"/>
      <c r="D44" s="130"/>
      <c r="E44" s="130"/>
      <c r="F44" s="130"/>
      <c r="G44" s="130"/>
      <c r="H44" s="130"/>
      <c r="I44" s="130"/>
      <c r="J44" s="130"/>
      <c r="K44" s="130"/>
      <c r="L44" s="100" t="s">
        <v>549</v>
      </c>
      <c r="M44" s="130"/>
      <c r="N44" s="130"/>
      <c r="O44" s="130"/>
      <c r="P44" s="130"/>
      <c r="Q44" s="130"/>
      <c r="R44" s="130"/>
      <c r="S44" s="147"/>
      <c r="T44" s="146"/>
      <c r="U44" s="145"/>
    </row>
    <row r="45" spans="1:21" x14ac:dyDescent="0.2">
      <c r="B45" s="99" t="s">
        <v>552</v>
      </c>
    </row>
  </sheetData>
  <phoneticPr fontId="33"/>
  <pageMargins left="0.59055118110236227" right="0.59055118110236227" top="0.59055118110236227" bottom="0.59055118110236227" header="0.59055118110236227" footer="0.118110236220472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4"/>
  <sheetViews>
    <sheetView view="pageBreakPreview" zoomScaleNormal="50" zoomScaleSheetLayoutView="100" workbookViewId="0"/>
  </sheetViews>
  <sheetFormatPr defaultRowHeight="17.25" x14ac:dyDescent="0.2"/>
  <cols>
    <col min="1" max="1" width="2.625" style="141" customWidth="1"/>
    <col min="2" max="2" width="12.375" style="141" customWidth="1"/>
    <col min="3" max="3" width="8.875" style="141" customWidth="1"/>
    <col min="4" max="6" width="8.375" style="141" customWidth="1"/>
    <col min="7" max="7" width="8.875" style="141" customWidth="1"/>
    <col min="8" max="18" width="8.375" style="141" customWidth="1"/>
    <col min="19" max="19" width="18.625" style="143" customWidth="1"/>
    <col min="20" max="20" width="2.625" style="142" customWidth="1"/>
    <col min="21" max="21" width="6.5" style="141" customWidth="1"/>
    <col min="22" max="16384" width="9" style="141"/>
  </cols>
  <sheetData>
    <row r="1" spans="1:20" s="184" customFormat="1" ht="17.25" customHeight="1" x14ac:dyDescent="0.2">
      <c r="A1" s="591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S1" s="185"/>
      <c r="T1" s="175"/>
    </row>
    <row r="2" spans="1:20" s="175" customFormat="1" ht="17.25" customHeight="1" x14ac:dyDescent="0.2">
      <c r="A2" s="181"/>
      <c r="B2" s="190"/>
      <c r="C2" s="180"/>
      <c r="D2" s="180"/>
      <c r="E2" s="176"/>
      <c r="F2" s="189"/>
      <c r="G2" s="188"/>
      <c r="H2" s="188"/>
      <c r="I2" s="180"/>
      <c r="J2" s="176"/>
      <c r="K2" s="176"/>
      <c r="L2" s="187"/>
      <c r="M2" s="176"/>
      <c r="N2" s="178"/>
      <c r="O2" s="178"/>
      <c r="P2" s="178"/>
      <c r="Q2" s="178"/>
      <c r="R2" s="178"/>
      <c r="S2" s="177"/>
      <c r="T2" s="176"/>
    </row>
    <row r="3" spans="1:20" ht="17.25" customHeight="1" x14ac:dyDescent="0.2">
      <c r="A3" s="174"/>
      <c r="B3" s="777" t="s">
        <v>1040</v>
      </c>
      <c r="C3" s="791"/>
      <c r="D3" s="791"/>
      <c r="E3" s="791"/>
      <c r="F3" s="792" t="s">
        <v>214</v>
      </c>
      <c r="G3" s="791" t="s">
        <v>214</v>
      </c>
      <c r="H3" s="791"/>
      <c r="I3" s="791"/>
      <c r="J3" s="791"/>
      <c r="K3" s="791"/>
      <c r="L3" s="793"/>
      <c r="M3" s="793"/>
      <c r="N3" s="794"/>
      <c r="O3" s="779"/>
      <c r="P3" s="779"/>
      <c r="Q3" s="771"/>
      <c r="R3" s="744" t="s">
        <v>681</v>
      </c>
      <c r="S3" s="795"/>
      <c r="T3" s="168"/>
    </row>
    <row r="4" spans="1:20" s="144" customFormat="1" ht="17.25" customHeight="1" x14ac:dyDescent="0.15">
      <c r="A4" s="147"/>
      <c r="B4" s="167"/>
      <c r="C4" s="780"/>
      <c r="D4" s="136"/>
      <c r="E4" s="136"/>
      <c r="F4" s="136"/>
      <c r="G4" s="136"/>
      <c r="H4" s="136"/>
      <c r="I4" s="136"/>
      <c r="J4" s="136"/>
      <c r="K4" s="135"/>
      <c r="L4" s="134"/>
      <c r="M4" s="133"/>
      <c r="N4" s="133"/>
      <c r="O4" s="133"/>
      <c r="P4" s="133"/>
      <c r="Q4" s="132"/>
      <c r="R4" s="131"/>
      <c r="S4" s="485"/>
      <c r="T4" s="132"/>
    </row>
    <row r="5" spans="1:20" s="144" customFormat="1" ht="17.25" customHeight="1" x14ac:dyDescent="0.15">
      <c r="A5" s="165"/>
      <c r="B5" s="166" t="s">
        <v>500</v>
      </c>
      <c r="C5" s="124" t="s">
        <v>227</v>
      </c>
      <c r="D5" s="119" t="s">
        <v>501</v>
      </c>
      <c r="E5" s="119" t="s">
        <v>502</v>
      </c>
      <c r="F5" s="119" t="s">
        <v>503</v>
      </c>
      <c r="G5" s="119" t="s">
        <v>504</v>
      </c>
      <c r="H5" s="119" t="s">
        <v>505</v>
      </c>
      <c r="I5" s="119" t="s">
        <v>506</v>
      </c>
      <c r="J5" s="796"/>
      <c r="K5" s="797"/>
      <c r="L5" s="121" t="s">
        <v>507</v>
      </c>
      <c r="M5" s="122" t="s">
        <v>508</v>
      </c>
      <c r="N5" s="122" t="s">
        <v>509</v>
      </c>
      <c r="O5" s="122" t="s">
        <v>510</v>
      </c>
      <c r="P5" s="127" t="s">
        <v>542</v>
      </c>
      <c r="Q5" s="798"/>
      <c r="R5" s="799"/>
      <c r="S5" s="119" t="s">
        <v>226</v>
      </c>
      <c r="T5" s="132"/>
    </row>
    <row r="6" spans="1:20" s="144" customFormat="1" ht="17.25" customHeight="1" x14ac:dyDescent="0.15">
      <c r="A6" s="165"/>
      <c r="B6" s="166"/>
      <c r="C6" s="124"/>
      <c r="D6" s="119" t="s">
        <v>224</v>
      </c>
      <c r="E6" s="119" t="s">
        <v>224</v>
      </c>
      <c r="F6" s="119" t="s">
        <v>225</v>
      </c>
      <c r="G6" s="119"/>
      <c r="H6" s="119"/>
      <c r="I6" s="119" t="s">
        <v>224</v>
      </c>
      <c r="J6" s="119" t="s">
        <v>223</v>
      </c>
      <c r="K6" s="781" t="s">
        <v>222</v>
      </c>
      <c r="L6" s="121"/>
      <c r="M6" s="122"/>
      <c r="N6" s="122"/>
      <c r="O6" s="122"/>
      <c r="P6" s="122"/>
      <c r="Q6" s="122" t="s">
        <v>512</v>
      </c>
      <c r="R6" s="121" t="s">
        <v>513</v>
      </c>
      <c r="S6" s="119"/>
      <c r="T6" s="132"/>
    </row>
    <row r="7" spans="1:20" s="144" customFormat="1" ht="34.5" customHeight="1" x14ac:dyDescent="0.15">
      <c r="A7" s="165"/>
      <c r="B7" s="800"/>
      <c r="C7" s="801" t="s">
        <v>827</v>
      </c>
      <c r="D7" s="801" t="s">
        <v>221</v>
      </c>
      <c r="E7" s="801" t="s">
        <v>522</v>
      </c>
      <c r="F7" s="801" t="s">
        <v>523</v>
      </c>
      <c r="G7" s="801" t="s">
        <v>220</v>
      </c>
      <c r="H7" s="801" t="s">
        <v>514</v>
      </c>
      <c r="I7" s="801" t="s">
        <v>828</v>
      </c>
      <c r="J7" s="801" t="s">
        <v>524</v>
      </c>
      <c r="K7" s="802" t="s">
        <v>543</v>
      </c>
      <c r="L7" s="803" t="s">
        <v>538</v>
      </c>
      <c r="M7" s="803" t="s">
        <v>219</v>
      </c>
      <c r="N7" s="803" t="s">
        <v>218</v>
      </c>
      <c r="O7" s="804" t="s">
        <v>217</v>
      </c>
      <c r="P7" s="805" t="s">
        <v>526</v>
      </c>
      <c r="Q7" s="806"/>
      <c r="R7" s="806"/>
      <c r="S7" s="807"/>
      <c r="T7" s="132"/>
    </row>
    <row r="8" spans="1:20" s="144" customFormat="1" ht="15" customHeight="1" x14ac:dyDescent="0.15">
      <c r="A8" s="165"/>
      <c r="B8" s="157"/>
      <c r="C8" s="788"/>
      <c r="D8" s="789"/>
      <c r="E8" s="789"/>
      <c r="F8" s="789"/>
      <c r="G8" s="789"/>
      <c r="H8" s="789"/>
      <c r="I8" s="789"/>
      <c r="J8" s="789"/>
      <c r="K8" s="789"/>
      <c r="L8" s="789"/>
      <c r="M8" s="789"/>
      <c r="N8" s="789"/>
      <c r="O8" s="789"/>
      <c r="P8" s="163"/>
      <c r="Q8" s="163"/>
      <c r="R8" s="790"/>
      <c r="S8" s="132"/>
      <c r="T8" s="138"/>
    </row>
    <row r="9" spans="1:20" s="144" customFormat="1" ht="15" customHeight="1" x14ac:dyDescent="0.15">
      <c r="A9" s="138"/>
      <c r="B9" s="157" t="s">
        <v>1122</v>
      </c>
      <c r="C9" s="156">
        <v>3486333</v>
      </c>
      <c r="D9" s="139">
        <v>762191</v>
      </c>
      <c r="E9" s="139">
        <v>293836</v>
      </c>
      <c r="F9" s="139">
        <v>284813</v>
      </c>
      <c r="G9" s="139">
        <v>710299</v>
      </c>
      <c r="H9" s="139">
        <v>620763</v>
      </c>
      <c r="I9" s="139">
        <v>814431</v>
      </c>
      <c r="J9" s="139">
        <v>406000</v>
      </c>
      <c r="K9" s="139">
        <v>408431</v>
      </c>
      <c r="L9" s="139">
        <v>316096</v>
      </c>
      <c r="M9" s="139">
        <v>49885</v>
      </c>
      <c r="N9" s="139">
        <v>9698</v>
      </c>
      <c r="O9" s="139">
        <v>9358</v>
      </c>
      <c r="P9" s="139">
        <v>1522693</v>
      </c>
      <c r="Q9" s="139">
        <v>1084551</v>
      </c>
      <c r="R9" s="154">
        <v>438142</v>
      </c>
      <c r="S9" s="146" t="s">
        <v>215</v>
      </c>
      <c r="T9" s="138"/>
    </row>
    <row r="10" spans="1:20" s="144" customFormat="1" ht="15" customHeight="1" x14ac:dyDescent="0.15">
      <c r="A10" s="138"/>
      <c r="B10" s="157"/>
      <c r="C10" s="156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54"/>
      <c r="S10" s="146"/>
      <c r="T10" s="138"/>
    </row>
    <row r="11" spans="1:20" s="144" customFormat="1" ht="15" customHeight="1" x14ac:dyDescent="0.15">
      <c r="A11" s="138"/>
      <c r="B11" s="161" t="s">
        <v>213</v>
      </c>
      <c r="C11" s="160">
        <v>358856685</v>
      </c>
      <c r="D11" s="159">
        <v>103460057</v>
      </c>
      <c r="E11" s="159">
        <v>65566057</v>
      </c>
      <c r="F11" s="159">
        <v>22859282</v>
      </c>
      <c r="G11" s="159">
        <v>33240641</v>
      </c>
      <c r="H11" s="159">
        <v>80461760</v>
      </c>
      <c r="I11" s="159">
        <v>53268888</v>
      </c>
      <c r="J11" s="159">
        <v>23432374</v>
      </c>
      <c r="K11" s="159">
        <v>29836514</v>
      </c>
      <c r="L11" s="159">
        <v>5072183</v>
      </c>
      <c r="M11" s="159">
        <v>3138134</v>
      </c>
      <c r="N11" s="159">
        <v>100611</v>
      </c>
      <c r="O11" s="159">
        <v>101131</v>
      </c>
      <c r="P11" s="159">
        <v>30221975</v>
      </c>
      <c r="Q11" s="159">
        <v>24059858</v>
      </c>
      <c r="R11" s="588">
        <v>6162117</v>
      </c>
      <c r="S11" s="589" t="s">
        <v>528</v>
      </c>
      <c r="T11" s="138"/>
    </row>
    <row r="12" spans="1:20" s="144" customFormat="1" ht="15" customHeight="1" x14ac:dyDescent="0.15">
      <c r="A12" s="138"/>
      <c r="B12" s="157"/>
      <c r="C12" s="156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54"/>
      <c r="S12" s="146"/>
      <c r="T12" s="138"/>
    </row>
    <row r="13" spans="1:20" s="144" customFormat="1" ht="21" customHeight="1" x14ac:dyDescent="0.15">
      <c r="A13" s="138"/>
      <c r="B13" s="158" t="s">
        <v>837</v>
      </c>
      <c r="C13" s="156">
        <v>166489081</v>
      </c>
      <c r="D13" s="139">
        <v>46922439</v>
      </c>
      <c r="E13" s="139">
        <v>32969334</v>
      </c>
      <c r="F13" s="139">
        <v>11938076</v>
      </c>
      <c r="G13" s="139">
        <v>12116412</v>
      </c>
      <c r="H13" s="139">
        <v>37034610</v>
      </c>
      <c r="I13" s="139">
        <v>25508210</v>
      </c>
      <c r="J13" s="139">
        <v>9906087</v>
      </c>
      <c r="K13" s="139">
        <v>15602123</v>
      </c>
      <c r="L13" s="139">
        <v>2293512</v>
      </c>
      <c r="M13" s="139">
        <v>1530550</v>
      </c>
      <c r="N13" s="139">
        <v>56737</v>
      </c>
      <c r="O13" s="139">
        <v>50080</v>
      </c>
      <c r="P13" s="139">
        <v>3532518</v>
      </c>
      <c r="Q13" s="139">
        <v>2265238</v>
      </c>
      <c r="R13" s="154">
        <v>1267280</v>
      </c>
      <c r="S13" s="146" t="s">
        <v>212</v>
      </c>
      <c r="T13" s="138"/>
    </row>
    <row r="14" spans="1:20" s="144" customFormat="1" ht="15" customHeight="1" x14ac:dyDescent="0.15">
      <c r="A14" s="138"/>
      <c r="B14" s="158"/>
      <c r="C14" s="156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54"/>
      <c r="S14" s="146"/>
      <c r="T14" s="138"/>
    </row>
    <row r="15" spans="1:20" s="144" customFormat="1" ht="15" customHeight="1" x14ac:dyDescent="0.15">
      <c r="A15" s="138"/>
      <c r="B15" s="158" t="s">
        <v>598</v>
      </c>
      <c r="C15" s="156">
        <v>32236558</v>
      </c>
      <c r="D15" s="139">
        <v>3548046</v>
      </c>
      <c r="E15" s="139">
        <v>24942208</v>
      </c>
      <c r="F15" s="139">
        <v>41820</v>
      </c>
      <c r="G15" s="139">
        <v>1951566</v>
      </c>
      <c r="H15" s="139">
        <v>1245764</v>
      </c>
      <c r="I15" s="139">
        <v>507154</v>
      </c>
      <c r="J15" s="139">
        <v>12114</v>
      </c>
      <c r="K15" s="139">
        <v>495040</v>
      </c>
      <c r="L15" s="139">
        <v>217672</v>
      </c>
      <c r="M15" s="139">
        <v>13779</v>
      </c>
      <c r="N15" s="139">
        <v>1750</v>
      </c>
      <c r="O15" s="139">
        <v>21626</v>
      </c>
      <c r="P15" s="139">
        <v>10334029</v>
      </c>
      <c r="Q15" s="139">
        <v>8458944</v>
      </c>
      <c r="R15" s="154">
        <v>1875085</v>
      </c>
      <c r="S15" s="146" t="s">
        <v>211</v>
      </c>
      <c r="T15" s="138"/>
    </row>
    <row r="16" spans="1:20" s="144" customFormat="1" ht="15" customHeight="1" x14ac:dyDescent="0.15">
      <c r="A16" s="138"/>
      <c r="B16" s="158"/>
      <c r="C16" s="156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54"/>
      <c r="S16" s="146"/>
      <c r="T16" s="138"/>
    </row>
    <row r="17" spans="1:20" s="144" customFormat="1" ht="31.5" customHeight="1" x14ac:dyDescent="0.15">
      <c r="A17" s="138"/>
      <c r="B17" s="162" t="s">
        <v>603</v>
      </c>
      <c r="C17" s="156">
        <v>97427092</v>
      </c>
      <c r="D17" s="139">
        <v>29805115</v>
      </c>
      <c r="E17" s="139">
        <v>5648117</v>
      </c>
      <c r="F17" s="139">
        <v>5625317</v>
      </c>
      <c r="G17" s="139">
        <v>11576944</v>
      </c>
      <c r="H17" s="139">
        <v>25978486</v>
      </c>
      <c r="I17" s="139">
        <v>18793113</v>
      </c>
      <c r="J17" s="139">
        <v>7651069</v>
      </c>
      <c r="K17" s="139">
        <v>11142044</v>
      </c>
      <c r="L17" s="139">
        <v>1147445</v>
      </c>
      <c r="M17" s="139">
        <v>1069288</v>
      </c>
      <c r="N17" s="139">
        <v>13932</v>
      </c>
      <c r="O17" s="139">
        <v>6376</v>
      </c>
      <c r="P17" s="139">
        <v>9423747</v>
      </c>
      <c r="Q17" s="139">
        <v>7021393</v>
      </c>
      <c r="R17" s="154">
        <v>2402354</v>
      </c>
      <c r="S17" s="146" t="s">
        <v>599</v>
      </c>
      <c r="T17" s="138"/>
    </row>
    <row r="18" spans="1:20" s="144" customFormat="1" ht="15" customHeight="1" x14ac:dyDescent="0.15">
      <c r="A18" s="138"/>
      <c r="B18" s="158"/>
      <c r="C18" s="156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54"/>
      <c r="S18" s="146"/>
      <c r="T18" s="138"/>
    </row>
    <row r="19" spans="1:20" s="144" customFormat="1" ht="25.5" customHeight="1" x14ac:dyDescent="0.15">
      <c r="A19" s="138"/>
      <c r="B19" s="158" t="s">
        <v>838</v>
      </c>
      <c r="C19" s="156">
        <v>9241991</v>
      </c>
      <c r="D19" s="139">
        <v>3486462</v>
      </c>
      <c r="E19" s="139">
        <v>596720</v>
      </c>
      <c r="F19" s="139">
        <v>21055</v>
      </c>
      <c r="G19" s="139">
        <v>1440209</v>
      </c>
      <c r="H19" s="139">
        <v>1677119</v>
      </c>
      <c r="I19" s="139">
        <v>2020426</v>
      </c>
      <c r="J19" s="139">
        <v>1404965</v>
      </c>
      <c r="K19" s="139">
        <v>615461</v>
      </c>
      <c r="L19" s="139">
        <v>475861</v>
      </c>
      <c r="M19" s="139">
        <v>120159</v>
      </c>
      <c r="N19" s="139">
        <v>4448</v>
      </c>
      <c r="O19" s="139">
        <v>19748</v>
      </c>
      <c r="P19" s="139">
        <v>2595396</v>
      </c>
      <c r="Q19" s="139">
        <v>2317213</v>
      </c>
      <c r="R19" s="154">
        <v>278183</v>
      </c>
      <c r="S19" s="146" t="s">
        <v>600</v>
      </c>
      <c r="T19" s="138"/>
    </row>
    <row r="20" spans="1:20" s="144" customFormat="1" ht="15" customHeight="1" x14ac:dyDescent="0.15">
      <c r="A20" s="138"/>
      <c r="B20" s="158"/>
      <c r="C20" s="156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54"/>
      <c r="S20" s="146"/>
      <c r="T20" s="138"/>
    </row>
    <row r="21" spans="1:20" s="144" customFormat="1" ht="31.5" customHeight="1" x14ac:dyDescent="0.15">
      <c r="A21" s="138"/>
      <c r="B21" s="158" t="s">
        <v>839</v>
      </c>
      <c r="C21" s="156">
        <v>121018</v>
      </c>
      <c r="D21" s="139" t="s">
        <v>1029</v>
      </c>
      <c r="E21" s="139" t="s">
        <v>1029</v>
      </c>
      <c r="F21" s="139" t="s">
        <v>1029</v>
      </c>
      <c r="G21" s="139">
        <v>48205</v>
      </c>
      <c r="H21" s="139">
        <v>19148</v>
      </c>
      <c r="I21" s="139">
        <v>53665</v>
      </c>
      <c r="J21" s="139">
        <v>53349</v>
      </c>
      <c r="K21" s="139">
        <v>316</v>
      </c>
      <c r="L21" s="139">
        <v>200</v>
      </c>
      <c r="M21" s="139" t="s">
        <v>1029</v>
      </c>
      <c r="N21" s="139">
        <v>8323</v>
      </c>
      <c r="O21" s="139" t="s">
        <v>1029</v>
      </c>
      <c r="P21" s="139">
        <v>32136</v>
      </c>
      <c r="Q21" s="139" t="s">
        <v>1029</v>
      </c>
      <c r="R21" s="154">
        <v>32136</v>
      </c>
      <c r="S21" s="146" t="s">
        <v>544</v>
      </c>
      <c r="T21" s="138"/>
    </row>
    <row r="22" spans="1:20" s="144" customFormat="1" ht="15" customHeight="1" x14ac:dyDescent="0.15">
      <c r="A22" s="138"/>
      <c r="B22" s="158"/>
      <c r="C22" s="156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54"/>
      <c r="S22" s="146"/>
      <c r="T22" s="138"/>
    </row>
    <row r="23" spans="1:20" s="144" customFormat="1" ht="21" customHeight="1" x14ac:dyDescent="0.15">
      <c r="A23" s="138"/>
      <c r="B23" s="497" t="s">
        <v>832</v>
      </c>
      <c r="C23" s="156" t="s">
        <v>1029</v>
      </c>
      <c r="D23" s="139" t="s">
        <v>1029</v>
      </c>
      <c r="E23" s="139" t="s">
        <v>1029</v>
      </c>
      <c r="F23" s="139" t="s">
        <v>1029</v>
      </c>
      <c r="G23" s="139" t="s">
        <v>1029</v>
      </c>
      <c r="H23" s="139" t="s">
        <v>1029</v>
      </c>
      <c r="I23" s="139" t="s">
        <v>1029</v>
      </c>
      <c r="J23" s="139" t="s">
        <v>1029</v>
      </c>
      <c r="K23" s="139" t="s">
        <v>1029</v>
      </c>
      <c r="L23" s="139" t="s">
        <v>1029</v>
      </c>
      <c r="M23" s="139" t="s">
        <v>1029</v>
      </c>
      <c r="N23" s="139" t="s">
        <v>1029</v>
      </c>
      <c r="O23" s="139" t="s">
        <v>1029</v>
      </c>
      <c r="P23" s="139" t="s">
        <v>1029</v>
      </c>
      <c r="Q23" s="139" t="s">
        <v>1029</v>
      </c>
      <c r="R23" s="154" t="s">
        <v>1029</v>
      </c>
      <c r="S23" s="146" t="s">
        <v>233</v>
      </c>
      <c r="T23" s="138"/>
    </row>
    <row r="24" spans="1:20" s="144" customFormat="1" ht="15" customHeight="1" x14ac:dyDescent="0.15">
      <c r="A24" s="138"/>
      <c r="B24" s="158"/>
      <c r="C24" s="156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54"/>
      <c r="S24" s="146"/>
      <c r="T24" s="138"/>
    </row>
    <row r="25" spans="1:20" s="144" customFormat="1" ht="15" customHeight="1" x14ac:dyDescent="0.15">
      <c r="A25" s="138"/>
      <c r="B25" s="158" t="s">
        <v>601</v>
      </c>
      <c r="C25" s="156">
        <v>53340945</v>
      </c>
      <c r="D25" s="139">
        <v>19697995</v>
      </c>
      <c r="E25" s="139">
        <v>1409678</v>
      </c>
      <c r="F25" s="139">
        <v>5233014</v>
      </c>
      <c r="G25" s="139">
        <v>6107305</v>
      </c>
      <c r="H25" s="139">
        <v>14506633</v>
      </c>
      <c r="I25" s="139">
        <v>6386320</v>
      </c>
      <c r="J25" s="139">
        <v>4404790</v>
      </c>
      <c r="K25" s="139">
        <v>1981530</v>
      </c>
      <c r="L25" s="139">
        <v>937493</v>
      </c>
      <c r="M25" s="139">
        <v>404358</v>
      </c>
      <c r="N25" s="139">
        <v>15421</v>
      </c>
      <c r="O25" s="139">
        <v>3301</v>
      </c>
      <c r="P25" s="139">
        <v>4304149</v>
      </c>
      <c r="Q25" s="139">
        <v>3997070</v>
      </c>
      <c r="R25" s="154">
        <v>307079</v>
      </c>
      <c r="S25" s="146" t="s">
        <v>545</v>
      </c>
      <c r="T25" s="138"/>
    </row>
    <row r="26" spans="1:20" s="144" customFormat="1" ht="15" customHeight="1" x14ac:dyDescent="0.15">
      <c r="A26" s="138"/>
      <c r="B26" s="157"/>
      <c r="C26" s="156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54"/>
      <c r="S26" s="146"/>
      <c r="T26" s="138"/>
    </row>
    <row r="27" spans="1:20" s="144" customFormat="1" ht="15" customHeight="1" x14ac:dyDescent="0.15">
      <c r="A27" s="138"/>
      <c r="B27" s="161" t="s">
        <v>209</v>
      </c>
      <c r="C27" s="160">
        <v>358998245</v>
      </c>
      <c r="D27" s="159">
        <v>103483751</v>
      </c>
      <c r="E27" s="159">
        <v>65455281</v>
      </c>
      <c r="F27" s="159">
        <v>22821872</v>
      </c>
      <c r="G27" s="159">
        <v>33405317</v>
      </c>
      <c r="H27" s="159">
        <v>80424148</v>
      </c>
      <c r="I27" s="159">
        <v>53407876</v>
      </c>
      <c r="J27" s="159">
        <v>23497428</v>
      </c>
      <c r="K27" s="159">
        <v>29910448</v>
      </c>
      <c r="L27" s="159">
        <v>5114877</v>
      </c>
      <c r="M27" s="159">
        <v>3144349</v>
      </c>
      <c r="N27" s="159">
        <v>100947</v>
      </c>
      <c r="O27" s="159">
        <v>102457</v>
      </c>
      <c r="P27" s="159">
        <v>30366303</v>
      </c>
      <c r="Q27" s="159">
        <v>24193951</v>
      </c>
      <c r="R27" s="588">
        <v>6172352</v>
      </c>
      <c r="S27" s="590" t="s">
        <v>530</v>
      </c>
      <c r="T27" s="138"/>
    </row>
    <row r="28" spans="1:20" s="144" customFormat="1" ht="15" customHeight="1" x14ac:dyDescent="0.15">
      <c r="A28" s="138"/>
      <c r="B28" s="157"/>
      <c r="C28" s="156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54"/>
      <c r="S28" s="146"/>
      <c r="T28" s="138"/>
    </row>
    <row r="29" spans="1:20" s="144" customFormat="1" ht="21" customHeight="1" x14ac:dyDescent="0.15">
      <c r="A29" s="138"/>
      <c r="B29" s="158" t="s">
        <v>232</v>
      </c>
      <c r="C29" s="156">
        <v>182294726</v>
      </c>
      <c r="D29" s="139">
        <v>55430164</v>
      </c>
      <c r="E29" s="139">
        <v>40774873</v>
      </c>
      <c r="F29" s="139">
        <v>4910149</v>
      </c>
      <c r="G29" s="139">
        <v>16953059</v>
      </c>
      <c r="H29" s="139">
        <v>40969989</v>
      </c>
      <c r="I29" s="139">
        <v>23256492</v>
      </c>
      <c r="J29" s="139">
        <v>14416948</v>
      </c>
      <c r="K29" s="139">
        <v>8839544</v>
      </c>
      <c r="L29" s="139">
        <v>2061750</v>
      </c>
      <c r="M29" s="139">
        <v>2110495</v>
      </c>
      <c r="N29" s="139">
        <v>53153</v>
      </c>
      <c r="O29" s="139">
        <v>44908</v>
      </c>
      <c r="P29" s="139">
        <v>16617383</v>
      </c>
      <c r="Q29" s="139">
        <v>13768843</v>
      </c>
      <c r="R29" s="154">
        <v>2848540</v>
      </c>
      <c r="S29" s="146" t="s">
        <v>546</v>
      </c>
      <c r="T29" s="138"/>
    </row>
    <row r="30" spans="1:20" s="144" customFormat="1" ht="15" customHeight="1" x14ac:dyDescent="0.15">
      <c r="A30" s="138"/>
      <c r="B30" s="158"/>
      <c r="C30" s="156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54"/>
      <c r="S30" s="146"/>
      <c r="T30" s="138"/>
    </row>
    <row r="31" spans="1:20" s="144" customFormat="1" ht="31.5" customHeight="1" x14ac:dyDescent="0.15">
      <c r="A31" s="138"/>
      <c r="B31" s="158" t="s">
        <v>231</v>
      </c>
      <c r="C31" s="156">
        <v>98216471</v>
      </c>
      <c r="D31" s="139">
        <v>24962710</v>
      </c>
      <c r="E31" s="139">
        <v>22763828</v>
      </c>
      <c r="F31" s="139">
        <v>5288679</v>
      </c>
      <c r="G31" s="139">
        <v>9564843</v>
      </c>
      <c r="H31" s="139">
        <v>19621688</v>
      </c>
      <c r="I31" s="139">
        <v>16014723</v>
      </c>
      <c r="J31" s="139">
        <v>4761356</v>
      </c>
      <c r="K31" s="139">
        <v>11253367</v>
      </c>
      <c r="L31" s="139">
        <v>1374068</v>
      </c>
      <c r="M31" s="139">
        <v>606382</v>
      </c>
      <c r="N31" s="139">
        <v>12273</v>
      </c>
      <c r="O31" s="139">
        <v>34273</v>
      </c>
      <c r="P31" s="139">
        <v>9022140</v>
      </c>
      <c r="Q31" s="139">
        <v>6078403</v>
      </c>
      <c r="R31" s="154">
        <v>2943737</v>
      </c>
      <c r="S31" s="146" t="s">
        <v>547</v>
      </c>
      <c r="T31" s="138"/>
    </row>
    <row r="32" spans="1:20" s="144" customFormat="1" ht="15" customHeight="1" x14ac:dyDescent="0.15">
      <c r="A32" s="138"/>
      <c r="B32" s="158"/>
      <c r="C32" s="156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54"/>
      <c r="S32" s="146"/>
      <c r="T32" s="138"/>
    </row>
    <row r="33" spans="1:21" s="144" customFormat="1" ht="15" customHeight="1" x14ac:dyDescent="0.15">
      <c r="A33" s="138"/>
      <c r="B33" s="158" t="s">
        <v>539</v>
      </c>
      <c r="C33" s="156">
        <v>26285591</v>
      </c>
      <c r="D33" s="139">
        <v>3863550</v>
      </c>
      <c r="E33" s="139">
        <v>77491</v>
      </c>
      <c r="F33" s="139">
        <v>8067262</v>
      </c>
      <c r="G33" s="139">
        <v>818830</v>
      </c>
      <c r="H33" s="139">
        <v>5537708</v>
      </c>
      <c r="I33" s="139">
        <v>7920750</v>
      </c>
      <c r="J33" s="139">
        <v>90893</v>
      </c>
      <c r="K33" s="139">
        <v>7829857</v>
      </c>
      <c r="L33" s="139">
        <v>523212</v>
      </c>
      <c r="M33" s="139" t="s">
        <v>1029</v>
      </c>
      <c r="N33" s="139">
        <v>730</v>
      </c>
      <c r="O33" s="139">
        <v>19930</v>
      </c>
      <c r="P33" s="139">
        <v>196191</v>
      </c>
      <c r="Q33" s="139">
        <v>191818</v>
      </c>
      <c r="R33" s="154">
        <v>4373</v>
      </c>
      <c r="S33" s="146" t="s">
        <v>206</v>
      </c>
      <c r="T33" s="138"/>
    </row>
    <row r="34" spans="1:21" s="144" customFormat="1" ht="15" customHeight="1" x14ac:dyDescent="0.15">
      <c r="A34" s="138"/>
      <c r="B34" s="158"/>
      <c r="C34" s="156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54"/>
      <c r="S34" s="146"/>
      <c r="T34" s="138"/>
    </row>
    <row r="35" spans="1:21" s="144" customFormat="1" ht="31.5" customHeight="1" x14ac:dyDescent="0.15">
      <c r="A35" s="138"/>
      <c r="B35" s="158" t="s">
        <v>840</v>
      </c>
      <c r="C35" s="156">
        <v>121218</v>
      </c>
      <c r="D35" s="139" t="s">
        <v>1029</v>
      </c>
      <c r="E35" s="139" t="s">
        <v>1029</v>
      </c>
      <c r="F35" s="139">
        <v>48205</v>
      </c>
      <c r="G35" s="139">
        <v>19346</v>
      </c>
      <c r="H35" s="139">
        <v>4004</v>
      </c>
      <c r="I35" s="139">
        <v>49663</v>
      </c>
      <c r="J35" s="139">
        <v>303</v>
      </c>
      <c r="K35" s="139">
        <v>49360</v>
      </c>
      <c r="L35" s="139">
        <v>8323</v>
      </c>
      <c r="M35" s="139" t="s">
        <v>1029</v>
      </c>
      <c r="N35" s="139" t="s">
        <v>1029</v>
      </c>
      <c r="O35" s="139" t="s">
        <v>1029</v>
      </c>
      <c r="P35" s="139">
        <v>32136</v>
      </c>
      <c r="Q35" s="139">
        <v>32136</v>
      </c>
      <c r="R35" s="154" t="s">
        <v>1029</v>
      </c>
      <c r="S35" s="146" t="s">
        <v>540</v>
      </c>
      <c r="T35" s="138"/>
    </row>
    <row r="36" spans="1:21" s="144" customFormat="1" ht="15" customHeight="1" x14ac:dyDescent="0.15">
      <c r="A36" s="138"/>
      <c r="B36" s="158"/>
      <c r="C36" s="156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54"/>
      <c r="S36" s="146"/>
      <c r="T36" s="138"/>
    </row>
    <row r="37" spans="1:21" s="144" customFormat="1" ht="15" customHeight="1" x14ac:dyDescent="0.15">
      <c r="A37" s="138"/>
      <c r="B37" s="158" t="s">
        <v>541</v>
      </c>
      <c r="C37" s="156">
        <v>31111</v>
      </c>
      <c r="D37" s="139">
        <v>206</v>
      </c>
      <c r="E37" s="139">
        <v>51</v>
      </c>
      <c r="F37" s="139" t="s">
        <v>1029</v>
      </c>
      <c r="G37" s="139">
        <v>3064</v>
      </c>
      <c r="H37" s="139">
        <v>548</v>
      </c>
      <c r="I37" s="139">
        <v>27242</v>
      </c>
      <c r="J37" s="139">
        <v>16431</v>
      </c>
      <c r="K37" s="139">
        <v>10811</v>
      </c>
      <c r="L37" s="139">
        <v>54075</v>
      </c>
      <c r="M37" s="139">
        <v>23</v>
      </c>
      <c r="N37" s="139">
        <v>2</v>
      </c>
      <c r="O37" s="139" t="s">
        <v>1029</v>
      </c>
      <c r="P37" s="139" t="s">
        <v>1029</v>
      </c>
      <c r="Q37" s="139" t="s">
        <v>1029</v>
      </c>
      <c r="R37" s="154" t="s">
        <v>1029</v>
      </c>
      <c r="S37" s="146" t="s">
        <v>205</v>
      </c>
      <c r="T37" s="138"/>
    </row>
    <row r="38" spans="1:21" s="144" customFormat="1" ht="15" customHeight="1" x14ac:dyDescent="0.15">
      <c r="A38" s="138"/>
      <c r="B38" s="158"/>
      <c r="C38" s="156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54"/>
      <c r="S38" s="146"/>
      <c r="T38" s="138"/>
    </row>
    <row r="39" spans="1:21" s="144" customFormat="1" ht="15" customHeight="1" x14ac:dyDescent="0.15">
      <c r="A39" s="138"/>
      <c r="B39" s="158" t="s">
        <v>602</v>
      </c>
      <c r="C39" s="156">
        <v>52049128</v>
      </c>
      <c r="D39" s="139">
        <v>19227121</v>
      </c>
      <c r="E39" s="139">
        <v>1839038</v>
      </c>
      <c r="F39" s="139">
        <v>4507577</v>
      </c>
      <c r="G39" s="139">
        <v>6046175</v>
      </c>
      <c r="H39" s="139">
        <v>14290211</v>
      </c>
      <c r="I39" s="139">
        <v>6139006</v>
      </c>
      <c r="J39" s="139">
        <v>4211497</v>
      </c>
      <c r="K39" s="139">
        <v>1927509</v>
      </c>
      <c r="L39" s="139">
        <v>1093449</v>
      </c>
      <c r="M39" s="139">
        <v>427449</v>
      </c>
      <c r="N39" s="139">
        <v>34789</v>
      </c>
      <c r="O39" s="139">
        <v>3346</v>
      </c>
      <c r="P39" s="139">
        <v>4498453</v>
      </c>
      <c r="Q39" s="139">
        <v>4122751</v>
      </c>
      <c r="R39" s="154">
        <v>375702</v>
      </c>
      <c r="S39" s="146" t="s">
        <v>204</v>
      </c>
      <c r="T39" s="138"/>
    </row>
    <row r="40" spans="1:21" s="144" customFormat="1" ht="15" customHeight="1" x14ac:dyDescent="0.15">
      <c r="A40" s="138"/>
      <c r="B40" s="157"/>
      <c r="C40" s="156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54"/>
      <c r="S40" s="146"/>
      <c r="T40" s="138"/>
    </row>
    <row r="41" spans="1:21" ht="15" customHeight="1" x14ac:dyDescent="0.15">
      <c r="A41" s="138"/>
      <c r="B41" s="155" t="s">
        <v>1123</v>
      </c>
      <c r="C41" s="139">
        <v>3344773</v>
      </c>
      <c r="D41" s="139">
        <v>738497</v>
      </c>
      <c r="E41" s="139">
        <v>404612</v>
      </c>
      <c r="F41" s="139">
        <v>322223</v>
      </c>
      <c r="G41" s="139">
        <v>545623</v>
      </c>
      <c r="H41" s="139">
        <v>658375</v>
      </c>
      <c r="I41" s="139">
        <v>675443</v>
      </c>
      <c r="J41" s="139">
        <v>340946</v>
      </c>
      <c r="K41" s="139">
        <v>334497</v>
      </c>
      <c r="L41" s="139">
        <v>273402</v>
      </c>
      <c r="M41" s="139">
        <v>43670</v>
      </c>
      <c r="N41" s="139">
        <v>9362</v>
      </c>
      <c r="O41" s="139">
        <v>8032</v>
      </c>
      <c r="P41" s="139">
        <v>1378365</v>
      </c>
      <c r="Q41" s="139">
        <v>950458</v>
      </c>
      <c r="R41" s="154">
        <v>427907</v>
      </c>
      <c r="S41" s="146" t="s">
        <v>230</v>
      </c>
      <c r="T41" s="138"/>
    </row>
    <row r="42" spans="1:21" ht="15" customHeight="1" x14ac:dyDescent="0.2">
      <c r="A42" s="153"/>
      <c r="B42" s="808"/>
      <c r="C42" s="809"/>
      <c r="D42" s="809"/>
      <c r="E42" s="809"/>
      <c r="F42" s="809"/>
      <c r="G42" s="809"/>
      <c r="H42" s="809"/>
      <c r="I42" s="809"/>
      <c r="J42" s="809"/>
      <c r="K42" s="809"/>
      <c r="L42" s="809"/>
      <c r="M42" s="809"/>
      <c r="N42" s="809"/>
      <c r="O42" s="809"/>
      <c r="P42" s="809"/>
      <c r="Q42" s="809"/>
      <c r="R42" s="810"/>
      <c r="S42" s="809"/>
      <c r="T42" s="149"/>
      <c r="U42" s="148"/>
    </row>
    <row r="43" spans="1:21" s="144" customFormat="1" ht="15" customHeight="1" x14ac:dyDescent="0.15">
      <c r="A43" s="145"/>
      <c r="B43" s="99" t="s">
        <v>548</v>
      </c>
      <c r="C43" s="130"/>
      <c r="D43" s="130"/>
      <c r="E43" s="130"/>
      <c r="F43" s="130"/>
      <c r="G43" s="130"/>
      <c r="H43" s="130"/>
      <c r="I43" s="130"/>
      <c r="J43" s="130"/>
      <c r="K43" s="130"/>
      <c r="L43" s="100" t="s">
        <v>549</v>
      </c>
      <c r="M43" s="130"/>
      <c r="N43" s="130"/>
      <c r="O43" s="130"/>
      <c r="P43" s="130"/>
      <c r="Q43" s="130"/>
      <c r="R43" s="130"/>
      <c r="S43" s="147"/>
      <c r="T43" s="146"/>
      <c r="U43" s="145"/>
    </row>
    <row r="44" spans="1:21" x14ac:dyDescent="0.2">
      <c r="B44" s="99" t="s">
        <v>552</v>
      </c>
    </row>
  </sheetData>
  <phoneticPr fontId="33"/>
  <pageMargins left="0.59055118110236227" right="0.59055118110236227" top="0.59055118110236227" bottom="0.59055118110236227" header="0.59055118110236227" footer="0.1181102362204724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2"/>
  <sheetViews>
    <sheetView view="pageBreakPreview" zoomScaleNormal="70" zoomScaleSheetLayoutView="100" workbookViewId="0"/>
  </sheetViews>
  <sheetFormatPr defaultRowHeight="13.5" x14ac:dyDescent="0.15"/>
  <cols>
    <col min="1" max="1" width="2.625" style="141" customWidth="1"/>
    <col min="2" max="2" width="3.375" style="141" customWidth="1"/>
    <col min="3" max="3" width="3.25" style="141" customWidth="1"/>
    <col min="4" max="4" width="6.125" style="141" customWidth="1"/>
    <col min="5" max="5" width="0.875" style="141" customWidth="1"/>
    <col min="6" max="6" width="9.25" style="141" customWidth="1"/>
    <col min="7" max="12" width="8.375" style="141" customWidth="1"/>
    <col min="13" max="13" width="8.125" style="141" customWidth="1"/>
    <col min="14" max="14" width="8.375" style="141" customWidth="1"/>
    <col min="15" max="15" width="9.625" style="141" customWidth="1"/>
    <col min="16" max="16" width="8.375" style="141" customWidth="1"/>
    <col min="17" max="17" width="9.625" style="141" customWidth="1"/>
    <col min="18" max="21" width="8.375" style="141" customWidth="1"/>
    <col min="22" max="22" width="8.25" style="141" customWidth="1"/>
    <col min="23" max="23" width="2.625" style="142" customWidth="1"/>
    <col min="24" max="24" width="6.875" style="141" customWidth="1"/>
    <col min="25" max="16384" width="9" style="141"/>
  </cols>
  <sheetData>
    <row r="1" spans="1:24" ht="16.5" customHeight="1" x14ac:dyDescent="0.2">
      <c r="G1" s="219"/>
      <c r="I1" s="218"/>
      <c r="T1" s="511"/>
      <c r="W1" s="141"/>
    </row>
    <row r="2" spans="1:24" s="213" customFormat="1" ht="16.5" customHeight="1" x14ac:dyDescent="0.15">
      <c r="R2" s="217"/>
      <c r="T2" s="216"/>
      <c r="U2" s="216"/>
      <c r="W2" s="215"/>
      <c r="X2" s="214"/>
    </row>
    <row r="3" spans="1:24" s="97" customFormat="1" ht="16.5" customHeight="1" x14ac:dyDescent="0.15">
      <c r="A3" s="523"/>
      <c r="B3" s="212" t="s">
        <v>841</v>
      </c>
      <c r="C3" s="512"/>
      <c r="D3" s="512"/>
      <c r="E3" s="512"/>
      <c r="F3" s="211"/>
      <c r="G3" s="513"/>
      <c r="H3" s="211"/>
      <c r="I3" s="211"/>
      <c r="J3" s="514"/>
      <c r="K3" s="514"/>
      <c r="L3" s="211"/>
      <c r="M3" s="211"/>
      <c r="N3" s="211"/>
      <c r="O3" s="564"/>
      <c r="P3" s="211"/>
      <c r="Q3" s="211"/>
      <c r="R3" s="515"/>
      <c r="S3" s="516"/>
      <c r="T3" s="481"/>
      <c r="U3" s="78" t="s">
        <v>452</v>
      </c>
      <c r="V3" s="211"/>
      <c r="W3" s="98"/>
    </row>
    <row r="4" spans="1:24" s="517" customFormat="1" ht="21.95" customHeight="1" x14ac:dyDescent="0.15">
      <c r="A4" s="210"/>
      <c r="B4" s="639"/>
      <c r="C4" s="639"/>
      <c r="D4" s="639"/>
      <c r="E4" s="640"/>
      <c r="F4" s="780"/>
      <c r="G4" s="136"/>
      <c r="H4" s="136"/>
      <c r="I4" s="136"/>
      <c r="J4" s="136"/>
      <c r="K4" s="136"/>
      <c r="L4" s="136"/>
      <c r="M4" s="136"/>
      <c r="N4" s="135"/>
      <c r="O4" s="134"/>
      <c r="P4" s="133"/>
      <c r="Q4" s="133"/>
      <c r="R4" s="133"/>
      <c r="S4" s="133"/>
      <c r="T4" s="132"/>
      <c r="U4" s="131"/>
      <c r="V4" s="1047" t="s">
        <v>550</v>
      </c>
      <c r="W4" s="192"/>
    </row>
    <row r="5" spans="1:24" s="517" customFormat="1" ht="21.95" customHeight="1" x14ac:dyDescent="0.15">
      <c r="A5" s="639"/>
      <c r="B5" s="1039" t="s">
        <v>551</v>
      </c>
      <c r="C5" s="1039"/>
      <c r="D5" s="1039"/>
      <c r="E5" s="1040"/>
      <c r="F5" s="124" t="s">
        <v>227</v>
      </c>
      <c r="G5" s="119" t="s">
        <v>501</v>
      </c>
      <c r="H5" s="119" t="s">
        <v>502</v>
      </c>
      <c r="I5" s="119" t="s">
        <v>503</v>
      </c>
      <c r="J5" s="119" t="s">
        <v>504</v>
      </c>
      <c r="K5" s="119" t="s">
        <v>505</v>
      </c>
      <c r="L5" s="119" t="s">
        <v>506</v>
      </c>
      <c r="M5" s="796"/>
      <c r="N5" s="128"/>
      <c r="O5" s="121" t="s">
        <v>507</v>
      </c>
      <c r="P5" s="122" t="s">
        <v>508</v>
      </c>
      <c r="Q5" s="122" t="s">
        <v>509</v>
      </c>
      <c r="R5" s="122" t="s">
        <v>510</v>
      </c>
      <c r="S5" s="127" t="s">
        <v>511</v>
      </c>
      <c r="T5" s="798"/>
      <c r="U5" s="125"/>
      <c r="V5" s="1048"/>
      <c r="W5" s="192"/>
      <c r="X5" s="518" t="s">
        <v>224</v>
      </c>
    </row>
    <row r="6" spans="1:24" s="520" customFormat="1" ht="21.95" customHeight="1" x14ac:dyDescent="0.15">
      <c r="A6" s="639"/>
      <c r="B6" s="639"/>
      <c r="C6" s="639"/>
      <c r="D6" s="639"/>
      <c r="E6" s="640"/>
      <c r="F6" s="124"/>
      <c r="G6" s="119" t="s">
        <v>224</v>
      </c>
      <c r="H6" s="119" t="s">
        <v>224</v>
      </c>
      <c r="I6" s="519" t="s">
        <v>225</v>
      </c>
      <c r="J6" s="119"/>
      <c r="K6" s="119"/>
      <c r="L6" s="119" t="s">
        <v>224</v>
      </c>
      <c r="M6" s="119" t="s">
        <v>223</v>
      </c>
      <c r="N6" s="781" t="s">
        <v>222</v>
      </c>
      <c r="O6" s="121"/>
      <c r="P6" s="122"/>
      <c r="Q6" s="122"/>
      <c r="R6" s="122"/>
      <c r="S6" s="122"/>
      <c r="T6" s="122" t="s">
        <v>512</v>
      </c>
      <c r="U6" s="121" t="s">
        <v>513</v>
      </c>
      <c r="V6" s="1048"/>
      <c r="W6" s="192"/>
      <c r="X6" s="518" t="s">
        <v>224</v>
      </c>
    </row>
    <row r="7" spans="1:24" s="517" customFormat="1" ht="33.75" customHeight="1" x14ac:dyDescent="0.15">
      <c r="A7" s="210"/>
      <c r="B7" s="691"/>
      <c r="C7" s="691"/>
      <c r="D7" s="691"/>
      <c r="E7" s="692"/>
      <c r="F7" s="118" t="s">
        <v>827</v>
      </c>
      <c r="G7" s="118" t="s">
        <v>221</v>
      </c>
      <c r="H7" s="118" t="s">
        <v>522</v>
      </c>
      <c r="I7" s="118" t="s">
        <v>523</v>
      </c>
      <c r="J7" s="118" t="s">
        <v>220</v>
      </c>
      <c r="K7" s="118" t="s">
        <v>514</v>
      </c>
      <c r="L7" s="118" t="s">
        <v>828</v>
      </c>
      <c r="M7" s="118" t="s">
        <v>524</v>
      </c>
      <c r="N7" s="117" t="s">
        <v>525</v>
      </c>
      <c r="O7" s="116" t="s">
        <v>229</v>
      </c>
      <c r="P7" s="116" t="s">
        <v>219</v>
      </c>
      <c r="Q7" s="116" t="s">
        <v>218</v>
      </c>
      <c r="R7" s="115" t="s">
        <v>217</v>
      </c>
      <c r="S7" s="642" t="s">
        <v>526</v>
      </c>
      <c r="T7" s="114"/>
      <c r="U7" s="114"/>
      <c r="V7" s="1049"/>
      <c r="W7" s="192"/>
      <c r="X7" s="518" t="s">
        <v>224</v>
      </c>
    </row>
    <row r="8" spans="1:24" s="643" customFormat="1" ht="21" customHeight="1" x14ac:dyDescent="0.15">
      <c r="A8" s="94"/>
      <c r="B8" s="811" t="s">
        <v>790</v>
      </c>
      <c r="C8" s="811" t="s">
        <v>791</v>
      </c>
      <c r="D8" s="812"/>
      <c r="E8" s="813"/>
      <c r="F8" s="199">
        <v>165514014</v>
      </c>
      <c r="G8" s="199">
        <v>49784797</v>
      </c>
      <c r="H8" s="199">
        <v>43768988</v>
      </c>
      <c r="I8" s="199">
        <v>5198787</v>
      </c>
      <c r="J8" s="199">
        <v>14354693</v>
      </c>
      <c r="K8" s="199">
        <v>34041510</v>
      </c>
      <c r="L8" s="199">
        <v>18365239</v>
      </c>
      <c r="M8" s="199">
        <v>10620746</v>
      </c>
      <c r="N8" s="199">
        <v>7744493</v>
      </c>
      <c r="O8" s="199">
        <v>1578055</v>
      </c>
      <c r="P8" s="199">
        <v>1872588</v>
      </c>
      <c r="Q8" s="199">
        <v>48606</v>
      </c>
      <c r="R8" s="199">
        <v>43514</v>
      </c>
      <c r="S8" s="111">
        <v>10937270</v>
      </c>
      <c r="T8" s="111">
        <v>9351592</v>
      </c>
      <c r="U8" s="814">
        <v>1585678</v>
      </c>
      <c r="V8" s="815" t="s">
        <v>792</v>
      </c>
      <c r="W8" s="53"/>
      <c r="X8" s="693"/>
    </row>
    <row r="9" spans="1:24" s="643" customFormat="1" ht="21" customHeight="1" x14ac:dyDescent="0.15">
      <c r="A9" s="94"/>
      <c r="B9" s="201" t="s">
        <v>235</v>
      </c>
      <c r="C9" s="645">
        <v>2</v>
      </c>
      <c r="D9" s="53"/>
      <c r="E9" s="208"/>
      <c r="F9" s="199">
        <v>151715317</v>
      </c>
      <c r="G9" s="199">
        <v>46051586</v>
      </c>
      <c r="H9" s="199">
        <v>40055286</v>
      </c>
      <c r="I9" s="199">
        <v>3244887</v>
      </c>
      <c r="J9" s="199">
        <v>14074518</v>
      </c>
      <c r="K9" s="199">
        <v>32036730</v>
      </c>
      <c r="L9" s="199">
        <v>16252310</v>
      </c>
      <c r="M9" s="199">
        <v>10028445</v>
      </c>
      <c r="N9" s="199">
        <v>6223865</v>
      </c>
      <c r="O9" s="199">
        <v>1419764</v>
      </c>
      <c r="P9" s="199">
        <v>1917093</v>
      </c>
      <c r="Q9" s="199">
        <v>45723</v>
      </c>
      <c r="R9" s="199">
        <v>39833</v>
      </c>
      <c r="S9" s="111">
        <v>10302518</v>
      </c>
      <c r="T9" s="111">
        <v>9164956</v>
      </c>
      <c r="U9" s="110">
        <v>1137562</v>
      </c>
      <c r="V9" s="67" t="s">
        <v>793</v>
      </c>
      <c r="W9" s="53"/>
      <c r="X9" s="693"/>
    </row>
    <row r="10" spans="1:24" s="643" customFormat="1" ht="21" customHeight="1" x14ac:dyDescent="0.15">
      <c r="A10" s="94"/>
      <c r="B10" s="201" t="s">
        <v>235</v>
      </c>
      <c r="C10" s="645">
        <v>3</v>
      </c>
      <c r="D10" s="53"/>
      <c r="E10" s="208"/>
      <c r="F10" s="199">
        <v>154214620</v>
      </c>
      <c r="G10" s="199">
        <v>44767547</v>
      </c>
      <c r="H10" s="199">
        <v>42790793</v>
      </c>
      <c r="I10" s="199">
        <v>3174862</v>
      </c>
      <c r="J10" s="199">
        <v>13508544</v>
      </c>
      <c r="K10" s="199">
        <v>32139599</v>
      </c>
      <c r="L10" s="199">
        <v>17833275</v>
      </c>
      <c r="M10" s="199">
        <v>10000213</v>
      </c>
      <c r="N10" s="199">
        <v>7833062</v>
      </c>
      <c r="O10" s="199">
        <v>1469039</v>
      </c>
      <c r="P10" s="199">
        <v>1797846</v>
      </c>
      <c r="Q10" s="199">
        <v>50335</v>
      </c>
      <c r="R10" s="199">
        <v>44366</v>
      </c>
      <c r="S10" s="111">
        <v>11366012</v>
      </c>
      <c r="T10" s="111">
        <v>9629866</v>
      </c>
      <c r="U10" s="110">
        <v>1736146</v>
      </c>
      <c r="V10" s="67" t="s">
        <v>794</v>
      </c>
      <c r="W10" s="53"/>
      <c r="X10" s="693"/>
    </row>
    <row r="11" spans="1:24" s="643" customFormat="1" ht="21" customHeight="1" x14ac:dyDescent="0.15">
      <c r="A11" s="94"/>
      <c r="B11" s="201" t="s">
        <v>235</v>
      </c>
      <c r="C11" s="645">
        <v>4</v>
      </c>
      <c r="D11" s="53"/>
      <c r="E11" s="208"/>
      <c r="F11" s="199">
        <v>151804975</v>
      </c>
      <c r="G11" s="199">
        <v>44781215</v>
      </c>
      <c r="H11" s="199">
        <v>37984725</v>
      </c>
      <c r="I11" s="199">
        <v>3805717</v>
      </c>
      <c r="J11" s="199">
        <v>13038904</v>
      </c>
      <c r="K11" s="199">
        <v>32039292</v>
      </c>
      <c r="L11" s="199">
        <v>20155122</v>
      </c>
      <c r="M11" s="199">
        <v>10527568</v>
      </c>
      <c r="N11" s="199">
        <v>9627554</v>
      </c>
      <c r="O11" s="816">
        <v>1780609</v>
      </c>
      <c r="P11" s="199">
        <v>1718544</v>
      </c>
      <c r="Q11" s="816">
        <v>48722</v>
      </c>
      <c r="R11" s="199">
        <v>44148</v>
      </c>
      <c r="S11" s="111">
        <v>12730683</v>
      </c>
      <c r="T11" s="111">
        <v>10349368</v>
      </c>
      <c r="U11" s="110">
        <v>2381315</v>
      </c>
      <c r="V11" s="67" t="s">
        <v>795</v>
      </c>
      <c r="W11" s="53"/>
      <c r="X11" s="693"/>
    </row>
    <row r="12" spans="1:24" s="643" customFormat="1" ht="21" customHeight="1" x14ac:dyDescent="0.15">
      <c r="A12" s="94"/>
      <c r="B12" s="201" t="s">
        <v>235</v>
      </c>
      <c r="C12" s="645">
        <v>5</v>
      </c>
      <c r="D12" s="53"/>
      <c r="E12" s="208"/>
      <c r="F12" s="199">
        <v>146823040</v>
      </c>
      <c r="G12" s="199">
        <v>44645283</v>
      </c>
      <c r="H12" s="199">
        <v>36784913</v>
      </c>
      <c r="I12" s="199">
        <v>4294171</v>
      </c>
      <c r="J12" s="199">
        <v>11906008</v>
      </c>
      <c r="K12" s="199">
        <v>31390845</v>
      </c>
      <c r="L12" s="199">
        <v>17801820</v>
      </c>
      <c r="M12" s="199">
        <v>10063753</v>
      </c>
      <c r="N12" s="199">
        <v>7738067</v>
      </c>
      <c r="O12" s="199">
        <v>1861998</v>
      </c>
      <c r="P12" s="199">
        <v>1500885</v>
      </c>
      <c r="Q12" s="199">
        <v>47005</v>
      </c>
      <c r="R12" s="199">
        <v>36028</v>
      </c>
      <c r="S12" s="111">
        <v>11964211</v>
      </c>
      <c r="T12" s="111">
        <v>9841398</v>
      </c>
      <c r="U12" s="110">
        <v>2122813</v>
      </c>
      <c r="V12" s="67" t="s">
        <v>1030</v>
      </c>
      <c r="W12" s="53"/>
      <c r="X12" s="53"/>
    </row>
    <row r="13" spans="1:24" s="643" customFormat="1" ht="21" customHeight="1" x14ac:dyDescent="0.15">
      <c r="A13" s="94"/>
      <c r="B13" s="201"/>
      <c r="C13" s="201"/>
      <c r="E13" s="204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205"/>
      <c r="V13" s="592"/>
      <c r="W13" s="53"/>
      <c r="X13" s="693"/>
    </row>
    <row r="14" spans="1:24" s="643" customFormat="1" ht="21" customHeight="1" x14ac:dyDescent="0.15">
      <c r="A14" s="94"/>
      <c r="B14" s="645" t="s">
        <v>790</v>
      </c>
      <c r="C14" s="645" t="s">
        <v>1031</v>
      </c>
      <c r="D14" s="581"/>
      <c r="E14" s="206"/>
      <c r="F14" s="199">
        <v>150800966</v>
      </c>
      <c r="G14" s="199">
        <v>44753884</v>
      </c>
      <c r="H14" s="199">
        <v>38232113</v>
      </c>
      <c r="I14" s="199">
        <v>4027425</v>
      </c>
      <c r="J14" s="199">
        <v>12249264</v>
      </c>
      <c r="K14" s="199">
        <v>31664668</v>
      </c>
      <c r="L14" s="199">
        <v>19873612</v>
      </c>
      <c r="M14" s="199">
        <v>10417416</v>
      </c>
      <c r="N14" s="199">
        <v>9456196</v>
      </c>
      <c r="O14" s="199">
        <v>1885021</v>
      </c>
      <c r="P14" s="199">
        <v>1658037</v>
      </c>
      <c r="Q14" s="199">
        <v>47824</v>
      </c>
      <c r="R14" s="199">
        <v>39104</v>
      </c>
      <c r="S14" s="199">
        <v>12744636</v>
      </c>
      <c r="T14" s="199">
        <v>10296441</v>
      </c>
      <c r="U14" s="205">
        <v>2448195</v>
      </c>
      <c r="V14" s="66" t="s">
        <v>796</v>
      </c>
      <c r="W14" s="53"/>
      <c r="X14" s="193" t="s">
        <v>224</v>
      </c>
    </row>
    <row r="15" spans="1:24" s="643" customFormat="1" ht="21" customHeight="1" x14ac:dyDescent="0.15">
      <c r="A15" s="94"/>
      <c r="B15" s="201" t="s">
        <v>235</v>
      </c>
      <c r="C15" s="645">
        <v>5</v>
      </c>
      <c r="D15" s="581"/>
      <c r="E15" s="206"/>
      <c r="F15" s="199">
        <v>144571333</v>
      </c>
      <c r="G15" s="199">
        <v>44504902</v>
      </c>
      <c r="H15" s="199">
        <v>36159823</v>
      </c>
      <c r="I15" s="199">
        <v>4381180</v>
      </c>
      <c r="J15" s="199">
        <v>11798074</v>
      </c>
      <c r="K15" s="199">
        <v>31225349</v>
      </c>
      <c r="L15" s="199">
        <v>16502005</v>
      </c>
      <c r="M15" s="199">
        <v>9841630</v>
      </c>
      <c r="N15" s="199">
        <v>6660375</v>
      </c>
      <c r="O15" s="199">
        <v>1835283</v>
      </c>
      <c r="P15" s="199">
        <v>1439865</v>
      </c>
      <c r="Q15" s="199">
        <v>47046</v>
      </c>
      <c r="R15" s="199">
        <v>36980</v>
      </c>
      <c r="S15" s="199">
        <v>11757767</v>
      </c>
      <c r="T15" s="199">
        <v>9724483</v>
      </c>
      <c r="U15" s="205">
        <v>2033284</v>
      </c>
      <c r="V15" s="66" t="s">
        <v>1032</v>
      </c>
      <c r="W15" s="53"/>
      <c r="X15" s="193"/>
    </row>
    <row r="16" spans="1:24" s="643" customFormat="1" ht="21" customHeight="1" x14ac:dyDescent="0.15">
      <c r="A16" s="94"/>
      <c r="B16" s="201"/>
      <c r="C16" s="201"/>
      <c r="E16" s="204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205"/>
      <c r="V16" s="61"/>
      <c r="W16" s="53"/>
      <c r="X16" s="193"/>
    </row>
    <row r="17" spans="1:24" s="643" customFormat="1" ht="21" customHeight="1" x14ac:dyDescent="0.15">
      <c r="A17" s="94"/>
      <c r="B17" s="645" t="s">
        <v>790</v>
      </c>
      <c r="C17" s="645" t="s">
        <v>800</v>
      </c>
      <c r="D17" s="645" t="s">
        <v>682</v>
      </c>
      <c r="E17" s="206"/>
      <c r="F17" s="199">
        <v>40125781</v>
      </c>
      <c r="G17" s="199">
        <v>10528480</v>
      </c>
      <c r="H17" s="199">
        <v>9828118</v>
      </c>
      <c r="I17" s="199">
        <v>1011744</v>
      </c>
      <c r="J17" s="199">
        <v>5334385</v>
      </c>
      <c r="K17" s="199">
        <v>7620220</v>
      </c>
      <c r="L17" s="199">
        <v>5802834</v>
      </c>
      <c r="M17" s="199">
        <v>3079344</v>
      </c>
      <c r="N17" s="199">
        <v>2723490</v>
      </c>
      <c r="O17" s="199">
        <v>463593</v>
      </c>
      <c r="P17" s="199">
        <v>438042</v>
      </c>
      <c r="Q17" s="199">
        <v>11265</v>
      </c>
      <c r="R17" s="199">
        <v>7098</v>
      </c>
      <c r="S17" s="199">
        <v>3742912</v>
      </c>
      <c r="T17" s="199">
        <v>3218910</v>
      </c>
      <c r="U17" s="205">
        <v>524002</v>
      </c>
      <c r="V17" s="62" t="s">
        <v>801</v>
      </c>
      <c r="W17" s="53"/>
      <c r="X17" s="193"/>
    </row>
    <row r="18" spans="1:24" s="643" customFormat="1" ht="21" customHeight="1" x14ac:dyDescent="0.15">
      <c r="A18" s="94"/>
      <c r="B18" s="201" t="s">
        <v>235</v>
      </c>
      <c r="C18" s="201" t="s">
        <v>235</v>
      </c>
      <c r="D18" s="645" t="s">
        <v>683</v>
      </c>
      <c r="E18" s="206"/>
      <c r="F18" s="199">
        <v>33813907</v>
      </c>
      <c r="G18" s="199">
        <v>10887863</v>
      </c>
      <c r="H18" s="199">
        <v>8750851</v>
      </c>
      <c r="I18" s="199">
        <v>989054</v>
      </c>
      <c r="J18" s="199">
        <v>1636396</v>
      </c>
      <c r="K18" s="199">
        <v>7651096</v>
      </c>
      <c r="L18" s="199">
        <v>3898647</v>
      </c>
      <c r="M18" s="199">
        <v>2301192</v>
      </c>
      <c r="N18" s="199">
        <v>1597455</v>
      </c>
      <c r="O18" s="199">
        <v>455570</v>
      </c>
      <c r="P18" s="199">
        <v>308595</v>
      </c>
      <c r="Q18" s="199">
        <v>11875</v>
      </c>
      <c r="R18" s="199">
        <v>8573</v>
      </c>
      <c r="S18" s="199">
        <v>2569071</v>
      </c>
      <c r="T18" s="199">
        <v>2107488</v>
      </c>
      <c r="U18" s="205">
        <v>461583</v>
      </c>
      <c r="V18" s="65" t="s">
        <v>797</v>
      </c>
      <c r="W18" s="53"/>
      <c r="X18" s="193"/>
    </row>
    <row r="19" spans="1:24" s="643" customFormat="1" ht="21" customHeight="1" x14ac:dyDescent="0.15">
      <c r="A19" s="94"/>
      <c r="B19" s="201" t="s">
        <v>235</v>
      </c>
      <c r="C19" s="201" t="s">
        <v>235</v>
      </c>
      <c r="D19" s="645" t="s">
        <v>684</v>
      </c>
      <c r="E19" s="206"/>
      <c r="F19" s="199">
        <v>34860620</v>
      </c>
      <c r="G19" s="199">
        <v>12044735</v>
      </c>
      <c r="H19" s="199">
        <v>8868281</v>
      </c>
      <c r="I19" s="199">
        <v>1181227</v>
      </c>
      <c r="J19" s="199">
        <v>941704</v>
      </c>
      <c r="K19" s="199">
        <v>8022200</v>
      </c>
      <c r="L19" s="199">
        <v>3802473</v>
      </c>
      <c r="M19" s="199">
        <v>2037807</v>
      </c>
      <c r="N19" s="199">
        <v>1764666</v>
      </c>
      <c r="O19" s="199">
        <v>470209</v>
      </c>
      <c r="P19" s="199">
        <v>394115</v>
      </c>
      <c r="Q19" s="199">
        <v>11882</v>
      </c>
      <c r="R19" s="199">
        <v>9811</v>
      </c>
      <c r="S19" s="199">
        <v>2517006</v>
      </c>
      <c r="T19" s="199">
        <v>1928836</v>
      </c>
      <c r="U19" s="205">
        <v>588170</v>
      </c>
      <c r="V19" s="64" t="s">
        <v>798</v>
      </c>
      <c r="W19" s="53"/>
      <c r="X19" s="193" t="s">
        <v>224</v>
      </c>
    </row>
    <row r="20" spans="1:24" s="643" customFormat="1" ht="21" customHeight="1" x14ac:dyDescent="0.15">
      <c r="A20" s="94"/>
      <c r="B20" s="201" t="s">
        <v>235</v>
      </c>
      <c r="C20" s="201" t="s">
        <v>235</v>
      </c>
      <c r="D20" s="626" t="s">
        <v>596</v>
      </c>
      <c r="E20" s="206"/>
      <c r="F20" s="199">
        <v>38022732</v>
      </c>
      <c r="G20" s="199">
        <v>11184205</v>
      </c>
      <c r="H20" s="199">
        <v>9337663</v>
      </c>
      <c r="I20" s="199">
        <v>1112146</v>
      </c>
      <c r="J20" s="199">
        <v>3993523</v>
      </c>
      <c r="K20" s="199">
        <v>8097329</v>
      </c>
      <c r="L20" s="199">
        <v>4297866</v>
      </c>
      <c r="M20" s="199">
        <v>2645410</v>
      </c>
      <c r="N20" s="199">
        <v>1652456</v>
      </c>
      <c r="O20" s="199">
        <v>472626</v>
      </c>
      <c r="P20" s="199">
        <v>360133</v>
      </c>
      <c r="Q20" s="199">
        <v>11983</v>
      </c>
      <c r="R20" s="199">
        <v>10546</v>
      </c>
      <c r="S20" s="199">
        <v>3135222</v>
      </c>
      <c r="T20" s="199">
        <v>2586164</v>
      </c>
      <c r="U20" s="205">
        <v>549058</v>
      </c>
      <c r="V20" s="63" t="s">
        <v>799</v>
      </c>
      <c r="W20" s="53"/>
      <c r="X20" s="193" t="s">
        <v>224</v>
      </c>
    </row>
    <row r="21" spans="1:24" s="643" customFormat="1" ht="21" customHeight="1" x14ac:dyDescent="0.15">
      <c r="A21" s="94"/>
      <c r="B21" s="645" t="s">
        <v>790</v>
      </c>
      <c r="C21" s="645" t="s">
        <v>1033</v>
      </c>
      <c r="D21" s="626" t="s">
        <v>685</v>
      </c>
      <c r="E21" s="206"/>
      <c r="F21" s="199">
        <v>37874074</v>
      </c>
      <c r="G21" s="199">
        <v>10388099</v>
      </c>
      <c r="H21" s="199">
        <v>9203028</v>
      </c>
      <c r="I21" s="199">
        <v>1098753</v>
      </c>
      <c r="J21" s="199">
        <v>5226451</v>
      </c>
      <c r="K21" s="199">
        <v>7454724</v>
      </c>
      <c r="L21" s="199">
        <v>4503019</v>
      </c>
      <c r="M21" s="199">
        <v>2857221</v>
      </c>
      <c r="N21" s="199">
        <v>1645798</v>
      </c>
      <c r="O21" s="199">
        <v>436878</v>
      </c>
      <c r="P21" s="199">
        <v>377022</v>
      </c>
      <c r="Q21" s="199">
        <v>11306</v>
      </c>
      <c r="R21" s="199">
        <v>8050</v>
      </c>
      <c r="S21" s="199">
        <v>3536468</v>
      </c>
      <c r="T21" s="199">
        <v>3101995</v>
      </c>
      <c r="U21" s="205">
        <v>434473</v>
      </c>
      <c r="V21" s="62" t="s">
        <v>1034</v>
      </c>
      <c r="W21" s="53"/>
      <c r="X21" s="193"/>
    </row>
    <row r="22" spans="1:24" s="643" customFormat="1" ht="21" customHeight="1" x14ac:dyDescent="0.15">
      <c r="A22" s="94"/>
      <c r="B22" s="201"/>
      <c r="C22" s="201"/>
      <c r="E22" s="204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110"/>
      <c r="V22" s="61"/>
      <c r="W22" s="53"/>
      <c r="X22" s="193"/>
    </row>
    <row r="23" spans="1:24" s="643" customFormat="1" ht="21" customHeight="1" x14ac:dyDescent="0.15">
      <c r="A23" s="94"/>
      <c r="B23" s="645" t="s">
        <v>790</v>
      </c>
      <c r="C23" s="645" t="s">
        <v>800</v>
      </c>
      <c r="D23" s="201" t="s">
        <v>667</v>
      </c>
      <c r="E23" s="200"/>
      <c r="F23" s="199">
        <v>13983438</v>
      </c>
      <c r="G23" s="199">
        <v>3503087</v>
      </c>
      <c r="H23" s="199">
        <v>3480736</v>
      </c>
      <c r="I23" s="199">
        <v>323529</v>
      </c>
      <c r="J23" s="199">
        <v>2126374</v>
      </c>
      <c r="K23" s="199">
        <v>2425210</v>
      </c>
      <c r="L23" s="199">
        <v>2124502</v>
      </c>
      <c r="M23" s="199">
        <v>1023372</v>
      </c>
      <c r="N23" s="199">
        <v>1101130</v>
      </c>
      <c r="O23" s="199">
        <v>143586</v>
      </c>
      <c r="P23" s="199">
        <v>132601</v>
      </c>
      <c r="Q23" s="199">
        <v>3277</v>
      </c>
      <c r="R23" s="199">
        <v>2835</v>
      </c>
      <c r="S23" s="111">
        <v>1284352</v>
      </c>
      <c r="T23" s="111">
        <v>1124937</v>
      </c>
      <c r="U23" s="110">
        <v>159415</v>
      </c>
      <c r="V23" s="60" t="s">
        <v>816</v>
      </c>
      <c r="W23" s="53"/>
      <c r="X23" s="193" t="s">
        <v>224</v>
      </c>
    </row>
    <row r="24" spans="1:24" s="643" customFormat="1" ht="21" customHeight="1" x14ac:dyDescent="0.15">
      <c r="A24" s="94"/>
      <c r="B24" s="201" t="s">
        <v>235</v>
      </c>
      <c r="C24" s="201" t="s">
        <v>235</v>
      </c>
      <c r="D24" s="201" t="s">
        <v>668</v>
      </c>
      <c r="E24" s="200"/>
      <c r="F24" s="199">
        <v>13106188</v>
      </c>
      <c r="G24" s="199">
        <v>3385411</v>
      </c>
      <c r="H24" s="199">
        <v>2948164</v>
      </c>
      <c r="I24" s="199">
        <v>256508</v>
      </c>
      <c r="J24" s="199">
        <v>2048385</v>
      </c>
      <c r="K24" s="199">
        <v>2522863</v>
      </c>
      <c r="L24" s="199">
        <v>1944857</v>
      </c>
      <c r="M24" s="199">
        <v>1041788</v>
      </c>
      <c r="N24" s="199">
        <v>903069</v>
      </c>
      <c r="O24" s="199">
        <v>128705</v>
      </c>
      <c r="P24" s="199">
        <v>155404</v>
      </c>
      <c r="Q24" s="199">
        <v>3394</v>
      </c>
      <c r="R24" s="199">
        <v>2245</v>
      </c>
      <c r="S24" s="111">
        <v>1251545</v>
      </c>
      <c r="T24" s="111">
        <v>1089416</v>
      </c>
      <c r="U24" s="110">
        <v>162129</v>
      </c>
      <c r="V24" s="55" t="s">
        <v>802</v>
      </c>
      <c r="W24" s="53"/>
      <c r="X24" s="193"/>
    </row>
    <row r="25" spans="1:24" s="643" customFormat="1" ht="21" customHeight="1" x14ac:dyDescent="0.15">
      <c r="A25" s="94"/>
      <c r="B25" s="201" t="s">
        <v>235</v>
      </c>
      <c r="C25" s="201" t="s">
        <v>235</v>
      </c>
      <c r="D25" s="201" t="s">
        <v>669</v>
      </c>
      <c r="E25" s="200"/>
      <c r="F25" s="199">
        <v>13036155</v>
      </c>
      <c r="G25" s="199">
        <v>3639982</v>
      </c>
      <c r="H25" s="199">
        <v>3399218</v>
      </c>
      <c r="I25" s="199">
        <v>431707</v>
      </c>
      <c r="J25" s="199">
        <v>1159626</v>
      </c>
      <c r="K25" s="199">
        <v>2672147</v>
      </c>
      <c r="L25" s="199">
        <v>1733475</v>
      </c>
      <c r="M25" s="199">
        <v>1014184</v>
      </c>
      <c r="N25" s="199">
        <v>719291</v>
      </c>
      <c r="O25" s="199">
        <v>191302</v>
      </c>
      <c r="P25" s="199">
        <v>150037</v>
      </c>
      <c r="Q25" s="199">
        <v>4594</v>
      </c>
      <c r="R25" s="199">
        <v>2018</v>
      </c>
      <c r="S25" s="111">
        <v>1207015</v>
      </c>
      <c r="T25" s="111">
        <v>1004557</v>
      </c>
      <c r="U25" s="110">
        <v>202458</v>
      </c>
      <c r="V25" s="55" t="s">
        <v>803</v>
      </c>
      <c r="W25" s="53"/>
      <c r="X25" s="193" t="s">
        <v>224</v>
      </c>
    </row>
    <row r="26" spans="1:24" s="643" customFormat="1" ht="21" customHeight="1" x14ac:dyDescent="0.15">
      <c r="A26" s="94"/>
      <c r="B26" s="201" t="s">
        <v>235</v>
      </c>
      <c r="C26" s="201" t="s">
        <v>235</v>
      </c>
      <c r="D26" s="201" t="s">
        <v>670</v>
      </c>
      <c r="E26" s="200"/>
      <c r="F26" s="199">
        <v>11672777</v>
      </c>
      <c r="G26" s="199">
        <v>3570070</v>
      </c>
      <c r="H26" s="199">
        <v>3225842</v>
      </c>
      <c r="I26" s="199">
        <v>277163</v>
      </c>
      <c r="J26" s="199">
        <v>769995</v>
      </c>
      <c r="K26" s="199">
        <v>2492592</v>
      </c>
      <c r="L26" s="199">
        <v>1337115</v>
      </c>
      <c r="M26" s="199">
        <v>784275</v>
      </c>
      <c r="N26" s="199">
        <v>552840</v>
      </c>
      <c r="O26" s="199">
        <v>146335</v>
      </c>
      <c r="P26" s="199">
        <v>105493</v>
      </c>
      <c r="Q26" s="199">
        <v>3831</v>
      </c>
      <c r="R26" s="199">
        <v>2077</v>
      </c>
      <c r="S26" s="111">
        <v>864250</v>
      </c>
      <c r="T26" s="111">
        <v>750751</v>
      </c>
      <c r="U26" s="110">
        <v>113499</v>
      </c>
      <c r="V26" s="55" t="s">
        <v>804</v>
      </c>
      <c r="W26" s="53"/>
      <c r="X26" s="193"/>
    </row>
    <row r="27" spans="1:24" s="643" customFormat="1" ht="21" customHeight="1" x14ac:dyDescent="0.15">
      <c r="A27" s="94"/>
      <c r="B27" s="201" t="s">
        <v>235</v>
      </c>
      <c r="C27" s="201" t="s">
        <v>235</v>
      </c>
      <c r="D27" s="201" t="s">
        <v>671</v>
      </c>
      <c r="E27" s="200"/>
      <c r="F27" s="199">
        <v>11209928</v>
      </c>
      <c r="G27" s="199">
        <v>3676432</v>
      </c>
      <c r="H27" s="199">
        <v>2985502</v>
      </c>
      <c r="I27" s="199">
        <v>338305</v>
      </c>
      <c r="J27" s="199">
        <v>487476</v>
      </c>
      <c r="K27" s="199">
        <v>2506531</v>
      </c>
      <c r="L27" s="199">
        <v>1215682</v>
      </c>
      <c r="M27" s="199">
        <v>751031</v>
      </c>
      <c r="N27" s="199">
        <v>464651</v>
      </c>
      <c r="O27" s="199">
        <v>155395</v>
      </c>
      <c r="P27" s="199">
        <v>83921</v>
      </c>
      <c r="Q27" s="199">
        <v>3775</v>
      </c>
      <c r="R27" s="199">
        <v>3837</v>
      </c>
      <c r="S27" s="111">
        <v>845822</v>
      </c>
      <c r="T27" s="111">
        <v>645215</v>
      </c>
      <c r="U27" s="110">
        <v>200607</v>
      </c>
      <c r="V27" s="55" t="s">
        <v>453</v>
      </c>
      <c r="W27" s="53"/>
      <c r="X27" s="193" t="s">
        <v>224</v>
      </c>
    </row>
    <row r="28" spans="1:24" s="643" customFormat="1" ht="21" customHeight="1" x14ac:dyDescent="0.15">
      <c r="A28" s="94"/>
      <c r="B28" s="201" t="s">
        <v>235</v>
      </c>
      <c r="C28" s="201" t="s">
        <v>235</v>
      </c>
      <c r="D28" s="201" t="s">
        <v>672</v>
      </c>
      <c r="E28" s="200"/>
      <c r="F28" s="199">
        <v>10931202</v>
      </c>
      <c r="G28" s="199">
        <v>3641361</v>
      </c>
      <c r="H28" s="199">
        <v>2539507</v>
      </c>
      <c r="I28" s="199">
        <v>373586</v>
      </c>
      <c r="J28" s="199">
        <v>378925</v>
      </c>
      <c r="K28" s="199">
        <v>2651973</v>
      </c>
      <c r="L28" s="199">
        <v>1345850</v>
      </c>
      <c r="M28" s="199">
        <v>765886</v>
      </c>
      <c r="N28" s="199">
        <v>579964</v>
      </c>
      <c r="O28" s="199">
        <v>153840</v>
      </c>
      <c r="P28" s="199">
        <v>119181</v>
      </c>
      <c r="Q28" s="199">
        <v>4269</v>
      </c>
      <c r="R28" s="199">
        <v>2659</v>
      </c>
      <c r="S28" s="111">
        <v>858999</v>
      </c>
      <c r="T28" s="111">
        <v>711522</v>
      </c>
      <c r="U28" s="110">
        <v>147477</v>
      </c>
      <c r="V28" s="55" t="s">
        <v>806</v>
      </c>
      <c r="W28" s="53"/>
      <c r="X28" s="193"/>
    </row>
    <row r="29" spans="1:24" s="643" customFormat="1" ht="21" customHeight="1" x14ac:dyDescent="0.15">
      <c r="A29" s="94"/>
      <c r="B29" s="201" t="s">
        <v>235</v>
      </c>
      <c r="C29" s="201" t="s">
        <v>235</v>
      </c>
      <c r="D29" s="201" t="s">
        <v>673</v>
      </c>
      <c r="E29" s="200"/>
      <c r="F29" s="199">
        <v>11585418</v>
      </c>
      <c r="G29" s="199">
        <v>4047430</v>
      </c>
      <c r="H29" s="199">
        <v>2729025</v>
      </c>
      <c r="I29" s="199">
        <v>393597</v>
      </c>
      <c r="J29" s="199">
        <v>346345</v>
      </c>
      <c r="K29" s="199">
        <v>2722039</v>
      </c>
      <c r="L29" s="199">
        <v>1346982</v>
      </c>
      <c r="M29" s="199">
        <v>712399</v>
      </c>
      <c r="N29" s="199">
        <v>634583</v>
      </c>
      <c r="O29" s="199">
        <v>156756</v>
      </c>
      <c r="P29" s="199">
        <v>132367</v>
      </c>
      <c r="Q29" s="199">
        <v>4149</v>
      </c>
      <c r="R29" s="199">
        <v>2454</v>
      </c>
      <c r="S29" s="111">
        <v>825648</v>
      </c>
      <c r="T29" s="111">
        <v>643547</v>
      </c>
      <c r="U29" s="110">
        <v>182101</v>
      </c>
      <c r="V29" s="55" t="s">
        <v>807</v>
      </c>
      <c r="W29" s="53"/>
      <c r="X29" s="193" t="s">
        <v>224</v>
      </c>
    </row>
    <row r="30" spans="1:24" s="643" customFormat="1" ht="21" customHeight="1" x14ac:dyDescent="0.15">
      <c r="A30" s="94"/>
      <c r="B30" s="201" t="s">
        <v>235</v>
      </c>
      <c r="C30" s="201" t="s">
        <v>235</v>
      </c>
      <c r="D30" s="201" t="s">
        <v>674</v>
      </c>
      <c r="E30" s="200"/>
      <c r="F30" s="199">
        <v>11948597</v>
      </c>
      <c r="G30" s="199">
        <v>4231947</v>
      </c>
      <c r="H30" s="199">
        <v>3208489</v>
      </c>
      <c r="I30" s="199">
        <v>407685</v>
      </c>
      <c r="J30" s="199">
        <v>260875</v>
      </c>
      <c r="K30" s="199">
        <v>2602900</v>
      </c>
      <c r="L30" s="199">
        <v>1236701</v>
      </c>
      <c r="M30" s="199">
        <v>673827</v>
      </c>
      <c r="N30" s="199">
        <v>562874</v>
      </c>
      <c r="O30" s="199">
        <v>135528</v>
      </c>
      <c r="P30" s="199">
        <v>128148</v>
      </c>
      <c r="Q30" s="199">
        <v>3630</v>
      </c>
      <c r="R30" s="199">
        <v>3923</v>
      </c>
      <c r="S30" s="111">
        <v>834668</v>
      </c>
      <c r="T30" s="111">
        <v>626814</v>
      </c>
      <c r="U30" s="110">
        <v>207854</v>
      </c>
      <c r="V30" s="55" t="s">
        <v>808</v>
      </c>
      <c r="W30" s="53"/>
      <c r="X30" s="193"/>
    </row>
    <row r="31" spans="1:24" s="643" customFormat="1" ht="21" customHeight="1" x14ac:dyDescent="0.15">
      <c r="A31" s="94"/>
      <c r="B31" s="201" t="s">
        <v>235</v>
      </c>
      <c r="C31" s="201" t="s">
        <v>235</v>
      </c>
      <c r="D31" s="201" t="s">
        <v>675</v>
      </c>
      <c r="E31" s="200"/>
      <c r="F31" s="199">
        <v>11326605</v>
      </c>
      <c r="G31" s="199">
        <v>3765358</v>
      </c>
      <c r="H31" s="199">
        <v>2930767</v>
      </c>
      <c r="I31" s="199">
        <v>379945</v>
      </c>
      <c r="J31" s="199">
        <v>334484</v>
      </c>
      <c r="K31" s="199">
        <v>2697261</v>
      </c>
      <c r="L31" s="199">
        <v>1218790</v>
      </c>
      <c r="M31" s="199">
        <v>651581</v>
      </c>
      <c r="N31" s="199">
        <v>567209</v>
      </c>
      <c r="O31" s="199">
        <v>177925</v>
      </c>
      <c r="P31" s="199">
        <v>133600</v>
      </c>
      <c r="Q31" s="199">
        <v>4103</v>
      </c>
      <c r="R31" s="199">
        <v>3434</v>
      </c>
      <c r="S31" s="111">
        <v>856690</v>
      </c>
      <c r="T31" s="111">
        <v>658475</v>
      </c>
      <c r="U31" s="110">
        <v>198215</v>
      </c>
      <c r="V31" s="55" t="s">
        <v>809</v>
      </c>
      <c r="W31" s="53"/>
      <c r="X31" s="193" t="s">
        <v>224</v>
      </c>
    </row>
    <row r="32" spans="1:24" s="643" customFormat="1" ht="21" customHeight="1" x14ac:dyDescent="0.15">
      <c r="A32" s="94"/>
      <c r="B32" s="201" t="s">
        <v>235</v>
      </c>
      <c r="C32" s="201" t="s">
        <v>235</v>
      </c>
      <c r="D32" s="582" t="s">
        <v>810</v>
      </c>
      <c r="E32" s="200"/>
      <c r="F32" s="199">
        <v>11651713</v>
      </c>
      <c r="G32" s="199">
        <v>3697488</v>
      </c>
      <c r="H32" s="199">
        <v>2829324</v>
      </c>
      <c r="I32" s="199">
        <v>376376</v>
      </c>
      <c r="J32" s="199">
        <v>775339</v>
      </c>
      <c r="K32" s="199">
        <v>2667886</v>
      </c>
      <c r="L32" s="199">
        <v>1305300</v>
      </c>
      <c r="M32" s="199">
        <v>764275</v>
      </c>
      <c r="N32" s="199">
        <v>541025</v>
      </c>
      <c r="O32" s="199">
        <v>164805</v>
      </c>
      <c r="P32" s="199">
        <v>123808</v>
      </c>
      <c r="Q32" s="199">
        <v>4264</v>
      </c>
      <c r="R32" s="199">
        <v>3147</v>
      </c>
      <c r="S32" s="111">
        <v>887486</v>
      </c>
      <c r="T32" s="111">
        <v>676180</v>
      </c>
      <c r="U32" s="110">
        <v>211306</v>
      </c>
      <c r="V32" s="55" t="s">
        <v>811</v>
      </c>
      <c r="W32" s="53"/>
      <c r="X32" s="193"/>
    </row>
    <row r="33" spans="1:24" s="643" customFormat="1" ht="21" customHeight="1" x14ac:dyDescent="0.15">
      <c r="A33" s="94"/>
      <c r="B33" s="201" t="s">
        <v>235</v>
      </c>
      <c r="C33" s="201" t="s">
        <v>235</v>
      </c>
      <c r="D33" s="582" t="s">
        <v>812</v>
      </c>
      <c r="E33" s="200"/>
      <c r="F33" s="199">
        <v>12249153</v>
      </c>
      <c r="G33" s="199">
        <v>3530799</v>
      </c>
      <c r="H33" s="199">
        <v>3251497</v>
      </c>
      <c r="I33" s="199">
        <v>346496</v>
      </c>
      <c r="J33" s="199">
        <v>1172944</v>
      </c>
      <c r="K33" s="199">
        <v>2637579</v>
      </c>
      <c r="L33" s="199">
        <v>1309838</v>
      </c>
      <c r="M33" s="199">
        <v>838029</v>
      </c>
      <c r="N33" s="199">
        <v>471809</v>
      </c>
      <c r="O33" s="199">
        <v>160238</v>
      </c>
      <c r="P33" s="199">
        <v>121403</v>
      </c>
      <c r="Q33" s="199">
        <v>3886</v>
      </c>
      <c r="R33" s="199">
        <v>3717</v>
      </c>
      <c r="S33" s="111">
        <v>1045791</v>
      </c>
      <c r="T33" s="111">
        <v>867241</v>
      </c>
      <c r="U33" s="110">
        <v>178550</v>
      </c>
      <c r="V33" s="55" t="s">
        <v>813</v>
      </c>
      <c r="W33" s="53"/>
      <c r="X33" s="193"/>
    </row>
    <row r="34" spans="1:24" s="643" customFormat="1" ht="21" customHeight="1" x14ac:dyDescent="0.15">
      <c r="A34" s="94"/>
      <c r="B34" s="201" t="s">
        <v>235</v>
      </c>
      <c r="C34" s="201" t="s">
        <v>235</v>
      </c>
      <c r="D34" s="582" t="s">
        <v>814</v>
      </c>
      <c r="E34" s="200"/>
      <c r="F34" s="199">
        <v>14121866</v>
      </c>
      <c r="G34" s="199">
        <v>3955918</v>
      </c>
      <c r="H34" s="199">
        <v>3256842</v>
      </c>
      <c r="I34" s="199">
        <v>389274</v>
      </c>
      <c r="J34" s="199">
        <v>2045240</v>
      </c>
      <c r="K34" s="199">
        <v>2791864</v>
      </c>
      <c r="L34" s="199">
        <v>1682728</v>
      </c>
      <c r="M34" s="199">
        <v>1043106</v>
      </c>
      <c r="N34" s="199">
        <v>639622</v>
      </c>
      <c r="O34" s="199">
        <v>147583</v>
      </c>
      <c r="P34" s="199">
        <v>114922</v>
      </c>
      <c r="Q34" s="199">
        <v>3833</v>
      </c>
      <c r="R34" s="199">
        <v>3682</v>
      </c>
      <c r="S34" s="111">
        <v>1201945</v>
      </c>
      <c r="T34" s="111">
        <v>1042743</v>
      </c>
      <c r="U34" s="110">
        <v>159202</v>
      </c>
      <c r="V34" s="55" t="s">
        <v>815</v>
      </c>
      <c r="W34" s="53"/>
      <c r="X34" s="193" t="s">
        <v>224</v>
      </c>
    </row>
    <row r="35" spans="1:24" s="643" customFormat="1" ht="21" customHeight="1" x14ac:dyDescent="0.15">
      <c r="A35" s="94"/>
      <c r="B35" s="201"/>
      <c r="C35" s="201"/>
      <c r="D35" s="201"/>
      <c r="E35" s="200"/>
      <c r="F35" s="199"/>
      <c r="G35" s="203"/>
      <c r="H35" s="203"/>
      <c r="I35" s="203"/>
      <c r="J35" s="199"/>
      <c r="K35" s="199"/>
      <c r="L35" s="199"/>
      <c r="M35" s="199"/>
      <c r="N35" s="199"/>
      <c r="O35" s="199"/>
      <c r="P35" s="199"/>
      <c r="Q35" s="199"/>
      <c r="R35" s="199"/>
      <c r="S35" s="111"/>
      <c r="T35" s="111"/>
      <c r="U35" s="110"/>
      <c r="V35" s="202"/>
      <c r="W35" s="53"/>
      <c r="X35" s="193"/>
    </row>
    <row r="36" spans="1:24" s="643" customFormat="1" ht="21" customHeight="1" x14ac:dyDescent="0.15">
      <c r="A36" s="94"/>
      <c r="B36" s="645" t="s">
        <v>790</v>
      </c>
      <c r="C36" s="645" t="s">
        <v>1033</v>
      </c>
      <c r="D36" s="619" t="s">
        <v>676</v>
      </c>
      <c r="E36" s="200"/>
      <c r="F36" s="199">
        <v>12759378</v>
      </c>
      <c r="G36" s="199">
        <v>3407969</v>
      </c>
      <c r="H36" s="199">
        <v>3181660</v>
      </c>
      <c r="I36" s="199">
        <v>386550</v>
      </c>
      <c r="J36" s="199">
        <v>1920612</v>
      </c>
      <c r="K36" s="199">
        <v>2340638</v>
      </c>
      <c r="L36" s="199">
        <v>1521949</v>
      </c>
      <c r="M36" s="199">
        <v>920577</v>
      </c>
      <c r="N36" s="199">
        <v>601372</v>
      </c>
      <c r="O36" s="199">
        <v>135684</v>
      </c>
      <c r="P36" s="199">
        <v>113589</v>
      </c>
      <c r="Q36" s="199">
        <v>3401</v>
      </c>
      <c r="R36" s="199">
        <v>3349</v>
      </c>
      <c r="S36" s="111">
        <v>1199961</v>
      </c>
      <c r="T36" s="111">
        <v>1051433</v>
      </c>
      <c r="U36" s="110">
        <v>148528</v>
      </c>
      <c r="V36" s="60" t="s">
        <v>1035</v>
      </c>
      <c r="W36" s="53"/>
      <c r="X36" s="193" t="s">
        <v>224</v>
      </c>
    </row>
    <row r="37" spans="1:24" s="643" customFormat="1" ht="21" customHeight="1" x14ac:dyDescent="0.15">
      <c r="A37" s="94"/>
      <c r="B37" s="201" t="s">
        <v>235</v>
      </c>
      <c r="C37" s="201" t="s">
        <v>235</v>
      </c>
      <c r="D37" s="201" t="s">
        <v>668</v>
      </c>
      <c r="E37" s="200"/>
      <c r="F37" s="199">
        <v>12496165</v>
      </c>
      <c r="G37" s="199">
        <v>3322535</v>
      </c>
      <c r="H37" s="199">
        <v>3156161</v>
      </c>
      <c r="I37" s="199">
        <v>350278</v>
      </c>
      <c r="J37" s="199">
        <v>1716596</v>
      </c>
      <c r="K37" s="199">
        <v>2469561</v>
      </c>
      <c r="L37" s="199">
        <v>1481034</v>
      </c>
      <c r="M37" s="199">
        <v>952295</v>
      </c>
      <c r="N37" s="199">
        <v>528739</v>
      </c>
      <c r="O37" s="199">
        <v>148595</v>
      </c>
      <c r="P37" s="199">
        <v>126996</v>
      </c>
      <c r="Q37" s="199">
        <v>3847</v>
      </c>
      <c r="R37" s="199">
        <v>1850</v>
      </c>
      <c r="S37" s="111">
        <v>1169971</v>
      </c>
      <c r="T37" s="111">
        <v>1018539</v>
      </c>
      <c r="U37" s="110">
        <v>151432</v>
      </c>
      <c r="V37" s="55" t="s">
        <v>802</v>
      </c>
      <c r="W37" s="53"/>
      <c r="X37" s="193"/>
    </row>
    <row r="38" spans="1:24" s="643" customFormat="1" ht="21" customHeight="1" x14ac:dyDescent="0.15">
      <c r="A38" s="94"/>
      <c r="B38" s="583" t="s">
        <v>235</v>
      </c>
      <c r="C38" s="583" t="s">
        <v>235</v>
      </c>
      <c r="D38" s="584" t="s">
        <v>677</v>
      </c>
      <c r="E38" s="198"/>
      <c r="F38" s="197">
        <v>12618531</v>
      </c>
      <c r="G38" s="196">
        <v>3657595</v>
      </c>
      <c r="H38" s="196">
        <v>2865207</v>
      </c>
      <c r="I38" s="196">
        <v>361925</v>
      </c>
      <c r="J38" s="196">
        <v>1589243</v>
      </c>
      <c r="K38" s="196">
        <v>2644525</v>
      </c>
      <c r="L38" s="196">
        <v>1500036</v>
      </c>
      <c r="M38" s="196">
        <v>984349</v>
      </c>
      <c r="N38" s="196">
        <v>515687</v>
      </c>
      <c r="O38" s="196">
        <v>152599</v>
      </c>
      <c r="P38" s="196">
        <v>136437</v>
      </c>
      <c r="Q38" s="196">
        <v>4058</v>
      </c>
      <c r="R38" s="196">
        <v>2851</v>
      </c>
      <c r="S38" s="195">
        <v>1166536</v>
      </c>
      <c r="T38" s="195">
        <v>1032023</v>
      </c>
      <c r="U38" s="194">
        <v>134513</v>
      </c>
      <c r="V38" s="54" t="s">
        <v>803</v>
      </c>
      <c r="W38" s="53"/>
      <c r="X38" s="193" t="s">
        <v>224</v>
      </c>
    </row>
    <row r="39" spans="1:24" s="521" customFormat="1" ht="0.75" customHeight="1" x14ac:dyDescent="0.15">
      <c r="A39" s="639"/>
      <c r="C39" s="90"/>
      <c r="D39" s="90"/>
      <c r="E39" s="90"/>
      <c r="F39" s="192"/>
      <c r="G39" s="192"/>
      <c r="H39" s="192"/>
      <c r="I39" s="99"/>
      <c r="J39" s="99"/>
      <c r="K39" s="99"/>
      <c r="L39" s="99"/>
      <c r="M39" s="99"/>
      <c r="N39" s="99"/>
      <c r="P39" s="99"/>
      <c r="Q39" s="99"/>
      <c r="R39" s="99"/>
      <c r="S39" s="99"/>
      <c r="T39" s="99"/>
      <c r="U39" s="99"/>
      <c r="V39" s="191"/>
      <c r="W39" s="639"/>
    </row>
    <row r="40" spans="1:24" s="52" customFormat="1" ht="12" customHeight="1" x14ac:dyDescent="0.15">
      <c r="A40" s="68"/>
      <c r="B40" s="99" t="s">
        <v>842</v>
      </c>
      <c r="C40" s="68"/>
      <c r="D40" s="68"/>
      <c r="E40" s="68"/>
      <c r="F40" s="68"/>
      <c r="G40" s="68"/>
      <c r="H40" s="522"/>
      <c r="I40" s="68"/>
      <c r="J40" s="68"/>
      <c r="K40" s="68"/>
      <c r="L40" s="68"/>
      <c r="M40" s="68"/>
      <c r="N40" s="68"/>
      <c r="O40" s="100" t="s">
        <v>843</v>
      </c>
      <c r="P40" s="68"/>
      <c r="Q40" s="68"/>
      <c r="R40" s="68"/>
      <c r="S40" s="68"/>
      <c r="T40" s="68"/>
      <c r="U40" s="68"/>
      <c r="V40" s="191"/>
      <c r="W40" s="68"/>
    </row>
    <row r="41" spans="1:24" x14ac:dyDescent="0.15">
      <c r="B41" s="99" t="s">
        <v>844</v>
      </c>
      <c r="O41" s="585" t="s">
        <v>1041</v>
      </c>
    </row>
    <row r="42" spans="1:24" x14ac:dyDescent="0.15">
      <c r="B42" s="99" t="s">
        <v>845</v>
      </c>
    </row>
  </sheetData>
  <mergeCells count="2">
    <mergeCell ref="V4:V7"/>
    <mergeCell ref="B5:E5"/>
  </mergeCells>
  <phoneticPr fontId="33"/>
  <pageMargins left="0.59055118110236227" right="0.59055118110236227" top="0.59055118110236227" bottom="0.59055118110236227" header="0.59055118110236227" footer="0.15748031496062992"/>
  <pageSetup paperSize="9" scale="9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68"/>
  <sheetViews>
    <sheetView view="pageBreakPreview" zoomScaleNormal="75" zoomScaleSheetLayoutView="100" workbookViewId="0"/>
  </sheetViews>
  <sheetFormatPr defaultRowHeight="13.5" x14ac:dyDescent="0.15"/>
  <cols>
    <col min="1" max="1" width="2.625" style="141" customWidth="1"/>
    <col min="2" max="2" width="3.375" style="141" customWidth="1"/>
    <col min="3" max="3" width="3.25" style="141" customWidth="1"/>
    <col min="4" max="4" width="6.125" style="141" customWidth="1"/>
    <col min="5" max="5" width="0.875" style="141" customWidth="1"/>
    <col min="6" max="6" width="9.125" style="141" customWidth="1"/>
    <col min="7" max="10" width="8.125" style="141" customWidth="1"/>
    <col min="11" max="14" width="8.375" style="141" customWidth="1"/>
    <col min="15" max="15" width="9.625" style="141" customWidth="1"/>
    <col min="16" max="16" width="8.375" style="141" customWidth="1"/>
    <col min="17" max="17" width="9.625" style="141" customWidth="1"/>
    <col min="18" max="21" width="8.375" style="141" customWidth="1"/>
    <col min="22" max="22" width="8.25" style="141" customWidth="1"/>
    <col min="23" max="23" width="2.625" style="141" customWidth="1"/>
    <col min="24" max="16384" width="9" style="141"/>
  </cols>
  <sheetData>
    <row r="1" spans="1:23" ht="13.5" customHeight="1" x14ac:dyDescent="0.15">
      <c r="I1" s="288"/>
    </row>
    <row r="2" spans="1:23" ht="13.5" customHeight="1" x14ac:dyDescent="0.2">
      <c r="A2" s="565"/>
      <c r="B2" s="565" t="s">
        <v>1128</v>
      </c>
      <c r="C2" s="21"/>
      <c r="D2" s="21"/>
      <c r="E2" s="21"/>
      <c r="F2" s="21"/>
      <c r="G2" s="218"/>
      <c r="J2" s="218"/>
      <c r="K2" s="242"/>
      <c r="L2" s="242"/>
      <c r="P2" s="218"/>
      <c r="S2" s="566"/>
      <c r="V2" s="213"/>
    </row>
    <row r="3" spans="1:23" s="144" customFormat="1" ht="12" customHeight="1" x14ac:dyDescent="0.15">
      <c r="A3" s="287"/>
      <c r="B3" s="286" t="s">
        <v>604</v>
      </c>
      <c r="C3" s="285"/>
      <c r="D3" s="285"/>
      <c r="E3" s="285"/>
      <c r="F3" s="137"/>
      <c r="G3" s="282"/>
      <c r="H3" s="282"/>
      <c r="I3" s="282"/>
      <c r="J3" s="282"/>
      <c r="K3" s="284" t="s">
        <v>224</v>
      </c>
      <c r="L3" s="282"/>
      <c r="M3" s="282" t="s">
        <v>224</v>
      </c>
      <c r="N3" s="282"/>
      <c r="O3" s="282"/>
      <c r="P3" s="282"/>
      <c r="Q3" s="282"/>
      <c r="R3" s="282"/>
      <c r="S3" s="283"/>
      <c r="T3" s="282"/>
      <c r="U3" s="78" t="s">
        <v>686</v>
      </c>
      <c r="V3" s="282"/>
    </row>
    <row r="4" spans="1:23" s="26" customFormat="1" ht="11.25" customHeight="1" x14ac:dyDescent="0.15">
      <c r="A4" s="711"/>
      <c r="B4" s="693"/>
      <c r="C4" s="693"/>
      <c r="D4" s="693"/>
      <c r="E4" s="694"/>
      <c r="F4" s="817"/>
      <c r="G4" s="281"/>
      <c r="H4" s="281"/>
      <c r="I4" s="281"/>
      <c r="J4" s="281"/>
      <c r="K4" s="281"/>
      <c r="L4" s="281"/>
      <c r="M4" s="281"/>
      <c r="N4" s="280"/>
      <c r="O4" s="134"/>
      <c r="P4" s="133"/>
      <c r="Q4" s="133"/>
      <c r="R4" s="133"/>
      <c r="S4" s="133"/>
      <c r="T4" s="132"/>
      <c r="U4" s="131"/>
      <c r="V4" s="1050" t="s">
        <v>550</v>
      </c>
    </row>
    <row r="5" spans="1:23" s="26" customFormat="1" ht="11.25" customHeight="1" x14ac:dyDescent="0.15">
      <c r="A5" s="693"/>
      <c r="B5" s="1051" t="s">
        <v>551</v>
      </c>
      <c r="C5" s="1051"/>
      <c r="D5" s="1051"/>
      <c r="E5" s="1052"/>
      <c r="F5" s="120" t="s">
        <v>227</v>
      </c>
      <c r="G5" s="122" t="s">
        <v>501</v>
      </c>
      <c r="H5" s="122" t="s">
        <v>502</v>
      </c>
      <c r="I5" s="122" t="s">
        <v>503</v>
      </c>
      <c r="J5" s="122" t="s">
        <v>504</v>
      </c>
      <c r="K5" s="122" t="s">
        <v>505</v>
      </c>
      <c r="L5" s="122" t="s">
        <v>506</v>
      </c>
      <c r="M5" s="818"/>
      <c r="N5" s="164"/>
      <c r="O5" s="121" t="s">
        <v>507</v>
      </c>
      <c r="P5" s="122" t="s">
        <v>508</v>
      </c>
      <c r="Q5" s="122" t="s">
        <v>509</v>
      </c>
      <c r="R5" s="122" t="s">
        <v>510</v>
      </c>
      <c r="S5" s="127" t="s">
        <v>553</v>
      </c>
      <c r="T5" s="798"/>
      <c r="U5" s="125"/>
      <c r="V5" s="1048"/>
    </row>
    <row r="6" spans="1:23" s="26" customFormat="1" ht="11.25" customHeight="1" x14ac:dyDescent="0.15">
      <c r="A6" s="693"/>
      <c r="B6" s="693"/>
      <c r="C6" s="693"/>
      <c r="D6" s="693"/>
      <c r="E6" s="694"/>
      <c r="F6" s="120"/>
      <c r="G6" s="122" t="s">
        <v>224</v>
      </c>
      <c r="H6" s="122" t="s">
        <v>224</v>
      </c>
      <c r="I6" s="122" t="s">
        <v>225</v>
      </c>
      <c r="J6" s="122"/>
      <c r="K6" s="122"/>
      <c r="L6" s="122" t="s">
        <v>224</v>
      </c>
      <c r="M6" s="122" t="s">
        <v>223</v>
      </c>
      <c r="N6" s="819" t="s">
        <v>222</v>
      </c>
      <c r="O6" s="121"/>
      <c r="P6" s="122"/>
      <c r="Q6" s="122"/>
      <c r="R6" s="122"/>
      <c r="S6" s="122"/>
      <c r="T6" s="122" t="s">
        <v>512</v>
      </c>
      <c r="U6" s="121" t="s">
        <v>513</v>
      </c>
      <c r="V6" s="1048"/>
    </row>
    <row r="7" spans="1:23" s="26" customFormat="1" ht="33.75" customHeight="1" x14ac:dyDescent="0.15">
      <c r="A7" s="711"/>
      <c r="B7" s="708"/>
      <c r="C7" s="708"/>
      <c r="D7" s="708"/>
      <c r="E7" s="714"/>
      <c r="F7" s="279" t="s">
        <v>827</v>
      </c>
      <c r="G7" s="279" t="s">
        <v>221</v>
      </c>
      <c r="H7" s="279" t="s">
        <v>522</v>
      </c>
      <c r="I7" s="279" t="s">
        <v>523</v>
      </c>
      <c r="J7" s="279" t="s">
        <v>220</v>
      </c>
      <c r="K7" s="279" t="s">
        <v>514</v>
      </c>
      <c r="L7" s="279" t="s">
        <v>828</v>
      </c>
      <c r="M7" s="279" t="s">
        <v>524</v>
      </c>
      <c r="N7" s="278" t="s">
        <v>525</v>
      </c>
      <c r="O7" s="116" t="s">
        <v>229</v>
      </c>
      <c r="P7" s="116" t="s">
        <v>219</v>
      </c>
      <c r="Q7" s="116" t="s">
        <v>218</v>
      </c>
      <c r="R7" s="115" t="s">
        <v>217</v>
      </c>
      <c r="S7" s="277" t="s">
        <v>526</v>
      </c>
      <c r="T7" s="715"/>
      <c r="U7" s="715"/>
      <c r="V7" s="1049"/>
      <c r="W7" s="26" t="s">
        <v>605</v>
      </c>
    </row>
    <row r="8" spans="1:23" s="222" customFormat="1" ht="14.25" customHeight="1" x14ac:dyDescent="0.15">
      <c r="A8" s="693"/>
      <c r="B8" s="820"/>
      <c r="C8" s="820"/>
      <c r="D8" s="821"/>
      <c r="E8" s="822"/>
      <c r="F8" s="238">
        <v>1142896</v>
      </c>
      <c r="G8" s="237"/>
      <c r="H8" s="255"/>
      <c r="I8" s="237">
        <v>1058274</v>
      </c>
      <c r="J8" s="255"/>
      <c r="K8" s="255"/>
      <c r="L8" s="237">
        <v>84622</v>
      </c>
      <c r="M8" s="237">
        <v>2650</v>
      </c>
      <c r="N8" s="237">
        <v>81972</v>
      </c>
      <c r="O8" s="237">
        <v>18654</v>
      </c>
      <c r="P8" s="249"/>
      <c r="Q8" s="249"/>
      <c r="R8" s="246"/>
      <c r="S8" s="253"/>
      <c r="T8" s="253"/>
      <c r="U8" s="823"/>
      <c r="V8" s="824"/>
      <c r="W8" s="53"/>
    </row>
    <row r="9" spans="1:23" s="273" customFormat="1" ht="10.5" customHeight="1" x14ac:dyDescent="0.15">
      <c r="A9" s="225"/>
      <c r="B9" s="593" t="s">
        <v>790</v>
      </c>
      <c r="C9" s="593" t="s">
        <v>791</v>
      </c>
      <c r="D9" s="225"/>
      <c r="E9" s="594"/>
      <c r="F9" s="244">
        <v>31720740</v>
      </c>
      <c r="G9" s="242">
        <v>2306235</v>
      </c>
      <c r="H9" s="242">
        <v>25968884</v>
      </c>
      <c r="I9" s="242">
        <v>240422</v>
      </c>
      <c r="J9" s="242">
        <v>1692406</v>
      </c>
      <c r="K9" s="242">
        <v>707459</v>
      </c>
      <c r="L9" s="243">
        <v>805334</v>
      </c>
      <c r="M9" s="242">
        <v>114834</v>
      </c>
      <c r="N9" s="242">
        <v>690500</v>
      </c>
      <c r="O9" s="242">
        <v>235247</v>
      </c>
      <c r="P9" s="242">
        <v>44425</v>
      </c>
      <c r="Q9" s="242">
        <v>1817</v>
      </c>
      <c r="R9" s="242">
        <v>11871</v>
      </c>
      <c r="S9" s="241">
        <v>10762268</v>
      </c>
      <c r="T9" s="241">
        <v>8831688</v>
      </c>
      <c r="U9" s="240">
        <v>1930580</v>
      </c>
      <c r="V9" s="274" t="s">
        <v>792</v>
      </c>
      <c r="W9" s="225"/>
    </row>
    <row r="10" spans="1:23" s="222" customFormat="1" ht="14.25" customHeight="1" x14ac:dyDescent="0.15">
      <c r="A10" s="53"/>
      <c r="B10" s="595"/>
      <c r="C10" s="596"/>
      <c r="D10" s="23"/>
      <c r="E10" s="597"/>
      <c r="F10" s="238">
        <v>827444</v>
      </c>
      <c r="G10" s="237"/>
      <c r="H10" s="237"/>
      <c r="I10" s="237">
        <v>819586</v>
      </c>
      <c r="J10" s="237"/>
      <c r="K10" s="237">
        <v>7858</v>
      </c>
      <c r="L10" s="237"/>
      <c r="M10" s="237"/>
      <c r="N10" s="237"/>
      <c r="O10" s="237">
        <v>14077</v>
      </c>
      <c r="P10" s="249"/>
      <c r="Q10" s="249"/>
      <c r="R10" s="249"/>
      <c r="S10" s="235"/>
      <c r="T10" s="235"/>
      <c r="U10" s="234"/>
      <c r="V10" s="275"/>
      <c r="W10" s="53"/>
    </row>
    <row r="11" spans="1:23" s="273" customFormat="1" ht="10.5" customHeight="1" x14ac:dyDescent="0.15">
      <c r="A11" s="225"/>
      <c r="B11" s="593" t="s">
        <v>235</v>
      </c>
      <c r="C11" s="593" t="s">
        <v>846</v>
      </c>
      <c r="D11" s="225"/>
      <c r="E11" s="594"/>
      <c r="F11" s="199">
        <v>34955953</v>
      </c>
      <c r="G11" s="242">
        <v>3127198</v>
      </c>
      <c r="H11" s="242">
        <v>27977796</v>
      </c>
      <c r="I11" s="242">
        <v>92324</v>
      </c>
      <c r="J11" s="242">
        <v>2103609</v>
      </c>
      <c r="K11" s="242">
        <v>1217469</v>
      </c>
      <c r="L11" s="199">
        <v>437557</v>
      </c>
      <c r="M11" s="242">
        <v>123613</v>
      </c>
      <c r="N11" s="199">
        <v>313944</v>
      </c>
      <c r="O11" s="242">
        <v>195920</v>
      </c>
      <c r="P11" s="242">
        <v>8030</v>
      </c>
      <c r="Q11" s="242">
        <v>1735</v>
      </c>
      <c r="R11" s="242">
        <v>9153</v>
      </c>
      <c r="S11" s="241">
        <v>9885612</v>
      </c>
      <c r="T11" s="241">
        <v>8247619</v>
      </c>
      <c r="U11" s="240">
        <v>1637993</v>
      </c>
      <c r="V11" s="274" t="s">
        <v>793</v>
      </c>
      <c r="W11" s="225"/>
    </row>
    <row r="12" spans="1:23" s="222" customFormat="1" ht="14.25" customHeight="1" x14ac:dyDescent="0.15">
      <c r="A12" s="53"/>
      <c r="B12" s="595"/>
      <c r="C12" s="595"/>
      <c r="D12" s="23"/>
      <c r="E12" s="597"/>
      <c r="F12" s="238">
        <v>901449</v>
      </c>
      <c r="G12" s="237"/>
      <c r="H12" s="237"/>
      <c r="I12" s="237">
        <v>890924</v>
      </c>
      <c r="J12" s="237"/>
      <c r="K12" s="237">
        <v>9800</v>
      </c>
      <c r="L12" s="237">
        <v>725</v>
      </c>
      <c r="M12" s="237">
        <v>725</v>
      </c>
      <c r="N12" s="237"/>
      <c r="O12" s="237">
        <v>19738</v>
      </c>
      <c r="P12" s="249"/>
      <c r="Q12" s="249"/>
      <c r="R12" s="249"/>
      <c r="S12" s="235"/>
      <c r="T12" s="235"/>
      <c r="U12" s="234"/>
      <c r="V12" s="275"/>
      <c r="W12" s="53"/>
    </row>
    <row r="13" spans="1:23" s="273" customFormat="1" ht="10.5" customHeight="1" x14ac:dyDescent="0.15">
      <c r="A13" s="225"/>
      <c r="B13" s="593" t="s">
        <v>235</v>
      </c>
      <c r="C13" s="593" t="s">
        <v>847</v>
      </c>
      <c r="D13" s="225"/>
      <c r="E13" s="594"/>
      <c r="F13" s="199">
        <v>39136664</v>
      </c>
      <c r="G13" s="242">
        <v>2926721</v>
      </c>
      <c r="H13" s="242">
        <v>30646454</v>
      </c>
      <c r="I13" s="242">
        <v>167858</v>
      </c>
      <c r="J13" s="242">
        <v>2232720</v>
      </c>
      <c r="K13" s="242">
        <v>1980952</v>
      </c>
      <c r="L13" s="199">
        <v>1181959</v>
      </c>
      <c r="M13" s="242">
        <v>153230</v>
      </c>
      <c r="N13" s="199">
        <v>1028729</v>
      </c>
      <c r="O13" s="242">
        <v>270105</v>
      </c>
      <c r="P13" s="242">
        <v>19051</v>
      </c>
      <c r="Q13" s="242">
        <v>1804</v>
      </c>
      <c r="R13" s="242">
        <v>12043</v>
      </c>
      <c r="S13" s="276">
        <v>10382862</v>
      </c>
      <c r="T13" s="241">
        <v>8878848</v>
      </c>
      <c r="U13" s="598">
        <v>1504014</v>
      </c>
      <c r="V13" s="274" t="s">
        <v>794</v>
      </c>
      <c r="W13" s="225"/>
    </row>
    <row r="14" spans="1:23" s="222" customFormat="1" ht="14.25" customHeight="1" x14ac:dyDescent="0.15">
      <c r="A14" s="53"/>
      <c r="B14" s="595"/>
      <c r="C14" s="599"/>
      <c r="D14" s="23"/>
      <c r="E14" s="597"/>
      <c r="F14" s="238">
        <v>631559</v>
      </c>
      <c r="G14" s="237"/>
      <c r="H14" s="237"/>
      <c r="I14" s="237">
        <v>630259</v>
      </c>
      <c r="J14" s="237"/>
      <c r="K14" s="237">
        <v>1300</v>
      </c>
      <c r="L14" s="237"/>
      <c r="M14" s="237"/>
      <c r="N14" s="237"/>
      <c r="O14" s="237">
        <v>17702</v>
      </c>
      <c r="P14" s="249"/>
      <c r="Q14" s="249"/>
      <c r="R14" s="249"/>
      <c r="S14" s="235"/>
      <c r="T14" s="235"/>
      <c r="U14" s="234"/>
      <c r="V14" s="275"/>
      <c r="W14" s="53"/>
    </row>
    <row r="15" spans="1:23" s="273" customFormat="1" ht="10.5" customHeight="1" x14ac:dyDescent="0.15">
      <c r="A15" s="225"/>
      <c r="B15" s="593" t="s">
        <v>235</v>
      </c>
      <c r="C15" s="593" t="s">
        <v>848</v>
      </c>
      <c r="D15" s="225"/>
      <c r="E15" s="594"/>
      <c r="F15" s="244">
        <v>32841517</v>
      </c>
      <c r="G15" s="242">
        <v>2339243</v>
      </c>
      <c r="H15" s="242">
        <v>25844993</v>
      </c>
      <c r="I15" s="242">
        <v>71898</v>
      </c>
      <c r="J15" s="242">
        <v>1857368</v>
      </c>
      <c r="K15" s="242">
        <v>636740</v>
      </c>
      <c r="L15" s="243">
        <v>2091275</v>
      </c>
      <c r="M15" s="242">
        <v>12370</v>
      </c>
      <c r="N15" s="242">
        <v>2078905</v>
      </c>
      <c r="O15" s="825">
        <v>267620</v>
      </c>
      <c r="P15" s="242">
        <v>16036</v>
      </c>
      <c r="Q15" s="825">
        <v>2057</v>
      </c>
      <c r="R15" s="242">
        <v>14830</v>
      </c>
      <c r="S15" s="276">
        <v>10769227</v>
      </c>
      <c r="T15" s="241">
        <v>8994285</v>
      </c>
      <c r="U15" s="598">
        <v>1774942</v>
      </c>
      <c r="V15" s="274" t="s">
        <v>795</v>
      </c>
      <c r="W15" s="225"/>
    </row>
    <row r="16" spans="1:23" s="222" customFormat="1" ht="14.25" customHeight="1" x14ac:dyDescent="0.15">
      <c r="A16" s="53"/>
      <c r="B16" s="595"/>
      <c r="C16" s="599"/>
      <c r="D16" s="23"/>
      <c r="E16" s="597"/>
      <c r="F16" s="238">
        <v>1787347</v>
      </c>
      <c r="G16" s="237"/>
      <c r="H16" s="237"/>
      <c r="I16" s="237">
        <v>1664561</v>
      </c>
      <c r="J16" s="237">
        <v>77923</v>
      </c>
      <c r="K16" s="237"/>
      <c r="L16" s="237">
        <v>44863</v>
      </c>
      <c r="M16" s="237"/>
      <c r="N16" s="237">
        <v>44863</v>
      </c>
      <c r="O16" s="237">
        <v>17410</v>
      </c>
      <c r="P16" s="249"/>
      <c r="Q16" s="249"/>
      <c r="R16" s="249"/>
      <c r="S16" s="235"/>
      <c r="T16" s="235"/>
      <c r="U16" s="234"/>
      <c r="V16" s="275"/>
      <c r="W16" s="53"/>
    </row>
    <row r="17" spans="1:23" s="273" customFormat="1" ht="10.5" customHeight="1" x14ac:dyDescent="0.15">
      <c r="A17" s="225"/>
      <c r="B17" s="593" t="s">
        <v>235</v>
      </c>
      <c r="C17" s="593" t="s">
        <v>1042</v>
      </c>
      <c r="D17" s="225"/>
      <c r="E17" s="594"/>
      <c r="F17" s="244">
        <v>32531948</v>
      </c>
      <c r="G17" s="242">
        <v>3201446</v>
      </c>
      <c r="H17" s="242">
        <v>25030157</v>
      </c>
      <c r="I17" s="242">
        <v>76311</v>
      </c>
      <c r="J17" s="242">
        <v>2032129</v>
      </c>
      <c r="K17" s="242">
        <v>1205535</v>
      </c>
      <c r="L17" s="243">
        <v>986370</v>
      </c>
      <c r="M17" s="242">
        <v>12114</v>
      </c>
      <c r="N17" s="242">
        <v>974256</v>
      </c>
      <c r="O17" s="242">
        <v>239176</v>
      </c>
      <c r="P17" s="242">
        <v>15538</v>
      </c>
      <c r="Q17" s="242">
        <v>1902</v>
      </c>
      <c r="R17" s="242">
        <v>18789</v>
      </c>
      <c r="S17" s="241">
        <v>10553947</v>
      </c>
      <c r="T17" s="241">
        <v>8684766</v>
      </c>
      <c r="U17" s="240">
        <v>1869181</v>
      </c>
      <c r="V17" s="274" t="s">
        <v>1030</v>
      </c>
      <c r="W17" s="225"/>
    </row>
    <row r="18" spans="1:23" s="222" customFormat="1" ht="6.75" customHeight="1" x14ac:dyDescent="0.15">
      <c r="A18" s="53"/>
      <c r="B18" s="595"/>
      <c r="C18" s="595"/>
      <c r="D18" s="26"/>
      <c r="E18" s="332"/>
      <c r="F18" s="257"/>
      <c r="G18" s="256"/>
      <c r="H18" s="256"/>
      <c r="I18" s="256"/>
      <c r="J18" s="256"/>
      <c r="K18" s="256"/>
      <c r="L18" s="256"/>
      <c r="M18" s="256"/>
      <c r="N18" s="256"/>
      <c r="O18" s="256"/>
      <c r="P18" s="256"/>
      <c r="Q18" s="256"/>
      <c r="R18" s="256"/>
      <c r="S18" s="235"/>
      <c r="T18" s="235"/>
      <c r="U18" s="234"/>
      <c r="V18" s="256"/>
      <c r="W18" s="53"/>
    </row>
    <row r="19" spans="1:23" s="26" customFormat="1" ht="14.25" customHeight="1" x14ac:dyDescent="0.15">
      <c r="A19" s="53"/>
      <c r="B19" s="595"/>
      <c r="C19" s="595"/>
      <c r="E19" s="332"/>
      <c r="F19" s="238">
        <v>785910</v>
      </c>
      <c r="G19" s="237"/>
      <c r="H19" s="237"/>
      <c r="I19" s="237">
        <v>785910</v>
      </c>
      <c r="J19" s="237"/>
      <c r="K19" s="237"/>
      <c r="L19" s="237"/>
      <c r="M19" s="237"/>
      <c r="N19" s="237"/>
      <c r="O19" s="237">
        <v>17984</v>
      </c>
      <c r="P19" s="249"/>
      <c r="Q19" s="235"/>
      <c r="R19" s="235"/>
      <c r="S19" s="253"/>
      <c r="T19" s="253"/>
      <c r="U19" s="252"/>
      <c r="V19" s="272"/>
      <c r="W19" s="53"/>
    </row>
    <row r="20" spans="1:23" s="224" customFormat="1" ht="10.5" customHeight="1" x14ac:dyDescent="0.15">
      <c r="A20" s="225"/>
      <c r="B20" s="593" t="s">
        <v>790</v>
      </c>
      <c r="C20" s="593" t="s">
        <v>1031</v>
      </c>
      <c r="D20" s="600"/>
      <c r="E20" s="601"/>
      <c r="F20" s="261">
        <v>32863248</v>
      </c>
      <c r="G20" s="260">
        <v>2361452</v>
      </c>
      <c r="H20" s="260">
        <v>25867500</v>
      </c>
      <c r="I20" s="242">
        <v>118131</v>
      </c>
      <c r="J20" s="260">
        <v>2001761</v>
      </c>
      <c r="K20" s="260">
        <v>490277</v>
      </c>
      <c r="L20" s="243">
        <v>2024127</v>
      </c>
      <c r="M20" s="260" t="s">
        <v>1029</v>
      </c>
      <c r="N20" s="260">
        <v>2024127</v>
      </c>
      <c r="O20" s="260">
        <v>275943</v>
      </c>
      <c r="P20" s="260">
        <v>16726</v>
      </c>
      <c r="Q20" s="260">
        <v>2083</v>
      </c>
      <c r="R20" s="260">
        <v>14289</v>
      </c>
      <c r="S20" s="241">
        <v>10916074</v>
      </c>
      <c r="T20" s="241">
        <v>9093721</v>
      </c>
      <c r="U20" s="240">
        <v>1822353</v>
      </c>
      <c r="V20" s="271" t="s">
        <v>796</v>
      </c>
      <c r="W20" s="225"/>
    </row>
    <row r="21" spans="1:23" s="26" customFormat="1" ht="14.25" customHeight="1" x14ac:dyDescent="0.15">
      <c r="A21" s="53"/>
      <c r="B21" s="595"/>
      <c r="C21" s="596"/>
      <c r="D21" s="602"/>
      <c r="E21" s="603"/>
      <c r="F21" s="238">
        <v>1888627</v>
      </c>
      <c r="G21" s="237"/>
      <c r="H21" s="237"/>
      <c r="I21" s="237">
        <v>1665736</v>
      </c>
      <c r="J21" s="237">
        <v>178028</v>
      </c>
      <c r="K21" s="237"/>
      <c r="L21" s="237">
        <v>44863</v>
      </c>
      <c r="M21" s="237"/>
      <c r="N21" s="237">
        <v>44863</v>
      </c>
      <c r="O21" s="237">
        <v>18589</v>
      </c>
      <c r="P21" s="249"/>
      <c r="Q21" s="235"/>
      <c r="R21" s="235"/>
      <c r="S21" s="253"/>
      <c r="T21" s="253"/>
      <c r="U21" s="252"/>
      <c r="V21" s="272"/>
      <c r="W21" s="53"/>
    </row>
    <row r="22" spans="1:23" s="224" customFormat="1" ht="10.5" customHeight="1" x14ac:dyDescent="0.15">
      <c r="A22" s="225"/>
      <c r="B22" s="593" t="s">
        <v>235</v>
      </c>
      <c r="C22" s="593" t="s">
        <v>1042</v>
      </c>
      <c r="D22" s="600"/>
      <c r="E22" s="601"/>
      <c r="F22" s="261">
        <v>32236558</v>
      </c>
      <c r="G22" s="260">
        <v>3548046</v>
      </c>
      <c r="H22" s="260">
        <v>24942208</v>
      </c>
      <c r="I22" s="242">
        <v>41820</v>
      </c>
      <c r="J22" s="260">
        <v>1951566</v>
      </c>
      <c r="K22" s="260">
        <v>1245764</v>
      </c>
      <c r="L22" s="243">
        <v>507154</v>
      </c>
      <c r="M22" s="260">
        <v>12114</v>
      </c>
      <c r="N22" s="260">
        <v>495040</v>
      </c>
      <c r="O22" s="260">
        <v>217672</v>
      </c>
      <c r="P22" s="260">
        <v>13779</v>
      </c>
      <c r="Q22" s="260">
        <v>1750</v>
      </c>
      <c r="R22" s="260">
        <v>21626</v>
      </c>
      <c r="S22" s="241">
        <v>10334029</v>
      </c>
      <c r="T22" s="241">
        <v>8458944</v>
      </c>
      <c r="U22" s="240">
        <v>1875085</v>
      </c>
      <c r="V22" s="271" t="s">
        <v>1032</v>
      </c>
      <c r="W22" s="225"/>
    </row>
    <row r="23" spans="1:23" s="26" customFormat="1" ht="6.75" customHeight="1" x14ac:dyDescent="0.15">
      <c r="A23" s="53"/>
      <c r="B23" s="595"/>
      <c r="C23" s="595"/>
      <c r="D23" s="602"/>
      <c r="E23" s="332"/>
      <c r="F23" s="270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53"/>
      <c r="T23" s="253"/>
      <c r="U23" s="252"/>
      <c r="V23" s="254"/>
      <c r="W23" s="53"/>
    </row>
    <row r="24" spans="1:23" s="26" customFormat="1" ht="14.25" customHeight="1" x14ac:dyDescent="0.15">
      <c r="A24" s="53"/>
      <c r="B24" s="595"/>
      <c r="C24" s="595"/>
      <c r="E24" s="332"/>
      <c r="F24" s="238">
        <v>439034</v>
      </c>
      <c r="G24" s="237"/>
      <c r="H24" s="237"/>
      <c r="I24" s="237">
        <v>439034</v>
      </c>
      <c r="J24" s="237"/>
      <c r="K24" s="237"/>
      <c r="L24" s="237"/>
      <c r="M24" s="237"/>
      <c r="N24" s="237"/>
      <c r="O24" s="237">
        <v>4569</v>
      </c>
      <c r="P24" s="237"/>
      <c r="Q24" s="237"/>
      <c r="R24" s="237"/>
      <c r="S24" s="237"/>
      <c r="T24" s="237"/>
      <c r="U24" s="251"/>
      <c r="V24" s="254"/>
      <c r="W24" s="53"/>
    </row>
    <row r="25" spans="1:23" s="224" customFormat="1" ht="10.5" customHeight="1" x14ac:dyDescent="0.15">
      <c r="A25" s="225"/>
      <c r="B25" s="593" t="s">
        <v>790</v>
      </c>
      <c r="C25" s="593" t="s">
        <v>800</v>
      </c>
      <c r="D25" s="604" t="s">
        <v>682</v>
      </c>
      <c r="E25" s="601"/>
      <c r="F25" s="244">
        <v>8066081</v>
      </c>
      <c r="G25" s="242">
        <v>330097</v>
      </c>
      <c r="H25" s="242">
        <v>6188800</v>
      </c>
      <c r="I25" s="242">
        <v>46233</v>
      </c>
      <c r="J25" s="242">
        <v>808600</v>
      </c>
      <c r="K25" s="242">
        <v>78503</v>
      </c>
      <c r="L25" s="242">
        <v>613848</v>
      </c>
      <c r="M25" s="242" t="s">
        <v>1029</v>
      </c>
      <c r="N25" s="242">
        <v>613848</v>
      </c>
      <c r="O25" s="242">
        <v>71573</v>
      </c>
      <c r="P25" s="242">
        <v>3707</v>
      </c>
      <c r="Q25" s="242">
        <v>511</v>
      </c>
      <c r="R25" s="242">
        <v>1646</v>
      </c>
      <c r="S25" s="242">
        <v>3291376</v>
      </c>
      <c r="T25" s="242">
        <v>2827346</v>
      </c>
      <c r="U25" s="264">
        <v>464030</v>
      </c>
      <c r="V25" s="258" t="s">
        <v>801</v>
      </c>
      <c r="W25" s="225"/>
    </row>
    <row r="26" spans="1:23" s="26" customFormat="1" ht="14.25" customHeight="1" x14ac:dyDescent="0.15">
      <c r="A26" s="53"/>
      <c r="B26" s="595"/>
      <c r="C26" s="596"/>
      <c r="D26" s="602"/>
      <c r="E26" s="603"/>
      <c r="F26" s="238">
        <v>417848</v>
      </c>
      <c r="G26" s="237"/>
      <c r="H26" s="237"/>
      <c r="I26" s="237">
        <v>417848</v>
      </c>
      <c r="J26" s="237"/>
      <c r="K26" s="237"/>
      <c r="L26" s="237"/>
      <c r="M26" s="237"/>
      <c r="N26" s="237"/>
      <c r="O26" s="237">
        <v>4171</v>
      </c>
      <c r="P26" s="237"/>
      <c r="Q26" s="237"/>
      <c r="R26" s="237"/>
      <c r="S26" s="237"/>
      <c r="T26" s="237"/>
      <c r="U26" s="251"/>
      <c r="V26" s="269"/>
      <c r="W26" s="53"/>
    </row>
    <row r="27" spans="1:23" s="224" customFormat="1" ht="10.5" customHeight="1" x14ac:dyDescent="0.15">
      <c r="A27" s="225"/>
      <c r="B27" s="593" t="s">
        <v>235</v>
      </c>
      <c r="C27" s="593" t="s">
        <v>235</v>
      </c>
      <c r="D27" s="604" t="s">
        <v>683</v>
      </c>
      <c r="E27" s="601"/>
      <c r="F27" s="244">
        <v>7885416</v>
      </c>
      <c r="G27" s="242">
        <v>860813</v>
      </c>
      <c r="H27" s="242">
        <v>6165333</v>
      </c>
      <c r="I27" s="242">
        <v>5875</v>
      </c>
      <c r="J27" s="242">
        <v>139065</v>
      </c>
      <c r="K27" s="242">
        <v>638393</v>
      </c>
      <c r="L27" s="242">
        <v>75937</v>
      </c>
      <c r="M27" s="242" t="s">
        <v>1029</v>
      </c>
      <c r="N27" s="242">
        <v>75937</v>
      </c>
      <c r="O27" s="242">
        <v>70448</v>
      </c>
      <c r="P27" s="242">
        <v>2970</v>
      </c>
      <c r="Q27" s="242">
        <v>491</v>
      </c>
      <c r="R27" s="242">
        <v>4961</v>
      </c>
      <c r="S27" s="242">
        <v>2321583</v>
      </c>
      <c r="T27" s="242">
        <v>1890276</v>
      </c>
      <c r="U27" s="264">
        <v>431307</v>
      </c>
      <c r="V27" s="268" t="s">
        <v>797</v>
      </c>
      <c r="W27" s="225"/>
    </row>
    <row r="28" spans="1:23" s="26" customFormat="1" ht="14.25" customHeight="1" x14ac:dyDescent="0.15">
      <c r="A28" s="53"/>
      <c r="B28" s="595"/>
      <c r="C28" s="595"/>
      <c r="D28" s="602"/>
      <c r="E28" s="603"/>
      <c r="F28" s="238">
        <v>294812</v>
      </c>
      <c r="G28" s="237"/>
      <c r="H28" s="237"/>
      <c r="I28" s="237">
        <v>220664</v>
      </c>
      <c r="J28" s="237">
        <v>29285</v>
      </c>
      <c r="K28" s="237"/>
      <c r="L28" s="237">
        <v>44863</v>
      </c>
      <c r="M28" s="242"/>
      <c r="N28" s="237">
        <v>44863</v>
      </c>
      <c r="O28" s="237">
        <v>3431</v>
      </c>
      <c r="P28" s="237"/>
      <c r="Q28" s="237"/>
      <c r="R28" s="237"/>
      <c r="S28" s="237"/>
      <c r="T28" s="237"/>
      <c r="U28" s="251"/>
      <c r="V28" s="267"/>
      <c r="W28" s="53"/>
    </row>
    <row r="29" spans="1:23" s="224" customFormat="1" ht="10.5" customHeight="1" x14ac:dyDescent="0.15">
      <c r="A29" s="225"/>
      <c r="B29" s="593" t="s">
        <v>235</v>
      </c>
      <c r="C29" s="593" t="s">
        <v>235</v>
      </c>
      <c r="D29" s="604" t="s">
        <v>684</v>
      </c>
      <c r="E29" s="601"/>
      <c r="F29" s="244">
        <v>8111392</v>
      </c>
      <c r="G29" s="242">
        <v>1096761</v>
      </c>
      <c r="H29" s="242">
        <v>6310055</v>
      </c>
      <c r="I29" s="242">
        <v>12091</v>
      </c>
      <c r="J29" s="242">
        <v>254062</v>
      </c>
      <c r="K29" s="242">
        <v>310630</v>
      </c>
      <c r="L29" s="242">
        <v>127793</v>
      </c>
      <c r="M29" s="242">
        <v>12114</v>
      </c>
      <c r="N29" s="242">
        <v>115679</v>
      </c>
      <c r="O29" s="242">
        <v>40219</v>
      </c>
      <c r="P29" s="242">
        <v>2928</v>
      </c>
      <c r="Q29" s="242">
        <v>486</v>
      </c>
      <c r="R29" s="242">
        <v>5993</v>
      </c>
      <c r="S29" s="242">
        <v>2330797</v>
      </c>
      <c r="T29" s="242">
        <v>1882296</v>
      </c>
      <c r="U29" s="264">
        <v>448501</v>
      </c>
      <c r="V29" s="266" t="s">
        <v>798</v>
      </c>
      <c r="W29" s="225"/>
    </row>
    <row r="30" spans="1:23" s="26" customFormat="1" ht="14.25" customHeight="1" x14ac:dyDescent="0.15">
      <c r="A30" s="53"/>
      <c r="B30" s="595"/>
      <c r="C30" s="595"/>
      <c r="D30" s="602"/>
      <c r="E30" s="603"/>
      <c r="F30" s="238">
        <v>635653</v>
      </c>
      <c r="G30" s="237"/>
      <c r="H30" s="237"/>
      <c r="I30" s="237">
        <v>587015</v>
      </c>
      <c r="J30" s="237">
        <v>48638</v>
      </c>
      <c r="K30" s="237"/>
      <c r="L30" s="237"/>
      <c r="M30" s="242"/>
      <c r="N30" s="237"/>
      <c r="O30" s="237">
        <v>5239</v>
      </c>
      <c r="P30" s="237"/>
      <c r="Q30" s="237"/>
      <c r="R30" s="237"/>
      <c r="S30" s="237"/>
      <c r="T30" s="237"/>
      <c r="U30" s="251"/>
      <c r="V30" s="265"/>
      <c r="W30" s="53"/>
    </row>
    <row r="31" spans="1:23" s="224" customFormat="1" ht="10.5" customHeight="1" x14ac:dyDescent="0.15">
      <c r="A31" s="225"/>
      <c r="B31" s="593" t="s">
        <v>235</v>
      </c>
      <c r="C31" s="593" t="s">
        <v>235</v>
      </c>
      <c r="D31" s="626" t="s">
        <v>596</v>
      </c>
      <c r="E31" s="601"/>
      <c r="F31" s="244">
        <v>8469059</v>
      </c>
      <c r="G31" s="242">
        <v>913775</v>
      </c>
      <c r="H31" s="242">
        <v>6365969</v>
      </c>
      <c r="I31" s="242">
        <v>12112</v>
      </c>
      <c r="J31" s="242">
        <v>830402</v>
      </c>
      <c r="K31" s="242">
        <v>178009</v>
      </c>
      <c r="L31" s="242">
        <v>168792</v>
      </c>
      <c r="M31" s="242" t="s">
        <v>1029</v>
      </c>
      <c r="N31" s="242">
        <v>168792</v>
      </c>
      <c r="O31" s="242">
        <v>56936</v>
      </c>
      <c r="P31" s="242">
        <v>5933</v>
      </c>
      <c r="Q31" s="242">
        <v>414</v>
      </c>
      <c r="R31" s="242">
        <v>6189</v>
      </c>
      <c r="S31" s="242">
        <v>2610191</v>
      </c>
      <c r="T31" s="242">
        <v>2084848</v>
      </c>
      <c r="U31" s="264">
        <v>525343</v>
      </c>
      <c r="V31" s="263" t="s">
        <v>799</v>
      </c>
      <c r="W31" s="225"/>
    </row>
    <row r="32" spans="1:23" s="26" customFormat="1" ht="14.25" customHeight="1" x14ac:dyDescent="0.15">
      <c r="A32" s="53"/>
      <c r="B32" s="595"/>
      <c r="C32" s="595"/>
      <c r="D32" s="602"/>
      <c r="E32" s="603"/>
      <c r="F32" s="238">
        <v>540314</v>
      </c>
      <c r="G32" s="237"/>
      <c r="H32" s="237"/>
      <c r="I32" s="237">
        <v>440209</v>
      </c>
      <c r="J32" s="237">
        <v>100105</v>
      </c>
      <c r="K32" s="237"/>
      <c r="L32" s="237"/>
      <c r="M32" s="242"/>
      <c r="N32" s="237"/>
      <c r="O32" s="237">
        <v>5748</v>
      </c>
      <c r="P32" s="237"/>
      <c r="Q32" s="237"/>
      <c r="R32" s="237"/>
      <c r="S32" s="237"/>
      <c r="T32" s="237"/>
      <c r="U32" s="251"/>
      <c r="V32" s="262"/>
      <c r="W32" s="53"/>
    </row>
    <row r="33" spans="1:23" s="224" customFormat="1" ht="10.5" customHeight="1" x14ac:dyDescent="0.15">
      <c r="A33" s="225"/>
      <c r="B33" s="593" t="s">
        <v>790</v>
      </c>
      <c r="C33" s="593" t="s">
        <v>1033</v>
      </c>
      <c r="D33" s="626" t="s">
        <v>685</v>
      </c>
      <c r="E33" s="604"/>
      <c r="F33" s="261">
        <v>7770691</v>
      </c>
      <c r="G33" s="260">
        <v>676697</v>
      </c>
      <c r="H33" s="260">
        <v>6100851</v>
      </c>
      <c r="I33" s="260">
        <v>11742</v>
      </c>
      <c r="J33" s="260">
        <v>728037</v>
      </c>
      <c r="K33" s="260">
        <v>118732</v>
      </c>
      <c r="L33" s="260">
        <v>134632</v>
      </c>
      <c r="M33" s="260" t="s">
        <v>1029</v>
      </c>
      <c r="N33" s="260">
        <v>134632</v>
      </c>
      <c r="O33" s="260">
        <v>50069</v>
      </c>
      <c r="P33" s="260">
        <v>1948</v>
      </c>
      <c r="Q33" s="260">
        <v>359</v>
      </c>
      <c r="R33" s="260">
        <v>4483</v>
      </c>
      <c r="S33" s="260">
        <v>3071458</v>
      </c>
      <c r="T33" s="260">
        <v>2601524</v>
      </c>
      <c r="U33" s="259">
        <v>469934</v>
      </c>
      <c r="V33" s="258" t="s">
        <v>1034</v>
      </c>
      <c r="W33" s="225"/>
    </row>
    <row r="34" spans="1:23" s="26" customFormat="1" ht="6.75" customHeight="1" x14ac:dyDescent="0.15">
      <c r="A34" s="53"/>
      <c r="B34" s="595"/>
      <c r="C34" s="595"/>
      <c r="E34" s="332"/>
      <c r="F34" s="257"/>
      <c r="G34" s="256"/>
      <c r="H34" s="256"/>
      <c r="I34" s="256"/>
      <c r="J34" s="256"/>
      <c r="K34" s="256"/>
      <c r="L34" s="249"/>
      <c r="M34" s="256"/>
      <c r="N34" s="256"/>
      <c r="O34" s="256"/>
      <c r="P34" s="256"/>
      <c r="Q34" s="256"/>
      <c r="R34" s="256"/>
      <c r="S34" s="235"/>
      <c r="T34" s="235"/>
      <c r="U34" s="234"/>
      <c r="V34" s="254"/>
      <c r="W34" s="53"/>
    </row>
    <row r="35" spans="1:23" s="26" customFormat="1" ht="14.25" customHeight="1" x14ac:dyDescent="0.15">
      <c r="A35" s="53"/>
      <c r="B35" s="595"/>
      <c r="C35" s="595"/>
      <c r="E35" s="332"/>
      <c r="F35" s="238">
        <v>185702</v>
      </c>
      <c r="G35" s="237"/>
      <c r="H35" s="237"/>
      <c r="I35" s="237">
        <v>185702</v>
      </c>
      <c r="J35" s="237"/>
      <c r="K35" s="237"/>
      <c r="L35" s="237"/>
      <c r="M35" s="237"/>
      <c r="N35" s="237"/>
      <c r="O35" s="255">
        <v>1691</v>
      </c>
      <c r="P35" s="246"/>
      <c r="Q35" s="246"/>
      <c r="R35" s="246"/>
      <c r="S35" s="235"/>
      <c r="T35" s="235"/>
      <c r="U35" s="234"/>
      <c r="V35" s="254"/>
      <c r="W35" s="53"/>
    </row>
    <row r="36" spans="1:23" s="224" customFormat="1" ht="10.5" customHeight="1" x14ac:dyDescent="0.15">
      <c r="A36" s="225"/>
      <c r="B36" s="593" t="s">
        <v>790</v>
      </c>
      <c r="C36" s="593" t="s">
        <v>800</v>
      </c>
      <c r="D36" s="593" t="s">
        <v>667</v>
      </c>
      <c r="E36" s="605"/>
      <c r="F36" s="244">
        <v>3033272</v>
      </c>
      <c r="G36" s="242">
        <v>140953</v>
      </c>
      <c r="H36" s="242">
        <v>2216749</v>
      </c>
      <c r="I36" s="242">
        <v>19958</v>
      </c>
      <c r="J36" s="242">
        <v>450893</v>
      </c>
      <c r="K36" s="242">
        <v>23256</v>
      </c>
      <c r="L36" s="243">
        <v>181463</v>
      </c>
      <c r="M36" s="242" t="s">
        <v>1029</v>
      </c>
      <c r="N36" s="242">
        <v>181463</v>
      </c>
      <c r="O36" s="242">
        <v>19041</v>
      </c>
      <c r="P36" s="242">
        <v>1514</v>
      </c>
      <c r="Q36" s="242">
        <v>225</v>
      </c>
      <c r="R36" s="242">
        <v>552</v>
      </c>
      <c r="S36" s="241">
        <v>994863</v>
      </c>
      <c r="T36" s="241">
        <v>834294</v>
      </c>
      <c r="U36" s="240">
        <v>160569</v>
      </c>
      <c r="V36" s="247" t="s">
        <v>816</v>
      </c>
      <c r="W36" s="225"/>
    </row>
    <row r="37" spans="1:23" s="26" customFormat="1" ht="14.25" customHeight="1" x14ac:dyDescent="0.15">
      <c r="A37" s="53"/>
      <c r="B37" s="595"/>
      <c r="C37" s="596"/>
      <c r="D37" s="606"/>
      <c r="E37" s="607"/>
      <c r="F37" s="238">
        <v>203333</v>
      </c>
      <c r="G37" s="237"/>
      <c r="H37" s="237"/>
      <c r="I37" s="237">
        <v>203333</v>
      </c>
      <c r="J37" s="237"/>
      <c r="K37" s="237"/>
      <c r="L37" s="237"/>
      <c r="M37" s="237"/>
      <c r="N37" s="237"/>
      <c r="O37" s="237">
        <v>1290</v>
      </c>
      <c r="P37" s="246"/>
      <c r="Q37" s="246"/>
      <c r="R37" s="246"/>
      <c r="S37" s="235"/>
      <c r="T37" s="235"/>
      <c r="U37" s="234"/>
      <c r="V37" s="245"/>
      <c r="W37" s="53"/>
    </row>
    <row r="38" spans="1:23" s="224" customFormat="1" ht="10.5" customHeight="1" x14ac:dyDescent="0.15">
      <c r="A38" s="225"/>
      <c r="B38" s="593" t="s">
        <v>235</v>
      </c>
      <c r="C38" s="593" t="s">
        <v>235</v>
      </c>
      <c r="D38" s="593" t="s">
        <v>668</v>
      </c>
      <c r="E38" s="605"/>
      <c r="F38" s="244">
        <v>2491170</v>
      </c>
      <c r="G38" s="242">
        <v>119488</v>
      </c>
      <c r="H38" s="242">
        <v>1784184</v>
      </c>
      <c r="I38" s="242">
        <v>26275</v>
      </c>
      <c r="J38" s="242">
        <v>264146</v>
      </c>
      <c r="K38" s="242">
        <v>27712</v>
      </c>
      <c r="L38" s="243">
        <v>269365</v>
      </c>
      <c r="M38" s="242" t="s">
        <v>1029</v>
      </c>
      <c r="N38" s="242">
        <v>269365</v>
      </c>
      <c r="O38" s="242">
        <v>28284</v>
      </c>
      <c r="P38" s="242">
        <v>1101</v>
      </c>
      <c r="Q38" s="242">
        <v>156</v>
      </c>
      <c r="R38" s="242">
        <v>275</v>
      </c>
      <c r="S38" s="241">
        <v>974098</v>
      </c>
      <c r="T38" s="241">
        <v>831500</v>
      </c>
      <c r="U38" s="240">
        <v>142598</v>
      </c>
      <c r="V38" s="239" t="s">
        <v>802</v>
      </c>
      <c r="W38" s="225"/>
    </row>
    <row r="39" spans="1:23" s="26" customFormat="1" ht="14.25" customHeight="1" x14ac:dyDescent="0.15">
      <c r="A39" s="53"/>
      <c r="B39" s="595"/>
      <c r="C39" s="595"/>
      <c r="D39" s="606"/>
      <c r="E39" s="251"/>
      <c r="F39" s="238">
        <v>49999</v>
      </c>
      <c r="G39" s="237"/>
      <c r="H39" s="237"/>
      <c r="I39" s="237">
        <v>49999</v>
      </c>
      <c r="J39" s="237"/>
      <c r="K39" s="237"/>
      <c r="L39" s="237"/>
      <c r="M39" s="237"/>
      <c r="N39" s="237"/>
      <c r="O39" s="237">
        <v>1588</v>
      </c>
      <c r="P39" s="246"/>
      <c r="Q39" s="246"/>
      <c r="R39" s="246"/>
      <c r="S39" s="253"/>
      <c r="T39" s="253"/>
      <c r="U39" s="252"/>
      <c r="V39" s="233"/>
      <c r="W39" s="53"/>
    </row>
    <row r="40" spans="1:23" s="224" customFormat="1" ht="10.5" customHeight="1" x14ac:dyDescent="0.15">
      <c r="A40" s="225"/>
      <c r="B40" s="593" t="s">
        <v>235</v>
      </c>
      <c r="C40" s="593" t="s">
        <v>235</v>
      </c>
      <c r="D40" s="593" t="s">
        <v>669</v>
      </c>
      <c r="E40" s="605"/>
      <c r="F40" s="244">
        <v>2541639</v>
      </c>
      <c r="G40" s="242">
        <v>69656</v>
      </c>
      <c r="H40" s="242">
        <v>2187867</v>
      </c>
      <c r="I40" s="242" t="s">
        <v>1029</v>
      </c>
      <c r="J40" s="242">
        <v>93561</v>
      </c>
      <c r="K40" s="242">
        <v>27535</v>
      </c>
      <c r="L40" s="243">
        <v>163020</v>
      </c>
      <c r="M40" s="242" t="s">
        <v>1029</v>
      </c>
      <c r="N40" s="242">
        <v>163020</v>
      </c>
      <c r="O40" s="242">
        <v>24248</v>
      </c>
      <c r="P40" s="242">
        <v>1092</v>
      </c>
      <c r="Q40" s="242">
        <v>130</v>
      </c>
      <c r="R40" s="242">
        <v>819</v>
      </c>
      <c r="S40" s="241">
        <v>1322415</v>
      </c>
      <c r="T40" s="241">
        <v>1161552</v>
      </c>
      <c r="U40" s="240">
        <v>160863</v>
      </c>
      <c r="V40" s="239" t="s">
        <v>803</v>
      </c>
      <c r="W40" s="225"/>
    </row>
    <row r="41" spans="1:23" s="26" customFormat="1" ht="14.25" customHeight="1" x14ac:dyDescent="0.15">
      <c r="A41" s="53"/>
      <c r="B41" s="595"/>
      <c r="C41" s="595"/>
      <c r="D41" s="606"/>
      <c r="E41" s="607"/>
      <c r="F41" s="238">
        <v>84973</v>
      </c>
      <c r="G41" s="237"/>
      <c r="H41" s="237"/>
      <c r="I41" s="237">
        <v>84973</v>
      </c>
      <c r="J41" s="237"/>
      <c r="K41" s="237"/>
      <c r="L41" s="237"/>
      <c r="M41" s="237"/>
      <c r="N41" s="237"/>
      <c r="O41" s="237">
        <v>1540</v>
      </c>
      <c r="P41" s="246"/>
      <c r="Q41" s="246"/>
      <c r="R41" s="246"/>
      <c r="S41" s="235"/>
      <c r="T41" s="235"/>
      <c r="U41" s="234"/>
      <c r="V41" s="233"/>
      <c r="W41" s="53"/>
    </row>
    <row r="42" spans="1:23" s="224" customFormat="1" ht="10.5" customHeight="1" x14ac:dyDescent="0.15">
      <c r="A42" s="225"/>
      <c r="B42" s="593" t="s">
        <v>235</v>
      </c>
      <c r="C42" s="593" t="s">
        <v>235</v>
      </c>
      <c r="D42" s="593" t="s">
        <v>670</v>
      </c>
      <c r="E42" s="605"/>
      <c r="F42" s="244">
        <v>2909766</v>
      </c>
      <c r="G42" s="242">
        <v>106181</v>
      </c>
      <c r="H42" s="242">
        <v>2624284</v>
      </c>
      <c r="I42" s="242" t="s">
        <v>1029</v>
      </c>
      <c r="J42" s="242">
        <v>24261</v>
      </c>
      <c r="K42" s="242">
        <v>135374</v>
      </c>
      <c r="L42" s="243">
        <v>19666</v>
      </c>
      <c r="M42" s="242" t="s">
        <v>1029</v>
      </c>
      <c r="N42" s="242">
        <v>19666</v>
      </c>
      <c r="O42" s="242">
        <v>24084</v>
      </c>
      <c r="P42" s="242">
        <v>987</v>
      </c>
      <c r="Q42" s="242">
        <v>172</v>
      </c>
      <c r="R42" s="242">
        <v>3602</v>
      </c>
      <c r="S42" s="241">
        <v>802356</v>
      </c>
      <c r="T42" s="241">
        <v>678759</v>
      </c>
      <c r="U42" s="240">
        <v>123597</v>
      </c>
      <c r="V42" s="239" t="s">
        <v>804</v>
      </c>
      <c r="W42" s="225"/>
    </row>
    <row r="43" spans="1:23" s="26" customFormat="1" ht="14.25" customHeight="1" x14ac:dyDescent="0.15">
      <c r="A43" s="53"/>
      <c r="B43" s="595"/>
      <c r="C43" s="595"/>
      <c r="D43" s="606"/>
      <c r="E43" s="607"/>
      <c r="F43" s="238">
        <v>66669</v>
      </c>
      <c r="G43" s="237"/>
      <c r="H43" s="237"/>
      <c r="I43" s="237">
        <v>66669</v>
      </c>
      <c r="J43" s="237"/>
      <c r="K43" s="237"/>
      <c r="L43" s="237"/>
      <c r="M43" s="237"/>
      <c r="N43" s="237"/>
      <c r="O43" s="237">
        <v>1341</v>
      </c>
      <c r="P43" s="246"/>
      <c r="Q43" s="246"/>
      <c r="R43" s="246"/>
      <c r="S43" s="253"/>
      <c r="T43" s="253"/>
      <c r="U43" s="252"/>
      <c r="V43" s="233"/>
      <c r="W43" s="53"/>
    </row>
    <row r="44" spans="1:23" s="224" customFormat="1" ht="10.5" customHeight="1" x14ac:dyDescent="0.15">
      <c r="A44" s="225"/>
      <c r="B44" s="593" t="s">
        <v>235</v>
      </c>
      <c r="C44" s="593" t="s">
        <v>235</v>
      </c>
      <c r="D44" s="593" t="s">
        <v>671</v>
      </c>
      <c r="E44" s="605"/>
      <c r="F44" s="244">
        <v>2136107</v>
      </c>
      <c r="G44" s="242">
        <v>224327</v>
      </c>
      <c r="H44" s="242">
        <v>1628764</v>
      </c>
      <c r="I44" s="242">
        <v>5875</v>
      </c>
      <c r="J44" s="242">
        <v>100865</v>
      </c>
      <c r="K44" s="242">
        <v>156756</v>
      </c>
      <c r="L44" s="243">
        <v>19520</v>
      </c>
      <c r="M44" s="242" t="s">
        <v>1029</v>
      </c>
      <c r="N44" s="242">
        <v>19520</v>
      </c>
      <c r="O44" s="242">
        <v>28890</v>
      </c>
      <c r="P44" s="242">
        <v>1004</v>
      </c>
      <c r="Q44" s="242">
        <v>124</v>
      </c>
      <c r="R44" s="242">
        <v>1048</v>
      </c>
      <c r="S44" s="241">
        <v>777783</v>
      </c>
      <c r="T44" s="241">
        <v>610059</v>
      </c>
      <c r="U44" s="240">
        <v>167724</v>
      </c>
      <c r="V44" s="239" t="s">
        <v>453</v>
      </c>
      <c r="W44" s="225"/>
    </row>
    <row r="45" spans="1:23" s="26" customFormat="1" ht="14.25" customHeight="1" x14ac:dyDescent="0.15">
      <c r="A45" s="53"/>
      <c r="B45" s="595"/>
      <c r="C45" s="595"/>
      <c r="D45" s="606"/>
      <c r="E45" s="607"/>
      <c r="F45" s="238">
        <v>266206</v>
      </c>
      <c r="G45" s="237"/>
      <c r="H45" s="237"/>
      <c r="I45" s="237">
        <v>266206</v>
      </c>
      <c r="J45" s="237"/>
      <c r="K45" s="237"/>
      <c r="L45" s="237"/>
      <c r="M45" s="237"/>
      <c r="N45" s="237"/>
      <c r="O45" s="237">
        <v>1290</v>
      </c>
      <c r="P45" s="246"/>
      <c r="Q45" s="246"/>
      <c r="R45" s="246"/>
      <c r="S45" s="235"/>
      <c r="T45" s="235"/>
      <c r="U45" s="234"/>
      <c r="V45" s="233"/>
      <c r="W45" s="53"/>
    </row>
    <row r="46" spans="1:23" s="224" customFormat="1" ht="10.5" customHeight="1" x14ac:dyDescent="0.15">
      <c r="A46" s="225"/>
      <c r="B46" s="593" t="s">
        <v>235</v>
      </c>
      <c r="C46" s="593" t="s">
        <v>235</v>
      </c>
      <c r="D46" s="593" t="s">
        <v>672</v>
      </c>
      <c r="E46" s="605"/>
      <c r="F46" s="244">
        <v>2839543</v>
      </c>
      <c r="G46" s="242">
        <v>530305</v>
      </c>
      <c r="H46" s="242">
        <v>1912285</v>
      </c>
      <c r="I46" s="242" t="s">
        <v>1029</v>
      </c>
      <c r="J46" s="242">
        <v>13939</v>
      </c>
      <c r="K46" s="242">
        <v>346263</v>
      </c>
      <c r="L46" s="243">
        <v>36751</v>
      </c>
      <c r="M46" s="242" t="s">
        <v>1029</v>
      </c>
      <c r="N46" s="242">
        <v>36751</v>
      </c>
      <c r="O46" s="242">
        <v>17474</v>
      </c>
      <c r="P46" s="242">
        <v>979</v>
      </c>
      <c r="Q46" s="242">
        <v>195</v>
      </c>
      <c r="R46" s="242">
        <v>311</v>
      </c>
      <c r="S46" s="241">
        <v>741444</v>
      </c>
      <c r="T46" s="241">
        <v>601458</v>
      </c>
      <c r="U46" s="240">
        <v>139986</v>
      </c>
      <c r="V46" s="239" t="s">
        <v>806</v>
      </c>
      <c r="W46" s="225"/>
    </row>
    <row r="47" spans="1:23" s="26" customFormat="1" ht="14.25" customHeight="1" x14ac:dyDescent="0.15">
      <c r="A47" s="53"/>
      <c r="B47" s="595"/>
      <c r="C47" s="595"/>
      <c r="D47" s="606"/>
      <c r="E47" s="607"/>
      <c r="F47" s="238">
        <v>80116</v>
      </c>
      <c r="G47" s="237"/>
      <c r="H47" s="237"/>
      <c r="I47" s="237">
        <v>80116</v>
      </c>
      <c r="J47" s="237"/>
      <c r="K47" s="237"/>
      <c r="L47" s="237"/>
      <c r="M47" s="237"/>
      <c r="N47" s="237"/>
      <c r="O47" s="237">
        <v>896</v>
      </c>
      <c r="P47" s="246"/>
      <c r="Q47" s="246"/>
      <c r="R47" s="246"/>
      <c r="S47" s="235"/>
      <c r="T47" s="235"/>
      <c r="U47" s="234"/>
      <c r="V47" s="233"/>
      <c r="W47" s="53"/>
    </row>
    <row r="48" spans="1:23" s="224" customFormat="1" ht="10.5" customHeight="1" x14ac:dyDescent="0.15">
      <c r="A48" s="225"/>
      <c r="B48" s="593" t="s">
        <v>235</v>
      </c>
      <c r="C48" s="593" t="s">
        <v>235</v>
      </c>
      <c r="D48" s="593" t="s">
        <v>673</v>
      </c>
      <c r="E48" s="605"/>
      <c r="F48" s="244">
        <v>2550039</v>
      </c>
      <c r="G48" s="242">
        <v>313000</v>
      </c>
      <c r="H48" s="242">
        <v>2000711</v>
      </c>
      <c r="I48" s="242">
        <v>5908</v>
      </c>
      <c r="J48" s="242">
        <v>6586</v>
      </c>
      <c r="K48" s="242">
        <v>178983</v>
      </c>
      <c r="L48" s="243">
        <v>44851</v>
      </c>
      <c r="M48" s="242">
        <v>12114</v>
      </c>
      <c r="N48" s="242">
        <v>32737</v>
      </c>
      <c r="O48" s="242">
        <v>16880</v>
      </c>
      <c r="P48" s="242">
        <v>979</v>
      </c>
      <c r="Q48" s="242">
        <v>194</v>
      </c>
      <c r="R48" s="242">
        <v>1680</v>
      </c>
      <c r="S48" s="241">
        <v>902193</v>
      </c>
      <c r="T48" s="241">
        <v>745033</v>
      </c>
      <c r="U48" s="240">
        <v>157160</v>
      </c>
      <c r="V48" s="239" t="s">
        <v>807</v>
      </c>
      <c r="W48" s="225"/>
    </row>
    <row r="49" spans="1:23" s="26" customFormat="1" ht="14.25" customHeight="1" x14ac:dyDescent="0.15">
      <c r="A49" s="53"/>
      <c r="B49" s="595"/>
      <c r="C49" s="595"/>
      <c r="D49" s="606"/>
      <c r="E49" s="607"/>
      <c r="F49" s="238">
        <v>65534</v>
      </c>
      <c r="G49" s="237"/>
      <c r="H49" s="237"/>
      <c r="I49" s="237">
        <v>49949</v>
      </c>
      <c r="J49" s="237"/>
      <c r="K49" s="237"/>
      <c r="L49" s="237">
        <v>15585</v>
      </c>
      <c r="M49" s="237"/>
      <c r="N49" s="237">
        <v>15585</v>
      </c>
      <c r="O49" s="237">
        <v>445</v>
      </c>
      <c r="P49" s="246"/>
      <c r="Q49" s="246"/>
      <c r="R49" s="246"/>
      <c r="S49" s="235"/>
      <c r="T49" s="235"/>
      <c r="U49" s="234"/>
      <c r="V49" s="233"/>
      <c r="W49" s="53"/>
    </row>
    <row r="50" spans="1:23" s="224" customFormat="1" ht="10.5" customHeight="1" x14ac:dyDescent="0.15">
      <c r="A50" s="225"/>
      <c r="B50" s="593" t="s">
        <v>235</v>
      </c>
      <c r="C50" s="593" t="s">
        <v>235</v>
      </c>
      <c r="D50" s="593" t="s">
        <v>674</v>
      </c>
      <c r="E50" s="605"/>
      <c r="F50" s="244">
        <v>3018110</v>
      </c>
      <c r="G50" s="242">
        <v>362856</v>
      </c>
      <c r="H50" s="242">
        <v>2487539</v>
      </c>
      <c r="I50" s="242">
        <v>6183</v>
      </c>
      <c r="J50" s="242">
        <v>56434</v>
      </c>
      <c r="K50" s="242">
        <v>54585</v>
      </c>
      <c r="L50" s="243">
        <v>50513</v>
      </c>
      <c r="M50" s="242" t="s">
        <v>1029</v>
      </c>
      <c r="N50" s="242">
        <v>50513</v>
      </c>
      <c r="O50" s="242">
        <v>15024</v>
      </c>
      <c r="P50" s="242">
        <v>969</v>
      </c>
      <c r="Q50" s="242">
        <v>120</v>
      </c>
      <c r="R50" s="242">
        <v>2397</v>
      </c>
      <c r="S50" s="241">
        <v>813413</v>
      </c>
      <c r="T50" s="241">
        <v>673714</v>
      </c>
      <c r="U50" s="240">
        <v>139699</v>
      </c>
      <c r="V50" s="239" t="s">
        <v>808</v>
      </c>
      <c r="W50" s="225"/>
    </row>
    <row r="51" spans="1:23" s="26" customFormat="1" ht="14.25" customHeight="1" x14ac:dyDescent="0.15">
      <c r="A51" s="53"/>
      <c r="B51" s="595"/>
      <c r="C51" s="595"/>
      <c r="D51" s="606"/>
      <c r="E51" s="251"/>
      <c r="F51" s="238">
        <v>149162</v>
      </c>
      <c r="G51" s="237"/>
      <c r="H51" s="237"/>
      <c r="I51" s="237">
        <v>90599</v>
      </c>
      <c r="J51" s="237">
        <v>29285</v>
      </c>
      <c r="K51" s="237"/>
      <c r="L51" s="237">
        <v>29278</v>
      </c>
      <c r="M51" s="237"/>
      <c r="N51" s="237">
        <v>29278</v>
      </c>
      <c r="O51" s="237">
        <v>2090</v>
      </c>
      <c r="P51" s="246"/>
      <c r="Q51" s="246"/>
      <c r="R51" s="246"/>
      <c r="S51" s="235"/>
      <c r="T51" s="235"/>
      <c r="U51" s="234"/>
      <c r="V51" s="233"/>
      <c r="W51" s="53"/>
    </row>
    <row r="52" spans="1:23" s="224" customFormat="1" ht="10.5" customHeight="1" x14ac:dyDescent="0.15">
      <c r="A52" s="225"/>
      <c r="B52" s="593" t="s">
        <v>235</v>
      </c>
      <c r="C52" s="593" t="s">
        <v>235</v>
      </c>
      <c r="D52" s="593" t="s">
        <v>675</v>
      </c>
      <c r="E52" s="605"/>
      <c r="F52" s="244">
        <v>2543243</v>
      </c>
      <c r="G52" s="242">
        <v>420905</v>
      </c>
      <c r="H52" s="242">
        <v>1821805</v>
      </c>
      <c r="I52" s="242" t="s">
        <v>1029</v>
      </c>
      <c r="J52" s="242">
        <v>191042</v>
      </c>
      <c r="K52" s="242">
        <v>77062</v>
      </c>
      <c r="L52" s="243">
        <v>32429</v>
      </c>
      <c r="M52" s="242" t="s">
        <v>1029</v>
      </c>
      <c r="N52" s="242">
        <v>32429</v>
      </c>
      <c r="O52" s="242">
        <v>8315</v>
      </c>
      <c r="P52" s="242">
        <v>980</v>
      </c>
      <c r="Q52" s="242">
        <v>172</v>
      </c>
      <c r="R52" s="242">
        <v>1916</v>
      </c>
      <c r="S52" s="241">
        <v>615191</v>
      </c>
      <c r="T52" s="241">
        <v>463549</v>
      </c>
      <c r="U52" s="240">
        <v>151642</v>
      </c>
      <c r="V52" s="239" t="s">
        <v>809</v>
      </c>
      <c r="W52" s="225"/>
    </row>
    <row r="53" spans="1:23" s="26" customFormat="1" ht="14.25" customHeight="1" x14ac:dyDescent="0.15">
      <c r="A53" s="53"/>
      <c r="B53" s="595"/>
      <c r="C53" s="595"/>
      <c r="D53" s="606"/>
      <c r="E53" s="607"/>
      <c r="F53" s="238">
        <v>207580</v>
      </c>
      <c r="G53" s="237"/>
      <c r="H53" s="237"/>
      <c r="I53" s="237">
        <v>199325</v>
      </c>
      <c r="J53" s="237">
        <v>8255</v>
      </c>
      <c r="K53" s="237"/>
      <c r="L53" s="237"/>
      <c r="M53" s="237"/>
      <c r="N53" s="237"/>
      <c r="O53" s="237">
        <v>2147</v>
      </c>
      <c r="P53" s="246"/>
      <c r="Q53" s="246"/>
      <c r="R53" s="246"/>
      <c r="S53" s="235"/>
      <c r="T53" s="235"/>
      <c r="U53" s="234"/>
      <c r="V53" s="233"/>
      <c r="W53" s="53"/>
    </row>
    <row r="54" spans="1:23" s="224" customFormat="1" ht="10.5" customHeight="1" x14ac:dyDescent="0.15">
      <c r="A54" s="225"/>
      <c r="B54" s="593" t="s">
        <v>235</v>
      </c>
      <c r="C54" s="593" t="s">
        <v>235</v>
      </c>
      <c r="D54" s="608" t="s">
        <v>810</v>
      </c>
      <c r="E54" s="605"/>
      <c r="F54" s="244">
        <v>2879463</v>
      </c>
      <c r="G54" s="242">
        <v>335181</v>
      </c>
      <c r="H54" s="242">
        <v>2135470</v>
      </c>
      <c r="I54" s="242" t="s">
        <v>1029</v>
      </c>
      <c r="J54" s="242">
        <v>328205</v>
      </c>
      <c r="K54" s="242">
        <v>22935</v>
      </c>
      <c r="L54" s="243">
        <v>57672</v>
      </c>
      <c r="M54" s="242" t="s">
        <v>1029</v>
      </c>
      <c r="N54" s="242">
        <v>57672</v>
      </c>
      <c r="O54" s="242">
        <v>24237</v>
      </c>
      <c r="P54" s="242">
        <v>3967</v>
      </c>
      <c r="Q54" s="242">
        <v>126</v>
      </c>
      <c r="R54" s="242">
        <v>2007</v>
      </c>
      <c r="S54" s="241">
        <v>595500</v>
      </c>
      <c r="T54" s="241">
        <v>438395</v>
      </c>
      <c r="U54" s="240">
        <v>157105</v>
      </c>
      <c r="V54" s="239" t="s">
        <v>811</v>
      </c>
      <c r="W54" s="225"/>
    </row>
    <row r="55" spans="1:23" s="26" customFormat="1" ht="14.25" customHeight="1" x14ac:dyDescent="0.15">
      <c r="A55" s="53"/>
      <c r="B55" s="595"/>
      <c r="C55" s="595"/>
      <c r="D55" s="606"/>
      <c r="E55" s="607"/>
      <c r="F55" s="238">
        <v>112507</v>
      </c>
      <c r="G55" s="237"/>
      <c r="H55" s="237"/>
      <c r="I55" s="237">
        <v>112507</v>
      </c>
      <c r="J55" s="237"/>
      <c r="K55" s="237"/>
      <c r="L55" s="237"/>
      <c r="M55" s="237"/>
      <c r="N55" s="237"/>
      <c r="O55" s="237">
        <v>1994</v>
      </c>
      <c r="P55" s="246"/>
      <c r="Q55" s="246"/>
      <c r="R55" s="246"/>
      <c r="S55" s="235"/>
      <c r="T55" s="235"/>
      <c r="U55" s="234"/>
      <c r="V55" s="233"/>
      <c r="W55" s="53"/>
    </row>
    <row r="56" spans="1:23" s="224" customFormat="1" ht="10.5" customHeight="1" x14ac:dyDescent="0.15">
      <c r="A56" s="225"/>
      <c r="B56" s="593" t="s">
        <v>235</v>
      </c>
      <c r="C56" s="593" t="s">
        <v>235</v>
      </c>
      <c r="D56" s="608" t="s">
        <v>812</v>
      </c>
      <c r="E56" s="605"/>
      <c r="F56" s="244">
        <v>2592200</v>
      </c>
      <c r="G56" s="242">
        <v>325767</v>
      </c>
      <c r="H56" s="242">
        <v>2014638</v>
      </c>
      <c r="I56" s="242">
        <v>12112</v>
      </c>
      <c r="J56" s="242">
        <v>122850</v>
      </c>
      <c r="K56" s="242">
        <v>95159</v>
      </c>
      <c r="L56" s="243">
        <v>21674</v>
      </c>
      <c r="M56" s="242" t="s">
        <v>1029</v>
      </c>
      <c r="N56" s="242">
        <v>21674</v>
      </c>
      <c r="O56" s="242">
        <v>13974</v>
      </c>
      <c r="P56" s="242">
        <v>976</v>
      </c>
      <c r="Q56" s="242">
        <v>101</v>
      </c>
      <c r="R56" s="242">
        <v>1125</v>
      </c>
      <c r="S56" s="241">
        <v>1016359</v>
      </c>
      <c r="T56" s="241">
        <v>861151</v>
      </c>
      <c r="U56" s="240">
        <v>155208</v>
      </c>
      <c r="V56" s="239" t="s">
        <v>813</v>
      </c>
      <c r="W56" s="225"/>
    </row>
    <row r="57" spans="1:23" s="26" customFormat="1" ht="14.25" customHeight="1" x14ac:dyDescent="0.15">
      <c r="A57" s="53"/>
      <c r="B57" s="595"/>
      <c r="C57" s="595"/>
      <c r="D57" s="606"/>
      <c r="E57" s="607"/>
      <c r="F57" s="238">
        <v>315566</v>
      </c>
      <c r="G57" s="237"/>
      <c r="H57" s="237"/>
      <c r="I57" s="237">
        <v>275183</v>
      </c>
      <c r="J57" s="237">
        <v>40383</v>
      </c>
      <c r="K57" s="237"/>
      <c r="L57" s="237"/>
      <c r="M57" s="237"/>
      <c r="N57" s="237"/>
      <c r="O57" s="237">
        <v>1098</v>
      </c>
      <c r="P57" s="246"/>
      <c r="Q57" s="246"/>
      <c r="R57" s="246"/>
      <c r="S57" s="235"/>
      <c r="T57" s="235"/>
      <c r="U57" s="234"/>
      <c r="V57" s="233"/>
      <c r="W57" s="53"/>
    </row>
    <row r="58" spans="1:23" s="224" customFormat="1" ht="10.5" customHeight="1" x14ac:dyDescent="0.15">
      <c r="A58" s="225"/>
      <c r="B58" s="593" t="s">
        <v>235</v>
      </c>
      <c r="C58" s="593" t="s">
        <v>235</v>
      </c>
      <c r="D58" s="608" t="s">
        <v>814</v>
      </c>
      <c r="E58" s="605"/>
      <c r="F58" s="244">
        <v>2997396</v>
      </c>
      <c r="G58" s="242">
        <v>252827</v>
      </c>
      <c r="H58" s="242">
        <v>2215861</v>
      </c>
      <c r="I58" s="242" t="s">
        <v>1029</v>
      </c>
      <c r="J58" s="242">
        <v>379347</v>
      </c>
      <c r="K58" s="242">
        <v>59915</v>
      </c>
      <c r="L58" s="243">
        <v>89446</v>
      </c>
      <c r="M58" s="242" t="s">
        <v>1029</v>
      </c>
      <c r="N58" s="242">
        <v>89446</v>
      </c>
      <c r="O58" s="242">
        <v>18725</v>
      </c>
      <c r="P58" s="242">
        <v>990</v>
      </c>
      <c r="Q58" s="242">
        <v>187</v>
      </c>
      <c r="R58" s="242">
        <v>3057</v>
      </c>
      <c r="S58" s="241">
        <v>998332</v>
      </c>
      <c r="T58" s="241">
        <v>785302</v>
      </c>
      <c r="U58" s="240">
        <v>213030</v>
      </c>
      <c r="V58" s="239" t="s">
        <v>815</v>
      </c>
      <c r="W58" s="225"/>
    </row>
    <row r="59" spans="1:23" s="26" customFormat="1" ht="6.75" customHeight="1" x14ac:dyDescent="0.15">
      <c r="A59" s="53"/>
      <c r="B59" s="595"/>
      <c r="C59" s="595"/>
      <c r="D59" s="606"/>
      <c r="E59" s="607"/>
      <c r="F59" s="250"/>
      <c r="G59" s="246"/>
      <c r="H59" s="246"/>
      <c r="I59" s="246"/>
      <c r="J59" s="246"/>
      <c r="K59" s="246"/>
      <c r="L59" s="249"/>
      <c r="M59" s="246"/>
      <c r="N59" s="246"/>
      <c r="O59" s="246"/>
      <c r="P59" s="246"/>
      <c r="Q59" s="246"/>
      <c r="R59" s="246"/>
      <c r="S59" s="235"/>
      <c r="T59" s="235"/>
      <c r="U59" s="234"/>
      <c r="V59" s="248"/>
      <c r="W59" s="53"/>
    </row>
    <row r="60" spans="1:23" s="26" customFormat="1" ht="14.25" customHeight="1" x14ac:dyDescent="0.15">
      <c r="A60" s="53"/>
      <c r="B60" s="595"/>
      <c r="C60" s="595"/>
      <c r="D60" s="606"/>
      <c r="E60" s="607"/>
      <c r="F60" s="238">
        <v>306842</v>
      </c>
      <c r="G60" s="237"/>
      <c r="H60" s="237"/>
      <c r="I60" s="237">
        <v>256732</v>
      </c>
      <c r="J60" s="237">
        <v>50110</v>
      </c>
      <c r="K60" s="237"/>
      <c r="L60" s="237"/>
      <c r="M60" s="237"/>
      <c r="N60" s="237"/>
      <c r="O60" s="237">
        <v>2372</v>
      </c>
      <c r="P60" s="246"/>
      <c r="Q60" s="246"/>
      <c r="R60" s="246"/>
      <c r="S60" s="235"/>
      <c r="T60" s="235"/>
      <c r="U60" s="234"/>
      <c r="V60" s="248"/>
      <c r="W60" s="53"/>
    </row>
    <row r="61" spans="1:23" s="224" customFormat="1" ht="10.5" customHeight="1" x14ac:dyDescent="0.15">
      <c r="A61" s="225"/>
      <c r="B61" s="593" t="s">
        <v>790</v>
      </c>
      <c r="C61" s="593" t="s">
        <v>1033</v>
      </c>
      <c r="D61" s="619" t="s">
        <v>676</v>
      </c>
      <c r="E61" s="605"/>
      <c r="F61" s="244">
        <v>2800691</v>
      </c>
      <c r="G61" s="242">
        <v>303102</v>
      </c>
      <c r="H61" s="242">
        <v>1972852</v>
      </c>
      <c r="I61" s="242" t="s">
        <v>1029</v>
      </c>
      <c r="J61" s="242">
        <v>382892</v>
      </c>
      <c r="K61" s="242">
        <v>67781</v>
      </c>
      <c r="L61" s="243">
        <v>74064</v>
      </c>
      <c r="M61" s="242" t="s">
        <v>1029</v>
      </c>
      <c r="N61" s="242">
        <v>74064</v>
      </c>
      <c r="O61" s="242">
        <v>4276</v>
      </c>
      <c r="P61" s="242">
        <v>957</v>
      </c>
      <c r="Q61" s="242">
        <v>110</v>
      </c>
      <c r="R61" s="242">
        <v>884</v>
      </c>
      <c r="S61" s="241">
        <v>1279857</v>
      </c>
      <c r="T61" s="241">
        <v>1087739</v>
      </c>
      <c r="U61" s="240">
        <v>192118</v>
      </c>
      <c r="V61" s="247" t="s">
        <v>1035</v>
      </c>
      <c r="W61" s="225"/>
    </row>
    <row r="62" spans="1:23" s="26" customFormat="1" ht="14.25" customHeight="1" x14ac:dyDescent="0.15">
      <c r="A62" s="53"/>
      <c r="B62" s="595"/>
      <c r="C62" s="596"/>
      <c r="D62" s="606"/>
      <c r="E62" s="607"/>
      <c r="F62" s="238">
        <v>170072</v>
      </c>
      <c r="G62" s="237"/>
      <c r="H62" s="237"/>
      <c r="I62" s="237">
        <v>120077</v>
      </c>
      <c r="J62" s="237">
        <v>49995</v>
      </c>
      <c r="K62" s="237"/>
      <c r="L62" s="237"/>
      <c r="M62" s="237"/>
      <c r="N62" s="237"/>
      <c r="O62" s="237">
        <v>1889</v>
      </c>
      <c r="P62" s="246"/>
      <c r="Q62" s="246"/>
      <c r="R62" s="246"/>
      <c r="S62" s="235"/>
      <c r="T62" s="235"/>
      <c r="U62" s="234"/>
      <c r="V62" s="245"/>
      <c r="W62" s="53"/>
    </row>
    <row r="63" spans="1:23" s="224" customFormat="1" ht="10.5" customHeight="1" x14ac:dyDescent="0.15">
      <c r="A63" s="225"/>
      <c r="B63" s="593" t="s">
        <v>235</v>
      </c>
      <c r="C63" s="593" t="s">
        <v>235</v>
      </c>
      <c r="D63" s="593" t="s">
        <v>668</v>
      </c>
      <c r="E63" s="605"/>
      <c r="F63" s="244">
        <v>2491346</v>
      </c>
      <c r="G63" s="242">
        <v>139243</v>
      </c>
      <c r="H63" s="242">
        <v>2036220</v>
      </c>
      <c r="I63" s="242">
        <v>11742</v>
      </c>
      <c r="J63" s="242">
        <v>242484</v>
      </c>
      <c r="K63" s="242">
        <v>28763</v>
      </c>
      <c r="L63" s="243">
        <v>32894</v>
      </c>
      <c r="M63" s="242" t="s">
        <v>1029</v>
      </c>
      <c r="N63" s="242">
        <v>32894</v>
      </c>
      <c r="O63" s="242">
        <v>22968</v>
      </c>
      <c r="P63" s="242" t="s">
        <v>1029</v>
      </c>
      <c r="Q63" s="242">
        <v>104</v>
      </c>
      <c r="R63" s="242">
        <v>792</v>
      </c>
      <c r="S63" s="241">
        <v>846715</v>
      </c>
      <c r="T63" s="241">
        <v>662549</v>
      </c>
      <c r="U63" s="240">
        <v>184166</v>
      </c>
      <c r="V63" s="239" t="s">
        <v>802</v>
      </c>
      <c r="W63" s="225"/>
    </row>
    <row r="64" spans="1:23" s="26" customFormat="1" ht="14.25" customHeight="1" x14ac:dyDescent="0.15">
      <c r="A64" s="53"/>
      <c r="B64" s="595"/>
      <c r="C64" s="595"/>
      <c r="D64" s="606"/>
      <c r="E64" s="607"/>
      <c r="F64" s="238">
        <v>63400</v>
      </c>
      <c r="G64" s="237"/>
      <c r="H64" s="237"/>
      <c r="I64" s="237">
        <v>63400</v>
      </c>
      <c r="J64" s="237"/>
      <c r="K64" s="237"/>
      <c r="L64" s="237"/>
      <c r="M64" s="237"/>
      <c r="N64" s="237"/>
      <c r="O64" s="237">
        <v>1487</v>
      </c>
      <c r="P64" s="236"/>
      <c r="Q64" s="236"/>
      <c r="R64" s="236"/>
      <c r="S64" s="235"/>
      <c r="T64" s="235"/>
      <c r="U64" s="234"/>
      <c r="V64" s="233"/>
      <c r="W64" s="53"/>
    </row>
    <row r="65" spans="1:23" s="224" customFormat="1" ht="10.5" customHeight="1" x14ac:dyDescent="0.15">
      <c r="A65" s="225"/>
      <c r="B65" s="609" t="s">
        <v>235</v>
      </c>
      <c r="C65" s="609" t="s">
        <v>235</v>
      </c>
      <c r="D65" s="610" t="s">
        <v>677</v>
      </c>
      <c r="E65" s="611"/>
      <c r="F65" s="232">
        <v>2478654</v>
      </c>
      <c r="G65" s="229">
        <v>234352</v>
      </c>
      <c r="H65" s="229">
        <v>2091779</v>
      </c>
      <c r="I65" s="230" t="s">
        <v>1029</v>
      </c>
      <c r="J65" s="229">
        <v>102661</v>
      </c>
      <c r="K65" s="229">
        <v>22188</v>
      </c>
      <c r="L65" s="231">
        <v>27674</v>
      </c>
      <c r="M65" s="229" t="s">
        <v>1029</v>
      </c>
      <c r="N65" s="229">
        <v>27674</v>
      </c>
      <c r="O65" s="229">
        <v>22825</v>
      </c>
      <c r="P65" s="230">
        <v>991</v>
      </c>
      <c r="Q65" s="229">
        <v>145</v>
      </c>
      <c r="R65" s="229">
        <v>2807</v>
      </c>
      <c r="S65" s="228">
        <v>944886</v>
      </c>
      <c r="T65" s="228">
        <v>851236</v>
      </c>
      <c r="U65" s="227">
        <v>93650</v>
      </c>
      <c r="V65" s="226" t="s">
        <v>803</v>
      </c>
      <c r="W65" s="225"/>
    </row>
    <row r="66" spans="1:23" s="220" customFormat="1" ht="12" customHeight="1" x14ac:dyDescent="0.15">
      <c r="A66" s="643"/>
      <c r="B66" s="645" t="s">
        <v>687</v>
      </c>
      <c r="C66" s="645"/>
      <c r="D66" s="645"/>
      <c r="E66" s="645"/>
      <c r="F66" s="645"/>
      <c r="G66" s="645"/>
      <c r="H66" s="645"/>
      <c r="I66" s="643"/>
      <c r="J66" s="643"/>
      <c r="K66" s="643"/>
      <c r="L66" s="643"/>
      <c r="M66" s="643"/>
      <c r="N66" s="643"/>
      <c r="O66" s="26" t="s">
        <v>688</v>
      </c>
      <c r="P66" s="643"/>
      <c r="Q66" s="643"/>
      <c r="R66" s="643"/>
      <c r="S66" s="643"/>
      <c r="T66" s="643"/>
      <c r="U66" s="643"/>
      <c r="V66" s="223"/>
      <c r="W66" s="643"/>
    </row>
    <row r="67" spans="1:23" s="222" customFormat="1" ht="12" customHeight="1" x14ac:dyDescent="0.15">
      <c r="A67" s="693"/>
      <c r="B67" s="99" t="s">
        <v>689</v>
      </c>
      <c r="C67" s="68"/>
      <c r="D67" s="201"/>
      <c r="E67" s="201"/>
      <c r="F67" s="720"/>
      <c r="G67" s="720"/>
      <c r="H67" s="720"/>
      <c r="I67" s="26"/>
      <c r="J67" s="26"/>
      <c r="K67" s="26"/>
      <c r="L67" s="26"/>
      <c r="M67" s="26"/>
      <c r="N67" s="26"/>
      <c r="O67" s="100" t="s">
        <v>690</v>
      </c>
      <c r="P67" s="26"/>
      <c r="Q67" s="26"/>
      <c r="R67" s="26"/>
      <c r="S67" s="26"/>
      <c r="T67" s="26"/>
      <c r="U67" s="26"/>
      <c r="V67" s="643"/>
      <c r="W67" s="693"/>
    </row>
    <row r="68" spans="1:23" s="220" customFormat="1" ht="11.25" customHeight="1" x14ac:dyDescent="0.15">
      <c r="A68" s="643"/>
      <c r="B68" s="99" t="s">
        <v>536</v>
      </c>
      <c r="C68" s="141"/>
      <c r="D68" s="643"/>
      <c r="E68" s="643"/>
      <c r="F68" s="643"/>
      <c r="G68" s="643"/>
      <c r="H68" s="221"/>
      <c r="I68" s="643"/>
      <c r="J68" s="643"/>
      <c r="K68" s="643"/>
      <c r="L68" s="643"/>
      <c r="M68" s="643"/>
      <c r="N68" s="643"/>
      <c r="O68" s="643"/>
      <c r="P68" s="643"/>
      <c r="Q68" s="643"/>
      <c r="R68" s="643"/>
      <c r="S68" s="643"/>
      <c r="T68" s="643"/>
      <c r="U68" s="643"/>
      <c r="V68" s="643"/>
      <c r="W68" s="643"/>
    </row>
  </sheetData>
  <mergeCells count="2">
    <mergeCell ref="V4:V7"/>
    <mergeCell ref="B5:E5"/>
  </mergeCells>
  <phoneticPr fontId="33"/>
  <pageMargins left="0.59055118110236227" right="0.59055118110236227" top="0.59055118110236227" bottom="0.59055118110236227" header="0.59055118110236227" footer="0.15748031496062992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433"/>
  <sheetViews>
    <sheetView view="pageBreakPreview" zoomScaleNormal="100" zoomScaleSheetLayoutView="100" workbookViewId="0"/>
  </sheetViews>
  <sheetFormatPr defaultColWidth="7.625" defaultRowHeight="13.5" x14ac:dyDescent="0.15"/>
  <cols>
    <col min="1" max="1" width="15.125" style="289" customWidth="1"/>
    <col min="2" max="23" width="7.625" style="289" customWidth="1"/>
    <col min="24" max="16384" width="7.625" style="289"/>
  </cols>
  <sheetData>
    <row r="1" spans="1:23" ht="15" customHeight="1" x14ac:dyDescent="0.15">
      <c r="A1" s="612" t="s">
        <v>311</v>
      </c>
      <c r="C1" s="567"/>
      <c r="D1" s="567"/>
      <c r="E1" s="567"/>
      <c r="F1" s="567"/>
      <c r="G1" s="567"/>
      <c r="H1" s="567"/>
      <c r="I1" s="567"/>
      <c r="J1" s="567"/>
      <c r="K1" s="568" t="s">
        <v>434</v>
      </c>
      <c r="L1" s="567"/>
      <c r="M1" s="567"/>
      <c r="N1" s="567"/>
      <c r="O1" s="567"/>
      <c r="P1" s="569"/>
      <c r="Q1" s="570"/>
      <c r="R1" s="570"/>
      <c r="S1" s="570"/>
      <c r="T1" s="570"/>
      <c r="U1" s="571"/>
      <c r="V1" s="572" t="s">
        <v>849</v>
      </c>
    </row>
    <row r="2" spans="1:23" s="297" customFormat="1" ht="21" customHeight="1" x14ac:dyDescent="0.15">
      <c r="A2" s="1053" t="s">
        <v>172</v>
      </c>
      <c r="B2" s="826" t="s">
        <v>310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  <c r="P2" s="827"/>
      <c r="Q2" s="827"/>
      <c r="R2" s="827"/>
      <c r="S2" s="827"/>
      <c r="T2" s="827"/>
      <c r="U2" s="827"/>
      <c r="V2" s="827"/>
      <c r="W2" s="1056" t="s">
        <v>79</v>
      </c>
    </row>
    <row r="3" spans="1:23" s="297" customFormat="1" ht="21" customHeight="1" x14ac:dyDescent="0.15">
      <c r="A3" s="1054"/>
      <c r="B3" s="1059" t="s">
        <v>850</v>
      </c>
      <c r="C3" s="826" t="s">
        <v>265</v>
      </c>
      <c r="D3" s="827"/>
      <c r="E3" s="827"/>
      <c r="F3" s="827"/>
      <c r="G3" s="827"/>
      <c r="H3" s="827"/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1057"/>
    </row>
    <row r="4" spans="1:23" s="297" customFormat="1" ht="52.5" customHeight="1" x14ac:dyDescent="0.15">
      <c r="A4" s="1055"/>
      <c r="B4" s="1060"/>
      <c r="C4" s="696" t="s">
        <v>851</v>
      </c>
      <c r="D4" s="298" t="s">
        <v>256</v>
      </c>
      <c r="E4" s="298" t="s">
        <v>852</v>
      </c>
      <c r="F4" s="298" t="s">
        <v>271</v>
      </c>
      <c r="G4" s="298" t="s">
        <v>277</v>
      </c>
      <c r="H4" s="298" t="s">
        <v>276</v>
      </c>
      <c r="I4" s="298" t="s">
        <v>255</v>
      </c>
      <c r="J4" s="298" t="s">
        <v>254</v>
      </c>
      <c r="K4" s="298" t="s">
        <v>253</v>
      </c>
      <c r="L4" s="298" t="s">
        <v>303</v>
      </c>
      <c r="M4" s="298" t="s">
        <v>252</v>
      </c>
      <c r="N4" s="298" t="s">
        <v>281</v>
      </c>
      <c r="O4" s="298" t="s">
        <v>302</v>
      </c>
      <c r="P4" s="298" t="s">
        <v>301</v>
      </c>
      <c r="Q4" s="298" t="s">
        <v>606</v>
      </c>
      <c r="R4" s="298" t="s">
        <v>264</v>
      </c>
      <c r="S4" s="298" t="s">
        <v>263</v>
      </c>
      <c r="T4" s="298" t="s">
        <v>262</v>
      </c>
      <c r="U4" s="298" t="s">
        <v>251</v>
      </c>
      <c r="V4" s="300" t="s">
        <v>250</v>
      </c>
      <c r="W4" s="1058"/>
    </row>
    <row r="5" spans="1:23" s="290" customFormat="1" ht="9.75" customHeight="1" x14ac:dyDescent="0.15">
      <c r="A5" s="828" t="s">
        <v>985</v>
      </c>
      <c r="B5" s="829">
        <v>31720740</v>
      </c>
      <c r="C5" s="830">
        <v>25775780</v>
      </c>
      <c r="D5" s="830">
        <v>7973868</v>
      </c>
      <c r="E5" s="830">
        <v>540025</v>
      </c>
      <c r="F5" s="830">
        <v>286590</v>
      </c>
      <c r="G5" s="830" t="s">
        <v>986</v>
      </c>
      <c r="H5" s="830">
        <v>195369</v>
      </c>
      <c r="I5" s="830">
        <v>336369</v>
      </c>
      <c r="J5" s="830">
        <v>473681</v>
      </c>
      <c r="K5" s="830" t="s">
        <v>986</v>
      </c>
      <c r="L5" s="830" t="s">
        <v>986</v>
      </c>
      <c r="M5" s="830">
        <v>15768</v>
      </c>
      <c r="N5" s="830">
        <v>1423988</v>
      </c>
      <c r="O5" s="830">
        <v>20107</v>
      </c>
      <c r="P5" s="830" t="s">
        <v>986</v>
      </c>
      <c r="Q5" s="830" t="s">
        <v>986</v>
      </c>
      <c r="R5" s="830">
        <v>973185</v>
      </c>
      <c r="S5" s="830">
        <v>1759035</v>
      </c>
      <c r="T5" s="830">
        <v>1671365</v>
      </c>
      <c r="U5" s="830">
        <v>4840238</v>
      </c>
      <c r="V5" s="830" t="s">
        <v>986</v>
      </c>
      <c r="W5" s="831" t="s">
        <v>485</v>
      </c>
    </row>
    <row r="6" spans="1:23" s="290" customFormat="1" ht="9.75" customHeight="1" x14ac:dyDescent="0.15">
      <c r="A6" s="559" t="s">
        <v>634</v>
      </c>
      <c r="B6" s="290">
        <v>34955953</v>
      </c>
      <c r="C6" s="290">
        <v>27207175</v>
      </c>
      <c r="D6" s="290">
        <v>8750545</v>
      </c>
      <c r="E6" s="290">
        <v>520309</v>
      </c>
      <c r="F6" s="290">
        <v>82439</v>
      </c>
      <c r="G6" s="290">
        <v>26763</v>
      </c>
      <c r="H6" s="290">
        <v>91836</v>
      </c>
      <c r="I6" s="290">
        <v>335606</v>
      </c>
      <c r="J6" s="290">
        <v>514310</v>
      </c>
      <c r="K6" s="290">
        <v>122549</v>
      </c>
      <c r="L6" s="290">
        <v>21661</v>
      </c>
      <c r="M6" s="290" t="s">
        <v>986</v>
      </c>
      <c r="N6" s="290">
        <v>1882304</v>
      </c>
      <c r="O6" s="290">
        <v>14825</v>
      </c>
      <c r="P6" s="290">
        <v>30593</v>
      </c>
      <c r="Q6" s="290">
        <v>91803</v>
      </c>
      <c r="R6" s="290">
        <v>939424</v>
      </c>
      <c r="S6" s="290">
        <v>1222091</v>
      </c>
      <c r="T6" s="290">
        <v>2044535</v>
      </c>
      <c r="U6" s="290">
        <v>5859243</v>
      </c>
      <c r="V6" s="290">
        <v>31678</v>
      </c>
      <c r="W6" s="295" t="s">
        <v>588</v>
      </c>
    </row>
    <row r="7" spans="1:23" s="290" customFormat="1" ht="9.75" customHeight="1" x14ac:dyDescent="0.15">
      <c r="A7" s="559" t="s">
        <v>635</v>
      </c>
      <c r="B7" s="290">
        <v>39136664</v>
      </c>
      <c r="C7" s="290">
        <v>30987931</v>
      </c>
      <c r="D7" s="290">
        <v>9254242</v>
      </c>
      <c r="E7" s="290">
        <v>687661</v>
      </c>
      <c r="F7" s="290" t="s">
        <v>986</v>
      </c>
      <c r="G7" s="290" t="s">
        <v>986</v>
      </c>
      <c r="H7" s="290">
        <v>145148</v>
      </c>
      <c r="I7" s="290">
        <v>509738</v>
      </c>
      <c r="J7" s="290">
        <v>1169575</v>
      </c>
      <c r="K7" s="290">
        <v>235299</v>
      </c>
      <c r="L7" s="290" t="s">
        <v>986</v>
      </c>
      <c r="M7" s="290" t="s">
        <v>986</v>
      </c>
      <c r="N7" s="290">
        <v>1562807</v>
      </c>
      <c r="O7" s="290" t="s">
        <v>986</v>
      </c>
      <c r="P7" s="290">
        <v>11553</v>
      </c>
      <c r="Q7" s="290">
        <v>103033</v>
      </c>
      <c r="R7" s="290">
        <v>1268082</v>
      </c>
      <c r="S7" s="290">
        <v>2325577</v>
      </c>
      <c r="T7" s="290">
        <v>2172238</v>
      </c>
      <c r="U7" s="290">
        <v>5185461</v>
      </c>
      <c r="V7" s="290">
        <v>552695</v>
      </c>
      <c r="W7" s="295" t="s">
        <v>636</v>
      </c>
    </row>
    <row r="8" spans="1:23" s="290" customFormat="1" ht="9.75" customHeight="1" x14ac:dyDescent="0.15">
      <c r="A8" s="559" t="s">
        <v>774</v>
      </c>
      <c r="B8" s="290">
        <v>32841517</v>
      </c>
      <c r="C8" s="290">
        <v>27309477</v>
      </c>
      <c r="D8" s="290">
        <v>7113643</v>
      </c>
      <c r="E8" s="290">
        <v>413586</v>
      </c>
      <c r="F8" s="290">
        <v>154064</v>
      </c>
      <c r="G8" s="290" t="s">
        <v>986</v>
      </c>
      <c r="H8" s="290">
        <v>85698</v>
      </c>
      <c r="I8" s="290">
        <v>1233568</v>
      </c>
      <c r="J8" s="290">
        <v>1201128</v>
      </c>
      <c r="K8" s="290" t="s">
        <v>986</v>
      </c>
      <c r="L8" s="290" t="s">
        <v>986</v>
      </c>
      <c r="M8" s="290">
        <v>7487</v>
      </c>
      <c r="N8" s="290">
        <v>688517</v>
      </c>
      <c r="O8" s="290">
        <v>93614</v>
      </c>
      <c r="P8" s="290" t="s">
        <v>986</v>
      </c>
      <c r="Q8" s="290" t="s">
        <v>986</v>
      </c>
      <c r="R8" s="290">
        <v>1110367</v>
      </c>
      <c r="S8" s="290">
        <v>1864046</v>
      </c>
      <c r="T8" s="290">
        <v>2328791</v>
      </c>
      <c r="U8" s="290">
        <v>4508497</v>
      </c>
      <c r="V8" s="290">
        <v>15896</v>
      </c>
      <c r="W8" s="295" t="s">
        <v>775</v>
      </c>
    </row>
    <row r="9" spans="1:23" s="290" customFormat="1" ht="9.75" customHeight="1" x14ac:dyDescent="0.15">
      <c r="A9" s="559" t="s">
        <v>987</v>
      </c>
      <c r="B9" s="290">
        <v>32531948</v>
      </c>
      <c r="C9" s="290">
        <v>28986476</v>
      </c>
      <c r="D9" s="290">
        <v>8266456</v>
      </c>
      <c r="E9" s="290">
        <v>706234</v>
      </c>
      <c r="F9" s="290">
        <v>35881</v>
      </c>
      <c r="G9" s="290" t="s">
        <v>986</v>
      </c>
      <c r="H9" s="290">
        <v>288223</v>
      </c>
      <c r="I9" s="290">
        <v>406123</v>
      </c>
      <c r="J9" s="290">
        <v>370581</v>
      </c>
      <c r="K9" s="290" t="s">
        <v>986</v>
      </c>
      <c r="L9" s="290" t="s">
        <v>986</v>
      </c>
      <c r="M9" s="290" t="s">
        <v>986</v>
      </c>
      <c r="N9" s="290">
        <v>208016</v>
      </c>
      <c r="O9" s="290" t="s">
        <v>986</v>
      </c>
      <c r="P9" s="290" t="s">
        <v>986</v>
      </c>
      <c r="Q9" s="290">
        <v>58686</v>
      </c>
      <c r="R9" s="290">
        <v>1095838</v>
      </c>
      <c r="S9" s="290">
        <v>1560962</v>
      </c>
      <c r="T9" s="290">
        <v>3716945</v>
      </c>
      <c r="U9" s="290">
        <v>5134118</v>
      </c>
      <c r="V9" s="290">
        <v>124655</v>
      </c>
      <c r="W9" s="295" t="s">
        <v>988</v>
      </c>
    </row>
    <row r="10" spans="1:23" s="290" customFormat="1" ht="6.75" customHeight="1" x14ac:dyDescent="0.15">
      <c r="A10" s="578"/>
      <c r="W10" s="295"/>
    </row>
    <row r="11" spans="1:23" s="290" customFormat="1" ht="9.75" customHeight="1" x14ac:dyDescent="0.15">
      <c r="A11" s="559" t="s">
        <v>989</v>
      </c>
      <c r="B11" s="290">
        <v>32863248</v>
      </c>
      <c r="C11" s="290">
        <v>28260624</v>
      </c>
      <c r="D11" s="290">
        <v>7174913</v>
      </c>
      <c r="E11" s="290">
        <v>606360</v>
      </c>
      <c r="F11" s="290">
        <v>154064</v>
      </c>
      <c r="G11" s="290" t="s">
        <v>986</v>
      </c>
      <c r="H11" s="290">
        <v>134958</v>
      </c>
      <c r="I11" s="290">
        <v>985618</v>
      </c>
      <c r="J11" s="290">
        <v>1283075</v>
      </c>
      <c r="K11" s="290" t="s">
        <v>986</v>
      </c>
      <c r="L11" s="290" t="s">
        <v>986</v>
      </c>
      <c r="M11" s="290">
        <v>7487</v>
      </c>
      <c r="N11" s="290">
        <v>502326</v>
      </c>
      <c r="O11" s="290">
        <v>45627</v>
      </c>
      <c r="P11" s="290" t="s">
        <v>986</v>
      </c>
      <c r="Q11" s="290" t="s">
        <v>986</v>
      </c>
      <c r="R11" s="290">
        <v>1241147</v>
      </c>
      <c r="S11" s="290">
        <v>2155029</v>
      </c>
      <c r="T11" s="290">
        <v>2782178</v>
      </c>
      <c r="U11" s="290">
        <v>4653808</v>
      </c>
      <c r="V11" s="290">
        <v>15896</v>
      </c>
      <c r="W11" s="295" t="s">
        <v>776</v>
      </c>
    </row>
    <row r="12" spans="1:23" s="290" customFormat="1" ht="9.75" customHeight="1" x14ac:dyDescent="0.15">
      <c r="A12" s="559" t="s">
        <v>990</v>
      </c>
      <c r="B12" s="290">
        <v>32236558</v>
      </c>
      <c r="C12" s="290">
        <v>28909446</v>
      </c>
      <c r="D12" s="290">
        <v>8717181</v>
      </c>
      <c r="E12" s="290">
        <v>594762</v>
      </c>
      <c r="F12" s="290">
        <v>35881</v>
      </c>
      <c r="G12" s="290" t="s">
        <v>986</v>
      </c>
      <c r="H12" s="290">
        <v>265732</v>
      </c>
      <c r="I12" s="290">
        <v>162591</v>
      </c>
      <c r="J12" s="290">
        <v>119488</v>
      </c>
      <c r="K12" s="290" t="s">
        <v>986</v>
      </c>
      <c r="L12" s="290" t="s">
        <v>986</v>
      </c>
      <c r="M12" s="290" t="s">
        <v>986</v>
      </c>
      <c r="N12" s="290">
        <v>214126</v>
      </c>
      <c r="O12" s="290" t="s">
        <v>986</v>
      </c>
      <c r="P12" s="290" t="s">
        <v>986</v>
      </c>
      <c r="Q12" s="290">
        <v>58686</v>
      </c>
      <c r="R12" s="290">
        <v>1010193</v>
      </c>
      <c r="S12" s="290">
        <v>1191888</v>
      </c>
      <c r="T12" s="290">
        <v>4237665</v>
      </c>
      <c r="U12" s="290">
        <v>4988690</v>
      </c>
      <c r="V12" s="290">
        <v>124655</v>
      </c>
      <c r="W12" s="295" t="s">
        <v>991</v>
      </c>
    </row>
    <row r="13" spans="1:23" s="290" customFormat="1" ht="6.75" customHeight="1" x14ac:dyDescent="0.15">
      <c r="A13" s="578"/>
      <c r="W13" s="295"/>
    </row>
    <row r="14" spans="1:23" s="290" customFormat="1" ht="9.75" customHeight="1" x14ac:dyDescent="0.15">
      <c r="A14" s="559" t="s">
        <v>992</v>
      </c>
      <c r="B14" s="290">
        <v>8066081</v>
      </c>
      <c r="C14" s="290">
        <v>7226582</v>
      </c>
      <c r="D14" s="290">
        <v>1692536</v>
      </c>
      <c r="E14" s="290">
        <v>276135</v>
      </c>
      <c r="F14" s="290" t="s">
        <v>986</v>
      </c>
      <c r="G14" s="290" t="s">
        <v>986</v>
      </c>
      <c r="H14" s="290">
        <v>49260</v>
      </c>
      <c r="I14" s="290">
        <v>243532</v>
      </c>
      <c r="J14" s="290">
        <v>282757</v>
      </c>
      <c r="K14" s="290" t="s">
        <v>986</v>
      </c>
      <c r="L14" s="290" t="s">
        <v>986</v>
      </c>
      <c r="M14" s="290" t="s">
        <v>986</v>
      </c>
      <c r="N14" s="290">
        <v>40182</v>
      </c>
      <c r="O14" s="290" t="s">
        <v>986</v>
      </c>
      <c r="P14" s="290" t="s">
        <v>986</v>
      </c>
      <c r="Q14" s="290" t="s">
        <v>986</v>
      </c>
      <c r="R14" s="290">
        <v>331333</v>
      </c>
      <c r="S14" s="290">
        <v>694025</v>
      </c>
      <c r="T14" s="290">
        <v>916831</v>
      </c>
      <c r="U14" s="290">
        <v>1187397</v>
      </c>
      <c r="V14" s="290" t="s">
        <v>986</v>
      </c>
      <c r="W14" s="295" t="s">
        <v>777</v>
      </c>
    </row>
    <row r="15" spans="1:23" s="290" customFormat="1" ht="9.75" customHeight="1" x14ac:dyDescent="0.15">
      <c r="A15" s="559" t="s">
        <v>637</v>
      </c>
      <c r="B15" s="290">
        <v>7885416</v>
      </c>
      <c r="C15" s="290">
        <v>6815699</v>
      </c>
      <c r="D15" s="290">
        <v>2333968</v>
      </c>
      <c r="E15" s="290">
        <v>109128</v>
      </c>
      <c r="F15" s="290" t="s">
        <v>986</v>
      </c>
      <c r="G15" s="290" t="s">
        <v>986</v>
      </c>
      <c r="H15" s="290">
        <v>95488</v>
      </c>
      <c r="I15" s="290" t="s">
        <v>986</v>
      </c>
      <c r="J15" s="290">
        <v>11075</v>
      </c>
      <c r="K15" s="290" t="s">
        <v>986</v>
      </c>
      <c r="L15" s="290" t="s">
        <v>986</v>
      </c>
      <c r="M15" s="290" t="s">
        <v>986</v>
      </c>
      <c r="N15" s="290">
        <v>53949</v>
      </c>
      <c r="O15" s="290" t="s">
        <v>986</v>
      </c>
      <c r="P15" s="290" t="s">
        <v>986</v>
      </c>
      <c r="Q15" s="290">
        <v>58686</v>
      </c>
      <c r="R15" s="290">
        <v>335691</v>
      </c>
      <c r="S15" s="290">
        <v>237132</v>
      </c>
      <c r="T15" s="290">
        <v>888404</v>
      </c>
      <c r="U15" s="290">
        <v>1217373</v>
      </c>
      <c r="V15" s="290" t="s">
        <v>986</v>
      </c>
      <c r="W15" s="295" t="s">
        <v>85</v>
      </c>
    </row>
    <row r="16" spans="1:23" s="290" customFormat="1" ht="9.75" customHeight="1" x14ac:dyDescent="0.15">
      <c r="A16" s="559" t="s">
        <v>638</v>
      </c>
      <c r="B16" s="290">
        <v>8111392</v>
      </c>
      <c r="C16" s="290">
        <v>7317068</v>
      </c>
      <c r="D16" s="290">
        <v>1979189</v>
      </c>
      <c r="E16" s="290">
        <v>71462</v>
      </c>
      <c r="F16" s="290">
        <v>35881</v>
      </c>
      <c r="G16" s="290" t="s">
        <v>986</v>
      </c>
      <c r="H16" s="290">
        <v>132356</v>
      </c>
      <c r="I16" s="290">
        <v>53746</v>
      </c>
      <c r="J16" s="290">
        <v>43176</v>
      </c>
      <c r="K16" s="290" t="s">
        <v>986</v>
      </c>
      <c r="L16" s="290" t="s">
        <v>986</v>
      </c>
      <c r="M16" s="290" t="s">
        <v>986</v>
      </c>
      <c r="N16" s="290">
        <v>113885</v>
      </c>
      <c r="O16" s="290" t="s">
        <v>986</v>
      </c>
      <c r="P16" s="290" t="s">
        <v>986</v>
      </c>
      <c r="Q16" s="290" t="s">
        <v>986</v>
      </c>
      <c r="R16" s="290">
        <v>177743</v>
      </c>
      <c r="S16" s="290">
        <v>361835</v>
      </c>
      <c r="T16" s="290">
        <v>880771</v>
      </c>
      <c r="U16" s="290">
        <v>1444022</v>
      </c>
      <c r="V16" s="290" t="s">
        <v>986</v>
      </c>
      <c r="W16" s="295" t="s">
        <v>86</v>
      </c>
    </row>
    <row r="17" spans="1:23" s="290" customFormat="1" ht="9.75" customHeight="1" x14ac:dyDescent="0.15">
      <c r="A17" s="559" t="s">
        <v>639</v>
      </c>
      <c r="B17" s="290">
        <v>8469059</v>
      </c>
      <c r="C17" s="290">
        <v>7627127</v>
      </c>
      <c r="D17" s="290">
        <v>2260763</v>
      </c>
      <c r="E17" s="290">
        <v>249509</v>
      </c>
      <c r="F17" s="290" t="s">
        <v>986</v>
      </c>
      <c r="G17" s="290" t="s">
        <v>986</v>
      </c>
      <c r="H17" s="290">
        <v>11119</v>
      </c>
      <c r="I17" s="290">
        <v>108845</v>
      </c>
      <c r="J17" s="290">
        <v>33573</v>
      </c>
      <c r="K17" s="290" t="s">
        <v>986</v>
      </c>
      <c r="L17" s="290" t="s">
        <v>986</v>
      </c>
      <c r="M17" s="290" t="s">
        <v>986</v>
      </c>
      <c r="N17" s="290" t="s">
        <v>986</v>
      </c>
      <c r="O17" s="290" t="s">
        <v>986</v>
      </c>
      <c r="P17" s="290" t="s">
        <v>986</v>
      </c>
      <c r="Q17" s="290" t="s">
        <v>986</v>
      </c>
      <c r="R17" s="290">
        <v>251071</v>
      </c>
      <c r="S17" s="290">
        <v>267970</v>
      </c>
      <c r="T17" s="290">
        <v>1030939</v>
      </c>
      <c r="U17" s="290">
        <v>1285326</v>
      </c>
      <c r="V17" s="290">
        <v>124655</v>
      </c>
      <c r="W17" s="295" t="s">
        <v>87</v>
      </c>
    </row>
    <row r="18" spans="1:23" s="290" customFormat="1" ht="9.75" customHeight="1" x14ac:dyDescent="0.15">
      <c r="A18" s="559" t="s">
        <v>993</v>
      </c>
      <c r="B18" s="290">
        <v>7770691</v>
      </c>
      <c r="C18" s="290">
        <v>7149552</v>
      </c>
      <c r="D18" s="290">
        <v>2143261</v>
      </c>
      <c r="E18" s="290">
        <v>164663</v>
      </c>
      <c r="F18" s="290" t="s">
        <v>986</v>
      </c>
      <c r="G18" s="290" t="s">
        <v>986</v>
      </c>
      <c r="H18" s="290">
        <v>26769</v>
      </c>
      <c r="I18" s="290" t="s">
        <v>986</v>
      </c>
      <c r="J18" s="290">
        <v>31664</v>
      </c>
      <c r="K18" s="290" t="s">
        <v>986</v>
      </c>
      <c r="L18" s="290" t="s">
        <v>986</v>
      </c>
      <c r="M18" s="290" t="s">
        <v>986</v>
      </c>
      <c r="N18" s="290">
        <v>46292</v>
      </c>
      <c r="O18" s="290" t="s">
        <v>986</v>
      </c>
      <c r="P18" s="290" t="s">
        <v>986</v>
      </c>
      <c r="Q18" s="290" t="s">
        <v>986</v>
      </c>
      <c r="R18" s="290">
        <v>245688</v>
      </c>
      <c r="S18" s="290">
        <v>324951</v>
      </c>
      <c r="T18" s="290">
        <v>1437551</v>
      </c>
      <c r="U18" s="290">
        <v>1041969</v>
      </c>
      <c r="V18" s="290" t="s">
        <v>986</v>
      </c>
      <c r="W18" s="295" t="s">
        <v>994</v>
      </c>
    </row>
    <row r="19" spans="1:23" s="290" customFormat="1" ht="6.75" customHeight="1" x14ac:dyDescent="0.15">
      <c r="A19" s="578"/>
      <c r="W19" s="295"/>
    </row>
    <row r="20" spans="1:23" s="290" customFormat="1" ht="9.75" customHeight="1" x14ac:dyDescent="0.15">
      <c r="A20" s="559" t="s">
        <v>995</v>
      </c>
      <c r="B20" s="290">
        <v>3033272</v>
      </c>
      <c r="C20" s="290">
        <v>2733140</v>
      </c>
      <c r="D20" s="290">
        <v>709895</v>
      </c>
      <c r="E20" s="290">
        <v>173341</v>
      </c>
      <c r="F20" s="290" t="s">
        <v>986</v>
      </c>
      <c r="G20" s="290" t="s">
        <v>986</v>
      </c>
      <c r="H20" s="290" t="s">
        <v>986</v>
      </c>
      <c r="I20" s="290">
        <v>47546</v>
      </c>
      <c r="J20" s="290">
        <v>122756</v>
      </c>
      <c r="K20" s="290" t="s">
        <v>986</v>
      </c>
      <c r="L20" s="290" t="s">
        <v>986</v>
      </c>
      <c r="M20" s="290" t="s">
        <v>986</v>
      </c>
      <c r="N20" s="290" t="s">
        <v>986</v>
      </c>
      <c r="O20" s="290" t="s">
        <v>986</v>
      </c>
      <c r="P20" s="290" t="s">
        <v>986</v>
      </c>
      <c r="Q20" s="290" t="s">
        <v>986</v>
      </c>
      <c r="R20" s="290">
        <v>111749</v>
      </c>
      <c r="S20" s="290">
        <v>147149</v>
      </c>
      <c r="T20" s="290">
        <v>391073</v>
      </c>
      <c r="U20" s="290">
        <v>318217</v>
      </c>
      <c r="V20" s="290" t="s">
        <v>986</v>
      </c>
      <c r="W20" s="295" t="s">
        <v>778</v>
      </c>
    </row>
    <row r="21" spans="1:23" s="290" customFormat="1" ht="9.75" customHeight="1" x14ac:dyDescent="0.15">
      <c r="A21" s="559" t="s">
        <v>640</v>
      </c>
      <c r="B21" s="290">
        <v>2491170</v>
      </c>
      <c r="C21" s="290">
        <v>2216268</v>
      </c>
      <c r="D21" s="290">
        <v>585015</v>
      </c>
      <c r="E21" s="290">
        <v>61024</v>
      </c>
      <c r="F21" s="290" t="s">
        <v>986</v>
      </c>
      <c r="G21" s="290" t="s">
        <v>986</v>
      </c>
      <c r="H21" s="290">
        <v>49260</v>
      </c>
      <c r="I21" s="290">
        <v>154162</v>
      </c>
      <c r="J21" s="290">
        <v>59736</v>
      </c>
      <c r="K21" s="290" t="s">
        <v>986</v>
      </c>
      <c r="L21" s="290" t="s">
        <v>986</v>
      </c>
      <c r="M21" s="290" t="s">
        <v>986</v>
      </c>
      <c r="N21" s="290" t="s">
        <v>986</v>
      </c>
      <c r="O21" s="290" t="s">
        <v>986</v>
      </c>
      <c r="P21" s="290" t="s">
        <v>986</v>
      </c>
      <c r="Q21" s="290" t="s">
        <v>986</v>
      </c>
      <c r="R21" s="290">
        <v>101552</v>
      </c>
      <c r="S21" s="290">
        <v>341707</v>
      </c>
      <c r="T21" s="290">
        <v>128834</v>
      </c>
      <c r="U21" s="290">
        <v>391180</v>
      </c>
      <c r="V21" s="290" t="s">
        <v>986</v>
      </c>
      <c r="W21" s="295" t="s">
        <v>73</v>
      </c>
    </row>
    <row r="22" spans="1:23" s="290" customFormat="1" ht="9.75" customHeight="1" x14ac:dyDescent="0.15">
      <c r="A22" s="559" t="s">
        <v>641</v>
      </c>
      <c r="B22" s="290">
        <v>2541639</v>
      </c>
      <c r="C22" s="290">
        <v>2277174</v>
      </c>
      <c r="D22" s="290">
        <v>397626</v>
      </c>
      <c r="E22" s="290">
        <v>41770</v>
      </c>
      <c r="F22" s="290" t="s">
        <v>986</v>
      </c>
      <c r="G22" s="290" t="s">
        <v>986</v>
      </c>
      <c r="H22" s="290" t="s">
        <v>986</v>
      </c>
      <c r="I22" s="290">
        <v>41824</v>
      </c>
      <c r="J22" s="290">
        <v>100265</v>
      </c>
      <c r="K22" s="290" t="s">
        <v>986</v>
      </c>
      <c r="L22" s="290" t="s">
        <v>986</v>
      </c>
      <c r="M22" s="290" t="s">
        <v>986</v>
      </c>
      <c r="N22" s="290">
        <v>40182</v>
      </c>
      <c r="O22" s="290" t="s">
        <v>986</v>
      </c>
      <c r="P22" s="290" t="s">
        <v>986</v>
      </c>
      <c r="Q22" s="290" t="s">
        <v>986</v>
      </c>
      <c r="R22" s="290">
        <v>118032</v>
      </c>
      <c r="S22" s="290">
        <v>205169</v>
      </c>
      <c r="T22" s="290">
        <v>396924</v>
      </c>
      <c r="U22" s="290">
        <v>478000</v>
      </c>
      <c r="V22" s="290" t="s">
        <v>986</v>
      </c>
      <c r="W22" s="295" t="s">
        <v>74</v>
      </c>
    </row>
    <row r="23" spans="1:23" s="290" customFormat="1" ht="9.75" customHeight="1" x14ac:dyDescent="0.15">
      <c r="A23" s="559" t="s">
        <v>642</v>
      </c>
      <c r="B23" s="290">
        <v>2909766</v>
      </c>
      <c r="C23" s="290">
        <v>2383497</v>
      </c>
      <c r="D23" s="290">
        <v>546553</v>
      </c>
      <c r="E23" s="290" t="s">
        <v>986</v>
      </c>
      <c r="F23" s="290" t="s">
        <v>986</v>
      </c>
      <c r="G23" s="290" t="s">
        <v>986</v>
      </c>
      <c r="H23" s="290">
        <v>48801</v>
      </c>
      <c r="I23" s="290" t="s">
        <v>986</v>
      </c>
      <c r="J23" s="290">
        <v>4121</v>
      </c>
      <c r="K23" s="290" t="s">
        <v>986</v>
      </c>
      <c r="L23" s="290" t="s">
        <v>986</v>
      </c>
      <c r="M23" s="290" t="s">
        <v>986</v>
      </c>
      <c r="N23" s="290">
        <v>53949</v>
      </c>
      <c r="O23" s="290" t="s">
        <v>986</v>
      </c>
      <c r="P23" s="290" t="s">
        <v>986</v>
      </c>
      <c r="Q23" s="290">
        <v>28297</v>
      </c>
      <c r="R23" s="290">
        <v>79852</v>
      </c>
      <c r="S23" s="290" t="s">
        <v>986</v>
      </c>
      <c r="T23" s="290">
        <v>313578</v>
      </c>
      <c r="U23" s="290">
        <v>604844</v>
      </c>
      <c r="V23" s="290" t="s">
        <v>986</v>
      </c>
      <c r="W23" s="295" t="s">
        <v>75</v>
      </c>
    </row>
    <row r="24" spans="1:23" s="290" customFormat="1" ht="9.75" customHeight="1" x14ac:dyDescent="0.15">
      <c r="A24" s="559" t="s">
        <v>643</v>
      </c>
      <c r="B24" s="290">
        <v>2136107</v>
      </c>
      <c r="C24" s="290">
        <v>1835481</v>
      </c>
      <c r="D24" s="290">
        <v>699772</v>
      </c>
      <c r="E24" s="290" t="s">
        <v>986</v>
      </c>
      <c r="F24" s="290" t="s">
        <v>986</v>
      </c>
      <c r="G24" s="290" t="s">
        <v>986</v>
      </c>
      <c r="H24" s="290">
        <v>46687</v>
      </c>
      <c r="I24" s="290" t="s">
        <v>986</v>
      </c>
      <c r="J24" s="290" t="s">
        <v>986</v>
      </c>
      <c r="K24" s="290" t="s">
        <v>986</v>
      </c>
      <c r="L24" s="290" t="s">
        <v>986</v>
      </c>
      <c r="M24" s="290" t="s">
        <v>986</v>
      </c>
      <c r="N24" s="290" t="s">
        <v>986</v>
      </c>
      <c r="O24" s="290" t="s">
        <v>986</v>
      </c>
      <c r="P24" s="290" t="s">
        <v>986</v>
      </c>
      <c r="Q24" s="290">
        <v>30389</v>
      </c>
      <c r="R24" s="290">
        <v>182535</v>
      </c>
      <c r="S24" s="290" t="s">
        <v>986</v>
      </c>
      <c r="T24" s="290">
        <v>169622</v>
      </c>
      <c r="U24" s="290">
        <v>216249</v>
      </c>
      <c r="V24" s="290" t="s">
        <v>986</v>
      </c>
      <c r="W24" s="295" t="s">
        <v>88</v>
      </c>
    </row>
    <row r="25" spans="1:23" s="290" customFormat="1" ht="9.75" customHeight="1" x14ac:dyDescent="0.15">
      <c r="A25" s="559" t="s">
        <v>644</v>
      </c>
      <c r="B25" s="290">
        <v>2839543</v>
      </c>
      <c r="C25" s="290">
        <v>2596721</v>
      </c>
      <c r="D25" s="290">
        <v>1087643</v>
      </c>
      <c r="E25" s="290">
        <v>109128</v>
      </c>
      <c r="F25" s="290" t="s">
        <v>986</v>
      </c>
      <c r="G25" s="290" t="s">
        <v>986</v>
      </c>
      <c r="H25" s="290" t="s">
        <v>986</v>
      </c>
      <c r="I25" s="290" t="s">
        <v>986</v>
      </c>
      <c r="J25" s="290">
        <v>6954</v>
      </c>
      <c r="K25" s="290" t="s">
        <v>986</v>
      </c>
      <c r="L25" s="290" t="s">
        <v>986</v>
      </c>
      <c r="M25" s="290" t="s">
        <v>986</v>
      </c>
      <c r="N25" s="290" t="s">
        <v>986</v>
      </c>
      <c r="O25" s="290" t="s">
        <v>986</v>
      </c>
      <c r="P25" s="290" t="s">
        <v>986</v>
      </c>
      <c r="Q25" s="290" t="s">
        <v>986</v>
      </c>
      <c r="R25" s="290">
        <v>73304</v>
      </c>
      <c r="S25" s="290">
        <v>237132</v>
      </c>
      <c r="T25" s="290">
        <v>405204</v>
      </c>
      <c r="U25" s="290">
        <v>396280</v>
      </c>
      <c r="V25" s="290" t="s">
        <v>986</v>
      </c>
      <c r="W25" s="295" t="s">
        <v>89</v>
      </c>
    </row>
    <row r="26" spans="1:23" s="290" customFormat="1" ht="9.75" customHeight="1" x14ac:dyDescent="0.15">
      <c r="A26" s="559" t="s">
        <v>645</v>
      </c>
      <c r="B26" s="290">
        <v>2550039</v>
      </c>
      <c r="C26" s="290">
        <v>2304680</v>
      </c>
      <c r="D26" s="290">
        <v>680446</v>
      </c>
      <c r="E26" s="290" t="s">
        <v>986</v>
      </c>
      <c r="F26" s="290" t="s">
        <v>986</v>
      </c>
      <c r="G26" s="290" t="s">
        <v>986</v>
      </c>
      <c r="H26" s="290">
        <v>46498</v>
      </c>
      <c r="I26" s="290" t="s">
        <v>986</v>
      </c>
      <c r="J26" s="290" t="s">
        <v>986</v>
      </c>
      <c r="K26" s="290" t="s">
        <v>986</v>
      </c>
      <c r="L26" s="290" t="s">
        <v>986</v>
      </c>
      <c r="M26" s="290" t="s">
        <v>986</v>
      </c>
      <c r="N26" s="290" t="s">
        <v>986</v>
      </c>
      <c r="O26" s="290" t="s">
        <v>986</v>
      </c>
      <c r="P26" s="290" t="s">
        <v>986</v>
      </c>
      <c r="Q26" s="290" t="s">
        <v>986</v>
      </c>
      <c r="R26" s="290">
        <v>56195</v>
      </c>
      <c r="S26" s="290">
        <v>103600</v>
      </c>
      <c r="T26" s="290">
        <v>275254</v>
      </c>
      <c r="U26" s="290">
        <v>468719</v>
      </c>
      <c r="V26" s="290" t="s">
        <v>986</v>
      </c>
      <c r="W26" s="295" t="s">
        <v>90</v>
      </c>
    </row>
    <row r="27" spans="1:23" s="290" customFormat="1" ht="9.75" customHeight="1" x14ac:dyDescent="0.15">
      <c r="A27" s="559" t="s">
        <v>646</v>
      </c>
      <c r="B27" s="290">
        <v>3018110</v>
      </c>
      <c r="C27" s="290">
        <v>2703777</v>
      </c>
      <c r="D27" s="290">
        <v>543270</v>
      </c>
      <c r="E27" s="290" t="s">
        <v>986</v>
      </c>
      <c r="F27" s="290">
        <v>35881</v>
      </c>
      <c r="G27" s="290" t="s">
        <v>986</v>
      </c>
      <c r="H27" s="290">
        <v>52917</v>
      </c>
      <c r="I27" s="290">
        <v>53746</v>
      </c>
      <c r="J27" s="290">
        <v>43176</v>
      </c>
      <c r="K27" s="290" t="s">
        <v>986</v>
      </c>
      <c r="L27" s="290" t="s">
        <v>986</v>
      </c>
      <c r="M27" s="290" t="s">
        <v>986</v>
      </c>
      <c r="N27" s="290" t="s">
        <v>986</v>
      </c>
      <c r="O27" s="290" t="s">
        <v>986</v>
      </c>
      <c r="P27" s="290" t="s">
        <v>986</v>
      </c>
      <c r="Q27" s="290" t="s">
        <v>986</v>
      </c>
      <c r="R27" s="290">
        <v>121548</v>
      </c>
      <c r="S27" s="290">
        <v>146920</v>
      </c>
      <c r="T27" s="290">
        <v>339054</v>
      </c>
      <c r="U27" s="290">
        <v>695533</v>
      </c>
      <c r="V27" s="290" t="s">
        <v>986</v>
      </c>
      <c r="W27" s="295" t="s">
        <v>91</v>
      </c>
    </row>
    <row r="28" spans="1:23" s="290" customFormat="1" ht="9.75" customHeight="1" x14ac:dyDescent="0.15">
      <c r="A28" s="559" t="s">
        <v>647</v>
      </c>
      <c r="B28" s="290">
        <v>2543243</v>
      </c>
      <c r="C28" s="290">
        <v>2308611</v>
      </c>
      <c r="D28" s="290">
        <v>755473</v>
      </c>
      <c r="E28" s="290">
        <v>71462</v>
      </c>
      <c r="F28" s="290" t="s">
        <v>986</v>
      </c>
      <c r="G28" s="290" t="s">
        <v>986</v>
      </c>
      <c r="H28" s="290">
        <v>32941</v>
      </c>
      <c r="I28" s="290" t="s">
        <v>986</v>
      </c>
      <c r="J28" s="290" t="s">
        <v>986</v>
      </c>
      <c r="K28" s="290" t="s">
        <v>986</v>
      </c>
      <c r="L28" s="290" t="s">
        <v>986</v>
      </c>
      <c r="M28" s="290" t="s">
        <v>986</v>
      </c>
      <c r="N28" s="290">
        <v>113885</v>
      </c>
      <c r="O28" s="290" t="s">
        <v>986</v>
      </c>
      <c r="P28" s="290" t="s">
        <v>986</v>
      </c>
      <c r="Q28" s="290" t="s">
        <v>986</v>
      </c>
      <c r="R28" s="290" t="s">
        <v>986</v>
      </c>
      <c r="S28" s="290">
        <v>111315</v>
      </c>
      <c r="T28" s="290">
        <v>266463</v>
      </c>
      <c r="U28" s="290">
        <v>279770</v>
      </c>
      <c r="V28" s="290" t="s">
        <v>986</v>
      </c>
      <c r="W28" s="295" t="s">
        <v>92</v>
      </c>
    </row>
    <row r="29" spans="1:23" s="290" customFormat="1" ht="9.75" customHeight="1" x14ac:dyDescent="0.15">
      <c r="A29" s="559" t="s">
        <v>648</v>
      </c>
      <c r="B29" s="290">
        <v>2879463</v>
      </c>
      <c r="C29" s="290">
        <v>2495203</v>
      </c>
      <c r="D29" s="290">
        <v>749971</v>
      </c>
      <c r="E29" s="290">
        <v>121262</v>
      </c>
      <c r="F29" s="290" t="s">
        <v>986</v>
      </c>
      <c r="G29" s="290" t="s">
        <v>986</v>
      </c>
      <c r="H29" s="290">
        <v>11119</v>
      </c>
      <c r="I29" s="290">
        <v>30920</v>
      </c>
      <c r="J29" s="290" t="s">
        <v>986</v>
      </c>
      <c r="K29" s="290" t="s">
        <v>986</v>
      </c>
      <c r="L29" s="290" t="s">
        <v>986</v>
      </c>
      <c r="M29" s="290" t="s">
        <v>986</v>
      </c>
      <c r="N29" s="290" t="s">
        <v>986</v>
      </c>
      <c r="O29" s="290" t="s">
        <v>986</v>
      </c>
      <c r="P29" s="290" t="s">
        <v>986</v>
      </c>
      <c r="Q29" s="290" t="s">
        <v>986</v>
      </c>
      <c r="R29" s="290">
        <v>68596</v>
      </c>
      <c r="S29" s="290">
        <v>234006</v>
      </c>
      <c r="T29" s="290">
        <v>291292</v>
      </c>
      <c r="U29" s="290">
        <v>339981</v>
      </c>
      <c r="V29" s="290" t="s">
        <v>986</v>
      </c>
      <c r="W29" s="295" t="s">
        <v>76</v>
      </c>
    </row>
    <row r="30" spans="1:23" s="290" customFormat="1" ht="9.75" customHeight="1" x14ac:dyDescent="0.15">
      <c r="A30" s="559" t="s">
        <v>649</v>
      </c>
      <c r="B30" s="290">
        <v>2592200</v>
      </c>
      <c r="C30" s="290">
        <v>2362841</v>
      </c>
      <c r="D30" s="290">
        <v>678637</v>
      </c>
      <c r="E30" s="290">
        <v>13648</v>
      </c>
      <c r="F30" s="290" t="s">
        <v>986</v>
      </c>
      <c r="G30" s="290" t="s">
        <v>986</v>
      </c>
      <c r="H30" s="290" t="s">
        <v>986</v>
      </c>
      <c r="I30" s="290">
        <v>34017</v>
      </c>
      <c r="J30" s="290">
        <v>5034</v>
      </c>
      <c r="K30" s="290" t="s">
        <v>986</v>
      </c>
      <c r="L30" s="290" t="s">
        <v>986</v>
      </c>
      <c r="M30" s="290" t="s">
        <v>986</v>
      </c>
      <c r="N30" s="290" t="s">
        <v>986</v>
      </c>
      <c r="O30" s="290" t="s">
        <v>986</v>
      </c>
      <c r="P30" s="290" t="s">
        <v>986</v>
      </c>
      <c r="Q30" s="290" t="s">
        <v>986</v>
      </c>
      <c r="R30" s="290">
        <v>36949</v>
      </c>
      <c r="S30" s="290" t="s">
        <v>986</v>
      </c>
      <c r="T30" s="290">
        <v>430709</v>
      </c>
      <c r="U30" s="290">
        <v>458674</v>
      </c>
      <c r="V30" s="290">
        <v>84663</v>
      </c>
      <c r="W30" s="295" t="s">
        <v>77</v>
      </c>
    </row>
    <row r="31" spans="1:23" s="290" customFormat="1" ht="9.75" customHeight="1" x14ac:dyDescent="0.15">
      <c r="A31" s="559" t="s">
        <v>650</v>
      </c>
      <c r="B31" s="290">
        <v>2997396</v>
      </c>
      <c r="C31" s="290">
        <v>2769083</v>
      </c>
      <c r="D31" s="290">
        <v>832155</v>
      </c>
      <c r="E31" s="290">
        <v>114599</v>
      </c>
      <c r="F31" s="290" t="s">
        <v>986</v>
      </c>
      <c r="G31" s="290" t="s">
        <v>986</v>
      </c>
      <c r="H31" s="290" t="s">
        <v>986</v>
      </c>
      <c r="I31" s="290">
        <v>43908</v>
      </c>
      <c r="J31" s="290">
        <v>28539</v>
      </c>
      <c r="K31" s="290" t="s">
        <v>986</v>
      </c>
      <c r="L31" s="290" t="s">
        <v>986</v>
      </c>
      <c r="M31" s="290" t="s">
        <v>986</v>
      </c>
      <c r="N31" s="290" t="s">
        <v>986</v>
      </c>
      <c r="O31" s="290" t="s">
        <v>986</v>
      </c>
      <c r="P31" s="290" t="s">
        <v>986</v>
      </c>
      <c r="Q31" s="290" t="s">
        <v>986</v>
      </c>
      <c r="R31" s="290">
        <v>145526</v>
      </c>
      <c r="S31" s="290">
        <v>33964</v>
      </c>
      <c r="T31" s="290">
        <v>308938</v>
      </c>
      <c r="U31" s="290">
        <v>486671</v>
      </c>
      <c r="V31" s="290">
        <v>39992</v>
      </c>
      <c r="W31" s="295" t="s">
        <v>78</v>
      </c>
    </row>
    <row r="32" spans="1:23" s="290" customFormat="1" ht="9.75" customHeight="1" x14ac:dyDescent="0.15">
      <c r="A32" s="559" t="s">
        <v>996</v>
      </c>
      <c r="B32" s="290">
        <v>2800691</v>
      </c>
      <c r="C32" s="290">
        <v>2573823</v>
      </c>
      <c r="D32" s="290">
        <v>871163</v>
      </c>
      <c r="E32" s="290">
        <v>77650</v>
      </c>
      <c r="F32" s="290" t="s">
        <v>986</v>
      </c>
      <c r="G32" s="290" t="s">
        <v>986</v>
      </c>
      <c r="H32" s="290" t="s">
        <v>986</v>
      </c>
      <c r="I32" s="290" t="s">
        <v>986</v>
      </c>
      <c r="J32" s="290">
        <v>31664</v>
      </c>
      <c r="K32" s="290" t="s">
        <v>986</v>
      </c>
      <c r="L32" s="290" t="s">
        <v>986</v>
      </c>
      <c r="M32" s="290" t="s">
        <v>986</v>
      </c>
      <c r="N32" s="290">
        <v>46292</v>
      </c>
      <c r="O32" s="290" t="s">
        <v>986</v>
      </c>
      <c r="P32" s="290" t="s">
        <v>986</v>
      </c>
      <c r="Q32" s="290" t="s">
        <v>986</v>
      </c>
      <c r="R32" s="290">
        <v>164938</v>
      </c>
      <c r="S32" s="290">
        <v>147867</v>
      </c>
      <c r="T32" s="290">
        <v>238862</v>
      </c>
      <c r="U32" s="290">
        <v>313694</v>
      </c>
      <c r="V32" s="290" t="s">
        <v>986</v>
      </c>
      <c r="W32" s="295" t="s">
        <v>997</v>
      </c>
    </row>
    <row r="33" spans="1:23" s="290" customFormat="1" ht="9.75" customHeight="1" x14ac:dyDescent="0.15">
      <c r="A33" s="559" t="s">
        <v>651</v>
      </c>
      <c r="B33" s="290">
        <v>2491346</v>
      </c>
      <c r="C33" s="290">
        <v>2225328</v>
      </c>
      <c r="D33" s="290">
        <v>607201</v>
      </c>
      <c r="E33" s="290">
        <v>42865</v>
      </c>
      <c r="F33" s="290" t="s">
        <v>986</v>
      </c>
      <c r="G33" s="290" t="s">
        <v>986</v>
      </c>
      <c r="H33" s="290" t="s">
        <v>986</v>
      </c>
      <c r="I33" s="290" t="s">
        <v>986</v>
      </c>
      <c r="J33" s="290" t="s">
        <v>986</v>
      </c>
      <c r="K33" s="290" t="s">
        <v>986</v>
      </c>
      <c r="L33" s="290" t="s">
        <v>986</v>
      </c>
      <c r="M33" s="290" t="s">
        <v>986</v>
      </c>
      <c r="N33" s="290" t="s">
        <v>986</v>
      </c>
      <c r="O33" s="290" t="s">
        <v>986</v>
      </c>
      <c r="P33" s="290" t="s">
        <v>986</v>
      </c>
      <c r="Q33" s="290" t="s">
        <v>986</v>
      </c>
      <c r="R33" s="290">
        <v>80750</v>
      </c>
      <c r="S33" s="290">
        <v>64915</v>
      </c>
      <c r="T33" s="290">
        <v>628251</v>
      </c>
      <c r="U33" s="290">
        <v>420954</v>
      </c>
      <c r="V33" s="290" t="s">
        <v>986</v>
      </c>
      <c r="W33" s="295" t="s">
        <v>73</v>
      </c>
    </row>
    <row r="34" spans="1:23" s="290" customFormat="1" ht="9.75" customHeight="1" x14ac:dyDescent="0.15">
      <c r="A34" s="560" t="s">
        <v>652</v>
      </c>
      <c r="B34" s="294">
        <v>2478654</v>
      </c>
      <c r="C34" s="293">
        <v>2350401</v>
      </c>
      <c r="D34" s="293">
        <v>664897</v>
      </c>
      <c r="E34" s="293">
        <v>44148</v>
      </c>
      <c r="F34" s="293" t="s">
        <v>986</v>
      </c>
      <c r="G34" s="293" t="s">
        <v>986</v>
      </c>
      <c r="H34" s="293">
        <v>26769</v>
      </c>
      <c r="I34" s="293" t="s">
        <v>986</v>
      </c>
      <c r="J34" s="293" t="s">
        <v>986</v>
      </c>
      <c r="K34" s="293" t="s">
        <v>986</v>
      </c>
      <c r="L34" s="293" t="s">
        <v>986</v>
      </c>
      <c r="M34" s="293" t="s">
        <v>986</v>
      </c>
      <c r="N34" s="293" t="s">
        <v>986</v>
      </c>
      <c r="O34" s="293" t="s">
        <v>986</v>
      </c>
      <c r="P34" s="293" t="s">
        <v>986</v>
      </c>
      <c r="Q34" s="293" t="s">
        <v>986</v>
      </c>
      <c r="R34" s="293" t="s">
        <v>986</v>
      </c>
      <c r="S34" s="293">
        <v>112169</v>
      </c>
      <c r="T34" s="293">
        <v>570438</v>
      </c>
      <c r="U34" s="293">
        <v>307321</v>
      </c>
      <c r="V34" s="293" t="s">
        <v>986</v>
      </c>
      <c r="W34" s="291" t="s">
        <v>74</v>
      </c>
    </row>
    <row r="35" spans="1:23" ht="12" customHeight="1" x14ac:dyDescent="0.15"/>
    <row r="36" spans="1:23" ht="12" customHeight="1" x14ac:dyDescent="0.15"/>
    <row r="37" spans="1:23" ht="12" customHeight="1" x14ac:dyDescent="0.15">
      <c r="K37" s="299" t="s">
        <v>93</v>
      </c>
    </row>
    <row r="38" spans="1:23" s="297" customFormat="1" ht="21" customHeight="1" x14ac:dyDescent="0.15">
      <c r="A38" s="1053" t="s">
        <v>172</v>
      </c>
      <c r="B38" s="832" t="s">
        <v>309</v>
      </c>
      <c r="C38" s="827"/>
      <c r="D38" s="827"/>
      <c r="E38" s="827"/>
      <c r="F38" s="827"/>
      <c r="G38" s="827"/>
      <c r="H38" s="827"/>
      <c r="I38" s="827"/>
      <c r="J38" s="827"/>
      <c r="K38" s="827"/>
      <c r="L38" s="827"/>
      <c r="M38" s="827"/>
      <c r="N38" s="827"/>
      <c r="O38" s="827"/>
      <c r="P38" s="827"/>
      <c r="Q38" s="827"/>
      <c r="R38" s="827"/>
      <c r="S38" s="827"/>
      <c r="T38" s="827"/>
      <c r="U38" s="827"/>
      <c r="V38" s="827"/>
      <c r="W38" s="1056" t="s">
        <v>79</v>
      </c>
    </row>
    <row r="39" spans="1:23" s="297" customFormat="1" ht="21" customHeight="1" x14ac:dyDescent="0.15">
      <c r="A39" s="1054"/>
      <c r="B39" s="833" t="s">
        <v>260</v>
      </c>
      <c r="C39" s="826" t="s">
        <v>259</v>
      </c>
      <c r="D39" s="827"/>
      <c r="E39" s="827"/>
      <c r="F39" s="827"/>
      <c r="G39" s="827"/>
      <c r="H39" s="827"/>
      <c r="I39" s="827"/>
      <c r="J39" s="827"/>
      <c r="K39" s="827"/>
      <c r="L39" s="827"/>
      <c r="M39" s="827"/>
      <c r="N39" s="827"/>
      <c r="O39" s="834"/>
      <c r="P39" s="826" t="s">
        <v>258</v>
      </c>
      <c r="Q39" s="827"/>
      <c r="R39" s="834"/>
      <c r="S39" s="826" t="s">
        <v>257</v>
      </c>
      <c r="T39" s="834"/>
      <c r="U39" s="826" t="s">
        <v>242</v>
      </c>
      <c r="V39" s="827"/>
      <c r="W39" s="1057"/>
    </row>
    <row r="40" spans="1:23" s="297" customFormat="1" ht="52.5" customHeight="1" x14ac:dyDescent="0.15">
      <c r="A40" s="1055"/>
      <c r="B40" s="301" t="s">
        <v>853</v>
      </c>
      <c r="C40" s="696" t="s">
        <v>101</v>
      </c>
      <c r="D40" s="298" t="s">
        <v>249</v>
      </c>
      <c r="E40" s="298" t="s">
        <v>299</v>
      </c>
      <c r="F40" s="301" t="s">
        <v>854</v>
      </c>
      <c r="G40" s="298" t="s">
        <v>248</v>
      </c>
      <c r="H40" s="298" t="s">
        <v>246</v>
      </c>
      <c r="I40" s="298" t="s">
        <v>280</v>
      </c>
      <c r="J40" s="298" t="s">
        <v>691</v>
      </c>
      <c r="K40" s="298" t="s">
        <v>304</v>
      </c>
      <c r="L40" s="298" t="s">
        <v>245</v>
      </c>
      <c r="M40" s="298" t="s">
        <v>298</v>
      </c>
      <c r="N40" s="298" t="s">
        <v>607</v>
      </c>
      <c r="O40" s="298" t="s">
        <v>608</v>
      </c>
      <c r="P40" s="696" t="s">
        <v>855</v>
      </c>
      <c r="Q40" s="298" t="s">
        <v>244</v>
      </c>
      <c r="R40" s="298" t="s">
        <v>297</v>
      </c>
      <c r="S40" s="696" t="s">
        <v>856</v>
      </c>
      <c r="T40" s="298" t="s">
        <v>243</v>
      </c>
      <c r="U40" s="696" t="s">
        <v>857</v>
      </c>
      <c r="V40" s="300" t="s">
        <v>239</v>
      </c>
      <c r="W40" s="1058"/>
    </row>
    <row r="41" spans="1:23" s="290" customFormat="1" ht="9.75" customHeight="1" x14ac:dyDescent="0.15">
      <c r="A41" s="828" t="s">
        <v>985</v>
      </c>
      <c r="B41" s="829">
        <v>5266192</v>
      </c>
      <c r="C41" s="830">
        <v>2301112</v>
      </c>
      <c r="D41" s="830">
        <v>421693</v>
      </c>
      <c r="E41" s="830" t="s">
        <v>986</v>
      </c>
      <c r="F41" s="830" t="s">
        <v>986</v>
      </c>
      <c r="G41" s="830" t="s">
        <v>986</v>
      </c>
      <c r="H41" s="830">
        <v>290240</v>
      </c>
      <c r="I41" s="830" t="s">
        <v>986</v>
      </c>
      <c r="J41" s="830" t="s">
        <v>986</v>
      </c>
      <c r="K41" s="830">
        <v>31</v>
      </c>
      <c r="L41" s="830">
        <v>1506894</v>
      </c>
      <c r="M41" s="830">
        <v>82254</v>
      </c>
      <c r="N41" s="830" t="s">
        <v>986</v>
      </c>
      <c r="O41" s="830" t="s">
        <v>986</v>
      </c>
      <c r="P41" s="830">
        <v>1804378</v>
      </c>
      <c r="Q41" s="830">
        <v>1504576</v>
      </c>
      <c r="R41" s="830">
        <v>299802</v>
      </c>
      <c r="S41" s="830">
        <v>506857</v>
      </c>
      <c r="T41" s="830">
        <v>506857</v>
      </c>
      <c r="U41" s="830">
        <v>505917</v>
      </c>
      <c r="V41" s="830">
        <v>345615</v>
      </c>
      <c r="W41" s="831" t="s">
        <v>485</v>
      </c>
    </row>
    <row r="42" spans="1:23" s="290" customFormat="1" ht="9.75" customHeight="1" x14ac:dyDescent="0.15">
      <c r="A42" s="559" t="s">
        <v>634</v>
      </c>
      <c r="B42" s="290">
        <v>4624661</v>
      </c>
      <c r="C42" s="290">
        <v>2013760</v>
      </c>
      <c r="D42" s="290">
        <v>332435</v>
      </c>
      <c r="E42" s="290" t="s">
        <v>986</v>
      </c>
      <c r="F42" s="290" t="s">
        <v>986</v>
      </c>
      <c r="G42" s="290">
        <v>2</v>
      </c>
      <c r="H42" s="290">
        <v>153215</v>
      </c>
      <c r="I42" s="290" t="s">
        <v>986</v>
      </c>
      <c r="J42" s="290" t="s">
        <v>986</v>
      </c>
      <c r="K42" s="290" t="s">
        <v>986</v>
      </c>
      <c r="L42" s="290">
        <v>1358524</v>
      </c>
      <c r="M42" s="290">
        <v>129163</v>
      </c>
      <c r="N42" s="290">
        <v>40421</v>
      </c>
      <c r="O42" s="290" t="s">
        <v>986</v>
      </c>
      <c r="P42" s="290">
        <v>2513447</v>
      </c>
      <c r="Q42" s="290">
        <v>2271347</v>
      </c>
      <c r="R42" s="290">
        <v>242100</v>
      </c>
      <c r="S42" s="290">
        <v>1027905</v>
      </c>
      <c r="T42" s="290">
        <v>1027905</v>
      </c>
      <c r="U42" s="290">
        <v>1180307</v>
      </c>
      <c r="V42" s="290">
        <v>500734</v>
      </c>
      <c r="W42" s="295" t="s">
        <v>588</v>
      </c>
    </row>
    <row r="43" spans="1:23" s="290" customFormat="1" ht="9.75" customHeight="1" x14ac:dyDescent="0.15">
      <c r="A43" s="559" t="s">
        <v>635</v>
      </c>
      <c r="B43" s="290">
        <v>5804822</v>
      </c>
      <c r="C43" s="290">
        <v>2006490</v>
      </c>
      <c r="D43" s="290">
        <v>100565</v>
      </c>
      <c r="E43" s="290" t="s">
        <v>986</v>
      </c>
      <c r="F43" s="290">
        <v>4787</v>
      </c>
      <c r="G43" s="290" t="s">
        <v>986</v>
      </c>
      <c r="H43" s="290">
        <v>853387</v>
      </c>
      <c r="I43" s="290">
        <v>34699</v>
      </c>
      <c r="J43" s="290">
        <v>45340</v>
      </c>
      <c r="K43" s="290" t="s">
        <v>986</v>
      </c>
      <c r="L43" s="290">
        <v>868769</v>
      </c>
      <c r="M43" s="290" t="s">
        <v>986</v>
      </c>
      <c r="N43" s="290" t="s">
        <v>986</v>
      </c>
      <c r="O43" s="290">
        <v>98943</v>
      </c>
      <c r="P43" s="290">
        <v>2584037</v>
      </c>
      <c r="Q43" s="290">
        <v>2584037</v>
      </c>
      <c r="R43" s="290" t="s">
        <v>986</v>
      </c>
      <c r="S43" s="290">
        <v>1257626</v>
      </c>
      <c r="T43" s="290">
        <v>1257626</v>
      </c>
      <c r="U43" s="290">
        <v>969199</v>
      </c>
      <c r="V43" s="290">
        <v>680446</v>
      </c>
      <c r="W43" s="295" t="s">
        <v>636</v>
      </c>
    </row>
    <row r="44" spans="1:23" s="290" customFormat="1" ht="9.75" customHeight="1" x14ac:dyDescent="0.15">
      <c r="A44" s="559" t="s">
        <v>774</v>
      </c>
      <c r="B44" s="290">
        <v>6490575</v>
      </c>
      <c r="C44" s="290">
        <v>1252125</v>
      </c>
      <c r="D44" s="290">
        <v>43547</v>
      </c>
      <c r="E44" s="290">
        <v>80648</v>
      </c>
      <c r="F44" s="290">
        <v>114982</v>
      </c>
      <c r="G44" s="290">
        <v>51372</v>
      </c>
      <c r="H44" s="290">
        <v>535178</v>
      </c>
      <c r="I44" s="290">
        <v>151378</v>
      </c>
      <c r="J44" s="290" t="s">
        <v>986</v>
      </c>
      <c r="K44" s="290" t="s">
        <v>986</v>
      </c>
      <c r="L44" s="290">
        <v>184554</v>
      </c>
      <c r="M44" s="290">
        <v>90466</v>
      </c>
      <c r="N44" s="290" t="s">
        <v>986</v>
      </c>
      <c r="O44" s="290" t="s">
        <v>986</v>
      </c>
      <c r="P44" s="290">
        <v>1284444</v>
      </c>
      <c r="Q44" s="290">
        <v>1284444</v>
      </c>
      <c r="R44" s="290" t="s">
        <v>986</v>
      </c>
      <c r="S44" s="290">
        <v>1279585</v>
      </c>
      <c r="T44" s="290">
        <v>1279585</v>
      </c>
      <c r="U44" s="290">
        <v>986716</v>
      </c>
      <c r="V44" s="290">
        <v>844447</v>
      </c>
      <c r="W44" s="295" t="s">
        <v>775</v>
      </c>
    </row>
    <row r="45" spans="1:23" s="290" customFormat="1" ht="9.75" customHeight="1" x14ac:dyDescent="0.15">
      <c r="A45" s="559" t="s">
        <v>987</v>
      </c>
      <c r="B45" s="290">
        <v>7013758</v>
      </c>
      <c r="C45" s="290">
        <v>666500</v>
      </c>
      <c r="D45" s="290" t="s">
        <v>986</v>
      </c>
      <c r="E45" s="290" t="s">
        <v>986</v>
      </c>
      <c r="F45" s="290">
        <v>1705</v>
      </c>
      <c r="G45" s="290" t="s">
        <v>986</v>
      </c>
      <c r="H45" s="290">
        <v>236635</v>
      </c>
      <c r="I45" s="290">
        <v>428160</v>
      </c>
      <c r="J45" s="290" t="s">
        <v>986</v>
      </c>
      <c r="K45" s="290" t="s">
        <v>986</v>
      </c>
      <c r="L45" s="290" t="s">
        <v>986</v>
      </c>
      <c r="M45" s="290" t="s">
        <v>986</v>
      </c>
      <c r="N45" s="290" t="s">
        <v>986</v>
      </c>
      <c r="O45" s="290" t="s">
        <v>986</v>
      </c>
      <c r="P45" s="290">
        <v>913906</v>
      </c>
      <c r="Q45" s="290">
        <v>913906</v>
      </c>
      <c r="R45" s="290" t="s">
        <v>986</v>
      </c>
      <c r="S45" s="290">
        <v>528176</v>
      </c>
      <c r="T45" s="290">
        <v>528176</v>
      </c>
      <c r="U45" s="290">
        <v>897906</v>
      </c>
      <c r="V45" s="290">
        <v>897906</v>
      </c>
      <c r="W45" s="295" t="s">
        <v>988</v>
      </c>
    </row>
    <row r="46" spans="1:23" s="290" customFormat="1" ht="6.75" customHeight="1" x14ac:dyDescent="0.15">
      <c r="A46" s="578"/>
      <c r="W46" s="295"/>
    </row>
    <row r="47" spans="1:23" s="290" customFormat="1" ht="9.75" customHeight="1" x14ac:dyDescent="0.15">
      <c r="A47" s="559" t="s">
        <v>989</v>
      </c>
      <c r="B47" s="290">
        <v>6518138</v>
      </c>
      <c r="C47" s="290">
        <v>743738</v>
      </c>
      <c r="D47" s="290" t="s">
        <v>986</v>
      </c>
      <c r="E47" s="290" t="s">
        <v>986</v>
      </c>
      <c r="F47" s="290">
        <v>252</v>
      </c>
      <c r="G47" s="290">
        <v>51372</v>
      </c>
      <c r="H47" s="290">
        <v>455937</v>
      </c>
      <c r="I47" s="290">
        <v>151378</v>
      </c>
      <c r="J47" s="290" t="s">
        <v>986</v>
      </c>
      <c r="K47" s="290" t="s">
        <v>986</v>
      </c>
      <c r="L47" s="290">
        <v>84799</v>
      </c>
      <c r="M47" s="290" t="s">
        <v>986</v>
      </c>
      <c r="N47" s="290" t="s">
        <v>986</v>
      </c>
      <c r="O47" s="290" t="s">
        <v>986</v>
      </c>
      <c r="P47" s="290">
        <v>861533</v>
      </c>
      <c r="Q47" s="290">
        <v>861533</v>
      </c>
      <c r="R47" s="290" t="s">
        <v>986</v>
      </c>
      <c r="S47" s="290">
        <v>1117357</v>
      </c>
      <c r="T47" s="290">
        <v>1117357</v>
      </c>
      <c r="U47" s="290">
        <v>1199057</v>
      </c>
      <c r="V47" s="290">
        <v>1153233</v>
      </c>
      <c r="W47" s="295" t="s">
        <v>776</v>
      </c>
    </row>
    <row r="48" spans="1:23" s="290" customFormat="1" ht="9.75" customHeight="1" x14ac:dyDescent="0.15">
      <c r="A48" s="559" t="s">
        <v>990</v>
      </c>
      <c r="B48" s="290">
        <v>7187908</v>
      </c>
      <c r="C48" s="290">
        <v>591837</v>
      </c>
      <c r="D48" s="290" t="s">
        <v>986</v>
      </c>
      <c r="E48" s="290" t="s">
        <v>986</v>
      </c>
      <c r="F48" s="290">
        <v>1681</v>
      </c>
      <c r="G48" s="290" t="s">
        <v>986</v>
      </c>
      <c r="H48" s="290">
        <v>161996</v>
      </c>
      <c r="I48" s="290">
        <v>428160</v>
      </c>
      <c r="J48" s="290" t="s">
        <v>986</v>
      </c>
      <c r="K48" s="290" t="s">
        <v>986</v>
      </c>
      <c r="L48" s="290" t="s">
        <v>986</v>
      </c>
      <c r="M48" s="290" t="s">
        <v>986</v>
      </c>
      <c r="N48" s="290" t="s">
        <v>986</v>
      </c>
      <c r="O48" s="290" t="s">
        <v>986</v>
      </c>
      <c r="P48" s="290">
        <v>1077948</v>
      </c>
      <c r="Q48" s="290">
        <v>1077948</v>
      </c>
      <c r="R48" s="290" t="s">
        <v>986</v>
      </c>
      <c r="S48" s="290">
        <v>573880</v>
      </c>
      <c r="T48" s="290">
        <v>573880</v>
      </c>
      <c r="U48" s="290">
        <v>626338</v>
      </c>
      <c r="V48" s="290">
        <v>626338</v>
      </c>
      <c r="W48" s="295" t="s">
        <v>991</v>
      </c>
    </row>
    <row r="49" spans="1:23" s="290" customFormat="1" ht="6.75" customHeight="1" x14ac:dyDescent="0.15">
      <c r="A49" s="578"/>
      <c r="W49" s="295"/>
    </row>
    <row r="50" spans="1:23" s="290" customFormat="1" ht="9.75" customHeight="1" x14ac:dyDescent="0.15">
      <c r="A50" s="559" t="s">
        <v>992</v>
      </c>
      <c r="B50" s="290">
        <v>1512594</v>
      </c>
      <c r="C50" s="290">
        <v>74663</v>
      </c>
      <c r="D50" s="290" t="s">
        <v>986</v>
      </c>
      <c r="E50" s="290" t="s">
        <v>986</v>
      </c>
      <c r="F50" s="290">
        <v>24</v>
      </c>
      <c r="G50" s="290" t="s">
        <v>986</v>
      </c>
      <c r="H50" s="290">
        <v>74639</v>
      </c>
      <c r="I50" s="290" t="s">
        <v>986</v>
      </c>
      <c r="J50" s="290" t="s">
        <v>986</v>
      </c>
      <c r="K50" s="290" t="s">
        <v>986</v>
      </c>
      <c r="L50" s="290" t="s">
        <v>986</v>
      </c>
      <c r="M50" s="290" t="s">
        <v>986</v>
      </c>
      <c r="N50" s="290" t="s">
        <v>986</v>
      </c>
      <c r="O50" s="290" t="s">
        <v>986</v>
      </c>
      <c r="P50" s="290">
        <v>124222</v>
      </c>
      <c r="Q50" s="290">
        <v>124222</v>
      </c>
      <c r="R50" s="290" t="s">
        <v>986</v>
      </c>
      <c r="S50" s="290">
        <v>199764</v>
      </c>
      <c r="T50" s="290">
        <v>199764</v>
      </c>
      <c r="U50" s="290">
        <v>308786</v>
      </c>
      <c r="V50" s="290">
        <v>308786</v>
      </c>
      <c r="W50" s="295" t="s">
        <v>777</v>
      </c>
    </row>
    <row r="51" spans="1:23" s="290" customFormat="1" ht="9.75" customHeight="1" x14ac:dyDescent="0.15">
      <c r="A51" s="559" t="s">
        <v>637</v>
      </c>
      <c r="B51" s="290">
        <v>1474805</v>
      </c>
      <c r="C51" s="290">
        <v>141422</v>
      </c>
      <c r="D51" s="290" t="s">
        <v>986</v>
      </c>
      <c r="E51" s="290" t="s">
        <v>986</v>
      </c>
      <c r="F51" s="290">
        <v>24</v>
      </c>
      <c r="G51" s="290" t="s">
        <v>986</v>
      </c>
      <c r="H51" s="290" t="s">
        <v>986</v>
      </c>
      <c r="I51" s="290">
        <v>141398</v>
      </c>
      <c r="J51" s="290" t="s">
        <v>986</v>
      </c>
      <c r="K51" s="290" t="s">
        <v>986</v>
      </c>
      <c r="L51" s="290" t="s">
        <v>986</v>
      </c>
      <c r="M51" s="290" t="s">
        <v>986</v>
      </c>
      <c r="N51" s="290" t="s">
        <v>986</v>
      </c>
      <c r="O51" s="290" t="s">
        <v>986</v>
      </c>
      <c r="P51" s="290">
        <v>224573</v>
      </c>
      <c r="Q51" s="290">
        <v>224573</v>
      </c>
      <c r="R51" s="290" t="s">
        <v>986</v>
      </c>
      <c r="S51" s="290">
        <v>62720</v>
      </c>
      <c r="T51" s="290">
        <v>62720</v>
      </c>
      <c r="U51" s="290">
        <v>508460</v>
      </c>
      <c r="V51" s="290">
        <v>508460</v>
      </c>
      <c r="W51" s="295" t="s">
        <v>85</v>
      </c>
    </row>
    <row r="52" spans="1:23" s="290" customFormat="1" ht="9.75" customHeight="1" x14ac:dyDescent="0.15">
      <c r="A52" s="559" t="s">
        <v>638</v>
      </c>
      <c r="B52" s="290">
        <v>2023002</v>
      </c>
      <c r="C52" s="290">
        <v>228185</v>
      </c>
      <c r="D52" s="290" t="s">
        <v>986</v>
      </c>
      <c r="E52" s="290" t="s">
        <v>986</v>
      </c>
      <c r="F52" s="290">
        <v>1657</v>
      </c>
      <c r="G52" s="290" t="s">
        <v>986</v>
      </c>
      <c r="H52" s="290">
        <v>83564</v>
      </c>
      <c r="I52" s="290">
        <v>142964</v>
      </c>
      <c r="J52" s="290" t="s">
        <v>986</v>
      </c>
      <c r="K52" s="290" t="s">
        <v>986</v>
      </c>
      <c r="L52" s="290" t="s">
        <v>986</v>
      </c>
      <c r="M52" s="290" t="s">
        <v>986</v>
      </c>
      <c r="N52" s="290" t="s">
        <v>986</v>
      </c>
      <c r="O52" s="290" t="s">
        <v>986</v>
      </c>
      <c r="P52" s="290">
        <v>271516</v>
      </c>
      <c r="Q52" s="290">
        <v>271516</v>
      </c>
      <c r="R52" s="290" t="s">
        <v>986</v>
      </c>
      <c r="S52" s="290">
        <v>114776</v>
      </c>
      <c r="T52" s="290">
        <v>114776</v>
      </c>
      <c r="U52" s="290">
        <v>80660</v>
      </c>
      <c r="V52" s="290">
        <v>80660</v>
      </c>
      <c r="W52" s="295" t="s">
        <v>86</v>
      </c>
    </row>
    <row r="53" spans="1:23" s="290" customFormat="1" ht="9.75" customHeight="1" x14ac:dyDescent="0.15">
      <c r="A53" s="559" t="s">
        <v>639</v>
      </c>
      <c r="B53" s="290">
        <v>2003357</v>
      </c>
      <c r="C53" s="290">
        <v>222230</v>
      </c>
      <c r="D53" s="290" t="s">
        <v>986</v>
      </c>
      <c r="E53" s="290" t="s">
        <v>986</v>
      </c>
      <c r="F53" s="290" t="s">
        <v>986</v>
      </c>
      <c r="G53" s="290" t="s">
        <v>986</v>
      </c>
      <c r="H53" s="290">
        <v>78432</v>
      </c>
      <c r="I53" s="290">
        <v>143798</v>
      </c>
      <c r="J53" s="290" t="s">
        <v>986</v>
      </c>
      <c r="K53" s="290" t="s">
        <v>986</v>
      </c>
      <c r="L53" s="290" t="s">
        <v>986</v>
      </c>
      <c r="M53" s="290" t="s">
        <v>986</v>
      </c>
      <c r="N53" s="290" t="s">
        <v>986</v>
      </c>
      <c r="O53" s="290" t="s">
        <v>986</v>
      </c>
      <c r="P53" s="290">
        <v>293595</v>
      </c>
      <c r="Q53" s="290">
        <v>293595</v>
      </c>
      <c r="R53" s="290" t="s">
        <v>986</v>
      </c>
      <c r="S53" s="290">
        <v>150916</v>
      </c>
      <c r="T53" s="290">
        <v>150916</v>
      </c>
      <c r="U53" s="290" t="s">
        <v>986</v>
      </c>
      <c r="V53" s="290" t="s">
        <v>986</v>
      </c>
      <c r="W53" s="295" t="s">
        <v>87</v>
      </c>
    </row>
    <row r="54" spans="1:23" s="290" customFormat="1" ht="9.75" customHeight="1" x14ac:dyDescent="0.15">
      <c r="A54" s="559" t="s">
        <v>993</v>
      </c>
      <c r="B54" s="290">
        <v>1686744</v>
      </c>
      <c r="C54" s="290" t="s">
        <v>986</v>
      </c>
      <c r="D54" s="290" t="s">
        <v>986</v>
      </c>
      <c r="E54" s="290" t="s">
        <v>986</v>
      </c>
      <c r="F54" s="290" t="s">
        <v>986</v>
      </c>
      <c r="G54" s="290" t="s">
        <v>986</v>
      </c>
      <c r="H54" s="290" t="s">
        <v>986</v>
      </c>
      <c r="I54" s="290" t="s">
        <v>986</v>
      </c>
      <c r="J54" s="290" t="s">
        <v>986</v>
      </c>
      <c r="K54" s="290" t="s">
        <v>986</v>
      </c>
      <c r="L54" s="290" t="s">
        <v>986</v>
      </c>
      <c r="M54" s="290" t="s">
        <v>986</v>
      </c>
      <c r="N54" s="290" t="s">
        <v>986</v>
      </c>
      <c r="O54" s="290" t="s">
        <v>986</v>
      </c>
      <c r="P54" s="290">
        <v>288264</v>
      </c>
      <c r="Q54" s="290">
        <v>288264</v>
      </c>
      <c r="R54" s="290" t="s">
        <v>986</v>
      </c>
      <c r="S54" s="290">
        <v>245468</v>
      </c>
      <c r="T54" s="290">
        <v>245468</v>
      </c>
      <c r="U54" s="290">
        <v>37218</v>
      </c>
      <c r="V54" s="290">
        <v>37218</v>
      </c>
      <c r="W54" s="295" t="s">
        <v>994</v>
      </c>
    </row>
    <row r="55" spans="1:23" s="290" customFormat="1" ht="6.75" customHeight="1" x14ac:dyDescent="0.15">
      <c r="A55" s="578"/>
      <c r="W55" s="295"/>
    </row>
    <row r="56" spans="1:23" s="290" customFormat="1" ht="9.75" customHeight="1" x14ac:dyDescent="0.15">
      <c r="A56" s="559" t="s">
        <v>995</v>
      </c>
      <c r="B56" s="290">
        <v>711414</v>
      </c>
      <c r="C56" s="290">
        <v>74663</v>
      </c>
      <c r="D56" s="290" t="s">
        <v>986</v>
      </c>
      <c r="E56" s="290" t="s">
        <v>986</v>
      </c>
      <c r="F56" s="290">
        <v>24</v>
      </c>
      <c r="G56" s="290" t="s">
        <v>986</v>
      </c>
      <c r="H56" s="290">
        <v>74639</v>
      </c>
      <c r="I56" s="290" t="s">
        <v>986</v>
      </c>
      <c r="J56" s="290" t="s">
        <v>986</v>
      </c>
      <c r="K56" s="290" t="s">
        <v>986</v>
      </c>
      <c r="L56" s="290" t="s">
        <v>986</v>
      </c>
      <c r="M56" s="290" t="s">
        <v>986</v>
      </c>
      <c r="N56" s="290" t="s">
        <v>986</v>
      </c>
      <c r="O56" s="290" t="s">
        <v>986</v>
      </c>
      <c r="P56" s="290">
        <v>124222</v>
      </c>
      <c r="Q56" s="290">
        <v>124222</v>
      </c>
      <c r="R56" s="290" t="s">
        <v>986</v>
      </c>
      <c r="S56" s="290" t="s">
        <v>986</v>
      </c>
      <c r="T56" s="290" t="s">
        <v>986</v>
      </c>
      <c r="U56" s="290">
        <v>49577</v>
      </c>
      <c r="V56" s="290">
        <v>49577</v>
      </c>
      <c r="W56" s="295" t="s">
        <v>778</v>
      </c>
    </row>
    <row r="57" spans="1:23" s="290" customFormat="1" ht="9.75" customHeight="1" x14ac:dyDescent="0.15">
      <c r="A57" s="559" t="s">
        <v>640</v>
      </c>
      <c r="B57" s="290">
        <v>343798</v>
      </c>
      <c r="C57" s="290" t="s">
        <v>986</v>
      </c>
      <c r="D57" s="290" t="s">
        <v>986</v>
      </c>
      <c r="E57" s="290" t="s">
        <v>986</v>
      </c>
      <c r="F57" s="290" t="s">
        <v>986</v>
      </c>
      <c r="G57" s="290" t="s">
        <v>986</v>
      </c>
      <c r="H57" s="290" t="s">
        <v>986</v>
      </c>
      <c r="I57" s="290" t="s">
        <v>986</v>
      </c>
      <c r="J57" s="290" t="s">
        <v>986</v>
      </c>
      <c r="K57" s="290" t="s">
        <v>986</v>
      </c>
      <c r="L57" s="290" t="s">
        <v>986</v>
      </c>
      <c r="M57" s="290" t="s">
        <v>986</v>
      </c>
      <c r="N57" s="290" t="s">
        <v>986</v>
      </c>
      <c r="O57" s="290" t="s">
        <v>986</v>
      </c>
      <c r="P57" s="290" t="s">
        <v>986</v>
      </c>
      <c r="Q57" s="290" t="s">
        <v>986</v>
      </c>
      <c r="R57" s="290" t="s">
        <v>986</v>
      </c>
      <c r="S57" s="290">
        <v>102379</v>
      </c>
      <c r="T57" s="290">
        <v>102379</v>
      </c>
      <c r="U57" s="290">
        <v>172523</v>
      </c>
      <c r="V57" s="290">
        <v>172523</v>
      </c>
      <c r="W57" s="295" t="s">
        <v>73</v>
      </c>
    </row>
    <row r="58" spans="1:23" s="290" customFormat="1" ht="9.75" customHeight="1" x14ac:dyDescent="0.15">
      <c r="A58" s="559" t="s">
        <v>641</v>
      </c>
      <c r="B58" s="290">
        <v>457382</v>
      </c>
      <c r="C58" s="290" t="s">
        <v>986</v>
      </c>
      <c r="D58" s="290" t="s">
        <v>986</v>
      </c>
      <c r="E58" s="290" t="s">
        <v>986</v>
      </c>
      <c r="F58" s="290" t="s">
        <v>986</v>
      </c>
      <c r="G58" s="290" t="s">
        <v>986</v>
      </c>
      <c r="H58" s="290" t="s">
        <v>986</v>
      </c>
      <c r="I58" s="290" t="s">
        <v>986</v>
      </c>
      <c r="J58" s="290" t="s">
        <v>986</v>
      </c>
      <c r="K58" s="290" t="s">
        <v>986</v>
      </c>
      <c r="L58" s="290" t="s">
        <v>986</v>
      </c>
      <c r="M58" s="290" t="s">
        <v>986</v>
      </c>
      <c r="N58" s="290" t="s">
        <v>986</v>
      </c>
      <c r="O58" s="290" t="s">
        <v>986</v>
      </c>
      <c r="P58" s="290" t="s">
        <v>986</v>
      </c>
      <c r="Q58" s="290" t="s">
        <v>986</v>
      </c>
      <c r="R58" s="290" t="s">
        <v>986</v>
      </c>
      <c r="S58" s="290">
        <v>97385</v>
      </c>
      <c r="T58" s="290">
        <v>97385</v>
      </c>
      <c r="U58" s="290">
        <v>86686</v>
      </c>
      <c r="V58" s="290">
        <v>86686</v>
      </c>
      <c r="W58" s="295" t="s">
        <v>74</v>
      </c>
    </row>
    <row r="59" spans="1:23" s="290" customFormat="1" ht="9.75" customHeight="1" x14ac:dyDescent="0.15">
      <c r="A59" s="559" t="s">
        <v>642</v>
      </c>
      <c r="B59" s="290">
        <v>703502</v>
      </c>
      <c r="C59" s="290">
        <v>24</v>
      </c>
      <c r="D59" s="290" t="s">
        <v>986</v>
      </c>
      <c r="E59" s="290" t="s">
        <v>986</v>
      </c>
      <c r="F59" s="290">
        <v>24</v>
      </c>
      <c r="G59" s="290" t="s">
        <v>986</v>
      </c>
      <c r="H59" s="290" t="s">
        <v>986</v>
      </c>
      <c r="I59" s="290" t="s">
        <v>986</v>
      </c>
      <c r="J59" s="290" t="s">
        <v>986</v>
      </c>
      <c r="K59" s="290" t="s">
        <v>986</v>
      </c>
      <c r="L59" s="290" t="s">
        <v>986</v>
      </c>
      <c r="M59" s="290" t="s">
        <v>986</v>
      </c>
      <c r="N59" s="290" t="s">
        <v>986</v>
      </c>
      <c r="O59" s="290" t="s">
        <v>986</v>
      </c>
      <c r="P59" s="290">
        <v>79209</v>
      </c>
      <c r="Q59" s="290">
        <v>79209</v>
      </c>
      <c r="R59" s="290" t="s">
        <v>986</v>
      </c>
      <c r="S59" s="290">
        <v>48207</v>
      </c>
      <c r="T59" s="290">
        <v>48207</v>
      </c>
      <c r="U59" s="290">
        <v>348164</v>
      </c>
      <c r="V59" s="290">
        <v>348164</v>
      </c>
      <c r="W59" s="295" t="s">
        <v>75</v>
      </c>
    </row>
    <row r="60" spans="1:23" s="290" customFormat="1" ht="9.75" customHeight="1" x14ac:dyDescent="0.15">
      <c r="A60" s="559" t="s">
        <v>643</v>
      </c>
      <c r="B60" s="290">
        <v>490227</v>
      </c>
      <c r="C60" s="290">
        <v>70743</v>
      </c>
      <c r="D60" s="290" t="s">
        <v>986</v>
      </c>
      <c r="E60" s="290" t="s">
        <v>986</v>
      </c>
      <c r="F60" s="290" t="s">
        <v>986</v>
      </c>
      <c r="G60" s="290" t="s">
        <v>986</v>
      </c>
      <c r="H60" s="290" t="s">
        <v>986</v>
      </c>
      <c r="I60" s="290">
        <v>70743</v>
      </c>
      <c r="J60" s="290" t="s">
        <v>986</v>
      </c>
      <c r="K60" s="290" t="s">
        <v>986</v>
      </c>
      <c r="L60" s="290" t="s">
        <v>986</v>
      </c>
      <c r="M60" s="290" t="s">
        <v>986</v>
      </c>
      <c r="N60" s="290" t="s">
        <v>986</v>
      </c>
      <c r="O60" s="290" t="s">
        <v>986</v>
      </c>
      <c r="P60" s="290">
        <v>104221</v>
      </c>
      <c r="Q60" s="290">
        <v>104221</v>
      </c>
      <c r="R60" s="290" t="s">
        <v>986</v>
      </c>
      <c r="S60" s="290" t="s">
        <v>986</v>
      </c>
      <c r="T60" s="290" t="s">
        <v>986</v>
      </c>
      <c r="U60" s="290">
        <v>43785</v>
      </c>
      <c r="V60" s="290">
        <v>43785</v>
      </c>
      <c r="W60" s="295" t="s">
        <v>88</v>
      </c>
    </row>
    <row r="61" spans="1:23" s="290" customFormat="1" ht="9.75" customHeight="1" x14ac:dyDescent="0.15">
      <c r="A61" s="559" t="s">
        <v>644</v>
      </c>
      <c r="B61" s="290">
        <v>281076</v>
      </c>
      <c r="C61" s="290">
        <v>70655</v>
      </c>
      <c r="D61" s="290" t="s">
        <v>986</v>
      </c>
      <c r="E61" s="290" t="s">
        <v>986</v>
      </c>
      <c r="F61" s="290" t="s">
        <v>986</v>
      </c>
      <c r="G61" s="290" t="s">
        <v>986</v>
      </c>
      <c r="H61" s="290" t="s">
        <v>986</v>
      </c>
      <c r="I61" s="290">
        <v>70655</v>
      </c>
      <c r="J61" s="290" t="s">
        <v>986</v>
      </c>
      <c r="K61" s="290" t="s">
        <v>986</v>
      </c>
      <c r="L61" s="290" t="s">
        <v>986</v>
      </c>
      <c r="M61" s="290" t="s">
        <v>986</v>
      </c>
      <c r="N61" s="290" t="s">
        <v>986</v>
      </c>
      <c r="O61" s="290" t="s">
        <v>986</v>
      </c>
      <c r="P61" s="290">
        <v>41143</v>
      </c>
      <c r="Q61" s="290">
        <v>41143</v>
      </c>
      <c r="R61" s="290" t="s">
        <v>986</v>
      </c>
      <c r="S61" s="290">
        <v>14513</v>
      </c>
      <c r="T61" s="290">
        <v>14513</v>
      </c>
      <c r="U61" s="290">
        <v>116511</v>
      </c>
      <c r="V61" s="290">
        <v>116511</v>
      </c>
      <c r="W61" s="295" t="s">
        <v>89</v>
      </c>
    </row>
    <row r="62" spans="1:23" s="290" customFormat="1" ht="9.75" customHeight="1" x14ac:dyDescent="0.15">
      <c r="A62" s="559" t="s">
        <v>645</v>
      </c>
      <c r="B62" s="290">
        <v>673968</v>
      </c>
      <c r="C62" s="290">
        <v>71609</v>
      </c>
      <c r="D62" s="290" t="s">
        <v>986</v>
      </c>
      <c r="E62" s="290" t="s">
        <v>986</v>
      </c>
      <c r="F62" s="290">
        <v>48</v>
      </c>
      <c r="G62" s="290" t="s">
        <v>986</v>
      </c>
      <c r="H62" s="290" t="s">
        <v>986</v>
      </c>
      <c r="I62" s="290">
        <v>71561</v>
      </c>
      <c r="J62" s="290" t="s">
        <v>986</v>
      </c>
      <c r="K62" s="290" t="s">
        <v>986</v>
      </c>
      <c r="L62" s="290" t="s">
        <v>986</v>
      </c>
      <c r="M62" s="290" t="s">
        <v>986</v>
      </c>
      <c r="N62" s="290" t="s">
        <v>986</v>
      </c>
      <c r="O62" s="290" t="s">
        <v>986</v>
      </c>
      <c r="P62" s="290">
        <v>72117</v>
      </c>
      <c r="Q62" s="290">
        <v>72117</v>
      </c>
      <c r="R62" s="290" t="s">
        <v>986</v>
      </c>
      <c r="S62" s="290">
        <v>51258</v>
      </c>
      <c r="T62" s="290">
        <v>51258</v>
      </c>
      <c r="U62" s="290" t="s">
        <v>986</v>
      </c>
      <c r="V62" s="290" t="s">
        <v>986</v>
      </c>
      <c r="W62" s="295" t="s">
        <v>90</v>
      </c>
    </row>
    <row r="63" spans="1:23" s="290" customFormat="1" ht="9.75" customHeight="1" x14ac:dyDescent="0.15">
      <c r="A63" s="559" t="s">
        <v>646</v>
      </c>
      <c r="B63" s="290">
        <v>671732</v>
      </c>
      <c r="C63" s="290">
        <v>1609</v>
      </c>
      <c r="D63" s="290" t="s">
        <v>986</v>
      </c>
      <c r="E63" s="290" t="s">
        <v>986</v>
      </c>
      <c r="F63" s="290">
        <v>1609</v>
      </c>
      <c r="G63" s="290" t="s">
        <v>986</v>
      </c>
      <c r="H63" s="290" t="s">
        <v>986</v>
      </c>
      <c r="I63" s="290" t="s">
        <v>986</v>
      </c>
      <c r="J63" s="290" t="s">
        <v>986</v>
      </c>
      <c r="K63" s="290" t="s">
        <v>986</v>
      </c>
      <c r="L63" s="290" t="s">
        <v>986</v>
      </c>
      <c r="M63" s="290" t="s">
        <v>986</v>
      </c>
      <c r="N63" s="290" t="s">
        <v>986</v>
      </c>
      <c r="O63" s="290" t="s">
        <v>986</v>
      </c>
      <c r="P63" s="290">
        <v>136044</v>
      </c>
      <c r="Q63" s="290">
        <v>136044</v>
      </c>
      <c r="R63" s="290" t="s">
        <v>986</v>
      </c>
      <c r="S63" s="290">
        <v>47208</v>
      </c>
      <c r="T63" s="290">
        <v>47208</v>
      </c>
      <c r="U63" s="290">
        <v>80660</v>
      </c>
      <c r="V63" s="290">
        <v>80660</v>
      </c>
      <c r="W63" s="295" t="s">
        <v>91</v>
      </c>
    </row>
    <row r="64" spans="1:23" s="290" customFormat="1" ht="9.75" customHeight="1" x14ac:dyDescent="0.15">
      <c r="A64" s="559" t="s">
        <v>647</v>
      </c>
      <c r="B64" s="290">
        <v>677302</v>
      </c>
      <c r="C64" s="290">
        <v>154967</v>
      </c>
      <c r="D64" s="290" t="s">
        <v>986</v>
      </c>
      <c r="E64" s="290" t="s">
        <v>986</v>
      </c>
      <c r="F64" s="290" t="s">
        <v>986</v>
      </c>
      <c r="G64" s="290" t="s">
        <v>986</v>
      </c>
      <c r="H64" s="290">
        <v>83564</v>
      </c>
      <c r="I64" s="290">
        <v>71403</v>
      </c>
      <c r="J64" s="290" t="s">
        <v>986</v>
      </c>
      <c r="K64" s="290" t="s">
        <v>986</v>
      </c>
      <c r="L64" s="290" t="s">
        <v>986</v>
      </c>
      <c r="M64" s="290" t="s">
        <v>986</v>
      </c>
      <c r="N64" s="290" t="s">
        <v>986</v>
      </c>
      <c r="O64" s="290" t="s">
        <v>986</v>
      </c>
      <c r="P64" s="290">
        <v>63355</v>
      </c>
      <c r="Q64" s="290">
        <v>63355</v>
      </c>
      <c r="R64" s="290" t="s">
        <v>986</v>
      </c>
      <c r="S64" s="290">
        <v>16310</v>
      </c>
      <c r="T64" s="290">
        <v>16310</v>
      </c>
      <c r="U64" s="290" t="s">
        <v>986</v>
      </c>
      <c r="V64" s="290" t="s">
        <v>986</v>
      </c>
      <c r="W64" s="295" t="s">
        <v>92</v>
      </c>
    </row>
    <row r="65" spans="1:23" s="290" customFormat="1" ht="9.75" customHeight="1" x14ac:dyDescent="0.15">
      <c r="A65" s="559" t="s">
        <v>648</v>
      </c>
      <c r="B65" s="290">
        <v>648056</v>
      </c>
      <c r="C65" s="290">
        <v>143798</v>
      </c>
      <c r="D65" s="290" t="s">
        <v>986</v>
      </c>
      <c r="E65" s="290" t="s">
        <v>986</v>
      </c>
      <c r="F65" s="290" t="s">
        <v>986</v>
      </c>
      <c r="G65" s="290" t="s">
        <v>986</v>
      </c>
      <c r="H65" s="290" t="s">
        <v>986</v>
      </c>
      <c r="I65" s="290">
        <v>143798</v>
      </c>
      <c r="J65" s="290" t="s">
        <v>986</v>
      </c>
      <c r="K65" s="290" t="s">
        <v>986</v>
      </c>
      <c r="L65" s="290" t="s">
        <v>986</v>
      </c>
      <c r="M65" s="290" t="s">
        <v>986</v>
      </c>
      <c r="N65" s="290" t="s">
        <v>986</v>
      </c>
      <c r="O65" s="290" t="s">
        <v>986</v>
      </c>
      <c r="P65" s="290">
        <v>91228</v>
      </c>
      <c r="Q65" s="290">
        <v>91228</v>
      </c>
      <c r="R65" s="290" t="s">
        <v>986</v>
      </c>
      <c r="S65" s="290">
        <v>50766</v>
      </c>
      <c r="T65" s="290">
        <v>50766</v>
      </c>
      <c r="U65" s="290" t="s">
        <v>986</v>
      </c>
      <c r="V65" s="290" t="s">
        <v>986</v>
      </c>
      <c r="W65" s="295" t="s">
        <v>76</v>
      </c>
    </row>
    <row r="66" spans="1:23" s="290" customFormat="1" ht="9.75" customHeight="1" x14ac:dyDescent="0.15">
      <c r="A66" s="559" t="s">
        <v>649</v>
      </c>
      <c r="B66" s="290">
        <v>620510</v>
      </c>
      <c r="C66" s="290">
        <v>58343</v>
      </c>
      <c r="D66" s="290" t="s">
        <v>986</v>
      </c>
      <c r="E66" s="290" t="s">
        <v>986</v>
      </c>
      <c r="F66" s="290" t="s">
        <v>986</v>
      </c>
      <c r="G66" s="290" t="s">
        <v>986</v>
      </c>
      <c r="H66" s="290">
        <v>58343</v>
      </c>
      <c r="I66" s="290" t="s">
        <v>986</v>
      </c>
      <c r="J66" s="290" t="s">
        <v>986</v>
      </c>
      <c r="K66" s="290" t="s">
        <v>986</v>
      </c>
      <c r="L66" s="290" t="s">
        <v>986</v>
      </c>
      <c r="M66" s="290" t="s">
        <v>986</v>
      </c>
      <c r="N66" s="290" t="s">
        <v>986</v>
      </c>
      <c r="O66" s="290" t="s">
        <v>986</v>
      </c>
      <c r="P66" s="290">
        <v>69714</v>
      </c>
      <c r="Q66" s="290">
        <v>69714</v>
      </c>
      <c r="R66" s="290" t="s">
        <v>986</v>
      </c>
      <c r="S66" s="290">
        <v>50075</v>
      </c>
      <c r="T66" s="290">
        <v>50075</v>
      </c>
      <c r="U66" s="290" t="s">
        <v>986</v>
      </c>
      <c r="V66" s="290" t="s">
        <v>986</v>
      </c>
      <c r="W66" s="295" t="s">
        <v>77</v>
      </c>
    </row>
    <row r="67" spans="1:23" s="290" customFormat="1" ht="9.75" customHeight="1" x14ac:dyDescent="0.15">
      <c r="A67" s="559" t="s">
        <v>650</v>
      </c>
      <c r="B67" s="290">
        <v>734791</v>
      </c>
      <c r="C67" s="290">
        <v>20089</v>
      </c>
      <c r="D67" s="290" t="s">
        <v>986</v>
      </c>
      <c r="E67" s="290" t="s">
        <v>986</v>
      </c>
      <c r="F67" s="290" t="s">
        <v>986</v>
      </c>
      <c r="G67" s="290" t="s">
        <v>986</v>
      </c>
      <c r="H67" s="290">
        <v>20089</v>
      </c>
      <c r="I67" s="290" t="s">
        <v>986</v>
      </c>
      <c r="J67" s="290" t="s">
        <v>986</v>
      </c>
      <c r="K67" s="290" t="s">
        <v>986</v>
      </c>
      <c r="L67" s="290" t="s">
        <v>986</v>
      </c>
      <c r="M67" s="290" t="s">
        <v>986</v>
      </c>
      <c r="N67" s="290" t="s">
        <v>986</v>
      </c>
      <c r="O67" s="290" t="s">
        <v>986</v>
      </c>
      <c r="P67" s="290">
        <v>132653</v>
      </c>
      <c r="Q67" s="290">
        <v>132653</v>
      </c>
      <c r="R67" s="290" t="s">
        <v>986</v>
      </c>
      <c r="S67" s="290">
        <v>50075</v>
      </c>
      <c r="T67" s="290">
        <v>50075</v>
      </c>
      <c r="U67" s="290" t="s">
        <v>986</v>
      </c>
      <c r="V67" s="290" t="s">
        <v>986</v>
      </c>
      <c r="W67" s="295" t="s">
        <v>78</v>
      </c>
    </row>
    <row r="68" spans="1:23" s="290" customFormat="1" ht="9.75" customHeight="1" x14ac:dyDescent="0.15">
      <c r="A68" s="559" t="s">
        <v>996</v>
      </c>
      <c r="B68" s="290">
        <v>681693</v>
      </c>
      <c r="C68" s="290" t="s">
        <v>986</v>
      </c>
      <c r="D68" s="290" t="s">
        <v>986</v>
      </c>
      <c r="E68" s="290" t="s">
        <v>986</v>
      </c>
      <c r="F68" s="290" t="s">
        <v>986</v>
      </c>
      <c r="G68" s="290" t="s">
        <v>986</v>
      </c>
      <c r="H68" s="290" t="s">
        <v>986</v>
      </c>
      <c r="I68" s="290" t="s">
        <v>986</v>
      </c>
      <c r="J68" s="290" t="s">
        <v>986</v>
      </c>
      <c r="K68" s="290" t="s">
        <v>986</v>
      </c>
      <c r="L68" s="290" t="s">
        <v>986</v>
      </c>
      <c r="M68" s="290" t="s">
        <v>986</v>
      </c>
      <c r="N68" s="290" t="s">
        <v>986</v>
      </c>
      <c r="O68" s="290" t="s">
        <v>986</v>
      </c>
      <c r="P68" s="290">
        <v>57336</v>
      </c>
      <c r="Q68" s="290">
        <v>57336</v>
      </c>
      <c r="R68" s="290" t="s">
        <v>986</v>
      </c>
      <c r="S68" s="290">
        <v>119343</v>
      </c>
      <c r="T68" s="290">
        <v>119343</v>
      </c>
      <c r="U68" s="290" t="s">
        <v>986</v>
      </c>
      <c r="V68" s="290" t="s">
        <v>986</v>
      </c>
      <c r="W68" s="295" t="s">
        <v>997</v>
      </c>
    </row>
    <row r="69" spans="1:23" s="290" customFormat="1" ht="9.75" customHeight="1" x14ac:dyDescent="0.15">
      <c r="A69" s="559" t="s">
        <v>651</v>
      </c>
      <c r="B69" s="290">
        <v>380392</v>
      </c>
      <c r="C69" s="290" t="s">
        <v>986</v>
      </c>
      <c r="D69" s="290" t="s">
        <v>986</v>
      </c>
      <c r="E69" s="290" t="s">
        <v>986</v>
      </c>
      <c r="F69" s="290" t="s">
        <v>986</v>
      </c>
      <c r="G69" s="290" t="s">
        <v>986</v>
      </c>
      <c r="H69" s="290" t="s">
        <v>986</v>
      </c>
      <c r="I69" s="290" t="s">
        <v>986</v>
      </c>
      <c r="J69" s="290" t="s">
        <v>986</v>
      </c>
      <c r="K69" s="290" t="s">
        <v>986</v>
      </c>
      <c r="L69" s="290" t="s">
        <v>986</v>
      </c>
      <c r="M69" s="290" t="s">
        <v>986</v>
      </c>
      <c r="N69" s="290" t="s">
        <v>986</v>
      </c>
      <c r="O69" s="290" t="s">
        <v>986</v>
      </c>
      <c r="P69" s="290">
        <v>154580</v>
      </c>
      <c r="Q69" s="290">
        <v>154580</v>
      </c>
      <c r="R69" s="290" t="s">
        <v>986</v>
      </c>
      <c r="S69" s="290">
        <v>74220</v>
      </c>
      <c r="T69" s="290">
        <v>74220</v>
      </c>
      <c r="U69" s="290">
        <v>37218</v>
      </c>
      <c r="V69" s="290">
        <v>37218</v>
      </c>
      <c r="W69" s="295" t="s">
        <v>73</v>
      </c>
    </row>
    <row r="70" spans="1:23" s="290" customFormat="1" ht="9.75" customHeight="1" x14ac:dyDescent="0.15">
      <c r="A70" s="560" t="s">
        <v>652</v>
      </c>
      <c r="B70" s="294">
        <v>624659</v>
      </c>
      <c r="C70" s="293" t="s">
        <v>986</v>
      </c>
      <c r="D70" s="293" t="s">
        <v>986</v>
      </c>
      <c r="E70" s="293" t="s">
        <v>986</v>
      </c>
      <c r="F70" s="293" t="s">
        <v>986</v>
      </c>
      <c r="G70" s="293" t="s">
        <v>986</v>
      </c>
      <c r="H70" s="293" t="s">
        <v>986</v>
      </c>
      <c r="I70" s="293" t="s">
        <v>986</v>
      </c>
      <c r="J70" s="293" t="s">
        <v>986</v>
      </c>
      <c r="K70" s="293" t="s">
        <v>986</v>
      </c>
      <c r="L70" s="293" t="s">
        <v>986</v>
      </c>
      <c r="M70" s="293" t="s">
        <v>986</v>
      </c>
      <c r="N70" s="293" t="s">
        <v>986</v>
      </c>
      <c r="O70" s="293" t="s">
        <v>986</v>
      </c>
      <c r="P70" s="293">
        <v>76348</v>
      </c>
      <c r="Q70" s="293">
        <v>76348</v>
      </c>
      <c r="R70" s="293" t="s">
        <v>986</v>
      </c>
      <c r="S70" s="293">
        <v>51905</v>
      </c>
      <c r="T70" s="293">
        <v>51905</v>
      </c>
      <c r="U70" s="293" t="s">
        <v>986</v>
      </c>
      <c r="V70" s="293" t="s">
        <v>986</v>
      </c>
      <c r="W70" s="291" t="s">
        <v>74</v>
      </c>
    </row>
    <row r="71" spans="1:23" ht="12" customHeight="1" x14ac:dyDescent="0.15"/>
    <row r="72" spans="1:23" ht="12" customHeight="1" x14ac:dyDescent="0.15"/>
    <row r="73" spans="1:23" ht="12" customHeight="1" x14ac:dyDescent="0.15">
      <c r="K73" s="299" t="s">
        <v>93</v>
      </c>
      <c r="V73" s="302" t="s">
        <v>858</v>
      </c>
    </row>
    <row r="74" spans="1:23" s="297" customFormat="1" ht="21" customHeight="1" x14ac:dyDescent="0.15">
      <c r="A74" s="1053" t="s">
        <v>172</v>
      </c>
      <c r="B74" s="832" t="s">
        <v>309</v>
      </c>
      <c r="C74" s="827"/>
      <c r="D74" s="827"/>
      <c r="E74" s="827"/>
      <c r="F74" s="827"/>
      <c r="G74" s="834"/>
      <c r="H74" s="826" t="s">
        <v>308</v>
      </c>
      <c r="I74" s="827"/>
      <c r="J74" s="827"/>
      <c r="K74" s="827"/>
      <c r="L74" s="827"/>
      <c r="M74" s="827"/>
      <c r="N74" s="827"/>
      <c r="O74" s="827"/>
      <c r="P74" s="827"/>
      <c r="Q74" s="827"/>
      <c r="R74" s="827"/>
      <c r="S74" s="834"/>
      <c r="T74" s="826" t="s">
        <v>307</v>
      </c>
      <c r="U74" s="827"/>
      <c r="V74" s="827"/>
      <c r="W74" s="1056" t="s">
        <v>79</v>
      </c>
    </row>
    <row r="75" spans="1:23" s="297" customFormat="1" ht="21" customHeight="1" x14ac:dyDescent="0.15">
      <c r="A75" s="1054"/>
      <c r="B75" s="832" t="s">
        <v>294</v>
      </c>
      <c r="C75" s="827"/>
      <c r="D75" s="834"/>
      <c r="E75" s="826" t="s">
        <v>241</v>
      </c>
      <c r="F75" s="827"/>
      <c r="G75" s="834"/>
      <c r="H75" s="1059" t="s">
        <v>306</v>
      </c>
      <c r="I75" s="826" t="s">
        <v>265</v>
      </c>
      <c r="J75" s="827"/>
      <c r="K75" s="827"/>
      <c r="L75" s="827"/>
      <c r="M75" s="827"/>
      <c r="N75" s="827"/>
      <c r="O75" s="834"/>
      <c r="P75" s="826" t="s">
        <v>259</v>
      </c>
      <c r="Q75" s="834"/>
      <c r="R75" s="826" t="s">
        <v>258</v>
      </c>
      <c r="S75" s="834"/>
      <c r="T75" s="1059" t="s">
        <v>305</v>
      </c>
      <c r="U75" s="826" t="s">
        <v>265</v>
      </c>
      <c r="V75" s="827"/>
      <c r="W75" s="1057"/>
    </row>
    <row r="76" spans="1:23" s="297" customFormat="1" ht="52.5" customHeight="1" x14ac:dyDescent="0.15">
      <c r="A76" s="1055"/>
      <c r="B76" s="298" t="s">
        <v>238</v>
      </c>
      <c r="C76" s="298" t="s">
        <v>237</v>
      </c>
      <c r="D76" s="298" t="s">
        <v>859</v>
      </c>
      <c r="E76" s="696" t="s">
        <v>860</v>
      </c>
      <c r="F76" s="298" t="s">
        <v>236</v>
      </c>
      <c r="G76" s="298" t="s">
        <v>861</v>
      </c>
      <c r="H76" s="1060"/>
      <c r="I76" s="696" t="s">
        <v>851</v>
      </c>
      <c r="J76" s="298" t="s">
        <v>256</v>
      </c>
      <c r="K76" s="298" t="s">
        <v>852</v>
      </c>
      <c r="L76" s="298" t="s">
        <v>271</v>
      </c>
      <c r="M76" s="298" t="s">
        <v>255</v>
      </c>
      <c r="N76" s="298" t="s">
        <v>254</v>
      </c>
      <c r="O76" s="301" t="s">
        <v>853</v>
      </c>
      <c r="P76" s="696" t="s">
        <v>101</v>
      </c>
      <c r="Q76" s="298" t="s">
        <v>304</v>
      </c>
      <c r="R76" s="696" t="s">
        <v>855</v>
      </c>
      <c r="S76" s="298" t="s">
        <v>244</v>
      </c>
      <c r="T76" s="1060"/>
      <c r="U76" s="696" t="s">
        <v>851</v>
      </c>
      <c r="V76" s="300" t="s">
        <v>256</v>
      </c>
      <c r="W76" s="1058"/>
    </row>
    <row r="77" spans="1:23" s="290" customFormat="1" ht="9.75" customHeight="1" x14ac:dyDescent="0.15">
      <c r="A77" s="828" t="s">
        <v>985</v>
      </c>
      <c r="B77" s="829">
        <v>148543</v>
      </c>
      <c r="C77" s="830" t="s">
        <v>986</v>
      </c>
      <c r="D77" s="830">
        <v>11759</v>
      </c>
      <c r="E77" s="830">
        <v>826696</v>
      </c>
      <c r="F77" s="830">
        <v>599225</v>
      </c>
      <c r="G77" s="830">
        <v>227471</v>
      </c>
      <c r="H77" s="830">
        <v>2306235</v>
      </c>
      <c r="I77" s="830">
        <v>2305992</v>
      </c>
      <c r="J77" s="830">
        <v>1859917</v>
      </c>
      <c r="K77" s="830">
        <v>357496</v>
      </c>
      <c r="L77" s="830" t="s">
        <v>986</v>
      </c>
      <c r="M77" s="830">
        <v>88175</v>
      </c>
      <c r="N77" s="830" t="s">
        <v>986</v>
      </c>
      <c r="O77" s="830">
        <v>404</v>
      </c>
      <c r="P77" s="830">
        <v>31</v>
      </c>
      <c r="Q77" s="830">
        <v>31</v>
      </c>
      <c r="R77" s="830">
        <v>212</v>
      </c>
      <c r="S77" s="830">
        <v>212</v>
      </c>
      <c r="T77" s="830">
        <v>25968884</v>
      </c>
      <c r="U77" s="830">
        <v>20078695</v>
      </c>
      <c r="V77" s="830">
        <v>3372253</v>
      </c>
      <c r="W77" s="831" t="s">
        <v>485</v>
      </c>
    </row>
    <row r="78" spans="1:23" s="290" customFormat="1" ht="9.75" customHeight="1" x14ac:dyDescent="0.15">
      <c r="A78" s="559" t="s">
        <v>634</v>
      </c>
      <c r="B78" s="290">
        <v>638148</v>
      </c>
      <c r="C78" s="290">
        <v>41425</v>
      </c>
      <c r="D78" s="290" t="s">
        <v>986</v>
      </c>
      <c r="E78" s="290">
        <v>1013359</v>
      </c>
      <c r="F78" s="290">
        <v>614950</v>
      </c>
      <c r="G78" s="290">
        <v>398409</v>
      </c>
      <c r="H78" s="290">
        <v>3127198</v>
      </c>
      <c r="I78" s="290">
        <v>3077701</v>
      </c>
      <c r="J78" s="290">
        <v>2446721</v>
      </c>
      <c r="K78" s="290">
        <v>389872</v>
      </c>
      <c r="L78" s="290" t="s">
        <v>986</v>
      </c>
      <c r="M78" s="290">
        <v>193125</v>
      </c>
      <c r="N78" s="290" t="s">
        <v>986</v>
      </c>
      <c r="O78" s="290">
        <v>47983</v>
      </c>
      <c r="P78" s="290" t="s">
        <v>986</v>
      </c>
      <c r="Q78" s="290" t="s">
        <v>986</v>
      </c>
      <c r="R78" s="290">
        <v>49497</v>
      </c>
      <c r="S78" s="290">
        <v>49497</v>
      </c>
      <c r="T78" s="290">
        <v>27977796</v>
      </c>
      <c r="U78" s="290">
        <v>20364650</v>
      </c>
      <c r="V78" s="290">
        <v>2905201</v>
      </c>
      <c r="W78" s="295" t="s">
        <v>588</v>
      </c>
    </row>
    <row r="79" spans="1:23" s="290" customFormat="1" ht="9.75" customHeight="1" x14ac:dyDescent="0.15">
      <c r="A79" s="559" t="s">
        <v>635</v>
      </c>
      <c r="B79" s="290">
        <v>288753</v>
      </c>
      <c r="C79" s="290" t="s">
        <v>986</v>
      </c>
      <c r="D79" s="290" t="s">
        <v>986</v>
      </c>
      <c r="E79" s="290">
        <v>1331381</v>
      </c>
      <c r="F79" s="290">
        <v>706988</v>
      </c>
      <c r="G79" s="290">
        <v>624393</v>
      </c>
      <c r="H79" s="290">
        <v>2926721</v>
      </c>
      <c r="I79" s="290">
        <v>2897605</v>
      </c>
      <c r="J79" s="290">
        <v>2153681</v>
      </c>
      <c r="K79" s="290">
        <v>468571</v>
      </c>
      <c r="L79" s="290" t="s">
        <v>986</v>
      </c>
      <c r="M79" s="290">
        <v>134555</v>
      </c>
      <c r="N79" s="290">
        <v>140798</v>
      </c>
      <c r="O79" s="290" t="s">
        <v>986</v>
      </c>
      <c r="P79" s="290" t="s">
        <v>986</v>
      </c>
      <c r="Q79" s="290" t="s">
        <v>986</v>
      </c>
      <c r="R79" s="290">
        <v>29116</v>
      </c>
      <c r="S79" s="290">
        <v>29116</v>
      </c>
      <c r="T79" s="290">
        <v>30646454</v>
      </c>
      <c r="U79" s="290">
        <v>22526998</v>
      </c>
      <c r="V79" s="290">
        <v>2645622</v>
      </c>
      <c r="W79" s="295" t="s">
        <v>636</v>
      </c>
    </row>
    <row r="80" spans="1:23" s="290" customFormat="1" ht="9.75" customHeight="1" x14ac:dyDescent="0.15">
      <c r="A80" s="559" t="s">
        <v>774</v>
      </c>
      <c r="B80" s="290">
        <v>142269</v>
      </c>
      <c r="C80" s="290" t="s">
        <v>986</v>
      </c>
      <c r="D80" s="290" t="s">
        <v>986</v>
      </c>
      <c r="E80" s="290">
        <v>729170</v>
      </c>
      <c r="F80" s="290">
        <v>437527</v>
      </c>
      <c r="G80" s="290">
        <v>291643</v>
      </c>
      <c r="H80" s="290">
        <v>2339243</v>
      </c>
      <c r="I80" s="290">
        <v>2339151</v>
      </c>
      <c r="J80" s="290">
        <v>2107354</v>
      </c>
      <c r="K80" s="290">
        <v>36591</v>
      </c>
      <c r="L80" s="290" t="s">
        <v>986</v>
      </c>
      <c r="M80" s="290">
        <v>63301</v>
      </c>
      <c r="N80" s="290">
        <v>131905</v>
      </c>
      <c r="O80" s="290" t="s">
        <v>986</v>
      </c>
      <c r="P80" s="290" t="s">
        <v>986</v>
      </c>
      <c r="Q80" s="290" t="s">
        <v>986</v>
      </c>
      <c r="R80" s="290">
        <v>92</v>
      </c>
      <c r="S80" s="290">
        <v>92</v>
      </c>
      <c r="T80" s="290">
        <v>25844993</v>
      </c>
      <c r="U80" s="290">
        <v>20313327</v>
      </c>
      <c r="V80" s="290">
        <v>2089167</v>
      </c>
      <c r="W80" s="295" t="s">
        <v>775</v>
      </c>
    </row>
    <row r="81" spans="1:23" s="290" customFormat="1" ht="9.75" customHeight="1" x14ac:dyDescent="0.15">
      <c r="A81" s="559" t="s">
        <v>987</v>
      </c>
      <c r="B81" s="290" t="s">
        <v>986</v>
      </c>
      <c r="C81" s="290" t="s">
        <v>986</v>
      </c>
      <c r="D81" s="290" t="s">
        <v>986</v>
      </c>
      <c r="E81" s="290">
        <v>538984</v>
      </c>
      <c r="F81" s="290">
        <v>429091</v>
      </c>
      <c r="G81" s="290">
        <v>109893</v>
      </c>
      <c r="H81" s="290">
        <v>3201446</v>
      </c>
      <c r="I81" s="290">
        <v>3201377</v>
      </c>
      <c r="J81" s="290">
        <v>2874093</v>
      </c>
      <c r="K81" s="290">
        <v>228230</v>
      </c>
      <c r="L81" s="290">
        <v>35881</v>
      </c>
      <c r="M81" s="290">
        <v>54527</v>
      </c>
      <c r="N81" s="290">
        <v>8646</v>
      </c>
      <c r="O81" s="290" t="s">
        <v>986</v>
      </c>
      <c r="P81" s="290" t="s">
        <v>986</v>
      </c>
      <c r="Q81" s="290" t="s">
        <v>986</v>
      </c>
      <c r="R81" s="290">
        <v>69</v>
      </c>
      <c r="S81" s="290">
        <v>69</v>
      </c>
      <c r="T81" s="290">
        <v>25030157</v>
      </c>
      <c r="U81" s="290">
        <v>21486459</v>
      </c>
      <c r="V81" s="290">
        <v>2133075</v>
      </c>
      <c r="W81" s="295" t="s">
        <v>988</v>
      </c>
    </row>
    <row r="82" spans="1:23" s="290" customFormat="1" ht="6.75" customHeight="1" x14ac:dyDescent="0.15">
      <c r="A82" s="578"/>
      <c r="W82" s="295"/>
    </row>
    <row r="83" spans="1:23" s="290" customFormat="1" ht="9.75" customHeight="1" x14ac:dyDescent="0.15">
      <c r="A83" s="559" t="s">
        <v>989</v>
      </c>
      <c r="B83" s="290">
        <v>45824</v>
      </c>
      <c r="C83" s="290" t="s">
        <v>986</v>
      </c>
      <c r="D83" s="290" t="s">
        <v>986</v>
      </c>
      <c r="E83" s="290">
        <v>680939</v>
      </c>
      <c r="F83" s="290">
        <v>468353</v>
      </c>
      <c r="G83" s="290">
        <v>212586</v>
      </c>
      <c r="H83" s="290">
        <v>2361452</v>
      </c>
      <c r="I83" s="290">
        <v>2361383</v>
      </c>
      <c r="J83" s="290">
        <v>2129586</v>
      </c>
      <c r="K83" s="290">
        <v>36591</v>
      </c>
      <c r="L83" s="290" t="s">
        <v>986</v>
      </c>
      <c r="M83" s="290">
        <v>63301</v>
      </c>
      <c r="N83" s="290">
        <v>131905</v>
      </c>
      <c r="O83" s="290" t="s">
        <v>986</v>
      </c>
      <c r="P83" s="290" t="s">
        <v>986</v>
      </c>
      <c r="Q83" s="290" t="s">
        <v>986</v>
      </c>
      <c r="R83" s="290">
        <v>69</v>
      </c>
      <c r="S83" s="290">
        <v>69</v>
      </c>
      <c r="T83" s="290">
        <v>25867500</v>
      </c>
      <c r="U83" s="290">
        <v>21265228</v>
      </c>
      <c r="V83" s="290">
        <v>2379544</v>
      </c>
      <c r="W83" s="295" t="s">
        <v>776</v>
      </c>
    </row>
    <row r="84" spans="1:23" s="290" customFormat="1" ht="9.75" customHeight="1" x14ac:dyDescent="0.15">
      <c r="A84" s="559" t="s">
        <v>990</v>
      </c>
      <c r="B84" s="290" t="s">
        <v>986</v>
      </c>
      <c r="C84" s="290" t="s">
        <v>986</v>
      </c>
      <c r="D84" s="290" t="s">
        <v>986</v>
      </c>
      <c r="E84" s="290">
        <v>457109</v>
      </c>
      <c r="F84" s="290">
        <v>347216</v>
      </c>
      <c r="G84" s="290">
        <v>109893</v>
      </c>
      <c r="H84" s="290">
        <v>3548046</v>
      </c>
      <c r="I84" s="290">
        <v>3547954</v>
      </c>
      <c r="J84" s="290">
        <v>3220670</v>
      </c>
      <c r="K84" s="290">
        <v>228230</v>
      </c>
      <c r="L84" s="290">
        <v>35881</v>
      </c>
      <c r="M84" s="290">
        <v>54527</v>
      </c>
      <c r="N84" s="290">
        <v>8646</v>
      </c>
      <c r="O84" s="290" t="s">
        <v>986</v>
      </c>
      <c r="P84" s="290" t="s">
        <v>986</v>
      </c>
      <c r="Q84" s="290" t="s">
        <v>986</v>
      </c>
      <c r="R84" s="290">
        <v>92</v>
      </c>
      <c r="S84" s="290">
        <v>92</v>
      </c>
      <c r="T84" s="290">
        <v>24942208</v>
      </c>
      <c r="U84" s="290">
        <v>21616869</v>
      </c>
      <c r="V84" s="290">
        <v>2277748</v>
      </c>
      <c r="W84" s="295" t="s">
        <v>991</v>
      </c>
    </row>
    <row r="85" spans="1:23" s="290" customFormat="1" ht="6.75" customHeight="1" x14ac:dyDescent="0.15">
      <c r="A85" s="578"/>
      <c r="W85" s="295"/>
    </row>
    <row r="86" spans="1:23" s="290" customFormat="1" ht="9.75" customHeight="1" x14ac:dyDescent="0.15">
      <c r="A86" s="559" t="s">
        <v>992</v>
      </c>
      <c r="B86" s="290" t="s">
        <v>986</v>
      </c>
      <c r="C86" s="290" t="s">
        <v>986</v>
      </c>
      <c r="D86" s="290" t="s">
        <v>986</v>
      </c>
      <c r="E86" s="290">
        <v>132064</v>
      </c>
      <c r="F86" s="290">
        <v>132064</v>
      </c>
      <c r="G86" s="290" t="s">
        <v>986</v>
      </c>
      <c r="H86" s="290">
        <v>330097</v>
      </c>
      <c r="I86" s="290">
        <v>330097</v>
      </c>
      <c r="J86" s="290">
        <v>330097</v>
      </c>
      <c r="K86" s="290" t="s">
        <v>986</v>
      </c>
      <c r="L86" s="290" t="s">
        <v>986</v>
      </c>
      <c r="M86" s="290" t="s">
        <v>986</v>
      </c>
      <c r="N86" s="290" t="s">
        <v>986</v>
      </c>
      <c r="O86" s="290" t="s">
        <v>986</v>
      </c>
      <c r="P86" s="290" t="s">
        <v>986</v>
      </c>
      <c r="Q86" s="290" t="s">
        <v>986</v>
      </c>
      <c r="R86" s="290" t="s">
        <v>986</v>
      </c>
      <c r="S86" s="290" t="s">
        <v>986</v>
      </c>
      <c r="T86" s="290">
        <v>6188800</v>
      </c>
      <c r="U86" s="290">
        <v>5349325</v>
      </c>
      <c r="V86" s="290">
        <v>525098</v>
      </c>
      <c r="W86" s="295" t="s">
        <v>777</v>
      </c>
    </row>
    <row r="87" spans="1:23" s="290" customFormat="1" ht="9.75" customHeight="1" x14ac:dyDescent="0.15">
      <c r="A87" s="559" t="s">
        <v>637</v>
      </c>
      <c r="B87" s="290" t="s">
        <v>986</v>
      </c>
      <c r="C87" s="290" t="s">
        <v>986</v>
      </c>
      <c r="D87" s="290" t="s">
        <v>986</v>
      </c>
      <c r="E87" s="290">
        <v>132542</v>
      </c>
      <c r="F87" s="290">
        <v>48145</v>
      </c>
      <c r="G87" s="290">
        <v>84397</v>
      </c>
      <c r="H87" s="290">
        <v>860813</v>
      </c>
      <c r="I87" s="290">
        <v>860767</v>
      </c>
      <c r="J87" s="290">
        <v>751639</v>
      </c>
      <c r="K87" s="290">
        <v>109128</v>
      </c>
      <c r="L87" s="290" t="s">
        <v>986</v>
      </c>
      <c r="M87" s="290" t="s">
        <v>986</v>
      </c>
      <c r="N87" s="290" t="s">
        <v>986</v>
      </c>
      <c r="O87" s="290" t="s">
        <v>986</v>
      </c>
      <c r="P87" s="290" t="s">
        <v>986</v>
      </c>
      <c r="Q87" s="290" t="s">
        <v>986</v>
      </c>
      <c r="R87" s="290">
        <v>46</v>
      </c>
      <c r="S87" s="290">
        <v>46</v>
      </c>
      <c r="T87" s="290">
        <v>6165333</v>
      </c>
      <c r="U87" s="290">
        <v>5095686</v>
      </c>
      <c r="V87" s="290">
        <v>723083</v>
      </c>
      <c r="W87" s="295" t="s">
        <v>85</v>
      </c>
    </row>
    <row r="88" spans="1:23" s="290" customFormat="1" ht="9.75" customHeight="1" x14ac:dyDescent="0.15">
      <c r="A88" s="559" t="s">
        <v>638</v>
      </c>
      <c r="B88" s="290" t="s">
        <v>986</v>
      </c>
      <c r="C88" s="290" t="s">
        <v>986</v>
      </c>
      <c r="D88" s="290" t="s">
        <v>986</v>
      </c>
      <c r="E88" s="290">
        <v>99187</v>
      </c>
      <c r="F88" s="290">
        <v>99187</v>
      </c>
      <c r="G88" s="290" t="s">
        <v>986</v>
      </c>
      <c r="H88" s="290">
        <v>1096761</v>
      </c>
      <c r="I88" s="290">
        <v>1096761</v>
      </c>
      <c r="J88" s="290">
        <v>975529</v>
      </c>
      <c r="K88" s="290">
        <v>71462</v>
      </c>
      <c r="L88" s="290">
        <v>35881</v>
      </c>
      <c r="M88" s="290">
        <v>5243</v>
      </c>
      <c r="N88" s="290">
        <v>8646</v>
      </c>
      <c r="O88" s="290" t="s">
        <v>986</v>
      </c>
      <c r="P88" s="290" t="s">
        <v>986</v>
      </c>
      <c r="Q88" s="290" t="s">
        <v>986</v>
      </c>
      <c r="R88" s="290" t="s">
        <v>986</v>
      </c>
      <c r="S88" s="290" t="s">
        <v>986</v>
      </c>
      <c r="T88" s="290">
        <v>6310055</v>
      </c>
      <c r="U88" s="290">
        <v>5517388</v>
      </c>
      <c r="V88" s="290">
        <v>335271</v>
      </c>
      <c r="W88" s="295" t="s">
        <v>86</v>
      </c>
    </row>
    <row r="89" spans="1:23" s="290" customFormat="1" ht="9.75" customHeight="1" x14ac:dyDescent="0.15">
      <c r="A89" s="559" t="s">
        <v>639</v>
      </c>
      <c r="B89" s="290" t="s">
        <v>986</v>
      </c>
      <c r="C89" s="290" t="s">
        <v>986</v>
      </c>
      <c r="D89" s="290" t="s">
        <v>986</v>
      </c>
      <c r="E89" s="290">
        <v>175191</v>
      </c>
      <c r="F89" s="290">
        <v>149695</v>
      </c>
      <c r="G89" s="290">
        <v>25496</v>
      </c>
      <c r="H89" s="290">
        <v>913775</v>
      </c>
      <c r="I89" s="290">
        <v>913752</v>
      </c>
      <c r="J89" s="290">
        <v>816828</v>
      </c>
      <c r="K89" s="290">
        <v>47640</v>
      </c>
      <c r="L89" s="290" t="s">
        <v>986</v>
      </c>
      <c r="M89" s="290">
        <v>49284</v>
      </c>
      <c r="N89" s="290" t="s">
        <v>986</v>
      </c>
      <c r="O89" s="290" t="s">
        <v>986</v>
      </c>
      <c r="P89" s="290" t="s">
        <v>986</v>
      </c>
      <c r="Q89" s="290" t="s">
        <v>986</v>
      </c>
      <c r="R89" s="290">
        <v>23</v>
      </c>
      <c r="S89" s="290">
        <v>23</v>
      </c>
      <c r="T89" s="290">
        <v>6365969</v>
      </c>
      <c r="U89" s="290">
        <v>5524060</v>
      </c>
      <c r="V89" s="290">
        <v>549623</v>
      </c>
      <c r="W89" s="295" t="s">
        <v>87</v>
      </c>
    </row>
    <row r="90" spans="1:23" s="290" customFormat="1" ht="9.75" customHeight="1" x14ac:dyDescent="0.15">
      <c r="A90" s="559" t="s">
        <v>993</v>
      </c>
      <c r="B90" s="290" t="s">
        <v>986</v>
      </c>
      <c r="C90" s="290" t="s">
        <v>986</v>
      </c>
      <c r="D90" s="290" t="s">
        <v>986</v>
      </c>
      <c r="E90" s="290">
        <v>50189</v>
      </c>
      <c r="F90" s="290">
        <v>50189</v>
      </c>
      <c r="G90" s="290" t="s">
        <v>986</v>
      </c>
      <c r="H90" s="290">
        <v>676697</v>
      </c>
      <c r="I90" s="290">
        <v>676674</v>
      </c>
      <c r="J90" s="290">
        <v>676674</v>
      </c>
      <c r="K90" s="290" t="s">
        <v>986</v>
      </c>
      <c r="L90" s="290" t="s">
        <v>986</v>
      </c>
      <c r="M90" s="290" t="s">
        <v>986</v>
      </c>
      <c r="N90" s="290" t="s">
        <v>986</v>
      </c>
      <c r="O90" s="290" t="s">
        <v>986</v>
      </c>
      <c r="P90" s="290" t="s">
        <v>986</v>
      </c>
      <c r="Q90" s="290" t="s">
        <v>986</v>
      </c>
      <c r="R90" s="290">
        <v>23</v>
      </c>
      <c r="S90" s="290">
        <v>23</v>
      </c>
      <c r="T90" s="290">
        <v>6100851</v>
      </c>
      <c r="U90" s="290">
        <v>5479735</v>
      </c>
      <c r="V90" s="290">
        <v>669771</v>
      </c>
      <c r="W90" s="295" t="s">
        <v>994</v>
      </c>
    </row>
    <row r="91" spans="1:23" s="290" customFormat="1" ht="6.75" customHeight="1" x14ac:dyDescent="0.15">
      <c r="A91" s="578"/>
      <c r="W91" s="295"/>
    </row>
    <row r="92" spans="1:23" s="290" customFormat="1" ht="9.75" customHeight="1" x14ac:dyDescent="0.15">
      <c r="A92" s="559" t="s">
        <v>995</v>
      </c>
      <c r="B92" s="290" t="s">
        <v>986</v>
      </c>
      <c r="C92" s="290" t="s">
        <v>986</v>
      </c>
      <c r="D92" s="290" t="s">
        <v>986</v>
      </c>
      <c r="E92" s="290">
        <v>51670</v>
      </c>
      <c r="F92" s="290">
        <v>51670</v>
      </c>
      <c r="G92" s="290" t="s">
        <v>986</v>
      </c>
      <c r="H92" s="290">
        <v>140953</v>
      </c>
      <c r="I92" s="290">
        <v>140953</v>
      </c>
      <c r="J92" s="290">
        <v>140953</v>
      </c>
      <c r="K92" s="290" t="s">
        <v>986</v>
      </c>
      <c r="L92" s="290" t="s">
        <v>986</v>
      </c>
      <c r="M92" s="290" t="s">
        <v>986</v>
      </c>
      <c r="N92" s="290" t="s">
        <v>986</v>
      </c>
      <c r="O92" s="290" t="s">
        <v>986</v>
      </c>
      <c r="P92" s="290" t="s">
        <v>986</v>
      </c>
      <c r="Q92" s="290" t="s">
        <v>986</v>
      </c>
      <c r="R92" s="290" t="s">
        <v>986</v>
      </c>
      <c r="S92" s="290" t="s">
        <v>986</v>
      </c>
      <c r="T92" s="290">
        <v>2216749</v>
      </c>
      <c r="U92" s="290">
        <v>1916641</v>
      </c>
      <c r="V92" s="290">
        <v>184798</v>
      </c>
      <c r="W92" s="295" t="s">
        <v>778</v>
      </c>
    </row>
    <row r="93" spans="1:23" s="290" customFormat="1" ht="9.75" customHeight="1" x14ac:dyDescent="0.15">
      <c r="A93" s="559" t="s">
        <v>640</v>
      </c>
      <c r="B93" s="290" t="s">
        <v>986</v>
      </c>
      <c r="C93" s="290" t="s">
        <v>986</v>
      </c>
      <c r="D93" s="290" t="s">
        <v>986</v>
      </c>
      <c r="E93" s="290" t="s">
        <v>986</v>
      </c>
      <c r="F93" s="290" t="s">
        <v>986</v>
      </c>
      <c r="G93" s="290" t="s">
        <v>986</v>
      </c>
      <c r="H93" s="290">
        <v>119488</v>
      </c>
      <c r="I93" s="290">
        <v>119488</v>
      </c>
      <c r="J93" s="290">
        <v>119488</v>
      </c>
      <c r="K93" s="290" t="s">
        <v>986</v>
      </c>
      <c r="L93" s="290" t="s">
        <v>986</v>
      </c>
      <c r="M93" s="290" t="s">
        <v>986</v>
      </c>
      <c r="N93" s="290" t="s">
        <v>986</v>
      </c>
      <c r="O93" s="290" t="s">
        <v>986</v>
      </c>
      <c r="P93" s="290" t="s">
        <v>986</v>
      </c>
      <c r="Q93" s="290" t="s">
        <v>986</v>
      </c>
      <c r="R93" s="290" t="s">
        <v>986</v>
      </c>
      <c r="S93" s="290" t="s">
        <v>986</v>
      </c>
      <c r="T93" s="290">
        <v>1784184</v>
      </c>
      <c r="U93" s="290">
        <v>1509282</v>
      </c>
      <c r="V93" s="290">
        <v>152951</v>
      </c>
      <c r="W93" s="295" t="s">
        <v>73</v>
      </c>
    </row>
    <row r="94" spans="1:23" s="290" customFormat="1" ht="9.75" customHeight="1" x14ac:dyDescent="0.15">
      <c r="A94" s="559" t="s">
        <v>641</v>
      </c>
      <c r="B94" s="290" t="s">
        <v>986</v>
      </c>
      <c r="C94" s="290" t="s">
        <v>986</v>
      </c>
      <c r="D94" s="290" t="s">
        <v>986</v>
      </c>
      <c r="E94" s="290">
        <v>80394</v>
      </c>
      <c r="F94" s="290">
        <v>80394</v>
      </c>
      <c r="G94" s="290" t="s">
        <v>986</v>
      </c>
      <c r="H94" s="290">
        <v>69656</v>
      </c>
      <c r="I94" s="290">
        <v>69656</v>
      </c>
      <c r="J94" s="290">
        <v>69656</v>
      </c>
      <c r="K94" s="290" t="s">
        <v>986</v>
      </c>
      <c r="L94" s="290" t="s">
        <v>986</v>
      </c>
      <c r="M94" s="290" t="s">
        <v>986</v>
      </c>
      <c r="N94" s="290" t="s">
        <v>986</v>
      </c>
      <c r="O94" s="290" t="s">
        <v>986</v>
      </c>
      <c r="P94" s="290" t="s">
        <v>986</v>
      </c>
      <c r="Q94" s="290" t="s">
        <v>986</v>
      </c>
      <c r="R94" s="290" t="s">
        <v>986</v>
      </c>
      <c r="S94" s="290" t="s">
        <v>986</v>
      </c>
      <c r="T94" s="290">
        <v>2187867</v>
      </c>
      <c r="U94" s="290">
        <v>1923402</v>
      </c>
      <c r="V94" s="290">
        <v>187349</v>
      </c>
      <c r="W94" s="295" t="s">
        <v>74</v>
      </c>
    </row>
    <row r="95" spans="1:23" s="290" customFormat="1" ht="9.75" customHeight="1" x14ac:dyDescent="0.15">
      <c r="A95" s="559" t="s">
        <v>642</v>
      </c>
      <c r="B95" s="290" t="s">
        <v>986</v>
      </c>
      <c r="C95" s="290" t="s">
        <v>986</v>
      </c>
      <c r="D95" s="290" t="s">
        <v>986</v>
      </c>
      <c r="E95" s="290">
        <v>50665</v>
      </c>
      <c r="F95" s="290" t="s">
        <v>986</v>
      </c>
      <c r="G95" s="290">
        <v>50665</v>
      </c>
      <c r="H95" s="290">
        <v>106181</v>
      </c>
      <c r="I95" s="290">
        <v>106158</v>
      </c>
      <c r="J95" s="290">
        <v>106158</v>
      </c>
      <c r="K95" s="290" t="s">
        <v>986</v>
      </c>
      <c r="L95" s="290" t="s">
        <v>986</v>
      </c>
      <c r="M95" s="290" t="s">
        <v>986</v>
      </c>
      <c r="N95" s="290" t="s">
        <v>986</v>
      </c>
      <c r="O95" s="290" t="s">
        <v>986</v>
      </c>
      <c r="P95" s="290" t="s">
        <v>986</v>
      </c>
      <c r="Q95" s="290" t="s">
        <v>986</v>
      </c>
      <c r="R95" s="290">
        <v>23</v>
      </c>
      <c r="S95" s="290">
        <v>23</v>
      </c>
      <c r="T95" s="290">
        <v>2624284</v>
      </c>
      <c r="U95" s="290">
        <v>2098062</v>
      </c>
      <c r="V95" s="290">
        <v>261118</v>
      </c>
      <c r="W95" s="295" t="s">
        <v>75</v>
      </c>
    </row>
    <row r="96" spans="1:23" s="290" customFormat="1" ht="9.75" customHeight="1" x14ac:dyDescent="0.15">
      <c r="A96" s="559" t="s">
        <v>643</v>
      </c>
      <c r="B96" s="290" t="s">
        <v>986</v>
      </c>
      <c r="C96" s="290" t="s">
        <v>986</v>
      </c>
      <c r="D96" s="290" t="s">
        <v>986</v>
      </c>
      <c r="E96" s="290">
        <v>81877</v>
      </c>
      <c r="F96" s="290">
        <v>48145</v>
      </c>
      <c r="G96" s="290">
        <v>33732</v>
      </c>
      <c r="H96" s="290">
        <v>224327</v>
      </c>
      <c r="I96" s="290">
        <v>224327</v>
      </c>
      <c r="J96" s="290">
        <v>224327</v>
      </c>
      <c r="K96" s="290" t="s">
        <v>986</v>
      </c>
      <c r="L96" s="290" t="s">
        <v>986</v>
      </c>
      <c r="M96" s="290" t="s">
        <v>986</v>
      </c>
      <c r="N96" s="290" t="s">
        <v>986</v>
      </c>
      <c r="O96" s="290" t="s">
        <v>986</v>
      </c>
      <c r="P96" s="290" t="s">
        <v>986</v>
      </c>
      <c r="Q96" s="290" t="s">
        <v>986</v>
      </c>
      <c r="R96" s="290" t="s">
        <v>986</v>
      </c>
      <c r="S96" s="290" t="s">
        <v>986</v>
      </c>
      <c r="T96" s="290">
        <v>1628764</v>
      </c>
      <c r="U96" s="290">
        <v>1328138</v>
      </c>
      <c r="V96" s="290">
        <v>192429</v>
      </c>
      <c r="W96" s="295" t="s">
        <v>88</v>
      </c>
    </row>
    <row r="97" spans="1:23" s="290" customFormat="1" ht="9.75" customHeight="1" x14ac:dyDescent="0.15">
      <c r="A97" s="559" t="s">
        <v>644</v>
      </c>
      <c r="B97" s="290" t="s">
        <v>986</v>
      </c>
      <c r="C97" s="290" t="s">
        <v>986</v>
      </c>
      <c r="D97" s="290" t="s">
        <v>986</v>
      </c>
      <c r="E97" s="290" t="s">
        <v>986</v>
      </c>
      <c r="F97" s="290" t="s">
        <v>986</v>
      </c>
      <c r="G97" s="290" t="s">
        <v>986</v>
      </c>
      <c r="H97" s="290">
        <v>530305</v>
      </c>
      <c r="I97" s="290">
        <v>530282</v>
      </c>
      <c r="J97" s="290">
        <v>421154</v>
      </c>
      <c r="K97" s="290">
        <v>109128</v>
      </c>
      <c r="L97" s="290" t="s">
        <v>986</v>
      </c>
      <c r="M97" s="290" t="s">
        <v>986</v>
      </c>
      <c r="N97" s="290" t="s">
        <v>986</v>
      </c>
      <c r="O97" s="290" t="s">
        <v>986</v>
      </c>
      <c r="P97" s="290" t="s">
        <v>986</v>
      </c>
      <c r="Q97" s="290" t="s">
        <v>986</v>
      </c>
      <c r="R97" s="290">
        <v>23</v>
      </c>
      <c r="S97" s="290">
        <v>23</v>
      </c>
      <c r="T97" s="290">
        <v>1912285</v>
      </c>
      <c r="U97" s="290">
        <v>1669486</v>
      </c>
      <c r="V97" s="290">
        <v>269536</v>
      </c>
      <c r="W97" s="295" t="s">
        <v>89</v>
      </c>
    </row>
    <row r="98" spans="1:23" s="290" customFormat="1" ht="9.75" customHeight="1" x14ac:dyDescent="0.15">
      <c r="A98" s="559" t="s">
        <v>645</v>
      </c>
      <c r="B98" s="290" t="s">
        <v>986</v>
      </c>
      <c r="C98" s="290" t="s">
        <v>986</v>
      </c>
      <c r="D98" s="290" t="s">
        <v>986</v>
      </c>
      <c r="E98" s="290">
        <v>50375</v>
      </c>
      <c r="F98" s="290">
        <v>50375</v>
      </c>
      <c r="G98" s="290" t="s">
        <v>986</v>
      </c>
      <c r="H98" s="290">
        <v>313000</v>
      </c>
      <c r="I98" s="290">
        <v>313000</v>
      </c>
      <c r="J98" s="290">
        <v>313000</v>
      </c>
      <c r="K98" s="290" t="s">
        <v>986</v>
      </c>
      <c r="L98" s="290" t="s">
        <v>986</v>
      </c>
      <c r="M98" s="290" t="s">
        <v>986</v>
      </c>
      <c r="N98" s="290" t="s">
        <v>986</v>
      </c>
      <c r="O98" s="290" t="s">
        <v>986</v>
      </c>
      <c r="P98" s="290" t="s">
        <v>986</v>
      </c>
      <c r="Q98" s="290" t="s">
        <v>986</v>
      </c>
      <c r="R98" s="290" t="s">
        <v>986</v>
      </c>
      <c r="S98" s="290" t="s">
        <v>986</v>
      </c>
      <c r="T98" s="290">
        <v>2000711</v>
      </c>
      <c r="U98" s="290">
        <v>1755400</v>
      </c>
      <c r="V98" s="290">
        <v>131166</v>
      </c>
      <c r="W98" s="295" t="s">
        <v>90</v>
      </c>
    </row>
    <row r="99" spans="1:23" s="290" customFormat="1" ht="9.75" customHeight="1" x14ac:dyDescent="0.15">
      <c r="A99" s="559" t="s">
        <v>646</v>
      </c>
      <c r="B99" s="290" t="s">
        <v>986</v>
      </c>
      <c r="C99" s="290" t="s">
        <v>986</v>
      </c>
      <c r="D99" s="290" t="s">
        <v>986</v>
      </c>
      <c r="E99" s="290">
        <v>48812</v>
      </c>
      <c r="F99" s="290">
        <v>48812</v>
      </c>
      <c r="G99" s="290" t="s">
        <v>986</v>
      </c>
      <c r="H99" s="290">
        <v>362856</v>
      </c>
      <c r="I99" s="290">
        <v>362856</v>
      </c>
      <c r="J99" s="290">
        <v>313086</v>
      </c>
      <c r="K99" s="290" t="s">
        <v>986</v>
      </c>
      <c r="L99" s="290">
        <v>35881</v>
      </c>
      <c r="M99" s="290">
        <v>5243</v>
      </c>
      <c r="N99" s="290">
        <v>8646</v>
      </c>
      <c r="O99" s="290" t="s">
        <v>986</v>
      </c>
      <c r="P99" s="290" t="s">
        <v>986</v>
      </c>
      <c r="Q99" s="290" t="s">
        <v>986</v>
      </c>
      <c r="R99" s="290" t="s">
        <v>986</v>
      </c>
      <c r="S99" s="290" t="s">
        <v>986</v>
      </c>
      <c r="T99" s="290">
        <v>2487539</v>
      </c>
      <c r="U99" s="290">
        <v>2174815</v>
      </c>
      <c r="V99" s="290">
        <v>98608</v>
      </c>
      <c r="W99" s="295" t="s">
        <v>91</v>
      </c>
    </row>
    <row r="100" spans="1:23" s="290" customFormat="1" ht="9.75" customHeight="1" x14ac:dyDescent="0.15">
      <c r="A100" s="559" t="s">
        <v>647</v>
      </c>
      <c r="B100" s="290" t="s">
        <v>986</v>
      </c>
      <c r="C100" s="290" t="s">
        <v>986</v>
      </c>
      <c r="D100" s="290" t="s">
        <v>986</v>
      </c>
      <c r="E100" s="290" t="s">
        <v>986</v>
      </c>
      <c r="F100" s="290" t="s">
        <v>986</v>
      </c>
      <c r="G100" s="290" t="s">
        <v>986</v>
      </c>
      <c r="H100" s="290">
        <v>420905</v>
      </c>
      <c r="I100" s="290">
        <v>420905</v>
      </c>
      <c r="J100" s="290">
        <v>349443</v>
      </c>
      <c r="K100" s="290">
        <v>71462</v>
      </c>
      <c r="L100" s="290" t="s">
        <v>986</v>
      </c>
      <c r="M100" s="290" t="s">
        <v>986</v>
      </c>
      <c r="N100" s="290" t="s">
        <v>986</v>
      </c>
      <c r="O100" s="290" t="s">
        <v>986</v>
      </c>
      <c r="P100" s="290" t="s">
        <v>986</v>
      </c>
      <c r="Q100" s="290" t="s">
        <v>986</v>
      </c>
      <c r="R100" s="290" t="s">
        <v>986</v>
      </c>
      <c r="S100" s="290" t="s">
        <v>986</v>
      </c>
      <c r="T100" s="290">
        <v>1821805</v>
      </c>
      <c r="U100" s="290">
        <v>1587173</v>
      </c>
      <c r="V100" s="290">
        <v>105497</v>
      </c>
      <c r="W100" s="295" t="s">
        <v>92</v>
      </c>
    </row>
    <row r="101" spans="1:23" s="290" customFormat="1" ht="9.75" customHeight="1" x14ac:dyDescent="0.15">
      <c r="A101" s="559" t="s">
        <v>648</v>
      </c>
      <c r="B101" s="290" t="s">
        <v>986</v>
      </c>
      <c r="C101" s="290" t="s">
        <v>986</v>
      </c>
      <c r="D101" s="290" t="s">
        <v>986</v>
      </c>
      <c r="E101" s="290">
        <v>98468</v>
      </c>
      <c r="F101" s="290">
        <v>98468</v>
      </c>
      <c r="G101" s="290" t="s">
        <v>986</v>
      </c>
      <c r="H101" s="290">
        <v>335181</v>
      </c>
      <c r="I101" s="290">
        <v>335158</v>
      </c>
      <c r="J101" s="290">
        <v>301166</v>
      </c>
      <c r="K101" s="290">
        <v>33992</v>
      </c>
      <c r="L101" s="290" t="s">
        <v>986</v>
      </c>
      <c r="M101" s="290" t="s">
        <v>986</v>
      </c>
      <c r="N101" s="290" t="s">
        <v>986</v>
      </c>
      <c r="O101" s="290" t="s">
        <v>986</v>
      </c>
      <c r="P101" s="290" t="s">
        <v>986</v>
      </c>
      <c r="Q101" s="290" t="s">
        <v>986</v>
      </c>
      <c r="R101" s="290">
        <v>23</v>
      </c>
      <c r="S101" s="290">
        <v>23</v>
      </c>
      <c r="T101" s="290">
        <v>2135470</v>
      </c>
      <c r="U101" s="290">
        <v>1751233</v>
      </c>
      <c r="V101" s="290">
        <v>158183</v>
      </c>
      <c r="W101" s="295" t="s">
        <v>76</v>
      </c>
    </row>
    <row r="102" spans="1:23" s="290" customFormat="1" ht="9.75" customHeight="1" x14ac:dyDescent="0.15">
      <c r="A102" s="559" t="s">
        <v>649</v>
      </c>
      <c r="B102" s="290" t="s">
        <v>986</v>
      </c>
      <c r="C102" s="290" t="s">
        <v>986</v>
      </c>
      <c r="D102" s="290" t="s">
        <v>986</v>
      </c>
      <c r="E102" s="290">
        <v>51227</v>
      </c>
      <c r="F102" s="290">
        <v>51227</v>
      </c>
      <c r="G102" s="290" t="s">
        <v>986</v>
      </c>
      <c r="H102" s="290">
        <v>325767</v>
      </c>
      <c r="I102" s="290">
        <v>325767</v>
      </c>
      <c r="J102" s="290">
        <v>278102</v>
      </c>
      <c r="K102" s="290">
        <v>13648</v>
      </c>
      <c r="L102" s="290" t="s">
        <v>986</v>
      </c>
      <c r="M102" s="290">
        <v>34017</v>
      </c>
      <c r="N102" s="290" t="s">
        <v>986</v>
      </c>
      <c r="O102" s="290" t="s">
        <v>986</v>
      </c>
      <c r="P102" s="290" t="s">
        <v>986</v>
      </c>
      <c r="Q102" s="290" t="s">
        <v>986</v>
      </c>
      <c r="R102" s="290" t="s">
        <v>986</v>
      </c>
      <c r="S102" s="290" t="s">
        <v>986</v>
      </c>
      <c r="T102" s="290">
        <v>2014638</v>
      </c>
      <c r="U102" s="290">
        <v>1785279</v>
      </c>
      <c r="V102" s="290">
        <v>153774</v>
      </c>
      <c r="W102" s="295" t="s">
        <v>77</v>
      </c>
    </row>
    <row r="103" spans="1:23" s="290" customFormat="1" ht="9.75" customHeight="1" x14ac:dyDescent="0.15">
      <c r="A103" s="559" t="s">
        <v>650</v>
      </c>
      <c r="B103" s="290" t="s">
        <v>986</v>
      </c>
      <c r="C103" s="290" t="s">
        <v>986</v>
      </c>
      <c r="D103" s="290" t="s">
        <v>986</v>
      </c>
      <c r="E103" s="290">
        <v>25496</v>
      </c>
      <c r="F103" s="290" t="s">
        <v>986</v>
      </c>
      <c r="G103" s="290">
        <v>25496</v>
      </c>
      <c r="H103" s="290">
        <v>252827</v>
      </c>
      <c r="I103" s="290">
        <v>252827</v>
      </c>
      <c r="J103" s="290">
        <v>237560</v>
      </c>
      <c r="K103" s="290" t="s">
        <v>986</v>
      </c>
      <c r="L103" s="290" t="s">
        <v>986</v>
      </c>
      <c r="M103" s="290">
        <v>15267</v>
      </c>
      <c r="N103" s="290" t="s">
        <v>986</v>
      </c>
      <c r="O103" s="290" t="s">
        <v>986</v>
      </c>
      <c r="P103" s="290" t="s">
        <v>986</v>
      </c>
      <c r="Q103" s="290" t="s">
        <v>986</v>
      </c>
      <c r="R103" s="290" t="s">
        <v>986</v>
      </c>
      <c r="S103" s="290" t="s">
        <v>986</v>
      </c>
      <c r="T103" s="290">
        <v>2215861</v>
      </c>
      <c r="U103" s="290">
        <v>1987548</v>
      </c>
      <c r="V103" s="290">
        <v>237666</v>
      </c>
      <c r="W103" s="295" t="s">
        <v>78</v>
      </c>
    </row>
    <row r="104" spans="1:23" s="290" customFormat="1" ht="9.75" customHeight="1" x14ac:dyDescent="0.15">
      <c r="A104" s="559" t="s">
        <v>996</v>
      </c>
      <c r="B104" s="290" t="s">
        <v>986</v>
      </c>
      <c r="C104" s="290" t="s">
        <v>986</v>
      </c>
      <c r="D104" s="290" t="s">
        <v>986</v>
      </c>
      <c r="E104" s="290">
        <v>50189</v>
      </c>
      <c r="F104" s="290">
        <v>50189</v>
      </c>
      <c r="G104" s="290" t="s">
        <v>986</v>
      </c>
      <c r="H104" s="290">
        <v>303102</v>
      </c>
      <c r="I104" s="290">
        <v>303102</v>
      </c>
      <c r="J104" s="290">
        <v>303102</v>
      </c>
      <c r="K104" s="290" t="s">
        <v>986</v>
      </c>
      <c r="L104" s="290" t="s">
        <v>986</v>
      </c>
      <c r="M104" s="290" t="s">
        <v>986</v>
      </c>
      <c r="N104" s="290" t="s">
        <v>986</v>
      </c>
      <c r="O104" s="290" t="s">
        <v>986</v>
      </c>
      <c r="P104" s="290" t="s">
        <v>986</v>
      </c>
      <c r="Q104" s="290" t="s">
        <v>986</v>
      </c>
      <c r="R104" s="290" t="s">
        <v>986</v>
      </c>
      <c r="S104" s="290" t="s">
        <v>986</v>
      </c>
      <c r="T104" s="290">
        <v>1972852</v>
      </c>
      <c r="U104" s="290">
        <v>1745984</v>
      </c>
      <c r="V104" s="290">
        <v>152638</v>
      </c>
      <c r="W104" s="295" t="s">
        <v>997</v>
      </c>
    </row>
    <row r="105" spans="1:23" s="290" customFormat="1" ht="9.75" customHeight="1" x14ac:dyDescent="0.15">
      <c r="A105" s="559" t="s">
        <v>651</v>
      </c>
      <c r="B105" s="290" t="s">
        <v>986</v>
      </c>
      <c r="C105" s="290" t="s">
        <v>986</v>
      </c>
      <c r="D105" s="290" t="s">
        <v>986</v>
      </c>
      <c r="E105" s="290" t="s">
        <v>986</v>
      </c>
      <c r="F105" s="290" t="s">
        <v>986</v>
      </c>
      <c r="G105" s="290" t="s">
        <v>986</v>
      </c>
      <c r="H105" s="290">
        <v>139243</v>
      </c>
      <c r="I105" s="290">
        <v>139243</v>
      </c>
      <c r="J105" s="290">
        <v>139243</v>
      </c>
      <c r="K105" s="290" t="s">
        <v>986</v>
      </c>
      <c r="L105" s="290" t="s">
        <v>986</v>
      </c>
      <c r="M105" s="290" t="s">
        <v>986</v>
      </c>
      <c r="N105" s="290" t="s">
        <v>986</v>
      </c>
      <c r="O105" s="290" t="s">
        <v>986</v>
      </c>
      <c r="P105" s="290" t="s">
        <v>986</v>
      </c>
      <c r="Q105" s="290" t="s">
        <v>986</v>
      </c>
      <c r="R105" s="290" t="s">
        <v>986</v>
      </c>
      <c r="S105" s="290" t="s">
        <v>986</v>
      </c>
      <c r="T105" s="290">
        <v>2036220</v>
      </c>
      <c r="U105" s="290">
        <v>1770202</v>
      </c>
      <c r="V105" s="290">
        <v>194940</v>
      </c>
      <c r="W105" s="295" t="s">
        <v>73</v>
      </c>
    </row>
    <row r="106" spans="1:23" s="290" customFormat="1" ht="9.75" customHeight="1" x14ac:dyDescent="0.15">
      <c r="A106" s="560" t="s">
        <v>652</v>
      </c>
      <c r="B106" s="294" t="s">
        <v>986</v>
      </c>
      <c r="C106" s="293" t="s">
        <v>986</v>
      </c>
      <c r="D106" s="293" t="s">
        <v>986</v>
      </c>
      <c r="E106" s="293" t="s">
        <v>986</v>
      </c>
      <c r="F106" s="293" t="s">
        <v>986</v>
      </c>
      <c r="G106" s="293" t="s">
        <v>986</v>
      </c>
      <c r="H106" s="293">
        <v>234352</v>
      </c>
      <c r="I106" s="293">
        <v>234329</v>
      </c>
      <c r="J106" s="293">
        <v>234329</v>
      </c>
      <c r="K106" s="293" t="s">
        <v>986</v>
      </c>
      <c r="L106" s="293" t="s">
        <v>986</v>
      </c>
      <c r="M106" s="293" t="s">
        <v>986</v>
      </c>
      <c r="N106" s="293" t="s">
        <v>986</v>
      </c>
      <c r="O106" s="293" t="s">
        <v>986</v>
      </c>
      <c r="P106" s="293" t="s">
        <v>986</v>
      </c>
      <c r="Q106" s="293" t="s">
        <v>986</v>
      </c>
      <c r="R106" s="293">
        <v>23</v>
      </c>
      <c r="S106" s="293">
        <v>23</v>
      </c>
      <c r="T106" s="293">
        <v>2091779</v>
      </c>
      <c r="U106" s="293">
        <v>1963549</v>
      </c>
      <c r="V106" s="293">
        <v>322193</v>
      </c>
      <c r="W106" s="291" t="s">
        <v>74</v>
      </c>
    </row>
    <row r="107" spans="1:23" ht="12" customHeight="1" x14ac:dyDescent="0.15"/>
    <row r="108" spans="1:23" ht="12" customHeight="1" x14ac:dyDescent="0.15"/>
    <row r="109" spans="1:23" ht="12" customHeight="1" x14ac:dyDescent="0.15">
      <c r="K109" s="299" t="s">
        <v>93</v>
      </c>
    </row>
    <row r="110" spans="1:23" s="297" customFormat="1" ht="21" customHeight="1" x14ac:dyDescent="0.15">
      <c r="A110" s="1053" t="s">
        <v>172</v>
      </c>
      <c r="B110" s="832" t="s">
        <v>296</v>
      </c>
      <c r="C110" s="827"/>
      <c r="D110" s="827"/>
      <c r="E110" s="827"/>
      <c r="F110" s="827"/>
      <c r="G110" s="827"/>
      <c r="H110" s="827"/>
      <c r="I110" s="827"/>
      <c r="J110" s="827"/>
      <c r="K110" s="827"/>
      <c r="L110" s="827"/>
      <c r="M110" s="827"/>
      <c r="N110" s="827"/>
      <c r="O110" s="827"/>
      <c r="P110" s="827"/>
      <c r="Q110" s="827"/>
      <c r="R110" s="827"/>
      <c r="S110" s="827"/>
      <c r="T110" s="827"/>
      <c r="U110" s="827"/>
      <c r="V110" s="827"/>
      <c r="W110" s="1056" t="s">
        <v>79</v>
      </c>
    </row>
    <row r="111" spans="1:23" s="297" customFormat="1" ht="21" customHeight="1" x14ac:dyDescent="0.15">
      <c r="A111" s="1054"/>
      <c r="B111" s="832" t="s">
        <v>260</v>
      </c>
      <c r="C111" s="827"/>
      <c r="D111" s="827"/>
      <c r="E111" s="827"/>
      <c r="F111" s="827"/>
      <c r="G111" s="827"/>
      <c r="H111" s="827"/>
      <c r="I111" s="827"/>
      <c r="J111" s="827"/>
      <c r="K111" s="827"/>
      <c r="L111" s="827"/>
      <c r="M111" s="827"/>
      <c r="N111" s="827"/>
      <c r="O111" s="827"/>
      <c r="P111" s="827"/>
      <c r="Q111" s="827"/>
      <c r="R111" s="827"/>
      <c r="S111" s="834"/>
      <c r="T111" s="826" t="s">
        <v>259</v>
      </c>
      <c r="U111" s="827"/>
      <c r="V111" s="827"/>
      <c r="W111" s="1057"/>
    </row>
    <row r="112" spans="1:23" s="297" customFormat="1" ht="52.5" customHeight="1" x14ac:dyDescent="0.15">
      <c r="A112" s="1055"/>
      <c r="B112" s="298" t="s">
        <v>271</v>
      </c>
      <c r="C112" s="298" t="s">
        <v>277</v>
      </c>
      <c r="D112" s="298" t="s">
        <v>276</v>
      </c>
      <c r="E112" s="298" t="s">
        <v>255</v>
      </c>
      <c r="F112" s="298" t="s">
        <v>254</v>
      </c>
      <c r="G112" s="298" t="s">
        <v>253</v>
      </c>
      <c r="H112" s="298" t="s">
        <v>303</v>
      </c>
      <c r="I112" s="298" t="s">
        <v>252</v>
      </c>
      <c r="J112" s="298" t="s">
        <v>281</v>
      </c>
      <c r="K112" s="298" t="s">
        <v>302</v>
      </c>
      <c r="L112" s="298" t="s">
        <v>301</v>
      </c>
      <c r="M112" s="298" t="s">
        <v>606</v>
      </c>
      <c r="N112" s="298" t="s">
        <v>264</v>
      </c>
      <c r="O112" s="298" t="s">
        <v>263</v>
      </c>
      <c r="P112" s="298" t="s">
        <v>262</v>
      </c>
      <c r="Q112" s="298" t="s">
        <v>251</v>
      </c>
      <c r="R112" s="298" t="s">
        <v>250</v>
      </c>
      <c r="S112" s="301" t="s">
        <v>853</v>
      </c>
      <c r="T112" s="696" t="s">
        <v>101</v>
      </c>
      <c r="U112" s="298" t="s">
        <v>249</v>
      </c>
      <c r="V112" s="300" t="s">
        <v>299</v>
      </c>
      <c r="W112" s="1058"/>
    </row>
    <row r="113" spans="1:23" s="290" customFormat="1" ht="9.75" customHeight="1" x14ac:dyDescent="0.15">
      <c r="A113" s="828" t="s">
        <v>985</v>
      </c>
      <c r="B113" s="829">
        <v>251122</v>
      </c>
      <c r="C113" s="830" t="s">
        <v>986</v>
      </c>
      <c r="D113" s="830">
        <v>195369</v>
      </c>
      <c r="E113" s="830">
        <v>82406</v>
      </c>
      <c r="F113" s="830">
        <v>208071</v>
      </c>
      <c r="G113" s="830" t="s">
        <v>986</v>
      </c>
      <c r="H113" s="830" t="s">
        <v>986</v>
      </c>
      <c r="I113" s="830">
        <v>15768</v>
      </c>
      <c r="J113" s="830">
        <v>1423988</v>
      </c>
      <c r="K113" s="830">
        <v>20107</v>
      </c>
      <c r="L113" s="830" t="s">
        <v>986</v>
      </c>
      <c r="M113" s="830" t="s">
        <v>986</v>
      </c>
      <c r="N113" s="830">
        <v>973185</v>
      </c>
      <c r="O113" s="830">
        <v>1759035</v>
      </c>
      <c r="P113" s="830">
        <v>1671365</v>
      </c>
      <c r="Q113" s="830">
        <v>4840238</v>
      </c>
      <c r="R113" s="830" t="s">
        <v>986</v>
      </c>
      <c r="S113" s="830">
        <v>5265788</v>
      </c>
      <c r="T113" s="830">
        <v>2301081</v>
      </c>
      <c r="U113" s="830">
        <v>421693</v>
      </c>
      <c r="V113" s="830" t="s">
        <v>986</v>
      </c>
      <c r="W113" s="831" t="s">
        <v>485</v>
      </c>
    </row>
    <row r="114" spans="1:23" s="290" customFormat="1" ht="9.75" customHeight="1" x14ac:dyDescent="0.15">
      <c r="A114" s="559" t="s">
        <v>634</v>
      </c>
      <c r="B114" s="290">
        <v>82439</v>
      </c>
      <c r="C114" s="290">
        <v>26763</v>
      </c>
      <c r="D114" s="290">
        <v>91836</v>
      </c>
      <c r="E114" s="290">
        <v>94780</v>
      </c>
      <c r="F114" s="290">
        <v>326247</v>
      </c>
      <c r="G114" s="290">
        <v>122549</v>
      </c>
      <c r="H114" s="290">
        <v>21661</v>
      </c>
      <c r="I114" s="290" t="s">
        <v>986</v>
      </c>
      <c r="J114" s="290">
        <v>1882304</v>
      </c>
      <c r="K114" s="290">
        <v>14825</v>
      </c>
      <c r="L114" s="290">
        <v>30593</v>
      </c>
      <c r="M114" s="290">
        <v>91803</v>
      </c>
      <c r="N114" s="290">
        <v>939424</v>
      </c>
      <c r="O114" s="290">
        <v>1222091</v>
      </c>
      <c r="P114" s="290">
        <v>2044535</v>
      </c>
      <c r="Q114" s="290">
        <v>5859243</v>
      </c>
      <c r="R114" s="290">
        <v>31678</v>
      </c>
      <c r="S114" s="290">
        <v>4576678</v>
      </c>
      <c r="T114" s="290">
        <v>1947894</v>
      </c>
      <c r="U114" s="290">
        <v>332435</v>
      </c>
      <c r="V114" s="290" t="s">
        <v>986</v>
      </c>
      <c r="W114" s="295" t="s">
        <v>588</v>
      </c>
    </row>
    <row r="115" spans="1:23" s="290" customFormat="1" ht="9.75" customHeight="1" x14ac:dyDescent="0.15">
      <c r="A115" s="559" t="s">
        <v>635</v>
      </c>
      <c r="B115" s="290" t="s">
        <v>986</v>
      </c>
      <c r="C115" s="290" t="s">
        <v>986</v>
      </c>
      <c r="D115" s="290">
        <v>145148</v>
      </c>
      <c r="E115" s="290">
        <v>165342</v>
      </c>
      <c r="F115" s="290">
        <v>349319</v>
      </c>
      <c r="G115" s="290">
        <v>235299</v>
      </c>
      <c r="H115" s="290" t="s">
        <v>986</v>
      </c>
      <c r="I115" s="290" t="s">
        <v>986</v>
      </c>
      <c r="J115" s="290">
        <v>1562807</v>
      </c>
      <c r="K115" s="290" t="s">
        <v>986</v>
      </c>
      <c r="L115" s="290">
        <v>11553</v>
      </c>
      <c r="M115" s="290">
        <v>103033</v>
      </c>
      <c r="N115" s="290">
        <v>1268082</v>
      </c>
      <c r="O115" s="290">
        <v>2325577</v>
      </c>
      <c r="P115" s="290">
        <v>2172238</v>
      </c>
      <c r="Q115" s="290">
        <v>5185461</v>
      </c>
      <c r="R115" s="290">
        <v>552695</v>
      </c>
      <c r="S115" s="290">
        <v>5804822</v>
      </c>
      <c r="T115" s="290">
        <v>2006329</v>
      </c>
      <c r="U115" s="290">
        <v>100565</v>
      </c>
      <c r="V115" s="290" t="s">
        <v>986</v>
      </c>
      <c r="W115" s="295" t="s">
        <v>636</v>
      </c>
    </row>
    <row r="116" spans="1:23" s="290" customFormat="1" ht="9.75" customHeight="1" x14ac:dyDescent="0.15">
      <c r="A116" s="559" t="s">
        <v>774</v>
      </c>
      <c r="B116" s="290">
        <v>117631</v>
      </c>
      <c r="C116" s="290" t="s">
        <v>986</v>
      </c>
      <c r="D116" s="290">
        <v>85698</v>
      </c>
      <c r="E116" s="290">
        <v>666071</v>
      </c>
      <c r="F116" s="290">
        <v>246970</v>
      </c>
      <c r="G116" s="290" t="s">
        <v>986</v>
      </c>
      <c r="H116" s="290" t="s">
        <v>986</v>
      </c>
      <c r="I116" s="290">
        <v>7487</v>
      </c>
      <c r="J116" s="290">
        <v>688517</v>
      </c>
      <c r="K116" s="290">
        <v>93614</v>
      </c>
      <c r="L116" s="290" t="s">
        <v>986</v>
      </c>
      <c r="M116" s="290" t="s">
        <v>986</v>
      </c>
      <c r="N116" s="290">
        <v>1110367</v>
      </c>
      <c r="O116" s="290">
        <v>1864046</v>
      </c>
      <c r="P116" s="290">
        <v>2328791</v>
      </c>
      <c r="Q116" s="290">
        <v>4508497</v>
      </c>
      <c r="R116" s="290">
        <v>15896</v>
      </c>
      <c r="S116" s="290">
        <v>6490575</v>
      </c>
      <c r="T116" s="290">
        <v>1251843</v>
      </c>
      <c r="U116" s="290">
        <v>43547</v>
      </c>
      <c r="V116" s="290">
        <v>80648</v>
      </c>
      <c r="W116" s="295" t="s">
        <v>775</v>
      </c>
    </row>
    <row r="117" spans="1:23" s="290" customFormat="1" ht="9.75" customHeight="1" x14ac:dyDescent="0.15">
      <c r="A117" s="559" t="s">
        <v>987</v>
      </c>
      <c r="B117" s="290" t="s">
        <v>986</v>
      </c>
      <c r="C117" s="290" t="s">
        <v>986</v>
      </c>
      <c r="D117" s="290">
        <v>288223</v>
      </c>
      <c r="E117" s="290">
        <v>96049</v>
      </c>
      <c r="F117" s="290">
        <v>56134</v>
      </c>
      <c r="G117" s="290" t="s">
        <v>986</v>
      </c>
      <c r="H117" s="290" t="s">
        <v>986</v>
      </c>
      <c r="I117" s="290" t="s">
        <v>986</v>
      </c>
      <c r="J117" s="290">
        <v>208016</v>
      </c>
      <c r="K117" s="290" t="s">
        <v>986</v>
      </c>
      <c r="L117" s="290" t="s">
        <v>986</v>
      </c>
      <c r="M117" s="290">
        <v>58686</v>
      </c>
      <c r="N117" s="290">
        <v>1095838</v>
      </c>
      <c r="O117" s="290">
        <v>1560962</v>
      </c>
      <c r="P117" s="290">
        <v>3716945</v>
      </c>
      <c r="Q117" s="290">
        <v>5134118</v>
      </c>
      <c r="R117" s="290">
        <v>124655</v>
      </c>
      <c r="S117" s="290">
        <v>7013758</v>
      </c>
      <c r="T117" s="290">
        <v>664795</v>
      </c>
      <c r="U117" s="290" t="s">
        <v>986</v>
      </c>
      <c r="V117" s="290" t="s">
        <v>986</v>
      </c>
      <c r="W117" s="295" t="s">
        <v>988</v>
      </c>
    </row>
    <row r="118" spans="1:23" s="290" customFormat="1" ht="6.75" customHeight="1" x14ac:dyDescent="0.15">
      <c r="A118" s="578"/>
      <c r="W118" s="295"/>
    </row>
    <row r="119" spans="1:23" s="290" customFormat="1" ht="9.75" customHeight="1" x14ac:dyDescent="0.15">
      <c r="A119" s="559" t="s">
        <v>989</v>
      </c>
      <c r="B119" s="290">
        <v>117631</v>
      </c>
      <c r="C119" s="290" t="s">
        <v>986</v>
      </c>
      <c r="D119" s="290">
        <v>134958</v>
      </c>
      <c r="E119" s="290">
        <v>517739</v>
      </c>
      <c r="F119" s="290">
        <v>193720</v>
      </c>
      <c r="G119" s="290" t="s">
        <v>986</v>
      </c>
      <c r="H119" s="290" t="s">
        <v>986</v>
      </c>
      <c r="I119" s="290">
        <v>7487</v>
      </c>
      <c r="J119" s="290">
        <v>502326</v>
      </c>
      <c r="K119" s="290">
        <v>45627</v>
      </c>
      <c r="L119" s="290" t="s">
        <v>986</v>
      </c>
      <c r="M119" s="290" t="s">
        <v>986</v>
      </c>
      <c r="N119" s="290">
        <v>1241147</v>
      </c>
      <c r="O119" s="290">
        <v>2155029</v>
      </c>
      <c r="P119" s="290">
        <v>2782178</v>
      </c>
      <c r="Q119" s="290">
        <v>4653808</v>
      </c>
      <c r="R119" s="290">
        <v>15896</v>
      </c>
      <c r="S119" s="290">
        <v>6518138</v>
      </c>
      <c r="T119" s="290">
        <v>743455</v>
      </c>
      <c r="U119" s="290" t="s">
        <v>986</v>
      </c>
      <c r="V119" s="290" t="s">
        <v>986</v>
      </c>
      <c r="W119" s="295" t="s">
        <v>776</v>
      </c>
    </row>
    <row r="120" spans="1:23" s="290" customFormat="1" ht="9.75" customHeight="1" x14ac:dyDescent="0.15">
      <c r="A120" s="559" t="s">
        <v>990</v>
      </c>
      <c r="B120" s="290" t="s">
        <v>986</v>
      </c>
      <c r="C120" s="290" t="s">
        <v>986</v>
      </c>
      <c r="D120" s="290">
        <v>265732</v>
      </c>
      <c r="E120" s="290">
        <v>48503</v>
      </c>
      <c r="F120" s="290">
        <v>11075</v>
      </c>
      <c r="G120" s="290" t="s">
        <v>986</v>
      </c>
      <c r="H120" s="290" t="s">
        <v>986</v>
      </c>
      <c r="I120" s="290" t="s">
        <v>986</v>
      </c>
      <c r="J120" s="290">
        <v>214126</v>
      </c>
      <c r="K120" s="290" t="s">
        <v>986</v>
      </c>
      <c r="L120" s="290" t="s">
        <v>986</v>
      </c>
      <c r="M120" s="290">
        <v>58686</v>
      </c>
      <c r="N120" s="290">
        <v>1010193</v>
      </c>
      <c r="O120" s="290">
        <v>1191888</v>
      </c>
      <c r="P120" s="290">
        <v>4237665</v>
      </c>
      <c r="Q120" s="290">
        <v>4988690</v>
      </c>
      <c r="R120" s="290">
        <v>124655</v>
      </c>
      <c r="S120" s="290">
        <v>7187908</v>
      </c>
      <c r="T120" s="290">
        <v>590156</v>
      </c>
      <c r="U120" s="290" t="s">
        <v>986</v>
      </c>
      <c r="V120" s="290" t="s">
        <v>986</v>
      </c>
      <c r="W120" s="295" t="s">
        <v>991</v>
      </c>
    </row>
    <row r="121" spans="1:23" s="290" customFormat="1" ht="6.75" customHeight="1" x14ac:dyDescent="0.15">
      <c r="A121" s="578"/>
      <c r="W121" s="295"/>
    </row>
    <row r="122" spans="1:23" s="290" customFormat="1" ht="9.75" customHeight="1" x14ac:dyDescent="0.15">
      <c r="A122" s="559" t="s">
        <v>992</v>
      </c>
      <c r="B122" s="290" t="s">
        <v>986</v>
      </c>
      <c r="C122" s="290" t="s">
        <v>986</v>
      </c>
      <c r="D122" s="290">
        <v>49260</v>
      </c>
      <c r="E122" s="290">
        <v>47546</v>
      </c>
      <c r="F122" s="290">
        <v>45059</v>
      </c>
      <c r="G122" s="290" t="s">
        <v>986</v>
      </c>
      <c r="H122" s="290" t="s">
        <v>986</v>
      </c>
      <c r="I122" s="290" t="s">
        <v>986</v>
      </c>
      <c r="J122" s="290">
        <v>40182</v>
      </c>
      <c r="K122" s="290" t="s">
        <v>986</v>
      </c>
      <c r="L122" s="290" t="s">
        <v>986</v>
      </c>
      <c r="M122" s="290" t="s">
        <v>986</v>
      </c>
      <c r="N122" s="290">
        <v>331333</v>
      </c>
      <c r="O122" s="290">
        <v>694025</v>
      </c>
      <c r="P122" s="290">
        <v>916831</v>
      </c>
      <c r="Q122" s="290">
        <v>1187397</v>
      </c>
      <c r="R122" s="290" t="s">
        <v>986</v>
      </c>
      <c r="S122" s="290">
        <v>1512594</v>
      </c>
      <c r="T122" s="290">
        <v>74639</v>
      </c>
      <c r="U122" s="290" t="s">
        <v>986</v>
      </c>
      <c r="V122" s="290" t="s">
        <v>986</v>
      </c>
      <c r="W122" s="295" t="s">
        <v>777</v>
      </c>
    </row>
    <row r="123" spans="1:23" s="290" customFormat="1" ht="9.75" customHeight="1" x14ac:dyDescent="0.15">
      <c r="A123" s="559" t="s">
        <v>637</v>
      </c>
      <c r="B123" s="290" t="s">
        <v>986</v>
      </c>
      <c r="C123" s="290" t="s">
        <v>986</v>
      </c>
      <c r="D123" s="290">
        <v>95488</v>
      </c>
      <c r="E123" s="290" t="s">
        <v>986</v>
      </c>
      <c r="F123" s="290">
        <v>11075</v>
      </c>
      <c r="G123" s="290" t="s">
        <v>986</v>
      </c>
      <c r="H123" s="290" t="s">
        <v>986</v>
      </c>
      <c r="I123" s="290" t="s">
        <v>986</v>
      </c>
      <c r="J123" s="290">
        <v>53949</v>
      </c>
      <c r="K123" s="290" t="s">
        <v>986</v>
      </c>
      <c r="L123" s="290" t="s">
        <v>986</v>
      </c>
      <c r="M123" s="290">
        <v>58686</v>
      </c>
      <c r="N123" s="290">
        <v>335691</v>
      </c>
      <c r="O123" s="290">
        <v>237132</v>
      </c>
      <c r="P123" s="290">
        <v>888404</v>
      </c>
      <c r="Q123" s="290">
        <v>1217373</v>
      </c>
      <c r="R123" s="290" t="s">
        <v>986</v>
      </c>
      <c r="S123" s="290">
        <v>1474805</v>
      </c>
      <c r="T123" s="290">
        <v>141398</v>
      </c>
      <c r="U123" s="290" t="s">
        <v>986</v>
      </c>
      <c r="V123" s="290" t="s">
        <v>986</v>
      </c>
      <c r="W123" s="295" t="s">
        <v>85</v>
      </c>
    </row>
    <row r="124" spans="1:23" s="290" customFormat="1" ht="9.75" customHeight="1" x14ac:dyDescent="0.15">
      <c r="A124" s="559" t="s">
        <v>638</v>
      </c>
      <c r="B124" s="290" t="s">
        <v>986</v>
      </c>
      <c r="C124" s="290" t="s">
        <v>986</v>
      </c>
      <c r="D124" s="290">
        <v>132356</v>
      </c>
      <c r="E124" s="290">
        <v>48503</v>
      </c>
      <c r="F124" s="290" t="s">
        <v>986</v>
      </c>
      <c r="G124" s="290" t="s">
        <v>986</v>
      </c>
      <c r="H124" s="290" t="s">
        <v>986</v>
      </c>
      <c r="I124" s="290" t="s">
        <v>986</v>
      </c>
      <c r="J124" s="290">
        <v>113885</v>
      </c>
      <c r="K124" s="290" t="s">
        <v>986</v>
      </c>
      <c r="L124" s="290" t="s">
        <v>986</v>
      </c>
      <c r="M124" s="290" t="s">
        <v>986</v>
      </c>
      <c r="N124" s="290">
        <v>177743</v>
      </c>
      <c r="O124" s="290">
        <v>361835</v>
      </c>
      <c r="P124" s="290">
        <v>880771</v>
      </c>
      <c r="Q124" s="290">
        <v>1444022</v>
      </c>
      <c r="R124" s="290" t="s">
        <v>986</v>
      </c>
      <c r="S124" s="290">
        <v>2023002</v>
      </c>
      <c r="T124" s="290">
        <v>226528</v>
      </c>
      <c r="U124" s="290" t="s">
        <v>986</v>
      </c>
      <c r="V124" s="290" t="s">
        <v>986</v>
      </c>
      <c r="W124" s="295" t="s">
        <v>86</v>
      </c>
    </row>
    <row r="125" spans="1:23" s="290" customFormat="1" ht="9.75" customHeight="1" x14ac:dyDescent="0.15">
      <c r="A125" s="559" t="s">
        <v>639</v>
      </c>
      <c r="B125" s="290" t="s">
        <v>986</v>
      </c>
      <c r="C125" s="290" t="s">
        <v>986</v>
      </c>
      <c r="D125" s="290">
        <v>11119</v>
      </c>
      <c r="E125" s="290" t="s">
        <v>986</v>
      </c>
      <c r="F125" s="290" t="s">
        <v>986</v>
      </c>
      <c r="G125" s="290" t="s">
        <v>986</v>
      </c>
      <c r="H125" s="290" t="s">
        <v>986</v>
      </c>
      <c r="I125" s="290" t="s">
        <v>986</v>
      </c>
      <c r="J125" s="290" t="s">
        <v>986</v>
      </c>
      <c r="K125" s="290" t="s">
        <v>986</v>
      </c>
      <c r="L125" s="290" t="s">
        <v>986</v>
      </c>
      <c r="M125" s="290" t="s">
        <v>986</v>
      </c>
      <c r="N125" s="290">
        <v>251071</v>
      </c>
      <c r="O125" s="290">
        <v>267970</v>
      </c>
      <c r="P125" s="290">
        <v>1030939</v>
      </c>
      <c r="Q125" s="290">
        <v>1285326</v>
      </c>
      <c r="R125" s="290">
        <v>124655</v>
      </c>
      <c r="S125" s="290">
        <v>2003357</v>
      </c>
      <c r="T125" s="290">
        <v>222230</v>
      </c>
      <c r="U125" s="290" t="s">
        <v>986</v>
      </c>
      <c r="V125" s="290" t="s">
        <v>986</v>
      </c>
      <c r="W125" s="295" t="s">
        <v>87</v>
      </c>
    </row>
    <row r="126" spans="1:23" s="290" customFormat="1" ht="9.75" customHeight="1" x14ac:dyDescent="0.15">
      <c r="A126" s="559" t="s">
        <v>993</v>
      </c>
      <c r="B126" s="290" t="s">
        <v>986</v>
      </c>
      <c r="C126" s="290" t="s">
        <v>986</v>
      </c>
      <c r="D126" s="290">
        <v>26769</v>
      </c>
      <c r="E126" s="290" t="s">
        <v>986</v>
      </c>
      <c r="F126" s="290" t="s">
        <v>986</v>
      </c>
      <c r="G126" s="290" t="s">
        <v>986</v>
      </c>
      <c r="H126" s="290" t="s">
        <v>986</v>
      </c>
      <c r="I126" s="290" t="s">
        <v>986</v>
      </c>
      <c r="J126" s="290">
        <v>46292</v>
      </c>
      <c r="K126" s="290" t="s">
        <v>986</v>
      </c>
      <c r="L126" s="290" t="s">
        <v>986</v>
      </c>
      <c r="M126" s="290" t="s">
        <v>986</v>
      </c>
      <c r="N126" s="290">
        <v>245688</v>
      </c>
      <c r="O126" s="290">
        <v>324951</v>
      </c>
      <c r="P126" s="290">
        <v>1437551</v>
      </c>
      <c r="Q126" s="290">
        <v>1041969</v>
      </c>
      <c r="R126" s="290" t="s">
        <v>986</v>
      </c>
      <c r="S126" s="290">
        <v>1686744</v>
      </c>
      <c r="T126" s="290" t="s">
        <v>986</v>
      </c>
      <c r="U126" s="290" t="s">
        <v>986</v>
      </c>
      <c r="V126" s="290" t="s">
        <v>986</v>
      </c>
      <c r="W126" s="295" t="s">
        <v>994</v>
      </c>
    </row>
    <row r="127" spans="1:23" s="290" customFormat="1" ht="6.75" customHeight="1" x14ac:dyDescent="0.15">
      <c r="A127" s="578"/>
      <c r="W127" s="295"/>
    </row>
    <row r="128" spans="1:23" s="290" customFormat="1" ht="9.75" customHeight="1" x14ac:dyDescent="0.15">
      <c r="A128" s="559" t="s">
        <v>995</v>
      </c>
      <c r="B128" s="290" t="s">
        <v>986</v>
      </c>
      <c r="C128" s="290" t="s">
        <v>986</v>
      </c>
      <c r="D128" s="290" t="s">
        <v>986</v>
      </c>
      <c r="E128" s="290">
        <v>47546</v>
      </c>
      <c r="F128" s="290">
        <v>4695</v>
      </c>
      <c r="G128" s="290" t="s">
        <v>986</v>
      </c>
      <c r="H128" s="290" t="s">
        <v>986</v>
      </c>
      <c r="I128" s="290" t="s">
        <v>986</v>
      </c>
      <c r="J128" s="290" t="s">
        <v>986</v>
      </c>
      <c r="K128" s="290" t="s">
        <v>986</v>
      </c>
      <c r="L128" s="290" t="s">
        <v>986</v>
      </c>
      <c r="M128" s="290" t="s">
        <v>986</v>
      </c>
      <c r="N128" s="290">
        <v>111749</v>
      </c>
      <c r="O128" s="290">
        <v>147149</v>
      </c>
      <c r="P128" s="290">
        <v>391073</v>
      </c>
      <c r="Q128" s="290">
        <v>318217</v>
      </c>
      <c r="R128" s="290" t="s">
        <v>986</v>
      </c>
      <c r="S128" s="290">
        <v>711414</v>
      </c>
      <c r="T128" s="290">
        <v>74639</v>
      </c>
      <c r="U128" s="290" t="s">
        <v>986</v>
      </c>
      <c r="V128" s="290" t="s">
        <v>986</v>
      </c>
      <c r="W128" s="295" t="s">
        <v>778</v>
      </c>
    </row>
    <row r="129" spans="1:23" s="290" customFormat="1" ht="9.75" customHeight="1" x14ac:dyDescent="0.15">
      <c r="A129" s="559" t="s">
        <v>640</v>
      </c>
      <c r="B129" s="290" t="s">
        <v>986</v>
      </c>
      <c r="C129" s="290" t="s">
        <v>986</v>
      </c>
      <c r="D129" s="290">
        <v>49260</v>
      </c>
      <c r="E129" s="290" t="s">
        <v>986</v>
      </c>
      <c r="F129" s="290" t="s">
        <v>986</v>
      </c>
      <c r="G129" s="290" t="s">
        <v>986</v>
      </c>
      <c r="H129" s="290" t="s">
        <v>986</v>
      </c>
      <c r="I129" s="290" t="s">
        <v>986</v>
      </c>
      <c r="J129" s="290" t="s">
        <v>986</v>
      </c>
      <c r="K129" s="290" t="s">
        <v>986</v>
      </c>
      <c r="L129" s="290" t="s">
        <v>986</v>
      </c>
      <c r="M129" s="290" t="s">
        <v>986</v>
      </c>
      <c r="N129" s="290">
        <v>101552</v>
      </c>
      <c r="O129" s="290">
        <v>341707</v>
      </c>
      <c r="P129" s="290">
        <v>128834</v>
      </c>
      <c r="Q129" s="290">
        <v>391180</v>
      </c>
      <c r="R129" s="290" t="s">
        <v>986</v>
      </c>
      <c r="S129" s="290">
        <v>343798</v>
      </c>
      <c r="T129" s="290" t="s">
        <v>986</v>
      </c>
      <c r="U129" s="290" t="s">
        <v>986</v>
      </c>
      <c r="V129" s="290" t="s">
        <v>986</v>
      </c>
      <c r="W129" s="295" t="s">
        <v>73</v>
      </c>
    </row>
    <row r="130" spans="1:23" s="290" customFormat="1" ht="9.75" customHeight="1" x14ac:dyDescent="0.15">
      <c r="A130" s="559" t="s">
        <v>641</v>
      </c>
      <c r="B130" s="290" t="s">
        <v>986</v>
      </c>
      <c r="C130" s="290" t="s">
        <v>986</v>
      </c>
      <c r="D130" s="290" t="s">
        <v>986</v>
      </c>
      <c r="E130" s="290" t="s">
        <v>986</v>
      </c>
      <c r="F130" s="290">
        <v>40364</v>
      </c>
      <c r="G130" s="290" t="s">
        <v>986</v>
      </c>
      <c r="H130" s="290" t="s">
        <v>986</v>
      </c>
      <c r="I130" s="290" t="s">
        <v>986</v>
      </c>
      <c r="J130" s="290">
        <v>40182</v>
      </c>
      <c r="K130" s="290" t="s">
        <v>986</v>
      </c>
      <c r="L130" s="290" t="s">
        <v>986</v>
      </c>
      <c r="M130" s="290" t="s">
        <v>986</v>
      </c>
      <c r="N130" s="290">
        <v>118032</v>
      </c>
      <c r="O130" s="290">
        <v>205169</v>
      </c>
      <c r="P130" s="290">
        <v>396924</v>
      </c>
      <c r="Q130" s="290">
        <v>478000</v>
      </c>
      <c r="R130" s="290" t="s">
        <v>986</v>
      </c>
      <c r="S130" s="290">
        <v>457382</v>
      </c>
      <c r="T130" s="290" t="s">
        <v>986</v>
      </c>
      <c r="U130" s="290" t="s">
        <v>986</v>
      </c>
      <c r="V130" s="290" t="s">
        <v>986</v>
      </c>
      <c r="W130" s="295" t="s">
        <v>74</v>
      </c>
    </row>
    <row r="131" spans="1:23" s="290" customFormat="1" ht="9.75" customHeight="1" x14ac:dyDescent="0.15">
      <c r="A131" s="559" t="s">
        <v>642</v>
      </c>
      <c r="B131" s="290" t="s">
        <v>986</v>
      </c>
      <c r="C131" s="290" t="s">
        <v>986</v>
      </c>
      <c r="D131" s="290">
        <v>48801</v>
      </c>
      <c r="E131" s="290" t="s">
        <v>986</v>
      </c>
      <c r="F131" s="290">
        <v>4121</v>
      </c>
      <c r="G131" s="290" t="s">
        <v>986</v>
      </c>
      <c r="H131" s="290" t="s">
        <v>986</v>
      </c>
      <c r="I131" s="290" t="s">
        <v>986</v>
      </c>
      <c r="J131" s="290">
        <v>53949</v>
      </c>
      <c r="K131" s="290" t="s">
        <v>986</v>
      </c>
      <c r="L131" s="290" t="s">
        <v>986</v>
      </c>
      <c r="M131" s="290">
        <v>28297</v>
      </c>
      <c r="N131" s="290">
        <v>79852</v>
      </c>
      <c r="O131" s="290" t="s">
        <v>986</v>
      </c>
      <c r="P131" s="290">
        <v>313578</v>
      </c>
      <c r="Q131" s="290">
        <v>604844</v>
      </c>
      <c r="R131" s="290" t="s">
        <v>986</v>
      </c>
      <c r="S131" s="290">
        <v>703502</v>
      </c>
      <c r="T131" s="290" t="s">
        <v>986</v>
      </c>
      <c r="U131" s="290" t="s">
        <v>986</v>
      </c>
      <c r="V131" s="290" t="s">
        <v>986</v>
      </c>
      <c r="W131" s="295" t="s">
        <v>75</v>
      </c>
    </row>
    <row r="132" spans="1:23" s="290" customFormat="1" ht="9.75" customHeight="1" x14ac:dyDescent="0.15">
      <c r="A132" s="559" t="s">
        <v>643</v>
      </c>
      <c r="B132" s="290" t="s">
        <v>986</v>
      </c>
      <c r="C132" s="290" t="s">
        <v>986</v>
      </c>
      <c r="D132" s="290">
        <v>46687</v>
      </c>
      <c r="E132" s="290" t="s">
        <v>986</v>
      </c>
      <c r="F132" s="290" t="s">
        <v>986</v>
      </c>
      <c r="G132" s="290" t="s">
        <v>986</v>
      </c>
      <c r="H132" s="290" t="s">
        <v>986</v>
      </c>
      <c r="I132" s="290" t="s">
        <v>986</v>
      </c>
      <c r="J132" s="290" t="s">
        <v>986</v>
      </c>
      <c r="K132" s="290" t="s">
        <v>986</v>
      </c>
      <c r="L132" s="290" t="s">
        <v>986</v>
      </c>
      <c r="M132" s="290">
        <v>30389</v>
      </c>
      <c r="N132" s="290">
        <v>182535</v>
      </c>
      <c r="O132" s="290" t="s">
        <v>986</v>
      </c>
      <c r="P132" s="290">
        <v>169622</v>
      </c>
      <c r="Q132" s="290">
        <v>216249</v>
      </c>
      <c r="R132" s="290" t="s">
        <v>986</v>
      </c>
      <c r="S132" s="290">
        <v>490227</v>
      </c>
      <c r="T132" s="290">
        <v>70743</v>
      </c>
      <c r="U132" s="290" t="s">
        <v>986</v>
      </c>
      <c r="V132" s="290" t="s">
        <v>986</v>
      </c>
      <c r="W132" s="295" t="s">
        <v>88</v>
      </c>
    </row>
    <row r="133" spans="1:23" s="290" customFormat="1" ht="9.75" customHeight="1" x14ac:dyDescent="0.15">
      <c r="A133" s="559" t="s">
        <v>644</v>
      </c>
      <c r="B133" s="290" t="s">
        <v>986</v>
      </c>
      <c r="C133" s="290" t="s">
        <v>986</v>
      </c>
      <c r="D133" s="290" t="s">
        <v>986</v>
      </c>
      <c r="E133" s="290" t="s">
        <v>986</v>
      </c>
      <c r="F133" s="290">
        <v>6954</v>
      </c>
      <c r="G133" s="290" t="s">
        <v>986</v>
      </c>
      <c r="H133" s="290" t="s">
        <v>986</v>
      </c>
      <c r="I133" s="290" t="s">
        <v>986</v>
      </c>
      <c r="J133" s="290" t="s">
        <v>986</v>
      </c>
      <c r="K133" s="290" t="s">
        <v>986</v>
      </c>
      <c r="L133" s="290" t="s">
        <v>986</v>
      </c>
      <c r="M133" s="290" t="s">
        <v>986</v>
      </c>
      <c r="N133" s="290">
        <v>73304</v>
      </c>
      <c r="O133" s="290">
        <v>237132</v>
      </c>
      <c r="P133" s="290">
        <v>405204</v>
      </c>
      <c r="Q133" s="290">
        <v>396280</v>
      </c>
      <c r="R133" s="290" t="s">
        <v>986</v>
      </c>
      <c r="S133" s="290">
        <v>281076</v>
      </c>
      <c r="T133" s="290">
        <v>70655</v>
      </c>
      <c r="U133" s="290" t="s">
        <v>986</v>
      </c>
      <c r="V133" s="290" t="s">
        <v>986</v>
      </c>
      <c r="W133" s="295" t="s">
        <v>89</v>
      </c>
    </row>
    <row r="134" spans="1:23" s="290" customFormat="1" ht="9.75" customHeight="1" x14ac:dyDescent="0.15">
      <c r="A134" s="559" t="s">
        <v>645</v>
      </c>
      <c r="B134" s="290" t="s">
        <v>986</v>
      </c>
      <c r="C134" s="290" t="s">
        <v>986</v>
      </c>
      <c r="D134" s="290">
        <v>46498</v>
      </c>
      <c r="E134" s="290" t="s">
        <v>986</v>
      </c>
      <c r="F134" s="290" t="s">
        <v>986</v>
      </c>
      <c r="G134" s="290" t="s">
        <v>986</v>
      </c>
      <c r="H134" s="290" t="s">
        <v>986</v>
      </c>
      <c r="I134" s="290" t="s">
        <v>986</v>
      </c>
      <c r="J134" s="290" t="s">
        <v>986</v>
      </c>
      <c r="K134" s="290" t="s">
        <v>986</v>
      </c>
      <c r="L134" s="290" t="s">
        <v>986</v>
      </c>
      <c r="M134" s="290" t="s">
        <v>986</v>
      </c>
      <c r="N134" s="290">
        <v>56195</v>
      </c>
      <c r="O134" s="290">
        <v>103600</v>
      </c>
      <c r="P134" s="290">
        <v>275254</v>
      </c>
      <c r="Q134" s="290">
        <v>468719</v>
      </c>
      <c r="R134" s="290" t="s">
        <v>986</v>
      </c>
      <c r="S134" s="290">
        <v>673968</v>
      </c>
      <c r="T134" s="290">
        <v>71561</v>
      </c>
      <c r="U134" s="290" t="s">
        <v>986</v>
      </c>
      <c r="V134" s="290" t="s">
        <v>986</v>
      </c>
      <c r="W134" s="295" t="s">
        <v>90</v>
      </c>
    </row>
    <row r="135" spans="1:23" s="290" customFormat="1" ht="9.75" customHeight="1" x14ac:dyDescent="0.15">
      <c r="A135" s="559" t="s">
        <v>646</v>
      </c>
      <c r="B135" s="290" t="s">
        <v>986</v>
      </c>
      <c r="C135" s="290" t="s">
        <v>986</v>
      </c>
      <c r="D135" s="290">
        <v>52917</v>
      </c>
      <c r="E135" s="290">
        <v>48503</v>
      </c>
      <c r="F135" s="290" t="s">
        <v>986</v>
      </c>
      <c r="G135" s="290" t="s">
        <v>986</v>
      </c>
      <c r="H135" s="290" t="s">
        <v>986</v>
      </c>
      <c r="I135" s="290" t="s">
        <v>986</v>
      </c>
      <c r="J135" s="290" t="s">
        <v>986</v>
      </c>
      <c r="K135" s="290" t="s">
        <v>986</v>
      </c>
      <c r="L135" s="290" t="s">
        <v>986</v>
      </c>
      <c r="M135" s="290" t="s">
        <v>986</v>
      </c>
      <c r="N135" s="290">
        <v>121548</v>
      </c>
      <c r="O135" s="290">
        <v>146920</v>
      </c>
      <c r="P135" s="290">
        <v>339054</v>
      </c>
      <c r="Q135" s="290">
        <v>695533</v>
      </c>
      <c r="R135" s="290" t="s">
        <v>986</v>
      </c>
      <c r="S135" s="290">
        <v>671732</v>
      </c>
      <c r="T135" s="290" t="s">
        <v>986</v>
      </c>
      <c r="U135" s="290" t="s">
        <v>986</v>
      </c>
      <c r="V135" s="290" t="s">
        <v>986</v>
      </c>
      <c r="W135" s="295" t="s">
        <v>91</v>
      </c>
    </row>
    <row r="136" spans="1:23" s="290" customFormat="1" ht="9.75" customHeight="1" x14ac:dyDescent="0.15">
      <c r="A136" s="559" t="s">
        <v>647</v>
      </c>
      <c r="B136" s="290" t="s">
        <v>986</v>
      </c>
      <c r="C136" s="290" t="s">
        <v>986</v>
      </c>
      <c r="D136" s="290">
        <v>32941</v>
      </c>
      <c r="E136" s="290" t="s">
        <v>986</v>
      </c>
      <c r="F136" s="290" t="s">
        <v>986</v>
      </c>
      <c r="G136" s="290" t="s">
        <v>986</v>
      </c>
      <c r="H136" s="290" t="s">
        <v>986</v>
      </c>
      <c r="I136" s="290" t="s">
        <v>986</v>
      </c>
      <c r="J136" s="290">
        <v>113885</v>
      </c>
      <c r="K136" s="290" t="s">
        <v>986</v>
      </c>
      <c r="L136" s="290" t="s">
        <v>986</v>
      </c>
      <c r="M136" s="290" t="s">
        <v>986</v>
      </c>
      <c r="N136" s="290" t="s">
        <v>986</v>
      </c>
      <c r="O136" s="290">
        <v>111315</v>
      </c>
      <c r="P136" s="290">
        <v>266463</v>
      </c>
      <c r="Q136" s="290">
        <v>279770</v>
      </c>
      <c r="R136" s="290" t="s">
        <v>986</v>
      </c>
      <c r="S136" s="290">
        <v>677302</v>
      </c>
      <c r="T136" s="290">
        <v>154967</v>
      </c>
      <c r="U136" s="290" t="s">
        <v>986</v>
      </c>
      <c r="V136" s="290" t="s">
        <v>986</v>
      </c>
      <c r="W136" s="295" t="s">
        <v>92</v>
      </c>
    </row>
    <row r="137" spans="1:23" s="290" customFormat="1" ht="9.75" customHeight="1" x14ac:dyDescent="0.15">
      <c r="A137" s="559" t="s">
        <v>648</v>
      </c>
      <c r="B137" s="290" t="s">
        <v>986</v>
      </c>
      <c r="C137" s="290" t="s">
        <v>986</v>
      </c>
      <c r="D137" s="290">
        <v>11119</v>
      </c>
      <c r="E137" s="290" t="s">
        <v>986</v>
      </c>
      <c r="F137" s="290" t="s">
        <v>986</v>
      </c>
      <c r="G137" s="290" t="s">
        <v>986</v>
      </c>
      <c r="H137" s="290" t="s">
        <v>986</v>
      </c>
      <c r="I137" s="290" t="s">
        <v>986</v>
      </c>
      <c r="J137" s="290" t="s">
        <v>986</v>
      </c>
      <c r="K137" s="290" t="s">
        <v>986</v>
      </c>
      <c r="L137" s="290" t="s">
        <v>986</v>
      </c>
      <c r="M137" s="290" t="s">
        <v>986</v>
      </c>
      <c r="N137" s="290">
        <v>68596</v>
      </c>
      <c r="O137" s="290">
        <v>234006</v>
      </c>
      <c r="P137" s="290">
        <v>291292</v>
      </c>
      <c r="Q137" s="290">
        <v>339981</v>
      </c>
      <c r="R137" s="290" t="s">
        <v>986</v>
      </c>
      <c r="S137" s="290">
        <v>648056</v>
      </c>
      <c r="T137" s="290">
        <v>143798</v>
      </c>
      <c r="U137" s="290" t="s">
        <v>986</v>
      </c>
      <c r="V137" s="290" t="s">
        <v>986</v>
      </c>
      <c r="W137" s="295" t="s">
        <v>76</v>
      </c>
    </row>
    <row r="138" spans="1:23" s="290" customFormat="1" ht="9.75" customHeight="1" x14ac:dyDescent="0.15">
      <c r="A138" s="559" t="s">
        <v>649</v>
      </c>
      <c r="B138" s="290" t="s">
        <v>986</v>
      </c>
      <c r="C138" s="290" t="s">
        <v>986</v>
      </c>
      <c r="D138" s="290" t="s">
        <v>986</v>
      </c>
      <c r="E138" s="290" t="s">
        <v>986</v>
      </c>
      <c r="F138" s="290" t="s">
        <v>986</v>
      </c>
      <c r="G138" s="290" t="s">
        <v>986</v>
      </c>
      <c r="H138" s="290" t="s">
        <v>986</v>
      </c>
      <c r="I138" s="290" t="s">
        <v>986</v>
      </c>
      <c r="J138" s="290" t="s">
        <v>986</v>
      </c>
      <c r="K138" s="290" t="s">
        <v>986</v>
      </c>
      <c r="L138" s="290" t="s">
        <v>986</v>
      </c>
      <c r="M138" s="290" t="s">
        <v>986</v>
      </c>
      <c r="N138" s="290">
        <v>36949</v>
      </c>
      <c r="O138" s="290" t="s">
        <v>986</v>
      </c>
      <c r="P138" s="290">
        <v>430709</v>
      </c>
      <c r="Q138" s="290">
        <v>458674</v>
      </c>
      <c r="R138" s="290">
        <v>84663</v>
      </c>
      <c r="S138" s="290">
        <v>620510</v>
      </c>
      <c r="T138" s="290">
        <v>58343</v>
      </c>
      <c r="U138" s="290" t="s">
        <v>986</v>
      </c>
      <c r="V138" s="290" t="s">
        <v>986</v>
      </c>
      <c r="W138" s="295" t="s">
        <v>77</v>
      </c>
    </row>
    <row r="139" spans="1:23" s="290" customFormat="1" ht="9.75" customHeight="1" x14ac:dyDescent="0.15">
      <c r="A139" s="559" t="s">
        <v>650</v>
      </c>
      <c r="B139" s="290" t="s">
        <v>986</v>
      </c>
      <c r="C139" s="290" t="s">
        <v>986</v>
      </c>
      <c r="D139" s="290" t="s">
        <v>986</v>
      </c>
      <c r="E139" s="290" t="s">
        <v>986</v>
      </c>
      <c r="F139" s="290" t="s">
        <v>986</v>
      </c>
      <c r="G139" s="290" t="s">
        <v>986</v>
      </c>
      <c r="H139" s="290" t="s">
        <v>986</v>
      </c>
      <c r="I139" s="290" t="s">
        <v>986</v>
      </c>
      <c r="J139" s="290" t="s">
        <v>986</v>
      </c>
      <c r="K139" s="290" t="s">
        <v>986</v>
      </c>
      <c r="L139" s="290" t="s">
        <v>986</v>
      </c>
      <c r="M139" s="290" t="s">
        <v>986</v>
      </c>
      <c r="N139" s="290">
        <v>145526</v>
      </c>
      <c r="O139" s="290">
        <v>33964</v>
      </c>
      <c r="P139" s="290">
        <v>308938</v>
      </c>
      <c r="Q139" s="290">
        <v>486671</v>
      </c>
      <c r="R139" s="290">
        <v>39992</v>
      </c>
      <c r="S139" s="290">
        <v>734791</v>
      </c>
      <c r="T139" s="290">
        <v>20089</v>
      </c>
      <c r="U139" s="290" t="s">
        <v>986</v>
      </c>
      <c r="V139" s="290" t="s">
        <v>986</v>
      </c>
      <c r="W139" s="295" t="s">
        <v>78</v>
      </c>
    </row>
    <row r="140" spans="1:23" s="290" customFormat="1" ht="9.75" customHeight="1" x14ac:dyDescent="0.15">
      <c r="A140" s="559" t="s">
        <v>996</v>
      </c>
      <c r="B140" s="290" t="s">
        <v>986</v>
      </c>
      <c r="C140" s="290" t="s">
        <v>986</v>
      </c>
      <c r="D140" s="290" t="s">
        <v>986</v>
      </c>
      <c r="E140" s="290" t="s">
        <v>986</v>
      </c>
      <c r="F140" s="290" t="s">
        <v>986</v>
      </c>
      <c r="G140" s="290" t="s">
        <v>986</v>
      </c>
      <c r="H140" s="290" t="s">
        <v>986</v>
      </c>
      <c r="I140" s="290" t="s">
        <v>986</v>
      </c>
      <c r="J140" s="290">
        <v>46292</v>
      </c>
      <c r="K140" s="290" t="s">
        <v>986</v>
      </c>
      <c r="L140" s="290" t="s">
        <v>986</v>
      </c>
      <c r="M140" s="290" t="s">
        <v>986</v>
      </c>
      <c r="N140" s="290">
        <v>164938</v>
      </c>
      <c r="O140" s="290">
        <v>147867</v>
      </c>
      <c r="P140" s="290">
        <v>238862</v>
      </c>
      <c r="Q140" s="290">
        <v>313694</v>
      </c>
      <c r="R140" s="290" t="s">
        <v>986</v>
      </c>
      <c r="S140" s="290">
        <v>681693</v>
      </c>
      <c r="T140" s="290" t="s">
        <v>986</v>
      </c>
      <c r="U140" s="290" t="s">
        <v>986</v>
      </c>
      <c r="V140" s="290" t="s">
        <v>986</v>
      </c>
      <c r="W140" s="295" t="s">
        <v>997</v>
      </c>
    </row>
    <row r="141" spans="1:23" s="290" customFormat="1" ht="9.75" customHeight="1" x14ac:dyDescent="0.15">
      <c r="A141" s="559" t="s">
        <v>651</v>
      </c>
      <c r="B141" s="290" t="s">
        <v>986</v>
      </c>
      <c r="C141" s="290" t="s">
        <v>986</v>
      </c>
      <c r="D141" s="290" t="s">
        <v>986</v>
      </c>
      <c r="E141" s="290" t="s">
        <v>986</v>
      </c>
      <c r="F141" s="290" t="s">
        <v>986</v>
      </c>
      <c r="G141" s="290" t="s">
        <v>986</v>
      </c>
      <c r="H141" s="290" t="s">
        <v>986</v>
      </c>
      <c r="I141" s="290" t="s">
        <v>986</v>
      </c>
      <c r="J141" s="290" t="s">
        <v>986</v>
      </c>
      <c r="K141" s="290" t="s">
        <v>986</v>
      </c>
      <c r="L141" s="290" t="s">
        <v>986</v>
      </c>
      <c r="M141" s="290" t="s">
        <v>986</v>
      </c>
      <c r="N141" s="290">
        <v>80750</v>
      </c>
      <c r="O141" s="290">
        <v>64915</v>
      </c>
      <c r="P141" s="290">
        <v>628251</v>
      </c>
      <c r="Q141" s="290">
        <v>420954</v>
      </c>
      <c r="R141" s="290" t="s">
        <v>986</v>
      </c>
      <c r="S141" s="290">
        <v>380392</v>
      </c>
      <c r="T141" s="290" t="s">
        <v>986</v>
      </c>
      <c r="U141" s="290" t="s">
        <v>986</v>
      </c>
      <c r="V141" s="290" t="s">
        <v>986</v>
      </c>
      <c r="W141" s="295" t="s">
        <v>73</v>
      </c>
    </row>
    <row r="142" spans="1:23" s="290" customFormat="1" ht="9.75" customHeight="1" x14ac:dyDescent="0.15">
      <c r="A142" s="560" t="s">
        <v>652</v>
      </c>
      <c r="B142" s="294" t="s">
        <v>986</v>
      </c>
      <c r="C142" s="293" t="s">
        <v>986</v>
      </c>
      <c r="D142" s="293">
        <v>26769</v>
      </c>
      <c r="E142" s="293" t="s">
        <v>986</v>
      </c>
      <c r="F142" s="293" t="s">
        <v>986</v>
      </c>
      <c r="G142" s="293" t="s">
        <v>986</v>
      </c>
      <c r="H142" s="293" t="s">
        <v>986</v>
      </c>
      <c r="I142" s="293" t="s">
        <v>986</v>
      </c>
      <c r="J142" s="293" t="s">
        <v>986</v>
      </c>
      <c r="K142" s="293" t="s">
        <v>986</v>
      </c>
      <c r="L142" s="293" t="s">
        <v>986</v>
      </c>
      <c r="M142" s="293" t="s">
        <v>986</v>
      </c>
      <c r="N142" s="293" t="s">
        <v>986</v>
      </c>
      <c r="O142" s="293">
        <v>112169</v>
      </c>
      <c r="P142" s="293">
        <v>570438</v>
      </c>
      <c r="Q142" s="293">
        <v>307321</v>
      </c>
      <c r="R142" s="293" t="s">
        <v>986</v>
      </c>
      <c r="S142" s="293">
        <v>624659</v>
      </c>
      <c r="T142" s="293" t="s">
        <v>986</v>
      </c>
      <c r="U142" s="293" t="s">
        <v>986</v>
      </c>
      <c r="V142" s="293" t="s">
        <v>986</v>
      </c>
      <c r="W142" s="291" t="s">
        <v>74</v>
      </c>
    </row>
    <row r="143" spans="1:23" ht="12" customHeight="1" x14ac:dyDescent="0.15"/>
    <row r="144" spans="1:23" ht="12" customHeight="1" x14ac:dyDescent="0.15"/>
    <row r="145" spans="1:23" ht="12" customHeight="1" x14ac:dyDescent="0.15">
      <c r="K145" s="299" t="s">
        <v>93</v>
      </c>
      <c r="V145" s="302" t="s">
        <v>858</v>
      </c>
    </row>
    <row r="146" spans="1:23" s="297" customFormat="1" ht="21" customHeight="1" x14ac:dyDescent="0.15">
      <c r="A146" s="1053" t="s">
        <v>172</v>
      </c>
      <c r="B146" s="832" t="s">
        <v>296</v>
      </c>
      <c r="C146" s="827"/>
      <c r="D146" s="827"/>
      <c r="E146" s="827"/>
      <c r="F146" s="827"/>
      <c r="G146" s="827"/>
      <c r="H146" s="827"/>
      <c r="I146" s="827"/>
      <c r="J146" s="827"/>
      <c r="K146" s="827"/>
      <c r="L146" s="827"/>
      <c r="M146" s="827"/>
      <c r="N146" s="827"/>
      <c r="O146" s="827"/>
      <c r="P146" s="827"/>
      <c r="Q146" s="827"/>
      <c r="R146" s="827"/>
      <c r="S146" s="827"/>
      <c r="T146" s="827"/>
      <c r="U146" s="827"/>
      <c r="V146" s="827"/>
      <c r="W146" s="1056" t="s">
        <v>79</v>
      </c>
    </row>
    <row r="147" spans="1:23" s="297" customFormat="1" ht="21" customHeight="1" x14ac:dyDescent="0.15">
      <c r="A147" s="1054"/>
      <c r="B147" s="832" t="s">
        <v>862</v>
      </c>
      <c r="C147" s="827"/>
      <c r="D147" s="827"/>
      <c r="E147" s="827"/>
      <c r="F147" s="827"/>
      <c r="G147" s="827"/>
      <c r="H147" s="827"/>
      <c r="I147" s="827"/>
      <c r="J147" s="834"/>
      <c r="K147" s="826" t="s">
        <v>258</v>
      </c>
      <c r="L147" s="827"/>
      <c r="M147" s="834"/>
      <c r="N147" s="826" t="s">
        <v>257</v>
      </c>
      <c r="O147" s="834"/>
      <c r="P147" s="826" t="s">
        <v>242</v>
      </c>
      <c r="Q147" s="827"/>
      <c r="R147" s="827"/>
      <c r="S147" s="827"/>
      <c r="T147" s="834"/>
      <c r="U147" s="826" t="s">
        <v>241</v>
      </c>
      <c r="V147" s="827"/>
      <c r="W147" s="1057"/>
    </row>
    <row r="148" spans="1:23" s="297" customFormat="1" ht="52.5" customHeight="1" x14ac:dyDescent="0.15">
      <c r="A148" s="1055"/>
      <c r="B148" s="301" t="s">
        <v>854</v>
      </c>
      <c r="C148" s="298" t="s">
        <v>248</v>
      </c>
      <c r="D148" s="298" t="s">
        <v>246</v>
      </c>
      <c r="E148" s="298" t="s">
        <v>280</v>
      </c>
      <c r="F148" s="298" t="s">
        <v>691</v>
      </c>
      <c r="G148" s="298" t="s">
        <v>245</v>
      </c>
      <c r="H148" s="298" t="s">
        <v>298</v>
      </c>
      <c r="I148" s="298" t="s">
        <v>607</v>
      </c>
      <c r="J148" s="298" t="s">
        <v>608</v>
      </c>
      <c r="K148" s="696" t="s">
        <v>855</v>
      </c>
      <c r="L148" s="298" t="s">
        <v>244</v>
      </c>
      <c r="M148" s="298" t="s">
        <v>297</v>
      </c>
      <c r="N148" s="696" t="s">
        <v>856</v>
      </c>
      <c r="O148" s="298" t="s">
        <v>243</v>
      </c>
      <c r="P148" s="696" t="s">
        <v>857</v>
      </c>
      <c r="Q148" s="298" t="s">
        <v>239</v>
      </c>
      <c r="R148" s="298" t="s">
        <v>238</v>
      </c>
      <c r="S148" s="298" t="s">
        <v>237</v>
      </c>
      <c r="T148" s="298" t="s">
        <v>859</v>
      </c>
      <c r="U148" s="696" t="s">
        <v>860</v>
      </c>
      <c r="V148" s="300" t="s">
        <v>236</v>
      </c>
      <c r="W148" s="1058"/>
    </row>
    <row r="149" spans="1:23" s="290" customFormat="1" ht="9.75" customHeight="1" x14ac:dyDescent="0.15">
      <c r="A149" s="828" t="s">
        <v>985</v>
      </c>
      <c r="B149" s="829" t="s">
        <v>986</v>
      </c>
      <c r="C149" s="830" t="s">
        <v>986</v>
      </c>
      <c r="D149" s="830">
        <v>290240</v>
      </c>
      <c r="E149" s="830" t="s">
        <v>986</v>
      </c>
      <c r="F149" s="830" t="s">
        <v>986</v>
      </c>
      <c r="G149" s="830">
        <v>1506894</v>
      </c>
      <c r="H149" s="830">
        <v>82254</v>
      </c>
      <c r="I149" s="830" t="s">
        <v>986</v>
      </c>
      <c r="J149" s="830" t="s">
        <v>986</v>
      </c>
      <c r="K149" s="830">
        <v>1804166</v>
      </c>
      <c r="L149" s="830">
        <v>1504364</v>
      </c>
      <c r="M149" s="830">
        <v>299802</v>
      </c>
      <c r="N149" s="830">
        <v>506857</v>
      </c>
      <c r="O149" s="830">
        <v>506857</v>
      </c>
      <c r="P149" s="830">
        <v>505917</v>
      </c>
      <c r="Q149" s="830">
        <v>345615</v>
      </c>
      <c r="R149" s="830">
        <v>148543</v>
      </c>
      <c r="S149" s="830" t="s">
        <v>986</v>
      </c>
      <c r="T149" s="830">
        <v>11759</v>
      </c>
      <c r="U149" s="830">
        <v>772168</v>
      </c>
      <c r="V149" s="830">
        <v>599225</v>
      </c>
      <c r="W149" s="831" t="s">
        <v>485</v>
      </c>
    </row>
    <row r="150" spans="1:23" s="290" customFormat="1" ht="9.75" customHeight="1" x14ac:dyDescent="0.15">
      <c r="A150" s="559" t="s">
        <v>634</v>
      </c>
      <c r="B150" s="290" t="s">
        <v>986</v>
      </c>
      <c r="C150" s="290" t="s">
        <v>986</v>
      </c>
      <c r="D150" s="290">
        <v>153215</v>
      </c>
      <c r="E150" s="290" t="s">
        <v>986</v>
      </c>
      <c r="F150" s="290" t="s">
        <v>986</v>
      </c>
      <c r="G150" s="290">
        <v>1292660</v>
      </c>
      <c r="H150" s="290">
        <v>129163</v>
      </c>
      <c r="I150" s="290">
        <v>40421</v>
      </c>
      <c r="J150" s="290" t="s">
        <v>986</v>
      </c>
      <c r="K150" s="290">
        <v>2463950</v>
      </c>
      <c r="L150" s="290">
        <v>2221850</v>
      </c>
      <c r="M150" s="290">
        <v>242100</v>
      </c>
      <c r="N150" s="290">
        <v>1027905</v>
      </c>
      <c r="O150" s="290">
        <v>1027905</v>
      </c>
      <c r="P150" s="290">
        <v>1180307</v>
      </c>
      <c r="Q150" s="290">
        <v>500734</v>
      </c>
      <c r="R150" s="290">
        <v>638148</v>
      </c>
      <c r="S150" s="290">
        <v>41425</v>
      </c>
      <c r="T150" s="290" t="s">
        <v>986</v>
      </c>
      <c r="U150" s="290">
        <v>993090</v>
      </c>
      <c r="V150" s="290">
        <v>614950</v>
      </c>
      <c r="W150" s="295" t="s">
        <v>588</v>
      </c>
    </row>
    <row r="151" spans="1:23" s="290" customFormat="1" ht="9.75" customHeight="1" x14ac:dyDescent="0.15">
      <c r="A151" s="559" t="s">
        <v>635</v>
      </c>
      <c r="B151" s="290">
        <v>4626</v>
      </c>
      <c r="C151" s="290" t="s">
        <v>986</v>
      </c>
      <c r="D151" s="290">
        <v>853387</v>
      </c>
      <c r="E151" s="290">
        <v>34699</v>
      </c>
      <c r="F151" s="290">
        <v>45340</v>
      </c>
      <c r="G151" s="290">
        <v>868769</v>
      </c>
      <c r="H151" s="290" t="s">
        <v>986</v>
      </c>
      <c r="I151" s="290" t="s">
        <v>986</v>
      </c>
      <c r="J151" s="290">
        <v>98943</v>
      </c>
      <c r="K151" s="290">
        <v>2554921</v>
      </c>
      <c r="L151" s="290">
        <v>2554921</v>
      </c>
      <c r="M151" s="290" t="s">
        <v>986</v>
      </c>
      <c r="N151" s="290">
        <v>1257626</v>
      </c>
      <c r="O151" s="290">
        <v>1257626</v>
      </c>
      <c r="P151" s="290">
        <v>969199</v>
      </c>
      <c r="Q151" s="290">
        <v>680446</v>
      </c>
      <c r="R151" s="290">
        <v>288753</v>
      </c>
      <c r="S151" s="290" t="s">
        <v>986</v>
      </c>
      <c r="T151" s="290" t="s">
        <v>986</v>
      </c>
      <c r="U151" s="290">
        <v>1331381</v>
      </c>
      <c r="V151" s="290">
        <v>706988</v>
      </c>
      <c r="W151" s="295" t="s">
        <v>636</v>
      </c>
    </row>
    <row r="152" spans="1:23" s="290" customFormat="1" ht="9.75" customHeight="1" x14ac:dyDescent="0.15">
      <c r="A152" s="559" t="s">
        <v>774</v>
      </c>
      <c r="B152" s="290">
        <v>114731</v>
      </c>
      <c r="C152" s="290">
        <v>51341</v>
      </c>
      <c r="D152" s="290">
        <v>535178</v>
      </c>
      <c r="E152" s="290">
        <v>151378</v>
      </c>
      <c r="F152" s="290" t="s">
        <v>986</v>
      </c>
      <c r="G152" s="290">
        <v>184554</v>
      </c>
      <c r="H152" s="290">
        <v>90466</v>
      </c>
      <c r="I152" s="290" t="s">
        <v>986</v>
      </c>
      <c r="J152" s="290" t="s">
        <v>986</v>
      </c>
      <c r="K152" s="290">
        <v>1284352</v>
      </c>
      <c r="L152" s="290">
        <v>1284352</v>
      </c>
      <c r="M152" s="290" t="s">
        <v>986</v>
      </c>
      <c r="N152" s="290">
        <v>1279585</v>
      </c>
      <c r="O152" s="290">
        <v>1279585</v>
      </c>
      <c r="P152" s="290">
        <v>986716</v>
      </c>
      <c r="Q152" s="290">
        <v>844447</v>
      </c>
      <c r="R152" s="290">
        <v>142269</v>
      </c>
      <c r="S152" s="290" t="s">
        <v>986</v>
      </c>
      <c r="T152" s="290" t="s">
        <v>986</v>
      </c>
      <c r="U152" s="290">
        <v>729170</v>
      </c>
      <c r="V152" s="290">
        <v>437527</v>
      </c>
      <c r="W152" s="295" t="s">
        <v>775</v>
      </c>
    </row>
    <row r="153" spans="1:23" s="290" customFormat="1" ht="9.75" customHeight="1" x14ac:dyDescent="0.15">
      <c r="A153" s="559" t="s">
        <v>987</v>
      </c>
      <c r="B153" s="290" t="s">
        <v>986</v>
      </c>
      <c r="C153" s="290" t="s">
        <v>986</v>
      </c>
      <c r="D153" s="290">
        <v>236635</v>
      </c>
      <c r="E153" s="290">
        <v>428160</v>
      </c>
      <c r="F153" s="290" t="s">
        <v>986</v>
      </c>
      <c r="G153" s="290" t="s">
        <v>986</v>
      </c>
      <c r="H153" s="290" t="s">
        <v>986</v>
      </c>
      <c r="I153" s="290" t="s">
        <v>986</v>
      </c>
      <c r="J153" s="290" t="s">
        <v>986</v>
      </c>
      <c r="K153" s="290">
        <v>913837</v>
      </c>
      <c r="L153" s="290">
        <v>913837</v>
      </c>
      <c r="M153" s="290" t="s">
        <v>986</v>
      </c>
      <c r="N153" s="290">
        <v>528176</v>
      </c>
      <c r="O153" s="290">
        <v>528176</v>
      </c>
      <c r="P153" s="290">
        <v>897906</v>
      </c>
      <c r="Q153" s="290">
        <v>897906</v>
      </c>
      <c r="R153" s="290" t="s">
        <v>986</v>
      </c>
      <c r="S153" s="290" t="s">
        <v>986</v>
      </c>
      <c r="T153" s="290" t="s">
        <v>986</v>
      </c>
      <c r="U153" s="290">
        <v>538984</v>
      </c>
      <c r="V153" s="290">
        <v>429091</v>
      </c>
      <c r="W153" s="295" t="s">
        <v>988</v>
      </c>
    </row>
    <row r="154" spans="1:23" s="290" customFormat="1" ht="6.75" customHeight="1" x14ac:dyDescent="0.15">
      <c r="A154" s="578"/>
      <c r="W154" s="295"/>
    </row>
    <row r="155" spans="1:23" s="290" customFormat="1" ht="9.75" customHeight="1" x14ac:dyDescent="0.15">
      <c r="A155" s="559" t="s">
        <v>989</v>
      </c>
      <c r="B155" s="290" t="s">
        <v>986</v>
      </c>
      <c r="C155" s="290">
        <v>51341</v>
      </c>
      <c r="D155" s="290">
        <v>455937</v>
      </c>
      <c r="E155" s="290">
        <v>151378</v>
      </c>
      <c r="F155" s="290" t="s">
        <v>986</v>
      </c>
      <c r="G155" s="290">
        <v>84799</v>
      </c>
      <c r="H155" s="290" t="s">
        <v>986</v>
      </c>
      <c r="I155" s="290" t="s">
        <v>986</v>
      </c>
      <c r="J155" s="290" t="s">
        <v>986</v>
      </c>
      <c r="K155" s="290">
        <v>861464</v>
      </c>
      <c r="L155" s="290">
        <v>861464</v>
      </c>
      <c r="M155" s="290" t="s">
        <v>986</v>
      </c>
      <c r="N155" s="290">
        <v>1117357</v>
      </c>
      <c r="O155" s="290">
        <v>1117357</v>
      </c>
      <c r="P155" s="290">
        <v>1199057</v>
      </c>
      <c r="Q155" s="290">
        <v>1153233</v>
      </c>
      <c r="R155" s="290">
        <v>45824</v>
      </c>
      <c r="S155" s="290" t="s">
        <v>986</v>
      </c>
      <c r="T155" s="290" t="s">
        <v>986</v>
      </c>
      <c r="U155" s="290">
        <v>680939</v>
      </c>
      <c r="V155" s="290">
        <v>468353</v>
      </c>
      <c r="W155" s="295" t="s">
        <v>776</v>
      </c>
    </row>
    <row r="156" spans="1:23" s="290" customFormat="1" ht="9.75" customHeight="1" x14ac:dyDescent="0.15">
      <c r="A156" s="559" t="s">
        <v>990</v>
      </c>
      <c r="B156" s="290" t="s">
        <v>986</v>
      </c>
      <c r="C156" s="290" t="s">
        <v>986</v>
      </c>
      <c r="D156" s="290">
        <v>161996</v>
      </c>
      <c r="E156" s="290">
        <v>428160</v>
      </c>
      <c r="F156" s="290" t="s">
        <v>986</v>
      </c>
      <c r="G156" s="290" t="s">
        <v>986</v>
      </c>
      <c r="H156" s="290" t="s">
        <v>986</v>
      </c>
      <c r="I156" s="290" t="s">
        <v>986</v>
      </c>
      <c r="J156" s="290" t="s">
        <v>986</v>
      </c>
      <c r="K156" s="290">
        <v>1077856</v>
      </c>
      <c r="L156" s="290">
        <v>1077856</v>
      </c>
      <c r="M156" s="290" t="s">
        <v>986</v>
      </c>
      <c r="N156" s="290">
        <v>573880</v>
      </c>
      <c r="O156" s="290">
        <v>573880</v>
      </c>
      <c r="P156" s="290">
        <v>626338</v>
      </c>
      <c r="Q156" s="290">
        <v>626338</v>
      </c>
      <c r="R156" s="290" t="s">
        <v>986</v>
      </c>
      <c r="S156" s="290" t="s">
        <v>986</v>
      </c>
      <c r="T156" s="290" t="s">
        <v>986</v>
      </c>
      <c r="U156" s="290">
        <v>457109</v>
      </c>
      <c r="V156" s="290">
        <v>347216</v>
      </c>
      <c r="W156" s="295" t="s">
        <v>991</v>
      </c>
    </row>
    <row r="157" spans="1:23" s="290" customFormat="1" ht="6.75" customHeight="1" x14ac:dyDescent="0.15">
      <c r="A157" s="578"/>
      <c r="W157" s="295"/>
    </row>
    <row r="158" spans="1:23" s="290" customFormat="1" ht="9.75" customHeight="1" x14ac:dyDescent="0.15">
      <c r="A158" s="559" t="s">
        <v>992</v>
      </c>
      <c r="B158" s="290" t="s">
        <v>986</v>
      </c>
      <c r="C158" s="290" t="s">
        <v>986</v>
      </c>
      <c r="D158" s="290">
        <v>74639</v>
      </c>
      <c r="E158" s="290" t="s">
        <v>986</v>
      </c>
      <c r="F158" s="290" t="s">
        <v>986</v>
      </c>
      <c r="G158" s="290" t="s">
        <v>986</v>
      </c>
      <c r="H158" s="290" t="s">
        <v>986</v>
      </c>
      <c r="I158" s="290" t="s">
        <v>986</v>
      </c>
      <c r="J158" s="290" t="s">
        <v>986</v>
      </c>
      <c r="K158" s="290">
        <v>124222</v>
      </c>
      <c r="L158" s="290">
        <v>124222</v>
      </c>
      <c r="M158" s="290" t="s">
        <v>986</v>
      </c>
      <c r="N158" s="290">
        <v>199764</v>
      </c>
      <c r="O158" s="290">
        <v>199764</v>
      </c>
      <c r="P158" s="290">
        <v>308786</v>
      </c>
      <c r="Q158" s="290">
        <v>308786</v>
      </c>
      <c r="R158" s="290" t="s">
        <v>986</v>
      </c>
      <c r="S158" s="290" t="s">
        <v>986</v>
      </c>
      <c r="T158" s="290" t="s">
        <v>986</v>
      </c>
      <c r="U158" s="290">
        <v>132064</v>
      </c>
      <c r="V158" s="290">
        <v>132064</v>
      </c>
      <c r="W158" s="295" t="s">
        <v>777</v>
      </c>
    </row>
    <row r="159" spans="1:23" s="290" customFormat="1" ht="9.75" customHeight="1" x14ac:dyDescent="0.15">
      <c r="A159" s="559" t="s">
        <v>637</v>
      </c>
      <c r="B159" s="290" t="s">
        <v>986</v>
      </c>
      <c r="C159" s="290" t="s">
        <v>986</v>
      </c>
      <c r="D159" s="290" t="s">
        <v>986</v>
      </c>
      <c r="E159" s="290">
        <v>141398</v>
      </c>
      <c r="F159" s="290" t="s">
        <v>986</v>
      </c>
      <c r="G159" s="290" t="s">
        <v>986</v>
      </c>
      <c r="H159" s="290" t="s">
        <v>986</v>
      </c>
      <c r="I159" s="290" t="s">
        <v>986</v>
      </c>
      <c r="J159" s="290" t="s">
        <v>986</v>
      </c>
      <c r="K159" s="290">
        <v>224527</v>
      </c>
      <c r="L159" s="290">
        <v>224527</v>
      </c>
      <c r="M159" s="290" t="s">
        <v>986</v>
      </c>
      <c r="N159" s="290">
        <v>62720</v>
      </c>
      <c r="O159" s="290">
        <v>62720</v>
      </c>
      <c r="P159" s="290">
        <v>508460</v>
      </c>
      <c r="Q159" s="290">
        <v>508460</v>
      </c>
      <c r="R159" s="290" t="s">
        <v>986</v>
      </c>
      <c r="S159" s="290" t="s">
        <v>986</v>
      </c>
      <c r="T159" s="290" t="s">
        <v>986</v>
      </c>
      <c r="U159" s="290">
        <v>132542</v>
      </c>
      <c r="V159" s="290">
        <v>48145</v>
      </c>
      <c r="W159" s="295" t="s">
        <v>85</v>
      </c>
    </row>
    <row r="160" spans="1:23" s="290" customFormat="1" ht="9.75" customHeight="1" x14ac:dyDescent="0.15">
      <c r="A160" s="559" t="s">
        <v>638</v>
      </c>
      <c r="B160" s="290" t="s">
        <v>986</v>
      </c>
      <c r="C160" s="290" t="s">
        <v>986</v>
      </c>
      <c r="D160" s="290">
        <v>83564</v>
      </c>
      <c r="E160" s="290">
        <v>142964</v>
      </c>
      <c r="F160" s="290" t="s">
        <v>986</v>
      </c>
      <c r="G160" s="290" t="s">
        <v>986</v>
      </c>
      <c r="H160" s="290" t="s">
        <v>986</v>
      </c>
      <c r="I160" s="290" t="s">
        <v>986</v>
      </c>
      <c r="J160" s="290" t="s">
        <v>986</v>
      </c>
      <c r="K160" s="290">
        <v>271516</v>
      </c>
      <c r="L160" s="290">
        <v>271516</v>
      </c>
      <c r="M160" s="290" t="s">
        <v>986</v>
      </c>
      <c r="N160" s="290">
        <v>114776</v>
      </c>
      <c r="O160" s="290">
        <v>114776</v>
      </c>
      <c r="P160" s="290">
        <v>80660</v>
      </c>
      <c r="Q160" s="290">
        <v>80660</v>
      </c>
      <c r="R160" s="290" t="s">
        <v>986</v>
      </c>
      <c r="S160" s="290" t="s">
        <v>986</v>
      </c>
      <c r="T160" s="290" t="s">
        <v>986</v>
      </c>
      <c r="U160" s="290">
        <v>99187</v>
      </c>
      <c r="V160" s="290">
        <v>99187</v>
      </c>
      <c r="W160" s="295" t="s">
        <v>86</v>
      </c>
    </row>
    <row r="161" spans="1:23" s="290" customFormat="1" ht="9.75" customHeight="1" x14ac:dyDescent="0.15">
      <c r="A161" s="559" t="s">
        <v>639</v>
      </c>
      <c r="B161" s="290" t="s">
        <v>986</v>
      </c>
      <c r="C161" s="290" t="s">
        <v>986</v>
      </c>
      <c r="D161" s="290">
        <v>78432</v>
      </c>
      <c r="E161" s="290">
        <v>143798</v>
      </c>
      <c r="F161" s="290" t="s">
        <v>986</v>
      </c>
      <c r="G161" s="290" t="s">
        <v>986</v>
      </c>
      <c r="H161" s="290" t="s">
        <v>986</v>
      </c>
      <c r="I161" s="290" t="s">
        <v>986</v>
      </c>
      <c r="J161" s="290" t="s">
        <v>986</v>
      </c>
      <c r="K161" s="290">
        <v>293572</v>
      </c>
      <c r="L161" s="290">
        <v>293572</v>
      </c>
      <c r="M161" s="290" t="s">
        <v>986</v>
      </c>
      <c r="N161" s="290">
        <v>150916</v>
      </c>
      <c r="O161" s="290">
        <v>150916</v>
      </c>
      <c r="P161" s="290" t="s">
        <v>986</v>
      </c>
      <c r="Q161" s="290" t="s">
        <v>986</v>
      </c>
      <c r="R161" s="290" t="s">
        <v>986</v>
      </c>
      <c r="S161" s="290" t="s">
        <v>986</v>
      </c>
      <c r="T161" s="290" t="s">
        <v>986</v>
      </c>
      <c r="U161" s="290">
        <v>175191</v>
      </c>
      <c r="V161" s="290">
        <v>149695</v>
      </c>
      <c r="W161" s="295" t="s">
        <v>87</v>
      </c>
    </row>
    <row r="162" spans="1:23" s="290" customFormat="1" ht="9.75" customHeight="1" x14ac:dyDescent="0.15">
      <c r="A162" s="559" t="s">
        <v>993</v>
      </c>
      <c r="B162" s="290" t="s">
        <v>986</v>
      </c>
      <c r="C162" s="290" t="s">
        <v>986</v>
      </c>
      <c r="D162" s="290" t="s">
        <v>986</v>
      </c>
      <c r="E162" s="290" t="s">
        <v>986</v>
      </c>
      <c r="F162" s="290" t="s">
        <v>986</v>
      </c>
      <c r="G162" s="290" t="s">
        <v>986</v>
      </c>
      <c r="H162" s="290" t="s">
        <v>986</v>
      </c>
      <c r="I162" s="290" t="s">
        <v>986</v>
      </c>
      <c r="J162" s="290" t="s">
        <v>986</v>
      </c>
      <c r="K162" s="290">
        <v>288241</v>
      </c>
      <c r="L162" s="290">
        <v>288241</v>
      </c>
      <c r="M162" s="290" t="s">
        <v>986</v>
      </c>
      <c r="N162" s="290">
        <v>245468</v>
      </c>
      <c r="O162" s="290">
        <v>245468</v>
      </c>
      <c r="P162" s="290">
        <v>37218</v>
      </c>
      <c r="Q162" s="290">
        <v>37218</v>
      </c>
      <c r="R162" s="290" t="s">
        <v>986</v>
      </c>
      <c r="S162" s="290" t="s">
        <v>986</v>
      </c>
      <c r="T162" s="290" t="s">
        <v>986</v>
      </c>
      <c r="U162" s="290">
        <v>50189</v>
      </c>
      <c r="V162" s="290">
        <v>50189</v>
      </c>
      <c r="W162" s="295" t="s">
        <v>994</v>
      </c>
    </row>
    <row r="163" spans="1:23" s="290" customFormat="1" ht="6.75" customHeight="1" x14ac:dyDescent="0.15">
      <c r="A163" s="578"/>
      <c r="W163" s="295"/>
    </row>
    <row r="164" spans="1:23" s="290" customFormat="1" ht="9.75" customHeight="1" x14ac:dyDescent="0.15">
      <c r="A164" s="559" t="s">
        <v>995</v>
      </c>
      <c r="B164" s="290" t="s">
        <v>986</v>
      </c>
      <c r="C164" s="290" t="s">
        <v>986</v>
      </c>
      <c r="D164" s="290">
        <v>74639</v>
      </c>
      <c r="E164" s="290" t="s">
        <v>986</v>
      </c>
      <c r="F164" s="290" t="s">
        <v>986</v>
      </c>
      <c r="G164" s="290" t="s">
        <v>986</v>
      </c>
      <c r="H164" s="290" t="s">
        <v>986</v>
      </c>
      <c r="I164" s="290" t="s">
        <v>986</v>
      </c>
      <c r="J164" s="290" t="s">
        <v>986</v>
      </c>
      <c r="K164" s="290">
        <v>124222</v>
      </c>
      <c r="L164" s="290">
        <v>124222</v>
      </c>
      <c r="M164" s="290" t="s">
        <v>986</v>
      </c>
      <c r="N164" s="290" t="s">
        <v>986</v>
      </c>
      <c r="O164" s="290" t="s">
        <v>986</v>
      </c>
      <c r="P164" s="290">
        <v>49577</v>
      </c>
      <c r="Q164" s="290">
        <v>49577</v>
      </c>
      <c r="R164" s="290" t="s">
        <v>986</v>
      </c>
      <c r="S164" s="290" t="s">
        <v>986</v>
      </c>
      <c r="T164" s="290" t="s">
        <v>986</v>
      </c>
      <c r="U164" s="290">
        <v>51670</v>
      </c>
      <c r="V164" s="290">
        <v>51670</v>
      </c>
      <c r="W164" s="295" t="s">
        <v>778</v>
      </c>
    </row>
    <row r="165" spans="1:23" s="290" customFormat="1" ht="9.75" customHeight="1" x14ac:dyDescent="0.15">
      <c r="A165" s="559" t="s">
        <v>640</v>
      </c>
      <c r="B165" s="290" t="s">
        <v>986</v>
      </c>
      <c r="C165" s="290" t="s">
        <v>986</v>
      </c>
      <c r="D165" s="290" t="s">
        <v>986</v>
      </c>
      <c r="E165" s="290" t="s">
        <v>986</v>
      </c>
      <c r="F165" s="290" t="s">
        <v>986</v>
      </c>
      <c r="G165" s="290" t="s">
        <v>986</v>
      </c>
      <c r="H165" s="290" t="s">
        <v>986</v>
      </c>
      <c r="I165" s="290" t="s">
        <v>986</v>
      </c>
      <c r="J165" s="290" t="s">
        <v>986</v>
      </c>
      <c r="K165" s="290" t="s">
        <v>986</v>
      </c>
      <c r="L165" s="290" t="s">
        <v>986</v>
      </c>
      <c r="M165" s="290" t="s">
        <v>986</v>
      </c>
      <c r="N165" s="290">
        <v>102379</v>
      </c>
      <c r="O165" s="290">
        <v>102379</v>
      </c>
      <c r="P165" s="290">
        <v>172523</v>
      </c>
      <c r="Q165" s="290">
        <v>172523</v>
      </c>
      <c r="R165" s="290" t="s">
        <v>986</v>
      </c>
      <c r="S165" s="290" t="s">
        <v>986</v>
      </c>
      <c r="T165" s="290" t="s">
        <v>986</v>
      </c>
      <c r="U165" s="290" t="s">
        <v>986</v>
      </c>
      <c r="V165" s="290" t="s">
        <v>986</v>
      </c>
      <c r="W165" s="295" t="s">
        <v>73</v>
      </c>
    </row>
    <row r="166" spans="1:23" s="290" customFormat="1" ht="9.75" customHeight="1" x14ac:dyDescent="0.15">
      <c r="A166" s="559" t="s">
        <v>641</v>
      </c>
      <c r="B166" s="290" t="s">
        <v>986</v>
      </c>
      <c r="C166" s="290" t="s">
        <v>986</v>
      </c>
      <c r="D166" s="290" t="s">
        <v>986</v>
      </c>
      <c r="E166" s="290" t="s">
        <v>986</v>
      </c>
      <c r="F166" s="290" t="s">
        <v>986</v>
      </c>
      <c r="G166" s="290" t="s">
        <v>986</v>
      </c>
      <c r="H166" s="290" t="s">
        <v>986</v>
      </c>
      <c r="I166" s="290" t="s">
        <v>986</v>
      </c>
      <c r="J166" s="290" t="s">
        <v>986</v>
      </c>
      <c r="K166" s="290" t="s">
        <v>986</v>
      </c>
      <c r="L166" s="290" t="s">
        <v>986</v>
      </c>
      <c r="M166" s="290" t="s">
        <v>986</v>
      </c>
      <c r="N166" s="290">
        <v>97385</v>
      </c>
      <c r="O166" s="290">
        <v>97385</v>
      </c>
      <c r="P166" s="290">
        <v>86686</v>
      </c>
      <c r="Q166" s="290">
        <v>86686</v>
      </c>
      <c r="R166" s="290" t="s">
        <v>986</v>
      </c>
      <c r="S166" s="290" t="s">
        <v>986</v>
      </c>
      <c r="T166" s="290" t="s">
        <v>986</v>
      </c>
      <c r="U166" s="290">
        <v>80394</v>
      </c>
      <c r="V166" s="290">
        <v>80394</v>
      </c>
      <c r="W166" s="295" t="s">
        <v>74</v>
      </c>
    </row>
    <row r="167" spans="1:23" s="290" customFormat="1" ht="9.75" customHeight="1" x14ac:dyDescent="0.15">
      <c r="A167" s="559" t="s">
        <v>642</v>
      </c>
      <c r="B167" s="290" t="s">
        <v>986</v>
      </c>
      <c r="C167" s="290" t="s">
        <v>986</v>
      </c>
      <c r="D167" s="290" t="s">
        <v>986</v>
      </c>
      <c r="E167" s="290" t="s">
        <v>986</v>
      </c>
      <c r="F167" s="290" t="s">
        <v>986</v>
      </c>
      <c r="G167" s="290" t="s">
        <v>986</v>
      </c>
      <c r="H167" s="290" t="s">
        <v>986</v>
      </c>
      <c r="I167" s="290" t="s">
        <v>986</v>
      </c>
      <c r="J167" s="290" t="s">
        <v>986</v>
      </c>
      <c r="K167" s="290">
        <v>79186</v>
      </c>
      <c r="L167" s="290">
        <v>79186</v>
      </c>
      <c r="M167" s="290" t="s">
        <v>986</v>
      </c>
      <c r="N167" s="290">
        <v>48207</v>
      </c>
      <c r="O167" s="290">
        <v>48207</v>
      </c>
      <c r="P167" s="290">
        <v>348164</v>
      </c>
      <c r="Q167" s="290">
        <v>348164</v>
      </c>
      <c r="R167" s="290" t="s">
        <v>986</v>
      </c>
      <c r="S167" s="290" t="s">
        <v>986</v>
      </c>
      <c r="T167" s="290" t="s">
        <v>986</v>
      </c>
      <c r="U167" s="290">
        <v>50665</v>
      </c>
      <c r="V167" s="290" t="s">
        <v>986</v>
      </c>
      <c r="W167" s="295" t="s">
        <v>75</v>
      </c>
    </row>
    <row r="168" spans="1:23" s="290" customFormat="1" ht="9.75" customHeight="1" x14ac:dyDescent="0.15">
      <c r="A168" s="559" t="s">
        <v>643</v>
      </c>
      <c r="B168" s="290" t="s">
        <v>986</v>
      </c>
      <c r="C168" s="290" t="s">
        <v>986</v>
      </c>
      <c r="D168" s="290" t="s">
        <v>986</v>
      </c>
      <c r="E168" s="290">
        <v>70743</v>
      </c>
      <c r="F168" s="290" t="s">
        <v>986</v>
      </c>
      <c r="G168" s="290" t="s">
        <v>986</v>
      </c>
      <c r="H168" s="290" t="s">
        <v>986</v>
      </c>
      <c r="I168" s="290" t="s">
        <v>986</v>
      </c>
      <c r="J168" s="290" t="s">
        <v>986</v>
      </c>
      <c r="K168" s="290">
        <v>104221</v>
      </c>
      <c r="L168" s="290">
        <v>104221</v>
      </c>
      <c r="M168" s="290" t="s">
        <v>986</v>
      </c>
      <c r="N168" s="290" t="s">
        <v>986</v>
      </c>
      <c r="O168" s="290" t="s">
        <v>986</v>
      </c>
      <c r="P168" s="290">
        <v>43785</v>
      </c>
      <c r="Q168" s="290">
        <v>43785</v>
      </c>
      <c r="R168" s="290" t="s">
        <v>986</v>
      </c>
      <c r="S168" s="290" t="s">
        <v>986</v>
      </c>
      <c r="T168" s="290" t="s">
        <v>986</v>
      </c>
      <c r="U168" s="290">
        <v>81877</v>
      </c>
      <c r="V168" s="290">
        <v>48145</v>
      </c>
      <c r="W168" s="295" t="s">
        <v>88</v>
      </c>
    </row>
    <row r="169" spans="1:23" s="290" customFormat="1" ht="9.75" customHeight="1" x14ac:dyDescent="0.15">
      <c r="A169" s="559" t="s">
        <v>644</v>
      </c>
      <c r="B169" s="290" t="s">
        <v>986</v>
      </c>
      <c r="C169" s="290" t="s">
        <v>986</v>
      </c>
      <c r="D169" s="290" t="s">
        <v>986</v>
      </c>
      <c r="E169" s="290">
        <v>70655</v>
      </c>
      <c r="F169" s="290" t="s">
        <v>986</v>
      </c>
      <c r="G169" s="290" t="s">
        <v>986</v>
      </c>
      <c r="H169" s="290" t="s">
        <v>986</v>
      </c>
      <c r="I169" s="290" t="s">
        <v>986</v>
      </c>
      <c r="J169" s="290" t="s">
        <v>986</v>
      </c>
      <c r="K169" s="290">
        <v>41120</v>
      </c>
      <c r="L169" s="290">
        <v>41120</v>
      </c>
      <c r="M169" s="290" t="s">
        <v>986</v>
      </c>
      <c r="N169" s="290">
        <v>14513</v>
      </c>
      <c r="O169" s="290">
        <v>14513</v>
      </c>
      <c r="P169" s="290">
        <v>116511</v>
      </c>
      <c r="Q169" s="290">
        <v>116511</v>
      </c>
      <c r="R169" s="290" t="s">
        <v>986</v>
      </c>
      <c r="S169" s="290" t="s">
        <v>986</v>
      </c>
      <c r="T169" s="290" t="s">
        <v>986</v>
      </c>
      <c r="U169" s="290" t="s">
        <v>986</v>
      </c>
      <c r="V169" s="290" t="s">
        <v>986</v>
      </c>
      <c r="W169" s="295" t="s">
        <v>89</v>
      </c>
    </row>
    <row r="170" spans="1:23" s="290" customFormat="1" ht="9.75" customHeight="1" x14ac:dyDescent="0.15">
      <c r="A170" s="559" t="s">
        <v>645</v>
      </c>
      <c r="B170" s="290" t="s">
        <v>986</v>
      </c>
      <c r="C170" s="290" t="s">
        <v>986</v>
      </c>
      <c r="D170" s="290" t="s">
        <v>986</v>
      </c>
      <c r="E170" s="290">
        <v>71561</v>
      </c>
      <c r="F170" s="290" t="s">
        <v>986</v>
      </c>
      <c r="G170" s="290" t="s">
        <v>986</v>
      </c>
      <c r="H170" s="290" t="s">
        <v>986</v>
      </c>
      <c r="I170" s="290" t="s">
        <v>986</v>
      </c>
      <c r="J170" s="290" t="s">
        <v>986</v>
      </c>
      <c r="K170" s="290">
        <v>72117</v>
      </c>
      <c r="L170" s="290">
        <v>72117</v>
      </c>
      <c r="M170" s="290" t="s">
        <v>986</v>
      </c>
      <c r="N170" s="290">
        <v>51258</v>
      </c>
      <c r="O170" s="290">
        <v>51258</v>
      </c>
      <c r="P170" s="290" t="s">
        <v>986</v>
      </c>
      <c r="Q170" s="290" t="s">
        <v>986</v>
      </c>
      <c r="R170" s="290" t="s">
        <v>986</v>
      </c>
      <c r="S170" s="290" t="s">
        <v>986</v>
      </c>
      <c r="T170" s="290" t="s">
        <v>986</v>
      </c>
      <c r="U170" s="290">
        <v>50375</v>
      </c>
      <c r="V170" s="290">
        <v>50375</v>
      </c>
      <c r="W170" s="295" t="s">
        <v>90</v>
      </c>
    </row>
    <row r="171" spans="1:23" s="290" customFormat="1" ht="9.75" customHeight="1" x14ac:dyDescent="0.15">
      <c r="A171" s="559" t="s">
        <v>646</v>
      </c>
      <c r="B171" s="290" t="s">
        <v>986</v>
      </c>
      <c r="C171" s="290" t="s">
        <v>986</v>
      </c>
      <c r="D171" s="290" t="s">
        <v>986</v>
      </c>
      <c r="E171" s="290" t="s">
        <v>986</v>
      </c>
      <c r="F171" s="290" t="s">
        <v>986</v>
      </c>
      <c r="G171" s="290" t="s">
        <v>986</v>
      </c>
      <c r="H171" s="290" t="s">
        <v>986</v>
      </c>
      <c r="I171" s="290" t="s">
        <v>986</v>
      </c>
      <c r="J171" s="290" t="s">
        <v>986</v>
      </c>
      <c r="K171" s="290">
        <v>136044</v>
      </c>
      <c r="L171" s="290">
        <v>136044</v>
      </c>
      <c r="M171" s="290" t="s">
        <v>986</v>
      </c>
      <c r="N171" s="290">
        <v>47208</v>
      </c>
      <c r="O171" s="290">
        <v>47208</v>
      </c>
      <c r="P171" s="290">
        <v>80660</v>
      </c>
      <c r="Q171" s="290">
        <v>80660</v>
      </c>
      <c r="R171" s="290" t="s">
        <v>986</v>
      </c>
      <c r="S171" s="290" t="s">
        <v>986</v>
      </c>
      <c r="T171" s="290" t="s">
        <v>986</v>
      </c>
      <c r="U171" s="290">
        <v>48812</v>
      </c>
      <c r="V171" s="290">
        <v>48812</v>
      </c>
      <c r="W171" s="295" t="s">
        <v>91</v>
      </c>
    </row>
    <row r="172" spans="1:23" s="290" customFormat="1" ht="9.75" customHeight="1" x14ac:dyDescent="0.15">
      <c r="A172" s="559" t="s">
        <v>647</v>
      </c>
      <c r="B172" s="290" t="s">
        <v>986</v>
      </c>
      <c r="C172" s="290" t="s">
        <v>986</v>
      </c>
      <c r="D172" s="290">
        <v>83564</v>
      </c>
      <c r="E172" s="290">
        <v>71403</v>
      </c>
      <c r="F172" s="290" t="s">
        <v>986</v>
      </c>
      <c r="G172" s="290" t="s">
        <v>986</v>
      </c>
      <c r="H172" s="290" t="s">
        <v>986</v>
      </c>
      <c r="I172" s="290" t="s">
        <v>986</v>
      </c>
      <c r="J172" s="290" t="s">
        <v>986</v>
      </c>
      <c r="K172" s="290">
        <v>63355</v>
      </c>
      <c r="L172" s="290">
        <v>63355</v>
      </c>
      <c r="M172" s="290" t="s">
        <v>986</v>
      </c>
      <c r="N172" s="290">
        <v>16310</v>
      </c>
      <c r="O172" s="290">
        <v>16310</v>
      </c>
      <c r="P172" s="290" t="s">
        <v>986</v>
      </c>
      <c r="Q172" s="290" t="s">
        <v>986</v>
      </c>
      <c r="R172" s="290" t="s">
        <v>986</v>
      </c>
      <c r="S172" s="290" t="s">
        <v>986</v>
      </c>
      <c r="T172" s="290" t="s">
        <v>986</v>
      </c>
      <c r="U172" s="290" t="s">
        <v>986</v>
      </c>
      <c r="V172" s="290" t="s">
        <v>986</v>
      </c>
      <c r="W172" s="295" t="s">
        <v>92</v>
      </c>
    </row>
    <row r="173" spans="1:23" s="290" customFormat="1" ht="9.75" customHeight="1" x14ac:dyDescent="0.15">
      <c r="A173" s="559" t="s">
        <v>648</v>
      </c>
      <c r="B173" s="290" t="s">
        <v>986</v>
      </c>
      <c r="C173" s="290" t="s">
        <v>986</v>
      </c>
      <c r="D173" s="290" t="s">
        <v>986</v>
      </c>
      <c r="E173" s="290">
        <v>143798</v>
      </c>
      <c r="F173" s="290" t="s">
        <v>986</v>
      </c>
      <c r="G173" s="290" t="s">
        <v>986</v>
      </c>
      <c r="H173" s="290" t="s">
        <v>986</v>
      </c>
      <c r="I173" s="290" t="s">
        <v>986</v>
      </c>
      <c r="J173" s="290" t="s">
        <v>986</v>
      </c>
      <c r="K173" s="290">
        <v>91205</v>
      </c>
      <c r="L173" s="290">
        <v>91205</v>
      </c>
      <c r="M173" s="290" t="s">
        <v>986</v>
      </c>
      <c r="N173" s="290">
        <v>50766</v>
      </c>
      <c r="O173" s="290">
        <v>50766</v>
      </c>
      <c r="P173" s="290" t="s">
        <v>986</v>
      </c>
      <c r="Q173" s="290" t="s">
        <v>986</v>
      </c>
      <c r="R173" s="290" t="s">
        <v>986</v>
      </c>
      <c r="S173" s="290" t="s">
        <v>986</v>
      </c>
      <c r="T173" s="290" t="s">
        <v>986</v>
      </c>
      <c r="U173" s="290">
        <v>98468</v>
      </c>
      <c r="V173" s="290">
        <v>98468</v>
      </c>
      <c r="W173" s="295" t="s">
        <v>76</v>
      </c>
    </row>
    <row r="174" spans="1:23" s="290" customFormat="1" ht="9.75" customHeight="1" x14ac:dyDescent="0.15">
      <c r="A174" s="559" t="s">
        <v>649</v>
      </c>
      <c r="B174" s="290" t="s">
        <v>986</v>
      </c>
      <c r="C174" s="290" t="s">
        <v>986</v>
      </c>
      <c r="D174" s="290">
        <v>58343</v>
      </c>
      <c r="E174" s="290" t="s">
        <v>986</v>
      </c>
      <c r="F174" s="290" t="s">
        <v>986</v>
      </c>
      <c r="G174" s="290" t="s">
        <v>986</v>
      </c>
      <c r="H174" s="290" t="s">
        <v>986</v>
      </c>
      <c r="I174" s="290" t="s">
        <v>986</v>
      </c>
      <c r="J174" s="290" t="s">
        <v>986</v>
      </c>
      <c r="K174" s="290">
        <v>69714</v>
      </c>
      <c r="L174" s="290">
        <v>69714</v>
      </c>
      <c r="M174" s="290" t="s">
        <v>986</v>
      </c>
      <c r="N174" s="290">
        <v>50075</v>
      </c>
      <c r="O174" s="290">
        <v>50075</v>
      </c>
      <c r="P174" s="290" t="s">
        <v>986</v>
      </c>
      <c r="Q174" s="290" t="s">
        <v>986</v>
      </c>
      <c r="R174" s="290" t="s">
        <v>986</v>
      </c>
      <c r="S174" s="290" t="s">
        <v>986</v>
      </c>
      <c r="T174" s="290" t="s">
        <v>986</v>
      </c>
      <c r="U174" s="290">
        <v>51227</v>
      </c>
      <c r="V174" s="290">
        <v>51227</v>
      </c>
      <c r="W174" s="295" t="s">
        <v>77</v>
      </c>
    </row>
    <row r="175" spans="1:23" s="290" customFormat="1" ht="9.75" customHeight="1" x14ac:dyDescent="0.15">
      <c r="A175" s="559" t="s">
        <v>650</v>
      </c>
      <c r="B175" s="290" t="s">
        <v>986</v>
      </c>
      <c r="C175" s="290" t="s">
        <v>986</v>
      </c>
      <c r="D175" s="290">
        <v>20089</v>
      </c>
      <c r="E175" s="290" t="s">
        <v>986</v>
      </c>
      <c r="F175" s="290" t="s">
        <v>986</v>
      </c>
      <c r="G175" s="290" t="s">
        <v>986</v>
      </c>
      <c r="H175" s="290" t="s">
        <v>986</v>
      </c>
      <c r="I175" s="290" t="s">
        <v>986</v>
      </c>
      <c r="J175" s="290" t="s">
        <v>986</v>
      </c>
      <c r="K175" s="290">
        <v>132653</v>
      </c>
      <c r="L175" s="290">
        <v>132653</v>
      </c>
      <c r="M175" s="290" t="s">
        <v>986</v>
      </c>
      <c r="N175" s="290">
        <v>50075</v>
      </c>
      <c r="O175" s="290">
        <v>50075</v>
      </c>
      <c r="P175" s="290" t="s">
        <v>986</v>
      </c>
      <c r="Q175" s="290" t="s">
        <v>986</v>
      </c>
      <c r="R175" s="290" t="s">
        <v>986</v>
      </c>
      <c r="S175" s="290" t="s">
        <v>986</v>
      </c>
      <c r="T175" s="290" t="s">
        <v>986</v>
      </c>
      <c r="U175" s="290">
        <v>25496</v>
      </c>
      <c r="V175" s="290" t="s">
        <v>986</v>
      </c>
      <c r="W175" s="295" t="s">
        <v>78</v>
      </c>
    </row>
    <row r="176" spans="1:23" s="290" customFormat="1" ht="9.75" customHeight="1" x14ac:dyDescent="0.15">
      <c r="A176" s="559" t="s">
        <v>996</v>
      </c>
      <c r="B176" s="290" t="s">
        <v>986</v>
      </c>
      <c r="C176" s="290" t="s">
        <v>986</v>
      </c>
      <c r="D176" s="290" t="s">
        <v>986</v>
      </c>
      <c r="E176" s="290" t="s">
        <v>986</v>
      </c>
      <c r="F176" s="290" t="s">
        <v>986</v>
      </c>
      <c r="G176" s="290" t="s">
        <v>986</v>
      </c>
      <c r="H176" s="290" t="s">
        <v>986</v>
      </c>
      <c r="I176" s="290" t="s">
        <v>986</v>
      </c>
      <c r="J176" s="290" t="s">
        <v>986</v>
      </c>
      <c r="K176" s="290">
        <v>57336</v>
      </c>
      <c r="L176" s="290">
        <v>57336</v>
      </c>
      <c r="M176" s="290" t="s">
        <v>986</v>
      </c>
      <c r="N176" s="290">
        <v>119343</v>
      </c>
      <c r="O176" s="290">
        <v>119343</v>
      </c>
      <c r="P176" s="290" t="s">
        <v>986</v>
      </c>
      <c r="Q176" s="290" t="s">
        <v>986</v>
      </c>
      <c r="R176" s="290" t="s">
        <v>986</v>
      </c>
      <c r="S176" s="290" t="s">
        <v>986</v>
      </c>
      <c r="T176" s="290" t="s">
        <v>986</v>
      </c>
      <c r="U176" s="290">
        <v>50189</v>
      </c>
      <c r="V176" s="290">
        <v>50189</v>
      </c>
      <c r="W176" s="295" t="s">
        <v>997</v>
      </c>
    </row>
    <row r="177" spans="1:23" s="290" customFormat="1" ht="9.75" customHeight="1" x14ac:dyDescent="0.15">
      <c r="A177" s="559" t="s">
        <v>651</v>
      </c>
      <c r="B177" s="290" t="s">
        <v>986</v>
      </c>
      <c r="C177" s="290" t="s">
        <v>986</v>
      </c>
      <c r="D177" s="290" t="s">
        <v>986</v>
      </c>
      <c r="E177" s="290" t="s">
        <v>986</v>
      </c>
      <c r="F177" s="290" t="s">
        <v>986</v>
      </c>
      <c r="G177" s="290" t="s">
        <v>986</v>
      </c>
      <c r="H177" s="290" t="s">
        <v>986</v>
      </c>
      <c r="I177" s="290" t="s">
        <v>986</v>
      </c>
      <c r="J177" s="290" t="s">
        <v>986</v>
      </c>
      <c r="K177" s="290">
        <v>154580</v>
      </c>
      <c r="L177" s="290">
        <v>154580</v>
      </c>
      <c r="M177" s="290" t="s">
        <v>986</v>
      </c>
      <c r="N177" s="290">
        <v>74220</v>
      </c>
      <c r="O177" s="290">
        <v>74220</v>
      </c>
      <c r="P177" s="290">
        <v>37218</v>
      </c>
      <c r="Q177" s="290">
        <v>37218</v>
      </c>
      <c r="R177" s="290" t="s">
        <v>986</v>
      </c>
      <c r="S177" s="290" t="s">
        <v>986</v>
      </c>
      <c r="T177" s="290" t="s">
        <v>986</v>
      </c>
      <c r="U177" s="290" t="s">
        <v>986</v>
      </c>
      <c r="V177" s="290" t="s">
        <v>986</v>
      </c>
      <c r="W177" s="295" t="s">
        <v>73</v>
      </c>
    </row>
    <row r="178" spans="1:23" s="290" customFormat="1" ht="9.75" customHeight="1" x14ac:dyDescent="0.15">
      <c r="A178" s="560" t="s">
        <v>652</v>
      </c>
      <c r="B178" s="294" t="s">
        <v>986</v>
      </c>
      <c r="C178" s="293" t="s">
        <v>986</v>
      </c>
      <c r="D178" s="293" t="s">
        <v>986</v>
      </c>
      <c r="E178" s="293" t="s">
        <v>986</v>
      </c>
      <c r="F178" s="293" t="s">
        <v>986</v>
      </c>
      <c r="G178" s="293" t="s">
        <v>986</v>
      </c>
      <c r="H178" s="293" t="s">
        <v>986</v>
      </c>
      <c r="I178" s="293" t="s">
        <v>986</v>
      </c>
      <c r="J178" s="293" t="s">
        <v>986</v>
      </c>
      <c r="K178" s="293">
        <v>76325</v>
      </c>
      <c r="L178" s="293">
        <v>76325</v>
      </c>
      <c r="M178" s="293" t="s">
        <v>986</v>
      </c>
      <c r="N178" s="293">
        <v>51905</v>
      </c>
      <c r="O178" s="293">
        <v>51905</v>
      </c>
      <c r="P178" s="293" t="s">
        <v>986</v>
      </c>
      <c r="Q178" s="293" t="s">
        <v>986</v>
      </c>
      <c r="R178" s="293" t="s">
        <v>986</v>
      </c>
      <c r="S178" s="293" t="s">
        <v>986</v>
      </c>
      <c r="T178" s="293" t="s">
        <v>986</v>
      </c>
      <c r="U178" s="293" t="s">
        <v>986</v>
      </c>
      <c r="V178" s="293" t="s">
        <v>986</v>
      </c>
      <c r="W178" s="291" t="s">
        <v>74</v>
      </c>
    </row>
    <row r="179" spans="1:23" ht="12" customHeight="1" x14ac:dyDescent="0.15"/>
    <row r="180" spans="1:23" ht="12" customHeight="1" x14ac:dyDescent="0.15"/>
    <row r="181" spans="1:23" ht="12" customHeight="1" x14ac:dyDescent="0.15">
      <c r="K181" s="299" t="s">
        <v>93</v>
      </c>
    </row>
    <row r="182" spans="1:23" s="297" customFormat="1" ht="21" customHeight="1" x14ac:dyDescent="0.15">
      <c r="A182" s="1053" t="s">
        <v>172</v>
      </c>
      <c r="B182" s="833" t="s">
        <v>296</v>
      </c>
      <c r="C182" s="835" t="s">
        <v>863</v>
      </c>
      <c r="D182" s="827"/>
      <c r="E182" s="827"/>
      <c r="F182" s="827"/>
      <c r="G182" s="827"/>
      <c r="H182" s="834"/>
      <c r="I182" s="826" t="s">
        <v>295</v>
      </c>
      <c r="J182" s="827"/>
      <c r="K182" s="827"/>
      <c r="L182" s="827"/>
      <c r="M182" s="827"/>
      <c r="N182" s="834"/>
      <c r="O182" s="826" t="s">
        <v>291</v>
      </c>
      <c r="P182" s="827"/>
      <c r="Q182" s="827"/>
      <c r="R182" s="827"/>
      <c r="S182" s="827"/>
      <c r="T182" s="827"/>
      <c r="U182" s="827"/>
      <c r="V182" s="827"/>
      <c r="W182" s="1056" t="s">
        <v>79</v>
      </c>
    </row>
    <row r="183" spans="1:23" s="297" customFormat="1" ht="21" customHeight="1" x14ac:dyDescent="0.15">
      <c r="A183" s="1054"/>
      <c r="B183" s="833" t="s">
        <v>111</v>
      </c>
      <c r="C183" s="1059" t="s">
        <v>293</v>
      </c>
      <c r="D183" s="826" t="s">
        <v>265</v>
      </c>
      <c r="E183" s="827"/>
      <c r="F183" s="834"/>
      <c r="G183" s="826" t="s">
        <v>259</v>
      </c>
      <c r="H183" s="834"/>
      <c r="I183" s="1059" t="s">
        <v>292</v>
      </c>
      <c r="J183" s="826" t="s">
        <v>265</v>
      </c>
      <c r="K183" s="827"/>
      <c r="L183" s="827"/>
      <c r="M183" s="827"/>
      <c r="N183" s="834"/>
      <c r="O183" s="1059" t="s">
        <v>289</v>
      </c>
      <c r="P183" s="826" t="s">
        <v>265</v>
      </c>
      <c r="Q183" s="827"/>
      <c r="R183" s="827"/>
      <c r="S183" s="827"/>
      <c r="T183" s="834"/>
      <c r="U183" s="826" t="s">
        <v>259</v>
      </c>
      <c r="V183" s="827"/>
      <c r="W183" s="1057"/>
    </row>
    <row r="184" spans="1:23" s="297" customFormat="1" ht="52.5" customHeight="1" x14ac:dyDescent="0.15">
      <c r="A184" s="1055"/>
      <c r="B184" s="298" t="s">
        <v>861</v>
      </c>
      <c r="C184" s="1060"/>
      <c r="D184" s="696" t="s">
        <v>851</v>
      </c>
      <c r="E184" s="298" t="s">
        <v>256</v>
      </c>
      <c r="F184" s="298" t="s">
        <v>852</v>
      </c>
      <c r="G184" s="696" t="s">
        <v>101</v>
      </c>
      <c r="H184" s="298" t="s">
        <v>248</v>
      </c>
      <c r="I184" s="1060"/>
      <c r="J184" s="696" t="s">
        <v>851</v>
      </c>
      <c r="K184" s="298" t="s">
        <v>256</v>
      </c>
      <c r="L184" s="298" t="s">
        <v>852</v>
      </c>
      <c r="M184" s="298" t="s">
        <v>255</v>
      </c>
      <c r="N184" s="298" t="s">
        <v>254</v>
      </c>
      <c r="O184" s="1060"/>
      <c r="P184" s="696" t="s">
        <v>851</v>
      </c>
      <c r="Q184" s="298" t="s">
        <v>256</v>
      </c>
      <c r="R184" s="298" t="s">
        <v>852</v>
      </c>
      <c r="S184" s="298" t="s">
        <v>271</v>
      </c>
      <c r="T184" s="298" t="s">
        <v>254</v>
      </c>
      <c r="U184" s="696" t="s">
        <v>101</v>
      </c>
      <c r="V184" s="836" t="s">
        <v>854</v>
      </c>
      <c r="W184" s="1058"/>
    </row>
    <row r="185" spans="1:23" s="290" customFormat="1" ht="9.75" customHeight="1" x14ac:dyDescent="0.15">
      <c r="A185" s="828" t="s">
        <v>985</v>
      </c>
      <c r="B185" s="829">
        <v>172943</v>
      </c>
      <c r="C185" s="830">
        <v>240422</v>
      </c>
      <c r="D185" s="830">
        <v>240422</v>
      </c>
      <c r="E185" s="830">
        <v>192882</v>
      </c>
      <c r="F185" s="830">
        <v>47540</v>
      </c>
      <c r="G185" s="830" t="s">
        <v>986</v>
      </c>
      <c r="H185" s="830" t="s">
        <v>986</v>
      </c>
      <c r="I185" s="830">
        <v>1692406</v>
      </c>
      <c r="J185" s="830">
        <v>1692406</v>
      </c>
      <c r="K185" s="830">
        <v>1551241</v>
      </c>
      <c r="L185" s="830">
        <v>134989</v>
      </c>
      <c r="M185" s="830" t="s">
        <v>986</v>
      </c>
      <c r="N185" s="830">
        <v>6176</v>
      </c>
      <c r="O185" s="830">
        <v>707459</v>
      </c>
      <c r="P185" s="830">
        <v>707459</v>
      </c>
      <c r="Q185" s="830">
        <v>707459</v>
      </c>
      <c r="R185" s="830" t="s">
        <v>986</v>
      </c>
      <c r="S185" s="830" t="s">
        <v>986</v>
      </c>
      <c r="T185" s="830" t="s">
        <v>986</v>
      </c>
      <c r="U185" s="830" t="s">
        <v>986</v>
      </c>
      <c r="V185" s="830" t="s">
        <v>986</v>
      </c>
      <c r="W185" s="831" t="s">
        <v>485</v>
      </c>
    </row>
    <row r="186" spans="1:23" s="290" customFormat="1" ht="9.75" customHeight="1" x14ac:dyDescent="0.15">
      <c r="A186" s="559" t="s">
        <v>634</v>
      </c>
      <c r="B186" s="290">
        <v>378140</v>
      </c>
      <c r="C186" s="290">
        <v>92324</v>
      </c>
      <c r="D186" s="290">
        <v>92324</v>
      </c>
      <c r="E186" s="290">
        <v>92324</v>
      </c>
      <c r="F186" s="290" t="s">
        <v>986</v>
      </c>
      <c r="G186" s="290" t="s">
        <v>986</v>
      </c>
      <c r="H186" s="290" t="s">
        <v>986</v>
      </c>
      <c r="I186" s="290">
        <v>2103609</v>
      </c>
      <c r="J186" s="290">
        <v>2103609</v>
      </c>
      <c r="K186" s="290">
        <v>1880628</v>
      </c>
      <c r="L186" s="290">
        <v>130437</v>
      </c>
      <c r="M186" s="290">
        <v>47701</v>
      </c>
      <c r="N186" s="290">
        <v>44843</v>
      </c>
      <c r="O186" s="290">
        <v>1217469</v>
      </c>
      <c r="P186" s="290">
        <v>1217467</v>
      </c>
      <c r="Q186" s="290">
        <v>1217467</v>
      </c>
      <c r="R186" s="290" t="s">
        <v>986</v>
      </c>
      <c r="S186" s="290" t="s">
        <v>986</v>
      </c>
      <c r="T186" s="290" t="s">
        <v>986</v>
      </c>
      <c r="U186" s="290">
        <v>2</v>
      </c>
      <c r="V186" s="290" t="s">
        <v>986</v>
      </c>
      <c r="W186" s="295" t="s">
        <v>588</v>
      </c>
    </row>
    <row r="187" spans="1:23" s="290" customFormat="1" ht="9.75" customHeight="1" x14ac:dyDescent="0.15">
      <c r="A187" s="559" t="s">
        <v>635</v>
      </c>
      <c r="B187" s="290">
        <v>624393</v>
      </c>
      <c r="C187" s="290">
        <v>167858</v>
      </c>
      <c r="D187" s="290">
        <v>167858</v>
      </c>
      <c r="E187" s="290">
        <v>132879</v>
      </c>
      <c r="F187" s="290">
        <v>34979</v>
      </c>
      <c r="G187" s="290" t="s">
        <v>986</v>
      </c>
      <c r="H187" s="290" t="s">
        <v>986</v>
      </c>
      <c r="I187" s="290">
        <v>2232720</v>
      </c>
      <c r="J187" s="290">
        <v>2232720</v>
      </c>
      <c r="K187" s="290">
        <v>1986762</v>
      </c>
      <c r="L187" s="290">
        <v>143970</v>
      </c>
      <c r="M187" s="290" t="s">
        <v>986</v>
      </c>
      <c r="N187" s="290">
        <v>101988</v>
      </c>
      <c r="O187" s="290">
        <v>1980952</v>
      </c>
      <c r="P187" s="290">
        <v>1980791</v>
      </c>
      <c r="Q187" s="290">
        <v>1909355</v>
      </c>
      <c r="R187" s="290">
        <v>40141</v>
      </c>
      <c r="S187" s="290" t="s">
        <v>986</v>
      </c>
      <c r="T187" s="290">
        <v>31295</v>
      </c>
      <c r="U187" s="290">
        <v>161</v>
      </c>
      <c r="V187" s="290">
        <v>161</v>
      </c>
      <c r="W187" s="295" t="s">
        <v>636</v>
      </c>
    </row>
    <row r="188" spans="1:23" s="290" customFormat="1" ht="9.75" customHeight="1" x14ac:dyDescent="0.15">
      <c r="A188" s="559" t="s">
        <v>774</v>
      </c>
      <c r="B188" s="290">
        <v>291643</v>
      </c>
      <c r="C188" s="290">
        <v>71898</v>
      </c>
      <c r="D188" s="290">
        <v>71867</v>
      </c>
      <c r="E188" s="290">
        <v>23402</v>
      </c>
      <c r="F188" s="290">
        <v>48465</v>
      </c>
      <c r="G188" s="290">
        <v>31</v>
      </c>
      <c r="H188" s="290">
        <v>31</v>
      </c>
      <c r="I188" s="290">
        <v>1857368</v>
      </c>
      <c r="J188" s="290">
        <v>1857368</v>
      </c>
      <c r="K188" s="290">
        <v>1528838</v>
      </c>
      <c r="L188" s="290">
        <v>328530</v>
      </c>
      <c r="M188" s="290" t="s">
        <v>986</v>
      </c>
      <c r="N188" s="290" t="s">
        <v>986</v>
      </c>
      <c r="O188" s="290">
        <v>636740</v>
      </c>
      <c r="P188" s="290">
        <v>636489</v>
      </c>
      <c r="Q188" s="290">
        <v>572747</v>
      </c>
      <c r="R188" s="290" t="s">
        <v>986</v>
      </c>
      <c r="S188" s="290">
        <v>36433</v>
      </c>
      <c r="T188" s="290">
        <v>27309</v>
      </c>
      <c r="U188" s="290">
        <v>251</v>
      </c>
      <c r="V188" s="290">
        <v>251</v>
      </c>
      <c r="W188" s="295" t="s">
        <v>775</v>
      </c>
    </row>
    <row r="189" spans="1:23" s="290" customFormat="1" ht="9.75" customHeight="1" x14ac:dyDescent="0.15">
      <c r="A189" s="559" t="s">
        <v>987</v>
      </c>
      <c r="B189" s="290">
        <v>109893</v>
      </c>
      <c r="C189" s="290">
        <v>76311</v>
      </c>
      <c r="D189" s="290">
        <v>76311</v>
      </c>
      <c r="E189" s="290">
        <v>36490</v>
      </c>
      <c r="F189" s="290">
        <v>39821</v>
      </c>
      <c r="G189" s="290" t="s">
        <v>986</v>
      </c>
      <c r="H189" s="290" t="s">
        <v>986</v>
      </c>
      <c r="I189" s="290">
        <v>2032129</v>
      </c>
      <c r="J189" s="290">
        <v>2032129</v>
      </c>
      <c r="K189" s="290">
        <v>1593946</v>
      </c>
      <c r="L189" s="290">
        <v>438183</v>
      </c>
      <c r="M189" s="290" t="s">
        <v>986</v>
      </c>
      <c r="N189" s="290" t="s">
        <v>986</v>
      </c>
      <c r="O189" s="290">
        <v>1205535</v>
      </c>
      <c r="P189" s="290">
        <v>1203830</v>
      </c>
      <c r="Q189" s="290">
        <v>1195927</v>
      </c>
      <c r="R189" s="290" t="s">
        <v>986</v>
      </c>
      <c r="S189" s="290" t="s">
        <v>986</v>
      </c>
      <c r="T189" s="290">
        <v>7903</v>
      </c>
      <c r="U189" s="290">
        <v>1705</v>
      </c>
      <c r="V189" s="290">
        <v>1705</v>
      </c>
      <c r="W189" s="295" t="s">
        <v>988</v>
      </c>
    </row>
    <row r="190" spans="1:23" s="290" customFormat="1" ht="6.75" customHeight="1" x14ac:dyDescent="0.15">
      <c r="A190" s="578"/>
      <c r="W190" s="295"/>
    </row>
    <row r="191" spans="1:23" s="290" customFormat="1" ht="9.75" customHeight="1" x14ac:dyDescent="0.15">
      <c r="A191" s="559" t="s">
        <v>989</v>
      </c>
      <c r="B191" s="290">
        <v>212586</v>
      </c>
      <c r="C191" s="290">
        <v>118131</v>
      </c>
      <c r="D191" s="290">
        <v>118100</v>
      </c>
      <c r="E191" s="290">
        <v>29814</v>
      </c>
      <c r="F191" s="290">
        <v>88286</v>
      </c>
      <c r="G191" s="290">
        <v>31</v>
      </c>
      <c r="H191" s="290">
        <v>31</v>
      </c>
      <c r="I191" s="290">
        <v>2001761</v>
      </c>
      <c r="J191" s="290">
        <v>2001761</v>
      </c>
      <c r="K191" s="290">
        <v>1520278</v>
      </c>
      <c r="L191" s="290">
        <v>481483</v>
      </c>
      <c r="M191" s="290" t="s">
        <v>986</v>
      </c>
      <c r="N191" s="290" t="s">
        <v>986</v>
      </c>
      <c r="O191" s="290">
        <v>490277</v>
      </c>
      <c r="P191" s="290">
        <v>490025</v>
      </c>
      <c r="Q191" s="290">
        <v>433374</v>
      </c>
      <c r="R191" s="290" t="s">
        <v>986</v>
      </c>
      <c r="S191" s="290">
        <v>36433</v>
      </c>
      <c r="T191" s="290">
        <v>20218</v>
      </c>
      <c r="U191" s="290">
        <v>252</v>
      </c>
      <c r="V191" s="290">
        <v>252</v>
      </c>
      <c r="W191" s="295" t="s">
        <v>776</v>
      </c>
    </row>
    <row r="192" spans="1:23" s="290" customFormat="1" ht="9.75" customHeight="1" x14ac:dyDescent="0.15">
      <c r="A192" s="559" t="s">
        <v>990</v>
      </c>
      <c r="B192" s="290">
        <v>109893</v>
      </c>
      <c r="C192" s="290">
        <v>41820</v>
      </c>
      <c r="D192" s="290">
        <v>41820</v>
      </c>
      <c r="E192" s="290">
        <v>41820</v>
      </c>
      <c r="F192" s="290" t="s">
        <v>986</v>
      </c>
      <c r="G192" s="290" t="s">
        <v>986</v>
      </c>
      <c r="H192" s="290" t="s">
        <v>986</v>
      </c>
      <c r="I192" s="290">
        <v>1951566</v>
      </c>
      <c r="J192" s="290">
        <v>1951566</v>
      </c>
      <c r="K192" s="290">
        <v>1585034</v>
      </c>
      <c r="L192" s="290">
        <v>366532</v>
      </c>
      <c r="M192" s="290" t="s">
        <v>986</v>
      </c>
      <c r="N192" s="290" t="s">
        <v>986</v>
      </c>
      <c r="O192" s="290">
        <v>1245764</v>
      </c>
      <c r="P192" s="290">
        <v>1244083</v>
      </c>
      <c r="Q192" s="290">
        <v>1239049</v>
      </c>
      <c r="R192" s="290" t="s">
        <v>986</v>
      </c>
      <c r="S192" s="290" t="s">
        <v>986</v>
      </c>
      <c r="T192" s="290">
        <v>5034</v>
      </c>
      <c r="U192" s="290">
        <v>1681</v>
      </c>
      <c r="V192" s="290">
        <v>1681</v>
      </c>
      <c r="W192" s="295" t="s">
        <v>991</v>
      </c>
    </row>
    <row r="193" spans="1:23" s="290" customFormat="1" ht="6.75" customHeight="1" x14ac:dyDescent="0.15">
      <c r="A193" s="578"/>
      <c r="W193" s="295"/>
    </row>
    <row r="194" spans="1:23" s="290" customFormat="1" ht="9.75" customHeight="1" x14ac:dyDescent="0.15">
      <c r="A194" s="559" t="s">
        <v>992</v>
      </c>
      <c r="B194" s="290" t="s">
        <v>986</v>
      </c>
      <c r="C194" s="290">
        <v>46233</v>
      </c>
      <c r="D194" s="290">
        <v>46233</v>
      </c>
      <c r="E194" s="290">
        <v>6412</v>
      </c>
      <c r="F194" s="290">
        <v>39821</v>
      </c>
      <c r="G194" s="290" t="s">
        <v>986</v>
      </c>
      <c r="H194" s="290" t="s">
        <v>986</v>
      </c>
      <c r="I194" s="290">
        <v>808600</v>
      </c>
      <c r="J194" s="290">
        <v>808600</v>
      </c>
      <c r="K194" s="290">
        <v>572286</v>
      </c>
      <c r="L194" s="290">
        <v>236314</v>
      </c>
      <c r="M194" s="290" t="s">
        <v>986</v>
      </c>
      <c r="N194" s="290" t="s">
        <v>986</v>
      </c>
      <c r="O194" s="290">
        <v>78503</v>
      </c>
      <c r="P194" s="290">
        <v>78479</v>
      </c>
      <c r="Q194" s="290">
        <v>75610</v>
      </c>
      <c r="R194" s="290" t="s">
        <v>986</v>
      </c>
      <c r="S194" s="290" t="s">
        <v>986</v>
      </c>
      <c r="T194" s="290">
        <v>2869</v>
      </c>
      <c r="U194" s="290">
        <v>24</v>
      </c>
      <c r="V194" s="290">
        <v>24</v>
      </c>
      <c r="W194" s="295" t="s">
        <v>777</v>
      </c>
    </row>
    <row r="195" spans="1:23" s="290" customFormat="1" ht="9.75" customHeight="1" x14ac:dyDescent="0.15">
      <c r="A195" s="559" t="s">
        <v>637</v>
      </c>
      <c r="B195" s="290">
        <v>84397</v>
      </c>
      <c r="C195" s="290">
        <v>5875</v>
      </c>
      <c r="D195" s="290">
        <v>5875</v>
      </c>
      <c r="E195" s="290">
        <v>5875</v>
      </c>
      <c r="F195" s="290" t="s">
        <v>986</v>
      </c>
      <c r="G195" s="290" t="s">
        <v>986</v>
      </c>
      <c r="H195" s="290" t="s">
        <v>986</v>
      </c>
      <c r="I195" s="290">
        <v>139065</v>
      </c>
      <c r="J195" s="290">
        <v>139065</v>
      </c>
      <c r="K195" s="290">
        <v>139065</v>
      </c>
      <c r="L195" s="290" t="s">
        <v>986</v>
      </c>
      <c r="M195" s="290" t="s">
        <v>986</v>
      </c>
      <c r="N195" s="290" t="s">
        <v>986</v>
      </c>
      <c r="O195" s="290">
        <v>638393</v>
      </c>
      <c r="P195" s="290">
        <v>638369</v>
      </c>
      <c r="Q195" s="290">
        <v>638369</v>
      </c>
      <c r="R195" s="290" t="s">
        <v>986</v>
      </c>
      <c r="S195" s="290" t="s">
        <v>986</v>
      </c>
      <c r="T195" s="290" t="s">
        <v>986</v>
      </c>
      <c r="U195" s="290">
        <v>24</v>
      </c>
      <c r="V195" s="290">
        <v>24</v>
      </c>
      <c r="W195" s="295" t="s">
        <v>85</v>
      </c>
    </row>
    <row r="196" spans="1:23" s="290" customFormat="1" ht="9.75" customHeight="1" x14ac:dyDescent="0.15">
      <c r="A196" s="559" t="s">
        <v>638</v>
      </c>
      <c r="B196" s="290" t="s">
        <v>986</v>
      </c>
      <c r="C196" s="290">
        <v>12091</v>
      </c>
      <c r="D196" s="290">
        <v>12091</v>
      </c>
      <c r="E196" s="290">
        <v>12091</v>
      </c>
      <c r="F196" s="290" t="s">
        <v>986</v>
      </c>
      <c r="G196" s="290" t="s">
        <v>986</v>
      </c>
      <c r="H196" s="290" t="s">
        <v>986</v>
      </c>
      <c r="I196" s="290">
        <v>254062</v>
      </c>
      <c r="J196" s="290">
        <v>254062</v>
      </c>
      <c r="K196" s="290">
        <v>254062</v>
      </c>
      <c r="L196" s="290" t="s">
        <v>986</v>
      </c>
      <c r="M196" s="290" t="s">
        <v>986</v>
      </c>
      <c r="N196" s="290" t="s">
        <v>986</v>
      </c>
      <c r="O196" s="290">
        <v>310630</v>
      </c>
      <c r="P196" s="290">
        <v>308973</v>
      </c>
      <c r="Q196" s="290">
        <v>308973</v>
      </c>
      <c r="R196" s="290" t="s">
        <v>986</v>
      </c>
      <c r="S196" s="290" t="s">
        <v>986</v>
      </c>
      <c r="T196" s="290" t="s">
        <v>986</v>
      </c>
      <c r="U196" s="290">
        <v>1657</v>
      </c>
      <c r="V196" s="290">
        <v>1657</v>
      </c>
      <c r="W196" s="295" t="s">
        <v>86</v>
      </c>
    </row>
    <row r="197" spans="1:23" s="290" customFormat="1" ht="9.75" customHeight="1" x14ac:dyDescent="0.15">
      <c r="A197" s="559" t="s">
        <v>639</v>
      </c>
      <c r="B197" s="290">
        <v>25496</v>
      </c>
      <c r="C197" s="290">
        <v>12112</v>
      </c>
      <c r="D197" s="290">
        <v>12112</v>
      </c>
      <c r="E197" s="290">
        <v>12112</v>
      </c>
      <c r="F197" s="290" t="s">
        <v>986</v>
      </c>
      <c r="G197" s="290" t="s">
        <v>986</v>
      </c>
      <c r="H197" s="290" t="s">
        <v>986</v>
      </c>
      <c r="I197" s="290">
        <v>830402</v>
      </c>
      <c r="J197" s="290">
        <v>830402</v>
      </c>
      <c r="K197" s="290">
        <v>628533</v>
      </c>
      <c r="L197" s="290">
        <v>201869</v>
      </c>
      <c r="M197" s="290" t="s">
        <v>986</v>
      </c>
      <c r="N197" s="290" t="s">
        <v>986</v>
      </c>
      <c r="O197" s="290">
        <v>178009</v>
      </c>
      <c r="P197" s="290">
        <v>178009</v>
      </c>
      <c r="Q197" s="290">
        <v>172975</v>
      </c>
      <c r="R197" s="290" t="s">
        <v>986</v>
      </c>
      <c r="S197" s="290" t="s">
        <v>986</v>
      </c>
      <c r="T197" s="290">
        <v>5034</v>
      </c>
      <c r="U197" s="290" t="s">
        <v>986</v>
      </c>
      <c r="V197" s="290" t="s">
        <v>986</v>
      </c>
      <c r="W197" s="295" t="s">
        <v>87</v>
      </c>
    </row>
    <row r="198" spans="1:23" s="290" customFormat="1" ht="9.75" customHeight="1" x14ac:dyDescent="0.15">
      <c r="A198" s="559" t="s">
        <v>993</v>
      </c>
      <c r="B198" s="290" t="s">
        <v>986</v>
      </c>
      <c r="C198" s="290">
        <v>11742</v>
      </c>
      <c r="D198" s="290">
        <v>11742</v>
      </c>
      <c r="E198" s="290">
        <v>11742</v>
      </c>
      <c r="F198" s="290" t="s">
        <v>986</v>
      </c>
      <c r="G198" s="290" t="s">
        <v>986</v>
      </c>
      <c r="H198" s="290" t="s">
        <v>986</v>
      </c>
      <c r="I198" s="290">
        <v>728037</v>
      </c>
      <c r="J198" s="290">
        <v>728037</v>
      </c>
      <c r="K198" s="290">
        <v>563374</v>
      </c>
      <c r="L198" s="290">
        <v>164663</v>
      </c>
      <c r="M198" s="290" t="s">
        <v>986</v>
      </c>
      <c r="N198" s="290" t="s">
        <v>986</v>
      </c>
      <c r="O198" s="290">
        <v>118732</v>
      </c>
      <c r="P198" s="290">
        <v>118732</v>
      </c>
      <c r="Q198" s="290">
        <v>118732</v>
      </c>
      <c r="R198" s="290" t="s">
        <v>986</v>
      </c>
      <c r="S198" s="290" t="s">
        <v>986</v>
      </c>
      <c r="T198" s="290" t="s">
        <v>986</v>
      </c>
      <c r="U198" s="290" t="s">
        <v>986</v>
      </c>
      <c r="V198" s="290" t="s">
        <v>986</v>
      </c>
      <c r="W198" s="295" t="s">
        <v>994</v>
      </c>
    </row>
    <row r="199" spans="1:23" s="290" customFormat="1" ht="6.75" customHeight="1" x14ac:dyDescent="0.15">
      <c r="A199" s="578"/>
      <c r="W199" s="295"/>
    </row>
    <row r="200" spans="1:23" s="290" customFormat="1" ht="9.75" customHeight="1" x14ac:dyDescent="0.15">
      <c r="A200" s="559" t="s">
        <v>995</v>
      </c>
      <c r="B200" s="290" t="s">
        <v>986</v>
      </c>
      <c r="C200" s="290">
        <v>19958</v>
      </c>
      <c r="D200" s="290">
        <v>19958</v>
      </c>
      <c r="E200" s="290" t="s">
        <v>986</v>
      </c>
      <c r="F200" s="290">
        <v>19958</v>
      </c>
      <c r="G200" s="290" t="s">
        <v>986</v>
      </c>
      <c r="H200" s="290" t="s">
        <v>986</v>
      </c>
      <c r="I200" s="290">
        <v>450893</v>
      </c>
      <c r="J200" s="290">
        <v>450893</v>
      </c>
      <c r="K200" s="290">
        <v>297510</v>
      </c>
      <c r="L200" s="290">
        <v>153383</v>
      </c>
      <c r="M200" s="290" t="s">
        <v>986</v>
      </c>
      <c r="N200" s="290" t="s">
        <v>986</v>
      </c>
      <c r="O200" s="290">
        <v>23256</v>
      </c>
      <c r="P200" s="290">
        <v>23232</v>
      </c>
      <c r="Q200" s="290">
        <v>20363</v>
      </c>
      <c r="R200" s="290" t="s">
        <v>986</v>
      </c>
      <c r="S200" s="290" t="s">
        <v>986</v>
      </c>
      <c r="T200" s="290">
        <v>2869</v>
      </c>
      <c r="U200" s="290">
        <v>24</v>
      </c>
      <c r="V200" s="290">
        <v>24</v>
      </c>
      <c r="W200" s="295" t="s">
        <v>778</v>
      </c>
    </row>
    <row r="201" spans="1:23" s="290" customFormat="1" ht="9.75" customHeight="1" x14ac:dyDescent="0.15">
      <c r="A201" s="559" t="s">
        <v>640</v>
      </c>
      <c r="B201" s="290" t="s">
        <v>986</v>
      </c>
      <c r="C201" s="290">
        <v>26275</v>
      </c>
      <c r="D201" s="290">
        <v>26275</v>
      </c>
      <c r="E201" s="290">
        <v>6412</v>
      </c>
      <c r="F201" s="290">
        <v>19863</v>
      </c>
      <c r="G201" s="290" t="s">
        <v>986</v>
      </c>
      <c r="H201" s="290" t="s">
        <v>986</v>
      </c>
      <c r="I201" s="290">
        <v>264146</v>
      </c>
      <c r="J201" s="290">
        <v>264146</v>
      </c>
      <c r="K201" s="290">
        <v>222985</v>
      </c>
      <c r="L201" s="290">
        <v>41161</v>
      </c>
      <c r="M201" s="290" t="s">
        <v>986</v>
      </c>
      <c r="N201" s="290" t="s">
        <v>986</v>
      </c>
      <c r="O201" s="290">
        <v>27712</v>
      </c>
      <c r="P201" s="290">
        <v>27712</v>
      </c>
      <c r="Q201" s="290">
        <v>27712</v>
      </c>
      <c r="R201" s="290" t="s">
        <v>986</v>
      </c>
      <c r="S201" s="290" t="s">
        <v>986</v>
      </c>
      <c r="T201" s="290" t="s">
        <v>986</v>
      </c>
      <c r="U201" s="290" t="s">
        <v>986</v>
      </c>
      <c r="V201" s="290" t="s">
        <v>986</v>
      </c>
      <c r="W201" s="295" t="s">
        <v>73</v>
      </c>
    </row>
    <row r="202" spans="1:23" s="290" customFormat="1" ht="9.75" customHeight="1" x14ac:dyDescent="0.15">
      <c r="A202" s="559" t="s">
        <v>641</v>
      </c>
      <c r="B202" s="290" t="s">
        <v>986</v>
      </c>
      <c r="C202" s="290" t="s">
        <v>986</v>
      </c>
      <c r="D202" s="290" t="s">
        <v>986</v>
      </c>
      <c r="E202" s="290" t="s">
        <v>986</v>
      </c>
      <c r="F202" s="290" t="s">
        <v>986</v>
      </c>
      <c r="G202" s="290" t="s">
        <v>986</v>
      </c>
      <c r="H202" s="290" t="s">
        <v>986</v>
      </c>
      <c r="I202" s="290">
        <v>93561</v>
      </c>
      <c r="J202" s="290">
        <v>93561</v>
      </c>
      <c r="K202" s="290">
        <v>51791</v>
      </c>
      <c r="L202" s="290">
        <v>41770</v>
      </c>
      <c r="M202" s="290" t="s">
        <v>986</v>
      </c>
      <c r="N202" s="290" t="s">
        <v>986</v>
      </c>
      <c r="O202" s="290">
        <v>27535</v>
      </c>
      <c r="P202" s="290">
        <v>27535</v>
      </c>
      <c r="Q202" s="290">
        <v>27535</v>
      </c>
      <c r="R202" s="290" t="s">
        <v>986</v>
      </c>
      <c r="S202" s="290" t="s">
        <v>986</v>
      </c>
      <c r="T202" s="290" t="s">
        <v>986</v>
      </c>
      <c r="U202" s="290" t="s">
        <v>986</v>
      </c>
      <c r="V202" s="290" t="s">
        <v>986</v>
      </c>
      <c r="W202" s="295" t="s">
        <v>74</v>
      </c>
    </row>
    <row r="203" spans="1:23" s="290" customFormat="1" ht="9.75" customHeight="1" x14ac:dyDescent="0.15">
      <c r="A203" s="559" t="s">
        <v>642</v>
      </c>
      <c r="B203" s="290">
        <v>50665</v>
      </c>
      <c r="C203" s="290" t="s">
        <v>986</v>
      </c>
      <c r="D203" s="290" t="s">
        <v>986</v>
      </c>
      <c r="E203" s="290" t="s">
        <v>986</v>
      </c>
      <c r="F203" s="290" t="s">
        <v>986</v>
      </c>
      <c r="G203" s="290" t="s">
        <v>986</v>
      </c>
      <c r="H203" s="290" t="s">
        <v>986</v>
      </c>
      <c r="I203" s="290">
        <v>24261</v>
      </c>
      <c r="J203" s="290">
        <v>24261</v>
      </c>
      <c r="K203" s="290">
        <v>24261</v>
      </c>
      <c r="L203" s="290" t="s">
        <v>986</v>
      </c>
      <c r="M203" s="290" t="s">
        <v>986</v>
      </c>
      <c r="N203" s="290" t="s">
        <v>986</v>
      </c>
      <c r="O203" s="290">
        <v>135374</v>
      </c>
      <c r="P203" s="290">
        <v>135350</v>
      </c>
      <c r="Q203" s="290">
        <v>135350</v>
      </c>
      <c r="R203" s="290" t="s">
        <v>986</v>
      </c>
      <c r="S203" s="290" t="s">
        <v>986</v>
      </c>
      <c r="T203" s="290" t="s">
        <v>986</v>
      </c>
      <c r="U203" s="290">
        <v>24</v>
      </c>
      <c r="V203" s="290">
        <v>24</v>
      </c>
      <c r="W203" s="295" t="s">
        <v>75</v>
      </c>
    </row>
    <row r="204" spans="1:23" s="290" customFormat="1" ht="9.75" customHeight="1" x14ac:dyDescent="0.15">
      <c r="A204" s="559" t="s">
        <v>643</v>
      </c>
      <c r="B204" s="290">
        <v>33732</v>
      </c>
      <c r="C204" s="290">
        <v>5875</v>
      </c>
      <c r="D204" s="290">
        <v>5875</v>
      </c>
      <c r="E204" s="290">
        <v>5875</v>
      </c>
      <c r="F204" s="290" t="s">
        <v>986</v>
      </c>
      <c r="G204" s="290" t="s">
        <v>986</v>
      </c>
      <c r="H204" s="290" t="s">
        <v>986</v>
      </c>
      <c r="I204" s="290">
        <v>100865</v>
      </c>
      <c r="J204" s="290">
        <v>100865</v>
      </c>
      <c r="K204" s="290">
        <v>100865</v>
      </c>
      <c r="L204" s="290" t="s">
        <v>986</v>
      </c>
      <c r="M204" s="290" t="s">
        <v>986</v>
      </c>
      <c r="N204" s="290" t="s">
        <v>986</v>
      </c>
      <c r="O204" s="290">
        <v>156756</v>
      </c>
      <c r="P204" s="290">
        <v>156756</v>
      </c>
      <c r="Q204" s="290">
        <v>156756</v>
      </c>
      <c r="R204" s="290" t="s">
        <v>986</v>
      </c>
      <c r="S204" s="290" t="s">
        <v>986</v>
      </c>
      <c r="T204" s="290" t="s">
        <v>986</v>
      </c>
      <c r="U204" s="290" t="s">
        <v>986</v>
      </c>
      <c r="V204" s="290" t="s">
        <v>986</v>
      </c>
      <c r="W204" s="295" t="s">
        <v>88</v>
      </c>
    </row>
    <row r="205" spans="1:23" s="290" customFormat="1" ht="9.75" customHeight="1" x14ac:dyDescent="0.15">
      <c r="A205" s="559" t="s">
        <v>644</v>
      </c>
      <c r="B205" s="290" t="s">
        <v>986</v>
      </c>
      <c r="C205" s="290" t="s">
        <v>986</v>
      </c>
      <c r="D205" s="290" t="s">
        <v>986</v>
      </c>
      <c r="E205" s="290" t="s">
        <v>986</v>
      </c>
      <c r="F205" s="290" t="s">
        <v>986</v>
      </c>
      <c r="G205" s="290" t="s">
        <v>986</v>
      </c>
      <c r="H205" s="290" t="s">
        <v>986</v>
      </c>
      <c r="I205" s="290">
        <v>13939</v>
      </c>
      <c r="J205" s="290">
        <v>13939</v>
      </c>
      <c r="K205" s="290">
        <v>13939</v>
      </c>
      <c r="L205" s="290" t="s">
        <v>986</v>
      </c>
      <c r="M205" s="290" t="s">
        <v>986</v>
      </c>
      <c r="N205" s="290" t="s">
        <v>986</v>
      </c>
      <c r="O205" s="290">
        <v>346263</v>
      </c>
      <c r="P205" s="290">
        <v>346263</v>
      </c>
      <c r="Q205" s="290">
        <v>346263</v>
      </c>
      <c r="R205" s="290" t="s">
        <v>986</v>
      </c>
      <c r="S205" s="290" t="s">
        <v>986</v>
      </c>
      <c r="T205" s="290" t="s">
        <v>986</v>
      </c>
      <c r="U205" s="290" t="s">
        <v>986</v>
      </c>
      <c r="V205" s="290" t="s">
        <v>986</v>
      </c>
      <c r="W205" s="295" t="s">
        <v>89</v>
      </c>
    </row>
    <row r="206" spans="1:23" s="290" customFormat="1" ht="9.75" customHeight="1" x14ac:dyDescent="0.15">
      <c r="A206" s="559" t="s">
        <v>645</v>
      </c>
      <c r="B206" s="290" t="s">
        <v>986</v>
      </c>
      <c r="C206" s="290">
        <v>5908</v>
      </c>
      <c r="D206" s="290">
        <v>5908</v>
      </c>
      <c r="E206" s="290">
        <v>5908</v>
      </c>
      <c r="F206" s="290" t="s">
        <v>986</v>
      </c>
      <c r="G206" s="290" t="s">
        <v>986</v>
      </c>
      <c r="H206" s="290" t="s">
        <v>986</v>
      </c>
      <c r="I206" s="290">
        <v>6586</v>
      </c>
      <c r="J206" s="290">
        <v>6586</v>
      </c>
      <c r="K206" s="290">
        <v>6586</v>
      </c>
      <c r="L206" s="290" t="s">
        <v>986</v>
      </c>
      <c r="M206" s="290" t="s">
        <v>986</v>
      </c>
      <c r="N206" s="290" t="s">
        <v>986</v>
      </c>
      <c r="O206" s="290">
        <v>178983</v>
      </c>
      <c r="P206" s="290">
        <v>178935</v>
      </c>
      <c r="Q206" s="290">
        <v>178935</v>
      </c>
      <c r="R206" s="290" t="s">
        <v>986</v>
      </c>
      <c r="S206" s="290" t="s">
        <v>986</v>
      </c>
      <c r="T206" s="290" t="s">
        <v>986</v>
      </c>
      <c r="U206" s="290">
        <v>48</v>
      </c>
      <c r="V206" s="290">
        <v>48</v>
      </c>
      <c r="W206" s="295" t="s">
        <v>90</v>
      </c>
    </row>
    <row r="207" spans="1:23" s="290" customFormat="1" ht="9.75" customHeight="1" x14ac:dyDescent="0.15">
      <c r="A207" s="559" t="s">
        <v>646</v>
      </c>
      <c r="B207" s="290" t="s">
        <v>986</v>
      </c>
      <c r="C207" s="290">
        <v>6183</v>
      </c>
      <c r="D207" s="290">
        <v>6183</v>
      </c>
      <c r="E207" s="290">
        <v>6183</v>
      </c>
      <c r="F207" s="290" t="s">
        <v>986</v>
      </c>
      <c r="G207" s="290" t="s">
        <v>986</v>
      </c>
      <c r="H207" s="290" t="s">
        <v>986</v>
      </c>
      <c r="I207" s="290">
        <v>56434</v>
      </c>
      <c r="J207" s="290">
        <v>56434</v>
      </c>
      <c r="K207" s="290">
        <v>56434</v>
      </c>
      <c r="L207" s="290" t="s">
        <v>986</v>
      </c>
      <c r="M207" s="290" t="s">
        <v>986</v>
      </c>
      <c r="N207" s="290" t="s">
        <v>986</v>
      </c>
      <c r="O207" s="290">
        <v>54585</v>
      </c>
      <c r="P207" s="290">
        <v>52976</v>
      </c>
      <c r="Q207" s="290">
        <v>52976</v>
      </c>
      <c r="R207" s="290" t="s">
        <v>986</v>
      </c>
      <c r="S207" s="290" t="s">
        <v>986</v>
      </c>
      <c r="T207" s="290" t="s">
        <v>986</v>
      </c>
      <c r="U207" s="290">
        <v>1609</v>
      </c>
      <c r="V207" s="290">
        <v>1609</v>
      </c>
      <c r="W207" s="295" t="s">
        <v>91</v>
      </c>
    </row>
    <row r="208" spans="1:23" s="290" customFormat="1" ht="9.75" customHeight="1" x14ac:dyDescent="0.15">
      <c r="A208" s="559" t="s">
        <v>647</v>
      </c>
      <c r="B208" s="290" t="s">
        <v>986</v>
      </c>
      <c r="C208" s="290" t="s">
        <v>986</v>
      </c>
      <c r="D208" s="290" t="s">
        <v>986</v>
      </c>
      <c r="E208" s="290" t="s">
        <v>986</v>
      </c>
      <c r="F208" s="290" t="s">
        <v>986</v>
      </c>
      <c r="G208" s="290" t="s">
        <v>986</v>
      </c>
      <c r="H208" s="290" t="s">
        <v>986</v>
      </c>
      <c r="I208" s="290">
        <v>191042</v>
      </c>
      <c r="J208" s="290">
        <v>191042</v>
      </c>
      <c r="K208" s="290">
        <v>191042</v>
      </c>
      <c r="L208" s="290" t="s">
        <v>986</v>
      </c>
      <c r="M208" s="290" t="s">
        <v>986</v>
      </c>
      <c r="N208" s="290" t="s">
        <v>986</v>
      </c>
      <c r="O208" s="290">
        <v>77062</v>
      </c>
      <c r="P208" s="290">
        <v>77062</v>
      </c>
      <c r="Q208" s="290">
        <v>77062</v>
      </c>
      <c r="R208" s="290" t="s">
        <v>986</v>
      </c>
      <c r="S208" s="290" t="s">
        <v>986</v>
      </c>
      <c r="T208" s="290" t="s">
        <v>986</v>
      </c>
      <c r="U208" s="290" t="s">
        <v>986</v>
      </c>
      <c r="V208" s="290" t="s">
        <v>986</v>
      </c>
      <c r="W208" s="295" t="s">
        <v>92</v>
      </c>
    </row>
    <row r="209" spans="1:23" s="290" customFormat="1" ht="9.75" customHeight="1" x14ac:dyDescent="0.15">
      <c r="A209" s="559" t="s">
        <v>648</v>
      </c>
      <c r="B209" s="290" t="s">
        <v>986</v>
      </c>
      <c r="C209" s="290" t="s">
        <v>986</v>
      </c>
      <c r="D209" s="290" t="s">
        <v>986</v>
      </c>
      <c r="E209" s="290" t="s">
        <v>986</v>
      </c>
      <c r="F209" s="290" t="s">
        <v>986</v>
      </c>
      <c r="G209" s="290" t="s">
        <v>986</v>
      </c>
      <c r="H209" s="290" t="s">
        <v>986</v>
      </c>
      <c r="I209" s="290">
        <v>328205</v>
      </c>
      <c r="J209" s="290">
        <v>328205</v>
      </c>
      <c r="K209" s="290">
        <v>240935</v>
      </c>
      <c r="L209" s="290">
        <v>87270</v>
      </c>
      <c r="M209" s="290" t="s">
        <v>986</v>
      </c>
      <c r="N209" s="290" t="s">
        <v>986</v>
      </c>
      <c r="O209" s="290">
        <v>22935</v>
      </c>
      <c r="P209" s="290">
        <v>22935</v>
      </c>
      <c r="Q209" s="290">
        <v>22935</v>
      </c>
      <c r="R209" s="290" t="s">
        <v>986</v>
      </c>
      <c r="S209" s="290" t="s">
        <v>986</v>
      </c>
      <c r="T209" s="290" t="s">
        <v>986</v>
      </c>
      <c r="U209" s="290" t="s">
        <v>986</v>
      </c>
      <c r="V209" s="290" t="s">
        <v>986</v>
      </c>
      <c r="W209" s="295" t="s">
        <v>76</v>
      </c>
    </row>
    <row r="210" spans="1:23" s="290" customFormat="1" ht="9.75" customHeight="1" x14ac:dyDescent="0.15">
      <c r="A210" s="559" t="s">
        <v>649</v>
      </c>
      <c r="B210" s="290" t="s">
        <v>986</v>
      </c>
      <c r="C210" s="290">
        <v>12112</v>
      </c>
      <c r="D210" s="290">
        <v>12112</v>
      </c>
      <c r="E210" s="290">
        <v>12112</v>
      </c>
      <c r="F210" s="290" t="s">
        <v>986</v>
      </c>
      <c r="G210" s="290" t="s">
        <v>986</v>
      </c>
      <c r="H210" s="290" t="s">
        <v>986</v>
      </c>
      <c r="I210" s="290">
        <v>122850</v>
      </c>
      <c r="J210" s="290">
        <v>122850</v>
      </c>
      <c r="K210" s="290">
        <v>122850</v>
      </c>
      <c r="L210" s="290" t="s">
        <v>986</v>
      </c>
      <c r="M210" s="290" t="s">
        <v>986</v>
      </c>
      <c r="N210" s="290" t="s">
        <v>986</v>
      </c>
      <c r="O210" s="290">
        <v>95159</v>
      </c>
      <c r="P210" s="290">
        <v>95159</v>
      </c>
      <c r="Q210" s="290">
        <v>90125</v>
      </c>
      <c r="R210" s="290" t="s">
        <v>986</v>
      </c>
      <c r="S210" s="290" t="s">
        <v>986</v>
      </c>
      <c r="T210" s="290">
        <v>5034</v>
      </c>
      <c r="U210" s="290" t="s">
        <v>986</v>
      </c>
      <c r="V210" s="290" t="s">
        <v>986</v>
      </c>
      <c r="W210" s="295" t="s">
        <v>77</v>
      </c>
    </row>
    <row r="211" spans="1:23" s="290" customFormat="1" ht="9.75" customHeight="1" x14ac:dyDescent="0.15">
      <c r="A211" s="559" t="s">
        <v>650</v>
      </c>
      <c r="B211" s="290">
        <v>25496</v>
      </c>
      <c r="C211" s="290" t="s">
        <v>986</v>
      </c>
      <c r="D211" s="290" t="s">
        <v>986</v>
      </c>
      <c r="E211" s="290" t="s">
        <v>986</v>
      </c>
      <c r="F211" s="290" t="s">
        <v>986</v>
      </c>
      <c r="G211" s="290" t="s">
        <v>986</v>
      </c>
      <c r="H211" s="290" t="s">
        <v>986</v>
      </c>
      <c r="I211" s="290">
        <v>379347</v>
      </c>
      <c r="J211" s="290">
        <v>379347</v>
      </c>
      <c r="K211" s="290">
        <v>264748</v>
      </c>
      <c r="L211" s="290">
        <v>114599</v>
      </c>
      <c r="M211" s="290" t="s">
        <v>986</v>
      </c>
      <c r="N211" s="290" t="s">
        <v>986</v>
      </c>
      <c r="O211" s="290">
        <v>59915</v>
      </c>
      <c r="P211" s="290">
        <v>59915</v>
      </c>
      <c r="Q211" s="290">
        <v>59915</v>
      </c>
      <c r="R211" s="290" t="s">
        <v>986</v>
      </c>
      <c r="S211" s="290" t="s">
        <v>986</v>
      </c>
      <c r="T211" s="290" t="s">
        <v>986</v>
      </c>
      <c r="U211" s="290" t="s">
        <v>986</v>
      </c>
      <c r="V211" s="290" t="s">
        <v>986</v>
      </c>
      <c r="W211" s="295" t="s">
        <v>78</v>
      </c>
    </row>
    <row r="212" spans="1:23" s="290" customFormat="1" ht="9.75" customHeight="1" x14ac:dyDescent="0.15">
      <c r="A212" s="559" t="s">
        <v>996</v>
      </c>
      <c r="B212" s="290" t="s">
        <v>986</v>
      </c>
      <c r="C212" s="290" t="s">
        <v>986</v>
      </c>
      <c r="D212" s="290" t="s">
        <v>986</v>
      </c>
      <c r="E212" s="290" t="s">
        <v>986</v>
      </c>
      <c r="F212" s="290" t="s">
        <v>986</v>
      </c>
      <c r="G212" s="290" t="s">
        <v>986</v>
      </c>
      <c r="H212" s="290" t="s">
        <v>986</v>
      </c>
      <c r="I212" s="290">
        <v>382892</v>
      </c>
      <c r="J212" s="290">
        <v>382892</v>
      </c>
      <c r="K212" s="290">
        <v>305242</v>
      </c>
      <c r="L212" s="290">
        <v>77650</v>
      </c>
      <c r="M212" s="290" t="s">
        <v>986</v>
      </c>
      <c r="N212" s="290" t="s">
        <v>986</v>
      </c>
      <c r="O212" s="290">
        <v>67781</v>
      </c>
      <c r="P212" s="290">
        <v>67781</v>
      </c>
      <c r="Q212" s="290">
        <v>67781</v>
      </c>
      <c r="R212" s="290" t="s">
        <v>986</v>
      </c>
      <c r="S212" s="290" t="s">
        <v>986</v>
      </c>
      <c r="T212" s="290" t="s">
        <v>986</v>
      </c>
      <c r="U212" s="290" t="s">
        <v>986</v>
      </c>
      <c r="V212" s="290" t="s">
        <v>986</v>
      </c>
      <c r="W212" s="295" t="s">
        <v>997</v>
      </c>
    </row>
    <row r="213" spans="1:23" s="290" customFormat="1" ht="9.75" customHeight="1" x14ac:dyDescent="0.15">
      <c r="A213" s="559" t="s">
        <v>651</v>
      </c>
      <c r="B213" s="290" t="s">
        <v>986</v>
      </c>
      <c r="C213" s="290">
        <v>11742</v>
      </c>
      <c r="D213" s="290">
        <v>11742</v>
      </c>
      <c r="E213" s="290">
        <v>11742</v>
      </c>
      <c r="F213" s="290" t="s">
        <v>986</v>
      </c>
      <c r="G213" s="290" t="s">
        <v>986</v>
      </c>
      <c r="H213" s="290" t="s">
        <v>986</v>
      </c>
      <c r="I213" s="290">
        <v>242484</v>
      </c>
      <c r="J213" s="290">
        <v>242484</v>
      </c>
      <c r="K213" s="290">
        <v>199619</v>
      </c>
      <c r="L213" s="290">
        <v>42865</v>
      </c>
      <c r="M213" s="290" t="s">
        <v>986</v>
      </c>
      <c r="N213" s="290" t="s">
        <v>986</v>
      </c>
      <c r="O213" s="290">
        <v>28763</v>
      </c>
      <c r="P213" s="290">
        <v>28763</v>
      </c>
      <c r="Q213" s="290">
        <v>28763</v>
      </c>
      <c r="R213" s="290" t="s">
        <v>986</v>
      </c>
      <c r="S213" s="290" t="s">
        <v>986</v>
      </c>
      <c r="T213" s="290" t="s">
        <v>986</v>
      </c>
      <c r="U213" s="290" t="s">
        <v>986</v>
      </c>
      <c r="V213" s="290" t="s">
        <v>986</v>
      </c>
      <c r="W213" s="295" t="s">
        <v>73</v>
      </c>
    </row>
    <row r="214" spans="1:23" s="290" customFormat="1" ht="9.75" customHeight="1" x14ac:dyDescent="0.15">
      <c r="A214" s="560" t="s">
        <v>652</v>
      </c>
      <c r="B214" s="294" t="s">
        <v>986</v>
      </c>
      <c r="C214" s="293" t="s">
        <v>986</v>
      </c>
      <c r="D214" s="293" t="s">
        <v>986</v>
      </c>
      <c r="E214" s="293" t="s">
        <v>986</v>
      </c>
      <c r="F214" s="293" t="s">
        <v>986</v>
      </c>
      <c r="G214" s="293" t="s">
        <v>986</v>
      </c>
      <c r="H214" s="293" t="s">
        <v>986</v>
      </c>
      <c r="I214" s="293">
        <v>102661</v>
      </c>
      <c r="J214" s="293">
        <v>102661</v>
      </c>
      <c r="K214" s="293">
        <v>58513</v>
      </c>
      <c r="L214" s="293">
        <v>44148</v>
      </c>
      <c r="M214" s="293" t="s">
        <v>986</v>
      </c>
      <c r="N214" s="293" t="s">
        <v>986</v>
      </c>
      <c r="O214" s="293">
        <v>22188</v>
      </c>
      <c r="P214" s="293">
        <v>22188</v>
      </c>
      <c r="Q214" s="293">
        <v>22188</v>
      </c>
      <c r="R214" s="293" t="s">
        <v>986</v>
      </c>
      <c r="S214" s="293" t="s">
        <v>986</v>
      </c>
      <c r="T214" s="293" t="s">
        <v>986</v>
      </c>
      <c r="U214" s="293" t="s">
        <v>986</v>
      </c>
      <c r="V214" s="293" t="s">
        <v>986</v>
      </c>
      <c r="W214" s="291" t="s">
        <v>74</v>
      </c>
    </row>
    <row r="215" spans="1:23" ht="12" customHeight="1" x14ac:dyDescent="0.15"/>
    <row r="216" spans="1:23" ht="12" customHeight="1" x14ac:dyDescent="0.15"/>
    <row r="217" spans="1:23" ht="12" customHeight="1" x14ac:dyDescent="0.15">
      <c r="K217" s="299" t="s">
        <v>93</v>
      </c>
      <c r="V217" s="302" t="s">
        <v>858</v>
      </c>
    </row>
    <row r="218" spans="1:23" s="297" customFormat="1" ht="21" customHeight="1" x14ac:dyDescent="0.15">
      <c r="A218" s="1053" t="s">
        <v>172</v>
      </c>
      <c r="B218" s="833" t="s">
        <v>337</v>
      </c>
      <c r="C218" s="826" t="s">
        <v>290</v>
      </c>
      <c r="D218" s="827"/>
      <c r="E218" s="834"/>
      <c r="F218" s="826" t="s">
        <v>864</v>
      </c>
      <c r="G218" s="827"/>
      <c r="H218" s="827"/>
      <c r="I218" s="827"/>
      <c r="J218" s="827"/>
      <c r="K218" s="827"/>
      <c r="L218" s="827"/>
      <c r="M218" s="827"/>
      <c r="N218" s="827"/>
      <c r="O218" s="834"/>
      <c r="P218" s="826" t="s">
        <v>287</v>
      </c>
      <c r="Q218" s="827"/>
      <c r="R218" s="827"/>
      <c r="S218" s="827"/>
      <c r="T218" s="827"/>
      <c r="U218" s="827"/>
      <c r="V218" s="827"/>
      <c r="W218" s="1056" t="s">
        <v>79</v>
      </c>
    </row>
    <row r="219" spans="1:23" s="297" customFormat="1" ht="21" customHeight="1" x14ac:dyDescent="0.15">
      <c r="A219" s="1054"/>
      <c r="B219" s="837" t="s">
        <v>1043</v>
      </c>
      <c r="C219" s="1059" t="s">
        <v>288</v>
      </c>
      <c r="D219" s="826" t="s">
        <v>265</v>
      </c>
      <c r="E219" s="834"/>
      <c r="F219" s="1061" t="s">
        <v>865</v>
      </c>
      <c r="G219" s="826" t="s">
        <v>265</v>
      </c>
      <c r="H219" s="827"/>
      <c r="I219" s="827"/>
      <c r="J219" s="827"/>
      <c r="K219" s="834"/>
      <c r="L219" s="826" t="s">
        <v>259</v>
      </c>
      <c r="M219" s="834"/>
      <c r="N219" s="826" t="s">
        <v>241</v>
      </c>
      <c r="O219" s="834"/>
      <c r="P219" s="1059" t="s">
        <v>286</v>
      </c>
      <c r="Q219" s="826" t="s">
        <v>265</v>
      </c>
      <c r="R219" s="827"/>
      <c r="S219" s="827"/>
      <c r="T219" s="827"/>
      <c r="U219" s="827"/>
      <c r="V219" s="827"/>
      <c r="W219" s="1057"/>
    </row>
    <row r="220" spans="1:23" s="297" customFormat="1" ht="52.5" customHeight="1" x14ac:dyDescent="0.15">
      <c r="A220" s="1055"/>
      <c r="B220" s="298" t="s">
        <v>248</v>
      </c>
      <c r="C220" s="1060"/>
      <c r="D220" s="696" t="s">
        <v>851</v>
      </c>
      <c r="E220" s="298" t="s">
        <v>256</v>
      </c>
      <c r="F220" s="1062"/>
      <c r="G220" s="696" t="s">
        <v>851</v>
      </c>
      <c r="H220" s="298" t="s">
        <v>256</v>
      </c>
      <c r="I220" s="298" t="s">
        <v>271</v>
      </c>
      <c r="J220" s="298" t="s">
        <v>255</v>
      </c>
      <c r="K220" s="298" t="s">
        <v>254</v>
      </c>
      <c r="L220" s="696" t="s">
        <v>101</v>
      </c>
      <c r="M220" s="298" t="s">
        <v>245</v>
      </c>
      <c r="N220" s="696" t="s">
        <v>860</v>
      </c>
      <c r="O220" s="298" t="s">
        <v>861</v>
      </c>
      <c r="P220" s="1060"/>
      <c r="Q220" s="696" t="s">
        <v>851</v>
      </c>
      <c r="R220" s="298" t="s">
        <v>256</v>
      </c>
      <c r="S220" s="298" t="s">
        <v>852</v>
      </c>
      <c r="T220" s="298" t="s">
        <v>271</v>
      </c>
      <c r="U220" s="298" t="s">
        <v>277</v>
      </c>
      <c r="V220" s="300" t="s">
        <v>276</v>
      </c>
      <c r="W220" s="1058"/>
    </row>
    <row r="221" spans="1:23" s="290" customFormat="1" ht="9.75" customHeight="1" x14ac:dyDescent="0.15">
      <c r="A221" s="828" t="s">
        <v>985</v>
      </c>
      <c r="B221" s="829" t="s">
        <v>986</v>
      </c>
      <c r="C221" s="830">
        <v>114834</v>
      </c>
      <c r="D221" s="830">
        <v>114834</v>
      </c>
      <c r="E221" s="830">
        <v>114834</v>
      </c>
      <c r="F221" s="830">
        <v>690500</v>
      </c>
      <c r="G221" s="830">
        <v>635972</v>
      </c>
      <c r="H221" s="830">
        <v>175282</v>
      </c>
      <c r="I221" s="830">
        <v>35468</v>
      </c>
      <c r="J221" s="830">
        <v>165788</v>
      </c>
      <c r="K221" s="830">
        <v>259434</v>
      </c>
      <c r="L221" s="830" t="s">
        <v>986</v>
      </c>
      <c r="M221" s="830" t="s">
        <v>986</v>
      </c>
      <c r="N221" s="830">
        <v>54528</v>
      </c>
      <c r="O221" s="830">
        <v>54528</v>
      </c>
      <c r="P221" s="830">
        <v>235247</v>
      </c>
      <c r="Q221" s="830">
        <v>209965</v>
      </c>
      <c r="R221" s="830">
        <v>77556</v>
      </c>
      <c r="S221" s="830">
        <v>32121</v>
      </c>
      <c r="T221" s="830">
        <v>160</v>
      </c>
      <c r="U221" s="830">
        <v>73879</v>
      </c>
      <c r="V221" s="830" t="s">
        <v>986</v>
      </c>
      <c r="W221" s="831" t="s">
        <v>485</v>
      </c>
    </row>
    <row r="222" spans="1:23" s="290" customFormat="1" ht="9.75" customHeight="1" x14ac:dyDescent="0.15">
      <c r="A222" s="559" t="s">
        <v>634</v>
      </c>
      <c r="B222" s="290">
        <v>2</v>
      </c>
      <c r="C222" s="290">
        <v>123613</v>
      </c>
      <c r="D222" s="290">
        <v>123613</v>
      </c>
      <c r="E222" s="290">
        <v>123613</v>
      </c>
      <c r="F222" s="290">
        <v>313944</v>
      </c>
      <c r="G222" s="290">
        <v>227811</v>
      </c>
      <c r="H222" s="290">
        <v>84591</v>
      </c>
      <c r="I222" s="290" t="s">
        <v>986</v>
      </c>
      <c r="J222" s="290" t="s">
        <v>986</v>
      </c>
      <c r="K222" s="290">
        <v>143220</v>
      </c>
      <c r="L222" s="290">
        <v>65864</v>
      </c>
      <c r="M222" s="290">
        <v>65864</v>
      </c>
      <c r="N222" s="290">
        <v>20269</v>
      </c>
      <c r="O222" s="290">
        <v>20269</v>
      </c>
      <c r="P222" s="290">
        <v>195920</v>
      </c>
      <c r="Q222" s="290">
        <v>180467</v>
      </c>
      <c r="R222" s="290">
        <v>64035</v>
      </c>
      <c r="S222" s="290">
        <v>27129</v>
      </c>
      <c r="T222" s="290">
        <v>112</v>
      </c>
      <c r="U222" s="290">
        <v>63947</v>
      </c>
      <c r="V222" s="290">
        <v>140</v>
      </c>
      <c r="W222" s="295" t="s">
        <v>588</v>
      </c>
    </row>
    <row r="223" spans="1:23" s="290" customFormat="1" ht="9.75" customHeight="1" x14ac:dyDescent="0.15">
      <c r="A223" s="559" t="s">
        <v>635</v>
      </c>
      <c r="B223" s="290" t="s">
        <v>986</v>
      </c>
      <c r="C223" s="290">
        <v>153230</v>
      </c>
      <c r="D223" s="290">
        <v>153230</v>
      </c>
      <c r="E223" s="290">
        <v>153230</v>
      </c>
      <c r="F223" s="290">
        <v>1028729</v>
      </c>
      <c r="G223" s="290">
        <v>1028729</v>
      </c>
      <c r="H223" s="290">
        <v>272713</v>
      </c>
      <c r="I223" s="290" t="s">
        <v>986</v>
      </c>
      <c r="J223" s="290">
        <v>209841</v>
      </c>
      <c r="K223" s="290">
        <v>546175</v>
      </c>
      <c r="L223" s="290" t="s">
        <v>986</v>
      </c>
      <c r="M223" s="290" t="s">
        <v>986</v>
      </c>
      <c r="N223" s="290" t="s">
        <v>986</v>
      </c>
      <c r="O223" s="290" t="s">
        <v>986</v>
      </c>
      <c r="P223" s="290">
        <v>270105</v>
      </c>
      <c r="Q223" s="290">
        <v>255929</v>
      </c>
      <c r="R223" s="290">
        <v>78735</v>
      </c>
      <c r="S223" s="290">
        <v>43982</v>
      </c>
      <c r="T223" s="290">
        <v>272</v>
      </c>
      <c r="U223" s="290">
        <v>95394</v>
      </c>
      <c r="V223" s="290">
        <v>82</v>
      </c>
      <c r="W223" s="295" t="s">
        <v>636</v>
      </c>
    </row>
    <row r="224" spans="1:23" s="290" customFormat="1" ht="9.75" customHeight="1" x14ac:dyDescent="0.15">
      <c r="A224" s="559" t="s">
        <v>774</v>
      </c>
      <c r="B224" s="290" t="s">
        <v>986</v>
      </c>
      <c r="C224" s="290">
        <v>12370</v>
      </c>
      <c r="D224" s="290">
        <v>12370</v>
      </c>
      <c r="E224" s="290">
        <v>12370</v>
      </c>
      <c r="F224" s="290">
        <v>2078905</v>
      </c>
      <c r="G224" s="290">
        <v>2078905</v>
      </c>
      <c r="H224" s="290">
        <v>779765</v>
      </c>
      <c r="I224" s="290" t="s">
        <v>986</v>
      </c>
      <c r="J224" s="290">
        <v>504196</v>
      </c>
      <c r="K224" s="290">
        <v>794944</v>
      </c>
      <c r="L224" s="290" t="s">
        <v>986</v>
      </c>
      <c r="M224" s="290" t="s">
        <v>986</v>
      </c>
      <c r="N224" s="290" t="s">
        <v>986</v>
      </c>
      <c r="O224" s="290" t="s">
        <v>986</v>
      </c>
      <c r="P224" s="838">
        <v>267620</v>
      </c>
      <c r="Q224" s="838">
        <v>244616</v>
      </c>
      <c r="R224" s="838">
        <v>81582</v>
      </c>
      <c r="S224" s="290">
        <v>37640</v>
      </c>
      <c r="T224" s="290">
        <v>395</v>
      </c>
      <c r="U224" s="838">
        <v>86783</v>
      </c>
      <c r="V224" s="290">
        <v>32</v>
      </c>
      <c r="W224" s="295" t="s">
        <v>775</v>
      </c>
    </row>
    <row r="225" spans="1:23" s="290" customFormat="1" ht="9.75" customHeight="1" x14ac:dyDescent="0.15">
      <c r="A225" s="559" t="s">
        <v>987</v>
      </c>
      <c r="B225" s="290" t="s">
        <v>986</v>
      </c>
      <c r="C225" s="290">
        <v>12114</v>
      </c>
      <c r="D225" s="290">
        <v>12114</v>
      </c>
      <c r="E225" s="290">
        <v>12114</v>
      </c>
      <c r="F225" s="290">
        <v>974256</v>
      </c>
      <c r="G225" s="290">
        <v>974256</v>
      </c>
      <c r="H225" s="290">
        <v>420811</v>
      </c>
      <c r="I225" s="290" t="s">
        <v>986</v>
      </c>
      <c r="J225" s="290">
        <v>255547</v>
      </c>
      <c r="K225" s="290">
        <v>297898</v>
      </c>
      <c r="L225" s="290" t="s">
        <v>986</v>
      </c>
      <c r="M225" s="290" t="s">
        <v>986</v>
      </c>
      <c r="N225" s="290" t="s">
        <v>986</v>
      </c>
      <c r="O225" s="290" t="s">
        <v>986</v>
      </c>
      <c r="P225" s="290">
        <v>239176</v>
      </c>
      <c r="Q225" s="290">
        <v>226979</v>
      </c>
      <c r="R225" s="290">
        <v>71861</v>
      </c>
      <c r="S225" s="290">
        <v>34605</v>
      </c>
      <c r="T225" s="290">
        <v>284</v>
      </c>
      <c r="U225" s="290">
        <v>86253</v>
      </c>
      <c r="V225" s="290">
        <v>35</v>
      </c>
      <c r="W225" s="295" t="s">
        <v>988</v>
      </c>
    </row>
    <row r="226" spans="1:23" s="290" customFormat="1" ht="6.75" customHeight="1" x14ac:dyDescent="0.15">
      <c r="A226" s="578"/>
      <c r="W226" s="295"/>
    </row>
    <row r="227" spans="1:23" s="290" customFormat="1" ht="9.75" customHeight="1" x14ac:dyDescent="0.15">
      <c r="A227" s="559" t="s">
        <v>989</v>
      </c>
      <c r="B227" s="290" t="s">
        <v>986</v>
      </c>
      <c r="C227" s="290" t="s">
        <v>986</v>
      </c>
      <c r="D227" s="290" t="s">
        <v>986</v>
      </c>
      <c r="E227" s="290" t="s">
        <v>986</v>
      </c>
      <c r="F227" s="290">
        <v>2024127</v>
      </c>
      <c r="G227" s="290">
        <v>2024127</v>
      </c>
      <c r="H227" s="290">
        <v>682317</v>
      </c>
      <c r="I227" s="290" t="s">
        <v>986</v>
      </c>
      <c r="J227" s="290">
        <v>404578</v>
      </c>
      <c r="K227" s="290">
        <v>937232</v>
      </c>
      <c r="L227" s="290" t="s">
        <v>986</v>
      </c>
      <c r="M227" s="290" t="s">
        <v>986</v>
      </c>
      <c r="N227" s="290" t="s">
        <v>986</v>
      </c>
      <c r="O227" s="290" t="s">
        <v>986</v>
      </c>
      <c r="P227" s="290">
        <v>275943</v>
      </c>
      <c r="Q227" s="290">
        <v>258185</v>
      </c>
      <c r="R227" s="290">
        <v>74651</v>
      </c>
      <c r="S227" s="290">
        <v>35185</v>
      </c>
      <c r="T227" s="290">
        <v>451</v>
      </c>
      <c r="U227" s="290">
        <v>91825</v>
      </c>
      <c r="V227" s="290">
        <v>31</v>
      </c>
      <c r="W227" s="295" t="s">
        <v>776</v>
      </c>
    </row>
    <row r="228" spans="1:23" s="290" customFormat="1" ht="9.75" customHeight="1" x14ac:dyDescent="0.15">
      <c r="A228" s="559" t="s">
        <v>990</v>
      </c>
      <c r="B228" s="290" t="s">
        <v>986</v>
      </c>
      <c r="C228" s="290">
        <v>12114</v>
      </c>
      <c r="D228" s="290">
        <v>12114</v>
      </c>
      <c r="E228" s="290">
        <v>12114</v>
      </c>
      <c r="F228" s="290">
        <v>495040</v>
      </c>
      <c r="G228" s="290">
        <v>495040</v>
      </c>
      <c r="H228" s="290">
        <v>340746</v>
      </c>
      <c r="I228" s="290" t="s">
        <v>986</v>
      </c>
      <c r="J228" s="290">
        <v>59561</v>
      </c>
      <c r="K228" s="290">
        <v>94733</v>
      </c>
      <c r="L228" s="290" t="s">
        <v>986</v>
      </c>
      <c r="M228" s="290" t="s">
        <v>986</v>
      </c>
      <c r="N228" s="290" t="s">
        <v>986</v>
      </c>
      <c r="O228" s="290" t="s">
        <v>986</v>
      </c>
      <c r="P228" s="290">
        <v>217672</v>
      </c>
      <c r="Q228" s="290">
        <v>206527</v>
      </c>
      <c r="R228" s="290">
        <v>75238</v>
      </c>
      <c r="S228" s="290">
        <v>39082</v>
      </c>
      <c r="T228" s="290">
        <v>163</v>
      </c>
      <c r="U228" s="290">
        <v>81672</v>
      </c>
      <c r="V228" s="290">
        <v>28</v>
      </c>
      <c r="W228" s="295" t="s">
        <v>991</v>
      </c>
    </row>
    <row r="229" spans="1:23" s="290" customFormat="1" ht="6.75" customHeight="1" x14ac:dyDescent="0.15">
      <c r="A229" s="578"/>
      <c r="W229" s="295"/>
    </row>
    <row r="230" spans="1:23" s="290" customFormat="1" ht="9.75" customHeight="1" x14ac:dyDescent="0.15">
      <c r="A230" s="559" t="s">
        <v>992</v>
      </c>
      <c r="B230" s="290" t="s">
        <v>986</v>
      </c>
      <c r="C230" s="290" t="s">
        <v>986</v>
      </c>
      <c r="D230" s="290" t="s">
        <v>986</v>
      </c>
      <c r="E230" s="290" t="s">
        <v>986</v>
      </c>
      <c r="F230" s="290">
        <v>613848</v>
      </c>
      <c r="G230" s="290">
        <v>613848</v>
      </c>
      <c r="H230" s="290">
        <v>183033</v>
      </c>
      <c r="I230" s="290" t="s">
        <v>986</v>
      </c>
      <c r="J230" s="290">
        <v>195986</v>
      </c>
      <c r="K230" s="290">
        <v>234829</v>
      </c>
      <c r="L230" s="290" t="s">
        <v>986</v>
      </c>
      <c r="M230" s="290" t="s">
        <v>986</v>
      </c>
      <c r="N230" s="290" t="s">
        <v>986</v>
      </c>
      <c r="O230" s="290" t="s">
        <v>986</v>
      </c>
      <c r="P230" s="290">
        <v>71573</v>
      </c>
      <c r="Q230" s="290">
        <v>67655</v>
      </c>
      <c r="R230" s="290">
        <v>13476</v>
      </c>
      <c r="S230" s="290">
        <v>3075</v>
      </c>
      <c r="T230" s="290">
        <v>137</v>
      </c>
      <c r="U230" s="290">
        <v>24264</v>
      </c>
      <c r="V230" s="290">
        <v>8</v>
      </c>
      <c r="W230" s="295" t="s">
        <v>777</v>
      </c>
    </row>
    <row r="231" spans="1:23" s="290" customFormat="1" ht="9.75" customHeight="1" x14ac:dyDescent="0.15">
      <c r="A231" s="559" t="s">
        <v>637</v>
      </c>
      <c r="B231" s="290" t="s">
        <v>986</v>
      </c>
      <c r="C231" s="290" t="s">
        <v>986</v>
      </c>
      <c r="D231" s="290" t="s">
        <v>986</v>
      </c>
      <c r="E231" s="290" t="s">
        <v>986</v>
      </c>
      <c r="F231" s="290">
        <v>75937</v>
      </c>
      <c r="G231" s="290">
        <v>75937</v>
      </c>
      <c r="H231" s="290">
        <v>75937</v>
      </c>
      <c r="I231" s="290" t="s">
        <v>986</v>
      </c>
      <c r="J231" s="290" t="s">
        <v>986</v>
      </c>
      <c r="K231" s="290" t="s">
        <v>986</v>
      </c>
      <c r="L231" s="290" t="s">
        <v>986</v>
      </c>
      <c r="M231" s="290" t="s">
        <v>986</v>
      </c>
      <c r="N231" s="290" t="s">
        <v>986</v>
      </c>
      <c r="O231" s="290" t="s">
        <v>986</v>
      </c>
      <c r="P231" s="290">
        <v>70448</v>
      </c>
      <c r="Q231" s="290">
        <v>66589</v>
      </c>
      <c r="R231" s="290">
        <v>17111</v>
      </c>
      <c r="S231" s="290">
        <v>17008</v>
      </c>
      <c r="T231" s="290">
        <v>57</v>
      </c>
      <c r="U231" s="290">
        <v>25898</v>
      </c>
      <c r="V231" s="290">
        <v>9</v>
      </c>
      <c r="W231" s="295" t="s">
        <v>85</v>
      </c>
    </row>
    <row r="232" spans="1:23" s="290" customFormat="1" ht="9.75" customHeight="1" x14ac:dyDescent="0.15">
      <c r="A232" s="559" t="s">
        <v>638</v>
      </c>
      <c r="B232" s="290" t="s">
        <v>986</v>
      </c>
      <c r="C232" s="290">
        <v>12114</v>
      </c>
      <c r="D232" s="290">
        <v>12114</v>
      </c>
      <c r="E232" s="290">
        <v>12114</v>
      </c>
      <c r="F232" s="290">
        <v>115679</v>
      </c>
      <c r="G232" s="290">
        <v>115679</v>
      </c>
      <c r="H232" s="290">
        <v>81149</v>
      </c>
      <c r="I232" s="290" t="s">
        <v>986</v>
      </c>
      <c r="J232" s="290" t="s">
        <v>986</v>
      </c>
      <c r="K232" s="290">
        <v>34530</v>
      </c>
      <c r="L232" s="290" t="s">
        <v>986</v>
      </c>
      <c r="M232" s="290" t="s">
        <v>986</v>
      </c>
      <c r="N232" s="290" t="s">
        <v>986</v>
      </c>
      <c r="O232" s="290" t="s">
        <v>986</v>
      </c>
      <c r="P232" s="290">
        <v>40219</v>
      </c>
      <c r="Q232" s="290">
        <v>38353</v>
      </c>
      <c r="R232" s="290">
        <v>15651</v>
      </c>
      <c r="S232" s="290">
        <v>6531</v>
      </c>
      <c r="T232" s="290">
        <v>58</v>
      </c>
      <c r="U232" s="290">
        <v>15593</v>
      </c>
      <c r="V232" s="290">
        <v>9</v>
      </c>
      <c r="W232" s="295" t="s">
        <v>86</v>
      </c>
    </row>
    <row r="233" spans="1:23" s="290" customFormat="1" ht="9.75" customHeight="1" x14ac:dyDescent="0.15">
      <c r="A233" s="559" t="s">
        <v>639</v>
      </c>
      <c r="B233" s="290" t="s">
        <v>986</v>
      </c>
      <c r="C233" s="290" t="s">
        <v>986</v>
      </c>
      <c r="D233" s="290" t="s">
        <v>986</v>
      </c>
      <c r="E233" s="290" t="s">
        <v>986</v>
      </c>
      <c r="F233" s="290">
        <v>168792</v>
      </c>
      <c r="G233" s="290">
        <v>168792</v>
      </c>
      <c r="H233" s="290">
        <v>80692</v>
      </c>
      <c r="I233" s="290" t="s">
        <v>986</v>
      </c>
      <c r="J233" s="290">
        <v>59561</v>
      </c>
      <c r="K233" s="290">
        <v>28539</v>
      </c>
      <c r="L233" s="290" t="s">
        <v>986</v>
      </c>
      <c r="M233" s="290" t="s">
        <v>986</v>
      </c>
      <c r="N233" s="290" t="s">
        <v>986</v>
      </c>
      <c r="O233" s="290" t="s">
        <v>986</v>
      </c>
      <c r="P233" s="290">
        <v>56936</v>
      </c>
      <c r="Q233" s="290">
        <v>54382</v>
      </c>
      <c r="R233" s="290">
        <v>25623</v>
      </c>
      <c r="S233" s="290">
        <v>7991</v>
      </c>
      <c r="T233" s="290">
        <v>32</v>
      </c>
      <c r="U233" s="290">
        <v>20498</v>
      </c>
      <c r="V233" s="290">
        <v>9</v>
      </c>
      <c r="W233" s="295" t="s">
        <v>87</v>
      </c>
    </row>
    <row r="234" spans="1:23" s="290" customFormat="1" ht="9.75" customHeight="1" x14ac:dyDescent="0.15">
      <c r="A234" s="559" t="s">
        <v>993</v>
      </c>
      <c r="B234" s="290" t="s">
        <v>986</v>
      </c>
      <c r="C234" s="290" t="s">
        <v>986</v>
      </c>
      <c r="D234" s="290" t="s">
        <v>986</v>
      </c>
      <c r="E234" s="290" t="s">
        <v>986</v>
      </c>
      <c r="F234" s="290">
        <v>134632</v>
      </c>
      <c r="G234" s="290">
        <v>134632</v>
      </c>
      <c r="H234" s="290">
        <v>102968</v>
      </c>
      <c r="I234" s="290" t="s">
        <v>986</v>
      </c>
      <c r="J234" s="290" t="s">
        <v>986</v>
      </c>
      <c r="K234" s="290">
        <v>31664</v>
      </c>
      <c r="L234" s="290" t="s">
        <v>986</v>
      </c>
      <c r="M234" s="290" t="s">
        <v>986</v>
      </c>
      <c r="N234" s="290" t="s">
        <v>986</v>
      </c>
      <c r="O234" s="290" t="s">
        <v>986</v>
      </c>
      <c r="P234" s="290">
        <v>50069</v>
      </c>
      <c r="Q234" s="290">
        <v>47203</v>
      </c>
      <c r="R234" s="290">
        <v>16853</v>
      </c>
      <c r="S234" s="290">
        <v>7552</v>
      </c>
      <c r="T234" s="290">
        <v>16</v>
      </c>
      <c r="U234" s="290">
        <v>19683</v>
      </c>
      <c r="V234" s="290">
        <v>1</v>
      </c>
      <c r="W234" s="295" t="s">
        <v>994</v>
      </c>
    </row>
    <row r="235" spans="1:23" s="290" customFormat="1" ht="6.75" customHeight="1" x14ac:dyDescent="0.15">
      <c r="A235" s="578"/>
      <c r="W235" s="295"/>
    </row>
    <row r="236" spans="1:23" s="290" customFormat="1" ht="9.75" customHeight="1" x14ac:dyDescent="0.15">
      <c r="A236" s="559" t="s">
        <v>995</v>
      </c>
      <c r="B236" s="290" t="s">
        <v>986</v>
      </c>
      <c r="C236" s="290" t="s">
        <v>986</v>
      </c>
      <c r="D236" s="290" t="s">
        <v>986</v>
      </c>
      <c r="E236" s="290" t="s">
        <v>986</v>
      </c>
      <c r="F236" s="290">
        <v>181463</v>
      </c>
      <c r="G236" s="290">
        <v>181463</v>
      </c>
      <c r="H236" s="290">
        <v>66271</v>
      </c>
      <c r="I236" s="290" t="s">
        <v>986</v>
      </c>
      <c r="J236" s="290" t="s">
        <v>986</v>
      </c>
      <c r="K236" s="290">
        <v>115192</v>
      </c>
      <c r="L236" s="290" t="s">
        <v>986</v>
      </c>
      <c r="M236" s="290" t="s">
        <v>986</v>
      </c>
      <c r="N236" s="290" t="s">
        <v>986</v>
      </c>
      <c r="O236" s="290" t="s">
        <v>986</v>
      </c>
      <c r="P236" s="290">
        <v>19041</v>
      </c>
      <c r="Q236" s="290">
        <v>17941</v>
      </c>
      <c r="R236" s="290">
        <v>2664</v>
      </c>
      <c r="S236" s="290">
        <v>3075</v>
      </c>
      <c r="T236" s="290">
        <v>47</v>
      </c>
      <c r="U236" s="290">
        <v>9782</v>
      </c>
      <c r="V236" s="290">
        <v>8</v>
      </c>
      <c r="W236" s="295" t="s">
        <v>778</v>
      </c>
    </row>
    <row r="237" spans="1:23" s="290" customFormat="1" ht="9.75" customHeight="1" x14ac:dyDescent="0.15">
      <c r="A237" s="559" t="s">
        <v>640</v>
      </c>
      <c r="B237" s="290" t="s">
        <v>986</v>
      </c>
      <c r="C237" s="290" t="s">
        <v>986</v>
      </c>
      <c r="D237" s="290" t="s">
        <v>986</v>
      </c>
      <c r="E237" s="290" t="s">
        <v>986</v>
      </c>
      <c r="F237" s="290">
        <v>269365</v>
      </c>
      <c r="G237" s="290">
        <v>269365</v>
      </c>
      <c r="H237" s="290">
        <v>55467</v>
      </c>
      <c r="I237" s="290" t="s">
        <v>986</v>
      </c>
      <c r="J237" s="290">
        <v>154162</v>
      </c>
      <c r="K237" s="290">
        <v>59736</v>
      </c>
      <c r="L237" s="290" t="s">
        <v>986</v>
      </c>
      <c r="M237" s="290" t="s">
        <v>986</v>
      </c>
      <c r="N237" s="290" t="s">
        <v>986</v>
      </c>
      <c r="O237" s="290" t="s">
        <v>986</v>
      </c>
      <c r="P237" s="290">
        <v>28284</v>
      </c>
      <c r="Q237" s="290">
        <v>26901</v>
      </c>
      <c r="R237" s="290">
        <v>5311</v>
      </c>
      <c r="S237" s="290" t="s">
        <v>986</v>
      </c>
      <c r="T237" s="290">
        <v>52</v>
      </c>
      <c r="U237" s="290">
        <v>2028</v>
      </c>
      <c r="V237" s="290" t="s">
        <v>986</v>
      </c>
      <c r="W237" s="295" t="s">
        <v>73</v>
      </c>
    </row>
    <row r="238" spans="1:23" s="290" customFormat="1" ht="9.75" customHeight="1" x14ac:dyDescent="0.15">
      <c r="A238" s="559" t="s">
        <v>641</v>
      </c>
      <c r="B238" s="290" t="s">
        <v>986</v>
      </c>
      <c r="C238" s="290" t="s">
        <v>986</v>
      </c>
      <c r="D238" s="290" t="s">
        <v>986</v>
      </c>
      <c r="E238" s="290" t="s">
        <v>986</v>
      </c>
      <c r="F238" s="290">
        <v>163020</v>
      </c>
      <c r="G238" s="290">
        <v>163020</v>
      </c>
      <c r="H238" s="290">
        <v>61295</v>
      </c>
      <c r="I238" s="290" t="s">
        <v>986</v>
      </c>
      <c r="J238" s="290">
        <v>41824</v>
      </c>
      <c r="K238" s="290">
        <v>59901</v>
      </c>
      <c r="L238" s="290" t="s">
        <v>986</v>
      </c>
      <c r="M238" s="290" t="s">
        <v>986</v>
      </c>
      <c r="N238" s="290" t="s">
        <v>986</v>
      </c>
      <c r="O238" s="290" t="s">
        <v>986</v>
      </c>
      <c r="P238" s="290">
        <v>24248</v>
      </c>
      <c r="Q238" s="290">
        <v>22813</v>
      </c>
      <c r="R238" s="290">
        <v>5501</v>
      </c>
      <c r="S238" s="290" t="s">
        <v>986</v>
      </c>
      <c r="T238" s="290">
        <v>38</v>
      </c>
      <c r="U238" s="290">
        <v>12454</v>
      </c>
      <c r="V238" s="290" t="s">
        <v>986</v>
      </c>
      <c r="W238" s="295" t="s">
        <v>74</v>
      </c>
    </row>
    <row r="239" spans="1:23" s="290" customFormat="1" ht="9.75" customHeight="1" x14ac:dyDescent="0.15">
      <c r="A239" s="559" t="s">
        <v>642</v>
      </c>
      <c r="B239" s="290" t="s">
        <v>986</v>
      </c>
      <c r="C239" s="290" t="s">
        <v>986</v>
      </c>
      <c r="D239" s="290" t="s">
        <v>986</v>
      </c>
      <c r="E239" s="290" t="s">
        <v>986</v>
      </c>
      <c r="F239" s="290">
        <v>19666</v>
      </c>
      <c r="G239" s="290">
        <v>19666</v>
      </c>
      <c r="H239" s="290">
        <v>19666</v>
      </c>
      <c r="I239" s="290" t="s">
        <v>986</v>
      </c>
      <c r="J239" s="290" t="s">
        <v>986</v>
      </c>
      <c r="K239" s="290" t="s">
        <v>986</v>
      </c>
      <c r="L239" s="290" t="s">
        <v>986</v>
      </c>
      <c r="M239" s="290" t="s">
        <v>986</v>
      </c>
      <c r="N239" s="290" t="s">
        <v>986</v>
      </c>
      <c r="O239" s="290" t="s">
        <v>986</v>
      </c>
      <c r="P239" s="290">
        <v>24084</v>
      </c>
      <c r="Q239" s="290">
        <v>22434</v>
      </c>
      <c r="R239" s="290">
        <v>8357</v>
      </c>
      <c r="S239" s="290" t="s">
        <v>986</v>
      </c>
      <c r="T239" s="290" t="s">
        <v>986</v>
      </c>
      <c r="U239" s="290">
        <v>12009</v>
      </c>
      <c r="V239" s="290" t="s">
        <v>986</v>
      </c>
      <c r="W239" s="295" t="s">
        <v>75</v>
      </c>
    </row>
    <row r="240" spans="1:23" s="290" customFormat="1" ht="9.75" customHeight="1" x14ac:dyDescent="0.15">
      <c r="A240" s="559" t="s">
        <v>643</v>
      </c>
      <c r="B240" s="290" t="s">
        <v>986</v>
      </c>
      <c r="C240" s="290" t="s">
        <v>986</v>
      </c>
      <c r="D240" s="290" t="s">
        <v>986</v>
      </c>
      <c r="E240" s="290" t="s">
        <v>986</v>
      </c>
      <c r="F240" s="290">
        <v>19520</v>
      </c>
      <c r="G240" s="290">
        <v>19520</v>
      </c>
      <c r="H240" s="290">
        <v>19520</v>
      </c>
      <c r="I240" s="290" t="s">
        <v>986</v>
      </c>
      <c r="J240" s="290" t="s">
        <v>986</v>
      </c>
      <c r="K240" s="290" t="s">
        <v>986</v>
      </c>
      <c r="L240" s="290" t="s">
        <v>986</v>
      </c>
      <c r="M240" s="290" t="s">
        <v>986</v>
      </c>
      <c r="N240" s="290" t="s">
        <v>986</v>
      </c>
      <c r="O240" s="290" t="s">
        <v>986</v>
      </c>
      <c r="P240" s="290">
        <v>28890</v>
      </c>
      <c r="Q240" s="290">
        <v>28493</v>
      </c>
      <c r="R240" s="290">
        <v>4513</v>
      </c>
      <c r="S240" s="290">
        <v>7394</v>
      </c>
      <c r="T240" s="290">
        <v>16</v>
      </c>
      <c r="U240" s="290">
        <v>13166</v>
      </c>
      <c r="V240" s="290" t="s">
        <v>986</v>
      </c>
      <c r="W240" s="295" t="s">
        <v>88</v>
      </c>
    </row>
    <row r="241" spans="1:23" s="290" customFormat="1" ht="9.75" customHeight="1" x14ac:dyDescent="0.15">
      <c r="A241" s="559" t="s">
        <v>644</v>
      </c>
      <c r="B241" s="290" t="s">
        <v>986</v>
      </c>
      <c r="C241" s="290" t="s">
        <v>986</v>
      </c>
      <c r="D241" s="290" t="s">
        <v>986</v>
      </c>
      <c r="E241" s="290" t="s">
        <v>986</v>
      </c>
      <c r="F241" s="290">
        <v>36751</v>
      </c>
      <c r="G241" s="290">
        <v>36751</v>
      </c>
      <c r="H241" s="290">
        <v>36751</v>
      </c>
      <c r="I241" s="290" t="s">
        <v>986</v>
      </c>
      <c r="J241" s="290" t="s">
        <v>986</v>
      </c>
      <c r="K241" s="290" t="s">
        <v>986</v>
      </c>
      <c r="L241" s="290" t="s">
        <v>986</v>
      </c>
      <c r="M241" s="290" t="s">
        <v>986</v>
      </c>
      <c r="N241" s="290" t="s">
        <v>986</v>
      </c>
      <c r="O241" s="290" t="s">
        <v>986</v>
      </c>
      <c r="P241" s="290">
        <v>17474</v>
      </c>
      <c r="Q241" s="290">
        <v>15662</v>
      </c>
      <c r="R241" s="290">
        <v>4241</v>
      </c>
      <c r="S241" s="290">
        <v>9614</v>
      </c>
      <c r="T241" s="290">
        <v>41</v>
      </c>
      <c r="U241" s="290">
        <v>723</v>
      </c>
      <c r="V241" s="290">
        <v>9</v>
      </c>
      <c r="W241" s="295" t="s">
        <v>89</v>
      </c>
    </row>
    <row r="242" spans="1:23" s="290" customFormat="1" ht="9.75" customHeight="1" x14ac:dyDescent="0.15">
      <c r="A242" s="559" t="s">
        <v>645</v>
      </c>
      <c r="B242" s="290" t="s">
        <v>986</v>
      </c>
      <c r="C242" s="290">
        <v>12114</v>
      </c>
      <c r="D242" s="290">
        <v>12114</v>
      </c>
      <c r="E242" s="290">
        <v>12114</v>
      </c>
      <c r="F242" s="290">
        <v>32737</v>
      </c>
      <c r="G242" s="290">
        <v>32737</v>
      </c>
      <c r="H242" s="290">
        <v>32737</v>
      </c>
      <c r="I242" s="290" t="s">
        <v>986</v>
      </c>
      <c r="J242" s="290" t="s">
        <v>986</v>
      </c>
      <c r="K242" s="290" t="s">
        <v>986</v>
      </c>
      <c r="L242" s="290" t="s">
        <v>986</v>
      </c>
      <c r="M242" s="290" t="s">
        <v>986</v>
      </c>
      <c r="N242" s="290" t="s">
        <v>986</v>
      </c>
      <c r="O242" s="290" t="s">
        <v>986</v>
      </c>
      <c r="P242" s="290">
        <v>16880</v>
      </c>
      <c r="Q242" s="290">
        <v>16160</v>
      </c>
      <c r="R242" s="290">
        <v>6841</v>
      </c>
      <c r="S242" s="290" t="s">
        <v>986</v>
      </c>
      <c r="T242" s="290">
        <v>16</v>
      </c>
      <c r="U242" s="290">
        <v>8987</v>
      </c>
      <c r="V242" s="290" t="s">
        <v>986</v>
      </c>
      <c r="W242" s="295" t="s">
        <v>90</v>
      </c>
    </row>
    <row r="243" spans="1:23" s="290" customFormat="1" ht="9.75" customHeight="1" x14ac:dyDescent="0.15">
      <c r="A243" s="559" t="s">
        <v>646</v>
      </c>
      <c r="B243" s="290" t="s">
        <v>986</v>
      </c>
      <c r="C243" s="290" t="s">
        <v>986</v>
      </c>
      <c r="D243" s="290" t="s">
        <v>986</v>
      </c>
      <c r="E243" s="290" t="s">
        <v>986</v>
      </c>
      <c r="F243" s="290">
        <v>50513</v>
      </c>
      <c r="G243" s="290">
        <v>50513</v>
      </c>
      <c r="H243" s="290">
        <v>15983</v>
      </c>
      <c r="I243" s="290" t="s">
        <v>986</v>
      </c>
      <c r="J243" s="290" t="s">
        <v>986</v>
      </c>
      <c r="K243" s="290">
        <v>34530</v>
      </c>
      <c r="L243" s="290" t="s">
        <v>986</v>
      </c>
      <c r="M243" s="290" t="s">
        <v>986</v>
      </c>
      <c r="N243" s="290" t="s">
        <v>986</v>
      </c>
      <c r="O243" s="290" t="s">
        <v>986</v>
      </c>
      <c r="P243" s="290">
        <v>15024</v>
      </c>
      <c r="Q243" s="290">
        <v>14409</v>
      </c>
      <c r="R243" s="290">
        <v>5206</v>
      </c>
      <c r="S243" s="290">
        <v>2481</v>
      </c>
      <c r="T243" s="290">
        <v>26</v>
      </c>
      <c r="U243" s="290">
        <v>6567</v>
      </c>
      <c r="V243" s="290" t="s">
        <v>986</v>
      </c>
      <c r="W243" s="295" t="s">
        <v>91</v>
      </c>
    </row>
    <row r="244" spans="1:23" s="290" customFormat="1" ht="9.75" customHeight="1" x14ac:dyDescent="0.15">
      <c r="A244" s="559" t="s">
        <v>647</v>
      </c>
      <c r="B244" s="290" t="s">
        <v>986</v>
      </c>
      <c r="C244" s="290" t="s">
        <v>986</v>
      </c>
      <c r="D244" s="290" t="s">
        <v>986</v>
      </c>
      <c r="E244" s="290" t="s">
        <v>986</v>
      </c>
      <c r="F244" s="290">
        <v>32429</v>
      </c>
      <c r="G244" s="290">
        <v>32429</v>
      </c>
      <c r="H244" s="290">
        <v>32429</v>
      </c>
      <c r="I244" s="290" t="s">
        <v>986</v>
      </c>
      <c r="J244" s="290" t="s">
        <v>986</v>
      </c>
      <c r="K244" s="290" t="s">
        <v>986</v>
      </c>
      <c r="L244" s="290" t="s">
        <v>986</v>
      </c>
      <c r="M244" s="290" t="s">
        <v>986</v>
      </c>
      <c r="N244" s="290" t="s">
        <v>986</v>
      </c>
      <c r="O244" s="290" t="s">
        <v>986</v>
      </c>
      <c r="P244" s="290">
        <v>8315</v>
      </c>
      <c r="Q244" s="290">
        <v>7784</v>
      </c>
      <c r="R244" s="290">
        <v>3604</v>
      </c>
      <c r="S244" s="290">
        <v>4050</v>
      </c>
      <c r="T244" s="290">
        <v>16</v>
      </c>
      <c r="U244" s="290">
        <v>39</v>
      </c>
      <c r="V244" s="290">
        <v>9</v>
      </c>
      <c r="W244" s="295" t="s">
        <v>92</v>
      </c>
    </row>
    <row r="245" spans="1:23" s="290" customFormat="1" ht="9.75" customHeight="1" x14ac:dyDescent="0.15">
      <c r="A245" s="559" t="s">
        <v>648</v>
      </c>
      <c r="B245" s="290" t="s">
        <v>986</v>
      </c>
      <c r="C245" s="290" t="s">
        <v>986</v>
      </c>
      <c r="D245" s="290" t="s">
        <v>986</v>
      </c>
      <c r="E245" s="290" t="s">
        <v>986</v>
      </c>
      <c r="F245" s="290">
        <v>57672</v>
      </c>
      <c r="G245" s="290">
        <v>57672</v>
      </c>
      <c r="H245" s="290">
        <v>26752</v>
      </c>
      <c r="I245" s="290" t="s">
        <v>986</v>
      </c>
      <c r="J245" s="290">
        <v>30920</v>
      </c>
      <c r="K245" s="290" t="s">
        <v>986</v>
      </c>
      <c r="L245" s="290" t="s">
        <v>986</v>
      </c>
      <c r="M245" s="290" t="s">
        <v>986</v>
      </c>
      <c r="N245" s="290" t="s">
        <v>986</v>
      </c>
      <c r="O245" s="290" t="s">
        <v>986</v>
      </c>
      <c r="P245" s="290">
        <v>24237</v>
      </c>
      <c r="Q245" s="290">
        <v>23574</v>
      </c>
      <c r="R245" s="290">
        <v>8601</v>
      </c>
      <c r="S245" s="290">
        <v>4563</v>
      </c>
      <c r="T245" s="290" t="s">
        <v>986</v>
      </c>
      <c r="U245" s="290">
        <v>10313</v>
      </c>
      <c r="V245" s="290" t="s">
        <v>986</v>
      </c>
      <c r="W245" s="295" t="s">
        <v>76</v>
      </c>
    </row>
    <row r="246" spans="1:23" s="290" customFormat="1" ht="9.75" customHeight="1" x14ac:dyDescent="0.15">
      <c r="A246" s="559" t="s">
        <v>649</v>
      </c>
      <c r="B246" s="290" t="s">
        <v>986</v>
      </c>
      <c r="C246" s="290" t="s">
        <v>986</v>
      </c>
      <c r="D246" s="290" t="s">
        <v>986</v>
      </c>
      <c r="E246" s="290" t="s">
        <v>986</v>
      </c>
      <c r="F246" s="290">
        <v>21674</v>
      </c>
      <c r="G246" s="290">
        <v>21674</v>
      </c>
      <c r="H246" s="290">
        <v>21674</v>
      </c>
      <c r="I246" s="290" t="s">
        <v>986</v>
      </c>
      <c r="J246" s="290" t="s">
        <v>986</v>
      </c>
      <c r="K246" s="290" t="s">
        <v>986</v>
      </c>
      <c r="L246" s="290" t="s">
        <v>986</v>
      </c>
      <c r="M246" s="290" t="s">
        <v>986</v>
      </c>
      <c r="N246" s="290" t="s">
        <v>986</v>
      </c>
      <c r="O246" s="290" t="s">
        <v>986</v>
      </c>
      <c r="P246" s="290">
        <v>13974</v>
      </c>
      <c r="Q246" s="290">
        <v>12955</v>
      </c>
      <c r="R246" s="290">
        <v>11861</v>
      </c>
      <c r="S246" s="290">
        <v>44</v>
      </c>
      <c r="T246" s="290">
        <v>16</v>
      </c>
      <c r="U246" s="290">
        <v>992</v>
      </c>
      <c r="V246" s="290">
        <v>9</v>
      </c>
      <c r="W246" s="295" t="s">
        <v>77</v>
      </c>
    </row>
    <row r="247" spans="1:23" s="290" customFormat="1" ht="9.75" customHeight="1" x14ac:dyDescent="0.15">
      <c r="A247" s="559" t="s">
        <v>650</v>
      </c>
      <c r="B247" s="290" t="s">
        <v>986</v>
      </c>
      <c r="C247" s="290" t="s">
        <v>986</v>
      </c>
      <c r="D247" s="290" t="s">
        <v>986</v>
      </c>
      <c r="E247" s="290" t="s">
        <v>986</v>
      </c>
      <c r="F247" s="290">
        <v>89446</v>
      </c>
      <c r="G247" s="290">
        <v>89446</v>
      </c>
      <c r="H247" s="290">
        <v>32266</v>
      </c>
      <c r="I247" s="290" t="s">
        <v>986</v>
      </c>
      <c r="J247" s="290">
        <v>28641</v>
      </c>
      <c r="K247" s="290">
        <v>28539</v>
      </c>
      <c r="L247" s="290" t="s">
        <v>986</v>
      </c>
      <c r="M247" s="290" t="s">
        <v>986</v>
      </c>
      <c r="N247" s="290" t="s">
        <v>986</v>
      </c>
      <c r="O247" s="290" t="s">
        <v>986</v>
      </c>
      <c r="P247" s="290">
        <v>18725</v>
      </c>
      <c r="Q247" s="290">
        <v>17853</v>
      </c>
      <c r="R247" s="290">
        <v>5161</v>
      </c>
      <c r="S247" s="290">
        <v>3384</v>
      </c>
      <c r="T247" s="290">
        <v>16</v>
      </c>
      <c r="U247" s="290">
        <v>9193</v>
      </c>
      <c r="V247" s="290" t="s">
        <v>986</v>
      </c>
      <c r="W247" s="295" t="s">
        <v>78</v>
      </c>
    </row>
    <row r="248" spans="1:23" s="290" customFormat="1" ht="9.75" customHeight="1" x14ac:dyDescent="0.15">
      <c r="A248" s="559" t="s">
        <v>996</v>
      </c>
      <c r="B248" s="290" t="s">
        <v>986</v>
      </c>
      <c r="C248" s="290" t="s">
        <v>986</v>
      </c>
      <c r="D248" s="290" t="s">
        <v>986</v>
      </c>
      <c r="E248" s="290" t="s">
        <v>986</v>
      </c>
      <c r="F248" s="290">
        <v>74064</v>
      </c>
      <c r="G248" s="290">
        <v>74064</v>
      </c>
      <c r="H248" s="290">
        <v>42400</v>
      </c>
      <c r="I248" s="290" t="s">
        <v>986</v>
      </c>
      <c r="J248" s="290" t="s">
        <v>986</v>
      </c>
      <c r="K248" s="290">
        <v>31664</v>
      </c>
      <c r="L248" s="290" t="s">
        <v>986</v>
      </c>
      <c r="M248" s="290" t="s">
        <v>986</v>
      </c>
      <c r="N248" s="290" t="s">
        <v>986</v>
      </c>
      <c r="O248" s="290" t="s">
        <v>986</v>
      </c>
      <c r="P248" s="290">
        <v>4276</v>
      </c>
      <c r="Q248" s="290">
        <v>3790</v>
      </c>
      <c r="R248" s="290">
        <v>3619</v>
      </c>
      <c r="S248" s="290">
        <v>59</v>
      </c>
      <c r="T248" s="290" t="s">
        <v>986</v>
      </c>
      <c r="U248" s="290">
        <v>56</v>
      </c>
      <c r="V248" s="290">
        <v>1</v>
      </c>
      <c r="W248" s="295" t="s">
        <v>997</v>
      </c>
    </row>
    <row r="249" spans="1:23" s="290" customFormat="1" ht="9.75" customHeight="1" x14ac:dyDescent="0.15">
      <c r="A249" s="559" t="s">
        <v>651</v>
      </c>
      <c r="B249" s="290" t="s">
        <v>986</v>
      </c>
      <c r="C249" s="290" t="s">
        <v>986</v>
      </c>
      <c r="D249" s="290" t="s">
        <v>986</v>
      </c>
      <c r="E249" s="290" t="s">
        <v>986</v>
      </c>
      <c r="F249" s="290">
        <v>32894</v>
      </c>
      <c r="G249" s="290">
        <v>32894</v>
      </c>
      <c r="H249" s="290">
        <v>32894</v>
      </c>
      <c r="I249" s="290" t="s">
        <v>986</v>
      </c>
      <c r="J249" s="290" t="s">
        <v>986</v>
      </c>
      <c r="K249" s="290" t="s">
        <v>986</v>
      </c>
      <c r="L249" s="290" t="s">
        <v>986</v>
      </c>
      <c r="M249" s="290" t="s">
        <v>986</v>
      </c>
      <c r="N249" s="290" t="s">
        <v>986</v>
      </c>
      <c r="O249" s="290" t="s">
        <v>986</v>
      </c>
      <c r="P249" s="290">
        <v>22968</v>
      </c>
      <c r="Q249" s="290">
        <v>22160</v>
      </c>
      <c r="R249" s="290">
        <v>4428</v>
      </c>
      <c r="S249" s="290">
        <v>7427</v>
      </c>
      <c r="T249" s="290">
        <v>16</v>
      </c>
      <c r="U249" s="290">
        <v>10272</v>
      </c>
      <c r="V249" s="290" t="s">
        <v>986</v>
      </c>
      <c r="W249" s="295" t="s">
        <v>73</v>
      </c>
    </row>
    <row r="250" spans="1:23" s="290" customFormat="1" ht="9.75" customHeight="1" x14ac:dyDescent="0.15">
      <c r="A250" s="560" t="s">
        <v>652</v>
      </c>
      <c r="B250" s="294" t="s">
        <v>986</v>
      </c>
      <c r="C250" s="293" t="s">
        <v>986</v>
      </c>
      <c r="D250" s="293" t="s">
        <v>986</v>
      </c>
      <c r="E250" s="293" t="s">
        <v>986</v>
      </c>
      <c r="F250" s="293">
        <v>27674</v>
      </c>
      <c r="G250" s="293">
        <v>27674</v>
      </c>
      <c r="H250" s="293">
        <v>27674</v>
      </c>
      <c r="I250" s="293" t="s">
        <v>986</v>
      </c>
      <c r="J250" s="293" t="s">
        <v>986</v>
      </c>
      <c r="K250" s="293" t="s">
        <v>986</v>
      </c>
      <c r="L250" s="293" t="s">
        <v>986</v>
      </c>
      <c r="M250" s="293" t="s">
        <v>986</v>
      </c>
      <c r="N250" s="293" t="s">
        <v>986</v>
      </c>
      <c r="O250" s="293" t="s">
        <v>986</v>
      </c>
      <c r="P250" s="293">
        <v>22825</v>
      </c>
      <c r="Q250" s="293">
        <v>21253</v>
      </c>
      <c r="R250" s="293">
        <v>8806</v>
      </c>
      <c r="S250" s="293">
        <v>66</v>
      </c>
      <c r="T250" s="293" t="s">
        <v>986</v>
      </c>
      <c r="U250" s="293">
        <v>9355</v>
      </c>
      <c r="V250" s="293" t="s">
        <v>986</v>
      </c>
      <c r="W250" s="291" t="s">
        <v>74</v>
      </c>
    </row>
    <row r="251" spans="1:23" ht="12" customHeight="1" x14ac:dyDescent="0.15"/>
    <row r="252" spans="1:23" ht="12" customHeight="1" x14ac:dyDescent="0.15"/>
    <row r="253" spans="1:23" ht="12" customHeight="1" x14ac:dyDescent="0.15">
      <c r="K253" s="299" t="s">
        <v>93</v>
      </c>
    </row>
    <row r="254" spans="1:23" s="297" customFormat="1" ht="21" customHeight="1" x14ac:dyDescent="0.15">
      <c r="A254" s="1053" t="s">
        <v>172</v>
      </c>
      <c r="B254" s="832" t="s">
        <v>284</v>
      </c>
      <c r="C254" s="827"/>
      <c r="D254" s="827"/>
      <c r="E254" s="827"/>
      <c r="F254" s="827"/>
      <c r="G254" s="827"/>
      <c r="H254" s="827"/>
      <c r="I254" s="827"/>
      <c r="J254" s="827"/>
      <c r="K254" s="827"/>
      <c r="L254" s="827"/>
      <c r="M254" s="827"/>
      <c r="N254" s="827"/>
      <c r="O254" s="834"/>
      <c r="P254" s="839" t="s">
        <v>283</v>
      </c>
      <c r="Q254" s="827"/>
      <c r="R254" s="827"/>
      <c r="S254" s="834"/>
      <c r="T254" s="826" t="s">
        <v>279</v>
      </c>
      <c r="U254" s="827"/>
      <c r="V254" s="827"/>
      <c r="W254" s="1056" t="s">
        <v>79</v>
      </c>
    </row>
    <row r="255" spans="1:23" s="297" customFormat="1" ht="21" customHeight="1" x14ac:dyDescent="0.15">
      <c r="A255" s="1054"/>
      <c r="B255" s="832" t="s">
        <v>260</v>
      </c>
      <c r="C255" s="827"/>
      <c r="D255" s="834"/>
      <c r="E255" s="826" t="s">
        <v>259</v>
      </c>
      <c r="F255" s="827"/>
      <c r="G255" s="827"/>
      <c r="H255" s="827"/>
      <c r="I255" s="827"/>
      <c r="J255" s="834"/>
      <c r="K255" s="826" t="s">
        <v>258</v>
      </c>
      <c r="L255" s="827"/>
      <c r="M255" s="834"/>
      <c r="N255" s="826" t="s">
        <v>242</v>
      </c>
      <c r="O255" s="834"/>
      <c r="P255" s="1059" t="s">
        <v>282</v>
      </c>
      <c r="Q255" s="826" t="s">
        <v>265</v>
      </c>
      <c r="R255" s="827"/>
      <c r="S255" s="834"/>
      <c r="T255" s="1059" t="s">
        <v>278</v>
      </c>
      <c r="U255" s="826" t="s">
        <v>265</v>
      </c>
      <c r="V255" s="827"/>
      <c r="W255" s="1057"/>
    </row>
    <row r="256" spans="1:23" s="297" customFormat="1" ht="52.5" customHeight="1" x14ac:dyDescent="0.15">
      <c r="A256" s="1055"/>
      <c r="B256" s="298" t="s">
        <v>255</v>
      </c>
      <c r="C256" s="298" t="s">
        <v>254</v>
      </c>
      <c r="D256" s="298" t="s">
        <v>281</v>
      </c>
      <c r="E256" s="696" t="s">
        <v>101</v>
      </c>
      <c r="F256" s="298" t="s">
        <v>145</v>
      </c>
      <c r="G256" s="301" t="s">
        <v>854</v>
      </c>
      <c r="H256" s="298" t="s">
        <v>247</v>
      </c>
      <c r="I256" s="298" t="s">
        <v>275</v>
      </c>
      <c r="J256" s="298" t="s">
        <v>280</v>
      </c>
      <c r="K256" s="696" t="s">
        <v>855</v>
      </c>
      <c r="L256" s="298" t="s">
        <v>273</v>
      </c>
      <c r="M256" s="298" t="s">
        <v>244</v>
      </c>
      <c r="N256" s="696" t="s">
        <v>857</v>
      </c>
      <c r="O256" s="298" t="s">
        <v>238</v>
      </c>
      <c r="P256" s="1060"/>
      <c r="Q256" s="696" t="s">
        <v>851</v>
      </c>
      <c r="R256" s="298" t="s">
        <v>256</v>
      </c>
      <c r="S256" s="298" t="s">
        <v>852</v>
      </c>
      <c r="T256" s="1060"/>
      <c r="U256" s="696" t="s">
        <v>851</v>
      </c>
      <c r="V256" s="300" t="s">
        <v>277</v>
      </c>
      <c r="W256" s="1058"/>
    </row>
    <row r="257" spans="1:23" s="290" customFormat="1" ht="9.75" customHeight="1" x14ac:dyDescent="0.15">
      <c r="A257" s="828" t="s">
        <v>985</v>
      </c>
      <c r="B257" s="829">
        <v>26241</v>
      </c>
      <c r="C257" s="830" t="s">
        <v>986</v>
      </c>
      <c r="D257" s="830">
        <v>8</v>
      </c>
      <c r="E257" s="830">
        <v>15438</v>
      </c>
      <c r="F257" s="830">
        <v>253</v>
      </c>
      <c r="G257" s="830">
        <v>153</v>
      </c>
      <c r="H257" s="830">
        <v>5707</v>
      </c>
      <c r="I257" s="830">
        <v>9242</v>
      </c>
      <c r="J257" s="830">
        <v>83</v>
      </c>
      <c r="K257" s="830">
        <v>9844</v>
      </c>
      <c r="L257" s="830">
        <v>768</v>
      </c>
      <c r="M257" s="830">
        <v>9076</v>
      </c>
      <c r="N257" s="830" t="s">
        <v>986</v>
      </c>
      <c r="O257" s="830" t="s">
        <v>986</v>
      </c>
      <c r="P257" s="830">
        <v>44425</v>
      </c>
      <c r="Q257" s="830">
        <v>44425</v>
      </c>
      <c r="R257" s="830">
        <v>41405</v>
      </c>
      <c r="S257" s="830">
        <v>3020</v>
      </c>
      <c r="T257" s="830">
        <v>1817</v>
      </c>
      <c r="U257" s="830">
        <v>858</v>
      </c>
      <c r="V257" s="830">
        <v>8</v>
      </c>
      <c r="W257" s="831" t="s">
        <v>485</v>
      </c>
    </row>
    <row r="258" spans="1:23" s="290" customFormat="1" ht="9.75" customHeight="1" x14ac:dyDescent="0.15">
      <c r="A258" s="559" t="s">
        <v>634</v>
      </c>
      <c r="B258" s="290">
        <v>25095</v>
      </c>
      <c r="C258" s="290" t="s">
        <v>986</v>
      </c>
      <c r="D258" s="290">
        <v>9</v>
      </c>
      <c r="E258" s="290">
        <v>6300</v>
      </c>
      <c r="F258" s="290">
        <v>271</v>
      </c>
      <c r="G258" s="290">
        <v>51</v>
      </c>
      <c r="H258" s="290">
        <v>5283</v>
      </c>
      <c r="I258" s="290">
        <v>562</v>
      </c>
      <c r="J258" s="290">
        <v>133</v>
      </c>
      <c r="K258" s="290">
        <v>8966</v>
      </c>
      <c r="L258" s="290">
        <v>683</v>
      </c>
      <c r="M258" s="290">
        <v>8283</v>
      </c>
      <c r="N258" s="290">
        <v>187</v>
      </c>
      <c r="O258" s="290">
        <v>187</v>
      </c>
      <c r="P258" s="290">
        <v>8030</v>
      </c>
      <c r="Q258" s="290">
        <v>8030</v>
      </c>
      <c r="R258" s="290">
        <v>8030</v>
      </c>
      <c r="S258" s="290" t="s">
        <v>986</v>
      </c>
      <c r="T258" s="290">
        <v>1735</v>
      </c>
      <c r="U258" s="290">
        <v>970</v>
      </c>
      <c r="V258" s="290">
        <v>6</v>
      </c>
      <c r="W258" s="295" t="s">
        <v>588</v>
      </c>
    </row>
    <row r="259" spans="1:23" s="290" customFormat="1" ht="9.75" customHeight="1" x14ac:dyDescent="0.15">
      <c r="A259" s="559" t="s">
        <v>635</v>
      </c>
      <c r="B259" s="290">
        <v>37452</v>
      </c>
      <c r="C259" s="290" t="s">
        <v>986</v>
      </c>
      <c r="D259" s="290">
        <v>12</v>
      </c>
      <c r="E259" s="290">
        <v>5821</v>
      </c>
      <c r="F259" s="290">
        <v>126</v>
      </c>
      <c r="G259" s="290">
        <v>402</v>
      </c>
      <c r="H259" s="290">
        <v>4805</v>
      </c>
      <c r="I259" s="290">
        <v>389</v>
      </c>
      <c r="J259" s="290">
        <v>99</v>
      </c>
      <c r="K259" s="290">
        <v>8310</v>
      </c>
      <c r="L259" s="290">
        <v>453</v>
      </c>
      <c r="M259" s="290">
        <v>7857</v>
      </c>
      <c r="N259" s="290">
        <v>45</v>
      </c>
      <c r="O259" s="290">
        <v>45</v>
      </c>
      <c r="P259" s="290">
        <v>19051</v>
      </c>
      <c r="Q259" s="290">
        <v>19051</v>
      </c>
      <c r="R259" s="290">
        <v>19051</v>
      </c>
      <c r="S259" s="290" t="s">
        <v>986</v>
      </c>
      <c r="T259" s="290">
        <v>1804</v>
      </c>
      <c r="U259" s="290">
        <v>877</v>
      </c>
      <c r="V259" s="290">
        <v>4</v>
      </c>
      <c r="W259" s="295" t="s">
        <v>636</v>
      </c>
    </row>
    <row r="260" spans="1:23" s="290" customFormat="1" ht="9.75" customHeight="1" x14ac:dyDescent="0.15">
      <c r="A260" s="559" t="s">
        <v>774</v>
      </c>
      <c r="B260" s="838">
        <v>38175</v>
      </c>
      <c r="C260" s="290" t="s">
        <v>986</v>
      </c>
      <c r="D260" s="290">
        <v>9</v>
      </c>
      <c r="E260" s="838">
        <v>4728</v>
      </c>
      <c r="F260" s="290">
        <v>83</v>
      </c>
      <c r="G260" s="290" t="s">
        <v>986</v>
      </c>
      <c r="H260" s="290">
        <v>4151</v>
      </c>
      <c r="I260" s="838">
        <v>327</v>
      </c>
      <c r="J260" s="838">
        <v>167</v>
      </c>
      <c r="K260" s="838">
        <v>18276</v>
      </c>
      <c r="L260" s="290" t="s">
        <v>986</v>
      </c>
      <c r="M260" s="838">
        <v>18276</v>
      </c>
      <c r="N260" s="290" t="s">
        <v>986</v>
      </c>
      <c r="O260" s="290" t="s">
        <v>986</v>
      </c>
      <c r="P260" s="290">
        <v>16036</v>
      </c>
      <c r="Q260" s="290">
        <v>16036</v>
      </c>
      <c r="R260" s="290">
        <v>16036</v>
      </c>
      <c r="S260" s="290" t="s">
        <v>986</v>
      </c>
      <c r="T260" s="838">
        <v>2057</v>
      </c>
      <c r="U260" s="838">
        <v>1080</v>
      </c>
      <c r="V260" s="290">
        <v>9</v>
      </c>
      <c r="W260" s="295" t="s">
        <v>775</v>
      </c>
    </row>
    <row r="261" spans="1:23" s="290" customFormat="1" ht="9.75" customHeight="1" x14ac:dyDescent="0.15">
      <c r="A261" s="559" t="s">
        <v>987</v>
      </c>
      <c r="B261" s="290">
        <v>33934</v>
      </c>
      <c r="C261" s="290" t="s">
        <v>986</v>
      </c>
      <c r="D261" s="290">
        <v>7</v>
      </c>
      <c r="E261" s="290">
        <v>4064</v>
      </c>
      <c r="F261" s="290">
        <v>17</v>
      </c>
      <c r="G261" s="290" t="s">
        <v>986</v>
      </c>
      <c r="H261" s="290">
        <v>3774</v>
      </c>
      <c r="I261" s="290">
        <v>218</v>
      </c>
      <c r="J261" s="290">
        <v>55</v>
      </c>
      <c r="K261" s="290">
        <v>8132</v>
      </c>
      <c r="L261" s="290" t="s">
        <v>986</v>
      </c>
      <c r="M261" s="290">
        <v>8132</v>
      </c>
      <c r="N261" s="290">
        <v>1</v>
      </c>
      <c r="O261" s="290">
        <v>1</v>
      </c>
      <c r="P261" s="290">
        <v>15538</v>
      </c>
      <c r="Q261" s="290">
        <v>15538</v>
      </c>
      <c r="R261" s="290">
        <v>15438</v>
      </c>
      <c r="S261" s="290">
        <v>100</v>
      </c>
      <c r="T261" s="290">
        <v>1902</v>
      </c>
      <c r="U261" s="290">
        <v>1012</v>
      </c>
      <c r="V261" s="290">
        <v>12</v>
      </c>
      <c r="W261" s="295" t="s">
        <v>988</v>
      </c>
    </row>
    <row r="262" spans="1:23" s="290" customFormat="1" ht="6.75" customHeight="1" x14ac:dyDescent="0.15">
      <c r="A262" s="578"/>
      <c r="W262" s="295"/>
    </row>
    <row r="263" spans="1:23" s="290" customFormat="1" ht="9.75" customHeight="1" x14ac:dyDescent="0.15">
      <c r="A263" s="559" t="s">
        <v>989</v>
      </c>
      <c r="B263" s="290">
        <v>56037</v>
      </c>
      <c r="C263" s="290" t="s">
        <v>986</v>
      </c>
      <c r="D263" s="290">
        <v>5</v>
      </c>
      <c r="E263" s="290">
        <v>4325</v>
      </c>
      <c r="F263" s="290">
        <v>86</v>
      </c>
      <c r="G263" s="290" t="s">
        <v>986</v>
      </c>
      <c r="H263" s="290">
        <v>3881</v>
      </c>
      <c r="I263" s="290">
        <v>270</v>
      </c>
      <c r="J263" s="290">
        <v>88</v>
      </c>
      <c r="K263" s="290">
        <v>13433</v>
      </c>
      <c r="L263" s="290" t="s">
        <v>986</v>
      </c>
      <c r="M263" s="290">
        <v>13433</v>
      </c>
      <c r="N263" s="290" t="s">
        <v>986</v>
      </c>
      <c r="O263" s="290" t="s">
        <v>986</v>
      </c>
      <c r="P263" s="290">
        <v>16726</v>
      </c>
      <c r="Q263" s="290">
        <v>16726</v>
      </c>
      <c r="R263" s="290">
        <v>16626</v>
      </c>
      <c r="S263" s="290">
        <v>100</v>
      </c>
      <c r="T263" s="290">
        <v>2083</v>
      </c>
      <c r="U263" s="290">
        <v>1170</v>
      </c>
      <c r="V263" s="290">
        <v>7</v>
      </c>
      <c r="W263" s="295" t="s">
        <v>776</v>
      </c>
    </row>
    <row r="264" spans="1:23" s="290" customFormat="1" ht="9.75" customHeight="1" x14ac:dyDescent="0.15">
      <c r="A264" s="559" t="s">
        <v>990</v>
      </c>
      <c r="B264" s="290">
        <v>7349</v>
      </c>
      <c r="C264" s="290">
        <v>2986</v>
      </c>
      <c r="D264" s="290">
        <v>9</v>
      </c>
      <c r="E264" s="290">
        <v>3849</v>
      </c>
      <c r="F264" s="290">
        <v>13</v>
      </c>
      <c r="G264" s="290" t="s">
        <v>986</v>
      </c>
      <c r="H264" s="290">
        <v>3600</v>
      </c>
      <c r="I264" s="290">
        <v>170</v>
      </c>
      <c r="J264" s="290">
        <v>66</v>
      </c>
      <c r="K264" s="290">
        <v>7295</v>
      </c>
      <c r="L264" s="290" t="s">
        <v>986</v>
      </c>
      <c r="M264" s="290">
        <v>7295</v>
      </c>
      <c r="N264" s="290">
        <v>1</v>
      </c>
      <c r="O264" s="290">
        <v>1</v>
      </c>
      <c r="P264" s="290">
        <v>13779</v>
      </c>
      <c r="Q264" s="290">
        <v>13779</v>
      </c>
      <c r="R264" s="290">
        <v>13779</v>
      </c>
      <c r="S264" s="290" t="s">
        <v>986</v>
      </c>
      <c r="T264" s="290">
        <v>1750</v>
      </c>
      <c r="U264" s="290">
        <v>893</v>
      </c>
      <c r="V264" s="290">
        <v>12</v>
      </c>
      <c r="W264" s="295" t="s">
        <v>991</v>
      </c>
    </row>
    <row r="265" spans="1:23" s="290" customFormat="1" ht="6.75" customHeight="1" x14ac:dyDescent="0.15">
      <c r="A265" s="578"/>
      <c r="W265" s="295"/>
    </row>
    <row r="266" spans="1:23" s="290" customFormat="1" ht="9.75" customHeight="1" x14ac:dyDescent="0.15">
      <c r="A266" s="559" t="s">
        <v>992</v>
      </c>
      <c r="B266" s="290">
        <v>26693</v>
      </c>
      <c r="C266" s="290" t="s">
        <v>986</v>
      </c>
      <c r="D266" s="290">
        <v>2</v>
      </c>
      <c r="E266" s="290">
        <v>1103</v>
      </c>
      <c r="F266" s="290">
        <v>4</v>
      </c>
      <c r="G266" s="290" t="s">
        <v>986</v>
      </c>
      <c r="H266" s="290">
        <v>1013</v>
      </c>
      <c r="I266" s="290">
        <v>65</v>
      </c>
      <c r="J266" s="290">
        <v>21</v>
      </c>
      <c r="K266" s="290">
        <v>2815</v>
      </c>
      <c r="L266" s="290" t="s">
        <v>986</v>
      </c>
      <c r="M266" s="290">
        <v>2815</v>
      </c>
      <c r="N266" s="290" t="s">
        <v>986</v>
      </c>
      <c r="O266" s="290" t="s">
        <v>986</v>
      </c>
      <c r="P266" s="290">
        <v>3707</v>
      </c>
      <c r="Q266" s="290">
        <v>3707</v>
      </c>
      <c r="R266" s="290">
        <v>3607</v>
      </c>
      <c r="S266" s="290">
        <v>100</v>
      </c>
      <c r="T266" s="290">
        <v>511</v>
      </c>
      <c r="U266" s="290">
        <v>310</v>
      </c>
      <c r="V266" s="290" t="s">
        <v>986</v>
      </c>
      <c r="W266" s="295" t="s">
        <v>777</v>
      </c>
    </row>
    <row r="267" spans="1:23" s="290" customFormat="1" ht="9.75" customHeight="1" x14ac:dyDescent="0.15">
      <c r="A267" s="559" t="s">
        <v>637</v>
      </c>
      <c r="B267" s="290">
        <v>6504</v>
      </c>
      <c r="C267" s="290" t="s">
        <v>986</v>
      </c>
      <c r="D267" s="290">
        <v>2</v>
      </c>
      <c r="E267" s="290">
        <v>995</v>
      </c>
      <c r="F267" s="290" t="s">
        <v>986</v>
      </c>
      <c r="G267" s="290" t="s">
        <v>986</v>
      </c>
      <c r="H267" s="290">
        <v>907</v>
      </c>
      <c r="I267" s="290">
        <v>73</v>
      </c>
      <c r="J267" s="290">
        <v>15</v>
      </c>
      <c r="K267" s="290">
        <v>2863</v>
      </c>
      <c r="L267" s="290" t="s">
        <v>986</v>
      </c>
      <c r="M267" s="290">
        <v>2863</v>
      </c>
      <c r="N267" s="290">
        <v>1</v>
      </c>
      <c r="O267" s="290">
        <v>1</v>
      </c>
      <c r="P267" s="290">
        <v>2970</v>
      </c>
      <c r="Q267" s="290">
        <v>2970</v>
      </c>
      <c r="R267" s="290">
        <v>2970</v>
      </c>
      <c r="S267" s="290" t="s">
        <v>986</v>
      </c>
      <c r="T267" s="290">
        <v>491</v>
      </c>
      <c r="U267" s="290">
        <v>235</v>
      </c>
      <c r="V267" s="290">
        <v>5</v>
      </c>
      <c r="W267" s="295" t="s">
        <v>85</v>
      </c>
    </row>
    <row r="268" spans="1:23" s="290" customFormat="1" ht="9.75" customHeight="1" x14ac:dyDescent="0.15">
      <c r="A268" s="559" t="s">
        <v>638</v>
      </c>
      <c r="B268" s="290">
        <v>511</v>
      </c>
      <c r="C268" s="290" t="s">
        <v>986</v>
      </c>
      <c r="D268" s="290" t="s">
        <v>986</v>
      </c>
      <c r="E268" s="290">
        <v>668</v>
      </c>
      <c r="F268" s="290">
        <v>13</v>
      </c>
      <c r="G268" s="290" t="s">
        <v>986</v>
      </c>
      <c r="H268" s="290">
        <v>611</v>
      </c>
      <c r="I268" s="290">
        <v>39</v>
      </c>
      <c r="J268" s="290">
        <v>5</v>
      </c>
      <c r="K268" s="290">
        <v>1198</v>
      </c>
      <c r="L268" s="290" t="s">
        <v>986</v>
      </c>
      <c r="M268" s="290">
        <v>1198</v>
      </c>
      <c r="N268" s="290" t="s">
        <v>986</v>
      </c>
      <c r="O268" s="290" t="s">
        <v>986</v>
      </c>
      <c r="P268" s="290">
        <v>2928</v>
      </c>
      <c r="Q268" s="290">
        <v>2928</v>
      </c>
      <c r="R268" s="290">
        <v>2928</v>
      </c>
      <c r="S268" s="290" t="s">
        <v>986</v>
      </c>
      <c r="T268" s="290">
        <v>486</v>
      </c>
      <c r="U268" s="290">
        <v>265</v>
      </c>
      <c r="V268" s="290" t="s">
        <v>986</v>
      </c>
      <c r="W268" s="295" t="s">
        <v>86</v>
      </c>
    </row>
    <row r="269" spans="1:23" s="290" customFormat="1" ht="9.75" customHeight="1" x14ac:dyDescent="0.15">
      <c r="A269" s="559" t="s">
        <v>639</v>
      </c>
      <c r="B269" s="290">
        <v>226</v>
      </c>
      <c r="C269" s="290" t="s">
        <v>986</v>
      </c>
      <c r="D269" s="290">
        <v>3</v>
      </c>
      <c r="E269" s="290">
        <v>1298</v>
      </c>
      <c r="F269" s="290" t="s">
        <v>986</v>
      </c>
      <c r="G269" s="290" t="s">
        <v>986</v>
      </c>
      <c r="H269" s="290">
        <v>1243</v>
      </c>
      <c r="I269" s="290">
        <v>41</v>
      </c>
      <c r="J269" s="290">
        <v>14</v>
      </c>
      <c r="K269" s="290">
        <v>1256</v>
      </c>
      <c r="L269" s="290" t="s">
        <v>986</v>
      </c>
      <c r="M269" s="290">
        <v>1256</v>
      </c>
      <c r="N269" s="290" t="s">
        <v>986</v>
      </c>
      <c r="O269" s="290" t="s">
        <v>986</v>
      </c>
      <c r="P269" s="290">
        <v>5933</v>
      </c>
      <c r="Q269" s="290">
        <v>5933</v>
      </c>
      <c r="R269" s="290">
        <v>5933</v>
      </c>
      <c r="S269" s="290" t="s">
        <v>986</v>
      </c>
      <c r="T269" s="290">
        <v>414</v>
      </c>
      <c r="U269" s="290">
        <v>202</v>
      </c>
      <c r="V269" s="290">
        <v>7</v>
      </c>
      <c r="W269" s="295" t="s">
        <v>87</v>
      </c>
    </row>
    <row r="270" spans="1:23" s="290" customFormat="1" ht="9.75" customHeight="1" x14ac:dyDescent="0.15">
      <c r="A270" s="559" t="s">
        <v>993</v>
      </c>
      <c r="B270" s="290">
        <v>108</v>
      </c>
      <c r="C270" s="290">
        <v>2986</v>
      </c>
      <c r="D270" s="290">
        <v>4</v>
      </c>
      <c r="E270" s="290">
        <v>888</v>
      </c>
      <c r="F270" s="290" t="s">
        <v>986</v>
      </c>
      <c r="G270" s="290" t="s">
        <v>986</v>
      </c>
      <c r="H270" s="290">
        <v>839</v>
      </c>
      <c r="I270" s="290">
        <v>17</v>
      </c>
      <c r="J270" s="290">
        <v>32</v>
      </c>
      <c r="K270" s="290">
        <v>1978</v>
      </c>
      <c r="L270" s="290" t="s">
        <v>986</v>
      </c>
      <c r="M270" s="290">
        <v>1978</v>
      </c>
      <c r="N270" s="290" t="s">
        <v>986</v>
      </c>
      <c r="O270" s="290" t="s">
        <v>986</v>
      </c>
      <c r="P270" s="290">
        <v>1948</v>
      </c>
      <c r="Q270" s="290">
        <v>1948</v>
      </c>
      <c r="R270" s="290">
        <v>1948</v>
      </c>
      <c r="S270" s="290" t="s">
        <v>986</v>
      </c>
      <c r="T270" s="290">
        <v>359</v>
      </c>
      <c r="U270" s="290">
        <v>191</v>
      </c>
      <c r="V270" s="290" t="s">
        <v>986</v>
      </c>
      <c r="W270" s="295" t="s">
        <v>994</v>
      </c>
    </row>
    <row r="271" spans="1:23" s="290" customFormat="1" ht="6.75" customHeight="1" x14ac:dyDescent="0.15">
      <c r="A271" s="578"/>
      <c r="W271" s="295"/>
    </row>
    <row r="272" spans="1:23" s="290" customFormat="1" ht="9.75" customHeight="1" x14ac:dyDescent="0.15">
      <c r="A272" s="559" t="s">
        <v>995</v>
      </c>
      <c r="B272" s="290">
        <v>2363</v>
      </c>
      <c r="C272" s="290" t="s">
        <v>986</v>
      </c>
      <c r="D272" s="290">
        <v>2</v>
      </c>
      <c r="E272" s="290">
        <v>385</v>
      </c>
      <c r="F272" s="290">
        <v>3</v>
      </c>
      <c r="G272" s="290" t="s">
        <v>986</v>
      </c>
      <c r="H272" s="290">
        <v>360</v>
      </c>
      <c r="I272" s="290">
        <v>5</v>
      </c>
      <c r="J272" s="290">
        <v>17</v>
      </c>
      <c r="K272" s="290">
        <v>715</v>
      </c>
      <c r="L272" s="290" t="s">
        <v>986</v>
      </c>
      <c r="M272" s="290">
        <v>715</v>
      </c>
      <c r="N272" s="290" t="s">
        <v>986</v>
      </c>
      <c r="O272" s="290" t="s">
        <v>986</v>
      </c>
      <c r="P272" s="290">
        <v>1514</v>
      </c>
      <c r="Q272" s="290">
        <v>1514</v>
      </c>
      <c r="R272" s="290">
        <v>1514</v>
      </c>
      <c r="S272" s="290" t="s">
        <v>986</v>
      </c>
      <c r="T272" s="290">
        <v>225</v>
      </c>
      <c r="U272" s="290">
        <v>144</v>
      </c>
      <c r="V272" s="290" t="s">
        <v>986</v>
      </c>
      <c r="W272" s="295" t="s">
        <v>778</v>
      </c>
    </row>
    <row r="273" spans="1:23" s="290" customFormat="1" ht="9.75" customHeight="1" x14ac:dyDescent="0.15">
      <c r="A273" s="559" t="s">
        <v>640</v>
      </c>
      <c r="B273" s="290">
        <v>19510</v>
      </c>
      <c r="C273" s="290" t="s">
        <v>986</v>
      </c>
      <c r="D273" s="290" t="s">
        <v>986</v>
      </c>
      <c r="E273" s="290">
        <v>365</v>
      </c>
      <c r="F273" s="290" t="s">
        <v>986</v>
      </c>
      <c r="G273" s="290" t="s">
        <v>986</v>
      </c>
      <c r="H273" s="290">
        <v>331</v>
      </c>
      <c r="I273" s="290">
        <v>30</v>
      </c>
      <c r="J273" s="290">
        <v>4</v>
      </c>
      <c r="K273" s="290">
        <v>1018</v>
      </c>
      <c r="L273" s="290" t="s">
        <v>986</v>
      </c>
      <c r="M273" s="290">
        <v>1018</v>
      </c>
      <c r="N273" s="290" t="s">
        <v>986</v>
      </c>
      <c r="O273" s="290" t="s">
        <v>986</v>
      </c>
      <c r="P273" s="290">
        <v>1101</v>
      </c>
      <c r="Q273" s="290">
        <v>1101</v>
      </c>
      <c r="R273" s="290">
        <v>1001</v>
      </c>
      <c r="S273" s="290">
        <v>100</v>
      </c>
      <c r="T273" s="290">
        <v>156</v>
      </c>
      <c r="U273" s="290">
        <v>111</v>
      </c>
      <c r="V273" s="290" t="s">
        <v>986</v>
      </c>
      <c r="W273" s="295" t="s">
        <v>73</v>
      </c>
    </row>
    <row r="274" spans="1:23" s="290" customFormat="1" ht="9.75" customHeight="1" x14ac:dyDescent="0.15">
      <c r="A274" s="559" t="s">
        <v>641</v>
      </c>
      <c r="B274" s="290">
        <v>4820</v>
      </c>
      <c r="C274" s="290" t="s">
        <v>986</v>
      </c>
      <c r="D274" s="290" t="s">
        <v>986</v>
      </c>
      <c r="E274" s="290">
        <v>353</v>
      </c>
      <c r="F274" s="290">
        <v>1</v>
      </c>
      <c r="G274" s="290" t="s">
        <v>986</v>
      </c>
      <c r="H274" s="290">
        <v>322</v>
      </c>
      <c r="I274" s="290">
        <v>30</v>
      </c>
      <c r="J274" s="290" t="s">
        <v>986</v>
      </c>
      <c r="K274" s="290">
        <v>1082</v>
      </c>
      <c r="L274" s="290" t="s">
        <v>986</v>
      </c>
      <c r="M274" s="290">
        <v>1082</v>
      </c>
      <c r="N274" s="290" t="s">
        <v>986</v>
      </c>
      <c r="O274" s="290" t="s">
        <v>986</v>
      </c>
      <c r="P274" s="290">
        <v>1092</v>
      </c>
      <c r="Q274" s="290">
        <v>1092</v>
      </c>
      <c r="R274" s="290">
        <v>1092</v>
      </c>
      <c r="S274" s="290" t="s">
        <v>986</v>
      </c>
      <c r="T274" s="290">
        <v>130</v>
      </c>
      <c r="U274" s="290">
        <v>55</v>
      </c>
      <c r="V274" s="290" t="s">
        <v>986</v>
      </c>
      <c r="W274" s="295" t="s">
        <v>74</v>
      </c>
    </row>
    <row r="275" spans="1:23" s="290" customFormat="1" ht="9.75" customHeight="1" x14ac:dyDescent="0.15">
      <c r="A275" s="559" t="s">
        <v>642</v>
      </c>
      <c r="B275" s="290">
        <v>2066</v>
      </c>
      <c r="C275" s="290" t="s">
        <v>986</v>
      </c>
      <c r="D275" s="290">
        <v>2</v>
      </c>
      <c r="E275" s="290">
        <v>435</v>
      </c>
      <c r="F275" s="290" t="s">
        <v>986</v>
      </c>
      <c r="G275" s="290" t="s">
        <v>986</v>
      </c>
      <c r="H275" s="290">
        <v>411</v>
      </c>
      <c r="I275" s="290">
        <v>17</v>
      </c>
      <c r="J275" s="290">
        <v>7</v>
      </c>
      <c r="K275" s="290">
        <v>1215</v>
      </c>
      <c r="L275" s="290" t="s">
        <v>986</v>
      </c>
      <c r="M275" s="290">
        <v>1215</v>
      </c>
      <c r="N275" s="290" t="s">
        <v>986</v>
      </c>
      <c r="O275" s="290" t="s">
        <v>986</v>
      </c>
      <c r="P275" s="290">
        <v>987</v>
      </c>
      <c r="Q275" s="290">
        <v>987</v>
      </c>
      <c r="R275" s="290">
        <v>987</v>
      </c>
      <c r="S275" s="290" t="s">
        <v>986</v>
      </c>
      <c r="T275" s="290">
        <v>172</v>
      </c>
      <c r="U275" s="290">
        <v>48</v>
      </c>
      <c r="V275" s="290">
        <v>3</v>
      </c>
      <c r="W275" s="295" t="s">
        <v>75</v>
      </c>
    </row>
    <row r="276" spans="1:23" s="290" customFormat="1" ht="9.75" customHeight="1" x14ac:dyDescent="0.15">
      <c r="A276" s="559" t="s">
        <v>643</v>
      </c>
      <c r="B276" s="290">
        <v>3404</v>
      </c>
      <c r="C276" s="290" t="s">
        <v>986</v>
      </c>
      <c r="D276" s="290" t="s">
        <v>986</v>
      </c>
      <c r="E276" s="290">
        <v>73</v>
      </c>
      <c r="F276" s="290" t="s">
        <v>986</v>
      </c>
      <c r="G276" s="290" t="s">
        <v>986</v>
      </c>
      <c r="H276" s="290">
        <v>56</v>
      </c>
      <c r="I276" s="290">
        <v>17</v>
      </c>
      <c r="J276" s="290" t="s">
        <v>986</v>
      </c>
      <c r="K276" s="290">
        <v>324</v>
      </c>
      <c r="L276" s="290" t="s">
        <v>986</v>
      </c>
      <c r="M276" s="290">
        <v>324</v>
      </c>
      <c r="N276" s="290" t="s">
        <v>986</v>
      </c>
      <c r="O276" s="290" t="s">
        <v>986</v>
      </c>
      <c r="P276" s="290">
        <v>1004</v>
      </c>
      <c r="Q276" s="290">
        <v>1004</v>
      </c>
      <c r="R276" s="290">
        <v>1004</v>
      </c>
      <c r="S276" s="290" t="s">
        <v>986</v>
      </c>
      <c r="T276" s="290">
        <v>124</v>
      </c>
      <c r="U276" s="290">
        <v>68</v>
      </c>
      <c r="V276" s="290" t="s">
        <v>986</v>
      </c>
      <c r="W276" s="295" t="s">
        <v>88</v>
      </c>
    </row>
    <row r="277" spans="1:23" s="290" customFormat="1" ht="9.75" customHeight="1" x14ac:dyDescent="0.15">
      <c r="A277" s="559" t="s">
        <v>644</v>
      </c>
      <c r="B277" s="290">
        <v>1034</v>
      </c>
      <c r="C277" s="290" t="s">
        <v>986</v>
      </c>
      <c r="D277" s="290" t="s">
        <v>986</v>
      </c>
      <c r="E277" s="290">
        <v>487</v>
      </c>
      <c r="F277" s="290" t="s">
        <v>986</v>
      </c>
      <c r="G277" s="290" t="s">
        <v>986</v>
      </c>
      <c r="H277" s="290">
        <v>440</v>
      </c>
      <c r="I277" s="290">
        <v>39</v>
      </c>
      <c r="J277" s="290">
        <v>8</v>
      </c>
      <c r="K277" s="290">
        <v>1324</v>
      </c>
      <c r="L277" s="290" t="s">
        <v>986</v>
      </c>
      <c r="M277" s="290">
        <v>1324</v>
      </c>
      <c r="N277" s="290">
        <v>1</v>
      </c>
      <c r="O277" s="290">
        <v>1</v>
      </c>
      <c r="P277" s="290">
        <v>979</v>
      </c>
      <c r="Q277" s="290">
        <v>979</v>
      </c>
      <c r="R277" s="290">
        <v>979</v>
      </c>
      <c r="S277" s="290" t="s">
        <v>986</v>
      </c>
      <c r="T277" s="290">
        <v>195</v>
      </c>
      <c r="U277" s="290">
        <v>119</v>
      </c>
      <c r="V277" s="290">
        <v>2</v>
      </c>
      <c r="W277" s="295" t="s">
        <v>89</v>
      </c>
    </row>
    <row r="278" spans="1:23" s="290" customFormat="1" ht="9.75" customHeight="1" x14ac:dyDescent="0.15">
      <c r="A278" s="559" t="s">
        <v>645</v>
      </c>
      <c r="B278" s="290">
        <v>316</v>
      </c>
      <c r="C278" s="290" t="s">
        <v>986</v>
      </c>
      <c r="D278" s="290" t="s">
        <v>986</v>
      </c>
      <c r="E278" s="290">
        <v>351</v>
      </c>
      <c r="F278" s="290">
        <v>13</v>
      </c>
      <c r="G278" s="290" t="s">
        <v>986</v>
      </c>
      <c r="H278" s="290">
        <v>294</v>
      </c>
      <c r="I278" s="290">
        <v>39</v>
      </c>
      <c r="J278" s="290">
        <v>5</v>
      </c>
      <c r="K278" s="290">
        <v>369</v>
      </c>
      <c r="L278" s="290" t="s">
        <v>986</v>
      </c>
      <c r="M278" s="290">
        <v>369</v>
      </c>
      <c r="N278" s="290" t="s">
        <v>986</v>
      </c>
      <c r="O278" s="290" t="s">
        <v>986</v>
      </c>
      <c r="P278" s="290">
        <v>979</v>
      </c>
      <c r="Q278" s="290">
        <v>979</v>
      </c>
      <c r="R278" s="290">
        <v>979</v>
      </c>
      <c r="S278" s="290" t="s">
        <v>986</v>
      </c>
      <c r="T278" s="290">
        <v>194</v>
      </c>
      <c r="U278" s="290">
        <v>91</v>
      </c>
      <c r="V278" s="290" t="s">
        <v>986</v>
      </c>
      <c r="W278" s="295" t="s">
        <v>90</v>
      </c>
    </row>
    <row r="279" spans="1:23" s="290" customFormat="1" ht="9.75" customHeight="1" x14ac:dyDescent="0.15">
      <c r="A279" s="559" t="s">
        <v>646</v>
      </c>
      <c r="B279" s="290">
        <v>129</v>
      </c>
      <c r="C279" s="290" t="s">
        <v>986</v>
      </c>
      <c r="D279" s="290" t="s">
        <v>986</v>
      </c>
      <c r="E279" s="290">
        <v>219</v>
      </c>
      <c r="F279" s="290" t="s">
        <v>986</v>
      </c>
      <c r="G279" s="290" t="s">
        <v>986</v>
      </c>
      <c r="H279" s="290">
        <v>219</v>
      </c>
      <c r="I279" s="290" t="s">
        <v>986</v>
      </c>
      <c r="J279" s="290" t="s">
        <v>986</v>
      </c>
      <c r="K279" s="290">
        <v>396</v>
      </c>
      <c r="L279" s="290" t="s">
        <v>986</v>
      </c>
      <c r="M279" s="290">
        <v>396</v>
      </c>
      <c r="N279" s="290" t="s">
        <v>986</v>
      </c>
      <c r="O279" s="290" t="s">
        <v>986</v>
      </c>
      <c r="P279" s="290">
        <v>969</v>
      </c>
      <c r="Q279" s="290">
        <v>969</v>
      </c>
      <c r="R279" s="290">
        <v>969</v>
      </c>
      <c r="S279" s="290" t="s">
        <v>986</v>
      </c>
      <c r="T279" s="290">
        <v>120</v>
      </c>
      <c r="U279" s="290">
        <v>79</v>
      </c>
      <c r="V279" s="290" t="s">
        <v>986</v>
      </c>
      <c r="W279" s="295" t="s">
        <v>91</v>
      </c>
    </row>
    <row r="280" spans="1:23" s="290" customFormat="1" ht="9.75" customHeight="1" x14ac:dyDescent="0.15">
      <c r="A280" s="559" t="s">
        <v>647</v>
      </c>
      <c r="B280" s="290">
        <v>66</v>
      </c>
      <c r="C280" s="290" t="s">
        <v>986</v>
      </c>
      <c r="D280" s="290" t="s">
        <v>986</v>
      </c>
      <c r="E280" s="290">
        <v>98</v>
      </c>
      <c r="F280" s="290" t="s">
        <v>986</v>
      </c>
      <c r="G280" s="290" t="s">
        <v>986</v>
      </c>
      <c r="H280" s="290">
        <v>98</v>
      </c>
      <c r="I280" s="290" t="s">
        <v>986</v>
      </c>
      <c r="J280" s="290" t="s">
        <v>986</v>
      </c>
      <c r="K280" s="290">
        <v>433</v>
      </c>
      <c r="L280" s="290" t="s">
        <v>986</v>
      </c>
      <c r="M280" s="290">
        <v>433</v>
      </c>
      <c r="N280" s="290" t="s">
        <v>986</v>
      </c>
      <c r="O280" s="290" t="s">
        <v>986</v>
      </c>
      <c r="P280" s="290">
        <v>980</v>
      </c>
      <c r="Q280" s="290">
        <v>980</v>
      </c>
      <c r="R280" s="290">
        <v>980</v>
      </c>
      <c r="S280" s="290" t="s">
        <v>986</v>
      </c>
      <c r="T280" s="290">
        <v>172</v>
      </c>
      <c r="U280" s="290">
        <v>95</v>
      </c>
      <c r="V280" s="290" t="s">
        <v>986</v>
      </c>
      <c r="W280" s="295" t="s">
        <v>92</v>
      </c>
    </row>
    <row r="281" spans="1:23" s="290" customFormat="1" ht="9.75" customHeight="1" x14ac:dyDescent="0.15">
      <c r="A281" s="559" t="s">
        <v>648</v>
      </c>
      <c r="B281" s="290">
        <v>94</v>
      </c>
      <c r="C281" s="290" t="s">
        <v>986</v>
      </c>
      <c r="D281" s="290">
        <v>3</v>
      </c>
      <c r="E281" s="290">
        <v>423</v>
      </c>
      <c r="F281" s="290" t="s">
        <v>986</v>
      </c>
      <c r="G281" s="290" t="s">
        <v>986</v>
      </c>
      <c r="H281" s="290">
        <v>397</v>
      </c>
      <c r="I281" s="290">
        <v>12</v>
      </c>
      <c r="J281" s="290">
        <v>14</v>
      </c>
      <c r="K281" s="290">
        <v>240</v>
      </c>
      <c r="L281" s="290" t="s">
        <v>986</v>
      </c>
      <c r="M281" s="290">
        <v>240</v>
      </c>
      <c r="N281" s="290" t="s">
        <v>986</v>
      </c>
      <c r="O281" s="290" t="s">
        <v>986</v>
      </c>
      <c r="P281" s="290">
        <v>3967</v>
      </c>
      <c r="Q281" s="290">
        <v>3967</v>
      </c>
      <c r="R281" s="290">
        <v>3967</v>
      </c>
      <c r="S281" s="290" t="s">
        <v>986</v>
      </c>
      <c r="T281" s="290">
        <v>126</v>
      </c>
      <c r="U281" s="290">
        <v>69</v>
      </c>
      <c r="V281" s="290">
        <v>4</v>
      </c>
      <c r="W281" s="295" t="s">
        <v>76</v>
      </c>
    </row>
    <row r="282" spans="1:23" s="290" customFormat="1" ht="9.75" customHeight="1" x14ac:dyDescent="0.15">
      <c r="A282" s="559" t="s">
        <v>649</v>
      </c>
      <c r="B282" s="290">
        <v>33</v>
      </c>
      <c r="C282" s="290" t="s">
        <v>986</v>
      </c>
      <c r="D282" s="290" t="s">
        <v>986</v>
      </c>
      <c r="E282" s="290">
        <v>406</v>
      </c>
      <c r="F282" s="290" t="s">
        <v>986</v>
      </c>
      <c r="G282" s="290" t="s">
        <v>986</v>
      </c>
      <c r="H282" s="290">
        <v>392</v>
      </c>
      <c r="I282" s="290">
        <v>14</v>
      </c>
      <c r="J282" s="290" t="s">
        <v>986</v>
      </c>
      <c r="K282" s="290">
        <v>613</v>
      </c>
      <c r="L282" s="290" t="s">
        <v>986</v>
      </c>
      <c r="M282" s="290">
        <v>613</v>
      </c>
      <c r="N282" s="290" t="s">
        <v>986</v>
      </c>
      <c r="O282" s="290" t="s">
        <v>986</v>
      </c>
      <c r="P282" s="290">
        <v>976</v>
      </c>
      <c r="Q282" s="290">
        <v>976</v>
      </c>
      <c r="R282" s="290">
        <v>976</v>
      </c>
      <c r="S282" s="290" t="s">
        <v>986</v>
      </c>
      <c r="T282" s="290">
        <v>101</v>
      </c>
      <c r="U282" s="290">
        <v>78</v>
      </c>
      <c r="V282" s="290" t="s">
        <v>986</v>
      </c>
      <c r="W282" s="295" t="s">
        <v>77</v>
      </c>
    </row>
    <row r="283" spans="1:23" s="290" customFormat="1" ht="9.75" customHeight="1" x14ac:dyDescent="0.15">
      <c r="A283" s="559" t="s">
        <v>650</v>
      </c>
      <c r="B283" s="290">
        <v>99</v>
      </c>
      <c r="C283" s="290" t="s">
        <v>986</v>
      </c>
      <c r="D283" s="290" t="s">
        <v>986</v>
      </c>
      <c r="E283" s="290">
        <v>469</v>
      </c>
      <c r="F283" s="290" t="s">
        <v>986</v>
      </c>
      <c r="G283" s="290" t="s">
        <v>986</v>
      </c>
      <c r="H283" s="290">
        <v>454</v>
      </c>
      <c r="I283" s="290">
        <v>15</v>
      </c>
      <c r="J283" s="290" t="s">
        <v>986</v>
      </c>
      <c r="K283" s="290">
        <v>403</v>
      </c>
      <c r="L283" s="290" t="s">
        <v>986</v>
      </c>
      <c r="M283" s="290">
        <v>403</v>
      </c>
      <c r="N283" s="290" t="s">
        <v>986</v>
      </c>
      <c r="O283" s="290" t="s">
        <v>986</v>
      </c>
      <c r="P283" s="290">
        <v>990</v>
      </c>
      <c r="Q283" s="290">
        <v>990</v>
      </c>
      <c r="R283" s="290">
        <v>990</v>
      </c>
      <c r="S283" s="290" t="s">
        <v>986</v>
      </c>
      <c r="T283" s="290">
        <v>187</v>
      </c>
      <c r="U283" s="290">
        <v>55</v>
      </c>
      <c r="V283" s="290">
        <v>3</v>
      </c>
      <c r="W283" s="295" t="s">
        <v>78</v>
      </c>
    </row>
    <row r="284" spans="1:23" s="290" customFormat="1" ht="9.75" customHeight="1" x14ac:dyDescent="0.15">
      <c r="A284" s="559" t="s">
        <v>996</v>
      </c>
      <c r="B284" s="290">
        <v>53</v>
      </c>
      <c r="C284" s="290" t="s">
        <v>986</v>
      </c>
      <c r="D284" s="290">
        <v>2</v>
      </c>
      <c r="E284" s="290">
        <v>288</v>
      </c>
      <c r="F284" s="290" t="s">
        <v>986</v>
      </c>
      <c r="G284" s="290" t="s">
        <v>986</v>
      </c>
      <c r="H284" s="290">
        <v>251</v>
      </c>
      <c r="I284" s="290">
        <v>5</v>
      </c>
      <c r="J284" s="290">
        <v>32</v>
      </c>
      <c r="K284" s="290">
        <v>198</v>
      </c>
      <c r="L284" s="290" t="s">
        <v>986</v>
      </c>
      <c r="M284" s="290">
        <v>198</v>
      </c>
      <c r="N284" s="290" t="s">
        <v>986</v>
      </c>
      <c r="O284" s="290" t="s">
        <v>986</v>
      </c>
      <c r="P284" s="290">
        <v>957</v>
      </c>
      <c r="Q284" s="290">
        <v>957</v>
      </c>
      <c r="R284" s="290">
        <v>957</v>
      </c>
      <c r="S284" s="290" t="s">
        <v>986</v>
      </c>
      <c r="T284" s="290">
        <v>110</v>
      </c>
      <c r="U284" s="290">
        <v>87</v>
      </c>
      <c r="V284" s="290" t="s">
        <v>986</v>
      </c>
      <c r="W284" s="295" t="s">
        <v>997</v>
      </c>
    </row>
    <row r="285" spans="1:23" s="290" customFormat="1" ht="9.75" customHeight="1" x14ac:dyDescent="0.15">
      <c r="A285" s="559" t="s">
        <v>651</v>
      </c>
      <c r="B285" s="290">
        <v>15</v>
      </c>
      <c r="C285" s="290" t="s">
        <v>986</v>
      </c>
      <c r="D285" s="290">
        <v>2</v>
      </c>
      <c r="E285" s="290">
        <v>294</v>
      </c>
      <c r="F285" s="290" t="s">
        <v>986</v>
      </c>
      <c r="G285" s="290" t="s">
        <v>986</v>
      </c>
      <c r="H285" s="290">
        <v>294</v>
      </c>
      <c r="I285" s="290" t="s">
        <v>986</v>
      </c>
      <c r="J285" s="290" t="s">
        <v>986</v>
      </c>
      <c r="K285" s="290">
        <v>514</v>
      </c>
      <c r="L285" s="290" t="s">
        <v>986</v>
      </c>
      <c r="M285" s="290">
        <v>514</v>
      </c>
      <c r="N285" s="290" t="s">
        <v>986</v>
      </c>
      <c r="O285" s="290" t="s">
        <v>986</v>
      </c>
      <c r="P285" s="290" t="s">
        <v>986</v>
      </c>
      <c r="Q285" s="290" t="s">
        <v>986</v>
      </c>
      <c r="R285" s="290" t="s">
        <v>986</v>
      </c>
      <c r="S285" s="290" t="s">
        <v>986</v>
      </c>
      <c r="T285" s="290">
        <v>104</v>
      </c>
      <c r="U285" s="290">
        <v>65</v>
      </c>
      <c r="V285" s="290" t="s">
        <v>986</v>
      </c>
      <c r="W285" s="295" t="s">
        <v>73</v>
      </c>
    </row>
    <row r="286" spans="1:23" s="290" customFormat="1" ht="9.75" customHeight="1" x14ac:dyDescent="0.15">
      <c r="A286" s="560" t="s">
        <v>652</v>
      </c>
      <c r="B286" s="294">
        <v>40</v>
      </c>
      <c r="C286" s="293">
        <v>2986</v>
      </c>
      <c r="D286" s="293" t="s">
        <v>986</v>
      </c>
      <c r="E286" s="293">
        <v>306</v>
      </c>
      <c r="F286" s="293" t="s">
        <v>986</v>
      </c>
      <c r="G286" s="293" t="s">
        <v>986</v>
      </c>
      <c r="H286" s="293">
        <v>294</v>
      </c>
      <c r="I286" s="293">
        <v>12</v>
      </c>
      <c r="J286" s="293" t="s">
        <v>986</v>
      </c>
      <c r="K286" s="293">
        <v>1266</v>
      </c>
      <c r="L286" s="293" t="s">
        <v>986</v>
      </c>
      <c r="M286" s="293">
        <v>1266</v>
      </c>
      <c r="N286" s="293" t="s">
        <v>986</v>
      </c>
      <c r="O286" s="293" t="s">
        <v>986</v>
      </c>
      <c r="P286" s="293">
        <v>991</v>
      </c>
      <c r="Q286" s="293">
        <v>991</v>
      </c>
      <c r="R286" s="293">
        <v>991</v>
      </c>
      <c r="S286" s="293" t="s">
        <v>986</v>
      </c>
      <c r="T286" s="293">
        <v>145</v>
      </c>
      <c r="U286" s="293">
        <v>39</v>
      </c>
      <c r="V286" s="293" t="s">
        <v>986</v>
      </c>
      <c r="W286" s="291" t="s">
        <v>74</v>
      </c>
    </row>
    <row r="287" spans="1:23" ht="12" customHeight="1" x14ac:dyDescent="0.15"/>
    <row r="288" spans="1:23" ht="12" customHeight="1" x14ac:dyDescent="0.15"/>
    <row r="289" spans="1:23" ht="12" customHeight="1" x14ac:dyDescent="0.15">
      <c r="K289" s="299" t="s">
        <v>93</v>
      </c>
      <c r="V289" s="302" t="s">
        <v>858</v>
      </c>
    </row>
    <row r="290" spans="1:23" s="297" customFormat="1" ht="21" customHeight="1" x14ac:dyDescent="0.15">
      <c r="A290" s="1053" t="s">
        <v>172</v>
      </c>
      <c r="B290" s="832" t="s">
        <v>325</v>
      </c>
      <c r="C290" s="827"/>
      <c r="D290" s="827"/>
      <c r="E290" s="827"/>
      <c r="F290" s="827"/>
      <c r="G290" s="827"/>
      <c r="H290" s="827"/>
      <c r="I290" s="827"/>
      <c r="J290" s="834"/>
      <c r="K290" s="826" t="s">
        <v>866</v>
      </c>
      <c r="L290" s="827"/>
      <c r="M290" s="827"/>
      <c r="N290" s="827"/>
      <c r="O290" s="827"/>
      <c r="P290" s="827"/>
      <c r="Q290" s="827"/>
      <c r="R290" s="827"/>
      <c r="S290" s="827"/>
      <c r="T290" s="827"/>
      <c r="U290" s="827"/>
      <c r="V290" s="827"/>
      <c r="W290" s="1056" t="s">
        <v>79</v>
      </c>
    </row>
    <row r="291" spans="1:23" s="297" customFormat="1" ht="21" customHeight="1" x14ac:dyDescent="0.15">
      <c r="A291" s="1054"/>
      <c r="B291" s="832" t="s">
        <v>260</v>
      </c>
      <c r="C291" s="834"/>
      <c r="D291" s="826" t="s">
        <v>259</v>
      </c>
      <c r="E291" s="827"/>
      <c r="F291" s="827"/>
      <c r="G291" s="827"/>
      <c r="H291" s="834"/>
      <c r="I291" s="826" t="s">
        <v>258</v>
      </c>
      <c r="J291" s="834"/>
      <c r="K291" s="1061" t="s">
        <v>1044</v>
      </c>
      <c r="L291" s="826" t="s">
        <v>265</v>
      </c>
      <c r="M291" s="827"/>
      <c r="N291" s="827"/>
      <c r="O291" s="827"/>
      <c r="P291" s="827"/>
      <c r="Q291" s="834"/>
      <c r="R291" s="826" t="s">
        <v>259</v>
      </c>
      <c r="S291" s="834"/>
      <c r="T291" s="826" t="s">
        <v>258</v>
      </c>
      <c r="U291" s="827"/>
      <c r="V291" s="827"/>
      <c r="W291" s="1057"/>
    </row>
    <row r="292" spans="1:23" s="297" customFormat="1" ht="52.5" customHeight="1" x14ac:dyDescent="0.15">
      <c r="A292" s="1055"/>
      <c r="B292" s="298" t="s">
        <v>276</v>
      </c>
      <c r="C292" s="298" t="s">
        <v>255</v>
      </c>
      <c r="D292" s="696" t="s">
        <v>101</v>
      </c>
      <c r="E292" s="301" t="s">
        <v>854</v>
      </c>
      <c r="F292" s="298" t="s">
        <v>1045</v>
      </c>
      <c r="G292" s="298" t="s">
        <v>275</v>
      </c>
      <c r="H292" s="298" t="s">
        <v>1046</v>
      </c>
      <c r="I292" s="696" t="s">
        <v>855</v>
      </c>
      <c r="J292" s="298" t="s">
        <v>244</v>
      </c>
      <c r="K292" s="1062"/>
      <c r="L292" s="696" t="s">
        <v>851</v>
      </c>
      <c r="M292" s="298" t="s">
        <v>852</v>
      </c>
      <c r="N292" s="298" t="s">
        <v>271</v>
      </c>
      <c r="O292" s="298" t="s">
        <v>276</v>
      </c>
      <c r="P292" s="298" t="s">
        <v>255</v>
      </c>
      <c r="Q292" s="298" t="s">
        <v>254</v>
      </c>
      <c r="R292" s="696" t="s">
        <v>101</v>
      </c>
      <c r="S292" s="301" t="s">
        <v>854</v>
      </c>
      <c r="T292" s="696" t="s">
        <v>855</v>
      </c>
      <c r="U292" s="298" t="s">
        <v>273</v>
      </c>
      <c r="V292" s="300" t="s">
        <v>244</v>
      </c>
      <c r="W292" s="1058"/>
    </row>
    <row r="293" spans="1:23" s="290" customFormat="1" ht="9.75" customHeight="1" x14ac:dyDescent="0.15">
      <c r="A293" s="828" t="s">
        <v>985</v>
      </c>
      <c r="B293" s="829">
        <v>825</v>
      </c>
      <c r="C293" s="830">
        <v>25</v>
      </c>
      <c r="D293" s="830">
        <v>168</v>
      </c>
      <c r="E293" s="830">
        <v>119</v>
      </c>
      <c r="F293" s="830" t="s">
        <v>986</v>
      </c>
      <c r="G293" s="830">
        <v>49</v>
      </c>
      <c r="H293" s="830" t="s">
        <v>986</v>
      </c>
      <c r="I293" s="830">
        <v>791</v>
      </c>
      <c r="J293" s="830">
        <v>791</v>
      </c>
      <c r="K293" s="830">
        <v>11871</v>
      </c>
      <c r="L293" s="830">
        <v>7571</v>
      </c>
      <c r="M293" s="830" t="s">
        <v>986</v>
      </c>
      <c r="N293" s="830" t="s">
        <v>986</v>
      </c>
      <c r="O293" s="830" t="s">
        <v>986</v>
      </c>
      <c r="P293" s="830" t="s">
        <v>986</v>
      </c>
      <c r="Q293" s="830">
        <v>7571</v>
      </c>
      <c r="R293" s="830" t="s">
        <v>986</v>
      </c>
      <c r="S293" s="830" t="s">
        <v>986</v>
      </c>
      <c r="T293" s="830">
        <v>4300</v>
      </c>
      <c r="U293" s="830" t="s">
        <v>986</v>
      </c>
      <c r="V293" s="830">
        <v>4300</v>
      </c>
      <c r="W293" s="831" t="s">
        <v>485</v>
      </c>
    </row>
    <row r="294" spans="1:23" s="290" customFormat="1" ht="9.75" customHeight="1" x14ac:dyDescent="0.15">
      <c r="A294" s="559" t="s">
        <v>634</v>
      </c>
      <c r="B294" s="290">
        <v>835</v>
      </c>
      <c r="C294" s="290">
        <v>129</v>
      </c>
      <c r="D294" s="290">
        <v>195</v>
      </c>
      <c r="E294" s="290">
        <v>90</v>
      </c>
      <c r="F294" s="290" t="s">
        <v>986</v>
      </c>
      <c r="G294" s="290">
        <v>105</v>
      </c>
      <c r="H294" s="290" t="s">
        <v>986</v>
      </c>
      <c r="I294" s="290">
        <v>570</v>
      </c>
      <c r="J294" s="290">
        <v>570</v>
      </c>
      <c r="K294" s="290">
        <v>9153</v>
      </c>
      <c r="L294" s="290">
        <v>5737</v>
      </c>
      <c r="M294" s="290">
        <v>1034</v>
      </c>
      <c r="N294" s="290" t="s">
        <v>986</v>
      </c>
      <c r="O294" s="290">
        <v>483</v>
      </c>
      <c r="P294" s="290" t="s">
        <v>986</v>
      </c>
      <c r="Q294" s="290">
        <v>4220</v>
      </c>
      <c r="R294" s="290" t="s">
        <v>986</v>
      </c>
      <c r="S294" s="290" t="s">
        <v>986</v>
      </c>
      <c r="T294" s="290">
        <v>3416</v>
      </c>
      <c r="U294" s="290" t="s">
        <v>986</v>
      </c>
      <c r="V294" s="290">
        <v>3416</v>
      </c>
      <c r="W294" s="295" t="s">
        <v>588</v>
      </c>
    </row>
    <row r="295" spans="1:23" s="290" customFormat="1" ht="9.75" customHeight="1" x14ac:dyDescent="0.15">
      <c r="A295" s="559" t="s">
        <v>635</v>
      </c>
      <c r="B295" s="290">
        <v>758</v>
      </c>
      <c r="C295" s="290">
        <v>115</v>
      </c>
      <c r="D295" s="290">
        <v>200</v>
      </c>
      <c r="E295" s="290">
        <v>126</v>
      </c>
      <c r="F295" s="290" t="s">
        <v>986</v>
      </c>
      <c r="G295" s="290">
        <v>74</v>
      </c>
      <c r="H295" s="290" t="s">
        <v>986</v>
      </c>
      <c r="I295" s="290">
        <v>727</v>
      </c>
      <c r="J295" s="290">
        <v>727</v>
      </c>
      <c r="K295" s="290">
        <v>12043</v>
      </c>
      <c r="L295" s="290">
        <v>8883</v>
      </c>
      <c r="M295" s="290" t="s">
        <v>986</v>
      </c>
      <c r="N295" s="290" t="s">
        <v>986</v>
      </c>
      <c r="O295" s="290" t="s">
        <v>986</v>
      </c>
      <c r="P295" s="290" t="s">
        <v>986</v>
      </c>
      <c r="Q295" s="290">
        <v>8883</v>
      </c>
      <c r="R295" s="290" t="s">
        <v>986</v>
      </c>
      <c r="S295" s="290" t="s">
        <v>986</v>
      </c>
      <c r="T295" s="290">
        <v>3160</v>
      </c>
      <c r="U295" s="290">
        <v>782</v>
      </c>
      <c r="V295" s="290">
        <v>2378</v>
      </c>
      <c r="W295" s="295" t="s">
        <v>636</v>
      </c>
    </row>
    <row r="296" spans="1:23" s="290" customFormat="1" ht="9.75" customHeight="1" x14ac:dyDescent="0.15">
      <c r="A296" s="559" t="s">
        <v>774</v>
      </c>
      <c r="B296" s="838">
        <v>1001</v>
      </c>
      <c r="C296" s="290">
        <v>70</v>
      </c>
      <c r="D296" s="838">
        <v>123</v>
      </c>
      <c r="E296" s="290">
        <v>54</v>
      </c>
      <c r="F296" s="290" t="s">
        <v>986</v>
      </c>
      <c r="G296" s="838">
        <v>69</v>
      </c>
      <c r="H296" s="290" t="s">
        <v>986</v>
      </c>
      <c r="I296" s="290">
        <v>854</v>
      </c>
      <c r="J296" s="290">
        <v>854</v>
      </c>
      <c r="K296" s="290">
        <v>14830</v>
      </c>
      <c r="L296" s="290">
        <v>11690</v>
      </c>
      <c r="M296" s="290">
        <v>1502</v>
      </c>
      <c r="N296" s="290">
        <v>3338</v>
      </c>
      <c r="O296" s="290" t="s">
        <v>986</v>
      </c>
      <c r="P296" s="290" t="s">
        <v>986</v>
      </c>
      <c r="Q296" s="290">
        <v>6850</v>
      </c>
      <c r="R296" s="290" t="s">
        <v>986</v>
      </c>
      <c r="S296" s="290" t="s">
        <v>986</v>
      </c>
      <c r="T296" s="290">
        <v>3140</v>
      </c>
      <c r="U296" s="290" t="s">
        <v>986</v>
      </c>
      <c r="V296" s="290">
        <v>3140</v>
      </c>
      <c r="W296" s="295" t="s">
        <v>775</v>
      </c>
    </row>
    <row r="297" spans="1:23" s="290" customFormat="1" ht="9.75" customHeight="1" x14ac:dyDescent="0.15">
      <c r="A297" s="559" t="s">
        <v>987</v>
      </c>
      <c r="B297" s="290">
        <v>970</v>
      </c>
      <c r="C297" s="290">
        <v>30</v>
      </c>
      <c r="D297" s="290">
        <v>153</v>
      </c>
      <c r="E297" s="290">
        <v>108</v>
      </c>
      <c r="F297" s="290" t="s">
        <v>986</v>
      </c>
      <c r="G297" s="290">
        <v>45</v>
      </c>
      <c r="H297" s="290" t="s">
        <v>986</v>
      </c>
      <c r="I297" s="290">
        <v>737</v>
      </c>
      <c r="J297" s="290">
        <v>737</v>
      </c>
      <c r="K297" s="290">
        <v>18789</v>
      </c>
      <c r="L297" s="290">
        <v>15998</v>
      </c>
      <c r="M297" s="290">
        <v>12557</v>
      </c>
      <c r="N297" s="290" t="s">
        <v>986</v>
      </c>
      <c r="O297" s="290">
        <v>447</v>
      </c>
      <c r="P297" s="290">
        <v>1518</v>
      </c>
      <c r="Q297" s="290">
        <v>1476</v>
      </c>
      <c r="R297" s="290">
        <v>20</v>
      </c>
      <c r="S297" s="290">
        <v>20</v>
      </c>
      <c r="T297" s="290">
        <v>2771</v>
      </c>
      <c r="U297" s="290" t="s">
        <v>986</v>
      </c>
      <c r="V297" s="290">
        <v>2771</v>
      </c>
      <c r="W297" s="295" t="s">
        <v>988</v>
      </c>
    </row>
    <row r="298" spans="1:23" s="290" customFormat="1" ht="6.75" customHeight="1" x14ac:dyDescent="0.15">
      <c r="A298" s="578"/>
      <c r="W298" s="295"/>
    </row>
    <row r="299" spans="1:23" s="290" customFormat="1" ht="9.75" customHeight="1" x14ac:dyDescent="0.15">
      <c r="A299" s="559" t="s">
        <v>989</v>
      </c>
      <c r="B299" s="290">
        <v>1092</v>
      </c>
      <c r="C299" s="290">
        <v>71</v>
      </c>
      <c r="D299" s="290">
        <v>124</v>
      </c>
      <c r="E299" s="290">
        <v>72</v>
      </c>
      <c r="F299" s="290" t="s">
        <v>986</v>
      </c>
      <c r="G299" s="290">
        <v>52</v>
      </c>
      <c r="H299" s="290" t="s">
        <v>986</v>
      </c>
      <c r="I299" s="290">
        <v>789</v>
      </c>
      <c r="J299" s="290">
        <v>789</v>
      </c>
      <c r="K299" s="290">
        <v>14289</v>
      </c>
      <c r="L299" s="290">
        <v>11297</v>
      </c>
      <c r="M299" s="290">
        <v>1747</v>
      </c>
      <c r="N299" s="290">
        <v>3338</v>
      </c>
      <c r="O299" s="290">
        <v>96</v>
      </c>
      <c r="P299" s="290" t="s">
        <v>986</v>
      </c>
      <c r="Q299" s="290">
        <v>6116</v>
      </c>
      <c r="R299" s="290" t="s">
        <v>986</v>
      </c>
      <c r="S299" s="290" t="s">
        <v>986</v>
      </c>
      <c r="T299" s="290">
        <v>2992</v>
      </c>
      <c r="U299" s="290" t="s">
        <v>986</v>
      </c>
      <c r="V299" s="290">
        <v>2992</v>
      </c>
      <c r="W299" s="295" t="s">
        <v>776</v>
      </c>
    </row>
    <row r="300" spans="1:23" s="290" customFormat="1" ht="9.75" customHeight="1" x14ac:dyDescent="0.15">
      <c r="A300" s="559" t="s">
        <v>990</v>
      </c>
      <c r="B300" s="290">
        <v>875</v>
      </c>
      <c r="C300" s="290">
        <v>6</v>
      </c>
      <c r="D300" s="290">
        <v>104</v>
      </c>
      <c r="E300" s="290">
        <v>72</v>
      </c>
      <c r="F300" s="290">
        <v>1</v>
      </c>
      <c r="G300" s="290">
        <v>28</v>
      </c>
      <c r="H300" s="290">
        <v>3</v>
      </c>
      <c r="I300" s="290">
        <v>753</v>
      </c>
      <c r="J300" s="290">
        <v>753</v>
      </c>
      <c r="K300" s="290">
        <v>21626</v>
      </c>
      <c r="L300" s="290">
        <v>18845</v>
      </c>
      <c r="M300" s="290">
        <v>15019</v>
      </c>
      <c r="N300" s="290" t="s">
        <v>986</v>
      </c>
      <c r="O300" s="290">
        <v>351</v>
      </c>
      <c r="P300" s="290">
        <v>2513</v>
      </c>
      <c r="Q300" s="290">
        <v>962</v>
      </c>
      <c r="R300" s="290">
        <v>20</v>
      </c>
      <c r="S300" s="290">
        <v>20</v>
      </c>
      <c r="T300" s="290">
        <v>2761</v>
      </c>
      <c r="U300" s="290" t="s">
        <v>986</v>
      </c>
      <c r="V300" s="290">
        <v>2761</v>
      </c>
      <c r="W300" s="295" t="s">
        <v>991</v>
      </c>
    </row>
    <row r="301" spans="1:23" s="290" customFormat="1" ht="6.75" customHeight="1" x14ac:dyDescent="0.15">
      <c r="A301" s="578"/>
      <c r="W301" s="295"/>
    </row>
    <row r="302" spans="1:23" s="290" customFormat="1" ht="9.75" customHeight="1" x14ac:dyDescent="0.15">
      <c r="A302" s="559" t="s">
        <v>992</v>
      </c>
      <c r="B302" s="290">
        <v>286</v>
      </c>
      <c r="C302" s="290">
        <v>24</v>
      </c>
      <c r="D302" s="290">
        <v>74</v>
      </c>
      <c r="E302" s="290">
        <v>54</v>
      </c>
      <c r="F302" s="290" t="s">
        <v>986</v>
      </c>
      <c r="G302" s="290">
        <v>20</v>
      </c>
      <c r="H302" s="290" t="s">
        <v>986</v>
      </c>
      <c r="I302" s="290">
        <v>127</v>
      </c>
      <c r="J302" s="290">
        <v>127</v>
      </c>
      <c r="K302" s="290">
        <v>1646</v>
      </c>
      <c r="L302" s="290">
        <v>855</v>
      </c>
      <c r="M302" s="290">
        <v>245</v>
      </c>
      <c r="N302" s="290" t="s">
        <v>986</v>
      </c>
      <c r="O302" s="290">
        <v>96</v>
      </c>
      <c r="P302" s="290" t="s">
        <v>986</v>
      </c>
      <c r="Q302" s="290">
        <v>514</v>
      </c>
      <c r="R302" s="290" t="s">
        <v>986</v>
      </c>
      <c r="S302" s="290" t="s">
        <v>986</v>
      </c>
      <c r="T302" s="290">
        <v>791</v>
      </c>
      <c r="U302" s="290" t="s">
        <v>986</v>
      </c>
      <c r="V302" s="290">
        <v>791</v>
      </c>
      <c r="W302" s="295" t="s">
        <v>777</v>
      </c>
    </row>
    <row r="303" spans="1:23" s="290" customFormat="1" ht="9.75" customHeight="1" x14ac:dyDescent="0.15">
      <c r="A303" s="559" t="s">
        <v>637</v>
      </c>
      <c r="B303" s="290">
        <v>225</v>
      </c>
      <c r="C303" s="290">
        <v>5</v>
      </c>
      <c r="D303" s="290">
        <v>29</v>
      </c>
      <c r="E303" s="290">
        <v>18</v>
      </c>
      <c r="F303" s="290" t="s">
        <v>986</v>
      </c>
      <c r="G303" s="290">
        <v>11</v>
      </c>
      <c r="H303" s="290" t="s">
        <v>986</v>
      </c>
      <c r="I303" s="290">
        <v>227</v>
      </c>
      <c r="J303" s="290">
        <v>227</v>
      </c>
      <c r="K303" s="290">
        <v>4961</v>
      </c>
      <c r="L303" s="290">
        <v>4299</v>
      </c>
      <c r="M303" s="290">
        <v>3444</v>
      </c>
      <c r="N303" s="290" t="s">
        <v>986</v>
      </c>
      <c r="O303" s="290">
        <v>351</v>
      </c>
      <c r="P303" s="290">
        <v>504</v>
      </c>
      <c r="Q303" s="290" t="s">
        <v>986</v>
      </c>
      <c r="R303" s="290" t="s">
        <v>986</v>
      </c>
      <c r="S303" s="290" t="s">
        <v>986</v>
      </c>
      <c r="T303" s="290">
        <v>662</v>
      </c>
      <c r="U303" s="290" t="s">
        <v>986</v>
      </c>
      <c r="V303" s="290">
        <v>662</v>
      </c>
      <c r="W303" s="295" t="s">
        <v>85</v>
      </c>
    </row>
    <row r="304" spans="1:23" s="290" customFormat="1" ht="9.75" customHeight="1" x14ac:dyDescent="0.15">
      <c r="A304" s="559" t="s">
        <v>638</v>
      </c>
      <c r="B304" s="290">
        <v>264</v>
      </c>
      <c r="C304" s="290">
        <v>1</v>
      </c>
      <c r="D304" s="290">
        <v>39</v>
      </c>
      <c r="E304" s="290">
        <v>36</v>
      </c>
      <c r="F304" s="290" t="s">
        <v>986</v>
      </c>
      <c r="G304" s="290">
        <v>3</v>
      </c>
      <c r="H304" s="290" t="s">
        <v>986</v>
      </c>
      <c r="I304" s="290">
        <v>182</v>
      </c>
      <c r="J304" s="290">
        <v>182</v>
      </c>
      <c r="K304" s="290">
        <v>5993</v>
      </c>
      <c r="L304" s="290">
        <v>5700</v>
      </c>
      <c r="M304" s="290">
        <v>5187</v>
      </c>
      <c r="N304" s="290" t="s">
        <v>986</v>
      </c>
      <c r="O304" s="290" t="s">
        <v>986</v>
      </c>
      <c r="P304" s="290">
        <v>513</v>
      </c>
      <c r="Q304" s="290" t="s">
        <v>986</v>
      </c>
      <c r="R304" s="290" t="s">
        <v>986</v>
      </c>
      <c r="S304" s="290" t="s">
        <v>986</v>
      </c>
      <c r="T304" s="290">
        <v>293</v>
      </c>
      <c r="U304" s="290" t="s">
        <v>986</v>
      </c>
      <c r="V304" s="290">
        <v>293</v>
      </c>
      <c r="W304" s="295" t="s">
        <v>86</v>
      </c>
    </row>
    <row r="305" spans="1:23" s="290" customFormat="1" ht="9.75" customHeight="1" x14ac:dyDescent="0.15">
      <c r="A305" s="559" t="s">
        <v>639</v>
      </c>
      <c r="B305" s="290">
        <v>195</v>
      </c>
      <c r="C305" s="290" t="s">
        <v>986</v>
      </c>
      <c r="D305" s="290">
        <v>11</v>
      </c>
      <c r="E305" s="290" t="s">
        <v>986</v>
      </c>
      <c r="F305" s="290" t="s">
        <v>986</v>
      </c>
      <c r="G305" s="290">
        <v>11</v>
      </c>
      <c r="H305" s="290" t="s">
        <v>986</v>
      </c>
      <c r="I305" s="290">
        <v>201</v>
      </c>
      <c r="J305" s="290">
        <v>201</v>
      </c>
      <c r="K305" s="290">
        <v>6189</v>
      </c>
      <c r="L305" s="290">
        <v>5144</v>
      </c>
      <c r="M305" s="290">
        <v>3681</v>
      </c>
      <c r="N305" s="290" t="s">
        <v>986</v>
      </c>
      <c r="O305" s="290" t="s">
        <v>986</v>
      </c>
      <c r="P305" s="290">
        <v>501</v>
      </c>
      <c r="Q305" s="290">
        <v>962</v>
      </c>
      <c r="R305" s="290">
        <v>20</v>
      </c>
      <c r="S305" s="290">
        <v>20</v>
      </c>
      <c r="T305" s="290">
        <v>1025</v>
      </c>
      <c r="U305" s="290" t="s">
        <v>986</v>
      </c>
      <c r="V305" s="290">
        <v>1025</v>
      </c>
      <c r="W305" s="295" t="s">
        <v>87</v>
      </c>
    </row>
    <row r="306" spans="1:23" s="290" customFormat="1" ht="9.75" customHeight="1" x14ac:dyDescent="0.15">
      <c r="A306" s="559" t="s">
        <v>993</v>
      </c>
      <c r="B306" s="290">
        <v>191</v>
      </c>
      <c r="C306" s="290" t="s">
        <v>986</v>
      </c>
      <c r="D306" s="290">
        <v>25</v>
      </c>
      <c r="E306" s="290">
        <v>18</v>
      </c>
      <c r="F306" s="290">
        <v>1</v>
      </c>
      <c r="G306" s="290">
        <v>3</v>
      </c>
      <c r="H306" s="290">
        <v>3</v>
      </c>
      <c r="I306" s="290">
        <v>143</v>
      </c>
      <c r="J306" s="290">
        <v>143</v>
      </c>
      <c r="K306" s="290">
        <v>4483</v>
      </c>
      <c r="L306" s="290">
        <v>3702</v>
      </c>
      <c r="M306" s="290">
        <v>2707</v>
      </c>
      <c r="N306" s="290" t="s">
        <v>986</v>
      </c>
      <c r="O306" s="290" t="s">
        <v>986</v>
      </c>
      <c r="P306" s="290">
        <v>995</v>
      </c>
      <c r="Q306" s="290" t="s">
        <v>986</v>
      </c>
      <c r="R306" s="290" t="s">
        <v>986</v>
      </c>
      <c r="S306" s="290" t="s">
        <v>986</v>
      </c>
      <c r="T306" s="290">
        <v>781</v>
      </c>
      <c r="U306" s="290" t="s">
        <v>986</v>
      </c>
      <c r="V306" s="290">
        <v>781</v>
      </c>
      <c r="W306" s="295" t="s">
        <v>994</v>
      </c>
    </row>
    <row r="307" spans="1:23" s="290" customFormat="1" ht="6.75" customHeight="1" x14ac:dyDescent="0.15">
      <c r="A307" s="578"/>
      <c r="W307" s="295"/>
    </row>
    <row r="308" spans="1:23" s="290" customFormat="1" ht="9.75" customHeight="1" x14ac:dyDescent="0.15">
      <c r="A308" s="559" t="s">
        <v>995</v>
      </c>
      <c r="B308" s="290">
        <v>130</v>
      </c>
      <c r="C308" s="290">
        <v>14</v>
      </c>
      <c r="D308" s="290">
        <v>23</v>
      </c>
      <c r="E308" s="290">
        <v>18</v>
      </c>
      <c r="F308" s="290" t="s">
        <v>986</v>
      </c>
      <c r="G308" s="290">
        <v>5</v>
      </c>
      <c r="H308" s="290" t="s">
        <v>986</v>
      </c>
      <c r="I308" s="290">
        <v>58</v>
      </c>
      <c r="J308" s="290">
        <v>58</v>
      </c>
      <c r="K308" s="290">
        <v>552</v>
      </c>
      <c r="L308" s="290">
        <v>273</v>
      </c>
      <c r="M308" s="290" t="s">
        <v>986</v>
      </c>
      <c r="N308" s="290" t="s">
        <v>986</v>
      </c>
      <c r="O308" s="290" t="s">
        <v>986</v>
      </c>
      <c r="P308" s="290" t="s">
        <v>986</v>
      </c>
      <c r="Q308" s="290">
        <v>273</v>
      </c>
      <c r="R308" s="290" t="s">
        <v>986</v>
      </c>
      <c r="S308" s="290" t="s">
        <v>986</v>
      </c>
      <c r="T308" s="290">
        <v>279</v>
      </c>
      <c r="U308" s="290" t="s">
        <v>986</v>
      </c>
      <c r="V308" s="290">
        <v>279</v>
      </c>
      <c r="W308" s="295" t="s">
        <v>778</v>
      </c>
    </row>
    <row r="309" spans="1:23" s="290" customFormat="1" ht="9.75" customHeight="1" x14ac:dyDescent="0.15">
      <c r="A309" s="559" t="s">
        <v>640</v>
      </c>
      <c r="B309" s="290">
        <v>104</v>
      </c>
      <c r="C309" s="290">
        <v>7</v>
      </c>
      <c r="D309" s="290">
        <v>45</v>
      </c>
      <c r="E309" s="290">
        <v>36</v>
      </c>
      <c r="F309" s="290" t="s">
        <v>986</v>
      </c>
      <c r="G309" s="290">
        <v>9</v>
      </c>
      <c r="H309" s="290" t="s">
        <v>986</v>
      </c>
      <c r="I309" s="290" t="s">
        <v>986</v>
      </c>
      <c r="J309" s="290" t="s">
        <v>986</v>
      </c>
      <c r="K309" s="290">
        <v>275</v>
      </c>
      <c r="L309" s="290">
        <v>18</v>
      </c>
      <c r="M309" s="290" t="s">
        <v>986</v>
      </c>
      <c r="N309" s="290" t="s">
        <v>986</v>
      </c>
      <c r="O309" s="290">
        <v>18</v>
      </c>
      <c r="P309" s="290" t="s">
        <v>986</v>
      </c>
      <c r="Q309" s="290" t="s">
        <v>986</v>
      </c>
      <c r="R309" s="290" t="s">
        <v>986</v>
      </c>
      <c r="S309" s="290" t="s">
        <v>986</v>
      </c>
      <c r="T309" s="290">
        <v>257</v>
      </c>
      <c r="U309" s="290" t="s">
        <v>986</v>
      </c>
      <c r="V309" s="290">
        <v>257</v>
      </c>
      <c r="W309" s="295" t="s">
        <v>73</v>
      </c>
    </row>
    <row r="310" spans="1:23" s="290" customFormat="1" ht="9.75" customHeight="1" x14ac:dyDescent="0.15">
      <c r="A310" s="559" t="s">
        <v>641</v>
      </c>
      <c r="B310" s="290">
        <v>52</v>
      </c>
      <c r="C310" s="290">
        <v>3</v>
      </c>
      <c r="D310" s="290">
        <v>6</v>
      </c>
      <c r="E310" s="290" t="s">
        <v>986</v>
      </c>
      <c r="F310" s="290" t="s">
        <v>986</v>
      </c>
      <c r="G310" s="290">
        <v>6</v>
      </c>
      <c r="H310" s="290" t="s">
        <v>986</v>
      </c>
      <c r="I310" s="290">
        <v>69</v>
      </c>
      <c r="J310" s="290">
        <v>69</v>
      </c>
      <c r="K310" s="290">
        <v>819</v>
      </c>
      <c r="L310" s="290">
        <v>564</v>
      </c>
      <c r="M310" s="290">
        <v>245</v>
      </c>
      <c r="N310" s="290" t="s">
        <v>986</v>
      </c>
      <c r="O310" s="290">
        <v>78</v>
      </c>
      <c r="P310" s="290" t="s">
        <v>986</v>
      </c>
      <c r="Q310" s="290">
        <v>241</v>
      </c>
      <c r="R310" s="290" t="s">
        <v>986</v>
      </c>
      <c r="S310" s="290" t="s">
        <v>986</v>
      </c>
      <c r="T310" s="290">
        <v>255</v>
      </c>
      <c r="U310" s="290" t="s">
        <v>986</v>
      </c>
      <c r="V310" s="290">
        <v>255</v>
      </c>
      <c r="W310" s="295" t="s">
        <v>74</v>
      </c>
    </row>
    <row r="311" spans="1:23" s="290" customFormat="1" ht="9.75" customHeight="1" x14ac:dyDescent="0.15">
      <c r="A311" s="559" t="s">
        <v>642</v>
      </c>
      <c r="B311" s="290">
        <v>43</v>
      </c>
      <c r="C311" s="290">
        <v>2</v>
      </c>
      <c r="D311" s="290">
        <v>23</v>
      </c>
      <c r="E311" s="290">
        <v>18</v>
      </c>
      <c r="F311" s="290" t="s">
        <v>986</v>
      </c>
      <c r="G311" s="290">
        <v>5</v>
      </c>
      <c r="H311" s="290" t="s">
        <v>986</v>
      </c>
      <c r="I311" s="290">
        <v>101</v>
      </c>
      <c r="J311" s="290">
        <v>101</v>
      </c>
      <c r="K311" s="290">
        <v>3602</v>
      </c>
      <c r="L311" s="290">
        <v>3306</v>
      </c>
      <c r="M311" s="290">
        <v>3111</v>
      </c>
      <c r="N311" s="290" t="s">
        <v>986</v>
      </c>
      <c r="O311" s="290">
        <v>195</v>
      </c>
      <c r="P311" s="290" t="s">
        <v>986</v>
      </c>
      <c r="Q311" s="290" t="s">
        <v>986</v>
      </c>
      <c r="R311" s="290" t="s">
        <v>986</v>
      </c>
      <c r="S311" s="290" t="s">
        <v>986</v>
      </c>
      <c r="T311" s="290">
        <v>296</v>
      </c>
      <c r="U311" s="290" t="s">
        <v>986</v>
      </c>
      <c r="V311" s="290">
        <v>296</v>
      </c>
      <c r="W311" s="295" t="s">
        <v>75</v>
      </c>
    </row>
    <row r="312" spans="1:23" s="290" customFormat="1" ht="9.75" customHeight="1" x14ac:dyDescent="0.15">
      <c r="A312" s="559" t="s">
        <v>643</v>
      </c>
      <c r="B312" s="290">
        <v>65</v>
      </c>
      <c r="C312" s="290">
        <v>3</v>
      </c>
      <c r="D312" s="290">
        <v>2</v>
      </c>
      <c r="E312" s="290" t="s">
        <v>986</v>
      </c>
      <c r="F312" s="290" t="s">
        <v>986</v>
      </c>
      <c r="G312" s="290">
        <v>2</v>
      </c>
      <c r="H312" s="290" t="s">
        <v>986</v>
      </c>
      <c r="I312" s="290">
        <v>54</v>
      </c>
      <c r="J312" s="290">
        <v>54</v>
      </c>
      <c r="K312" s="290">
        <v>1048</v>
      </c>
      <c r="L312" s="290">
        <v>735</v>
      </c>
      <c r="M312" s="290">
        <v>75</v>
      </c>
      <c r="N312" s="290" t="s">
        <v>986</v>
      </c>
      <c r="O312" s="290">
        <v>156</v>
      </c>
      <c r="P312" s="290">
        <v>504</v>
      </c>
      <c r="Q312" s="290" t="s">
        <v>986</v>
      </c>
      <c r="R312" s="290" t="s">
        <v>986</v>
      </c>
      <c r="S312" s="290" t="s">
        <v>986</v>
      </c>
      <c r="T312" s="290">
        <v>313</v>
      </c>
      <c r="U312" s="290" t="s">
        <v>986</v>
      </c>
      <c r="V312" s="290">
        <v>313</v>
      </c>
      <c r="W312" s="295" t="s">
        <v>88</v>
      </c>
    </row>
    <row r="313" spans="1:23" s="290" customFormat="1" ht="9.75" customHeight="1" x14ac:dyDescent="0.15">
      <c r="A313" s="559" t="s">
        <v>644</v>
      </c>
      <c r="B313" s="290">
        <v>117</v>
      </c>
      <c r="C313" s="290" t="s">
        <v>986</v>
      </c>
      <c r="D313" s="290">
        <v>4</v>
      </c>
      <c r="E313" s="290" t="s">
        <v>986</v>
      </c>
      <c r="F313" s="290" t="s">
        <v>986</v>
      </c>
      <c r="G313" s="290">
        <v>4</v>
      </c>
      <c r="H313" s="290" t="s">
        <v>986</v>
      </c>
      <c r="I313" s="290">
        <v>72</v>
      </c>
      <c r="J313" s="290">
        <v>72</v>
      </c>
      <c r="K313" s="290">
        <v>311</v>
      </c>
      <c r="L313" s="290">
        <v>258</v>
      </c>
      <c r="M313" s="290">
        <v>258</v>
      </c>
      <c r="N313" s="290" t="s">
        <v>986</v>
      </c>
      <c r="O313" s="290" t="s">
        <v>986</v>
      </c>
      <c r="P313" s="290" t="s">
        <v>986</v>
      </c>
      <c r="Q313" s="290" t="s">
        <v>986</v>
      </c>
      <c r="R313" s="290" t="s">
        <v>986</v>
      </c>
      <c r="S313" s="290" t="s">
        <v>986</v>
      </c>
      <c r="T313" s="290">
        <v>53</v>
      </c>
      <c r="U313" s="290" t="s">
        <v>986</v>
      </c>
      <c r="V313" s="290">
        <v>53</v>
      </c>
      <c r="W313" s="295" t="s">
        <v>89</v>
      </c>
    </row>
    <row r="314" spans="1:23" s="290" customFormat="1" ht="9.75" customHeight="1" x14ac:dyDescent="0.15">
      <c r="A314" s="559" t="s">
        <v>645</v>
      </c>
      <c r="B314" s="290">
        <v>91</v>
      </c>
      <c r="C314" s="290" t="s">
        <v>986</v>
      </c>
      <c r="D314" s="290">
        <v>3</v>
      </c>
      <c r="E314" s="290" t="s">
        <v>986</v>
      </c>
      <c r="F314" s="290" t="s">
        <v>986</v>
      </c>
      <c r="G314" s="290">
        <v>3</v>
      </c>
      <c r="H314" s="290" t="s">
        <v>986</v>
      </c>
      <c r="I314" s="290">
        <v>100</v>
      </c>
      <c r="J314" s="290">
        <v>100</v>
      </c>
      <c r="K314" s="290">
        <v>1680</v>
      </c>
      <c r="L314" s="290">
        <v>1680</v>
      </c>
      <c r="M314" s="290">
        <v>1680</v>
      </c>
      <c r="N314" s="290" t="s">
        <v>986</v>
      </c>
      <c r="O314" s="290" t="s">
        <v>986</v>
      </c>
      <c r="P314" s="290" t="s">
        <v>986</v>
      </c>
      <c r="Q314" s="290" t="s">
        <v>986</v>
      </c>
      <c r="R314" s="290" t="s">
        <v>986</v>
      </c>
      <c r="S314" s="290" t="s">
        <v>986</v>
      </c>
      <c r="T314" s="290" t="s">
        <v>986</v>
      </c>
      <c r="U314" s="290" t="s">
        <v>986</v>
      </c>
      <c r="V314" s="290" t="s">
        <v>986</v>
      </c>
      <c r="W314" s="295" t="s">
        <v>90</v>
      </c>
    </row>
    <row r="315" spans="1:23" s="290" customFormat="1" ht="9.75" customHeight="1" x14ac:dyDescent="0.15">
      <c r="A315" s="559" t="s">
        <v>646</v>
      </c>
      <c r="B315" s="290">
        <v>78</v>
      </c>
      <c r="C315" s="290">
        <v>1</v>
      </c>
      <c r="D315" s="290" t="s">
        <v>986</v>
      </c>
      <c r="E315" s="290" t="s">
        <v>986</v>
      </c>
      <c r="F315" s="290" t="s">
        <v>986</v>
      </c>
      <c r="G315" s="290" t="s">
        <v>986</v>
      </c>
      <c r="H315" s="290" t="s">
        <v>986</v>
      </c>
      <c r="I315" s="290">
        <v>41</v>
      </c>
      <c r="J315" s="290">
        <v>41</v>
      </c>
      <c r="K315" s="290">
        <v>2397</v>
      </c>
      <c r="L315" s="290">
        <v>2282</v>
      </c>
      <c r="M315" s="290">
        <v>1769</v>
      </c>
      <c r="N315" s="290" t="s">
        <v>986</v>
      </c>
      <c r="O315" s="290" t="s">
        <v>986</v>
      </c>
      <c r="P315" s="290">
        <v>513</v>
      </c>
      <c r="Q315" s="290" t="s">
        <v>986</v>
      </c>
      <c r="R315" s="290" t="s">
        <v>986</v>
      </c>
      <c r="S315" s="290" t="s">
        <v>986</v>
      </c>
      <c r="T315" s="290">
        <v>115</v>
      </c>
      <c r="U315" s="290" t="s">
        <v>986</v>
      </c>
      <c r="V315" s="290">
        <v>115</v>
      </c>
      <c r="W315" s="295" t="s">
        <v>91</v>
      </c>
    </row>
    <row r="316" spans="1:23" s="290" customFormat="1" ht="9.75" customHeight="1" x14ac:dyDescent="0.15">
      <c r="A316" s="559" t="s">
        <v>647</v>
      </c>
      <c r="B316" s="290">
        <v>95</v>
      </c>
      <c r="C316" s="290" t="s">
        <v>986</v>
      </c>
      <c r="D316" s="290">
        <v>36</v>
      </c>
      <c r="E316" s="290">
        <v>36</v>
      </c>
      <c r="F316" s="290" t="s">
        <v>986</v>
      </c>
      <c r="G316" s="290" t="s">
        <v>986</v>
      </c>
      <c r="H316" s="290" t="s">
        <v>986</v>
      </c>
      <c r="I316" s="290">
        <v>41</v>
      </c>
      <c r="J316" s="290">
        <v>41</v>
      </c>
      <c r="K316" s="290">
        <v>1916</v>
      </c>
      <c r="L316" s="290">
        <v>1738</v>
      </c>
      <c r="M316" s="290">
        <v>1738</v>
      </c>
      <c r="N316" s="290" t="s">
        <v>986</v>
      </c>
      <c r="O316" s="290" t="s">
        <v>986</v>
      </c>
      <c r="P316" s="290" t="s">
        <v>986</v>
      </c>
      <c r="Q316" s="290" t="s">
        <v>986</v>
      </c>
      <c r="R316" s="290" t="s">
        <v>986</v>
      </c>
      <c r="S316" s="290" t="s">
        <v>986</v>
      </c>
      <c r="T316" s="290">
        <v>178</v>
      </c>
      <c r="U316" s="290" t="s">
        <v>986</v>
      </c>
      <c r="V316" s="290">
        <v>178</v>
      </c>
      <c r="W316" s="295" t="s">
        <v>92</v>
      </c>
    </row>
    <row r="317" spans="1:23" s="290" customFormat="1" ht="9.75" customHeight="1" x14ac:dyDescent="0.15">
      <c r="A317" s="559" t="s">
        <v>648</v>
      </c>
      <c r="B317" s="290">
        <v>65</v>
      </c>
      <c r="C317" s="290" t="s">
        <v>986</v>
      </c>
      <c r="D317" s="290">
        <v>3</v>
      </c>
      <c r="E317" s="290" t="s">
        <v>986</v>
      </c>
      <c r="F317" s="290" t="s">
        <v>986</v>
      </c>
      <c r="G317" s="290">
        <v>3</v>
      </c>
      <c r="H317" s="290" t="s">
        <v>986</v>
      </c>
      <c r="I317" s="290">
        <v>54</v>
      </c>
      <c r="J317" s="290">
        <v>54</v>
      </c>
      <c r="K317" s="290">
        <v>2007</v>
      </c>
      <c r="L317" s="290">
        <v>1740</v>
      </c>
      <c r="M317" s="290">
        <v>1740</v>
      </c>
      <c r="N317" s="290" t="s">
        <v>986</v>
      </c>
      <c r="O317" s="290" t="s">
        <v>986</v>
      </c>
      <c r="P317" s="290" t="s">
        <v>986</v>
      </c>
      <c r="Q317" s="290" t="s">
        <v>986</v>
      </c>
      <c r="R317" s="290">
        <v>20</v>
      </c>
      <c r="S317" s="290">
        <v>20</v>
      </c>
      <c r="T317" s="290">
        <v>247</v>
      </c>
      <c r="U317" s="290" t="s">
        <v>986</v>
      </c>
      <c r="V317" s="290">
        <v>247</v>
      </c>
      <c r="W317" s="295" t="s">
        <v>76</v>
      </c>
    </row>
    <row r="318" spans="1:23" s="290" customFormat="1" ht="9.75" customHeight="1" x14ac:dyDescent="0.15">
      <c r="A318" s="559" t="s">
        <v>649</v>
      </c>
      <c r="B318" s="290">
        <v>78</v>
      </c>
      <c r="C318" s="290" t="s">
        <v>986</v>
      </c>
      <c r="D318" s="290">
        <v>7</v>
      </c>
      <c r="E318" s="290" t="s">
        <v>986</v>
      </c>
      <c r="F318" s="290" t="s">
        <v>986</v>
      </c>
      <c r="G318" s="290">
        <v>7</v>
      </c>
      <c r="H318" s="290" t="s">
        <v>986</v>
      </c>
      <c r="I318" s="290">
        <v>16</v>
      </c>
      <c r="J318" s="290">
        <v>16</v>
      </c>
      <c r="K318" s="290">
        <v>1125</v>
      </c>
      <c r="L318" s="290">
        <v>711</v>
      </c>
      <c r="M318" s="290">
        <v>210</v>
      </c>
      <c r="N318" s="290" t="s">
        <v>986</v>
      </c>
      <c r="O318" s="290" t="s">
        <v>986</v>
      </c>
      <c r="P318" s="290">
        <v>501</v>
      </c>
      <c r="Q318" s="290" t="s">
        <v>986</v>
      </c>
      <c r="R318" s="290" t="s">
        <v>986</v>
      </c>
      <c r="S318" s="290" t="s">
        <v>986</v>
      </c>
      <c r="T318" s="290">
        <v>414</v>
      </c>
      <c r="U318" s="290" t="s">
        <v>986</v>
      </c>
      <c r="V318" s="290">
        <v>414</v>
      </c>
      <c r="W318" s="295" t="s">
        <v>77</v>
      </c>
    </row>
    <row r="319" spans="1:23" s="290" customFormat="1" ht="9.75" customHeight="1" x14ac:dyDescent="0.15">
      <c r="A319" s="559" t="s">
        <v>650</v>
      </c>
      <c r="B319" s="290">
        <v>52</v>
      </c>
      <c r="C319" s="290" t="s">
        <v>986</v>
      </c>
      <c r="D319" s="290">
        <v>1</v>
      </c>
      <c r="E319" s="290" t="s">
        <v>986</v>
      </c>
      <c r="F319" s="290" t="s">
        <v>986</v>
      </c>
      <c r="G319" s="290">
        <v>1</v>
      </c>
      <c r="H319" s="290" t="s">
        <v>986</v>
      </c>
      <c r="I319" s="290">
        <v>131</v>
      </c>
      <c r="J319" s="290">
        <v>131</v>
      </c>
      <c r="K319" s="290">
        <v>3057</v>
      </c>
      <c r="L319" s="290">
        <v>2693</v>
      </c>
      <c r="M319" s="290">
        <v>1731</v>
      </c>
      <c r="N319" s="290" t="s">
        <v>986</v>
      </c>
      <c r="O319" s="290" t="s">
        <v>986</v>
      </c>
      <c r="P319" s="290" t="s">
        <v>986</v>
      </c>
      <c r="Q319" s="290">
        <v>962</v>
      </c>
      <c r="R319" s="290" t="s">
        <v>986</v>
      </c>
      <c r="S319" s="290" t="s">
        <v>986</v>
      </c>
      <c r="T319" s="290">
        <v>364</v>
      </c>
      <c r="U319" s="290" t="s">
        <v>986</v>
      </c>
      <c r="V319" s="290">
        <v>364</v>
      </c>
      <c r="W319" s="295" t="s">
        <v>78</v>
      </c>
    </row>
    <row r="320" spans="1:23" s="290" customFormat="1" ht="9.75" customHeight="1" x14ac:dyDescent="0.15">
      <c r="A320" s="559" t="s">
        <v>996</v>
      </c>
      <c r="B320" s="290">
        <v>87</v>
      </c>
      <c r="C320" s="290" t="s">
        <v>986</v>
      </c>
      <c r="D320" s="290">
        <v>4</v>
      </c>
      <c r="E320" s="290" t="s">
        <v>986</v>
      </c>
      <c r="F320" s="290">
        <v>1</v>
      </c>
      <c r="G320" s="290" t="s">
        <v>986</v>
      </c>
      <c r="H320" s="290">
        <v>3</v>
      </c>
      <c r="I320" s="290">
        <v>19</v>
      </c>
      <c r="J320" s="290">
        <v>19</v>
      </c>
      <c r="K320" s="290">
        <v>884</v>
      </c>
      <c r="L320" s="290">
        <v>561</v>
      </c>
      <c r="M320" s="290">
        <v>70</v>
      </c>
      <c r="N320" s="290" t="s">
        <v>986</v>
      </c>
      <c r="O320" s="290" t="s">
        <v>986</v>
      </c>
      <c r="P320" s="290">
        <v>491</v>
      </c>
      <c r="Q320" s="290" t="s">
        <v>986</v>
      </c>
      <c r="R320" s="290" t="s">
        <v>986</v>
      </c>
      <c r="S320" s="290" t="s">
        <v>986</v>
      </c>
      <c r="T320" s="290">
        <v>323</v>
      </c>
      <c r="U320" s="290" t="s">
        <v>986</v>
      </c>
      <c r="V320" s="290">
        <v>323</v>
      </c>
      <c r="W320" s="295" t="s">
        <v>997</v>
      </c>
    </row>
    <row r="321" spans="1:23" s="290" customFormat="1" ht="9.75" customHeight="1" x14ac:dyDescent="0.15">
      <c r="A321" s="559" t="s">
        <v>651</v>
      </c>
      <c r="B321" s="290">
        <v>65</v>
      </c>
      <c r="C321" s="290" t="s">
        <v>986</v>
      </c>
      <c r="D321" s="290" t="s">
        <v>986</v>
      </c>
      <c r="E321" s="290" t="s">
        <v>986</v>
      </c>
      <c r="F321" s="290" t="s">
        <v>986</v>
      </c>
      <c r="G321" s="290" t="s">
        <v>986</v>
      </c>
      <c r="H321" s="290" t="s">
        <v>986</v>
      </c>
      <c r="I321" s="290">
        <v>39</v>
      </c>
      <c r="J321" s="290">
        <v>39</v>
      </c>
      <c r="K321" s="290">
        <v>792</v>
      </c>
      <c r="L321" s="290">
        <v>501</v>
      </c>
      <c r="M321" s="290">
        <v>501</v>
      </c>
      <c r="N321" s="290" t="s">
        <v>986</v>
      </c>
      <c r="O321" s="290" t="s">
        <v>986</v>
      </c>
      <c r="P321" s="290" t="s">
        <v>986</v>
      </c>
      <c r="Q321" s="290" t="s">
        <v>986</v>
      </c>
      <c r="R321" s="290" t="s">
        <v>986</v>
      </c>
      <c r="S321" s="290" t="s">
        <v>986</v>
      </c>
      <c r="T321" s="290">
        <v>291</v>
      </c>
      <c r="U321" s="290" t="s">
        <v>986</v>
      </c>
      <c r="V321" s="290">
        <v>291</v>
      </c>
      <c r="W321" s="295" t="s">
        <v>73</v>
      </c>
    </row>
    <row r="322" spans="1:23" s="290" customFormat="1" ht="9.75" customHeight="1" x14ac:dyDescent="0.15">
      <c r="A322" s="560" t="s">
        <v>652</v>
      </c>
      <c r="B322" s="294">
        <v>39</v>
      </c>
      <c r="C322" s="293" t="s">
        <v>986</v>
      </c>
      <c r="D322" s="293">
        <v>21</v>
      </c>
      <c r="E322" s="293">
        <v>18</v>
      </c>
      <c r="F322" s="293" t="s">
        <v>986</v>
      </c>
      <c r="G322" s="293">
        <v>3</v>
      </c>
      <c r="H322" s="293" t="s">
        <v>986</v>
      </c>
      <c r="I322" s="293">
        <v>85</v>
      </c>
      <c r="J322" s="293">
        <v>85</v>
      </c>
      <c r="K322" s="293">
        <v>2807</v>
      </c>
      <c r="L322" s="293">
        <v>2640</v>
      </c>
      <c r="M322" s="293">
        <v>2136</v>
      </c>
      <c r="N322" s="293" t="s">
        <v>986</v>
      </c>
      <c r="O322" s="293" t="s">
        <v>986</v>
      </c>
      <c r="P322" s="293">
        <v>504</v>
      </c>
      <c r="Q322" s="293" t="s">
        <v>986</v>
      </c>
      <c r="R322" s="293" t="s">
        <v>986</v>
      </c>
      <c r="S322" s="293" t="s">
        <v>986</v>
      </c>
      <c r="T322" s="293">
        <v>167</v>
      </c>
      <c r="U322" s="293" t="s">
        <v>986</v>
      </c>
      <c r="V322" s="293">
        <v>167</v>
      </c>
      <c r="W322" s="291" t="s">
        <v>74</v>
      </c>
    </row>
    <row r="323" spans="1:23" ht="12" customHeight="1" x14ac:dyDescent="0.15"/>
    <row r="324" spans="1:23" ht="12" customHeight="1" x14ac:dyDescent="0.15"/>
    <row r="325" spans="1:23" ht="12" customHeight="1" x14ac:dyDescent="0.15">
      <c r="K325" s="299" t="s">
        <v>93</v>
      </c>
    </row>
    <row r="326" spans="1:23" s="297" customFormat="1" ht="21" customHeight="1" x14ac:dyDescent="0.15">
      <c r="A326" s="1053" t="s">
        <v>172</v>
      </c>
      <c r="B326" s="835" t="s">
        <v>868</v>
      </c>
      <c r="C326" s="827"/>
      <c r="D326" s="827"/>
      <c r="E326" s="827"/>
      <c r="F326" s="827"/>
      <c r="G326" s="827"/>
      <c r="H326" s="827"/>
      <c r="I326" s="827"/>
      <c r="J326" s="827"/>
      <c r="K326" s="827"/>
      <c r="L326" s="827"/>
      <c r="M326" s="827"/>
      <c r="N326" s="827"/>
      <c r="O326" s="827"/>
      <c r="P326" s="827"/>
      <c r="Q326" s="834"/>
      <c r="R326" s="826" t="s">
        <v>269</v>
      </c>
      <c r="S326" s="827"/>
      <c r="T326" s="827"/>
      <c r="U326" s="827"/>
      <c r="V326" s="827"/>
      <c r="W326" s="1056" t="s">
        <v>79</v>
      </c>
    </row>
    <row r="327" spans="1:23" s="297" customFormat="1" ht="21" customHeight="1" x14ac:dyDescent="0.15">
      <c r="A327" s="1054"/>
      <c r="B327" s="1059" t="s">
        <v>272</v>
      </c>
      <c r="C327" s="826" t="s">
        <v>265</v>
      </c>
      <c r="D327" s="827"/>
      <c r="E327" s="827"/>
      <c r="F327" s="827"/>
      <c r="G327" s="827"/>
      <c r="H327" s="827"/>
      <c r="I327" s="827"/>
      <c r="J327" s="827"/>
      <c r="K327" s="827"/>
      <c r="L327" s="834"/>
      <c r="M327" s="826" t="s">
        <v>258</v>
      </c>
      <c r="N327" s="827"/>
      <c r="O327" s="834"/>
      <c r="P327" s="826" t="s">
        <v>241</v>
      </c>
      <c r="Q327" s="834"/>
      <c r="R327" s="1061" t="s">
        <v>1047</v>
      </c>
      <c r="S327" s="826" t="s">
        <v>265</v>
      </c>
      <c r="T327" s="827"/>
      <c r="U327" s="827"/>
      <c r="V327" s="827"/>
      <c r="W327" s="1057"/>
    </row>
    <row r="328" spans="1:23" s="297" customFormat="1" ht="52.5" customHeight="1" x14ac:dyDescent="0.15">
      <c r="A328" s="1055"/>
      <c r="B328" s="1060"/>
      <c r="C328" s="696" t="s">
        <v>851</v>
      </c>
      <c r="D328" s="298" t="s">
        <v>256</v>
      </c>
      <c r="E328" s="298" t="s">
        <v>852</v>
      </c>
      <c r="F328" s="298" t="s">
        <v>252</v>
      </c>
      <c r="G328" s="298" t="s">
        <v>869</v>
      </c>
      <c r="H328" s="298" t="s">
        <v>264</v>
      </c>
      <c r="I328" s="298" t="s">
        <v>263</v>
      </c>
      <c r="J328" s="298" t="s">
        <v>262</v>
      </c>
      <c r="K328" s="298" t="s">
        <v>251</v>
      </c>
      <c r="L328" s="301" t="s">
        <v>853</v>
      </c>
      <c r="M328" s="696" t="s">
        <v>855</v>
      </c>
      <c r="N328" s="298" t="s">
        <v>273</v>
      </c>
      <c r="O328" s="298" t="s">
        <v>244</v>
      </c>
      <c r="P328" s="696" t="s">
        <v>860</v>
      </c>
      <c r="Q328" s="298" t="s">
        <v>236</v>
      </c>
      <c r="R328" s="1062"/>
      <c r="S328" s="696" t="s">
        <v>851</v>
      </c>
      <c r="T328" s="298" t="s">
        <v>256</v>
      </c>
      <c r="U328" s="298" t="s">
        <v>852</v>
      </c>
      <c r="V328" s="300" t="s">
        <v>252</v>
      </c>
      <c r="W328" s="1058"/>
    </row>
    <row r="329" spans="1:23" s="290" customFormat="1" ht="9.75" customHeight="1" x14ac:dyDescent="0.15">
      <c r="A329" s="828" t="s">
        <v>985</v>
      </c>
      <c r="B329" s="829">
        <v>10762268</v>
      </c>
      <c r="C329" s="830">
        <v>1709888</v>
      </c>
      <c r="D329" s="830">
        <v>7012</v>
      </c>
      <c r="E329" s="830" t="s">
        <v>986</v>
      </c>
      <c r="F329" s="830" t="s">
        <v>986</v>
      </c>
      <c r="G329" s="830">
        <v>111031</v>
      </c>
      <c r="H329" s="830">
        <v>110430</v>
      </c>
      <c r="I329" s="830">
        <v>172935</v>
      </c>
      <c r="J329" s="830">
        <v>269636</v>
      </c>
      <c r="K329" s="830">
        <v>247270</v>
      </c>
      <c r="L329" s="830">
        <v>791574</v>
      </c>
      <c r="M329" s="830">
        <v>8306758</v>
      </c>
      <c r="N329" s="830">
        <v>344965</v>
      </c>
      <c r="O329" s="830">
        <v>7961793</v>
      </c>
      <c r="P329" s="830">
        <v>745622</v>
      </c>
      <c r="Q329" s="830">
        <v>745622</v>
      </c>
      <c r="R329" s="830">
        <v>8831688</v>
      </c>
      <c r="S329" s="830">
        <v>789910</v>
      </c>
      <c r="T329" s="830">
        <v>7012</v>
      </c>
      <c r="U329" s="830" t="s">
        <v>986</v>
      </c>
      <c r="V329" s="830" t="s">
        <v>986</v>
      </c>
      <c r="W329" s="831" t="s">
        <v>485</v>
      </c>
    </row>
    <row r="330" spans="1:23" s="290" customFormat="1" ht="9.75" customHeight="1" x14ac:dyDescent="0.15">
      <c r="A330" s="559" t="s">
        <v>634</v>
      </c>
      <c r="B330" s="290">
        <v>9885612</v>
      </c>
      <c r="C330" s="290">
        <v>1354736</v>
      </c>
      <c r="D330" s="290">
        <v>1146</v>
      </c>
      <c r="E330" s="290" t="s">
        <v>986</v>
      </c>
      <c r="F330" s="290" t="s">
        <v>986</v>
      </c>
      <c r="G330" s="290">
        <v>172322</v>
      </c>
      <c r="H330" s="290">
        <v>24630</v>
      </c>
      <c r="I330" s="290">
        <v>174803</v>
      </c>
      <c r="J330" s="290">
        <v>323745</v>
      </c>
      <c r="K330" s="290">
        <v>266886</v>
      </c>
      <c r="L330" s="290">
        <v>391204</v>
      </c>
      <c r="M330" s="290">
        <v>7633543</v>
      </c>
      <c r="N330" s="290">
        <v>823301</v>
      </c>
      <c r="O330" s="290">
        <v>6810242</v>
      </c>
      <c r="P330" s="290">
        <v>897333</v>
      </c>
      <c r="Q330" s="290">
        <v>897333</v>
      </c>
      <c r="R330" s="290">
        <v>8247619</v>
      </c>
      <c r="S330" s="290">
        <v>708716</v>
      </c>
      <c r="T330" s="290">
        <v>1146</v>
      </c>
      <c r="U330" s="290" t="s">
        <v>986</v>
      </c>
      <c r="V330" s="290" t="s">
        <v>986</v>
      </c>
      <c r="W330" s="295" t="s">
        <v>588</v>
      </c>
    </row>
    <row r="331" spans="1:23" s="290" customFormat="1" ht="9.75" customHeight="1" x14ac:dyDescent="0.15">
      <c r="A331" s="559" t="s">
        <v>635</v>
      </c>
      <c r="B331" s="290">
        <v>10382862</v>
      </c>
      <c r="C331" s="290">
        <v>1097387</v>
      </c>
      <c r="D331" s="290">
        <v>793</v>
      </c>
      <c r="E331" s="290">
        <v>109</v>
      </c>
      <c r="F331" s="290" t="s">
        <v>986</v>
      </c>
      <c r="G331" s="290">
        <v>156003</v>
      </c>
      <c r="H331" s="290" t="s">
        <v>986</v>
      </c>
      <c r="I331" s="290">
        <v>91343</v>
      </c>
      <c r="J331" s="290">
        <v>554091</v>
      </c>
      <c r="K331" s="290">
        <v>156810</v>
      </c>
      <c r="L331" s="290">
        <v>138238</v>
      </c>
      <c r="M331" s="290">
        <v>8503648</v>
      </c>
      <c r="N331" s="290">
        <v>1213152</v>
      </c>
      <c r="O331" s="290">
        <v>7290496</v>
      </c>
      <c r="P331" s="290">
        <v>781827</v>
      </c>
      <c r="Q331" s="290">
        <v>781827</v>
      </c>
      <c r="R331" s="290">
        <v>8878848</v>
      </c>
      <c r="S331" s="290">
        <v>640169</v>
      </c>
      <c r="T331" s="290">
        <v>793</v>
      </c>
      <c r="U331" s="290">
        <v>109</v>
      </c>
      <c r="V331" s="290" t="s">
        <v>986</v>
      </c>
      <c r="W331" s="295" t="s">
        <v>636</v>
      </c>
    </row>
    <row r="332" spans="1:23" s="290" customFormat="1" ht="9.75" customHeight="1" x14ac:dyDescent="0.15">
      <c r="A332" s="559" t="s">
        <v>774</v>
      </c>
      <c r="B332" s="290">
        <v>10769227</v>
      </c>
      <c r="C332" s="290">
        <v>1248557</v>
      </c>
      <c r="D332" s="290">
        <v>38174</v>
      </c>
      <c r="E332" s="290" t="s">
        <v>986</v>
      </c>
      <c r="F332" s="290">
        <v>440</v>
      </c>
      <c r="G332" s="290">
        <v>138621</v>
      </c>
      <c r="H332" s="290">
        <v>46551</v>
      </c>
      <c r="I332" s="290">
        <v>169249</v>
      </c>
      <c r="J332" s="290">
        <v>452105</v>
      </c>
      <c r="K332" s="290">
        <v>183434</v>
      </c>
      <c r="L332" s="290">
        <v>219983</v>
      </c>
      <c r="M332" s="290">
        <v>8332330</v>
      </c>
      <c r="N332" s="290">
        <v>1554954</v>
      </c>
      <c r="O332" s="290">
        <v>6777376</v>
      </c>
      <c r="P332" s="290">
        <v>1188340</v>
      </c>
      <c r="Q332" s="290">
        <v>1188340</v>
      </c>
      <c r="R332" s="290">
        <v>8994285</v>
      </c>
      <c r="S332" s="290">
        <v>796488</v>
      </c>
      <c r="T332" s="290">
        <v>24122</v>
      </c>
      <c r="U332" s="290" t="s">
        <v>986</v>
      </c>
      <c r="V332" s="290">
        <v>440</v>
      </c>
      <c r="W332" s="295" t="s">
        <v>775</v>
      </c>
    </row>
    <row r="333" spans="1:23" s="290" customFormat="1" ht="9.75" customHeight="1" x14ac:dyDescent="0.15">
      <c r="A333" s="559" t="s">
        <v>987</v>
      </c>
      <c r="B333" s="290">
        <v>10553947</v>
      </c>
      <c r="C333" s="290">
        <v>520519</v>
      </c>
      <c r="D333" s="290" t="s">
        <v>986</v>
      </c>
      <c r="E333" s="290">
        <v>587</v>
      </c>
      <c r="F333" s="290" t="s">
        <v>986</v>
      </c>
      <c r="G333" s="290">
        <v>10822</v>
      </c>
      <c r="H333" s="290" t="s">
        <v>986</v>
      </c>
      <c r="I333" s="290" t="s">
        <v>986</v>
      </c>
      <c r="J333" s="290">
        <v>256325</v>
      </c>
      <c r="K333" s="290">
        <v>183060</v>
      </c>
      <c r="L333" s="290">
        <v>69725</v>
      </c>
      <c r="M333" s="290">
        <v>8736855</v>
      </c>
      <c r="N333" s="290">
        <v>1769528</v>
      </c>
      <c r="O333" s="290">
        <v>6967327</v>
      </c>
      <c r="P333" s="290">
        <v>1296573</v>
      </c>
      <c r="Q333" s="290">
        <v>1296573</v>
      </c>
      <c r="R333" s="290">
        <v>8684766</v>
      </c>
      <c r="S333" s="290">
        <v>356871</v>
      </c>
      <c r="T333" s="290" t="s">
        <v>986</v>
      </c>
      <c r="U333" s="290">
        <v>587</v>
      </c>
      <c r="V333" s="290" t="s">
        <v>986</v>
      </c>
      <c r="W333" s="295" t="s">
        <v>988</v>
      </c>
    </row>
    <row r="334" spans="1:23" s="290" customFormat="1" ht="6.75" customHeight="1" x14ac:dyDescent="0.15">
      <c r="A334" s="578"/>
      <c r="W334" s="295"/>
    </row>
    <row r="335" spans="1:23" s="290" customFormat="1" ht="9.75" customHeight="1" x14ac:dyDescent="0.15">
      <c r="A335" s="559" t="s">
        <v>989</v>
      </c>
      <c r="B335" s="290">
        <v>10916074</v>
      </c>
      <c r="C335" s="290">
        <v>886128</v>
      </c>
      <c r="D335" s="290">
        <v>38174</v>
      </c>
      <c r="E335" s="290" t="s">
        <v>986</v>
      </c>
      <c r="F335" s="290">
        <v>241</v>
      </c>
      <c r="G335" s="290">
        <v>94239</v>
      </c>
      <c r="H335" s="290" t="s">
        <v>986</v>
      </c>
      <c r="I335" s="290">
        <v>169249</v>
      </c>
      <c r="J335" s="290">
        <v>310307</v>
      </c>
      <c r="K335" s="290">
        <v>218302</v>
      </c>
      <c r="L335" s="290">
        <v>55616</v>
      </c>
      <c r="M335" s="290">
        <v>8876076</v>
      </c>
      <c r="N335" s="290">
        <v>1604421</v>
      </c>
      <c r="O335" s="290">
        <v>7271655</v>
      </c>
      <c r="P335" s="290">
        <v>1153870</v>
      </c>
      <c r="Q335" s="290">
        <v>1153870</v>
      </c>
      <c r="R335" s="290">
        <v>9093721</v>
      </c>
      <c r="S335" s="290">
        <v>599495</v>
      </c>
      <c r="T335" s="290">
        <v>24122</v>
      </c>
      <c r="U335" s="290" t="s">
        <v>986</v>
      </c>
      <c r="V335" s="290">
        <v>241</v>
      </c>
      <c r="W335" s="295" t="s">
        <v>776</v>
      </c>
    </row>
    <row r="336" spans="1:23" s="290" customFormat="1" ht="9.75" customHeight="1" x14ac:dyDescent="0.15">
      <c r="A336" s="559" t="s">
        <v>990</v>
      </c>
      <c r="B336" s="290">
        <v>10334029</v>
      </c>
      <c r="C336" s="290">
        <v>531335</v>
      </c>
      <c r="D336" s="290" t="s">
        <v>986</v>
      </c>
      <c r="E336" s="290">
        <v>587</v>
      </c>
      <c r="F336" s="290" t="s">
        <v>986</v>
      </c>
      <c r="G336" s="290">
        <v>10822</v>
      </c>
      <c r="H336" s="290" t="s">
        <v>986</v>
      </c>
      <c r="I336" s="290">
        <v>22047</v>
      </c>
      <c r="J336" s="290">
        <v>288351</v>
      </c>
      <c r="K336" s="290">
        <v>139803</v>
      </c>
      <c r="L336" s="290">
        <v>69725</v>
      </c>
      <c r="M336" s="290">
        <v>8352985</v>
      </c>
      <c r="N336" s="290">
        <v>1881329</v>
      </c>
      <c r="O336" s="290">
        <v>6471656</v>
      </c>
      <c r="P336" s="290">
        <v>1449709</v>
      </c>
      <c r="Q336" s="290">
        <v>1449709</v>
      </c>
      <c r="R336" s="290">
        <v>8458944</v>
      </c>
      <c r="S336" s="290">
        <v>343384</v>
      </c>
      <c r="T336" s="290" t="s">
        <v>986</v>
      </c>
      <c r="U336" s="290">
        <v>587</v>
      </c>
      <c r="V336" s="290" t="s">
        <v>986</v>
      </c>
      <c r="W336" s="295" t="s">
        <v>991</v>
      </c>
    </row>
    <row r="337" spans="1:23" s="290" customFormat="1" ht="6.75" customHeight="1" x14ac:dyDescent="0.15">
      <c r="A337" s="578"/>
      <c r="W337" s="295"/>
    </row>
    <row r="338" spans="1:23" s="290" customFormat="1" ht="9.75" customHeight="1" x14ac:dyDescent="0.15">
      <c r="A338" s="559" t="s">
        <v>992</v>
      </c>
      <c r="B338" s="290">
        <v>3291376</v>
      </c>
      <c r="C338" s="290">
        <v>226919</v>
      </c>
      <c r="D338" s="290" t="s">
        <v>986</v>
      </c>
      <c r="E338" s="290" t="s">
        <v>986</v>
      </c>
      <c r="F338" s="290" t="s">
        <v>986</v>
      </c>
      <c r="G338" s="290" t="s">
        <v>986</v>
      </c>
      <c r="H338" s="290" t="s">
        <v>986</v>
      </c>
      <c r="I338" s="290" t="s">
        <v>986</v>
      </c>
      <c r="J338" s="290">
        <v>137039</v>
      </c>
      <c r="K338" s="290">
        <v>89880</v>
      </c>
      <c r="L338" s="290" t="s">
        <v>986</v>
      </c>
      <c r="M338" s="290">
        <v>2848778</v>
      </c>
      <c r="N338" s="290">
        <v>373469</v>
      </c>
      <c r="O338" s="290">
        <v>2475309</v>
      </c>
      <c r="P338" s="290">
        <v>215679</v>
      </c>
      <c r="Q338" s="290">
        <v>215679</v>
      </c>
      <c r="R338" s="290">
        <v>2827346</v>
      </c>
      <c r="S338" s="290">
        <v>202874</v>
      </c>
      <c r="T338" s="290" t="s">
        <v>986</v>
      </c>
      <c r="U338" s="290" t="s">
        <v>986</v>
      </c>
      <c r="V338" s="290" t="s">
        <v>986</v>
      </c>
      <c r="W338" s="295" t="s">
        <v>777</v>
      </c>
    </row>
    <row r="339" spans="1:23" s="290" customFormat="1" ht="9.75" customHeight="1" x14ac:dyDescent="0.15">
      <c r="A339" s="559" t="s">
        <v>637</v>
      </c>
      <c r="B339" s="290">
        <v>2321583</v>
      </c>
      <c r="C339" s="290">
        <v>142951</v>
      </c>
      <c r="D339" s="290" t="s">
        <v>986</v>
      </c>
      <c r="E339" s="290">
        <v>341</v>
      </c>
      <c r="F339" s="290" t="s">
        <v>986</v>
      </c>
      <c r="G339" s="290" t="s">
        <v>986</v>
      </c>
      <c r="H339" s="290" t="s">
        <v>986</v>
      </c>
      <c r="I339" s="290" t="s">
        <v>986</v>
      </c>
      <c r="J339" s="290">
        <v>95411</v>
      </c>
      <c r="K339" s="290" t="s">
        <v>986</v>
      </c>
      <c r="L339" s="290">
        <v>47199</v>
      </c>
      <c r="M339" s="290">
        <v>1799050</v>
      </c>
      <c r="N339" s="290">
        <v>433966</v>
      </c>
      <c r="O339" s="290">
        <v>1365084</v>
      </c>
      <c r="P339" s="290">
        <v>379582</v>
      </c>
      <c r="Q339" s="290">
        <v>379582</v>
      </c>
      <c r="R339" s="290">
        <v>1890276</v>
      </c>
      <c r="S339" s="290">
        <v>71539</v>
      </c>
      <c r="T339" s="290" t="s">
        <v>986</v>
      </c>
      <c r="U339" s="290">
        <v>341</v>
      </c>
      <c r="V339" s="290" t="s">
        <v>986</v>
      </c>
      <c r="W339" s="295" t="s">
        <v>85</v>
      </c>
    </row>
    <row r="340" spans="1:23" s="290" customFormat="1" ht="9.75" customHeight="1" x14ac:dyDescent="0.15">
      <c r="A340" s="559" t="s">
        <v>638</v>
      </c>
      <c r="B340" s="290">
        <v>2330797</v>
      </c>
      <c r="C340" s="290">
        <v>117301</v>
      </c>
      <c r="D340" s="290" t="s">
        <v>986</v>
      </c>
      <c r="E340" s="290">
        <v>246</v>
      </c>
      <c r="F340" s="290" t="s">
        <v>986</v>
      </c>
      <c r="G340" s="290" t="s">
        <v>986</v>
      </c>
      <c r="H340" s="290" t="s">
        <v>986</v>
      </c>
      <c r="I340" s="290" t="s">
        <v>986</v>
      </c>
      <c r="J340" s="290">
        <v>23875</v>
      </c>
      <c r="K340" s="290">
        <v>93180</v>
      </c>
      <c r="L340" s="290" t="s">
        <v>986</v>
      </c>
      <c r="M340" s="290">
        <v>1886626</v>
      </c>
      <c r="N340" s="290">
        <v>522027</v>
      </c>
      <c r="O340" s="290">
        <v>1364599</v>
      </c>
      <c r="P340" s="290">
        <v>326870</v>
      </c>
      <c r="Q340" s="290">
        <v>326870</v>
      </c>
      <c r="R340" s="290">
        <v>1882296</v>
      </c>
      <c r="S340" s="290">
        <v>71516</v>
      </c>
      <c r="T340" s="290" t="s">
        <v>986</v>
      </c>
      <c r="U340" s="290">
        <v>246</v>
      </c>
      <c r="V340" s="290" t="s">
        <v>986</v>
      </c>
      <c r="W340" s="295" t="s">
        <v>86</v>
      </c>
    </row>
    <row r="341" spans="1:23" s="290" customFormat="1" ht="9.75" customHeight="1" x14ac:dyDescent="0.15">
      <c r="A341" s="559" t="s">
        <v>639</v>
      </c>
      <c r="B341" s="290">
        <v>2610191</v>
      </c>
      <c r="C341" s="290">
        <v>33348</v>
      </c>
      <c r="D341" s="290" t="s">
        <v>986</v>
      </c>
      <c r="E341" s="290" t="s">
        <v>986</v>
      </c>
      <c r="F341" s="290" t="s">
        <v>986</v>
      </c>
      <c r="G341" s="290">
        <v>10822</v>
      </c>
      <c r="H341" s="290" t="s">
        <v>986</v>
      </c>
      <c r="I341" s="290" t="s">
        <v>986</v>
      </c>
      <c r="J341" s="290" t="s">
        <v>986</v>
      </c>
      <c r="K341" s="290" t="s">
        <v>986</v>
      </c>
      <c r="L341" s="290">
        <v>22526</v>
      </c>
      <c r="M341" s="290">
        <v>2202401</v>
      </c>
      <c r="N341" s="290">
        <v>440066</v>
      </c>
      <c r="O341" s="290">
        <v>1762335</v>
      </c>
      <c r="P341" s="290">
        <v>374442</v>
      </c>
      <c r="Q341" s="290">
        <v>374442</v>
      </c>
      <c r="R341" s="290">
        <v>2084848</v>
      </c>
      <c r="S341" s="290">
        <v>10942</v>
      </c>
      <c r="T341" s="290" t="s">
        <v>986</v>
      </c>
      <c r="U341" s="290" t="s">
        <v>986</v>
      </c>
      <c r="V341" s="290" t="s">
        <v>986</v>
      </c>
      <c r="W341" s="295" t="s">
        <v>87</v>
      </c>
    </row>
    <row r="342" spans="1:23" s="290" customFormat="1" ht="9.75" customHeight="1" x14ac:dyDescent="0.15">
      <c r="A342" s="559" t="s">
        <v>993</v>
      </c>
      <c r="B342" s="290">
        <v>3071458</v>
      </c>
      <c r="C342" s="290">
        <v>237735</v>
      </c>
      <c r="D342" s="290" t="s">
        <v>986</v>
      </c>
      <c r="E342" s="290" t="s">
        <v>986</v>
      </c>
      <c r="F342" s="290" t="s">
        <v>986</v>
      </c>
      <c r="G342" s="290" t="s">
        <v>986</v>
      </c>
      <c r="H342" s="290" t="s">
        <v>986</v>
      </c>
      <c r="I342" s="290">
        <v>22047</v>
      </c>
      <c r="J342" s="290">
        <v>169065</v>
      </c>
      <c r="K342" s="290">
        <v>46623</v>
      </c>
      <c r="L342" s="290" t="s">
        <v>986</v>
      </c>
      <c r="M342" s="290">
        <v>2464908</v>
      </c>
      <c r="N342" s="290">
        <v>485270</v>
      </c>
      <c r="O342" s="290">
        <v>1979638</v>
      </c>
      <c r="P342" s="290">
        <v>368815</v>
      </c>
      <c r="Q342" s="290">
        <v>368815</v>
      </c>
      <c r="R342" s="290">
        <v>2601524</v>
      </c>
      <c r="S342" s="290">
        <v>189387</v>
      </c>
      <c r="T342" s="290" t="s">
        <v>986</v>
      </c>
      <c r="U342" s="290" t="s">
        <v>986</v>
      </c>
      <c r="V342" s="290" t="s">
        <v>986</v>
      </c>
      <c r="W342" s="295" t="s">
        <v>994</v>
      </c>
    </row>
    <row r="343" spans="1:23" s="290" customFormat="1" ht="6.75" customHeight="1" x14ac:dyDescent="0.15">
      <c r="A343" s="578"/>
      <c r="W343" s="295"/>
    </row>
    <row r="344" spans="1:23" s="290" customFormat="1" ht="9.75" customHeight="1" x14ac:dyDescent="0.15">
      <c r="A344" s="559" t="s">
        <v>995</v>
      </c>
      <c r="B344" s="290">
        <v>994863</v>
      </c>
      <c r="C344" s="290">
        <v>30269</v>
      </c>
      <c r="D344" s="290" t="s">
        <v>986</v>
      </c>
      <c r="E344" s="290" t="s">
        <v>986</v>
      </c>
      <c r="F344" s="290" t="s">
        <v>986</v>
      </c>
      <c r="G344" s="290" t="s">
        <v>986</v>
      </c>
      <c r="H344" s="290" t="s">
        <v>986</v>
      </c>
      <c r="I344" s="290" t="s">
        <v>986</v>
      </c>
      <c r="J344" s="290">
        <v>30269</v>
      </c>
      <c r="K344" s="290" t="s">
        <v>986</v>
      </c>
      <c r="L344" s="290" t="s">
        <v>986</v>
      </c>
      <c r="M344" s="290">
        <v>873381</v>
      </c>
      <c r="N344" s="290">
        <v>78591</v>
      </c>
      <c r="O344" s="290">
        <v>794790</v>
      </c>
      <c r="P344" s="290">
        <v>91213</v>
      </c>
      <c r="Q344" s="290">
        <v>91213</v>
      </c>
      <c r="R344" s="290">
        <v>834294</v>
      </c>
      <c r="S344" s="290">
        <v>30269</v>
      </c>
      <c r="T344" s="290" t="s">
        <v>986</v>
      </c>
      <c r="U344" s="290" t="s">
        <v>986</v>
      </c>
      <c r="V344" s="290" t="s">
        <v>986</v>
      </c>
      <c r="W344" s="295" t="s">
        <v>778</v>
      </c>
    </row>
    <row r="345" spans="1:23" s="290" customFormat="1" ht="9.75" customHeight="1" x14ac:dyDescent="0.15">
      <c r="A345" s="559" t="s">
        <v>640</v>
      </c>
      <c r="B345" s="290">
        <v>974098</v>
      </c>
      <c r="C345" s="290">
        <v>149845</v>
      </c>
      <c r="D345" s="290" t="s">
        <v>986</v>
      </c>
      <c r="E345" s="290" t="s">
        <v>986</v>
      </c>
      <c r="F345" s="290" t="s">
        <v>986</v>
      </c>
      <c r="G345" s="290" t="s">
        <v>986</v>
      </c>
      <c r="H345" s="290" t="s">
        <v>986</v>
      </c>
      <c r="I345" s="290" t="s">
        <v>986</v>
      </c>
      <c r="J345" s="290">
        <v>59965</v>
      </c>
      <c r="K345" s="290">
        <v>89880</v>
      </c>
      <c r="L345" s="290" t="s">
        <v>986</v>
      </c>
      <c r="M345" s="290">
        <v>778894</v>
      </c>
      <c r="N345" s="290">
        <v>136860</v>
      </c>
      <c r="O345" s="290">
        <v>642034</v>
      </c>
      <c r="P345" s="290">
        <v>45359</v>
      </c>
      <c r="Q345" s="290">
        <v>45359</v>
      </c>
      <c r="R345" s="290">
        <v>831500</v>
      </c>
      <c r="S345" s="290">
        <v>125800</v>
      </c>
      <c r="T345" s="290" t="s">
        <v>986</v>
      </c>
      <c r="U345" s="290" t="s">
        <v>986</v>
      </c>
      <c r="V345" s="290" t="s">
        <v>986</v>
      </c>
      <c r="W345" s="295" t="s">
        <v>73</v>
      </c>
    </row>
    <row r="346" spans="1:23" s="290" customFormat="1" ht="9.75" customHeight="1" x14ac:dyDescent="0.15">
      <c r="A346" s="559" t="s">
        <v>641</v>
      </c>
      <c r="B346" s="290">
        <v>1322415</v>
      </c>
      <c r="C346" s="290">
        <v>46805</v>
      </c>
      <c r="D346" s="290" t="s">
        <v>986</v>
      </c>
      <c r="E346" s="290" t="s">
        <v>986</v>
      </c>
      <c r="F346" s="290" t="s">
        <v>986</v>
      </c>
      <c r="G346" s="290" t="s">
        <v>986</v>
      </c>
      <c r="H346" s="290" t="s">
        <v>986</v>
      </c>
      <c r="I346" s="290" t="s">
        <v>986</v>
      </c>
      <c r="J346" s="290">
        <v>46805</v>
      </c>
      <c r="K346" s="290" t="s">
        <v>986</v>
      </c>
      <c r="L346" s="290" t="s">
        <v>986</v>
      </c>
      <c r="M346" s="290">
        <v>1196503</v>
      </c>
      <c r="N346" s="290">
        <v>158018</v>
      </c>
      <c r="O346" s="290">
        <v>1038485</v>
      </c>
      <c r="P346" s="290">
        <v>79107</v>
      </c>
      <c r="Q346" s="290">
        <v>79107</v>
      </c>
      <c r="R346" s="290">
        <v>1161552</v>
      </c>
      <c r="S346" s="290">
        <v>46805</v>
      </c>
      <c r="T346" s="290" t="s">
        <v>986</v>
      </c>
      <c r="U346" s="290" t="s">
        <v>986</v>
      </c>
      <c r="V346" s="290" t="s">
        <v>986</v>
      </c>
      <c r="W346" s="295" t="s">
        <v>74</v>
      </c>
    </row>
    <row r="347" spans="1:23" s="290" customFormat="1" ht="9.75" customHeight="1" x14ac:dyDescent="0.15">
      <c r="A347" s="559" t="s">
        <v>642</v>
      </c>
      <c r="B347" s="290">
        <v>802356</v>
      </c>
      <c r="C347" s="290">
        <v>86136</v>
      </c>
      <c r="D347" s="290" t="s">
        <v>986</v>
      </c>
      <c r="E347" s="290" t="s">
        <v>986</v>
      </c>
      <c r="F347" s="290" t="s">
        <v>986</v>
      </c>
      <c r="G347" s="290" t="s">
        <v>986</v>
      </c>
      <c r="H347" s="290" t="s">
        <v>986</v>
      </c>
      <c r="I347" s="290" t="s">
        <v>986</v>
      </c>
      <c r="J347" s="290">
        <v>86136</v>
      </c>
      <c r="K347" s="290" t="s">
        <v>986</v>
      </c>
      <c r="L347" s="290" t="s">
        <v>986</v>
      </c>
      <c r="M347" s="290">
        <v>622915</v>
      </c>
      <c r="N347" s="290">
        <v>161070</v>
      </c>
      <c r="O347" s="290">
        <v>461845</v>
      </c>
      <c r="P347" s="290">
        <v>93305</v>
      </c>
      <c r="Q347" s="290">
        <v>93305</v>
      </c>
      <c r="R347" s="290">
        <v>678759</v>
      </c>
      <c r="S347" s="290">
        <v>48397</v>
      </c>
      <c r="T347" s="290" t="s">
        <v>986</v>
      </c>
      <c r="U347" s="290" t="s">
        <v>986</v>
      </c>
      <c r="V347" s="290" t="s">
        <v>986</v>
      </c>
      <c r="W347" s="295" t="s">
        <v>75</v>
      </c>
    </row>
    <row r="348" spans="1:23" s="290" customFormat="1" ht="9.75" customHeight="1" x14ac:dyDescent="0.15">
      <c r="A348" s="559" t="s">
        <v>643</v>
      </c>
      <c r="B348" s="290">
        <v>777783</v>
      </c>
      <c r="C348" s="290">
        <v>56474</v>
      </c>
      <c r="D348" s="290" t="s">
        <v>986</v>
      </c>
      <c r="E348" s="290" t="s">
        <v>986</v>
      </c>
      <c r="F348" s="290" t="s">
        <v>986</v>
      </c>
      <c r="G348" s="290" t="s">
        <v>986</v>
      </c>
      <c r="H348" s="290" t="s">
        <v>986</v>
      </c>
      <c r="I348" s="290" t="s">
        <v>986</v>
      </c>
      <c r="J348" s="290">
        <v>9275</v>
      </c>
      <c r="K348" s="290" t="s">
        <v>986</v>
      </c>
      <c r="L348" s="290">
        <v>47199</v>
      </c>
      <c r="M348" s="290">
        <v>585950</v>
      </c>
      <c r="N348" s="290">
        <v>138372</v>
      </c>
      <c r="O348" s="290">
        <v>447578</v>
      </c>
      <c r="P348" s="290">
        <v>135359</v>
      </c>
      <c r="Q348" s="290">
        <v>135359</v>
      </c>
      <c r="R348" s="290">
        <v>610059</v>
      </c>
      <c r="S348" s="290">
        <v>22801</v>
      </c>
      <c r="T348" s="290" t="s">
        <v>986</v>
      </c>
      <c r="U348" s="290" t="s">
        <v>986</v>
      </c>
      <c r="V348" s="290" t="s">
        <v>986</v>
      </c>
      <c r="W348" s="295" t="s">
        <v>88</v>
      </c>
    </row>
    <row r="349" spans="1:23" s="290" customFormat="1" ht="9.75" customHeight="1" x14ac:dyDescent="0.15">
      <c r="A349" s="559" t="s">
        <v>644</v>
      </c>
      <c r="B349" s="290">
        <v>741444</v>
      </c>
      <c r="C349" s="290">
        <v>341</v>
      </c>
      <c r="D349" s="290" t="s">
        <v>986</v>
      </c>
      <c r="E349" s="290">
        <v>341</v>
      </c>
      <c r="F349" s="290" t="s">
        <v>986</v>
      </c>
      <c r="G349" s="290" t="s">
        <v>986</v>
      </c>
      <c r="H349" s="290" t="s">
        <v>986</v>
      </c>
      <c r="I349" s="290" t="s">
        <v>986</v>
      </c>
      <c r="J349" s="290" t="s">
        <v>986</v>
      </c>
      <c r="K349" s="290" t="s">
        <v>986</v>
      </c>
      <c r="L349" s="290" t="s">
        <v>986</v>
      </c>
      <c r="M349" s="290">
        <v>590185</v>
      </c>
      <c r="N349" s="290">
        <v>134524</v>
      </c>
      <c r="O349" s="290">
        <v>455661</v>
      </c>
      <c r="P349" s="290">
        <v>150918</v>
      </c>
      <c r="Q349" s="290">
        <v>150918</v>
      </c>
      <c r="R349" s="290">
        <v>601458</v>
      </c>
      <c r="S349" s="290">
        <v>341</v>
      </c>
      <c r="T349" s="290" t="s">
        <v>986</v>
      </c>
      <c r="U349" s="290">
        <v>341</v>
      </c>
      <c r="V349" s="290" t="s">
        <v>986</v>
      </c>
      <c r="W349" s="295" t="s">
        <v>89</v>
      </c>
    </row>
    <row r="350" spans="1:23" s="290" customFormat="1" ht="9.75" customHeight="1" x14ac:dyDescent="0.15">
      <c r="A350" s="559" t="s">
        <v>645</v>
      </c>
      <c r="B350" s="290">
        <v>902193</v>
      </c>
      <c r="C350" s="290">
        <v>70080</v>
      </c>
      <c r="D350" s="290" t="s">
        <v>986</v>
      </c>
      <c r="E350" s="290" t="s">
        <v>986</v>
      </c>
      <c r="F350" s="290" t="s">
        <v>986</v>
      </c>
      <c r="G350" s="290" t="s">
        <v>986</v>
      </c>
      <c r="H350" s="290" t="s">
        <v>986</v>
      </c>
      <c r="I350" s="290" t="s">
        <v>986</v>
      </c>
      <c r="J350" s="290">
        <v>23865</v>
      </c>
      <c r="K350" s="290">
        <v>46215</v>
      </c>
      <c r="L350" s="290" t="s">
        <v>986</v>
      </c>
      <c r="M350" s="290">
        <v>748846</v>
      </c>
      <c r="N350" s="290">
        <v>180578</v>
      </c>
      <c r="O350" s="290">
        <v>568268</v>
      </c>
      <c r="P350" s="290">
        <v>83267</v>
      </c>
      <c r="Q350" s="290">
        <v>83267</v>
      </c>
      <c r="R350" s="290">
        <v>745033</v>
      </c>
      <c r="S350" s="290">
        <v>47804</v>
      </c>
      <c r="T350" s="290" t="s">
        <v>986</v>
      </c>
      <c r="U350" s="290" t="s">
        <v>986</v>
      </c>
      <c r="V350" s="290" t="s">
        <v>986</v>
      </c>
      <c r="W350" s="295" t="s">
        <v>90</v>
      </c>
    </row>
    <row r="351" spans="1:23" s="290" customFormat="1" ht="9.75" customHeight="1" x14ac:dyDescent="0.15">
      <c r="A351" s="559" t="s">
        <v>646</v>
      </c>
      <c r="B351" s="290">
        <v>813413</v>
      </c>
      <c r="C351" s="290">
        <v>10</v>
      </c>
      <c r="D351" s="290" t="s">
        <v>986</v>
      </c>
      <c r="E351" s="290" t="s">
        <v>986</v>
      </c>
      <c r="F351" s="290" t="s">
        <v>986</v>
      </c>
      <c r="G351" s="290" t="s">
        <v>986</v>
      </c>
      <c r="H351" s="290" t="s">
        <v>986</v>
      </c>
      <c r="I351" s="290" t="s">
        <v>986</v>
      </c>
      <c r="J351" s="290">
        <v>10</v>
      </c>
      <c r="K351" s="290" t="s">
        <v>986</v>
      </c>
      <c r="L351" s="290" t="s">
        <v>986</v>
      </c>
      <c r="M351" s="290">
        <v>680850</v>
      </c>
      <c r="N351" s="290">
        <v>178997</v>
      </c>
      <c r="O351" s="290">
        <v>501853</v>
      </c>
      <c r="P351" s="290">
        <v>132553</v>
      </c>
      <c r="Q351" s="290">
        <v>132553</v>
      </c>
      <c r="R351" s="290">
        <v>673714</v>
      </c>
      <c r="S351" s="290">
        <v>10</v>
      </c>
      <c r="T351" s="290" t="s">
        <v>986</v>
      </c>
      <c r="U351" s="290" t="s">
        <v>986</v>
      </c>
      <c r="V351" s="290" t="s">
        <v>986</v>
      </c>
      <c r="W351" s="295" t="s">
        <v>91</v>
      </c>
    </row>
    <row r="352" spans="1:23" s="290" customFormat="1" ht="9.75" customHeight="1" x14ac:dyDescent="0.15">
      <c r="A352" s="559" t="s">
        <v>647</v>
      </c>
      <c r="B352" s="290">
        <v>615191</v>
      </c>
      <c r="C352" s="290">
        <v>47211</v>
      </c>
      <c r="D352" s="290" t="s">
        <v>986</v>
      </c>
      <c r="E352" s="290">
        <v>246</v>
      </c>
      <c r="F352" s="290" t="s">
        <v>986</v>
      </c>
      <c r="G352" s="290" t="s">
        <v>986</v>
      </c>
      <c r="H352" s="290" t="s">
        <v>986</v>
      </c>
      <c r="I352" s="290" t="s">
        <v>986</v>
      </c>
      <c r="J352" s="290" t="s">
        <v>986</v>
      </c>
      <c r="K352" s="290">
        <v>46965</v>
      </c>
      <c r="L352" s="290" t="s">
        <v>986</v>
      </c>
      <c r="M352" s="290">
        <v>456930</v>
      </c>
      <c r="N352" s="290">
        <v>162452</v>
      </c>
      <c r="O352" s="290">
        <v>294478</v>
      </c>
      <c r="P352" s="290">
        <v>111050</v>
      </c>
      <c r="Q352" s="290">
        <v>111050</v>
      </c>
      <c r="R352" s="290">
        <v>463549</v>
      </c>
      <c r="S352" s="290">
        <v>23702</v>
      </c>
      <c r="T352" s="290" t="s">
        <v>986</v>
      </c>
      <c r="U352" s="290">
        <v>246</v>
      </c>
      <c r="V352" s="290" t="s">
        <v>986</v>
      </c>
      <c r="W352" s="295" t="s">
        <v>92</v>
      </c>
    </row>
    <row r="353" spans="1:23" s="290" customFormat="1" ht="9.75" customHeight="1" x14ac:dyDescent="0.15">
      <c r="A353" s="559" t="s">
        <v>648</v>
      </c>
      <c r="B353" s="290">
        <v>595500</v>
      </c>
      <c r="C353" s="290">
        <v>10822</v>
      </c>
      <c r="D353" s="290" t="s">
        <v>986</v>
      </c>
      <c r="E353" s="290" t="s">
        <v>986</v>
      </c>
      <c r="F353" s="290" t="s">
        <v>986</v>
      </c>
      <c r="G353" s="290">
        <v>10822</v>
      </c>
      <c r="H353" s="290" t="s">
        <v>986</v>
      </c>
      <c r="I353" s="290" t="s">
        <v>986</v>
      </c>
      <c r="J353" s="290" t="s">
        <v>986</v>
      </c>
      <c r="K353" s="290" t="s">
        <v>986</v>
      </c>
      <c r="L353" s="290" t="s">
        <v>986</v>
      </c>
      <c r="M353" s="290">
        <v>495831</v>
      </c>
      <c r="N353" s="290">
        <v>159841</v>
      </c>
      <c r="O353" s="290">
        <v>335990</v>
      </c>
      <c r="P353" s="290">
        <v>88847</v>
      </c>
      <c r="Q353" s="290">
        <v>88847</v>
      </c>
      <c r="R353" s="290">
        <v>438395</v>
      </c>
      <c r="S353" s="290" t="s">
        <v>986</v>
      </c>
      <c r="T353" s="290" t="s">
        <v>986</v>
      </c>
      <c r="U353" s="290" t="s">
        <v>986</v>
      </c>
      <c r="V353" s="290" t="s">
        <v>986</v>
      </c>
      <c r="W353" s="295" t="s">
        <v>76</v>
      </c>
    </row>
    <row r="354" spans="1:23" s="290" customFormat="1" ht="9.75" customHeight="1" x14ac:dyDescent="0.15">
      <c r="A354" s="559" t="s">
        <v>649</v>
      </c>
      <c r="B354" s="290">
        <v>1016359</v>
      </c>
      <c r="C354" s="290" t="s">
        <v>986</v>
      </c>
      <c r="D354" s="290" t="s">
        <v>986</v>
      </c>
      <c r="E354" s="290" t="s">
        <v>986</v>
      </c>
      <c r="F354" s="290" t="s">
        <v>986</v>
      </c>
      <c r="G354" s="290" t="s">
        <v>986</v>
      </c>
      <c r="H354" s="290" t="s">
        <v>986</v>
      </c>
      <c r="I354" s="290" t="s">
        <v>986</v>
      </c>
      <c r="J354" s="290" t="s">
        <v>986</v>
      </c>
      <c r="K354" s="290" t="s">
        <v>986</v>
      </c>
      <c r="L354" s="290" t="s">
        <v>986</v>
      </c>
      <c r="M354" s="290">
        <v>918290</v>
      </c>
      <c r="N354" s="290">
        <v>139482</v>
      </c>
      <c r="O354" s="290">
        <v>778808</v>
      </c>
      <c r="P354" s="290">
        <v>98069</v>
      </c>
      <c r="Q354" s="290">
        <v>98069</v>
      </c>
      <c r="R354" s="290">
        <v>861151</v>
      </c>
      <c r="S354" s="290" t="s">
        <v>986</v>
      </c>
      <c r="T354" s="290" t="s">
        <v>986</v>
      </c>
      <c r="U354" s="290" t="s">
        <v>986</v>
      </c>
      <c r="V354" s="290" t="s">
        <v>986</v>
      </c>
      <c r="W354" s="295" t="s">
        <v>77</v>
      </c>
    </row>
    <row r="355" spans="1:23" s="290" customFormat="1" ht="9.75" customHeight="1" x14ac:dyDescent="0.15">
      <c r="A355" s="559" t="s">
        <v>650</v>
      </c>
      <c r="B355" s="290">
        <v>998332</v>
      </c>
      <c r="C355" s="290">
        <v>22526</v>
      </c>
      <c r="D355" s="290" t="s">
        <v>986</v>
      </c>
      <c r="E355" s="290" t="s">
        <v>986</v>
      </c>
      <c r="F355" s="290" t="s">
        <v>986</v>
      </c>
      <c r="G355" s="290" t="s">
        <v>986</v>
      </c>
      <c r="H355" s="290" t="s">
        <v>986</v>
      </c>
      <c r="I355" s="290" t="s">
        <v>986</v>
      </c>
      <c r="J355" s="290" t="s">
        <v>986</v>
      </c>
      <c r="K355" s="290" t="s">
        <v>986</v>
      </c>
      <c r="L355" s="290">
        <v>22526</v>
      </c>
      <c r="M355" s="290">
        <v>788280</v>
      </c>
      <c r="N355" s="290">
        <v>140743</v>
      </c>
      <c r="O355" s="290">
        <v>647537</v>
      </c>
      <c r="P355" s="290">
        <v>187526</v>
      </c>
      <c r="Q355" s="290">
        <v>187526</v>
      </c>
      <c r="R355" s="290">
        <v>785302</v>
      </c>
      <c r="S355" s="290">
        <v>10942</v>
      </c>
      <c r="T355" s="290" t="s">
        <v>986</v>
      </c>
      <c r="U355" s="290" t="s">
        <v>986</v>
      </c>
      <c r="V355" s="290" t="s">
        <v>986</v>
      </c>
      <c r="W355" s="295" t="s">
        <v>78</v>
      </c>
    </row>
    <row r="356" spans="1:23" s="290" customFormat="1" ht="9.75" customHeight="1" x14ac:dyDescent="0.15">
      <c r="A356" s="559" t="s">
        <v>996</v>
      </c>
      <c r="B356" s="290">
        <v>1279857</v>
      </c>
      <c r="C356" s="290">
        <v>46623</v>
      </c>
      <c r="D356" s="290" t="s">
        <v>986</v>
      </c>
      <c r="E356" s="290" t="s">
        <v>986</v>
      </c>
      <c r="F356" s="290" t="s">
        <v>986</v>
      </c>
      <c r="G356" s="290" t="s">
        <v>986</v>
      </c>
      <c r="H356" s="290" t="s">
        <v>986</v>
      </c>
      <c r="I356" s="290" t="s">
        <v>986</v>
      </c>
      <c r="J356" s="290" t="s">
        <v>986</v>
      </c>
      <c r="K356" s="290">
        <v>46623</v>
      </c>
      <c r="L356" s="290" t="s">
        <v>986</v>
      </c>
      <c r="M356" s="290">
        <v>1081714</v>
      </c>
      <c r="N356" s="290">
        <v>208321</v>
      </c>
      <c r="O356" s="290">
        <v>873393</v>
      </c>
      <c r="P356" s="290">
        <v>151520</v>
      </c>
      <c r="Q356" s="290">
        <v>151520</v>
      </c>
      <c r="R356" s="290">
        <v>1087739</v>
      </c>
      <c r="S356" s="290">
        <v>46623</v>
      </c>
      <c r="T356" s="290" t="s">
        <v>986</v>
      </c>
      <c r="U356" s="290" t="s">
        <v>986</v>
      </c>
      <c r="V356" s="290" t="s">
        <v>986</v>
      </c>
      <c r="W356" s="295" t="s">
        <v>997</v>
      </c>
    </row>
    <row r="357" spans="1:23" s="290" customFormat="1" ht="9.75" customHeight="1" x14ac:dyDescent="0.15">
      <c r="A357" s="559" t="s">
        <v>651</v>
      </c>
      <c r="B357" s="290">
        <v>846715</v>
      </c>
      <c r="C357" s="290">
        <v>72650</v>
      </c>
      <c r="D357" s="290" t="s">
        <v>986</v>
      </c>
      <c r="E357" s="290" t="s">
        <v>986</v>
      </c>
      <c r="F357" s="290" t="s">
        <v>986</v>
      </c>
      <c r="G357" s="290" t="s">
        <v>986</v>
      </c>
      <c r="H357" s="290" t="s">
        <v>986</v>
      </c>
      <c r="I357" s="290" t="s">
        <v>986</v>
      </c>
      <c r="J357" s="290">
        <v>72650</v>
      </c>
      <c r="K357" s="290" t="s">
        <v>986</v>
      </c>
      <c r="L357" s="290" t="s">
        <v>986</v>
      </c>
      <c r="M357" s="290">
        <v>641004</v>
      </c>
      <c r="N357" s="290">
        <v>61081</v>
      </c>
      <c r="O357" s="290">
        <v>579923</v>
      </c>
      <c r="P357" s="290">
        <v>133061</v>
      </c>
      <c r="Q357" s="290">
        <v>133061</v>
      </c>
      <c r="R357" s="290">
        <v>662549</v>
      </c>
      <c r="S357" s="290">
        <v>29845</v>
      </c>
      <c r="T357" s="290" t="s">
        <v>986</v>
      </c>
      <c r="U357" s="290" t="s">
        <v>986</v>
      </c>
      <c r="V357" s="290" t="s">
        <v>986</v>
      </c>
      <c r="W357" s="295" t="s">
        <v>73</v>
      </c>
    </row>
    <row r="358" spans="1:23" s="290" customFormat="1" ht="9.75" customHeight="1" x14ac:dyDescent="0.15">
      <c r="A358" s="560" t="s">
        <v>652</v>
      </c>
      <c r="B358" s="294">
        <v>944886</v>
      </c>
      <c r="C358" s="293">
        <v>118462</v>
      </c>
      <c r="D358" s="293" t="s">
        <v>986</v>
      </c>
      <c r="E358" s="293" t="s">
        <v>986</v>
      </c>
      <c r="F358" s="293" t="s">
        <v>986</v>
      </c>
      <c r="G358" s="293" t="s">
        <v>986</v>
      </c>
      <c r="H358" s="293" t="s">
        <v>986</v>
      </c>
      <c r="I358" s="293">
        <v>22047</v>
      </c>
      <c r="J358" s="293">
        <v>96415</v>
      </c>
      <c r="K358" s="293" t="s">
        <v>986</v>
      </c>
      <c r="L358" s="293" t="s">
        <v>986</v>
      </c>
      <c r="M358" s="293">
        <v>742190</v>
      </c>
      <c r="N358" s="293">
        <v>215868</v>
      </c>
      <c r="O358" s="293">
        <v>526322</v>
      </c>
      <c r="P358" s="293">
        <v>84234</v>
      </c>
      <c r="Q358" s="293">
        <v>84234</v>
      </c>
      <c r="R358" s="293">
        <v>851236</v>
      </c>
      <c r="S358" s="293">
        <v>112919</v>
      </c>
      <c r="T358" s="293" t="s">
        <v>986</v>
      </c>
      <c r="U358" s="293" t="s">
        <v>986</v>
      </c>
      <c r="V358" s="293" t="s">
        <v>986</v>
      </c>
      <c r="W358" s="291" t="s">
        <v>74</v>
      </c>
    </row>
    <row r="359" spans="1:23" ht="12" customHeight="1" x14ac:dyDescent="0.15"/>
    <row r="360" spans="1:23" ht="12" customHeight="1" x14ac:dyDescent="0.15"/>
    <row r="361" spans="1:23" ht="12" customHeight="1" x14ac:dyDescent="0.15">
      <c r="K361" s="299" t="s">
        <v>93</v>
      </c>
      <c r="V361" s="302" t="s">
        <v>858</v>
      </c>
    </row>
    <row r="362" spans="1:23" s="297" customFormat="1" ht="21" customHeight="1" x14ac:dyDescent="0.15">
      <c r="A362" s="1053" t="s">
        <v>172</v>
      </c>
      <c r="B362" s="832" t="s">
        <v>1048</v>
      </c>
      <c r="C362" s="827"/>
      <c r="D362" s="827"/>
      <c r="E362" s="827"/>
      <c r="F362" s="827"/>
      <c r="G362" s="827"/>
      <c r="H362" s="827"/>
      <c r="I362" s="827"/>
      <c r="J362" s="827"/>
      <c r="K362" s="827"/>
      <c r="L362" s="834"/>
      <c r="M362" s="826" t="s">
        <v>268</v>
      </c>
      <c r="N362" s="827"/>
      <c r="O362" s="827"/>
      <c r="P362" s="827"/>
      <c r="Q362" s="827"/>
      <c r="R362" s="827"/>
      <c r="S362" s="827"/>
      <c r="T362" s="827"/>
      <c r="U362" s="827"/>
      <c r="V362" s="827"/>
      <c r="W362" s="1056" t="s">
        <v>79</v>
      </c>
    </row>
    <row r="363" spans="1:23" s="297" customFormat="1" ht="21" customHeight="1" x14ac:dyDescent="0.15">
      <c r="A363" s="1054"/>
      <c r="B363" s="832" t="s">
        <v>260</v>
      </c>
      <c r="C363" s="827"/>
      <c r="D363" s="827"/>
      <c r="E363" s="827"/>
      <c r="F363" s="827"/>
      <c r="G363" s="834"/>
      <c r="H363" s="826" t="s">
        <v>258</v>
      </c>
      <c r="I363" s="827"/>
      <c r="J363" s="834"/>
      <c r="K363" s="826" t="s">
        <v>241</v>
      </c>
      <c r="L363" s="834"/>
      <c r="M363" s="1059" t="s">
        <v>267</v>
      </c>
      <c r="N363" s="826" t="s">
        <v>265</v>
      </c>
      <c r="O363" s="827"/>
      <c r="P363" s="827"/>
      <c r="Q363" s="827"/>
      <c r="R363" s="827"/>
      <c r="S363" s="827"/>
      <c r="T363" s="827"/>
      <c r="U363" s="834"/>
      <c r="V363" s="826" t="s">
        <v>258</v>
      </c>
      <c r="W363" s="1057"/>
    </row>
    <row r="364" spans="1:23" s="297" customFormat="1" ht="52.5" customHeight="1" x14ac:dyDescent="0.15">
      <c r="A364" s="1055"/>
      <c r="B364" s="298" t="s">
        <v>869</v>
      </c>
      <c r="C364" s="298" t="s">
        <v>264</v>
      </c>
      <c r="D364" s="298" t="s">
        <v>263</v>
      </c>
      <c r="E364" s="298" t="s">
        <v>262</v>
      </c>
      <c r="F364" s="298" t="s">
        <v>251</v>
      </c>
      <c r="G364" s="301" t="s">
        <v>853</v>
      </c>
      <c r="H364" s="696" t="s">
        <v>855</v>
      </c>
      <c r="I364" s="298" t="s">
        <v>273</v>
      </c>
      <c r="J364" s="298" t="s">
        <v>244</v>
      </c>
      <c r="K364" s="696" t="s">
        <v>860</v>
      </c>
      <c r="L364" s="298" t="s">
        <v>236</v>
      </c>
      <c r="M364" s="1060"/>
      <c r="N364" s="696" t="s">
        <v>851</v>
      </c>
      <c r="O364" s="298" t="s">
        <v>256</v>
      </c>
      <c r="P364" s="298" t="s">
        <v>869</v>
      </c>
      <c r="Q364" s="298" t="s">
        <v>264</v>
      </c>
      <c r="R364" s="298" t="s">
        <v>263</v>
      </c>
      <c r="S364" s="298" t="s">
        <v>262</v>
      </c>
      <c r="T364" s="298" t="s">
        <v>251</v>
      </c>
      <c r="U364" s="301" t="s">
        <v>853</v>
      </c>
      <c r="V364" s="695" t="s">
        <v>855</v>
      </c>
      <c r="W364" s="1058"/>
    </row>
    <row r="365" spans="1:23" s="290" customFormat="1" ht="9.75" customHeight="1" x14ac:dyDescent="0.15">
      <c r="A365" s="828" t="s">
        <v>985</v>
      </c>
      <c r="B365" s="829">
        <v>55505</v>
      </c>
      <c r="C365" s="830">
        <v>47901</v>
      </c>
      <c r="D365" s="830">
        <v>44457</v>
      </c>
      <c r="E365" s="830">
        <v>139000</v>
      </c>
      <c r="F365" s="830">
        <v>134496</v>
      </c>
      <c r="G365" s="830">
        <v>361539</v>
      </c>
      <c r="H365" s="830">
        <v>7655325</v>
      </c>
      <c r="I365" s="830">
        <v>344965</v>
      </c>
      <c r="J365" s="830">
        <v>7310360</v>
      </c>
      <c r="K365" s="830">
        <v>386453</v>
      </c>
      <c r="L365" s="830">
        <v>386453</v>
      </c>
      <c r="M365" s="830">
        <v>1930580</v>
      </c>
      <c r="N365" s="830">
        <v>919978</v>
      </c>
      <c r="O365" s="830" t="s">
        <v>986</v>
      </c>
      <c r="P365" s="830">
        <v>55526</v>
      </c>
      <c r="Q365" s="830">
        <v>62529</v>
      </c>
      <c r="R365" s="830">
        <v>128478</v>
      </c>
      <c r="S365" s="830">
        <v>130636</v>
      </c>
      <c r="T365" s="830">
        <v>112774</v>
      </c>
      <c r="U365" s="830">
        <v>430035</v>
      </c>
      <c r="V365" s="830">
        <v>651433</v>
      </c>
      <c r="W365" s="831" t="s">
        <v>485</v>
      </c>
    </row>
    <row r="366" spans="1:23" s="290" customFormat="1" ht="9.75" customHeight="1" x14ac:dyDescent="0.15">
      <c r="A366" s="559" t="s">
        <v>634</v>
      </c>
      <c r="B366" s="290">
        <v>87045</v>
      </c>
      <c r="C366" s="290">
        <v>13001</v>
      </c>
      <c r="D366" s="290">
        <v>41930</v>
      </c>
      <c r="E366" s="290">
        <v>218100</v>
      </c>
      <c r="F366" s="290">
        <v>174710</v>
      </c>
      <c r="G366" s="290">
        <v>172784</v>
      </c>
      <c r="H366" s="290">
        <v>7012175</v>
      </c>
      <c r="I366" s="290">
        <v>823301</v>
      </c>
      <c r="J366" s="290">
        <v>6188874</v>
      </c>
      <c r="K366" s="290">
        <v>526728</v>
      </c>
      <c r="L366" s="290">
        <v>526728</v>
      </c>
      <c r="M366" s="290">
        <v>1637993</v>
      </c>
      <c r="N366" s="290">
        <v>646020</v>
      </c>
      <c r="O366" s="290" t="s">
        <v>986</v>
      </c>
      <c r="P366" s="290">
        <v>85277</v>
      </c>
      <c r="Q366" s="290">
        <v>11629</v>
      </c>
      <c r="R366" s="290">
        <v>132873</v>
      </c>
      <c r="S366" s="290">
        <v>105645</v>
      </c>
      <c r="T366" s="290">
        <v>92176</v>
      </c>
      <c r="U366" s="290">
        <v>218420</v>
      </c>
      <c r="V366" s="290">
        <v>621368</v>
      </c>
      <c r="W366" s="295" t="s">
        <v>588</v>
      </c>
    </row>
    <row r="367" spans="1:23" s="290" customFormat="1" ht="9.75" customHeight="1" x14ac:dyDescent="0.15">
      <c r="A367" s="559" t="s">
        <v>635</v>
      </c>
      <c r="B367" s="290">
        <v>74175</v>
      </c>
      <c r="C367" s="290" t="s">
        <v>986</v>
      </c>
      <c r="D367" s="290">
        <v>34360</v>
      </c>
      <c r="E367" s="290">
        <v>367527</v>
      </c>
      <c r="F367" s="290">
        <v>79998</v>
      </c>
      <c r="G367" s="290">
        <v>83207</v>
      </c>
      <c r="H367" s="290">
        <v>7794656</v>
      </c>
      <c r="I367" s="290">
        <v>1213152</v>
      </c>
      <c r="J367" s="290">
        <v>6581504</v>
      </c>
      <c r="K367" s="290">
        <v>444023</v>
      </c>
      <c r="L367" s="290">
        <v>444023</v>
      </c>
      <c r="M367" s="290">
        <v>1504014</v>
      </c>
      <c r="N367" s="290">
        <v>457218</v>
      </c>
      <c r="O367" s="290" t="s">
        <v>986</v>
      </c>
      <c r="P367" s="290">
        <v>81828</v>
      </c>
      <c r="Q367" s="290" t="s">
        <v>986</v>
      </c>
      <c r="R367" s="290">
        <v>56983</v>
      </c>
      <c r="S367" s="290">
        <v>186564</v>
      </c>
      <c r="T367" s="290">
        <v>76812</v>
      </c>
      <c r="U367" s="290">
        <v>55031</v>
      </c>
      <c r="V367" s="290">
        <v>708992</v>
      </c>
      <c r="W367" s="295" t="s">
        <v>636</v>
      </c>
    </row>
    <row r="368" spans="1:23" s="290" customFormat="1" ht="9.75" customHeight="1" x14ac:dyDescent="0.15">
      <c r="A368" s="559" t="s">
        <v>774</v>
      </c>
      <c r="B368" s="290">
        <v>59550</v>
      </c>
      <c r="C368" s="290">
        <v>23242</v>
      </c>
      <c r="D368" s="290">
        <v>68111</v>
      </c>
      <c r="E368" s="290">
        <v>331318</v>
      </c>
      <c r="F368" s="290">
        <v>135930</v>
      </c>
      <c r="G368" s="290">
        <v>153775</v>
      </c>
      <c r="H368" s="290">
        <v>7570931</v>
      </c>
      <c r="I368" s="290">
        <v>1554954</v>
      </c>
      <c r="J368" s="290">
        <v>6015977</v>
      </c>
      <c r="K368" s="290">
        <v>626866</v>
      </c>
      <c r="L368" s="290">
        <v>626866</v>
      </c>
      <c r="M368" s="290">
        <v>1774942</v>
      </c>
      <c r="N368" s="290">
        <v>452069</v>
      </c>
      <c r="O368" s="290">
        <v>14052</v>
      </c>
      <c r="P368" s="290">
        <v>79071</v>
      </c>
      <c r="Q368" s="290">
        <v>23309</v>
      </c>
      <c r="R368" s="290">
        <v>101138</v>
      </c>
      <c r="S368" s="290">
        <v>120787</v>
      </c>
      <c r="T368" s="290">
        <v>47504</v>
      </c>
      <c r="U368" s="290">
        <v>66208</v>
      </c>
      <c r="V368" s="290">
        <v>761399</v>
      </c>
      <c r="W368" s="295" t="s">
        <v>775</v>
      </c>
    </row>
    <row r="369" spans="1:23" s="290" customFormat="1" ht="9.75" customHeight="1" x14ac:dyDescent="0.15">
      <c r="A369" s="559" t="s">
        <v>987</v>
      </c>
      <c r="B369" s="290" t="s">
        <v>986</v>
      </c>
      <c r="C369" s="290" t="s">
        <v>986</v>
      </c>
      <c r="D369" s="290" t="s">
        <v>986</v>
      </c>
      <c r="E369" s="290">
        <v>185266</v>
      </c>
      <c r="F369" s="290">
        <v>137275</v>
      </c>
      <c r="G369" s="290">
        <v>33743</v>
      </c>
      <c r="H369" s="290">
        <v>7677195</v>
      </c>
      <c r="I369" s="290">
        <v>1769528</v>
      </c>
      <c r="J369" s="290">
        <v>5907667</v>
      </c>
      <c r="K369" s="290">
        <v>650700</v>
      </c>
      <c r="L369" s="290">
        <v>650700</v>
      </c>
      <c r="M369" s="290">
        <v>1869181</v>
      </c>
      <c r="N369" s="290">
        <v>163648</v>
      </c>
      <c r="O369" s="290" t="s">
        <v>986</v>
      </c>
      <c r="P369" s="290">
        <v>10822</v>
      </c>
      <c r="Q369" s="290" t="s">
        <v>986</v>
      </c>
      <c r="R369" s="290" t="s">
        <v>986</v>
      </c>
      <c r="S369" s="290">
        <v>71059</v>
      </c>
      <c r="T369" s="290">
        <v>45785</v>
      </c>
      <c r="U369" s="290">
        <v>35982</v>
      </c>
      <c r="V369" s="290">
        <v>1059660</v>
      </c>
      <c r="W369" s="295" t="s">
        <v>988</v>
      </c>
    </row>
    <row r="370" spans="1:23" s="290" customFormat="1" ht="6.75" customHeight="1" x14ac:dyDescent="0.15">
      <c r="A370" s="578"/>
      <c r="W370" s="295"/>
    </row>
    <row r="371" spans="1:23" s="290" customFormat="1" ht="9.75" customHeight="1" x14ac:dyDescent="0.15">
      <c r="A371" s="559" t="s">
        <v>989</v>
      </c>
      <c r="B371" s="290">
        <v>38222</v>
      </c>
      <c r="C371" s="290" t="s">
        <v>986</v>
      </c>
      <c r="D371" s="290">
        <v>68111</v>
      </c>
      <c r="E371" s="290">
        <v>251136</v>
      </c>
      <c r="F371" s="290">
        <v>182616</v>
      </c>
      <c r="G371" s="290">
        <v>35047</v>
      </c>
      <c r="H371" s="290">
        <v>7900530</v>
      </c>
      <c r="I371" s="290">
        <v>1604421</v>
      </c>
      <c r="J371" s="290">
        <v>6296109</v>
      </c>
      <c r="K371" s="290">
        <v>593696</v>
      </c>
      <c r="L371" s="290">
        <v>593696</v>
      </c>
      <c r="M371" s="290">
        <v>1822353</v>
      </c>
      <c r="N371" s="290">
        <v>286633</v>
      </c>
      <c r="O371" s="290">
        <v>14052</v>
      </c>
      <c r="P371" s="290">
        <v>56017</v>
      </c>
      <c r="Q371" s="290" t="s">
        <v>986</v>
      </c>
      <c r="R371" s="290">
        <v>101138</v>
      </c>
      <c r="S371" s="290">
        <v>59171</v>
      </c>
      <c r="T371" s="290">
        <v>35686</v>
      </c>
      <c r="U371" s="290">
        <v>20569</v>
      </c>
      <c r="V371" s="290">
        <v>975546</v>
      </c>
      <c r="W371" s="295" t="s">
        <v>776</v>
      </c>
    </row>
    <row r="372" spans="1:23" s="290" customFormat="1" ht="9.75" customHeight="1" x14ac:dyDescent="0.15">
      <c r="A372" s="559" t="s">
        <v>990</v>
      </c>
      <c r="B372" s="290" t="s">
        <v>986</v>
      </c>
      <c r="C372" s="290" t="s">
        <v>986</v>
      </c>
      <c r="D372" s="290">
        <v>22047</v>
      </c>
      <c r="E372" s="290">
        <v>192989</v>
      </c>
      <c r="F372" s="290">
        <v>94018</v>
      </c>
      <c r="G372" s="290">
        <v>33743</v>
      </c>
      <c r="H372" s="290">
        <v>7374831</v>
      </c>
      <c r="I372" s="290">
        <v>1881329</v>
      </c>
      <c r="J372" s="290">
        <v>5493502</v>
      </c>
      <c r="K372" s="290">
        <v>740729</v>
      </c>
      <c r="L372" s="290">
        <v>740729</v>
      </c>
      <c r="M372" s="290">
        <v>1875085</v>
      </c>
      <c r="N372" s="290">
        <v>187951</v>
      </c>
      <c r="O372" s="290" t="s">
        <v>986</v>
      </c>
      <c r="P372" s="290">
        <v>10822</v>
      </c>
      <c r="Q372" s="290" t="s">
        <v>986</v>
      </c>
      <c r="R372" s="290" t="s">
        <v>986</v>
      </c>
      <c r="S372" s="290">
        <v>95362</v>
      </c>
      <c r="T372" s="290">
        <v>45785</v>
      </c>
      <c r="U372" s="290">
        <v>35982</v>
      </c>
      <c r="V372" s="290">
        <v>978154</v>
      </c>
      <c r="W372" s="295" t="s">
        <v>991</v>
      </c>
    </row>
    <row r="373" spans="1:23" s="290" customFormat="1" ht="6.75" customHeight="1" x14ac:dyDescent="0.15">
      <c r="A373" s="578"/>
      <c r="W373" s="295"/>
    </row>
    <row r="374" spans="1:23" s="290" customFormat="1" ht="9.75" customHeight="1" x14ac:dyDescent="0.15">
      <c r="A374" s="559" t="s">
        <v>992</v>
      </c>
      <c r="B374" s="290" t="s">
        <v>986</v>
      </c>
      <c r="C374" s="290" t="s">
        <v>986</v>
      </c>
      <c r="D374" s="290" t="s">
        <v>986</v>
      </c>
      <c r="E374" s="290">
        <v>112994</v>
      </c>
      <c r="F374" s="290">
        <v>89880</v>
      </c>
      <c r="G374" s="290" t="s">
        <v>986</v>
      </c>
      <c r="H374" s="290">
        <v>2520813</v>
      </c>
      <c r="I374" s="290">
        <v>373469</v>
      </c>
      <c r="J374" s="290">
        <v>2147344</v>
      </c>
      <c r="K374" s="290">
        <v>103659</v>
      </c>
      <c r="L374" s="290">
        <v>103659</v>
      </c>
      <c r="M374" s="290">
        <v>464030</v>
      </c>
      <c r="N374" s="290">
        <v>24045</v>
      </c>
      <c r="O374" s="290" t="s">
        <v>986</v>
      </c>
      <c r="P374" s="290" t="s">
        <v>986</v>
      </c>
      <c r="Q374" s="290" t="s">
        <v>986</v>
      </c>
      <c r="R374" s="290" t="s">
        <v>986</v>
      </c>
      <c r="S374" s="290">
        <v>24045</v>
      </c>
      <c r="T374" s="290" t="s">
        <v>986</v>
      </c>
      <c r="U374" s="290" t="s">
        <v>986</v>
      </c>
      <c r="V374" s="290">
        <v>327965</v>
      </c>
      <c r="W374" s="295" t="s">
        <v>777</v>
      </c>
    </row>
    <row r="375" spans="1:23" s="290" customFormat="1" ht="9.75" customHeight="1" x14ac:dyDescent="0.15">
      <c r="A375" s="559" t="s">
        <v>637</v>
      </c>
      <c r="B375" s="290" t="s">
        <v>986</v>
      </c>
      <c r="C375" s="290" t="s">
        <v>986</v>
      </c>
      <c r="D375" s="290" t="s">
        <v>986</v>
      </c>
      <c r="E375" s="290">
        <v>48397</v>
      </c>
      <c r="F375" s="290" t="s">
        <v>986</v>
      </c>
      <c r="G375" s="290">
        <v>22801</v>
      </c>
      <c r="H375" s="290">
        <v>1612958</v>
      </c>
      <c r="I375" s="290">
        <v>433966</v>
      </c>
      <c r="J375" s="290">
        <v>1178992</v>
      </c>
      <c r="K375" s="290">
        <v>205779</v>
      </c>
      <c r="L375" s="290">
        <v>205779</v>
      </c>
      <c r="M375" s="290">
        <v>431307</v>
      </c>
      <c r="N375" s="290">
        <v>71412</v>
      </c>
      <c r="O375" s="290" t="s">
        <v>986</v>
      </c>
      <c r="P375" s="290" t="s">
        <v>986</v>
      </c>
      <c r="Q375" s="290" t="s">
        <v>986</v>
      </c>
      <c r="R375" s="290" t="s">
        <v>986</v>
      </c>
      <c r="S375" s="290">
        <v>47014</v>
      </c>
      <c r="T375" s="290" t="s">
        <v>986</v>
      </c>
      <c r="U375" s="290">
        <v>24398</v>
      </c>
      <c r="V375" s="290">
        <v>186092</v>
      </c>
      <c r="W375" s="295" t="s">
        <v>85</v>
      </c>
    </row>
    <row r="376" spans="1:23" s="290" customFormat="1" ht="9.75" customHeight="1" x14ac:dyDescent="0.15">
      <c r="A376" s="559" t="s">
        <v>638</v>
      </c>
      <c r="B376" s="290" t="s">
        <v>986</v>
      </c>
      <c r="C376" s="290" t="s">
        <v>986</v>
      </c>
      <c r="D376" s="290" t="s">
        <v>986</v>
      </c>
      <c r="E376" s="290">
        <v>23875</v>
      </c>
      <c r="F376" s="290">
        <v>47395</v>
      </c>
      <c r="G376" s="290" t="s">
        <v>986</v>
      </c>
      <c r="H376" s="290">
        <v>1654921</v>
      </c>
      <c r="I376" s="290">
        <v>522027</v>
      </c>
      <c r="J376" s="290">
        <v>1132894</v>
      </c>
      <c r="K376" s="290">
        <v>155859</v>
      </c>
      <c r="L376" s="290">
        <v>155859</v>
      </c>
      <c r="M376" s="290">
        <v>448501</v>
      </c>
      <c r="N376" s="290">
        <v>45785</v>
      </c>
      <c r="O376" s="290" t="s">
        <v>986</v>
      </c>
      <c r="P376" s="290" t="s">
        <v>986</v>
      </c>
      <c r="Q376" s="290" t="s">
        <v>986</v>
      </c>
      <c r="R376" s="290" t="s">
        <v>986</v>
      </c>
      <c r="S376" s="290" t="s">
        <v>986</v>
      </c>
      <c r="T376" s="290">
        <v>45785</v>
      </c>
      <c r="U376" s="290" t="s">
        <v>986</v>
      </c>
      <c r="V376" s="290">
        <v>231705</v>
      </c>
      <c r="W376" s="295" t="s">
        <v>86</v>
      </c>
    </row>
    <row r="377" spans="1:23" s="290" customFormat="1" ht="9.75" customHeight="1" x14ac:dyDescent="0.15">
      <c r="A377" s="559" t="s">
        <v>639</v>
      </c>
      <c r="B377" s="290" t="s">
        <v>986</v>
      </c>
      <c r="C377" s="290" t="s">
        <v>986</v>
      </c>
      <c r="D377" s="290" t="s">
        <v>986</v>
      </c>
      <c r="E377" s="290" t="s">
        <v>986</v>
      </c>
      <c r="F377" s="290" t="s">
        <v>986</v>
      </c>
      <c r="G377" s="290">
        <v>10942</v>
      </c>
      <c r="H377" s="290">
        <v>1888503</v>
      </c>
      <c r="I377" s="290">
        <v>440066</v>
      </c>
      <c r="J377" s="290">
        <v>1448437</v>
      </c>
      <c r="K377" s="290">
        <v>185403</v>
      </c>
      <c r="L377" s="290">
        <v>185403</v>
      </c>
      <c r="M377" s="290">
        <v>525343</v>
      </c>
      <c r="N377" s="290">
        <v>22406</v>
      </c>
      <c r="O377" s="290" t="s">
        <v>986</v>
      </c>
      <c r="P377" s="290">
        <v>10822</v>
      </c>
      <c r="Q377" s="290" t="s">
        <v>986</v>
      </c>
      <c r="R377" s="290" t="s">
        <v>986</v>
      </c>
      <c r="S377" s="290" t="s">
        <v>986</v>
      </c>
      <c r="T377" s="290" t="s">
        <v>986</v>
      </c>
      <c r="U377" s="290">
        <v>11584</v>
      </c>
      <c r="V377" s="290">
        <v>313898</v>
      </c>
      <c r="W377" s="295" t="s">
        <v>87</v>
      </c>
    </row>
    <row r="378" spans="1:23" s="290" customFormat="1" ht="9.75" customHeight="1" x14ac:dyDescent="0.15">
      <c r="A378" s="559" t="s">
        <v>993</v>
      </c>
      <c r="B378" s="290" t="s">
        <v>986</v>
      </c>
      <c r="C378" s="290" t="s">
        <v>986</v>
      </c>
      <c r="D378" s="290">
        <v>22047</v>
      </c>
      <c r="E378" s="290">
        <v>120717</v>
      </c>
      <c r="F378" s="290">
        <v>46623</v>
      </c>
      <c r="G378" s="290" t="s">
        <v>986</v>
      </c>
      <c r="H378" s="290">
        <v>2218449</v>
      </c>
      <c r="I378" s="290">
        <v>485270</v>
      </c>
      <c r="J378" s="290">
        <v>1733179</v>
      </c>
      <c r="K378" s="290">
        <v>193688</v>
      </c>
      <c r="L378" s="290">
        <v>193688</v>
      </c>
      <c r="M378" s="290">
        <v>469934</v>
      </c>
      <c r="N378" s="290">
        <v>48348</v>
      </c>
      <c r="O378" s="290" t="s">
        <v>986</v>
      </c>
      <c r="P378" s="290" t="s">
        <v>986</v>
      </c>
      <c r="Q378" s="290" t="s">
        <v>986</v>
      </c>
      <c r="R378" s="290" t="s">
        <v>986</v>
      </c>
      <c r="S378" s="290">
        <v>48348</v>
      </c>
      <c r="T378" s="290" t="s">
        <v>986</v>
      </c>
      <c r="U378" s="290" t="s">
        <v>986</v>
      </c>
      <c r="V378" s="290">
        <v>246459</v>
      </c>
      <c r="W378" s="295" t="s">
        <v>994</v>
      </c>
    </row>
    <row r="379" spans="1:23" s="290" customFormat="1" ht="6.75" customHeight="1" x14ac:dyDescent="0.15">
      <c r="A379" s="578"/>
      <c r="W379" s="295"/>
    </row>
    <row r="380" spans="1:23" s="290" customFormat="1" ht="9.75" customHeight="1" x14ac:dyDescent="0.15">
      <c r="A380" s="559" t="s">
        <v>995</v>
      </c>
      <c r="B380" s="290" t="s">
        <v>986</v>
      </c>
      <c r="C380" s="290" t="s">
        <v>986</v>
      </c>
      <c r="D380" s="290" t="s">
        <v>986</v>
      </c>
      <c r="E380" s="290">
        <v>30269</v>
      </c>
      <c r="F380" s="290" t="s">
        <v>986</v>
      </c>
      <c r="G380" s="290" t="s">
        <v>986</v>
      </c>
      <c r="H380" s="290">
        <v>756534</v>
      </c>
      <c r="I380" s="290">
        <v>78591</v>
      </c>
      <c r="J380" s="290">
        <v>677943</v>
      </c>
      <c r="K380" s="290">
        <v>47491</v>
      </c>
      <c r="L380" s="290">
        <v>47491</v>
      </c>
      <c r="M380" s="290">
        <v>160569</v>
      </c>
      <c r="N380" s="290" t="s">
        <v>986</v>
      </c>
      <c r="O380" s="290" t="s">
        <v>986</v>
      </c>
      <c r="P380" s="290" t="s">
        <v>986</v>
      </c>
      <c r="Q380" s="290" t="s">
        <v>986</v>
      </c>
      <c r="R380" s="290" t="s">
        <v>986</v>
      </c>
      <c r="S380" s="290" t="s">
        <v>986</v>
      </c>
      <c r="T380" s="290" t="s">
        <v>986</v>
      </c>
      <c r="U380" s="290" t="s">
        <v>986</v>
      </c>
      <c r="V380" s="290">
        <v>116847</v>
      </c>
      <c r="W380" s="295" t="s">
        <v>778</v>
      </c>
    </row>
    <row r="381" spans="1:23" s="290" customFormat="1" ht="9.75" customHeight="1" x14ac:dyDescent="0.15">
      <c r="A381" s="559" t="s">
        <v>640</v>
      </c>
      <c r="B381" s="290" t="s">
        <v>986</v>
      </c>
      <c r="C381" s="290" t="s">
        <v>986</v>
      </c>
      <c r="D381" s="290" t="s">
        <v>986</v>
      </c>
      <c r="E381" s="290">
        <v>35920</v>
      </c>
      <c r="F381" s="290">
        <v>89880</v>
      </c>
      <c r="G381" s="290" t="s">
        <v>986</v>
      </c>
      <c r="H381" s="290">
        <v>682636</v>
      </c>
      <c r="I381" s="290">
        <v>136860</v>
      </c>
      <c r="J381" s="290">
        <v>545776</v>
      </c>
      <c r="K381" s="290">
        <v>23064</v>
      </c>
      <c r="L381" s="290">
        <v>23064</v>
      </c>
      <c r="M381" s="290">
        <v>142598</v>
      </c>
      <c r="N381" s="290">
        <v>24045</v>
      </c>
      <c r="O381" s="290" t="s">
        <v>986</v>
      </c>
      <c r="P381" s="290" t="s">
        <v>986</v>
      </c>
      <c r="Q381" s="290" t="s">
        <v>986</v>
      </c>
      <c r="R381" s="290" t="s">
        <v>986</v>
      </c>
      <c r="S381" s="290">
        <v>24045</v>
      </c>
      <c r="T381" s="290" t="s">
        <v>986</v>
      </c>
      <c r="U381" s="290" t="s">
        <v>986</v>
      </c>
      <c r="V381" s="290">
        <v>96258</v>
      </c>
      <c r="W381" s="295" t="s">
        <v>73</v>
      </c>
    </row>
    <row r="382" spans="1:23" s="290" customFormat="1" ht="9.75" customHeight="1" x14ac:dyDescent="0.15">
      <c r="A382" s="559" t="s">
        <v>641</v>
      </c>
      <c r="B382" s="290" t="s">
        <v>986</v>
      </c>
      <c r="C382" s="290" t="s">
        <v>986</v>
      </c>
      <c r="D382" s="290" t="s">
        <v>986</v>
      </c>
      <c r="E382" s="290">
        <v>46805</v>
      </c>
      <c r="F382" s="290" t="s">
        <v>986</v>
      </c>
      <c r="G382" s="290" t="s">
        <v>986</v>
      </c>
      <c r="H382" s="290">
        <v>1081643</v>
      </c>
      <c r="I382" s="290">
        <v>158018</v>
      </c>
      <c r="J382" s="290">
        <v>923625</v>
      </c>
      <c r="K382" s="290">
        <v>33104</v>
      </c>
      <c r="L382" s="290">
        <v>33104</v>
      </c>
      <c r="M382" s="290">
        <v>160863</v>
      </c>
      <c r="N382" s="290" t="s">
        <v>986</v>
      </c>
      <c r="O382" s="290" t="s">
        <v>986</v>
      </c>
      <c r="P382" s="290" t="s">
        <v>986</v>
      </c>
      <c r="Q382" s="290" t="s">
        <v>986</v>
      </c>
      <c r="R382" s="290" t="s">
        <v>986</v>
      </c>
      <c r="S382" s="290" t="s">
        <v>986</v>
      </c>
      <c r="T382" s="290" t="s">
        <v>986</v>
      </c>
      <c r="U382" s="290" t="s">
        <v>986</v>
      </c>
      <c r="V382" s="290">
        <v>114860</v>
      </c>
      <c r="W382" s="295" t="s">
        <v>74</v>
      </c>
    </row>
    <row r="383" spans="1:23" s="290" customFormat="1" ht="9.75" customHeight="1" x14ac:dyDescent="0.15">
      <c r="A383" s="559" t="s">
        <v>642</v>
      </c>
      <c r="B383" s="290" t="s">
        <v>986</v>
      </c>
      <c r="C383" s="290" t="s">
        <v>986</v>
      </c>
      <c r="D383" s="290" t="s">
        <v>986</v>
      </c>
      <c r="E383" s="290">
        <v>48397</v>
      </c>
      <c r="F383" s="290" t="s">
        <v>986</v>
      </c>
      <c r="G383" s="290" t="s">
        <v>986</v>
      </c>
      <c r="H383" s="290">
        <v>587330</v>
      </c>
      <c r="I383" s="290">
        <v>161070</v>
      </c>
      <c r="J383" s="290">
        <v>426260</v>
      </c>
      <c r="K383" s="290">
        <v>43032</v>
      </c>
      <c r="L383" s="290">
        <v>43032</v>
      </c>
      <c r="M383" s="290">
        <v>123597</v>
      </c>
      <c r="N383" s="290">
        <v>37739</v>
      </c>
      <c r="O383" s="290" t="s">
        <v>986</v>
      </c>
      <c r="P383" s="290" t="s">
        <v>986</v>
      </c>
      <c r="Q383" s="290" t="s">
        <v>986</v>
      </c>
      <c r="R383" s="290" t="s">
        <v>986</v>
      </c>
      <c r="S383" s="290">
        <v>37739</v>
      </c>
      <c r="T383" s="290" t="s">
        <v>986</v>
      </c>
      <c r="U383" s="290" t="s">
        <v>986</v>
      </c>
      <c r="V383" s="290">
        <v>35585</v>
      </c>
      <c r="W383" s="295" t="s">
        <v>75</v>
      </c>
    </row>
    <row r="384" spans="1:23" s="290" customFormat="1" ht="9.75" customHeight="1" x14ac:dyDescent="0.15">
      <c r="A384" s="559" t="s">
        <v>643</v>
      </c>
      <c r="B384" s="290" t="s">
        <v>986</v>
      </c>
      <c r="C384" s="290" t="s">
        <v>986</v>
      </c>
      <c r="D384" s="290" t="s">
        <v>986</v>
      </c>
      <c r="E384" s="290" t="s">
        <v>986</v>
      </c>
      <c r="F384" s="290" t="s">
        <v>986</v>
      </c>
      <c r="G384" s="290">
        <v>22801</v>
      </c>
      <c r="H384" s="290">
        <v>511263</v>
      </c>
      <c r="I384" s="290">
        <v>138372</v>
      </c>
      <c r="J384" s="290">
        <v>372891</v>
      </c>
      <c r="K384" s="290">
        <v>75995</v>
      </c>
      <c r="L384" s="290">
        <v>75995</v>
      </c>
      <c r="M384" s="290">
        <v>167724</v>
      </c>
      <c r="N384" s="290">
        <v>33673</v>
      </c>
      <c r="O384" s="290" t="s">
        <v>986</v>
      </c>
      <c r="P384" s="290" t="s">
        <v>986</v>
      </c>
      <c r="Q384" s="290" t="s">
        <v>986</v>
      </c>
      <c r="R384" s="290" t="s">
        <v>986</v>
      </c>
      <c r="S384" s="290">
        <v>9275</v>
      </c>
      <c r="T384" s="290" t="s">
        <v>986</v>
      </c>
      <c r="U384" s="290">
        <v>24398</v>
      </c>
      <c r="V384" s="290">
        <v>74687</v>
      </c>
      <c r="W384" s="295" t="s">
        <v>88</v>
      </c>
    </row>
    <row r="385" spans="1:23" s="290" customFormat="1" ht="9.75" customHeight="1" x14ac:dyDescent="0.15">
      <c r="A385" s="559" t="s">
        <v>644</v>
      </c>
      <c r="B385" s="290" t="s">
        <v>986</v>
      </c>
      <c r="C385" s="290" t="s">
        <v>986</v>
      </c>
      <c r="D385" s="290" t="s">
        <v>986</v>
      </c>
      <c r="E385" s="290" t="s">
        <v>986</v>
      </c>
      <c r="F385" s="290" t="s">
        <v>986</v>
      </c>
      <c r="G385" s="290" t="s">
        <v>986</v>
      </c>
      <c r="H385" s="290">
        <v>514365</v>
      </c>
      <c r="I385" s="290">
        <v>134524</v>
      </c>
      <c r="J385" s="290">
        <v>379841</v>
      </c>
      <c r="K385" s="290">
        <v>86752</v>
      </c>
      <c r="L385" s="290">
        <v>86752</v>
      </c>
      <c r="M385" s="290">
        <v>139986</v>
      </c>
      <c r="N385" s="290" t="s">
        <v>986</v>
      </c>
      <c r="O385" s="290" t="s">
        <v>986</v>
      </c>
      <c r="P385" s="290" t="s">
        <v>986</v>
      </c>
      <c r="Q385" s="290" t="s">
        <v>986</v>
      </c>
      <c r="R385" s="290" t="s">
        <v>986</v>
      </c>
      <c r="S385" s="290" t="s">
        <v>986</v>
      </c>
      <c r="T385" s="290" t="s">
        <v>986</v>
      </c>
      <c r="U385" s="290" t="s">
        <v>986</v>
      </c>
      <c r="V385" s="290">
        <v>75820</v>
      </c>
      <c r="W385" s="295" t="s">
        <v>89</v>
      </c>
    </row>
    <row r="386" spans="1:23" s="290" customFormat="1" ht="9.75" customHeight="1" x14ac:dyDescent="0.15">
      <c r="A386" s="559" t="s">
        <v>645</v>
      </c>
      <c r="B386" s="290" t="s">
        <v>986</v>
      </c>
      <c r="C386" s="290" t="s">
        <v>986</v>
      </c>
      <c r="D386" s="290" t="s">
        <v>986</v>
      </c>
      <c r="E386" s="290">
        <v>23865</v>
      </c>
      <c r="F386" s="290">
        <v>23939</v>
      </c>
      <c r="G386" s="290" t="s">
        <v>986</v>
      </c>
      <c r="H386" s="290">
        <v>666120</v>
      </c>
      <c r="I386" s="290">
        <v>180578</v>
      </c>
      <c r="J386" s="290">
        <v>485542</v>
      </c>
      <c r="K386" s="290">
        <v>31109</v>
      </c>
      <c r="L386" s="290">
        <v>31109</v>
      </c>
      <c r="M386" s="290">
        <v>157160</v>
      </c>
      <c r="N386" s="290">
        <v>22276</v>
      </c>
      <c r="O386" s="290" t="s">
        <v>986</v>
      </c>
      <c r="P386" s="290" t="s">
        <v>986</v>
      </c>
      <c r="Q386" s="290" t="s">
        <v>986</v>
      </c>
      <c r="R386" s="290" t="s">
        <v>986</v>
      </c>
      <c r="S386" s="290" t="s">
        <v>986</v>
      </c>
      <c r="T386" s="290">
        <v>22276</v>
      </c>
      <c r="U386" s="290" t="s">
        <v>986</v>
      </c>
      <c r="V386" s="290">
        <v>82726</v>
      </c>
      <c r="W386" s="295" t="s">
        <v>90</v>
      </c>
    </row>
    <row r="387" spans="1:23" s="290" customFormat="1" ht="9.75" customHeight="1" x14ac:dyDescent="0.15">
      <c r="A387" s="559" t="s">
        <v>646</v>
      </c>
      <c r="B387" s="290" t="s">
        <v>986</v>
      </c>
      <c r="C387" s="290" t="s">
        <v>986</v>
      </c>
      <c r="D387" s="290" t="s">
        <v>986</v>
      </c>
      <c r="E387" s="290">
        <v>10</v>
      </c>
      <c r="F387" s="290" t="s">
        <v>986</v>
      </c>
      <c r="G387" s="290" t="s">
        <v>986</v>
      </c>
      <c r="H387" s="290">
        <v>603733</v>
      </c>
      <c r="I387" s="290">
        <v>178997</v>
      </c>
      <c r="J387" s="290">
        <v>424736</v>
      </c>
      <c r="K387" s="290">
        <v>69971</v>
      </c>
      <c r="L387" s="290">
        <v>69971</v>
      </c>
      <c r="M387" s="290">
        <v>139699</v>
      </c>
      <c r="N387" s="290" t="s">
        <v>986</v>
      </c>
      <c r="O387" s="290" t="s">
        <v>986</v>
      </c>
      <c r="P387" s="290" t="s">
        <v>986</v>
      </c>
      <c r="Q387" s="290" t="s">
        <v>986</v>
      </c>
      <c r="R387" s="290" t="s">
        <v>986</v>
      </c>
      <c r="S387" s="290" t="s">
        <v>986</v>
      </c>
      <c r="T387" s="290" t="s">
        <v>986</v>
      </c>
      <c r="U387" s="290" t="s">
        <v>986</v>
      </c>
      <c r="V387" s="290">
        <v>77117</v>
      </c>
      <c r="W387" s="295" t="s">
        <v>91</v>
      </c>
    </row>
    <row r="388" spans="1:23" s="290" customFormat="1" ht="9.75" customHeight="1" x14ac:dyDescent="0.15">
      <c r="A388" s="559" t="s">
        <v>647</v>
      </c>
      <c r="B388" s="290" t="s">
        <v>986</v>
      </c>
      <c r="C388" s="290" t="s">
        <v>986</v>
      </c>
      <c r="D388" s="290" t="s">
        <v>986</v>
      </c>
      <c r="E388" s="290" t="s">
        <v>986</v>
      </c>
      <c r="F388" s="290">
        <v>23456</v>
      </c>
      <c r="G388" s="290" t="s">
        <v>986</v>
      </c>
      <c r="H388" s="290">
        <v>385068</v>
      </c>
      <c r="I388" s="290">
        <v>162452</v>
      </c>
      <c r="J388" s="290">
        <v>222616</v>
      </c>
      <c r="K388" s="290">
        <v>54779</v>
      </c>
      <c r="L388" s="290">
        <v>54779</v>
      </c>
      <c r="M388" s="290">
        <v>151642</v>
      </c>
      <c r="N388" s="290">
        <v>23509</v>
      </c>
      <c r="O388" s="290" t="s">
        <v>986</v>
      </c>
      <c r="P388" s="290" t="s">
        <v>986</v>
      </c>
      <c r="Q388" s="290" t="s">
        <v>986</v>
      </c>
      <c r="R388" s="290" t="s">
        <v>986</v>
      </c>
      <c r="S388" s="290" t="s">
        <v>986</v>
      </c>
      <c r="T388" s="290">
        <v>23509</v>
      </c>
      <c r="U388" s="290" t="s">
        <v>986</v>
      </c>
      <c r="V388" s="290">
        <v>71862</v>
      </c>
      <c r="W388" s="295" t="s">
        <v>92</v>
      </c>
    </row>
    <row r="389" spans="1:23" s="290" customFormat="1" ht="9.75" customHeight="1" x14ac:dyDescent="0.15">
      <c r="A389" s="559" t="s">
        <v>648</v>
      </c>
      <c r="B389" s="290" t="s">
        <v>986</v>
      </c>
      <c r="C389" s="290" t="s">
        <v>986</v>
      </c>
      <c r="D389" s="290" t="s">
        <v>986</v>
      </c>
      <c r="E389" s="290" t="s">
        <v>986</v>
      </c>
      <c r="F389" s="290" t="s">
        <v>986</v>
      </c>
      <c r="G389" s="290" t="s">
        <v>986</v>
      </c>
      <c r="H389" s="290">
        <v>407514</v>
      </c>
      <c r="I389" s="290">
        <v>159841</v>
      </c>
      <c r="J389" s="290">
        <v>247673</v>
      </c>
      <c r="K389" s="290">
        <v>30881</v>
      </c>
      <c r="L389" s="290">
        <v>30881</v>
      </c>
      <c r="M389" s="290">
        <v>157105</v>
      </c>
      <c r="N389" s="290">
        <v>10822</v>
      </c>
      <c r="O389" s="290" t="s">
        <v>986</v>
      </c>
      <c r="P389" s="290">
        <v>10822</v>
      </c>
      <c r="Q389" s="290" t="s">
        <v>986</v>
      </c>
      <c r="R389" s="290" t="s">
        <v>986</v>
      </c>
      <c r="S389" s="290" t="s">
        <v>986</v>
      </c>
      <c r="T389" s="290" t="s">
        <v>986</v>
      </c>
      <c r="U389" s="290" t="s">
        <v>986</v>
      </c>
      <c r="V389" s="290">
        <v>88317</v>
      </c>
      <c r="W389" s="295" t="s">
        <v>76</v>
      </c>
    </row>
    <row r="390" spans="1:23" s="290" customFormat="1" ht="9.75" customHeight="1" x14ac:dyDescent="0.15">
      <c r="A390" s="559" t="s">
        <v>649</v>
      </c>
      <c r="B390" s="290" t="s">
        <v>986</v>
      </c>
      <c r="C390" s="290" t="s">
        <v>986</v>
      </c>
      <c r="D390" s="290" t="s">
        <v>986</v>
      </c>
      <c r="E390" s="290" t="s">
        <v>986</v>
      </c>
      <c r="F390" s="290" t="s">
        <v>986</v>
      </c>
      <c r="G390" s="290" t="s">
        <v>986</v>
      </c>
      <c r="H390" s="290">
        <v>806715</v>
      </c>
      <c r="I390" s="290">
        <v>139482</v>
      </c>
      <c r="J390" s="290">
        <v>667233</v>
      </c>
      <c r="K390" s="290">
        <v>54436</v>
      </c>
      <c r="L390" s="290">
        <v>54436</v>
      </c>
      <c r="M390" s="290">
        <v>155208</v>
      </c>
      <c r="N390" s="290" t="s">
        <v>986</v>
      </c>
      <c r="O390" s="290" t="s">
        <v>986</v>
      </c>
      <c r="P390" s="290" t="s">
        <v>986</v>
      </c>
      <c r="Q390" s="290" t="s">
        <v>986</v>
      </c>
      <c r="R390" s="290" t="s">
        <v>986</v>
      </c>
      <c r="S390" s="290" t="s">
        <v>986</v>
      </c>
      <c r="T390" s="290" t="s">
        <v>986</v>
      </c>
      <c r="U390" s="290" t="s">
        <v>986</v>
      </c>
      <c r="V390" s="290">
        <v>111575</v>
      </c>
      <c r="W390" s="295" t="s">
        <v>77</v>
      </c>
    </row>
    <row r="391" spans="1:23" s="290" customFormat="1" ht="9.75" customHeight="1" x14ac:dyDescent="0.15">
      <c r="A391" s="559" t="s">
        <v>650</v>
      </c>
      <c r="B391" s="290" t="s">
        <v>986</v>
      </c>
      <c r="C391" s="290" t="s">
        <v>986</v>
      </c>
      <c r="D391" s="290" t="s">
        <v>986</v>
      </c>
      <c r="E391" s="290" t="s">
        <v>986</v>
      </c>
      <c r="F391" s="290" t="s">
        <v>986</v>
      </c>
      <c r="G391" s="290">
        <v>10942</v>
      </c>
      <c r="H391" s="290">
        <v>674274</v>
      </c>
      <c r="I391" s="290">
        <v>140743</v>
      </c>
      <c r="J391" s="290">
        <v>533531</v>
      </c>
      <c r="K391" s="290">
        <v>100086</v>
      </c>
      <c r="L391" s="290">
        <v>100086</v>
      </c>
      <c r="M391" s="290">
        <v>213030</v>
      </c>
      <c r="N391" s="290">
        <v>11584</v>
      </c>
      <c r="O391" s="290" t="s">
        <v>986</v>
      </c>
      <c r="P391" s="290" t="s">
        <v>986</v>
      </c>
      <c r="Q391" s="290" t="s">
        <v>986</v>
      </c>
      <c r="R391" s="290" t="s">
        <v>986</v>
      </c>
      <c r="S391" s="290" t="s">
        <v>986</v>
      </c>
      <c r="T391" s="290" t="s">
        <v>986</v>
      </c>
      <c r="U391" s="290">
        <v>11584</v>
      </c>
      <c r="V391" s="290">
        <v>114006</v>
      </c>
      <c r="W391" s="295" t="s">
        <v>78</v>
      </c>
    </row>
    <row r="392" spans="1:23" s="290" customFormat="1" ht="9.75" customHeight="1" x14ac:dyDescent="0.15">
      <c r="A392" s="559" t="s">
        <v>996</v>
      </c>
      <c r="B392" s="290" t="s">
        <v>986</v>
      </c>
      <c r="C392" s="290" t="s">
        <v>986</v>
      </c>
      <c r="D392" s="290" t="s">
        <v>986</v>
      </c>
      <c r="E392" s="290" t="s">
        <v>986</v>
      </c>
      <c r="F392" s="290">
        <v>46623</v>
      </c>
      <c r="G392" s="290" t="s">
        <v>986</v>
      </c>
      <c r="H392" s="290">
        <v>949868</v>
      </c>
      <c r="I392" s="290">
        <v>208321</v>
      </c>
      <c r="J392" s="290">
        <v>741547</v>
      </c>
      <c r="K392" s="290">
        <v>91248</v>
      </c>
      <c r="L392" s="290">
        <v>91248</v>
      </c>
      <c r="M392" s="290">
        <v>192118</v>
      </c>
      <c r="N392" s="290" t="s">
        <v>986</v>
      </c>
      <c r="O392" s="290" t="s">
        <v>986</v>
      </c>
      <c r="P392" s="290" t="s">
        <v>986</v>
      </c>
      <c r="Q392" s="290" t="s">
        <v>986</v>
      </c>
      <c r="R392" s="290" t="s">
        <v>986</v>
      </c>
      <c r="S392" s="290" t="s">
        <v>986</v>
      </c>
      <c r="T392" s="290" t="s">
        <v>986</v>
      </c>
      <c r="U392" s="290" t="s">
        <v>986</v>
      </c>
      <c r="V392" s="290">
        <v>131846</v>
      </c>
      <c r="W392" s="295" t="s">
        <v>997</v>
      </c>
    </row>
    <row r="393" spans="1:23" s="290" customFormat="1" ht="9.75" customHeight="1" x14ac:dyDescent="0.15">
      <c r="A393" s="559" t="s">
        <v>651</v>
      </c>
      <c r="B393" s="290" t="s">
        <v>986</v>
      </c>
      <c r="C393" s="290" t="s">
        <v>986</v>
      </c>
      <c r="D393" s="290" t="s">
        <v>986</v>
      </c>
      <c r="E393" s="290">
        <v>29845</v>
      </c>
      <c r="F393" s="290" t="s">
        <v>986</v>
      </c>
      <c r="G393" s="290" t="s">
        <v>986</v>
      </c>
      <c r="H393" s="290">
        <v>566599</v>
      </c>
      <c r="I393" s="290">
        <v>61081</v>
      </c>
      <c r="J393" s="290">
        <v>505518</v>
      </c>
      <c r="K393" s="290">
        <v>66105</v>
      </c>
      <c r="L393" s="290">
        <v>66105</v>
      </c>
      <c r="M393" s="290">
        <v>184166</v>
      </c>
      <c r="N393" s="290">
        <v>42805</v>
      </c>
      <c r="O393" s="290" t="s">
        <v>986</v>
      </c>
      <c r="P393" s="290" t="s">
        <v>986</v>
      </c>
      <c r="Q393" s="290" t="s">
        <v>986</v>
      </c>
      <c r="R393" s="290" t="s">
        <v>986</v>
      </c>
      <c r="S393" s="290">
        <v>42805</v>
      </c>
      <c r="T393" s="290" t="s">
        <v>986</v>
      </c>
      <c r="U393" s="290" t="s">
        <v>986</v>
      </c>
      <c r="V393" s="290">
        <v>74405</v>
      </c>
      <c r="W393" s="295" t="s">
        <v>73</v>
      </c>
    </row>
    <row r="394" spans="1:23" s="290" customFormat="1" ht="9.75" customHeight="1" x14ac:dyDescent="0.15">
      <c r="A394" s="560" t="s">
        <v>652</v>
      </c>
      <c r="B394" s="294" t="s">
        <v>986</v>
      </c>
      <c r="C394" s="293" t="s">
        <v>986</v>
      </c>
      <c r="D394" s="293">
        <v>22047</v>
      </c>
      <c r="E394" s="293">
        <v>90872</v>
      </c>
      <c r="F394" s="293" t="s">
        <v>986</v>
      </c>
      <c r="G394" s="293" t="s">
        <v>986</v>
      </c>
      <c r="H394" s="293">
        <v>701982</v>
      </c>
      <c r="I394" s="293">
        <v>215868</v>
      </c>
      <c r="J394" s="293">
        <v>486114</v>
      </c>
      <c r="K394" s="293">
        <v>36335</v>
      </c>
      <c r="L394" s="293">
        <v>36335</v>
      </c>
      <c r="M394" s="293">
        <v>93650</v>
      </c>
      <c r="N394" s="293">
        <v>5543</v>
      </c>
      <c r="O394" s="293" t="s">
        <v>986</v>
      </c>
      <c r="P394" s="293" t="s">
        <v>986</v>
      </c>
      <c r="Q394" s="293" t="s">
        <v>986</v>
      </c>
      <c r="R394" s="293" t="s">
        <v>986</v>
      </c>
      <c r="S394" s="293">
        <v>5543</v>
      </c>
      <c r="T394" s="293" t="s">
        <v>986</v>
      </c>
      <c r="U394" s="293" t="s">
        <v>986</v>
      </c>
      <c r="V394" s="293">
        <v>40208</v>
      </c>
      <c r="W394" s="291" t="s">
        <v>74</v>
      </c>
    </row>
    <row r="395" spans="1:23" ht="12" customHeight="1" x14ac:dyDescent="0.15"/>
    <row r="396" spans="1:23" ht="12" customHeight="1" x14ac:dyDescent="0.15"/>
    <row r="397" spans="1:23" ht="12" customHeight="1" x14ac:dyDescent="0.15"/>
    <row r="398" spans="1:23" s="297" customFormat="1" ht="21" customHeight="1" x14ac:dyDescent="0.15">
      <c r="A398" s="1053" t="s">
        <v>172</v>
      </c>
      <c r="B398" s="832" t="s">
        <v>1049</v>
      </c>
      <c r="C398" s="827"/>
      <c r="D398" s="834"/>
      <c r="E398" s="1056" t="s">
        <v>79</v>
      </c>
    </row>
    <row r="399" spans="1:23" s="297" customFormat="1" ht="21" customHeight="1" x14ac:dyDescent="0.15">
      <c r="A399" s="1054"/>
      <c r="B399" s="837" t="s">
        <v>1050</v>
      </c>
      <c r="C399" s="826" t="s">
        <v>241</v>
      </c>
      <c r="D399" s="834"/>
      <c r="E399" s="1057"/>
    </row>
    <row r="400" spans="1:23" s="297" customFormat="1" ht="52.5" customHeight="1" x14ac:dyDescent="0.15">
      <c r="A400" s="1055"/>
      <c r="B400" s="298" t="s">
        <v>244</v>
      </c>
      <c r="C400" s="696" t="s">
        <v>860</v>
      </c>
      <c r="D400" s="298" t="s">
        <v>236</v>
      </c>
      <c r="E400" s="1058"/>
    </row>
    <row r="401" spans="1:5" s="290" customFormat="1" ht="9.75" customHeight="1" x14ac:dyDescent="0.15">
      <c r="A401" s="828" t="s">
        <v>985</v>
      </c>
      <c r="B401" s="829">
        <v>651433</v>
      </c>
      <c r="C401" s="830">
        <v>359169</v>
      </c>
      <c r="D401" s="840">
        <v>359169</v>
      </c>
      <c r="E401" s="831" t="s">
        <v>485</v>
      </c>
    </row>
    <row r="402" spans="1:5" s="290" customFormat="1" ht="9.75" customHeight="1" x14ac:dyDescent="0.15">
      <c r="A402" s="559" t="s">
        <v>634</v>
      </c>
      <c r="B402" s="290">
        <v>621368</v>
      </c>
      <c r="C402" s="290">
        <v>370605</v>
      </c>
      <c r="D402" s="296">
        <v>370605</v>
      </c>
      <c r="E402" s="295" t="s">
        <v>588</v>
      </c>
    </row>
    <row r="403" spans="1:5" s="290" customFormat="1" ht="9.75" customHeight="1" x14ac:dyDescent="0.15">
      <c r="A403" s="559" t="s">
        <v>635</v>
      </c>
      <c r="B403" s="290">
        <v>708992</v>
      </c>
      <c r="C403" s="290">
        <v>337804</v>
      </c>
      <c r="D403" s="296">
        <v>337804</v>
      </c>
      <c r="E403" s="295" t="s">
        <v>636</v>
      </c>
    </row>
    <row r="404" spans="1:5" s="290" customFormat="1" ht="9.75" customHeight="1" x14ac:dyDescent="0.15">
      <c r="A404" s="559" t="s">
        <v>774</v>
      </c>
      <c r="B404" s="290">
        <v>761399</v>
      </c>
      <c r="C404" s="290">
        <v>561474</v>
      </c>
      <c r="D404" s="296">
        <v>561474</v>
      </c>
      <c r="E404" s="295" t="s">
        <v>775</v>
      </c>
    </row>
    <row r="405" spans="1:5" s="290" customFormat="1" ht="9.75" customHeight="1" x14ac:dyDescent="0.15">
      <c r="A405" s="559" t="s">
        <v>987</v>
      </c>
      <c r="B405" s="290">
        <v>1059660</v>
      </c>
      <c r="C405" s="290">
        <v>645873</v>
      </c>
      <c r="D405" s="296">
        <v>645873</v>
      </c>
      <c r="E405" s="295" t="s">
        <v>988</v>
      </c>
    </row>
    <row r="406" spans="1:5" s="290" customFormat="1" ht="6.75" customHeight="1" x14ac:dyDescent="0.15">
      <c r="A406" s="578"/>
      <c r="D406" s="296"/>
      <c r="E406" s="295"/>
    </row>
    <row r="407" spans="1:5" s="290" customFormat="1" ht="9.75" customHeight="1" x14ac:dyDescent="0.15">
      <c r="A407" s="559" t="s">
        <v>989</v>
      </c>
      <c r="B407" s="290">
        <v>975546</v>
      </c>
      <c r="C407" s="290">
        <v>560174</v>
      </c>
      <c r="D407" s="296">
        <v>560174</v>
      </c>
      <c r="E407" s="295" t="s">
        <v>776</v>
      </c>
    </row>
    <row r="408" spans="1:5" s="290" customFormat="1" ht="9.75" customHeight="1" x14ac:dyDescent="0.15">
      <c r="A408" s="559" t="s">
        <v>990</v>
      </c>
      <c r="B408" s="290">
        <v>978154</v>
      </c>
      <c r="C408" s="290">
        <v>708980</v>
      </c>
      <c r="D408" s="296">
        <v>708980</v>
      </c>
      <c r="E408" s="295" t="s">
        <v>991</v>
      </c>
    </row>
    <row r="409" spans="1:5" s="290" customFormat="1" ht="6.75" customHeight="1" x14ac:dyDescent="0.15">
      <c r="A409" s="578"/>
      <c r="D409" s="296"/>
      <c r="E409" s="295"/>
    </row>
    <row r="410" spans="1:5" s="290" customFormat="1" ht="9.75" customHeight="1" x14ac:dyDescent="0.15">
      <c r="A410" s="559" t="s">
        <v>992</v>
      </c>
      <c r="B410" s="290">
        <v>327965</v>
      </c>
      <c r="C410" s="290">
        <v>112020</v>
      </c>
      <c r="D410" s="296">
        <v>112020</v>
      </c>
      <c r="E410" s="295" t="s">
        <v>777</v>
      </c>
    </row>
    <row r="411" spans="1:5" s="290" customFormat="1" ht="9.75" customHeight="1" x14ac:dyDescent="0.15">
      <c r="A411" s="559" t="s">
        <v>637</v>
      </c>
      <c r="B411" s="290">
        <v>186092</v>
      </c>
      <c r="C411" s="290">
        <v>173803</v>
      </c>
      <c r="D411" s="296">
        <v>173803</v>
      </c>
      <c r="E411" s="295" t="s">
        <v>85</v>
      </c>
    </row>
    <row r="412" spans="1:5" s="290" customFormat="1" ht="9.75" customHeight="1" x14ac:dyDescent="0.15">
      <c r="A412" s="559" t="s">
        <v>638</v>
      </c>
      <c r="B412" s="290">
        <v>231705</v>
      </c>
      <c r="C412" s="290">
        <v>171011</v>
      </c>
      <c r="D412" s="296">
        <v>171011</v>
      </c>
      <c r="E412" s="295" t="s">
        <v>86</v>
      </c>
    </row>
    <row r="413" spans="1:5" s="290" customFormat="1" ht="9.75" customHeight="1" x14ac:dyDescent="0.15">
      <c r="A413" s="559" t="s">
        <v>639</v>
      </c>
      <c r="B413" s="290">
        <v>313898</v>
      </c>
      <c r="C413" s="290">
        <v>189039</v>
      </c>
      <c r="D413" s="296">
        <v>189039</v>
      </c>
      <c r="E413" s="295" t="s">
        <v>87</v>
      </c>
    </row>
    <row r="414" spans="1:5" s="290" customFormat="1" ht="9.75" customHeight="1" x14ac:dyDescent="0.15">
      <c r="A414" s="559" t="s">
        <v>993</v>
      </c>
      <c r="B414" s="290">
        <v>246459</v>
      </c>
      <c r="C414" s="290">
        <v>175127</v>
      </c>
      <c r="D414" s="296">
        <v>175127</v>
      </c>
      <c r="E414" s="295" t="s">
        <v>994</v>
      </c>
    </row>
    <row r="415" spans="1:5" s="290" customFormat="1" ht="6.75" customHeight="1" x14ac:dyDescent="0.15">
      <c r="A415" s="578"/>
      <c r="D415" s="296"/>
      <c r="E415" s="295"/>
    </row>
    <row r="416" spans="1:5" s="290" customFormat="1" ht="9.75" customHeight="1" x14ac:dyDescent="0.15">
      <c r="A416" s="559" t="s">
        <v>995</v>
      </c>
      <c r="B416" s="290">
        <v>116847</v>
      </c>
      <c r="C416" s="290">
        <v>43722</v>
      </c>
      <c r="D416" s="296">
        <v>43722</v>
      </c>
      <c r="E416" s="295" t="s">
        <v>778</v>
      </c>
    </row>
    <row r="417" spans="1:5" s="290" customFormat="1" ht="9.75" customHeight="1" x14ac:dyDescent="0.15">
      <c r="A417" s="559" t="s">
        <v>640</v>
      </c>
      <c r="B417" s="290">
        <v>96258</v>
      </c>
      <c r="C417" s="290">
        <v>22295</v>
      </c>
      <c r="D417" s="296">
        <v>22295</v>
      </c>
      <c r="E417" s="295" t="s">
        <v>73</v>
      </c>
    </row>
    <row r="418" spans="1:5" s="290" customFormat="1" ht="9.75" customHeight="1" x14ac:dyDescent="0.15">
      <c r="A418" s="559" t="s">
        <v>641</v>
      </c>
      <c r="B418" s="290">
        <v>114860</v>
      </c>
      <c r="C418" s="290">
        <v>46003</v>
      </c>
      <c r="D418" s="296">
        <v>46003</v>
      </c>
      <c r="E418" s="295" t="s">
        <v>74</v>
      </c>
    </row>
    <row r="419" spans="1:5" s="290" customFormat="1" ht="9.75" customHeight="1" x14ac:dyDescent="0.15">
      <c r="A419" s="559" t="s">
        <v>642</v>
      </c>
      <c r="B419" s="290">
        <v>35585</v>
      </c>
      <c r="C419" s="290">
        <v>50273</v>
      </c>
      <c r="D419" s="296">
        <v>50273</v>
      </c>
      <c r="E419" s="295" t="s">
        <v>75</v>
      </c>
    </row>
    <row r="420" spans="1:5" s="290" customFormat="1" ht="9.75" customHeight="1" x14ac:dyDescent="0.15">
      <c r="A420" s="559" t="s">
        <v>643</v>
      </c>
      <c r="B420" s="290">
        <v>74687</v>
      </c>
      <c r="C420" s="290">
        <v>59364</v>
      </c>
      <c r="D420" s="296">
        <v>59364</v>
      </c>
      <c r="E420" s="295" t="s">
        <v>88</v>
      </c>
    </row>
    <row r="421" spans="1:5" s="290" customFormat="1" ht="9.75" customHeight="1" x14ac:dyDescent="0.15">
      <c r="A421" s="559" t="s">
        <v>644</v>
      </c>
      <c r="B421" s="290">
        <v>75820</v>
      </c>
      <c r="C421" s="290">
        <v>64166</v>
      </c>
      <c r="D421" s="296">
        <v>64166</v>
      </c>
      <c r="E421" s="295" t="s">
        <v>89</v>
      </c>
    </row>
    <row r="422" spans="1:5" s="290" customFormat="1" ht="9.75" customHeight="1" x14ac:dyDescent="0.15">
      <c r="A422" s="559" t="s">
        <v>645</v>
      </c>
      <c r="B422" s="290">
        <v>82726</v>
      </c>
      <c r="C422" s="290">
        <v>52158</v>
      </c>
      <c r="D422" s="296">
        <v>52158</v>
      </c>
      <c r="E422" s="295" t="s">
        <v>90</v>
      </c>
    </row>
    <row r="423" spans="1:5" s="290" customFormat="1" ht="9.75" customHeight="1" x14ac:dyDescent="0.15">
      <c r="A423" s="559" t="s">
        <v>646</v>
      </c>
      <c r="B423" s="290">
        <v>77117</v>
      </c>
      <c r="C423" s="290">
        <v>62582</v>
      </c>
      <c r="D423" s="296">
        <v>62582</v>
      </c>
      <c r="E423" s="295" t="s">
        <v>91</v>
      </c>
    </row>
    <row r="424" spans="1:5" s="290" customFormat="1" ht="9.75" customHeight="1" x14ac:dyDescent="0.15">
      <c r="A424" s="559" t="s">
        <v>647</v>
      </c>
      <c r="B424" s="290">
        <v>71862</v>
      </c>
      <c r="C424" s="290">
        <v>56271</v>
      </c>
      <c r="D424" s="296">
        <v>56271</v>
      </c>
      <c r="E424" s="295" t="s">
        <v>92</v>
      </c>
    </row>
    <row r="425" spans="1:5" s="290" customFormat="1" ht="9.75" customHeight="1" x14ac:dyDescent="0.15">
      <c r="A425" s="559" t="s">
        <v>648</v>
      </c>
      <c r="B425" s="290">
        <v>88317</v>
      </c>
      <c r="C425" s="290">
        <v>57966</v>
      </c>
      <c r="D425" s="296">
        <v>57966</v>
      </c>
      <c r="E425" s="295" t="s">
        <v>76</v>
      </c>
    </row>
    <row r="426" spans="1:5" s="290" customFormat="1" ht="9.75" customHeight="1" x14ac:dyDescent="0.15">
      <c r="A426" s="559" t="s">
        <v>649</v>
      </c>
      <c r="B426" s="290">
        <v>111575</v>
      </c>
      <c r="C426" s="290">
        <v>43633</v>
      </c>
      <c r="D426" s="296">
        <v>43633</v>
      </c>
      <c r="E426" s="295" t="s">
        <v>77</v>
      </c>
    </row>
    <row r="427" spans="1:5" s="290" customFormat="1" ht="9.75" customHeight="1" x14ac:dyDescent="0.15">
      <c r="A427" s="559" t="s">
        <v>650</v>
      </c>
      <c r="B427" s="290">
        <v>114006</v>
      </c>
      <c r="C427" s="290">
        <v>87440</v>
      </c>
      <c r="D427" s="296">
        <v>87440</v>
      </c>
      <c r="E427" s="295" t="s">
        <v>78</v>
      </c>
    </row>
    <row r="428" spans="1:5" s="290" customFormat="1" ht="9.75" customHeight="1" x14ac:dyDescent="0.15">
      <c r="A428" s="559" t="s">
        <v>996</v>
      </c>
      <c r="B428" s="290">
        <v>131846</v>
      </c>
      <c r="C428" s="290">
        <v>60272</v>
      </c>
      <c r="D428" s="296">
        <v>60272</v>
      </c>
      <c r="E428" s="295" t="s">
        <v>997</v>
      </c>
    </row>
    <row r="429" spans="1:5" s="290" customFormat="1" ht="9.75" customHeight="1" x14ac:dyDescent="0.15">
      <c r="A429" s="559" t="s">
        <v>651</v>
      </c>
      <c r="B429" s="290">
        <v>74405</v>
      </c>
      <c r="C429" s="290">
        <v>66956</v>
      </c>
      <c r="D429" s="296">
        <v>66956</v>
      </c>
      <c r="E429" s="295" t="s">
        <v>73</v>
      </c>
    </row>
    <row r="430" spans="1:5" s="290" customFormat="1" ht="9.75" customHeight="1" x14ac:dyDescent="0.15">
      <c r="A430" s="560" t="s">
        <v>652</v>
      </c>
      <c r="B430" s="294">
        <v>40208</v>
      </c>
      <c r="C430" s="293">
        <v>47899</v>
      </c>
      <c r="D430" s="292">
        <v>47899</v>
      </c>
      <c r="E430" s="291" t="s">
        <v>74</v>
      </c>
    </row>
    <row r="431" spans="1:5" ht="12" customHeight="1" x14ac:dyDescent="0.15"/>
    <row r="432" spans="1:5" ht="12" customHeight="1" x14ac:dyDescent="0.15"/>
    <row r="433" ht="12" customHeight="1" x14ac:dyDescent="0.15"/>
  </sheetData>
  <mergeCells count="39">
    <mergeCell ref="A398:A400"/>
    <mergeCell ref="E398:E400"/>
    <mergeCell ref="A326:A328"/>
    <mergeCell ref="W326:W328"/>
    <mergeCell ref="B327:B328"/>
    <mergeCell ref="R327:R328"/>
    <mergeCell ref="A362:A364"/>
    <mergeCell ref="W362:W364"/>
    <mergeCell ref="M363:M364"/>
    <mergeCell ref="F219:F220"/>
    <mergeCell ref="P219:P220"/>
    <mergeCell ref="A290:A292"/>
    <mergeCell ref="W290:W292"/>
    <mergeCell ref="K291:K292"/>
    <mergeCell ref="A254:A256"/>
    <mergeCell ref="W254:W256"/>
    <mergeCell ref="P255:P256"/>
    <mergeCell ref="T255:T256"/>
    <mergeCell ref="A218:A220"/>
    <mergeCell ref="W218:W220"/>
    <mergeCell ref="C219:C220"/>
    <mergeCell ref="A110:A112"/>
    <mergeCell ref="W110:W112"/>
    <mergeCell ref="A146:A148"/>
    <mergeCell ref="W146:W148"/>
    <mergeCell ref="A182:A184"/>
    <mergeCell ref="W182:W184"/>
    <mergeCell ref="C183:C184"/>
    <mergeCell ref="I183:I184"/>
    <mergeCell ref="O183:O184"/>
    <mergeCell ref="A74:A76"/>
    <mergeCell ref="W74:W76"/>
    <mergeCell ref="H75:H76"/>
    <mergeCell ref="T75:T76"/>
    <mergeCell ref="A2:A4"/>
    <mergeCell ref="W2:W4"/>
    <mergeCell ref="B3:B4"/>
    <mergeCell ref="A38:A40"/>
    <mergeCell ref="W38:W40"/>
  </mergeCells>
  <phoneticPr fontId="33"/>
  <pageMargins left="0.59055118110236227" right="0.59055118110236227" top="0.59055118110236227" bottom="0.59055118110236227" header="0.51181102362204722" footer="0.51181102362204722"/>
  <pageSetup paperSize="9" pageOrder="overThenDown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40"/>
  <sheetViews>
    <sheetView view="pageBreakPreview" zoomScaleNormal="70" zoomScaleSheetLayoutView="100" workbookViewId="0">
      <pane xSplit="5" ySplit="7" topLeftCell="F26" activePane="bottomRight" state="frozen"/>
      <selection pane="topRight" activeCell="F1" sqref="F1"/>
      <selection pane="bottomLeft" activeCell="A8" sqref="A8"/>
      <selection pane="bottomRight"/>
    </sheetView>
  </sheetViews>
  <sheetFormatPr defaultRowHeight="13.5" x14ac:dyDescent="0.15"/>
  <cols>
    <col min="1" max="1" width="2.75" style="141" customWidth="1"/>
    <col min="2" max="2" width="3.375" style="141" customWidth="1"/>
    <col min="3" max="3" width="3.25" style="141" customWidth="1"/>
    <col min="4" max="4" width="6.125" style="141" customWidth="1"/>
    <col min="5" max="5" width="0.875" style="141" customWidth="1"/>
    <col min="6" max="6" width="8.625" style="141" customWidth="1"/>
    <col min="7" max="14" width="8.375" style="141" customWidth="1"/>
    <col min="15" max="15" width="9.625" style="141" customWidth="1"/>
    <col min="16" max="21" width="8.375" style="141" customWidth="1"/>
    <col min="22" max="22" width="8.25" style="141" customWidth="1"/>
    <col min="23" max="23" width="2.625" style="142" customWidth="1"/>
    <col min="24" max="24" width="6.875" style="141" customWidth="1"/>
    <col min="25" max="16384" width="9" style="141"/>
  </cols>
  <sheetData>
    <row r="1" spans="1:24" ht="16.5" customHeight="1" x14ac:dyDescent="0.2">
      <c r="I1" s="218"/>
      <c r="T1" s="511"/>
      <c r="U1" s="207"/>
      <c r="W1" s="141"/>
    </row>
    <row r="2" spans="1:24" s="213" customFormat="1" ht="16.5" customHeight="1" x14ac:dyDescent="0.15">
      <c r="I2" s="207"/>
      <c r="R2" s="217"/>
      <c r="T2" s="216"/>
      <c r="U2" s="216"/>
      <c r="W2" s="215"/>
      <c r="X2" s="214"/>
    </row>
    <row r="3" spans="1:24" s="97" customFormat="1" ht="16.5" customHeight="1" x14ac:dyDescent="0.15">
      <c r="A3" s="523"/>
      <c r="B3" s="212" t="s">
        <v>692</v>
      </c>
      <c r="C3" s="512"/>
      <c r="D3" s="512"/>
      <c r="E3" s="512"/>
      <c r="F3" s="211"/>
      <c r="G3" s="513"/>
      <c r="H3" s="211"/>
      <c r="I3" s="211"/>
      <c r="J3" s="514"/>
      <c r="K3" s="514"/>
      <c r="L3" s="211"/>
      <c r="M3" s="211"/>
      <c r="N3" s="211"/>
      <c r="O3" s="564"/>
      <c r="P3" s="211"/>
      <c r="Q3" s="211"/>
      <c r="R3" s="515"/>
      <c r="S3" s="92"/>
      <c r="T3" s="481"/>
      <c r="U3" s="78" t="s">
        <v>452</v>
      </c>
      <c r="V3" s="211"/>
      <c r="W3" s="98"/>
    </row>
    <row r="4" spans="1:24" s="99" customFormat="1" ht="21.95" customHeight="1" x14ac:dyDescent="0.15">
      <c r="A4" s="210"/>
      <c r="B4" s="639"/>
      <c r="C4" s="639"/>
      <c r="D4" s="639"/>
      <c r="E4" s="640"/>
      <c r="F4" s="841"/>
      <c r="G4" s="136"/>
      <c r="H4" s="136"/>
      <c r="I4" s="136"/>
      <c r="J4" s="136"/>
      <c r="K4" s="136"/>
      <c r="L4" s="136"/>
      <c r="M4" s="136"/>
      <c r="N4" s="135"/>
      <c r="O4" s="134"/>
      <c r="P4" s="133"/>
      <c r="Q4" s="133"/>
      <c r="R4" s="133"/>
      <c r="S4" s="133"/>
      <c r="T4" s="132"/>
      <c r="U4" s="131"/>
      <c r="V4" s="1047" t="s">
        <v>550</v>
      </c>
      <c r="W4" s="192"/>
    </row>
    <row r="5" spans="1:24" s="99" customFormat="1" ht="21.95" customHeight="1" x14ac:dyDescent="0.15">
      <c r="A5" s="639"/>
      <c r="B5" s="1039" t="s">
        <v>312</v>
      </c>
      <c r="C5" s="1039"/>
      <c r="D5" s="1039"/>
      <c r="E5" s="1040"/>
      <c r="F5" s="124" t="s">
        <v>227</v>
      </c>
      <c r="G5" s="119" t="s">
        <v>501</v>
      </c>
      <c r="H5" s="119" t="s">
        <v>502</v>
      </c>
      <c r="I5" s="119" t="s">
        <v>503</v>
      </c>
      <c r="J5" s="119" t="s">
        <v>504</v>
      </c>
      <c r="K5" s="119" t="s">
        <v>505</v>
      </c>
      <c r="L5" s="119" t="s">
        <v>506</v>
      </c>
      <c r="M5" s="796"/>
      <c r="N5" s="128"/>
      <c r="O5" s="121" t="s">
        <v>507</v>
      </c>
      <c r="P5" s="122" t="s">
        <v>508</v>
      </c>
      <c r="Q5" s="122" t="s">
        <v>509</v>
      </c>
      <c r="R5" s="122" t="s">
        <v>510</v>
      </c>
      <c r="S5" s="127" t="s">
        <v>511</v>
      </c>
      <c r="T5" s="798"/>
      <c r="U5" s="125"/>
      <c r="V5" s="1048"/>
      <c r="W5" s="192"/>
      <c r="X5" s="210" t="s">
        <v>224</v>
      </c>
    </row>
    <row r="6" spans="1:24" s="524" customFormat="1" ht="21.95" customHeight="1" x14ac:dyDescent="0.15">
      <c r="A6" s="639"/>
      <c r="B6" s="639"/>
      <c r="C6" s="639"/>
      <c r="D6" s="639"/>
      <c r="E6" s="640"/>
      <c r="F6" s="124"/>
      <c r="G6" s="119" t="s">
        <v>224</v>
      </c>
      <c r="H6" s="119" t="s">
        <v>224</v>
      </c>
      <c r="I6" s="519" t="s">
        <v>225</v>
      </c>
      <c r="J6" s="119"/>
      <c r="K6" s="119"/>
      <c r="L6" s="119" t="s">
        <v>224</v>
      </c>
      <c r="M6" s="119" t="s">
        <v>223</v>
      </c>
      <c r="N6" s="781" t="s">
        <v>222</v>
      </c>
      <c r="O6" s="121"/>
      <c r="P6" s="122"/>
      <c r="Q6" s="122"/>
      <c r="R6" s="122"/>
      <c r="S6" s="122"/>
      <c r="T6" s="122" t="s">
        <v>512</v>
      </c>
      <c r="U6" s="121" t="s">
        <v>513</v>
      </c>
      <c r="V6" s="1048"/>
      <c r="W6" s="192"/>
      <c r="X6" s="210" t="s">
        <v>224</v>
      </c>
    </row>
    <row r="7" spans="1:24" s="99" customFormat="1" ht="33.75" customHeight="1" x14ac:dyDescent="0.15">
      <c r="A7" s="210"/>
      <c r="B7" s="691"/>
      <c r="C7" s="691"/>
      <c r="D7" s="691"/>
      <c r="E7" s="692"/>
      <c r="F7" s="118" t="s">
        <v>827</v>
      </c>
      <c r="G7" s="118" t="s">
        <v>221</v>
      </c>
      <c r="H7" s="118" t="s">
        <v>522</v>
      </c>
      <c r="I7" s="118" t="s">
        <v>523</v>
      </c>
      <c r="J7" s="118" t="s">
        <v>220</v>
      </c>
      <c r="K7" s="118" t="s">
        <v>514</v>
      </c>
      <c r="L7" s="118" t="s">
        <v>828</v>
      </c>
      <c r="M7" s="118" t="s">
        <v>524</v>
      </c>
      <c r="N7" s="117" t="s">
        <v>525</v>
      </c>
      <c r="O7" s="116" t="s">
        <v>229</v>
      </c>
      <c r="P7" s="116" t="s">
        <v>219</v>
      </c>
      <c r="Q7" s="116" t="s">
        <v>218</v>
      </c>
      <c r="R7" s="115" t="s">
        <v>217</v>
      </c>
      <c r="S7" s="642" t="s">
        <v>526</v>
      </c>
      <c r="T7" s="114"/>
      <c r="U7" s="114"/>
      <c r="V7" s="1049"/>
      <c r="W7" s="192"/>
      <c r="X7" s="210" t="s">
        <v>224</v>
      </c>
    </row>
    <row r="8" spans="1:24" s="643" customFormat="1" ht="20.25" customHeight="1" x14ac:dyDescent="0.15">
      <c r="A8" s="94"/>
      <c r="B8" s="842" t="s">
        <v>790</v>
      </c>
      <c r="C8" s="842" t="s">
        <v>791</v>
      </c>
      <c r="D8" s="812"/>
      <c r="E8" s="813"/>
      <c r="F8" s="207">
        <v>34069069</v>
      </c>
      <c r="G8" s="207">
        <v>3406830</v>
      </c>
      <c r="H8" s="207">
        <v>3240</v>
      </c>
      <c r="I8" s="207">
        <v>11164796</v>
      </c>
      <c r="J8" s="207">
        <v>955739</v>
      </c>
      <c r="K8" s="207">
        <v>9901113</v>
      </c>
      <c r="L8" s="207">
        <v>8637351</v>
      </c>
      <c r="M8" s="207">
        <v>1672616</v>
      </c>
      <c r="N8" s="207">
        <v>6964735</v>
      </c>
      <c r="O8" s="207">
        <v>839240</v>
      </c>
      <c r="P8" s="207">
        <v>59956</v>
      </c>
      <c r="Q8" s="207">
        <v>923</v>
      </c>
      <c r="R8" s="207">
        <v>36055</v>
      </c>
      <c r="S8" s="207">
        <v>186335</v>
      </c>
      <c r="T8" s="207">
        <v>163822</v>
      </c>
      <c r="U8" s="843">
        <v>22513</v>
      </c>
      <c r="V8" s="67" t="s">
        <v>792</v>
      </c>
      <c r="W8" s="53"/>
      <c r="X8" s="693"/>
    </row>
    <row r="9" spans="1:24" s="643" customFormat="1" ht="20.25" customHeight="1" x14ac:dyDescent="0.15">
      <c r="A9" s="94"/>
      <c r="B9" s="201" t="s">
        <v>235</v>
      </c>
      <c r="C9" s="201" t="s">
        <v>846</v>
      </c>
      <c r="D9" s="53"/>
      <c r="E9" s="208"/>
      <c r="F9" s="207">
        <v>21330362</v>
      </c>
      <c r="G9" s="207">
        <v>2322527</v>
      </c>
      <c r="H9" s="207" t="s">
        <v>1029</v>
      </c>
      <c r="I9" s="207">
        <v>4781020</v>
      </c>
      <c r="J9" s="207">
        <v>1313743</v>
      </c>
      <c r="K9" s="207">
        <v>3962210</v>
      </c>
      <c r="L9" s="207">
        <v>8950862</v>
      </c>
      <c r="M9" s="207">
        <v>1327820</v>
      </c>
      <c r="N9" s="207">
        <v>7623042</v>
      </c>
      <c r="O9" s="207">
        <v>749232</v>
      </c>
      <c r="P9" s="207">
        <v>23765</v>
      </c>
      <c r="Q9" s="207">
        <v>633</v>
      </c>
      <c r="R9" s="207">
        <v>42715</v>
      </c>
      <c r="S9" s="207">
        <v>133245</v>
      </c>
      <c r="T9" s="207">
        <v>110328</v>
      </c>
      <c r="U9" s="472">
        <v>22917</v>
      </c>
      <c r="V9" s="67" t="s">
        <v>793</v>
      </c>
      <c r="W9" s="53"/>
      <c r="X9" s="693"/>
    </row>
    <row r="10" spans="1:24" s="643" customFormat="1" ht="20.25" customHeight="1" x14ac:dyDescent="0.15">
      <c r="A10" s="94"/>
      <c r="B10" s="201" t="s">
        <v>235</v>
      </c>
      <c r="C10" s="201" t="s">
        <v>847</v>
      </c>
      <c r="D10" s="53"/>
      <c r="E10" s="208"/>
      <c r="F10" s="207">
        <v>22230511</v>
      </c>
      <c r="G10" s="207">
        <v>3344951</v>
      </c>
      <c r="H10" s="207" t="s">
        <v>1029</v>
      </c>
      <c r="I10" s="207">
        <v>5327622</v>
      </c>
      <c r="J10" s="207">
        <v>511923</v>
      </c>
      <c r="K10" s="207">
        <v>4886875</v>
      </c>
      <c r="L10" s="207">
        <v>8159140</v>
      </c>
      <c r="M10" s="207">
        <v>775956</v>
      </c>
      <c r="N10" s="207">
        <v>7383184</v>
      </c>
      <c r="O10" s="207">
        <v>766211</v>
      </c>
      <c r="P10" s="207">
        <v>14830</v>
      </c>
      <c r="Q10" s="207">
        <v>831</v>
      </c>
      <c r="R10" s="207">
        <v>44158</v>
      </c>
      <c r="S10" s="207">
        <v>147278</v>
      </c>
      <c r="T10" s="207">
        <v>133767</v>
      </c>
      <c r="U10" s="472">
        <v>13511</v>
      </c>
      <c r="V10" s="67" t="s">
        <v>794</v>
      </c>
      <c r="W10" s="53"/>
      <c r="X10" s="693"/>
    </row>
    <row r="11" spans="1:24" s="643" customFormat="1" ht="20.25" customHeight="1" x14ac:dyDescent="0.15">
      <c r="A11" s="94"/>
      <c r="B11" s="201" t="s">
        <v>235</v>
      </c>
      <c r="C11" s="201" t="s">
        <v>848</v>
      </c>
      <c r="D11" s="53"/>
      <c r="E11" s="208"/>
      <c r="F11" s="207">
        <v>28584890</v>
      </c>
      <c r="G11" s="207">
        <v>4400750</v>
      </c>
      <c r="H11" s="207" t="s">
        <v>1029</v>
      </c>
      <c r="I11" s="207">
        <v>6797549</v>
      </c>
      <c r="J11" s="207">
        <v>1033947</v>
      </c>
      <c r="K11" s="207">
        <v>7805554</v>
      </c>
      <c r="L11" s="207">
        <v>8547090</v>
      </c>
      <c r="M11" s="207">
        <v>204144</v>
      </c>
      <c r="N11" s="207">
        <v>8342946</v>
      </c>
      <c r="O11" s="816">
        <v>809205</v>
      </c>
      <c r="P11" s="207">
        <v>11421</v>
      </c>
      <c r="Q11" s="207">
        <v>677</v>
      </c>
      <c r="R11" s="207">
        <v>42975</v>
      </c>
      <c r="S11" s="207">
        <v>236149</v>
      </c>
      <c r="T11" s="207">
        <v>227133</v>
      </c>
      <c r="U11" s="472">
        <v>9016</v>
      </c>
      <c r="V11" s="67" t="s">
        <v>795</v>
      </c>
      <c r="W11" s="53"/>
      <c r="X11" s="693"/>
    </row>
    <row r="12" spans="1:24" s="643" customFormat="1" ht="20.25" customHeight="1" x14ac:dyDescent="0.15">
      <c r="A12" s="94"/>
      <c r="B12" s="201" t="s">
        <v>235</v>
      </c>
      <c r="C12" s="201" t="s">
        <v>1042</v>
      </c>
      <c r="D12" s="53"/>
      <c r="E12" s="208"/>
      <c r="F12" s="207">
        <v>27336418</v>
      </c>
      <c r="G12" s="207">
        <v>4161292</v>
      </c>
      <c r="H12" s="207">
        <v>55245</v>
      </c>
      <c r="I12" s="207">
        <v>7971235</v>
      </c>
      <c r="J12" s="207">
        <v>1064996</v>
      </c>
      <c r="K12" s="207">
        <v>6222490</v>
      </c>
      <c r="L12" s="207">
        <v>7861160</v>
      </c>
      <c r="M12" s="207">
        <v>109014</v>
      </c>
      <c r="N12" s="207">
        <v>7752146</v>
      </c>
      <c r="O12" s="207">
        <v>601426</v>
      </c>
      <c r="P12" s="207" t="s">
        <v>1029</v>
      </c>
      <c r="Q12" s="207">
        <v>744</v>
      </c>
      <c r="R12" s="207">
        <v>19234</v>
      </c>
      <c r="S12" s="207">
        <v>224841</v>
      </c>
      <c r="T12" s="207">
        <v>218966</v>
      </c>
      <c r="U12" s="472">
        <v>5875</v>
      </c>
      <c r="V12" s="67" t="s">
        <v>1030</v>
      </c>
      <c r="W12" s="53"/>
      <c r="X12" s="53"/>
    </row>
    <row r="13" spans="1:24" s="643" customFormat="1" ht="20.25" customHeight="1" x14ac:dyDescent="0.15">
      <c r="A13" s="94"/>
      <c r="B13" s="201"/>
      <c r="C13" s="201"/>
      <c r="E13" s="204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472"/>
      <c r="V13" s="207"/>
      <c r="W13" s="53"/>
      <c r="X13" s="693"/>
    </row>
    <row r="14" spans="1:24" s="643" customFormat="1" ht="20.25" customHeight="1" x14ac:dyDescent="0.15">
      <c r="A14" s="94"/>
      <c r="B14" s="201" t="s">
        <v>790</v>
      </c>
      <c r="C14" s="201" t="s">
        <v>1031</v>
      </c>
      <c r="D14" s="581"/>
      <c r="E14" s="206"/>
      <c r="F14" s="207">
        <v>29347208</v>
      </c>
      <c r="G14" s="207">
        <v>4360883</v>
      </c>
      <c r="H14" s="207" t="s">
        <v>1029</v>
      </c>
      <c r="I14" s="207">
        <v>7234623</v>
      </c>
      <c r="J14" s="207">
        <v>1122791</v>
      </c>
      <c r="K14" s="207">
        <v>7995993</v>
      </c>
      <c r="L14" s="207">
        <v>8632918</v>
      </c>
      <c r="M14" s="207">
        <v>173141</v>
      </c>
      <c r="N14" s="207">
        <v>8459777</v>
      </c>
      <c r="O14" s="207">
        <v>781020</v>
      </c>
      <c r="P14" s="207">
        <v>11421</v>
      </c>
      <c r="Q14" s="207">
        <v>683</v>
      </c>
      <c r="R14" s="207">
        <v>31107</v>
      </c>
      <c r="S14" s="207">
        <v>249331</v>
      </c>
      <c r="T14" s="207">
        <v>241818</v>
      </c>
      <c r="U14" s="472">
        <v>7513</v>
      </c>
      <c r="V14" s="66" t="s">
        <v>796</v>
      </c>
      <c r="W14" s="53"/>
      <c r="X14" s="193" t="s">
        <v>224</v>
      </c>
    </row>
    <row r="15" spans="1:24" s="643" customFormat="1" ht="20.25" customHeight="1" x14ac:dyDescent="0.15">
      <c r="A15" s="94"/>
      <c r="B15" s="201" t="s">
        <v>235</v>
      </c>
      <c r="C15" s="201" t="s">
        <v>1042</v>
      </c>
      <c r="D15" s="581"/>
      <c r="E15" s="206"/>
      <c r="F15" s="207">
        <v>26285591</v>
      </c>
      <c r="G15" s="207">
        <v>3863550</v>
      </c>
      <c r="H15" s="207">
        <v>77491</v>
      </c>
      <c r="I15" s="207">
        <v>8067262</v>
      </c>
      <c r="J15" s="207">
        <v>818830</v>
      </c>
      <c r="K15" s="207">
        <v>5537708</v>
      </c>
      <c r="L15" s="207">
        <v>7920750</v>
      </c>
      <c r="M15" s="207">
        <v>90893</v>
      </c>
      <c r="N15" s="207">
        <v>7829857</v>
      </c>
      <c r="O15" s="207">
        <v>523212</v>
      </c>
      <c r="P15" s="207" t="s">
        <v>1029</v>
      </c>
      <c r="Q15" s="207">
        <v>730</v>
      </c>
      <c r="R15" s="207">
        <v>19930</v>
      </c>
      <c r="S15" s="207">
        <v>196191</v>
      </c>
      <c r="T15" s="207">
        <v>191818</v>
      </c>
      <c r="U15" s="472">
        <v>4373</v>
      </c>
      <c r="V15" s="66" t="s">
        <v>1032</v>
      </c>
      <c r="W15" s="53"/>
      <c r="X15" s="193"/>
    </row>
    <row r="16" spans="1:24" s="643" customFormat="1" ht="20.25" customHeight="1" x14ac:dyDescent="0.15">
      <c r="A16" s="94"/>
      <c r="B16" s="201"/>
      <c r="C16" s="201"/>
      <c r="E16" s="204"/>
      <c r="F16" s="207"/>
      <c r="G16" s="207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472"/>
      <c r="V16" s="61"/>
      <c r="W16" s="53"/>
      <c r="X16" s="193"/>
    </row>
    <row r="17" spans="1:24" s="643" customFormat="1" ht="20.25" customHeight="1" x14ac:dyDescent="0.15">
      <c r="A17" s="94"/>
      <c r="B17" s="201" t="s">
        <v>790</v>
      </c>
      <c r="C17" s="201" t="s">
        <v>800</v>
      </c>
      <c r="D17" s="645" t="s">
        <v>682</v>
      </c>
      <c r="E17" s="206"/>
      <c r="F17" s="207">
        <v>8122278</v>
      </c>
      <c r="G17" s="207">
        <v>1752384</v>
      </c>
      <c r="H17" s="207" t="s">
        <v>1029</v>
      </c>
      <c r="I17" s="207">
        <v>1763675</v>
      </c>
      <c r="J17" s="207">
        <v>246210</v>
      </c>
      <c r="K17" s="207">
        <v>2175351</v>
      </c>
      <c r="L17" s="207">
        <v>2184658</v>
      </c>
      <c r="M17" s="207">
        <v>41940</v>
      </c>
      <c r="N17" s="207">
        <v>2142718</v>
      </c>
      <c r="O17" s="207">
        <v>175702</v>
      </c>
      <c r="P17" s="207" t="s">
        <v>1029</v>
      </c>
      <c r="Q17" s="207">
        <v>182</v>
      </c>
      <c r="R17" s="207">
        <v>3894</v>
      </c>
      <c r="S17" s="207">
        <v>59437</v>
      </c>
      <c r="T17" s="207">
        <v>57935</v>
      </c>
      <c r="U17" s="472">
        <v>1502</v>
      </c>
      <c r="V17" s="62" t="s">
        <v>801</v>
      </c>
      <c r="W17" s="53"/>
      <c r="X17" s="193"/>
    </row>
    <row r="18" spans="1:24" s="643" customFormat="1" ht="20.25" customHeight="1" x14ac:dyDescent="0.15">
      <c r="A18" s="94"/>
      <c r="B18" s="201" t="s">
        <v>235</v>
      </c>
      <c r="C18" s="201" t="s">
        <v>235</v>
      </c>
      <c r="D18" s="645" t="s">
        <v>683</v>
      </c>
      <c r="E18" s="206"/>
      <c r="F18" s="207">
        <v>5309911</v>
      </c>
      <c r="G18" s="207">
        <v>438972</v>
      </c>
      <c r="H18" s="207">
        <v>20304</v>
      </c>
      <c r="I18" s="207">
        <v>2050008</v>
      </c>
      <c r="J18" s="207">
        <v>114227</v>
      </c>
      <c r="K18" s="207">
        <v>1031927</v>
      </c>
      <c r="L18" s="207">
        <v>1654473</v>
      </c>
      <c r="M18" s="207">
        <v>2486</v>
      </c>
      <c r="N18" s="207">
        <v>1651987</v>
      </c>
      <c r="O18" s="207">
        <v>169694</v>
      </c>
      <c r="P18" s="207" t="s">
        <v>1029</v>
      </c>
      <c r="Q18" s="207">
        <v>165</v>
      </c>
      <c r="R18" s="207">
        <v>4122</v>
      </c>
      <c r="S18" s="207">
        <v>41844</v>
      </c>
      <c r="T18" s="207">
        <v>38808</v>
      </c>
      <c r="U18" s="472">
        <v>3036</v>
      </c>
      <c r="V18" s="65" t="s">
        <v>797</v>
      </c>
      <c r="W18" s="53"/>
      <c r="X18" s="193"/>
    </row>
    <row r="19" spans="1:24" s="643" customFormat="1" ht="20.25" customHeight="1" x14ac:dyDescent="0.15">
      <c r="A19" s="94"/>
      <c r="B19" s="201" t="s">
        <v>235</v>
      </c>
      <c r="C19" s="201" t="s">
        <v>235</v>
      </c>
      <c r="D19" s="645" t="s">
        <v>684</v>
      </c>
      <c r="E19" s="206"/>
      <c r="F19" s="207">
        <v>6625169</v>
      </c>
      <c r="G19" s="207">
        <v>697750</v>
      </c>
      <c r="H19" s="207">
        <v>11627</v>
      </c>
      <c r="I19" s="207">
        <v>2155401</v>
      </c>
      <c r="J19" s="207">
        <v>369454</v>
      </c>
      <c r="K19" s="207">
        <v>1560780</v>
      </c>
      <c r="L19" s="207">
        <v>1830157</v>
      </c>
      <c r="M19" s="207">
        <v>15247</v>
      </c>
      <c r="N19" s="207">
        <v>1814910</v>
      </c>
      <c r="O19" s="207">
        <v>165286</v>
      </c>
      <c r="P19" s="207" t="s">
        <v>1029</v>
      </c>
      <c r="Q19" s="207">
        <v>217</v>
      </c>
      <c r="R19" s="207">
        <v>5017</v>
      </c>
      <c r="S19" s="207">
        <v>67457</v>
      </c>
      <c r="T19" s="207">
        <v>66120</v>
      </c>
      <c r="U19" s="472">
        <v>1337</v>
      </c>
      <c r="V19" s="64" t="s">
        <v>798</v>
      </c>
      <c r="W19" s="53"/>
      <c r="X19" s="193" t="s">
        <v>224</v>
      </c>
    </row>
    <row r="20" spans="1:24" s="643" customFormat="1" ht="20.25" customHeight="1" x14ac:dyDescent="0.15">
      <c r="A20" s="94"/>
      <c r="B20" s="201" t="s">
        <v>235</v>
      </c>
      <c r="C20" s="201" t="s">
        <v>235</v>
      </c>
      <c r="D20" s="626" t="s">
        <v>596</v>
      </c>
      <c r="E20" s="206"/>
      <c r="F20" s="207">
        <v>7279060</v>
      </c>
      <c r="G20" s="207">
        <v>1272186</v>
      </c>
      <c r="H20" s="207">
        <v>23314</v>
      </c>
      <c r="I20" s="207">
        <v>2002151</v>
      </c>
      <c r="J20" s="207">
        <v>335105</v>
      </c>
      <c r="K20" s="207">
        <v>1454432</v>
      </c>
      <c r="L20" s="207">
        <v>2191872</v>
      </c>
      <c r="M20" s="207">
        <v>49341</v>
      </c>
      <c r="N20" s="207">
        <v>2142531</v>
      </c>
      <c r="O20" s="207">
        <v>90744</v>
      </c>
      <c r="P20" s="207" t="s">
        <v>1029</v>
      </c>
      <c r="Q20" s="207">
        <v>180</v>
      </c>
      <c r="R20" s="207">
        <v>6201</v>
      </c>
      <c r="S20" s="207">
        <v>56103</v>
      </c>
      <c r="T20" s="207">
        <v>56103</v>
      </c>
      <c r="U20" s="472" t="s">
        <v>1029</v>
      </c>
      <c r="V20" s="63" t="s">
        <v>799</v>
      </c>
      <c r="W20" s="53"/>
      <c r="X20" s="193" t="s">
        <v>224</v>
      </c>
    </row>
    <row r="21" spans="1:24" s="643" customFormat="1" ht="20.25" customHeight="1" x14ac:dyDescent="0.15">
      <c r="A21" s="94"/>
      <c r="B21" s="201" t="s">
        <v>790</v>
      </c>
      <c r="C21" s="201" t="s">
        <v>1033</v>
      </c>
      <c r="D21" s="626" t="s">
        <v>685</v>
      </c>
      <c r="E21" s="206"/>
      <c r="F21" s="207">
        <v>7071451</v>
      </c>
      <c r="G21" s="207">
        <v>1454642</v>
      </c>
      <c r="H21" s="207">
        <v>22246</v>
      </c>
      <c r="I21" s="207">
        <v>1859702</v>
      </c>
      <c r="J21" s="207">
        <v>44</v>
      </c>
      <c r="K21" s="207">
        <v>1490569</v>
      </c>
      <c r="L21" s="207">
        <v>2244248</v>
      </c>
      <c r="M21" s="207">
        <v>23819</v>
      </c>
      <c r="N21" s="207">
        <v>2220429</v>
      </c>
      <c r="O21" s="207">
        <v>97488</v>
      </c>
      <c r="P21" s="207" t="s">
        <v>1029</v>
      </c>
      <c r="Q21" s="207">
        <v>168</v>
      </c>
      <c r="R21" s="207">
        <v>4590</v>
      </c>
      <c r="S21" s="207">
        <v>30787</v>
      </c>
      <c r="T21" s="207">
        <v>30787</v>
      </c>
      <c r="U21" s="472" t="s">
        <v>1029</v>
      </c>
      <c r="V21" s="62" t="s">
        <v>1034</v>
      </c>
      <c r="W21" s="53"/>
      <c r="X21" s="193"/>
    </row>
    <row r="22" spans="1:24" s="643" customFormat="1" ht="20.25" customHeight="1" x14ac:dyDescent="0.15">
      <c r="A22" s="94"/>
      <c r="B22" s="201"/>
      <c r="C22" s="201"/>
      <c r="E22" s="204"/>
      <c r="F22" s="312"/>
      <c r="G22" s="312"/>
      <c r="H22" s="312"/>
      <c r="I22" s="312"/>
      <c r="J22" s="312"/>
      <c r="K22" s="312"/>
      <c r="L22" s="312"/>
      <c r="M22" s="312"/>
      <c r="N22" s="312"/>
      <c r="O22" s="313"/>
      <c r="P22" s="313"/>
      <c r="Q22" s="313"/>
      <c r="R22" s="313"/>
      <c r="S22" s="313"/>
      <c r="T22" s="313"/>
      <c r="U22" s="473"/>
      <c r="V22" s="61"/>
      <c r="W22" s="53"/>
      <c r="X22" s="193"/>
    </row>
    <row r="23" spans="1:24" s="643" customFormat="1" ht="20.25" customHeight="1" x14ac:dyDescent="0.15">
      <c r="A23" s="94"/>
      <c r="B23" s="201" t="s">
        <v>790</v>
      </c>
      <c r="C23" s="201" t="s">
        <v>800</v>
      </c>
      <c r="D23" s="201" t="s">
        <v>667</v>
      </c>
      <c r="E23" s="200"/>
      <c r="F23" s="203">
        <v>2682474</v>
      </c>
      <c r="G23" s="203">
        <v>556786</v>
      </c>
      <c r="H23" s="58" t="s">
        <v>1029</v>
      </c>
      <c r="I23" s="203">
        <v>473627</v>
      </c>
      <c r="J23" s="203">
        <v>98392</v>
      </c>
      <c r="K23" s="203">
        <v>845038</v>
      </c>
      <c r="L23" s="203">
        <v>708631</v>
      </c>
      <c r="M23" s="203">
        <v>31692</v>
      </c>
      <c r="N23" s="203">
        <v>676939</v>
      </c>
      <c r="O23" s="203">
        <v>56591</v>
      </c>
      <c r="P23" s="58" t="s">
        <v>1029</v>
      </c>
      <c r="Q23" s="203">
        <v>51</v>
      </c>
      <c r="R23" s="203">
        <v>1296</v>
      </c>
      <c r="S23" s="203">
        <v>15993</v>
      </c>
      <c r="T23" s="203">
        <v>15993</v>
      </c>
      <c r="U23" s="205" t="s">
        <v>1029</v>
      </c>
      <c r="V23" s="60" t="s">
        <v>816</v>
      </c>
      <c r="W23" s="53"/>
      <c r="X23" s="193" t="s">
        <v>224</v>
      </c>
    </row>
    <row r="24" spans="1:24" s="643" customFormat="1" ht="20.25" customHeight="1" x14ac:dyDescent="0.15">
      <c r="A24" s="94"/>
      <c r="B24" s="201" t="s">
        <v>235</v>
      </c>
      <c r="C24" s="201" t="s">
        <v>235</v>
      </c>
      <c r="D24" s="201" t="s">
        <v>668</v>
      </c>
      <c r="E24" s="200"/>
      <c r="F24" s="207">
        <v>2758782</v>
      </c>
      <c r="G24" s="207">
        <v>651827</v>
      </c>
      <c r="H24" s="207" t="s">
        <v>1029</v>
      </c>
      <c r="I24" s="207">
        <v>576936</v>
      </c>
      <c r="J24" s="207">
        <v>101306</v>
      </c>
      <c r="K24" s="207">
        <v>694407</v>
      </c>
      <c r="L24" s="207">
        <v>734306</v>
      </c>
      <c r="M24" s="207">
        <v>465</v>
      </c>
      <c r="N24" s="207">
        <v>733841</v>
      </c>
      <c r="O24" s="207">
        <v>51381</v>
      </c>
      <c r="P24" s="207" t="s">
        <v>1029</v>
      </c>
      <c r="Q24" s="207">
        <v>46</v>
      </c>
      <c r="R24" s="207">
        <v>1509</v>
      </c>
      <c r="S24" s="207">
        <v>18701</v>
      </c>
      <c r="T24" s="207">
        <v>18701</v>
      </c>
      <c r="U24" s="472" t="s">
        <v>1029</v>
      </c>
      <c r="V24" s="55" t="s">
        <v>802</v>
      </c>
      <c r="W24" s="53"/>
      <c r="X24" s="193"/>
    </row>
    <row r="25" spans="1:24" s="643" customFormat="1" ht="20.25" customHeight="1" x14ac:dyDescent="0.15">
      <c r="A25" s="94"/>
      <c r="B25" s="201" t="s">
        <v>235</v>
      </c>
      <c r="C25" s="201" t="s">
        <v>235</v>
      </c>
      <c r="D25" s="201" t="s">
        <v>669</v>
      </c>
      <c r="E25" s="200"/>
      <c r="F25" s="203">
        <v>2681022</v>
      </c>
      <c r="G25" s="203">
        <v>543771</v>
      </c>
      <c r="H25" s="58" t="s">
        <v>1029</v>
      </c>
      <c r="I25" s="203">
        <v>713112</v>
      </c>
      <c r="J25" s="203">
        <v>46512</v>
      </c>
      <c r="K25" s="203">
        <v>635906</v>
      </c>
      <c r="L25" s="203">
        <v>741721</v>
      </c>
      <c r="M25" s="203">
        <v>9783</v>
      </c>
      <c r="N25" s="203">
        <v>731938</v>
      </c>
      <c r="O25" s="203">
        <v>67730</v>
      </c>
      <c r="P25" s="58" t="s">
        <v>1029</v>
      </c>
      <c r="Q25" s="203">
        <v>85</v>
      </c>
      <c r="R25" s="203">
        <v>1089</v>
      </c>
      <c r="S25" s="203">
        <v>24743</v>
      </c>
      <c r="T25" s="203">
        <v>23241</v>
      </c>
      <c r="U25" s="110">
        <v>1502</v>
      </c>
      <c r="V25" s="55" t="s">
        <v>803</v>
      </c>
      <c r="W25" s="53"/>
      <c r="X25" s="193" t="s">
        <v>224</v>
      </c>
    </row>
    <row r="26" spans="1:24" s="643" customFormat="1" ht="20.25" customHeight="1" x14ac:dyDescent="0.15">
      <c r="A26" s="94"/>
      <c r="B26" s="201" t="s">
        <v>235</v>
      </c>
      <c r="C26" s="201" t="s">
        <v>235</v>
      </c>
      <c r="D26" s="201" t="s">
        <v>670</v>
      </c>
      <c r="E26" s="200"/>
      <c r="F26" s="207">
        <v>1761448</v>
      </c>
      <c r="G26" s="207">
        <v>238290</v>
      </c>
      <c r="H26" s="207" t="s">
        <v>1029</v>
      </c>
      <c r="I26" s="207">
        <v>689990</v>
      </c>
      <c r="J26" s="207">
        <v>37185</v>
      </c>
      <c r="K26" s="207">
        <v>284852</v>
      </c>
      <c r="L26" s="207">
        <v>511131</v>
      </c>
      <c r="M26" s="207">
        <v>596</v>
      </c>
      <c r="N26" s="207">
        <v>510535</v>
      </c>
      <c r="O26" s="207">
        <v>59790</v>
      </c>
      <c r="P26" s="207" t="s">
        <v>1029</v>
      </c>
      <c r="Q26" s="207">
        <v>61</v>
      </c>
      <c r="R26" s="207">
        <v>1356</v>
      </c>
      <c r="S26" s="207">
        <v>2914</v>
      </c>
      <c r="T26" s="207">
        <v>1483</v>
      </c>
      <c r="U26" s="472">
        <v>1431</v>
      </c>
      <c r="V26" s="55" t="s">
        <v>804</v>
      </c>
      <c r="W26" s="53"/>
      <c r="X26" s="193"/>
    </row>
    <row r="27" spans="1:24" s="643" customFormat="1" ht="20.25" customHeight="1" x14ac:dyDescent="0.15">
      <c r="A27" s="94"/>
      <c r="B27" s="201" t="s">
        <v>235</v>
      </c>
      <c r="C27" s="201" t="s">
        <v>235</v>
      </c>
      <c r="D27" s="201" t="s">
        <v>671</v>
      </c>
      <c r="E27" s="200"/>
      <c r="F27" s="207">
        <v>1767990</v>
      </c>
      <c r="G27" s="207">
        <v>99594</v>
      </c>
      <c r="H27" s="207">
        <v>11620</v>
      </c>
      <c r="I27" s="207">
        <v>705462</v>
      </c>
      <c r="J27" s="207">
        <v>6670</v>
      </c>
      <c r="K27" s="207">
        <v>386845</v>
      </c>
      <c r="L27" s="207">
        <v>557799</v>
      </c>
      <c r="M27" s="207">
        <v>1033</v>
      </c>
      <c r="N27" s="207">
        <v>556766</v>
      </c>
      <c r="O27" s="207">
        <v>63404</v>
      </c>
      <c r="P27" s="207" t="s">
        <v>1029</v>
      </c>
      <c r="Q27" s="207">
        <v>41</v>
      </c>
      <c r="R27" s="207">
        <v>1323</v>
      </c>
      <c r="S27" s="207">
        <v>29704</v>
      </c>
      <c r="T27" s="207">
        <v>28099</v>
      </c>
      <c r="U27" s="472">
        <v>1605</v>
      </c>
      <c r="V27" s="55" t="s">
        <v>453</v>
      </c>
      <c r="W27" s="53"/>
      <c r="X27" s="193" t="s">
        <v>224</v>
      </c>
    </row>
    <row r="28" spans="1:24" s="643" customFormat="1" ht="20.25" customHeight="1" x14ac:dyDescent="0.15">
      <c r="A28" s="94"/>
      <c r="B28" s="201" t="s">
        <v>235</v>
      </c>
      <c r="C28" s="201" t="s">
        <v>235</v>
      </c>
      <c r="D28" s="201" t="s">
        <v>672</v>
      </c>
      <c r="E28" s="200"/>
      <c r="F28" s="207">
        <v>1780473</v>
      </c>
      <c r="G28" s="207">
        <v>101088</v>
      </c>
      <c r="H28" s="207">
        <v>8684</v>
      </c>
      <c r="I28" s="207">
        <v>654556</v>
      </c>
      <c r="J28" s="207">
        <v>70372</v>
      </c>
      <c r="K28" s="207">
        <v>360230</v>
      </c>
      <c r="L28" s="207">
        <v>585543</v>
      </c>
      <c r="M28" s="207">
        <v>857</v>
      </c>
      <c r="N28" s="207">
        <v>584686</v>
      </c>
      <c r="O28" s="207">
        <v>46500</v>
      </c>
      <c r="P28" s="207" t="s">
        <v>1029</v>
      </c>
      <c r="Q28" s="207">
        <v>63</v>
      </c>
      <c r="R28" s="207">
        <v>1443</v>
      </c>
      <c r="S28" s="207">
        <v>9226</v>
      </c>
      <c r="T28" s="207">
        <v>9226</v>
      </c>
      <c r="U28" s="472" t="s">
        <v>1029</v>
      </c>
      <c r="V28" s="55" t="s">
        <v>806</v>
      </c>
      <c r="W28" s="53"/>
      <c r="X28" s="193"/>
    </row>
    <row r="29" spans="1:24" s="643" customFormat="1" ht="20.25" customHeight="1" x14ac:dyDescent="0.15">
      <c r="A29" s="94"/>
      <c r="B29" s="201" t="s">
        <v>235</v>
      </c>
      <c r="C29" s="201" t="s">
        <v>235</v>
      </c>
      <c r="D29" s="201" t="s">
        <v>673</v>
      </c>
      <c r="E29" s="200"/>
      <c r="F29" s="207">
        <v>1859862</v>
      </c>
      <c r="G29" s="207">
        <v>68732</v>
      </c>
      <c r="H29" s="207" t="s">
        <v>1029</v>
      </c>
      <c r="I29" s="207">
        <v>736729</v>
      </c>
      <c r="J29" s="207">
        <v>21038</v>
      </c>
      <c r="K29" s="207">
        <v>432931</v>
      </c>
      <c r="L29" s="207">
        <v>600432</v>
      </c>
      <c r="M29" s="207">
        <v>4302</v>
      </c>
      <c r="N29" s="207">
        <v>596130</v>
      </c>
      <c r="O29" s="207">
        <v>56386</v>
      </c>
      <c r="P29" s="207" t="s">
        <v>1029</v>
      </c>
      <c r="Q29" s="207">
        <v>93</v>
      </c>
      <c r="R29" s="207">
        <v>1435</v>
      </c>
      <c r="S29" s="207">
        <v>25537</v>
      </c>
      <c r="T29" s="207">
        <v>25537</v>
      </c>
      <c r="U29" s="472" t="s">
        <v>1029</v>
      </c>
      <c r="V29" s="55" t="s">
        <v>807</v>
      </c>
      <c r="W29" s="53"/>
      <c r="X29" s="193" t="s">
        <v>224</v>
      </c>
    </row>
    <row r="30" spans="1:24" s="643" customFormat="1" ht="20.25" customHeight="1" x14ac:dyDescent="0.15">
      <c r="A30" s="94"/>
      <c r="B30" s="201" t="s">
        <v>235</v>
      </c>
      <c r="C30" s="201" t="s">
        <v>235</v>
      </c>
      <c r="D30" s="201" t="s">
        <v>674</v>
      </c>
      <c r="E30" s="200"/>
      <c r="F30" s="207">
        <v>2013977</v>
      </c>
      <c r="G30" s="207">
        <v>250435</v>
      </c>
      <c r="H30" s="207">
        <v>5764</v>
      </c>
      <c r="I30" s="207">
        <v>682493</v>
      </c>
      <c r="J30" s="207">
        <v>193270</v>
      </c>
      <c r="K30" s="207">
        <v>377258</v>
      </c>
      <c r="L30" s="207">
        <v>504757</v>
      </c>
      <c r="M30" s="207">
        <v>9848</v>
      </c>
      <c r="N30" s="207">
        <v>494909</v>
      </c>
      <c r="O30" s="207">
        <v>56944</v>
      </c>
      <c r="P30" s="207" t="s">
        <v>1029</v>
      </c>
      <c r="Q30" s="207">
        <v>59</v>
      </c>
      <c r="R30" s="207">
        <v>1741</v>
      </c>
      <c r="S30" s="207">
        <v>21647</v>
      </c>
      <c r="T30" s="207">
        <v>21647</v>
      </c>
      <c r="U30" s="472" t="s">
        <v>1029</v>
      </c>
      <c r="V30" s="55" t="s">
        <v>808</v>
      </c>
      <c r="W30" s="53"/>
      <c r="X30" s="193"/>
    </row>
    <row r="31" spans="1:24" s="643" customFormat="1" ht="20.25" customHeight="1" x14ac:dyDescent="0.15">
      <c r="A31" s="94"/>
      <c r="B31" s="201" t="s">
        <v>235</v>
      </c>
      <c r="C31" s="201" t="s">
        <v>235</v>
      </c>
      <c r="D31" s="201" t="s">
        <v>675</v>
      </c>
      <c r="E31" s="200"/>
      <c r="F31" s="207">
        <v>2751330</v>
      </c>
      <c r="G31" s="207">
        <v>378583</v>
      </c>
      <c r="H31" s="207">
        <v>5863</v>
      </c>
      <c r="I31" s="207">
        <v>736179</v>
      </c>
      <c r="J31" s="207">
        <v>155146</v>
      </c>
      <c r="K31" s="207">
        <v>750591</v>
      </c>
      <c r="L31" s="207">
        <v>724968</v>
      </c>
      <c r="M31" s="207">
        <v>1097</v>
      </c>
      <c r="N31" s="207">
        <v>723871</v>
      </c>
      <c r="O31" s="207">
        <v>51956</v>
      </c>
      <c r="P31" s="207" t="s">
        <v>1029</v>
      </c>
      <c r="Q31" s="207">
        <v>65</v>
      </c>
      <c r="R31" s="207">
        <v>1841</v>
      </c>
      <c r="S31" s="207">
        <v>20273</v>
      </c>
      <c r="T31" s="207">
        <v>18936</v>
      </c>
      <c r="U31" s="472">
        <v>1337</v>
      </c>
      <c r="V31" s="55" t="s">
        <v>809</v>
      </c>
      <c r="W31" s="53"/>
      <c r="X31" s="193" t="s">
        <v>224</v>
      </c>
    </row>
    <row r="32" spans="1:24" s="643" customFormat="1" ht="20.25" customHeight="1" x14ac:dyDescent="0.15">
      <c r="A32" s="94"/>
      <c r="B32" s="201" t="s">
        <v>235</v>
      </c>
      <c r="C32" s="201" t="s">
        <v>235</v>
      </c>
      <c r="D32" s="582" t="s">
        <v>810</v>
      </c>
      <c r="E32" s="200"/>
      <c r="F32" s="207">
        <v>2370138</v>
      </c>
      <c r="G32" s="207">
        <v>472180</v>
      </c>
      <c r="H32" s="207">
        <v>5850</v>
      </c>
      <c r="I32" s="207">
        <v>666509</v>
      </c>
      <c r="J32" s="207">
        <v>105564</v>
      </c>
      <c r="K32" s="207">
        <v>500647</v>
      </c>
      <c r="L32" s="207">
        <v>619388</v>
      </c>
      <c r="M32" s="207">
        <v>38997</v>
      </c>
      <c r="N32" s="207">
        <v>580391</v>
      </c>
      <c r="O32" s="207">
        <v>27710</v>
      </c>
      <c r="P32" s="207" t="s">
        <v>1029</v>
      </c>
      <c r="Q32" s="207">
        <v>63</v>
      </c>
      <c r="R32" s="207">
        <v>2237</v>
      </c>
      <c r="S32" s="207">
        <v>18616</v>
      </c>
      <c r="T32" s="207">
        <v>18616</v>
      </c>
      <c r="U32" s="472" t="s">
        <v>1029</v>
      </c>
      <c r="V32" s="55" t="s">
        <v>811</v>
      </c>
      <c r="W32" s="53"/>
      <c r="X32" s="193"/>
    </row>
    <row r="33" spans="1:24" s="643" customFormat="1" ht="20.25" customHeight="1" x14ac:dyDescent="0.15">
      <c r="A33" s="94"/>
      <c r="B33" s="201" t="s">
        <v>235</v>
      </c>
      <c r="C33" s="201" t="s">
        <v>235</v>
      </c>
      <c r="D33" s="582" t="s">
        <v>812</v>
      </c>
      <c r="E33" s="200"/>
      <c r="F33" s="207">
        <v>2290883</v>
      </c>
      <c r="G33" s="207">
        <v>366452</v>
      </c>
      <c r="H33" s="207">
        <v>11612</v>
      </c>
      <c r="I33" s="207">
        <v>645125</v>
      </c>
      <c r="J33" s="207">
        <v>89959</v>
      </c>
      <c r="K33" s="207">
        <v>433019</v>
      </c>
      <c r="L33" s="207">
        <v>744716</v>
      </c>
      <c r="M33" s="207">
        <v>5495</v>
      </c>
      <c r="N33" s="207">
        <v>739221</v>
      </c>
      <c r="O33" s="207">
        <v>28702</v>
      </c>
      <c r="P33" s="207" t="s">
        <v>1029</v>
      </c>
      <c r="Q33" s="207">
        <v>60</v>
      </c>
      <c r="R33" s="207">
        <v>1958</v>
      </c>
      <c r="S33" s="207">
        <v>16991</v>
      </c>
      <c r="T33" s="207">
        <v>16991</v>
      </c>
      <c r="U33" s="472" t="s">
        <v>1029</v>
      </c>
      <c r="V33" s="55" t="s">
        <v>813</v>
      </c>
      <c r="W33" s="53"/>
      <c r="X33" s="193"/>
    </row>
    <row r="34" spans="1:24" s="643" customFormat="1" ht="20.25" customHeight="1" x14ac:dyDescent="0.15">
      <c r="A34" s="94"/>
      <c r="B34" s="201" t="s">
        <v>235</v>
      </c>
      <c r="C34" s="201" t="s">
        <v>235</v>
      </c>
      <c r="D34" s="582" t="s">
        <v>814</v>
      </c>
      <c r="E34" s="200"/>
      <c r="F34" s="207">
        <v>2618039</v>
      </c>
      <c r="G34" s="207">
        <v>433554</v>
      </c>
      <c r="H34" s="207">
        <v>5852</v>
      </c>
      <c r="I34" s="207">
        <v>690517</v>
      </c>
      <c r="J34" s="207">
        <v>139582</v>
      </c>
      <c r="K34" s="207">
        <v>520766</v>
      </c>
      <c r="L34" s="207">
        <v>827768</v>
      </c>
      <c r="M34" s="207">
        <v>4849</v>
      </c>
      <c r="N34" s="207">
        <v>822919</v>
      </c>
      <c r="O34" s="207">
        <v>34332</v>
      </c>
      <c r="P34" s="207" t="s">
        <v>1029</v>
      </c>
      <c r="Q34" s="207">
        <v>57</v>
      </c>
      <c r="R34" s="207">
        <v>2006</v>
      </c>
      <c r="S34" s="207">
        <v>20496</v>
      </c>
      <c r="T34" s="207">
        <v>20496</v>
      </c>
      <c r="U34" s="472" t="s">
        <v>1029</v>
      </c>
      <c r="V34" s="55" t="s">
        <v>815</v>
      </c>
      <c r="W34" s="53"/>
      <c r="X34" s="193" t="s">
        <v>224</v>
      </c>
    </row>
    <row r="35" spans="1:24" s="643" customFormat="1" ht="20.25" customHeight="1" x14ac:dyDescent="0.15">
      <c r="A35" s="94"/>
      <c r="B35" s="201"/>
      <c r="C35" s="201"/>
      <c r="D35" s="201"/>
      <c r="E35" s="200"/>
      <c r="F35" s="207"/>
      <c r="G35" s="312"/>
      <c r="H35" s="312"/>
      <c r="I35" s="312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472"/>
      <c r="V35" s="202"/>
      <c r="W35" s="53"/>
      <c r="X35" s="193"/>
    </row>
    <row r="36" spans="1:24" s="643" customFormat="1" ht="20.25" customHeight="1" x14ac:dyDescent="0.15">
      <c r="A36" s="94"/>
      <c r="B36" s="201" t="s">
        <v>790</v>
      </c>
      <c r="C36" s="201" t="s">
        <v>1033</v>
      </c>
      <c r="D36" s="619" t="s">
        <v>676</v>
      </c>
      <c r="E36" s="200"/>
      <c r="F36" s="207">
        <v>2132912</v>
      </c>
      <c r="G36" s="207">
        <v>388567</v>
      </c>
      <c r="H36" s="207">
        <v>11624</v>
      </c>
      <c r="I36" s="207">
        <v>633647</v>
      </c>
      <c r="J36" s="207">
        <v>20</v>
      </c>
      <c r="K36" s="207">
        <v>427080</v>
      </c>
      <c r="L36" s="207">
        <v>671974</v>
      </c>
      <c r="M36" s="207">
        <v>687</v>
      </c>
      <c r="N36" s="207">
        <v>671287</v>
      </c>
      <c r="O36" s="207">
        <v>31326</v>
      </c>
      <c r="P36" s="207" t="s">
        <v>1029</v>
      </c>
      <c r="Q36" s="207">
        <v>49</v>
      </c>
      <c r="R36" s="207">
        <v>1391</v>
      </c>
      <c r="S36" s="207">
        <v>18478</v>
      </c>
      <c r="T36" s="207">
        <v>18478</v>
      </c>
      <c r="U36" s="472" t="s">
        <v>1029</v>
      </c>
      <c r="V36" s="60" t="s">
        <v>1035</v>
      </c>
      <c r="W36" s="53"/>
      <c r="X36" s="193" t="s">
        <v>224</v>
      </c>
    </row>
    <row r="37" spans="1:24" s="643" customFormat="1" ht="20.25" customHeight="1" x14ac:dyDescent="0.15">
      <c r="A37" s="94"/>
      <c r="B37" s="201" t="s">
        <v>235</v>
      </c>
      <c r="C37" s="201" t="s">
        <v>235</v>
      </c>
      <c r="D37" s="201" t="s">
        <v>668</v>
      </c>
      <c r="E37" s="200"/>
      <c r="F37" s="207">
        <v>2171706</v>
      </c>
      <c r="G37" s="207">
        <v>487496</v>
      </c>
      <c r="H37" s="207">
        <v>4770</v>
      </c>
      <c r="I37" s="207">
        <v>581056</v>
      </c>
      <c r="J37" s="207">
        <v>16</v>
      </c>
      <c r="K37" s="207">
        <v>367982</v>
      </c>
      <c r="L37" s="207">
        <v>730386</v>
      </c>
      <c r="M37" s="207">
        <v>567</v>
      </c>
      <c r="N37" s="207">
        <v>729819</v>
      </c>
      <c r="O37" s="207">
        <v>28001</v>
      </c>
      <c r="P37" s="207" t="s">
        <v>1029</v>
      </c>
      <c r="Q37" s="207">
        <v>76</v>
      </c>
      <c r="R37" s="207">
        <v>1392</v>
      </c>
      <c r="S37" s="207">
        <v>9266</v>
      </c>
      <c r="T37" s="207">
        <v>9266</v>
      </c>
      <c r="U37" s="472" t="s">
        <v>1029</v>
      </c>
      <c r="V37" s="55" t="s">
        <v>802</v>
      </c>
      <c r="W37" s="53"/>
      <c r="X37" s="193"/>
    </row>
    <row r="38" spans="1:24" s="643" customFormat="1" ht="20.25" customHeight="1" x14ac:dyDescent="0.15">
      <c r="A38" s="94"/>
      <c r="B38" s="583" t="s">
        <v>235</v>
      </c>
      <c r="C38" s="583" t="s">
        <v>235</v>
      </c>
      <c r="D38" s="584" t="s">
        <v>677</v>
      </c>
      <c r="E38" s="198"/>
      <c r="F38" s="311">
        <v>2766833</v>
      </c>
      <c r="G38" s="310">
        <v>578579</v>
      </c>
      <c r="H38" s="310">
        <v>5852</v>
      </c>
      <c r="I38" s="310">
        <v>644999</v>
      </c>
      <c r="J38" s="310">
        <v>8</v>
      </c>
      <c r="K38" s="310">
        <v>695507</v>
      </c>
      <c r="L38" s="310">
        <v>841888</v>
      </c>
      <c r="M38" s="310">
        <v>22565</v>
      </c>
      <c r="N38" s="310">
        <v>819323</v>
      </c>
      <c r="O38" s="310">
        <v>38161</v>
      </c>
      <c r="P38" s="310" t="s">
        <v>1029</v>
      </c>
      <c r="Q38" s="310">
        <v>43</v>
      </c>
      <c r="R38" s="310">
        <v>1807</v>
      </c>
      <c r="S38" s="310">
        <v>3043</v>
      </c>
      <c r="T38" s="310">
        <v>3043</v>
      </c>
      <c r="U38" s="474" t="s">
        <v>1029</v>
      </c>
      <c r="V38" s="54" t="s">
        <v>803</v>
      </c>
      <c r="W38" s="53"/>
      <c r="X38" s="193" t="s">
        <v>224</v>
      </c>
    </row>
    <row r="39" spans="1:24" s="308" customFormat="1" ht="21" customHeight="1" x14ac:dyDescent="0.15">
      <c r="B39" s="99" t="s">
        <v>548</v>
      </c>
      <c r="C39" s="68"/>
      <c r="D39" s="693"/>
      <c r="E39" s="693"/>
      <c r="F39" s="693"/>
      <c r="G39" s="693"/>
      <c r="H39" s="693"/>
      <c r="I39" s="643"/>
      <c r="O39" s="100" t="s">
        <v>609</v>
      </c>
      <c r="Q39" s="309"/>
      <c r="R39" s="309"/>
    </row>
    <row r="40" spans="1:24" s="191" customFormat="1" ht="21" customHeight="1" x14ac:dyDescent="0.15">
      <c r="A40" s="307"/>
      <c r="B40" s="99" t="s">
        <v>552</v>
      </c>
      <c r="C40" s="141"/>
      <c r="D40" s="306"/>
      <c r="E40" s="306"/>
      <c r="O40" s="305"/>
      <c r="P40" s="305"/>
      <c r="Q40" s="305"/>
      <c r="R40" s="305"/>
      <c r="S40" s="304"/>
      <c r="T40" s="304"/>
      <c r="U40" s="304"/>
      <c r="V40" s="303"/>
      <c r="W40" s="303"/>
      <c r="X40" s="303"/>
    </row>
  </sheetData>
  <mergeCells count="2">
    <mergeCell ref="V4:V7"/>
    <mergeCell ref="B5:E5"/>
  </mergeCells>
  <phoneticPr fontId="33"/>
  <pageMargins left="0.59055118110236227" right="0.59055118110236227" top="0.59055118110236227" bottom="0.59055118110236227" header="0.59055118110236227" footer="0.15748031496062992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613"/>
  <sheetViews>
    <sheetView view="pageBreakPreview" zoomScaleNormal="100" zoomScaleSheetLayoutView="100" workbookViewId="0"/>
  </sheetViews>
  <sheetFormatPr defaultColWidth="7.625" defaultRowHeight="13.5" x14ac:dyDescent="0.15"/>
  <cols>
    <col min="1" max="1" width="15.125" style="289" customWidth="1"/>
    <col min="2" max="23" width="7.625" style="289" customWidth="1"/>
    <col min="24" max="16384" width="7.625" style="289"/>
  </cols>
  <sheetData>
    <row r="1" spans="1:23" ht="15" customHeight="1" x14ac:dyDescent="0.15">
      <c r="A1" s="612" t="s">
        <v>610</v>
      </c>
      <c r="C1" s="567"/>
      <c r="D1" s="567"/>
      <c r="E1" s="567"/>
      <c r="F1" s="567"/>
      <c r="G1" s="567"/>
      <c r="H1" s="567"/>
      <c r="I1" s="567"/>
      <c r="J1" s="567"/>
      <c r="K1" s="568" t="s">
        <v>434</v>
      </c>
      <c r="L1" s="567"/>
      <c r="M1" s="567"/>
      <c r="N1" s="567"/>
      <c r="O1" s="567"/>
      <c r="P1" s="569"/>
      <c r="Q1" s="570"/>
      <c r="R1" s="570"/>
      <c r="S1" s="570"/>
      <c r="T1" s="570"/>
      <c r="U1" s="571"/>
      <c r="V1" s="572" t="s">
        <v>849</v>
      </c>
    </row>
    <row r="2" spans="1:23" s="297" customFormat="1" ht="21" customHeight="1" x14ac:dyDescent="0.15">
      <c r="A2" s="1053" t="s">
        <v>172</v>
      </c>
      <c r="B2" s="826" t="s">
        <v>310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  <c r="P2" s="827"/>
      <c r="Q2" s="827"/>
      <c r="R2" s="827"/>
      <c r="S2" s="827"/>
      <c r="T2" s="827"/>
      <c r="U2" s="827"/>
      <c r="V2" s="827"/>
      <c r="W2" s="1056" t="s">
        <v>79</v>
      </c>
    </row>
    <row r="3" spans="1:23" s="297" customFormat="1" ht="21" customHeight="1" x14ac:dyDescent="0.15">
      <c r="A3" s="1054"/>
      <c r="B3" s="1059" t="s">
        <v>850</v>
      </c>
      <c r="C3" s="826" t="s">
        <v>265</v>
      </c>
      <c r="D3" s="827"/>
      <c r="E3" s="827"/>
      <c r="F3" s="827"/>
      <c r="G3" s="827"/>
      <c r="H3" s="827"/>
      <c r="I3" s="827"/>
      <c r="J3" s="827"/>
      <c r="K3" s="827"/>
      <c r="L3" s="827"/>
      <c r="M3" s="827"/>
      <c r="N3" s="827"/>
      <c r="O3" s="827"/>
      <c r="P3" s="827"/>
      <c r="Q3" s="827"/>
      <c r="R3" s="834"/>
      <c r="S3" s="826" t="s">
        <v>259</v>
      </c>
      <c r="T3" s="827"/>
      <c r="U3" s="834"/>
      <c r="V3" s="826" t="s">
        <v>258</v>
      </c>
      <c r="W3" s="1057"/>
    </row>
    <row r="4" spans="1:23" s="297" customFormat="1" ht="52.5" customHeight="1" x14ac:dyDescent="0.15">
      <c r="A4" s="1055"/>
      <c r="B4" s="1060"/>
      <c r="C4" s="696" t="s">
        <v>851</v>
      </c>
      <c r="D4" s="298" t="s">
        <v>256</v>
      </c>
      <c r="E4" s="298" t="s">
        <v>852</v>
      </c>
      <c r="F4" s="298" t="s">
        <v>271</v>
      </c>
      <c r="G4" s="298" t="s">
        <v>277</v>
      </c>
      <c r="H4" s="298" t="s">
        <v>324</v>
      </c>
      <c r="I4" s="298" t="s">
        <v>276</v>
      </c>
      <c r="J4" s="298" t="s">
        <v>255</v>
      </c>
      <c r="K4" s="298" t="s">
        <v>254</v>
      </c>
      <c r="L4" s="298" t="s">
        <v>253</v>
      </c>
      <c r="M4" s="298" t="s">
        <v>303</v>
      </c>
      <c r="N4" s="298" t="s">
        <v>252</v>
      </c>
      <c r="O4" s="298" t="s">
        <v>281</v>
      </c>
      <c r="P4" s="298" t="s">
        <v>300</v>
      </c>
      <c r="Q4" s="298" t="s">
        <v>606</v>
      </c>
      <c r="R4" s="301" t="s">
        <v>853</v>
      </c>
      <c r="S4" s="696" t="s">
        <v>101</v>
      </c>
      <c r="T4" s="301" t="s">
        <v>854</v>
      </c>
      <c r="U4" s="298" t="s">
        <v>248</v>
      </c>
      <c r="V4" s="695" t="s">
        <v>855</v>
      </c>
      <c r="W4" s="1058"/>
    </row>
    <row r="5" spans="1:23" s="290" customFormat="1" ht="9.75" customHeight="1" x14ac:dyDescent="0.15">
      <c r="A5" s="828" t="s">
        <v>985</v>
      </c>
      <c r="B5" s="829">
        <v>34069069</v>
      </c>
      <c r="C5" s="830">
        <v>9857924</v>
      </c>
      <c r="D5" s="830">
        <v>3241700</v>
      </c>
      <c r="E5" s="830">
        <v>2112386</v>
      </c>
      <c r="F5" s="830">
        <v>765488</v>
      </c>
      <c r="G5" s="830">
        <v>583241</v>
      </c>
      <c r="H5" s="830" t="s">
        <v>986</v>
      </c>
      <c r="I5" s="830">
        <v>178507</v>
      </c>
      <c r="J5" s="830">
        <v>1595227</v>
      </c>
      <c r="K5" s="830">
        <v>892719</v>
      </c>
      <c r="L5" s="830" t="s">
        <v>986</v>
      </c>
      <c r="M5" s="830">
        <v>311943</v>
      </c>
      <c r="N5" s="830">
        <v>97349</v>
      </c>
      <c r="O5" s="830">
        <v>47600</v>
      </c>
      <c r="P5" s="830" t="s">
        <v>986</v>
      </c>
      <c r="Q5" s="830" t="s">
        <v>986</v>
      </c>
      <c r="R5" s="830">
        <v>31764</v>
      </c>
      <c r="S5" s="830" t="s">
        <v>986</v>
      </c>
      <c r="T5" s="830" t="s">
        <v>986</v>
      </c>
      <c r="U5" s="830" t="s">
        <v>986</v>
      </c>
      <c r="V5" s="830">
        <v>2653234</v>
      </c>
      <c r="W5" s="831" t="s">
        <v>485</v>
      </c>
    </row>
    <row r="6" spans="1:23" s="290" customFormat="1" ht="9.75" customHeight="1" x14ac:dyDescent="0.15">
      <c r="A6" s="559" t="s">
        <v>634</v>
      </c>
      <c r="B6" s="290">
        <v>21330362</v>
      </c>
      <c r="C6" s="290">
        <v>8516256</v>
      </c>
      <c r="D6" s="290">
        <v>3998102</v>
      </c>
      <c r="E6" s="290">
        <v>851413</v>
      </c>
      <c r="F6" s="290">
        <v>270192</v>
      </c>
      <c r="G6" s="290">
        <v>175441</v>
      </c>
      <c r="H6" s="290" t="s">
        <v>986</v>
      </c>
      <c r="I6" s="290">
        <v>89201</v>
      </c>
      <c r="J6" s="290">
        <v>1602836</v>
      </c>
      <c r="K6" s="290">
        <v>1295482</v>
      </c>
      <c r="L6" s="290">
        <v>45821</v>
      </c>
      <c r="M6" s="290">
        <v>89701</v>
      </c>
      <c r="N6" s="290">
        <v>24190</v>
      </c>
      <c r="O6" s="290" t="s">
        <v>986</v>
      </c>
      <c r="P6" s="290">
        <v>73877</v>
      </c>
      <c r="Q6" s="290" t="s">
        <v>986</v>
      </c>
      <c r="R6" s="290" t="s">
        <v>986</v>
      </c>
      <c r="S6" s="290">
        <v>248968</v>
      </c>
      <c r="T6" s="290">
        <v>248968</v>
      </c>
      <c r="U6" s="290" t="s">
        <v>986</v>
      </c>
      <c r="V6" s="290">
        <v>959780</v>
      </c>
      <c r="W6" s="295" t="s">
        <v>588</v>
      </c>
    </row>
    <row r="7" spans="1:23" s="290" customFormat="1" ht="9.75" customHeight="1" x14ac:dyDescent="0.15">
      <c r="A7" s="559" t="s">
        <v>635</v>
      </c>
      <c r="B7" s="290">
        <v>22230511</v>
      </c>
      <c r="C7" s="290">
        <v>8350695</v>
      </c>
      <c r="D7" s="290">
        <v>3684331</v>
      </c>
      <c r="E7" s="290">
        <v>348813</v>
      </c>
      <c r="F7" s="290" t="s">
        <v>986</v>
      </c>
      <c r="G7" s="290">
        <v>293086</v>
      </c>
      <c r="H7" s="290" t="s">
        <v>986</v>
      </c>
      <c r="I7" s="290" t="s">
        <v>986</v>
      </c>
      <c r="J7" s="290">
        <v>2219347</v>
      </c>
      <c r="K7" s="290">
        <v>1148968</v>
      </c>
      <c r="L7" s="290" t="s">
        <v>986</v>
      </c>
      <c r="M7" s="290">
        <v>405831</v>
      </c>
      <c r="N7" s="290">
        <v>151942</v>
      </c>
      <c r="O7" s="290" t="s">
        <v>986</v>
      </c>
      <c r="P7" s="290">
        <v>98377</v>
      </c>
      <c r="Q7" s="290" t="s">
        <v>986</v>
      </c>
      <c r="R7" s="290" t="s">
        <v>986</v>
      </c>
      <c r="S7" s="290" t="s">
        <v>986</v>
      </c>
      <c r="T7" s="290" t="s">
        <v>986</v>
      </c>
      <c r="U7" s="290" t="s">
        <v>986</v>
      </c>
      <c r="V7" s="290">
        <v>934572</v>
      </c>
      <c r="W7" s="295" t="s">
        <v>636</v>
      </c>
    </row>
    <row r="8" spans="1:23" s="290" customFormat="1" ht="9.75" customHeight="1" x14ac:dyDescent="0.15">
      <c r="A8" s="559" t="s">
        <v>774</v>
      </c>
      <c r="B8" s="290">
        <v>28584890</v>
      </c>
      <c r="C8" s="290">
        <v>11225061</v>
      </c>
      <c r="D8" s="290">
        <v>3780521</v>
      </c>
      <c r="E8" s="290">
        <v>429688</v>
      </c>
      <c r="F8" s="290">
        <v>115626</v>
      </c>
      <c r="G8" s="290">
        <v>346799</v>
      </c>
      <c r="H8" s="290">
        <v>122280</v>
      </c>
      <c r="I8" s="290">
        <v>97751</v>
      </c>
      <c r="J8" s="290">
        <v>3303852</v>
      </c>
      <c r="K8" s="290">
        <v>1053722</v>
      </c>
      <c r="L8" s="290" t="s">
        <v>986</v>
      </c>
      <c r="M8" s="290">
        <v>1340867</v>
      </c>
      <c r="N8" s="290">
        <v>1697</v>
      </c>
      <c r="O8" s="290">
        <v>23850</v>
      </c>
      <c r="P8" s="290">
        <v>559108</v>
      </c>
      <c r="Q8" s="290">
        <v>49300</v>
      </c>
      <c r="R8" s="290" t="s">
        <v>986</v>
      </c>
      <c r="S8" s="290">
        <v>196108</v>
      </c>
      <c r="T8" s="290">
        <v>72400</v>
      </c>
      <c r="U8" s="290">
        <v>123708</v>
      </c>
      <c r="V8" s="290">
        <v>2153160</v>
      </c>
      <c r="W8" s="295" t="s">
        <v>775</v>
      </c>
    </row>
    <row r="9" spans="1:23" s="290" customFormat="1" ht="9.75" customHeight="1" x14ac:dyDescent="0.15">
      <c r="A9" s="559" t="s">
        <v>987</v>
      </c>
      <c r="B9" s="290">
        <v>27336418</v>
      </c>
      <c r="C9" s="290">
        <v>9509832</v>
      </c>
      <c r="D9" s="290">
        <v>3936600</v>
      </c>
      <c r="E9" s="290">
        <v>1913893</v>
      </c>
      <c r="F9" s="290">
        <v>122830</v>
      </c>
      <c r="G9" s="290">
        <v>161351</v>
      </c>
      <c r="H9" s="290">
        <v>40000</v>
      </c>
      <c r="I9" s="290" t="s">
        <v>986</v>
      </c>
      <c r="J9" s="290">
        <v>1751453</v>
      </c>
      <c r="K9" s="290">
        <v>444836</v>
      </c>
      <c r="L9" s="290" t="s">
        <v>986</v>
      </c>
      <c r="M9" s="290">
        <v>650159</v>
      </c>
      <c r="N9" s="290">
        <v>1697</v>
      </c>
      <c r="O9" s="290" t="s">
        <v>986</v>
      </c>
      <c r="P9" s="290">
        <v>486935</v>
      </c>
      <c r="Q9" s="290" t="s">
        <v>986</v>
      </c>
      <c r="R9" s="290">
        <v>78</v>
      </c>
      <c r="S9" s="290">
        <v>50050</v>
      </c>
      <c r="T9" s="290">
        <v>50050</v>
      </c>
      <c r="U9" s="290" t="s">
        <v>986</v>
      </c>
      <c r="V9" s="290">
        <v>1682584</v>
      </c>
      <c r="W9" s="295" t="s">
        <v>988</v>
      </c>
    </row>
    <row r="10" spans="1:23" s="290" customFormat="1" ht="6.75" customHeight="1" x14ac:dyDescent="0.15">
      <c r="A10" s="578"/>
      <c r="W10" s="295"/>
    </row>
    <row r="11" spans="1:23" s="290" customFormat="1" ht="9.75" customHeight="1" x14ac:dyDescent="0.15">
      <c r="A11" s="559" t="s">
        <v>989</v>
      </c>
      <c r="B11" s="290">
        <v>29347208</v>
      </c>
      <c r="C11" s="290">
        <v>11021475</v>
      </c>
      <c r="D11" s="290">
        <v>3891777</v>
      </c>
      <c r="E11" s="290">
        <v>678246</v>
      </c>
      <c r="F11" s="290">
        <v>77399</v>
      </c>
      <c r="G11" s="290">
        <v>416957</v>
      </c>
      <c r="H11" s="290">
        <v>40000</v>
      </c>
      <c r="I11" s="290">
        <v>47700</v>
      </c>
      <c r="J11" s="290">
        <v>3258334</v>
      </c>
      <c r="K11" s="290">
        <v>845564</v>
      </c>
      <c r="L11" s="290" t="s">
        <v>986</v>
      </c>
      <c r="M11" s="290">
        <v>1074127</v>
      </c>
      <c r="N11" s="290">
        <v>1697</v>
      </c>
      <c r="O11" s="290">
        <v>23850</v>
      </c>
      <c r="P11" s="290">
        <v>665746</v>
      </c>
      <c r="Q11" s="290" t="s">
        <v>986</v>
      </c>
      <c r="R11" s="290">
        <v>78</v>
      </c>
      <c r="S11" s="290">
        <v>196108</v>
      </c>
      <c r="T11" s="290">
        <v>72400</v>
      </c>
      <c r="U11" s="290">
        <v>123708</v>
      </c>
      <c r="V11" s="290">
        <v>2567554</v>
      </c>
      <c r="W11" s="295" t="s">
        <v>776</v>
      </c>
    </row>
    <row r="12" spans="1:23" s="290" customFormat="1" ht="9.75" customHeight="1" x14ac:dyDescent="0.15">
      <c r="A12" s="559" t="s">
        <v>990</v>
      </c>
      <c r="B12" s="290">
        <v>26285591</v>
      </c>
      <c r="C12" s="290">
        <v>9379539</v>
      </c>
      <c r="D12" s="290">
        <v>3767359</v>
      </c>
      <c r="E12" s="290">
        <v>2261270</v>
      </c>
      <c r="F12" s="290">
        <v>140303</v>
      </c>
      <c r="G12" s="290">
        <v>139994</v>
      </c>
      <c r="H12" s="290" t="s">
        <v>986</v>
      </c>
      <c r="I12" s="290" t="s">
        <v>986</v>
      </c>
      <c r="J12" s="290">
        <v>1415130</v>
      </c>
      <c r="K12" s="290">
        <v>552122</v>
      </c>
      <c r="L12" s="290" t="s">
        <v>986</v>
      </c>
      <c r="M12" s="290">
        <v>720372</v>
      </c>
      <c r="N12" s="290">
        <v>101697</v>
      </c>
      <c r="O12" s="290" t="s">
        <v>986</v>
      </c>
      <c r="P12" s="290">
        <v>281292</v>
      </c>
      <c r="Q12" s="290" t="s">
        <v>986</v>
      </c>
      <c r="R12" s="290" t="s">
        <v>986</v>
      </c>
      <c r="S12" s="290">
        <v>50050</v>
      </c>
      <c r="T12" s="290">
        <v>50050</v>
      </c>
      <c r="U12" s="290" t="s">
        <v>986</v>
      </c>
      <c r="V12" s="290">
        <v>997328</v>
      </c>
      <c r="W12" s="295" t="s">
        <v>991</v>
      </c>
    </row>
    <row r="13" spans="1:23" s="290" customFormat="1" ht="6.75" customHeight="1" x14ac:dyDescent="0.15">
      <c r="A13" s="578"/>
      <c r="W13" s="295"/>
    </row>
    <row r="14" spans="1:23" s="290" customFormat="1" ht="9.75" customHeight="1" x14ac:dyDescent="0.15">
      <c r="A14" s="559" t="s">
        <v>992</v>
      </c>
      <c r="B14" s="290">
        <v>8122278</v>
      </c>
      <c r="C14" s="290">
        <v>3142356</v>
      </c>
      <c r="D14" s="290">
        <v>1159064</v>
      </c>
      <c r="E14" s="290">
        <v>359215</v>
      </c>
      <c r="F14" s="290">
        <v>17673</v>
      </c>
      <c r="G14" s="290">
        <v>70158</v>
      </c>
      <c r="H14" s="290">
        <v>40000</v>
      </c>
      <c r="I14" s="290" t="s">
        <v>986</v>
      </c>
      <c r="J14" s="290">
        <v>817141</v>
      </c>
      <c r="K14" s="290">
        <v>203705</v>
      </c>
      <c r="L14" s="290" t="s">
        <v>986</v>
      </c>
      <c r="M14" s="290">
        <v>169688</v>
      </c>
      <c r="N14" s="290" t="s">
        <v>986</v>
      </c>
      <c r="O14" s="290" t="s">
        <v>986</v>
      </c>
      <c r="P14" s="290">
        <v>305634</v>
      </c>
      <c r="Q14" s="290" t="s">
        <v>986</v>
      </c>
      <c r="R14" s="290">
        <v>78</v>
      </c>
      <c r="S14" s="290" t="s">
        <v>986</v>
      </c>
      <c r="T14" s="290" t="s">
        <v>986</v>
      </c>
      <c r="U14" s="290" t="s">
        <v>986</v>
      </c>
      <c r="V14" s="290">
        <v>810587</v>
      </c>
      <c r="W14" s="295" t="s">
        <v>777</v>
      </c>
    </row>
    <row r="15" spans="1:23" s="290" customFormat="1" ht="9.75" customHeight="1" x14ac:dyDescent="0.15">
      <c r="A15" s="559" t="s">
        <v>637</v>
      </c>
      <c r="B15" s="290">
        <v>5309911</v>
      </c>
      <c r="C15" s="290">
        <v>1597397</v>
      </c>
      <c r="D15" s="290">
        <v>557611</v>
      </c>
      <c r="E15" s="290">
        <v>238018</v>
      </c>
      <c r="F15" s="290" t="s">
        <v>986</v>
      </c>
      <c r="G15" s="290">
        <v>24239</v>
      </c>
      <c r="H15" s="290" t="s">
        <v>986</v>
      </c>
      <c r="I15" s="290" t="s">
        <v>986</v>
      </c>
      <c r="J15" s="290">
        <v>350745</v>
      </c>
      <c r="K15" s="290">
        <v>174651</v>
      </c>
      <c r="L15" s="290" t="s">
        <v>986</v>
      </c>
      <c r="M15" s="290">
        <v>209833</v>
      </c>
      <c r="N15" s="290" t="s">
        <v>986</v>
      </c>
      <c r="O15" s="290" t="s">
        <v>986</v>
      </c>
      <c r="P15" s="290">
        <v>42300</v>
      </c>
      <c r="Q15" s="290" t="s">
        <v>986</v>
      </c>
      <c r="R15" s="290" t="s">
        <v>986</v>
      </c>
      <c r="S15" s="290">
        <v>50050</v>
      </c>
      <c r="T15" s="290">
        <v>50050</v>
      </c>
      <c r="U15" s="290" t="s">
        <v>986</v>
      </c>
      <c r="V15" s="290">
        <v>324127</v>
      </c>
      <c r="W15" s="295" t="s">
        <v>85</v>
      </c>
    </row>
    <row r="16" spans="1:23" s="290" customFormat="1" ht="9.75" customHeight="1" x14ac:dyDescent="0.15">
      <c r="A16" s="559" t="s">
        <v>638</v>
      </c>
      <c r="B16" s="290">
        <v>6625169</v>
      </c>
      <c r="C16" s="290">
        <v>1890634</v>
      </c>
      <c r="D16" s="290">
        <v>977297</v>
      </c>
      <c r="E16" s="290">
        <v>498671</v>
      </c>
      <c r="F16" s="290">
        <v>52371</v>
      </c>
      <c r="G16" s="290">
        <v>66954</v>
      </c>
      <c r="H16" s="290" t="s">
        <v>986</v>
      </c>
      <c r="I16" s="290" t="s">
        <v>986</v>
      </c>
      <c r="J16" s="290">
        <v>198170</v>
      </c>
      <c r="K16" s="290" t="s">
        <v>986</v>
      </c>
      <c r="L16" s="290" t="s">
        <v>986</v>
      </c>
      <c r="M16" s="290">
        <v>95474</v>
      </c>
      <c r="N16" s="290">
        <v>1697</v>
      </c>
      <c r="O16" s="290" t="s">
        <v>986</v>
      </c>
      <c r="P16" s="290" t="s">
        <v>986</v>
      </c>
      <c r="Q16" s="290" t="s">
        <v>986</v>
      </c>
      <c r="R16" s="290" t="s">
        <v>986</v>
      </c>
      <c r="S16" s="290" t="s">
        <v>986</v>
      </c>
      <c r="T16" s="290" t="s">
        <v>986</v>
      </c>
      <c r="U16" s="290" t="s">
        <v>986</v>
      </c>
      <c r="V16" s="290">
        <v>390024</v>
      </c>
      <c r="W16" s="295" t="s">
        <v>86</v>
      </c>
    </row>
    <row r="17" spans="1:23" s="290" customFormat="1" ht="9.75" customHeight="1" x14ac:dyDescent="0.15">
      <c r="A17" s="559" t="s">
        <v>639</v>
      </c>
      <c r="B17" s="290">
        <v>7279060</v>
      </c>
      <c r="C17" s="290">
        <v>2879445</v>
      </c>
      <c r="D17" s="290">
        <v>1242628</v>
      </c>
      <c r="E17" s="290">
        <v>817989</v>
      </c>
      <c r="F17" s="290">
        <v>52786</v>
      </c>
      <c r="G17" s="290" t="s">
        <v>986</v>
      </c>
      <c r="H17" s="290" t="s">
        <v>986</v>
      </c>
      <c r="I17" s="290" t="s">
        <v>986</v>
      </c>
      <c r="J17" s="290">
        <v>385397</v>
      </c>
      <c r="K17" s="290">
        <v>66480</v>
      </c>
      <c r="L17" s="290" t="s">
        <v>986</v>
      </c>
      <c r="M17" s="290">
        <v>175164</v>
      </c>
      <c r="N17" s="290" t="s">
        <v>986</v>
      </c>
      <c r="O17" s="290" t="s">
        <v>986</v>
      </c>
      <c r="P17" s="290">
        <v>139001</v>
      </c>
      <c r="Q17" s="290" t="s">
        <v>986</v>
      </c>
      <c r="R17" s="290" t="s">
        <v>986</v>
      </c>
      <c r="S17" s="290" t="s">
        <v>986</v>
      </c>
      <c r="T17" s="290" t="s">
        <v>986</v>
      </c>
      <c r="U17" s="290" t="s">
        <v>986</v>
      </c>
      <c r="V17" s="290">
        <v>157846</v>
      </c>
      <c r="W17" s="295" t="s">
        <v>87</v>
      </c>
    </row>
    <row r="18" spans="1:23" s="290" customFormat="1" ht="9.75" customHeight="1" x14ac:dyDescent="0.15">
      <c r="A18" s="559" t="s">
        <v>993</v>
      </c>
      <c r="B18" s="290">
        <v>7071451</v>
      </c>
      <c r="C18" s="290">
        <v>3012063</v>
      </c>
      <c r="D18" s="290">
        <v>989823</v>
      </c>
      <c r="E18" s="290">
        <v>706592</v>
      </c>
      <c r="F18" s="290">
        <v>35146</v>
      </c>
      <c r="G18" s="290">
        <v>48801</v>
      </c>
      <c r="H18" s="290" t="s">
        <v>986</v>
      </c>
      <c r="I18" s="290" t="s">
        <v>986</v>
      </c>
      <c r="J18" s="290">
        <v>480818</v>
      </c>
      <c r="K18" s="290">
        <v>310991</v>
      </c>
      <c r="L18" s="290" t="s">
        <v>986</v>
      </c>
      <c r="M18" s="290">
        <v>239901</v>
      </c>
      <c r="N18" s="290">
        <v>100000</v>
      </c>
      <c r="O18" s="290" t="s">
        <v>986</v>
      </c>
      <c r="P18" s="290">
        <v>99991</v>
      </c>
      <c r="Q18" s="290" t="s">
        <v>986</v>
      </c>
      <c r="R18" s="290" t="s">
        <v>986</v>
      </c>
      <c r="S18" s="290" t="s">
        <v>986</v>
      </c>
      <c r="T18" s="290" t="s">
        <v>986</v>
      </c>
      <c r="U18" s="290" t="s">
        <v>986</v>
      </c>
      <c r="V18" s="290">
        <v>125331</v>
      </c>
      <c r="W18" s="295" t="s">
        <v>994</v>
      </c>
    </row>
    <row r="19" spans="1:23" s="290" customFormat="1" ht="6.75" customHeight="1" x14ac:dyDescent="0.15">
      <c r="A19" s="578"/>
      <c r="W19" s="295"/>
    </row>
    <row r="20" spans="1:23" s="290" customFormat="1" ht="9.75" customHeight="1" x14ac:dyDescent="0.15">
      <c r="A20" s="559" t="s">
        <v>995</v>
      </c>
      <c r="B20" s="290">
        <v>2682474</v>
      </c>
      <c r="C20" s="290">
        <v>1082815</v>
      </c>
      <c r="D20" s="290">
        <v>351458</v>
      </c>
      <c r="E20" s="290">
        <v>91101</v>
      </c>
      <c r="F20" s="290">
        <v>17673</v>
      </c>
      <c r="G20" s="290">
        <v>28756</v>
      </c>
      <c r="H20" s="290">
        <v>40000</v>
      </c>
      <c r="I20" s="290" t="s">
        <v>986</v>
      </c>
      <c r="J20" s="290">
        <v>313642</v>
      </c>
      <c r="K20" s="290" t="s">
        <v>986</v>
      </c>
      <c r="L20" s="290" t="s">
        <v>986</v>
      </c>
      <c r="M20" s="290">
        <v>122008</v>
      </c>
      <c r="N20" s="290" t="s">
        <v>986</v>
      </c>
      <c r="O20" s="290" t="s">
        <v>986</v>
      </c>
      <c r="P20" s="290">
        <v>118177</v>
      </c>
      <c r="Q20" s="290" t="s">
        <v>986</v>
      </c>
      <c r="R20" s="290" t="s">
        <v>986</v>
      </c>
      <c r="S20" s="290" t="s">
        <v>986</v>
      </c>
      <c r="T20" s="290" t="s">
        <v>986</v>
      </c>
      <c r="U20" s="290" t="s">
        <v>986</v>
      </c>
      <c r="V20" s="290">
        <v>164321</v>
      </c>
      <c r="W20" s="295" t="s">
        <v>778</v>
      </c>
    </row>
    <row r="21" spans="1:23" s="290" customFormat="1" ht="9.75" customHeight="1" x14ac:dyDescent="0.15">
      <c r="A21" s="559" t="s">
        <v>640</v>
      </c>
      <c r="B21" s="290">
        <v>2758782</v>
      </c>
      <c r="C21" s="290">
        <v>1134570</v>
      </c>
      <c r="D21" s="290">
        <v>371845</v>
      </c>
      <c r="E21" s="290">
        <v>101297</v>
      </c>
      <c r="F21" s="290" t="s">
        <v>986</v>
      </c>
      <c r="G21" s="290" t="s">
        <v>986</v>
      </c>
      <c r="H21" s="290" t="s">
        <v>986</v>
      </c>
      <c r="I21" s="290" t="s">
        <v>986</v>
      </c>
      <c r="J21" s="290">
        <v>365598</v>
      </c>
      <c r="K21" s="290">
        <v>203705</v>
      </c>
      <c r="L21" s="290" t="s">
        <v>986</v>
      </c>
      <c r="M21" s="290" t="s">
        <v>986</v>
      </c>
      <c r="N21" s="290" t="s">
        <v>986</v>
      </c>
      <c r="O21" s="290" t="s">
        <v>986</v>
      </c>
      <c r="P21" s="290">
        <v>92125</v>
      </c>
      <c r="Q21" s="290" t="s">
        <v>986</v>
      </c>
      <c r="R21" s="290" t="s">
        <v>986</v>
      </c>
      <c r="S21" s="290" t="s">
        <v>986</v>
      </c>
      <c r="T21" s="290" t="s">
        <v>986</v>
      </c>
      <c r="U21" s="290" t="s">
        <v>986</v>
      </c>
      <c r="V21" s="290">
        <v>272353</v>
      </c>
      <c r="W21" s="295" t="s">
        <v>73</v>
      </c>
    </row>
    <row r="22" spans="1:23" s="290" customFormat="1" ht="9.75" customHeight="1" x14ac:dyDescent="0.15">
      <c r="A22" s="559" t="s">
        <v>641</v>
      </c>
      <c r="B22" s="290">
        <v>2681022</v>
      </c>
      <c r="C22" s="290">
        <v>924971</v>
      </c>
      <c r="D22" s="290">
        <v>435761</v>
      </c>
      <c r="E22" s="290">
        <v>166817</v>
      </c>
      <c r="F22" s="290" t="s">
        <v>986</v>
      </c>
      <c r="G22" s="290">
        <v>41402</v>
      </c>
      <c r="H22" s="290" t="s">
        <v>986</v>
      </c>
      <c r="I22" s="290" t="s">
        <v>986</v>
      </c>
      <c r="J22" s="290">
        <v>137901</v>
      </c>
      <c r="K22" s="290" t="s">
        <v>986</v>
      </c>
      <c r="L22" s="290" t="s">
        <v>986</v>
      </c>
      <c r="M22" s="290">
        <v>47680</v>
      </c>
      <c r="N22" s="290" t="s">
        <v>986</v>
      </c>
      <c r="O22" s="290" t="s">
        <v>986</v>
      </c>
      <c r="P22" s="290">
        <v>95332</v>
      </c>
      <c r="Q22" s="290" t="s">
        <v>986</v>
      </c>
      <c r="R22" s="290">
        <v>78</v>
      </c>
      <c r="S22" s="290" t="s">
        <v>986</v>
      </c>
      <c r="T22" s="290" t="s">
        <v>986</v>
      </c>
      <c r="U22" s="290" t="s">
        <v>986</v>
      </c>
      <c r="V22" s="290">
        <v>373913</v>
      </c>
      <c r="W22" s="295" t="s">
        <v>74</v>
      </c>
    </row>
    <row r="23" spans="1:23" s="290" customFormat="1" ht="9.75" customHeight="1" x14ac:dyDescent="0.15">
      <c r="A23" s="559" t="s">
        <v>642</v>
      </c>
      <c r="B23" s="290">
        <v>1761448</v>
      </c>
      <c r="C23" s="290">
        <v>482929</v>
      </c>
      <c r="D23" s="290">
        <v>174209</v>
      </c>
      <c r="E23" s="290">
        <v>67586</v>
      </c>
      <c r="F23" s="290" t="s">
        <v>986</v>
      </c>
      <c r="G23" s="290" t="s">
        <v>986</v>
      </c>
      <c r="H23" s="290" t="s">
        <v>986</v>
      </c>
      <c r="I23" s="290" t="s">
        <v>986</v>
      </c>
      <c r="J23" s="290">
        <v>149781</v>
      </c>
      <c r="K23" s="290">
        <v>50020</v>
      </c>
      <c r="L23" s="290" t="s">
        <v>986</v>
      </c>
      <c r="M23" s="290">
        <v>41333</v>
      </c>
      <c r="N23" s="290" t="s">
        <v>986</v>
      </c>
      <c r="O23" s="290" t="s">
        <v>986</v>
      </c>
      <c r="P23" s="290" t="s">
        <v>986</v>
      </c>
      <c r="Q23" s="290" t="s">
        <v>986</v>
      </c>
      <c r="R23" s="290" t="s">
        <v>986</v>
      </c>
      <c r="S23" s="290" t="s">
        <v>986</v>
      </c>
      <c r="T23" s="290" t="s">
        <v>986</v>
      </c>
      <c r="U23" s="290" t="s">
        <v>986</v>
      </c>
      <c r="V23" s="290">
        <v>106588</v>
      </c>
      <c r="W23" s="295" t="s">
        <v>75</v>
      </c>
    </row>
    <row r="24" spans="1:23" s="290" customFormat="1" ht="9.75" customHeight="1" x14ac:dyDescent="0.15">
      <c r="A24" s="559" t="s">
        <v>643</v>
      </c>
      <c r="B24" s="290">
        <v>1767990</v>
      </c>
      <c r="C24" s="290">
        <v>552635</v>
      </c>
      <c r="D24" s="290">
        <v>188777</v>
      </c>
      <c r="E24" s="290">
        <v>76384</v>
      </c>
      <c r="F24" s="290" t="s">
        <v>986</v>
      </c>
      <c r="G24" s="290" t="s">
        <v>986</v>
      </c>
      <c r="H24" s="290" t="s">
        <v>986</v>
      </c>
      <c r="I24" s="290" t="s">
        <v>986</v>
      </c>
      <c r="J24" s="290">
        <v>70367</v>
      </c>
      <c r="K24" s="290">
        <v>74782</v>
      </c>
      <c r="L24" s="290" t="s">
        <v>986</v>
      </c>
      <c r="M24" s="290">
        <v>100025</v>
      </c>
      <c r="N24" s="290" t="s">
        <v>986</v>
      </c>
      <c r="O24" s="290" t="s">
        <v>986</v>
      </c>
      <c r="P24" s="290">
        <v>42300</v>
      </c>
      <c r="Q24" s="290" t="s">
        <v>986</v>
      </c>
      <c r="R24" s="290" t="s">
        <v>986</v>
      </c>
      <c r="S24" s="290">
        <v>50050</v>
      </c>
      <c r="T24" s="290">
        <v>50050</v>
      </c>
      <c r="U24" s="290" t="s">
        <v>986</v>
      </c>
      <c r="V24" s="290">
        <v>110647</v>
      </c>
      <c r="W24" s="295" t="s">
        <v>88</v>
      </c>
    </row>
    <row r="25" spans="1:23" s="290" customFormat="1" ht="9.75" customHeight="1" x14ac:dyDescent="0.15">
      <c r="A25" s="559" t="s">
        <v>644</v>
      </c>
      <c r="B25" s="290">
        <v>1780473</v>
      </c>
      <c r="C25" s="290">
        <v>561833</v>
      </c>
      <c r="D25" s="290">
        <v>194625</v>
      </c>
      <c r="E25" s="290">
        <v>94048</v>
      </c>
      <c r="F25" s="290" t="s">
        <v>986</v>
      </c>
      <c r="G25" s="290">
        <v>24239</v>
      </c>
      <c r="H25" s="290" t="s">
        <v>986</v>
      </c>
      <c r="I25" s="290" t="s">
        <v>986</v>
      </c>
      <c r="J25" s="290">
        <v>130597</v>
      </c>
      <c r="K25" s="290">
        <v>49849</v>
      </c>
      <c r="L25" s="290" t="s">
        <v>986</v>
      </c>
      <c r="M25" s="290">
        <v>68475</v>
      </c>
      <c r="N25" s="290" t="s">
        <v>986</v>
      </c>
      <c r="O25" s="290" t="s">
        <v>986</v>
      </c>
      <c r="P25" s="290" t="s">
        <v>986</v>
      </c>
      <c r="Q25" s="290" t="s">
        <v>986</v>
      </c>
      <c r="R25" s="290" t="s">
        <v>986</v>
      </c>
      <c r="S25" s="290" t="s">
        <v>986</v>
      </c>
      <c r="T25" s="290" t="s">
        <v>986</v>
      </c>
      <c r="U25" s="290" t="s">
        <v>986</v>
      </c>
      <c r="V25" s="290">
        <v>106892</v>
      </c>
      <c r="W25" s="295" t="s">
        <v>89</v>
      </c>
    </row>
    <row r="26" spans="1:23" s="290" customFormat="1" ht="9.75" customHeight="1" x14ac:dyDescent="0.15">
      <c r="A26" s="559" t="s">
        <v>645</v>
      </c>
      <c r="B26" s="290">
        <v>1859862</v>
      </c>
      <c r="C26" s="290">
        <v>481656</v>
      </c>
      <c r="D26" s="290">
        <v>166734</v>
      </c>
      <c r="E26" s="290">
        <v>149061</v>
      </c>
      <c r="F26" s="290">
        <v>18382</v>
      </c>
      <c r="G26" s="290">
        <v>66954</v>
      </c>
      <c r="H26" s="290" t="s">
        <v>986</v>
      </c>
      <c r="I26" s="290" t="s">
        <v>986</v>
      </c>
      <c r="J26" s="290" t="s">
        <v>986</v>
      </c>
      <c r="K26" s="290" t="s">
        <v>986</v>
      </c>
      <c r="L26" s="290" t="s">
        <v>986</v>
      </c>
      <c r="M26" s="290">
        <v>80525</v>
      </c>
      <c r="N26" s="290" t="s">
        <v>986</v>
      </c>
      <c r="O26" s="290" t="s">
        <v>986</v>
      </c>
      <c r="P26" s="290" t="s">
        <v>986</v>
      </c>
      <c r="Q26" s="290" t="s">
        <v>986</v>
      </c>
      <c r="R26" s="290" t="s">
        <v>986</v>
      </c>
      <c r="S26" s="290" t="s">
        <v>986</v>
      </c>
      <c r="T26" s="290" t="s">
        <v>986</v>
      </c>
      <c r="U26" s="290" t="s">
        <v>986</v>
      </c>
      <c r="V26" s="290">
        <v>120572</v>
      </c>
      <c r="W26" s="295" t="s">
        <v>90</v>
      </c>
    </row>
    <row r="27" spans="1:23" s="290" customFormat="1" ht="9.75" customHeight="1" x14ac:dyDescent="0.15">
      <c r="A27" s="559" t="s">
        <v>646</v>
      </c>
      <c r="B27" s="290">
        <v>2013977</v>
      </c>
      <c r="C27" s="290">
        <v>539758</v>
      </c>
      <c r="D27" s="290">
        <v>409007</v>
      </c>
      <c r="E27" s="290">
        <v>48195</v>
      </c>
      <c r="F27" s="290">
        <v>15910</v>
      </c>
      <c r="G27" s="290" t="s">
        <v>986</v>
      </c>
      <c r="H27" s="290" t="s">
        <v>986</v>
      </c>
      <c r="I27" s="290" t="s">
        <v>986</v>
      </c>
      <c r="J27" s="290">
        <v>50000</v>
      </c>
      <c r="K27" s="290" t="s">
        <v>986</v>
      </c>
      <c r="L27" s="290" t="s">
        <v>986</v>
      </c>
      <c r="M27" s="290">
        <v>14949</v>
      </c>
      <c r="N27" s="290">
        <v>1697</v>
      </c>
      <c r="O27" s="290" t="s">
        <v>986</v>
      </c>
      <c r="P27" s="290" t="s">
        <v>986</v>
      </c>
      <c r="Q27" s="290" t="s">
        <v>986</v>
      </c>
      <c r="R27" s="290" t="s">
        <v>986</v>
      </c>
      <c r="S27" s="290" t="s">
        <v>986</v>
      </c>
      <c r="T27" s="290" t="s">
        <v>986</v>
      </c>
      <c r="U27" s="290" t="s">
        <v>986</v>
      </c>
      <c r="V27" s="290">
        <v>91659</v>
      </c>
      <c r="W27" s="295" t="s">
        <v>91</v>
      </c>
    </row>
    <row r="28" spans="1:23" s="290" customFormat="1" ht="9.75" customHeight="1" x14ac:dyDescent="0.15">
      <c r="A28" s="559" t="s">
        <v>647</v>
      </c>
      <c r="B28" s="290">
        <v>2751330</v>
      </c>
      <c r="C28" s="290">
        <v>869220</v>
      </c>
      <c r="D28" s="290">
        <v>401556</v>
      </c>
      <c r="E28" s="290">
        <v>301415</v>
      </c>
      <c r="F28" s="290">
        <v>18079</v>
      </c>
      <c r="G28" s="290" t="s">
        <v>986</v>
      </c>
      <c r="H28" s="290" t="s">
        <v>986</v>
      </c>
      <c r="I28" s="290" t="s">
        <v>986</v>
      </c>
      <c r="J28" s="290">
        <v>148170</v>
      </c>
      <c r="K28" s="290" t="s">
        <v>986</v>
      </c>
      <c r="L28" s="290" t="s">
        <v>986</v>
      </c>
      <c r="M28" s="290" t="s">
        <v>986</v>
      </c>
      <c r="N28" s="290" t="s">
        <v>986</v>
      </c>
      <c r="O28" s="290" t="s">
        <v>986</v>
      </c>
      <c r="P28" s="290" t="s">
        <v>986</v>
      </c>
      <c r="Q28" s="290" t="s">
        <v>986</v>
      </c>
      <c r="R28" s="290" t="s">
        <v>986</v>
      </c>
      <c r="S28" s="290" t="s">
        <v>986</v>
      </c>
      <c r="T28" s="290" t="s">
        <v>986</v>
      </c>
      <c r="U28" s="290" t="s">
        <v>986</v>
      </c>
      <c r="V28" s="290">
        <v>177793</v>
      </c>
      <c r="W28" s="295" t="s">
        <v>92</v>
      </c>
    </row>
    <row r="29" spans="1:23" s="290" customFormat="1" ht="9.75" customHeight="1" x14ac:dyDescent="0.15">
      <c r="A29" s="559" t="s">
        <v>648</v>
      </c>
      <c r="B29" s="290">
        <v>2370138</v>
      </c>
      <c r="C29" s="290">
        <v>843727</v>
      </c>
      <c r="D29" s="290">
        <v>364711</v>
      </c>
      <c r="E29" s="290">
        <v>227040</v>
      </c>
      <c r="F29" s="290">
        <v>17696</v>
      </c>
      <c r="G29" s="290" t="s">
        <v>986</v>
      </c>
      <c r="H29" s="290" t="s">
        <v>986</v>
      </c>
      <c r="I29" s="290" t="s">
        <v>986</v>
      </c>
      <c r="J29" s="290">
        <v>178630</v>
      </c>
      <c r="K29" s="290">
        <v>16650</v>
      </c>
      <c r="L29" s="290" t="s">
        <v>986</v>
      </c>
      <c r="M29" s="290" t="s">
        <v>986</v>
      </c>
      <c r="N29" s="290" t="s">
        <v>986</v>
      </c>
      <c r="O29" s="290" t="s">
        <v>986</v>
      </c>
      <c r="P29" s="290">
        <v>39000</v>
      </c>
      <c r="Q29" s="290" t="s">
        <v>986</v>
      </c>
      <c r="R29" s="290" t="s">
        <v>986</v>
      </c>
      <c r="S29" s="290" t="s">
        <v>986</v>
      </c>
      <c r="T29" s="290" t="s">
        <v>986</v>
      </c>
      <c r="U29" s="290" t="s">
        <v>986</v>
      </c>
      <c r="V29" s="290">
        <v>121378</v>
      </c>
      <c r="W29" s="295" t="s">
        <v>76</v>
      </c>
    </row>
    <row r="30" spans="1:23" s="290" customFormat="1" ht="9.75" customHeight="1" x14ac:dyDescent="0.15">
      <c r="A30" s="559" t="s">
        <v>649</v>
      </c>
      <c r="B30" s="290">
        <v>2290883</v>
      </c>
      <c r="C30" s="290">
        <v>900260</v>
      </c>
      <c r="D30" s="290">
        <v>427972</v>
      </c>
      <c r="E30" s="290">
        <v>276687</v>
      </c>
      <c r="F30" s="290" t="s">
        <v>986</v>
      </c>
      <c r="G30" s="290" t="s">
        <v>986</v>
      </c>
      <c r="H30" s="290" t="s">
        <v>986</v>
      </c>
      <c r="I30" s="290" t="s">
        <v>986</v>
      </c>
      <c r="J30" s="290">
        <v>95550</v>
      </c>
      <c r="K30" s="290" t="s">
        <v>986</v>
      </c>
      <c r="L30" s="290" t="s">
        <v>986</v>
      </c>
      <c r="M30" s="290">
        <v>50050</v>
      </c>
      <c r="N30" s="290" t="s">
        <v>986</v>
      </c>
      <c r="O30" s="290" t="s">
        <v>986</v>
      </c>
      <c r="P30" s="290">
        <v>50001</v>
      </c>
      <c r="Q30" s="290" t="s">
        <v>986</v>
      </c>
      <c r="R30" s="290" t="s">
        <v>986</v>
      </c>
      <c r="S30" s="290" t="s">
        <v>986</v>
      </c>
      <c r="T30" s="290" t="s">
        <v>986</v>
      </c>
      <c r="U30" s="290" t="s">
        <v>986</v>
      </c>
      <c r="V30" s="290">
        <v>17489</v>
      </c>
      <c r="W30" s="295" t="s">
        <v>77</v>
      </c>
    </row>
    <row r="31" spans="1:23" s="290" customFormat="1" ht="9.75" customHeight="1" x14ac:dyDescent="0.15">
      <c r="A31" s="559" t="s">
        <v>650</v>
      </c>
      <c r="B31" s="290">
        <v>2618039</v>
      </c>
      <c r="C31" s="290">
        <v>1135458</v>
      </c>
      <c r="D31" s="290">
        <v>449945</v>
      </c>
      <c r="E31" s="290">
        <v>314262</v>
      </c>
      <c r="F31" s="290">
        <v>35090</v>
      </c>
      <c r="G31" s="290" t="s">
        <v>986</v>
      </c>
      <c r="H31" s="290" t="s">
        <v>986</v>
      </c>
      <c r="I31" s="290" t="s">
        <v>986</v>
      </c>
      <c r="J31" s="290">
        <v>111217</v>
      </c>
      <c r="K31" s="290">
        <v>49830</v>
      </c>
      <c r="L31" s="290" t="s">
        <v>986</v>
      </c>
      <c r="M31" s="290">
        <v>125114</v>
      </c>
      <c r="N31" s="290" t="s">
        <v>986</v>
      </c>
      <c r="O31" s="290" t="s">
        <v>986</v>
      </c>
      <c r="P31" s="290">
        <v>50000</v>
      </c>
      <c r="Q31" s="290" t="s">
        <v>986</v>
      </c>
      <c r="R31" s="290" t="s">
        <v>986</v>
      </c>
      <c r="S31" s="290" t="s">
        <v>986</v>
      </c>
      <c r="T31" s="290" t="s">
        <v>986</v>
      </c>
      <c r="U31" s="290" t="s">
        <v>986</v>
      </c>
      <c r="V31" s="290">
        <v>18979</v>
      </c>
      <c r="W31" s="295" t="s">
        <v>78</v>
      </c>
    </row>
    <row r="32" spans="1:23" s="290" customFormat="1" ht="9.75" customHeight="1" x14ac:dyDescent="0.15">
      <c r="A32" s="559" t="s">
        <v>996</v>
      </c>
      <c r="B32" s="290">
        <v>2132912</v>
      </c>
      <c r="C32" s="290">
        <v>845941</v>
      </c>
      <c r="D32" s="290">
        <v>323335</v>
      </c>
      <c r="E32" s="290">
        <v>208881</v>
      </c>
      <c r="F32" s="290" t="s">
        <v>986</v>
      </c>
      <c r="G32" s="290" t="s">
        <v>986</v>
      </c>
      <c r="H32" s="290" t="s">
        <v>986</v>
      </c>
      <c r="I32" s="290" t="s">
        <v>986</v>
      </c>
      <c r="J32" s="290">
        <v>143246</v>
      </c>
      <c r="K32" s="290">
        <v>70478</v>
      </c>
      <c r="L32" s="290" t="s">
        <v>986</v>
      </c>
      <c r="M32" s="290">
        <v>50010</v>
      </c>
      <c r="N32" s="290" t="s">
        <v>986</v>
      </c>
      <c r="O32" s="290" t="s">
        <v>986</v>
      </c>
      <c r="P32" s="290">
        <v>49991</v>
      </c>
      <c r="Q32" s="290" t="s">
        <v>986</v>
      </c>
      <c r="R32" s="290" t="s">
        <v>986</v>
      </c>
      <c r="S32" s="290" t="s">
        <v>986</v>
      </c>
      <c r="T32" s="290" t="s">
        <v>986</v>
      </c>
      <c r="U32" s="290" t="s">
        <v>986</v>
      </c>
      <c r="V32" s="290">
        <v>23685</v>
      </c>
      <c r="W32" s="295" t="s">
        <v>997</v>
      </c>
    </row>
    <row r="33" spans="1:23" s="290" customFormat="1" ht="9.75" customHeight="1" x14ac:dyDescent="0.15">
      <c r="A33" s="559" t="s">
        <v>651</v>
      </c>
      <c r="B33" s="290">
        <v>2171706</v>
      </c>
      <c r="C33" s="290">
        <v>832511</v>
      </c>
      <c r="D33" s="290">
        <v>331982</v>
      </c>
      <c r="E33" s="290">
        <v>166104</v>
      </c>
      <c r="F33" s="290">
        <v>17625</v>
      </c>
      <c r="G33" s="290" t="s">
        <v>986</v>
      </c>
      <c r="H33" s="290" t="s">
        <v>986</v>
      </c>
      <c r="I33" s="290" t="s">
        <v>986</v>
      </c>
      <c r="J33" s="290">
        <v>188239</v>
      </c>
      <c r="K33" s="290">
        <v>79260</v>
      </c>
      <c r="L33" s="290" t="s">
        <v>986</v>
      </c>
      <c r="M33" s="290">
        <v>49301</v>
      </c>
      <c r="N33" s="290" t="s">
        <v>986</v>
      </c>
      <c r="O33" s="290" t="s">
        <v>986</v>
      </c>
      <c r="P33" s="290" t="s">
        <v>986</v>
      </c>
      <c r="Q33" s="290" t="s">
        <v>986</v>
      </c>
      <c r="R33" s="290" t="s">
        <v>986</v>
      </c>
      <c r="S33" s="290" t="s">
        <v>986</v>
      </c>
      <c r="T33" s="290" t="s">
        <v>986</v>
      </c>
      <c r="U33" s="290" t="s">
        <v>986</v>
      </c>
      <c r="V33" s="290">
        <v>73491</v>
      </c>
      <c r="W33" s="295" t="s">
        <v>73</v>
      </c>
    </row>
    <row r="34" spans="1:23" s="290" customFormat="1" ht="9.75" customHeight="1" x14ac:dyDescent="0.15">
      <c r="A34" s="560" t="s">
        <v>652</v>
      </c>
      <c r="B34" s="294">
        <v>2766833</v>
      </c>
      <c r="C34" s="293">
        <v>1333611</v>
      </c>
      <c r="D34" s="293">
        <v>334506</v>
      </c>
      <c r="E34" s="293">
        <v>331607</v>
      </c>
      <c r="F34" s="293">
        <v>17521</v>
      </c>
      <c r="G34" s="293">
        <v>48801</v>
      </c>
      <c r="H34" s="293" t="s">
        <v>986</v>
      </c>
      <c r="I34" s="293" t="s">
        <v>986</v>
      </c>
      <c r="J34" s="293">
        <v>149333</v>
      </c>
      <c r="K34" s="293">
        <v>161253</v>
      </c>
      <c r="L34" s="293" t="s">
        <v>986</v>
      </c>
      <c r="M34" s="293">
        <v>140590</v>
      </c>
      <c r="N34" s="293">
        <v>100000</v>
      </c>
      <c r="O34" s="293" t="s">
        <v>986</v>
      </c>
      <c r="P34" s="293">
        <v>50000</v>
      </c>
      <c r="Q34" s="293" t="s">
        <v>986</v>
      </c>
      <c r="R34" s="293" t="s">
        <v>986</v>
      </c>
      <c r="S34" s="293" t="s">
        <v>986</v>
      </c>
      <c r="T34" s="293" t="s">
        <v>986</v>
      </c>
      <c r="U34" s="293" t="s">
        <v>986</v>
      </c>
      <c r="V34" s="293">
        <v>28155</v>
      </c>
      <c r="W34" s="291" t="s">
        <v>74</v>
      </c>
    </row>
    <row r="35" spans="1:23" ht="12" customHeight="1" x14ac:dyDescent="0.15"/>
    <row r="36" spans="1:23" ht="12" customHeight="1" x14ac:dyDescent="0.15"/>
    <row r="37" spans="1:23" ht="12" customHeight="1" x14ac:dyDescent="0.15">
      <c r="K37" s="299" t="s">
        <v>93</v>
      </c>
    </row>
    <row r="38" spans="1:23" s="297" customFormat="1" ht="21" customHeight="1" x14ac:dyDescent="0.15">
      <c r="A38" s="1053" t="s">
        <v>172</v>
      </c>
      <c r="B38" s="832" t="s">
        <v>309</v>
      </c>
      <c r="C38" s="827"/>
      <c r="D38" s="827"/>
      <c r="E38" s="827"/>
      <c r="F38" s="827"/>
      <c r="G38" s="827"/>
      <c r="H38" s="827"/>
      <c r="I38" s="827"/>
      <c r="J38" s="827"/>
      <c r="K38" s="827"/>
      <c r="L38" s="827"/>
      <c r="M38" s="827"/>
      <c r="N38" s="827"/>
      <c r="O38" s="827"/>
      <c r="P38" s="827"/>
      <c r="Q38" s="827"/>
      <c r="R38" s="827"/>
      <c r="S38" s="827"/>
      <c r="T38" s="827"/>
      <c r="U38" s="827"/>
      <c r="V38" s="827"/>
      <c r="W38" s="1056" t="s">
        <v>79</v>
      </c>
    </row>
    <row r="39" spans="1:23" s="297" customFormat="1" ht="21" customHeight="1" x14ac:dyDescent="0.15">
      <c r="A39" s="1054"/>
      <c r="B39" s="832" t="s">
        <v>871</v>
      </c>
      <c r="C39" s="827"/>
      <c r="D39" s="827"/>
      <c r="E39" s="827"/>
      <c r="F39" s="834"/>
      <c r="G39" s="826" t="s">
        <v>257</v>
      </c>
      <c r="H39" s="827"/>
      <c r="I39" s="827"/>
      <c r="J39" s="834"/>
      <c r="K39" s="826" t="s">
        <v>242</v>
      </c>
      <c r="L39" s="827"/>
      <c r="M39" s="834"/>
      <c r="N39" s="826" t="s">
        <v>241</v>
      </c>
      <c r="O39" s="827"/>
      <c r="P39" s="827"/>
      <c r="Q39" s="827"/>
      <c r="R39" s="827"/>
      <c r="S39" s="827"/>
      <c r="T39" s="827"/>
      <c r="U39" s="827"/>
      <c r="V39" s="827"/>
      <c r="W39" s="1057"/>
    </row>
    <row r="40" spans="1:23" s="297" customFormat="1" ht="52.5" customHeight="1" x14ac:dyDescent="0.15">
      <c r="A40" s="1055"/>
      <c r="B40" s="298" t="s">
        <v>273</v>
      </c>
      <c r="C40" s="298" t="s">
        <v>244</v>
      </c>
      <c r="D40" s="298" t="s">
        <v>297</v>
      </c>
      <c r="E40" s="298" t="s">
        <v>266</v>
      </c>
      <c r="F40" s="298" t="s">
        <v>872</v>
      </c>
      <c r="G40" s="696" t="s">
        <v>856</v>
      </c>
      <c r="H40" s="298" t="s">
        <v>318</v>
      </c>
      <c r="I40" s="298" t="s">
        <v>243</v>
      </c>
      <c r="J40" s="298" t="s">
        <v>317</v>
      </c>
      <c r="K40" s="696" t="s">
        <v>857</v>
      </c>
      <c r="L40" s="301" t="s">
        <v>873</v>
      </c>
      <c r="M40" s="298" t="s">
        <v>859</v>
      </c>
      <c r="N40" s="696" t="s">
        <v>860</v>
      </c>
      <c r="O40" s="298" t="s">
        <v>236</v>
      </c>
      <c r="P40" s="298" t="s">
        <v>861</v>
      </c>
      <c r="Q40" s="298" t="s">
        <v>874</v>
      </c>
      <c r="R40" s="298" t="s">
        <v>554</v>
      </c>
      <c r="S40" s="298" t="s">
        <v>315</v>
      </c>
      <c r="T40" s="298" t="s">
        <v>555</v>
      </c>
      <c r="U40" s="298" t="s">
        <v>336</v>
      </c>
      <c r="V40" s="300" t="s">
        <v>335</v>
      </c>
      <c r="W40" s="1058"/>
    </row>
    <row r="41" spans="1:23" s="290" customFormat="1" ht="9.75" customHeight="1" x14ac:dyDescent="0.15">
      <c r="A41" s="828" t="s">
        <v>985</v>
      </c>
      <c r="B41" s="829">
        <v>63300</v>
      </c>
      <c r="C41" s="830">
        <v>2365901</v>
      </c>
      <c r="D41" s="830">
        <v>149254</v>
      </c>
      <c r="E41" s="830">
        <v>74779</v>
      </c>
      <c r="F41" s="830" t="s">
        <v>986</v>
      </c>
      <c r="G41" s="830">
        <v>1698857</v>
      </c>
      <c r="H41" s="830">
        <v>214108</v>
      </c>
      <c r="I41" s="830">
        <v>21650</v>
      </c>
      <c r="J41" s="830">
        <v>1463099</v>
      </c>
      <c r="K41" s="830">
        <v>94050</v>
      </c>
      <c r="L41" s="830">
        <v>94050</v>
      </c>
      <c r="M41" s="830" t="s">
        <v>986</v>
      </c>
      <c r="N41" s="830">
        <v>7037465</v>
      </c>
      <c r="O41" s="830">
        <v>6264108</v>
      </c>
      <c r="P41" s="830" t="s">
        <v>986</v>
      </c>
      <c r="Q41" s="830">
        <v>335186</v>
      </c>
      <c r="R41" s="830">
        <v>12543</v>
      </c>
      <c r="S41" s="830">
        <v>28130</v>
      </c>
      <c r="T41" s="830">
        <v>9956</v>
      </c>
      <c r="U41" s="830">
        <v>22294</v>
      </c>
      <c r="V41" s="830">
        <v>324573</v>
      </c>
      <c r="W41" s="831" t="s">
        <v>485</v>
      </c>
    </row>
    <row r="42" spans="1:23" s="290" customFormat="1" ht="9.75" customHeight="1" x14ac:dyDescent="0.15">
      <c r="A42" s="559" t="s">
        <v>634</v>
      </c>
      <c r="B42" s="290" t="s">
        <v>986</v>
      </c>
      <c r="C42" s="290">
        <v>959780</v>
      </c>
      <c r="D42" s="290" t="s">
        <v>986</v>
      </c>
      <c r="E42" s="290" t="s">
        <v>986</v>
      </c>
      <c r="F42" s="290" t="s">
        <v>986</v>
      </c>
      <c r="G42" s="290">
        <v>83186</v>
      </c>
      <c r="H42" s="290" t="s">
        <v>986</v>
      </c>
      <c r="I42" s="290" t="s">
        <v>986</v>
      </c>
      <c r="J42" s="290">
        <v>83186</v>
      </c>
      <c r="K42" s="290">
        <v>163865</v>
      </c>
      <c r="L42" s="290">
        <v>114000</v>
      </c>
      <c r="M42" s="290">
        <v>49865</v>
      </c>
      <c r="N42" s="290">
        <v>2585353</v>
      </c>
      <c r="O42" s="290">
        <v>2240733</v>
      </c>
      <c r="P42" s="290" t="s">
        <v>986</v>
      </c>
      <c r="Q42" s="290">
        <v>205720</v>
      </c>
      <c r="R42" s="290" t="s">
        <v>986</v>
      </c>
      <c r="S42" s="290" t="s">
        <v>986</v>
      </c>
      <c r="T42" s="290" t="s">
        <v>986</v>
      </c>
      <c r="U42" s="290" t="s">
        <v>986</v>
      </c>
      <c r="V42" s="290">
        <v>131885</v>
      </c>
      <c r="W42" s="295" t="s">
        <v>588</v>
      </c>
    </row>
    <row r="43" spans="1:23" s="290" customFormat="1" ht="9.75" customHeight="1" x14ac:dyDescent="0.15">
      <c r="A43" s="559" t="s">
        <v>635</v>
      </c>
      <c r="B43" s="290" t="s">
        <v>986</v>
      </c>
      <c r="C43" s="290">
        <v>885368</v>
      </c>
      <c r="D43" s="290">
        <v>49204</v>
      </c>
      <c r="E43" s="290" t="s">
        <v>986</v>
      </c>
      <c r="F43" s="290" t="s">
        <v>986</v>
      </c>
      <c r="G43" s="290">
        <v>833501</v>
      </c>
      <c r="H43" s="290">
        <v>136060</v>
      </c>
      <c r="I43" s="290">
        <v>97652</v>
      </c>
      <c r="J43" s="290">
        <v>599789</v>
      </c>
      <c r="K43" s="290">
        <v>122631</v>
      </c>
      <c r="L43" s="290" t="s">
        <v>986</v>
      </c>
      <c r="M43" s="290">
        <v>122631</v>
      </c>
      <c r="N43" s="290">
        <v>2561014</v>
      </c>
      <c r="O43" s="290">
        <v>2229139</v>
      </c>
      <c r="P43" s="290" t="s">
        <v>986</v>
      </c>
      <c r="Q43" s="290">
        <v>141069</v>
      </c>
      <c r="R43" s="290" t="s">
        <v>986</v>
      </c>
      <c r="S43" s="290" t="s">
        <v>986</v>
      </c>
      <c r="T43" s="290" t="s">
        <v>986</v>
      </c>
      <c r="U43" s="290" t="s">
        <v>986</v>
      </c>
      <c r="V43" s="290">
        <v>180476</v>
      </c>
      <c r="W43" s="295" t="s">
        <v>636</v>
      </c>
    </row>
    <row r="44" spans="1:23" s="290" customFormat="1" ht="9.75" customHeight="1" x14ac:dyDescent="0.15">
      <c r="A44" s="559" t="s">
        <v>774</v>
      </c>
      <c r="B44" s="290">
        <v>11502</v>
      </c>
      <c r="C44" s="290">
        <v>1744114</v>
      </c>
      <c r="D44" s="290">
        <v>347559</v>
      </c>
      <c r="E44" s="290" t="s">
        <v>986</v>
      </c>
      <c r="F44" s="290">
        <v>49985</v>
      </c>
      <c r="G44" s="290">
        <v>999279</v>
      </c>
      <c r="H44" s="290">
        <v>90681</v>
      </c>
      <c r="I44" s="290" t="s">
        <v>986</v>
      </c>
      <c r="J44" s="290">
        <v>908598</v>
      </c>
      <c r="K44" s="290">
        <v>47468</v>
      </c>
      <c r="L44" s="290" t="s">
        <v>986</v>
      </c>
      <c r="M44" s="290">
        <v>47468</v>
      </c>
      <c r="N44" s="290">
        <v>4048827</v>
      </c>
      <c r="O44" s="290">
        <v>3457245</v>
      </c>
      <c r="P44" s="290" t="s">
        <v>986</v>
      </c>
      <c r="Q44" s="290">
        <v>518570</v>
      </c>
      <c r="R44" s="290" t="s">
        <v>986</v>
      </c>
      <c r="S44" s="290" t="s">
        <v>986</v>
      </c>
      <c r="T44" s="290" t="s">
        <v>986</v>
      </c>
      <c r="U44" s="290" t="s">
        <v>986</v>
      </c>
      <c r="V44" s="290">
        <v>73012</v>
      </c>
      <c r="W44" s="295" t="s">
        <v>775</v>
      </c>
    </row>
    <row r="45" spans="1:23" s="290" customFormat="1" ht="9.75" customHeight="1" x14ac:dyDescent="0.15">
      <c r="A45" s="559" t="s">
        <v>987</v>
      </c>
      <c r="B45" s="290">
        <v>235250</v>
      </c>
      <c r="C45" s="290">
        <v>841627</v>
      </c>
      <c r="D45" s="290">
        <v>605707</v>
      </c>
      <c r="E45" s="290" t="s">
        <v>986</v>
      </c>
      <c r="F45" s="290" t="s">
        <v>986</v>
      </c>
      <c r="G45" s="290">
        <v>1127052</v>
      </c>
      <c r="H45" s="290">
        <v>90366</v>
      </c>
      <c r="I45" s="290">
        <v>97541</v>
      </c>
      <c r="J45" s="290">
        <v>939145</v>
      </c>
      <c r="K45" s="290">
        <v>47600</v>
      </c>
      <c r="L45" s="290" t="s">
        <v>986</v>
      </c>
      <c r="M45" s="290">
        <v>47600</v>
      </c>
      <c r="N45" s="290">
        <v>2992559</v>
      </c>
      <c r="O45" s="290">
        <v>2362551</v>
      </c>
      <c r="P45" s="290" t="s">
        <v>986</v>
      </c>
      <c r="Q45" s="290">
        <v>582027</v>
      </c>
      <c r="R45" s="290" t="s">
        <v>986</v>
      </c>
      <c r="S45" s="290" t="s">
        <v>986</v>
      </c>
      <c r="T45" s="290" t="s">
        <v>986</v>
      </c>
      <c r="U45" s="290" t="s">
        <v>986</v>
      </c>
      <c r="V45" s="290">
        <v>42737</v>
      </c>
      <c r="W45" s="295" t="s">
        <v>988</v>
      </c>
    </row>
    <row r="46" spans="1:23" s="290" customFormat="1" ht="6.75" customHeight="1" x14ac:dyDescent="0.15">
      <c r="A46" s="578"/>
      <c r="W46" s="295"/>
    </row>
    <row r="47" spans="1:23" s="290" customFormat="1" ht="9.75" customHeight="1" x14ac:dyDescent="0.15">
      <c r="A47" s="559" t="s">
        <v>989</v>
      </c>
      <c r="B47" s="290">
        <v>61428</v>
      </c>
      <c r="C47" s="290">
        <v>1700061</v>
      </c>
      <c r="D47" s="290">
        <v>756080</v>
      </c>
      <c r="E47" s="290" t="s">
        <v>986</v>
      </c>
      <c r="F47" s="290">
        <v>49985</v>
      </c>
      <c r="G47" s="290">
        <v>1059463</v>
      </c>
      <c r="H47" s="290">
        <v>45350</v>
      </c>
      <c r="I47" s="290">
        <v>49100</v>
      </c>
      <c r="J47" s="290">
        <v>965013</v>
      </c>
      <c r="K47" s="290">
        <v>47600</v>
      </c>
      <c r="L47" s="290" t="s">
        <v>986</v>
      </c>
      <c r="M47" s="290">
        <v>47600</v>
      </c>
      <c r="N47" s="290">
        <v>4109146</v>
      </c>
      <c r="O47" s="290">
        <v>3600172</v>
      </c>
      <c r="P47" s="290" t="s">
        <v>986</v>
      </c>
      <c r="Q47" s="290">
        <v>508974</v>
      </c>
      <c r="R47" s="290" t="s">
        <v>986</v>
      </c>
      <c r="S47" s="290" t="s">
        <v>986</v>
      </c>
      <c r="T47" s="290" t="s">
        <v>986</v>
      </c>
      <c r="U47" s="290" t="s">
        <v>986</v>
      </c>
      <c r="V47" s="290" t="s">
        <v>986</v>
      </c>
      <c r="W47" s="295" t="s">
        <v>776</v>
      </c>
    </row>
    <row r="48" spans="1:23" s="290" customFormat="1" ht="9.75" customHeight="1" x14ac:dyDescent="0.15">
      <c r="A48" s="559" t="s">
        <v>990</v>
      </c>
      <c r="B48" s="290">
        <v>185324</v>
      </c>
      <c r="C48" s="290">
        <v>614818</v>
      </c>
      <c r="D48" s="290">
        <v>197186</v>
      </c>
      <c r="E48" s="290" t="s">
        <v>986</v>
      </c>
      <c r="F48" s="290" t="s">
        <v>986</v>
      </c>
      <c r="G48" s="290">
        <v>1077809</v>
      </c>
      <c r="H48" s="290">
        <v>90366</v>
      </c>
      <c r="I48" s="290">
        <v>148363</v>
      </c>
      <c r="J48" s="290">
        <v>839080</v>
      </c>
      <c r="K48" s="290" t="s">
        <v>986</v>
      </c>
      <c r="L48" s="290" t="s">
        <v>986</v>
      </c>
      <c r="M48" s="290" t="s">
        <v>986</v>
      </c>
      <c r="N48" s="290">
        <v>2646110</v>
      </c>
      <c r="O48" s="290">
        <v>1855607</v>
      </c>
      <c r="P48" s="290">
        <v>12315</v>
      </c>
      <c r="Q48" s="290">
        <v>730207</v>
      </c>
      <c r="R48" s="290" t="s">
        <v>986</v>
      </c>
      <c r="S48" s="290" t="s">
        <v>986</v>
      </c>
      <c r="T48" s="290" t="s">
        <v>986</v>
      </c>
      <c r="U48" s="290" t="s">
        <v>986</v>
      </c>
      <c r="V48" s="290">
        <v>42737</v>
      </c>
      <c r="W48" s="295" t="s">
        <v>991</v>
      </c>
    </row>
    <row r="49" spans="1:23" s="290" customFormat="1" ht="6.75" customHeight="1" x14ac:dyDescent="0.15">
      <c r="A49" s="578"/>
      <c r="W49" s="295"/>
    </row>
    <row r="50" spans="1:23" s="290" customFormat="1" ht="9.75" customHeight="1" x14ac:dyDescent="0.15">
      <c r="A50" s="559" t="s">
        <v>992</v>
      </c>
      <c r="B50" s="290">
        <v>49926</v>
      </c>
      <c r="C50" s="290">
        <v>352140</v>
      </c>
      <c r="D50" s="290">
        <v>408521</v>
      </c>
      <c r="E50" s="290" t="s">
        <v>986</v>
      </c>
      <c r="F50" s="290" t="s">
        <v>986</v>
      </c>
      <c r="G50" s="290">
        <v>249970</v>
      </c>
      <c r="H50" s="290" t="s">
        <v>986</v>
      </c>
      <c r="I50" s="290">
        <v>49100</v>
      </c>
      <c r="J50" s="290">
        <v>200870</v>
      </c>
      <c r="K50" s="290">
        <v>47600</v>
      </c>
      <c r="L50" s="290" t="s">
        <v>986</v>
      </c>
      <c r="M50" s="290">
        <v>47600</v>
      </c>
      <c r="N50" s="290">
        <v>1081640</v>
      </c>
      <c r="O50" s="290">
        <v>967407</v>
      </c>
      <c r="P50" s="290" t="s">
        <v>986</v>
      </c>
      <c r="Q50" s="290">
        <v>114233</v>
      </c>
      <c r="R50" s="290" t="s">
        <v>986</v>
      </c>
      <c r="S50" s="290" t="s">
        <v>986</v>
      </c>
      <c r="T50" s="290" t="s">
        <v>986</v>
      </c>
      <c r="U50" s="290" t="s">
        <v>986</v>
      </c>
      <c r="V50" s="290" t="s">
        <v>986</v>
      </c>
      <c r="W50" s="295" t="s">
        <v>777</v>
      </c>
    </row>
    <row r="51" spans="1:23" s="290" customFormat="1" ht="9.75" customHeight="1" x14ac:dyDescent="0.15">
      <c r="A51" s="559" t="s">
        <v>637</v>
      </c>
      <c r="B51" s="290">
        <v>86512</v>
      </c>
      <c r="C51" s="290">
        <v>187865</v>
      </c>
      <c r="D51" s="290">
        <v>49750</v>
      </c>
      <c r="E51" s="290" t="s">
        <v>986</v>
      </c>
      <c r="F51" s="290" t="s">
        <v>986</v>
      </c>
      <c r="G51" s="290">
        <v>49953</v>
      </c>
      <c r="H51" s="290" t="s">
        <v>986</v>
      </c>
      <c r="I51" s="290" t="s">
        <v>986</v>
      </c>
      <c r="J51" s="290">
        <v>49953</v>
      </c>
      <c r="K51" s="290" t="s">
        <v>986</v>
      </c>
      <c r="L51" s="290" t="s">
        <v>986</v>
      </c>
      <c r="M51" s="290" t="s">
        <v>986</v>
      </c>
      <c r="N51" s="290">
        <v>372083</v>
      </c>
      <c r="O51" s="290">
        <v>224012</v>
      </c>
      <c r="P51" s="290" t="s">
        <v>986</v>
      </c>
      <c r="Q51" s="290">
        <v>100090</v>
      </c>
      <c r="R51" s="290" t="s">
        <v>986</v>
      </c>
      <c r="S51" s="290" t="s">
        <v>986</v>
      </c>
      <c r="T51" s="290" t="s">
        <v>986</v>
      </c>
      <c r="U51" s="290" t="s">
        <v>986</v>
      </c>
      <c r="V51" s="290">
        <v>42737</v>
      </c>
      <c r="W51" s="295" t="s">
        <v>85</v>
      </c>
    </row>
    <row r="52" spans="1:23" s="290" customFormat="1" ht="9.75" customHeight="1" x14ac:dyDescent="0.15">
      <c r="A52" s="559" t="s">
        <v>638</v>
      </c>
      <c r="B52" s="290">
        <v>98812</v>
      </c>
      <c r="C52" s="290">
        <v>241172</v>
      </c>
      <c r="D52" s="290">
        <v>50040</v>
      </c>
      <c r="E52" s="290" t="s">
        <v>986</v>
      </c>
      <c r="F52" s="290" t="s">
        <v>986</v>
      </c>
      <c r="G52" s="290">
        <v>405768</v>
      </c>
      <c r="H52" s="290">
        <v>90366</v>
      </c>
      <c r="I52" s="290" t="s">
        <v>986</v>
      </c>
      <c r="J52" s="290">
        <v>315402</v>
      </c>
      <c r="K52" s="290" t="s">
        <v>986</v>
      </c>
      <c r="L52" s="290" t="s">
        <v>986</v>
      </c>
      <c r="M52" s="290" t="s">
        <v>986</v>
      </c>
      <c r="N52" s="290">
        <v>867261</v>
      </c>
      <c r="O52" s="290">
        <v>697278</v>
      </c>
      <c r="P52" s="290" t="s">
        <v>986</v>
      </c>
      <c r="Q52" s="290">
        <v>169983</v>
      </c>
      <c r="R52" s="290" t="s">
        <v>986</v>
      </c>
      <c r="S52" s="290" t="s">
        <v>986</v>
      </c>
      <c r="T52" s="290" t="s">
        <v>986</v>
      </c>
      <c r="U52" s="290" t="s">
        <v>986</v>
      </c>
      <c r="V52" s="290" t="s">
        <v>986</v>
      </c>
      <c r="W52" s="295" t="s">
        <v>86</v>
      </c>
    </row>
    <row r="53" spans="1:23" s="290" customFormat="1" ht="9.75" customHeight="1" x14ac:dyDescent="0.15">
      <c r="A53" s="559" t="s">
        <v>639</v>
      </c>
      <c r="B53" s="290" t="s">
        <v>986</v>
      </c>
      <c r="C53" s="290">
        <v>60450</v>
      </c>
      <c r="D53" s="290">
        <v>97396</v>
      </c>
      <c r="E53" s="290" t="s">
        <v>986</v>
      </c>
      <c r="F53" s="290" t="s">
        <v>986</v>
      </c>
      <c r="G53" s="290">
        <v>421361</v>
      </c>
      <c r="H53" s="290" t="s">
        <v>986</v>
      </c>
      <c r="I53" s="290">
        <v>48441</v>
      </c>
      <c r="J53" s="290">
        <v>372920</v>
      </c>
      <c r="K53" s="290" t="s">
        <v>986</v>
      </c>
      <c r="L53" s="290" t="s">
        <v>986</v>
      </c>
      <c r="M53" s="290" t="s">
        <v>986</v>
      </c>
      <c r="N53" s="290">
        <v>671575</v>
      </c>
      <c r="O53" s="290">
        <v>473854</v>
      </c>
      <c r="P53" s="290" t="s">
        <v>986</v>
      </c>
      <c r="Q53" s="290">
        <v>197721</v>
      </c>
      <c r="R53" s="290" t="s">
        <v>986</v>
      </c>
      <c r="S53" s="290" t="s">
        <v>986</v>
      </c>
      <c r="T53" s="290" t="s">
        <v>986</v>
      </c>
      <c r="U53" s="290" t="s">
        <v>986</v>
      </c>
      <c r="V53" s="290" t="s">
        <v>986</v>
      </c>
      <c r="W53" s="295" t="s">
        <v>87</v>
      </c>
    </row>
    <row r="54" spans="1:23" s="290" customFormat="1" ht="9.75" customHeight="1" x14ac:dyDescent="0.15">
      <c r="A54" s="559" t="s">
        <v>993</v>
      </c>
      <c r="B54" s="290" t="s">
        <v>986</v>
      </c>
      <c r="C54" s="290">
        <v>125331</v>
      </c>
      <c r="D54" s="290" t="s">
        <v>986</v>
      </c>
      <c r="E54" s="290" t="s">
        <v>986</v>
      </c>
      <c r="F54" s="290" t="s">
        <v>986</v>
      </c>
      <c r="G54" s="290">
        <v>200727</v>
      </c>
      <c r="H54" s="290" t="s">
        <v>986</v>
      </c>
      <c r="I54" s="290">
        <v>99922</v>
      </c>
      <c r="J54" s="290">
        <v>100805</v>
      </c>
      <c r="K54" s="290" t="s">
        <v>986</v>
      </c>
      <c r="L54" s="290" t="s">
        <v>986</v>
      </c>
      <c r="M54" s="290" t="s">
        <v>986</v>
      </c>
      <c r="N54" s="290">
        <v>735191</v>
      </c>
      <c r="O54" s="290">
        <v>460463</v>
      </c>
      <c r="P54" s="290">
        <v>12315</v>
      </c>
      <c r="Q54" s="290">
        <v>262413</v>
      </c>
      <c r="R54" s="290" t="s">
        <v>986</v>
      </c>
      <c r="S54" s="290" t="s">
        <v>986</v>
      </c>
      <c r="T54" s="290" t="s">
        <v>986</v>
      </c>
      <c r="U54" s="290" t="s">
        <v>986</v>
      </c>
      <c r="V54" s="290" t="s">
        <v>986</v>
      </c>
      <c r="W54" s="295" t="s">
        <v>994</v>
      </c>
    </row>
    <row r="55" spans="1:23" s="290" customFormat="1" ht="6.75" customHeight="1" x14ac:dyDescent="0.15">
      <c r="A55" s="578"/>
      <c r="W55" s="295"/>
    </row>
    <row r="56" spans="1:23" s="290" customFormat="1" ht="9.75" customHeight="1" x14ac:dyDescent="0.15">
      <c r="A56" s="559" t="s">
        <v>995</v>
      </c>
      <c r="B56" s="290" t="s">
        <v>986</v>
      </c>
      <c r="C56" s="290">
        <v>24460</v>
      </c>
      <c r="D56" s="290">
        <v>139861</v>
      </c>
      <c r="E56" s="290" t="s">
        <v>986</v>
      </c>
      <c r="F56" s="290" t="s">
        <v>986</v>
      </c>
      <c r="G56" s="290">
        <v>200870</v>
      </c>
      <c r="H56" s="290" t="s">
        <v>986</v>
      </c>
      <c r="I56" s="290" t="s">
        <v>986</v>
      </c>
      <c r="J56" s="290">
        <v>200870</v>
      </c>
      <c r="K56" s="290" t="s">
        <v>986</v>
      </c>
      <c r="L56" s="290" t="s">
        <v>986</v>
      </c>
      <c r="M56" s="290" t="s">
        <v>986</v>
      </c>
      <c r="N56" s="290">
        <v>329030</v>
      </c>
      <c r="O56" s="290">
        <v>329030</v>
      </c>
      <c r="P56" s="290" t="s">
        <v>986</v>
      </c>
      <c r="Q56" s="290" t="s">
        <v>986</v>
      </c>
      <c r="R56" s="290" t="s">
        <v>986</v>
      </c>
      <c r="S56" s="290" t="s">
        <v>986</v>
      </c>
      <c r="T56" s="290" t="s">
        <v>986</v>
      </c>
      <c r="U56" s="290" t="s">
        <v>986</v>
      </c>
      <c r="V56" s="290" t="s">
        <v>986</v>
      </c>
      <c r="W56" s="295" t="s">
        <v>778</v>
      </c>
    </row>
    <row r="57" spans="1:23" s="290" customFormat="1" ht="9.75" customHeight="1" x14ac:dyDescent="0.15">
      <c r="A57" s="559" t="s">
        <v>640</v>
      </c>
      <c r="B57" s="290" t="s">
        <v>986</v>
      </c>
      <c r="C57" s="290">
        <v>184268</v>
      </c>
      <c r="D57" s="290">
        <v>88085</v>
      </c>
      <c r="E57" s="290" t="s">
        <v>986</v>
      </c>
      <c r="F57" s="290" t="s">
        <v>986</v>
      </c>
      <c r="G57" s="290" t="s">
        <v>986</v>
      </c>
      <c r="H57" s="290" t="s">
        <v>986</v>
      </c>
      <c r="I57" s="290" t="s">
        <v>986</v>
      </c>
      <c r="J57" s="290" t="s">
        <v>986</v>
      </c>
      <c r="K57" s="290">
        <v>47600</v>
      </c>
      <c r="L57" s="290" t="s">
        <v>986</v>
      </c>
      <c r="M57" s="290">
        <v>47600</v>
      </c>
      <c r="N57" s="290">
        <v>435598</v>
      </c>
      <c r="O57" s="290">
        <v>385568</v>
      </c>
      <c r="P57" s="290" t="s">
        <v>986</v>
      </c>
      <c r="Q57" s="290">
        <v>50030</v>
      </c>
      <c r="R57" s="290" t="s">
        <v>986</v>
      </c>
      <c r="S57" s="290" t="s">
        <v>986</v>
      </c>
      <c r="T57" s="290" t="s">
        <v>986</v>
      </c>
      <c r="U57" s="290" t="s">
        <v>986</v>
      </c>
      <c r="V57" s="290" t="s">
        <v>986</v>
      </c>
      <c r="W57" s="295" t="s">
        <v>73</v>
      </c>
    </row>
    <row r="58" spans="1:23" s="290" customFormat="1" ht="9.75" customHeight="1" x14ac:dyDescent="0.15">
      <c r="A58" s="559" t="s">
        <v>641</v>
      </c>
      <c r="B58" s="290">
        <v>49926</v>
      </c>
      <c r="C58" s="290">
        <v>143412</v>
      </c>
      <c r="D58" s="290">
        <v>180575</v>
      </c>
      <c r="E58" s="290" t="s">
        <v>986</v>
      </c>
      <c r="F58" s="290" t="s">
        <v>986</v>
      </c>
      <c r="G58" s="290">
        <v>49100</v>
      </c>
      <c r="H58" s="290" t="s">
        <v>986</v>
      </c>
      <c r="I58" s="290">
        <v>49100</v>
      </c>
      <c r="J58" s="290" t="s">
        <v>986</v>
      </c>
      <c r="K58" s="290" t="s">
        <v>986</v>
      </c>
      <c r="L58" s="290" t="s">
        <v>986</v>
      </c>
      <c r="M58" s="290" t="s">
        <v>986</v>
      </c>
      <c r="N58" s="290">
        <v>317012</v>
      </c>
      <c r="O58" s="290">
        <v>252809</v>
      </c>
      <c r="P58" s="290" t="s">
        <v>986</v>
      </c>
      <c r="Q58" s="290">
        <v>64203</v>
      </c>
      <c r="R58" s="290" t="s">
        <v>986</v>
      </c>
      <c r="S58" s="290" t="s">
        <v>986</v>
      </c>
      <c r="T58" s="290" t="s">
        <v>986</v>
      </c>
      <c r="U58" s="290" t="s">
        <v>986</v>
      </c>
      <c r="V58" s="290" t="s">
        <v>986</v>
      </c>
      <c r="W58" s="295" t="s">
        <v>74</v>
      </c>
    </row>
    <row r="59" spans="1:23" s="290" customFormat="1" ht="9.75" customHeight="1" x14ac:dyDescent="0.15">
      <c r="A59" s="559" t="s">
        <v>642</v>
      </c>
      <c r="B59" s="290">
        <v>49990</v>
      </c>
      <c r="C59" s="290">
        <v>6848</v>
      </c>
      <c r="D59" s="290">
        <v>49750</v>
      </c>
      <c r="E59" s="290" t="s">
        <v>986</v>
      </c>
      <c r="F59" s="290" t="s">
        <v>986</v>
      </c>
      <c r="G59" s="290">
        <v>49953</v>
      </c>
      <c r="H59" s="290" t="s">
        <v>986</v>
      </c>
      <c r="I59" s="290" t="s">
        <v>986</v>
      </c>
      <c r="J59" s="290">
        <v>49953</v>
      </c>
      <c r="K59" s="290" t="s">
        <v>986</v>
      </c>
      <c r="L59" s="290" t="s">
        <v>986</v>
      </c>
      <c r="M59" s="290" t="s">
        <v>986</v>
      </c>
      <c r="N59" s="290">
        <v>151671</v>
      </c>
      <c r="O59" s="290">
        <v>101631</v>
      </c>
      <c r="P59" s="290" t="s">
        <v>986</v>
      </c>
      <c r="Q59" s="290">
        <v>50040</v>
      </c>
      <c r="R59" s="290" t="s">
        <v>986</v>
      </c>
      <c r="S59" s="290" t="s">
        <v>986</v>
      </c>
      <c r="T59" s="290" t="s">
        <v>986</v>
      </c>
      <c r="U59" s="290" t="s">
        <v>986</v>
      </c>
      <c r="V59" s="290" t="s">
        <v>986</v>
      </c>
      <c r="W59" s="295" t="s">
        <v>75</v>
      </c>
    </row>
    <row r="60" spans="1:23" s="290" customFormat="1" ht="9.75" customHeight="1" x14ac:dyDescent="0.15">
      <c r="A60" s="559" t="s">
        <v>643</v>
      </c>
      <c r="B60" s="290" t="s">
        <v>986</v>
      </c>
      <c r="C60" s="290">
        <v>110647</v>
      </c>
      <c r="D60" s="290" t="s">
        <v>986</v>
      </c>
      <c r="E60" s="290" t="s">
        <v>986</v>
      </c>
      <c r="F60" s="290" t="s">
        <v>986</v>
      </c>
      <c r="G60" s="290" t="s">
        <v>986</v>
      </c>
      <c r="H60" s="290" t="s">
        <v>986</v>
      </c>
      <c r="I60" s="290" t="s">
        <v>986</v>
      </c>
      <c r="J60" s="290" t="s">
        <v>986</v>
      </c>
      <c r="K60" s="290" t="s">
        <v>986</v>
      </c>
      <c r="L60" s="290" t="s">
        <v>986</v>
      </c>
      <c r="M60" s="290" t="s">
        <v>986</v>
      </c>
      <c r="N60" s="290">
        <v>76282</v>
      </c>
      <c r="O60" s="290">
        <v>28301</v>
      </c>
      <c r="P60" s="290" t="s">
        <v>986</v>
      </c>
      <c r="Q60" s="290" t="s">
        <v>986</v>
      </c>
      <c r="R60" s="290" t="s">
        <v>986</v>
      </c>
      <c r="S60" s="290" t="s">
        <v>986</v>
      </c>
      <c r="T60" s="290" t="s">
        <v>986</v>
      </c>
      <c r="U60" s="290" t="s">
        <v>986</v>
      </c>
      <c r="V60" s="290">
        <v>42737</v>
      </c>
      <c r="W60" s="295" t="s">
        <v>88</v>
      </c>
    </row>
    <row r="61" spans="1:23" s="290" customFormat="1" ht="9.75" customHeight="1" x14ac:dyDescent="0.15">
      <c r="A61" s="559" t="s">
        <v>644</v>
      </c>
      <c r="B61" s="290">
        <v>36522</v>
      </c>
      <c r="C61" s="290">
        <v>70370</v>
      </c>
      <c r="D61" s="290" t="s">
        <v>986</v>
      </c>
      <c r="E61" s="290" t="s">
        <v>986</v>
      </c>
      <c r="F61" s="290" t="s">
        <v>986</v>
      </c>
      <c r="G61" s="290" t="s">
        <v>986</v>
      </c>
      <c r="H61" s="290" t="s">
        <v>986</v>
      </c>
      <c r="I61" s="290" t="s">
        <v>986</v>
      </c>
      <c r="J61" s="290" t="s">
        <v>986</v>
      </c>
      <c r="K61" s="290" t="s">
        <v>986</v>
      </c>
      <c r="L61" s="290" t="s">
        <v>986</v>
      </c>
      <c r="M61" s="290" t="s">
        <v>986</v>
      </c>
      <c r="N61" s="290">
        <v>144130</v>
      </c>
      <c r="O61" s="290">
        <v>94080</v>
      </c>
      <c r="P61" s="290" t="s">
        <v>986</v>
      </c>
      <c r="Q61" s="290">
        <v>50050</v>
      </c>
      <c r="R61" s="290" t="s">
        <v>986</v>
      </c>
      <c r="S61" s="290" t="s">
        <v>986</v>
      </c>
      <c r="T61" s="290" t="s">
        <v>986</v>
      </c>
      <c r="U61" s="290" t="s">
        <v>986</v>
      </c>
      <c r="V61" s="290" t="s">
        <v>986</v>
      </c>
      <c r="W61" s="295" t="s">
        <v>89</v>
      </c>
    </row>
    <row r="62" spans="1:23" s="290" customFormat="1" ht="9.75" customHeight="1" x14ac:dyDescent="0.15">
      <c r="A62" s="559" t="s">
        <v>645</v>
      </c>
      <c r="B62" s="290">
        <v>36445</v>
      </c>
      <c r="C62" s="290">
        <v>84127</v>
      </c>
      <c r="D62" s="290" t="s">
        <v>986</v>
      </c>
      <c r="E62" s="290" t="s">
        <v>986</v>
      </c>
      <c r="F62" s="290" t="s">
        <v>986</v>
      </c>
      <c r="G62" s="290">
        <v>41402</v>
      </c>
      <c r="H62" s="290" t="s">
        <v>986</v>
      </c>
      <c r="I62" s="290" t="s">
        <v>986</v>
      </c>
      <c r="J62" s="290">
        <v>41402</v>
      </c>
      <c r="K62" s="290" t="s">
        <v>986</v>
      </c>
      <c r="L62" s="290" t="s">
        <v>986</v>
      </c>
      <c r="M62" s="290" t="s">
        <v>986</v>
      </c>
      <c r="N62" s="290">
        <v>195407</v>
      </c>
      <c r="O62" s="290">
        <v>145405</v>
      </c>
      <c r="P62" s="290" t="s">
        <v>986</v>
      </c>
      <c r="Q62" s="290">
        <v>50002</v>
      </c>
      <c r="R62" s="290" t="s">
        <v>986</v>
      </c>
      <c r="S62" s="290" t="s">
        <v>986</v>
      </c>
      <c r="T62" s="290" t="s">
        <v>986</v>
      </c>
      <c r="U62" s="290" t="s">
        <v>986</v>
      </c>
      <c r="V62" s="290" t="s">
        <v>986</v>
      </c>
      <c r="W62" s="295" t="s">
        <v>90</v>
      </c>
    </row>
    <row r="63" spans="1:23" s="290" customFormat="1" ht="9.75" customHeight="1" x14ac:dyDescent="0.15">
      <c r="A63" s="559" t="s">
        <v>646</v>
      </c>
      <c r="B63" s="290">
        <v>27736</v>
      </c>
      <c r="C63" s="290">
        <v>63923</v>
      </c>
      <c r="D63" s="290" t="s">
        <v>986</v>
      </c>
      <c r="E63" s="290" t="s">
        <v>986</v>
      </c>
      <c r="F63" s="290" t="s">
        <v>986</v>
      </c>
      <c r="G63" s="290" t="s">
        <v>986</v>
      </c>
      <c r="H63" s="290" t="s">
        <v>986</v>
      </c>
      <c r="I63" s="290" t="s">
        <v>986</v>
      </c>
      <c r="J63" s="290" t="s">
        <v>986</v>
      </c>
      <c r="K63" s="290" t="s">
        <v>986</v>
      </c>
      <c r="L63" s="290" t="s">
        <v>986</v>
      </c>
      <c r="M63" s="290" t="s">
        <v>986</v>
      </c>
      <c r="N63" s="290">
        <v>340485</v>
      </c>
      <c r="O63" s="290">
        <v>295451</v>
      </c>
      <c r="P63" s="290" t="s">
        <v>986</v>
      </c>
      <c r="Q63" s="290">
        <v>45034</v>
      </c>
      <c r="R63" s="290" t="s">
        <v>986</v>
      </c>
      <c r="S63" s="290" t="s">
        <v>986</v>
      </c>
      <c r="T63" s="290" t="s">
        <v>986</v>
      </c>
      <c r="U63" s="290" t="s">
        <v>986</v>
      </c>
      <c r="V63" s="290" t="s">
        <v>986</v>
      </c>
      <c r="W63" s="295" t="s">
        <v>91</v>
      </c>
    </row>
    <row r="64" spans="1:23" s="290" customFormat="1" ht="9.75" customHeight="1" x14ac:dyDescent="0.15">
      <c r="A64" s="559" t="s">
        <v>647</v>
      </c>
      <c r="B64" s="290">
        <v>34631</v>
      </c>
      <c r="C64" s="290">
        <v>93122</v>
      </c>
      <c r="D64" s="290">
        <v>50040</v>
      </c>
      <c r="E64" s="290" t="s">
        <v>986</v>
      </c>
      <c r="F64" s="290" t="s">
        <v>986</v>
      </c>
      <c r="G64" s="290">
        <v>364366</v>
      </c>
      <c r="H64" s="290">
        <v>90366</v>
      </c>
      <c r="I64" s="290" t="s">
        <v>986</v>
      </c>
      <c r="J64" s="290">
        <v>274000</v>
      </c>
      <c r="K64" s="290" t="s">
        <v>986</v>
      </c>
      <c r="L64" s="290" t="s">
        <v>986</v>
      </c>
      <c r="M64" s="290" t="s">
        <v>986</v>
      </c>
      <c r="N64" s="290">
        <v>331369</v>
      </c>
      <c r="O64" s="290">
        <v>256422</v>
      </c>
      <c r="P64" s="290" t="s">
        <v>986</v>
      </c>
      <c r="Q64" s="290">
        <v>74947</v>
      </c>
      <c r="R64" s="290" t="s">
        <v>986</v>
      </c>
      <c r="S64" s="290" t="s">
        <v>986</v>
      </c>
      <c r="T64" s="290" t="s">
        <v>986</v>
      </c>
      <c r="U64" s="290" t="s">
        <v>986</v>
      </c>
      <c r="V64" s="290" t="s">
        <v>986</v>
      </c>
      <c r="W64" s="295" t="s">
        <v>92</v>
      </c>
    </row>
    <row r="65" spans="1:23" s="290" customFormat="1" ht="9.75" customHeight="1" x14ac:dyDescent="0.15">
      <c r="A65" s="559" t="s">
        <v>648</v>
      </c>
      <c r="B65" s="290" t="s">
        <v>986</v>
      </c>
      <c r="C65" s="290">
        <v>23982</v>
      </c>
      <c r="D65" s="290">
        <v>97396</v>
      </c>
      <c r="E65" s="290" t="s">
        <v>986</v>
      </c>
      <c r="F65" s="290" t="s">
        <v>986</v>
      </c>
      <c r="G65" s="290">
        <v>171298</v>
      </c>
      <c r="H65" s="290" t="s">
        <v>986</v>
      </c>
      <c r="I65" s="290">
        <v>48441</v>
      </c>
      <c r="J65" s="290">
        <v>122857</v>
      </c>
      <c r="K65" s="290" t="s">
        <v>986</v>
      </c>
      <c r="L65" s="290" t="s">
        <v>986</v>
      </c>
      <c r="M65" s="290" t="s">
        <v>986</v>
      </c>
      <c r="N65" s="290">
        <v>226536</v>
      </c>
      <c r="O65" s="290">
        <v>142746</v>
      </c>
      <c r="P65" s="290" t="s">
        <v>986</v>
      </c>
      <c r="Q65" s="290">
        <v>83790</v>
      </c>
      <c r="R65" s="290" t="s">
        <v>986</v>
      </c>
      <c r="S65" s="290" t="s">
        <v>986</v>
      </c>
      <c r="T65" s="290" t="s">
        <v>986</v>
      </c>
      <c r="U65" s="290" t="s">
        <v>986</v>
      </c>
      <c r="V65" s="290" t="s">
        <v>986</v>
      </c>
      <c r="W65" s="295" t="s">
        <v>76</v>
      </c>
    </row>
    <row r="66" spans="1:23" s="290" customFormat="1" ht="9.75" customHeight="1" x14ac:dyDescent="0.15">
      <c r="A66" s="559" t="s">
        <v>649</v>
      </c>
      <c r="B66" s="290" t="s">
        <v>986</v>
      </c>
      <c r="C66" s="290">
        <v>17489</v>
      </c>
      <c r="D66" s="290" t="s">
        <v>986</v>
      </c>
      <c r="E66" s="290" t="s">
        <v>986</v>
      </c>
      <c r="F66" s="290" t="s">
        <v>986</v>
      </c>
      <c r="G66" s="290">
        <v>100006</v>
      </c>
      <c r="H66" s="290" t="s">
        <v>986</v>
      </c>
      <c r="I66" s="290" t="s">
        <v>986</v>
      </c>
      <c r="J66" s="290">
        <v>100006</v>
      </c>
      <c r="K66" s="290" t="s">
        <v>986</v>
      </c>
      <c r="L66" s="290" t="s">
        <v>986</v>
      </c>
      <c r="M66" s="290" t="s">
        <v>986</v>
      </c>
      <c r="N66" s="290">
        <v>224541</v>
      </c>
      <c r="O66" s="290">
        <v>137296</v>
      </c>
      <c r="P66" s="290" t="s">
        <v>986</v>
      </c>
      <c r="Q66" s="290">
        <v>87245</v>
      </c>
      <c r="R66" s="290" t="s">
        <v>986</v>
      </c>
      <c r="S66" s="290" t="s">
        <v>986</v>
      </c>
      <c r="T66" s="290" t="s">
        <v>986</v>
      </c>
      <c r="U66" s="290" t="s">
        <v>986</v>
      </c>
      <c r="V66" s="290" t="s">
        <v>986</v>
      </c>
      <c r="W66" s="295" t="s">
        <v>77</v>
      </c>
    </row>
    <row r="67" spans="1:23" s="290" customFormat="1" ht="9.75" customHeight="1" x14ac:dyDescent="0.15">
      <c r="A67" s="559" t="s">
        <v>650</v>
      </c>
      <c r="B67" s="290" t="s">
        <v>986</v>
      </c>
      <c r="C67" s="290">
        <v>18979</v>
      </c>
      <c r="D67" s="290" t="s">
        <v>986</v>
      </c>
      <c r="E67" s="290" t="s">
        <v>986</v>
      </c>
      <c r="F67" s="290" t="s">
        <v>986</v>
      </c>
      <c r="G67" s="290">
        <v>150057</v>
      </c>
      <c r="H67" s="290" t="s">
        <v>986</v>
      </c>
      <c r="I67" s="290" t="s">
        <v>986</v>
      </c>
      <c r="J67" s="290">
        <v>150057</v>
      </c>
      <c r="K67" s="290" t="s">
        <v>986</v>
      </c>
      <c r="L67" s="290" t="s">
        <v>986</v>
      </c>
      <c r="M67" s="290" t="s">
        <v>986</v>
      </c>
      <c r="N67" s="290">
        <v>220498</v>
      </c>
      <c r="O67" s="290">
        <v>193812</v>
      </c>
      <c r="P67" s="290" t="s">
        <v>986</v>
      </c>
      <c r="Q67" s="290">
        <v>26686</v>
      </c>
      <c r="R67" s="290" t="s">
        <v>986</v>
      </c>
      <c r="S67" s="290" t="s">
        <v>986</v>
      </c>
      <c r="T67" s="290" t="s">
        <v>986</v>
      </c>
      <c r="U67" s="290" t="s">
        <v>986</v>
      </c>
      <c r="V67" s="290" t="s">
        <v>986</v>
      </c>
      <c r="W67" s="295" t="s">
        <v>78</v>
      </c>
    </row>
    <row r="68" spans="1:23" s="290" customFormat="1" ht="9.75" customHeight="1" x14ac:dyDescent="0.15">
      <c r="A68" s="559" t="s">
        <v>996</v>
      </c>
      <c r="B68" s="290" t="s">
        <v>986</v>
      </c>
      <c r="C68" s="290">
        <v>23685</v>
      </c>
      <c r="D68" s="290" t="s">
        <v>986</v>
      </c>
      <c r="E68" s="290" t="s">
        <v>986</v>
      </c>
      <c r="F68" s="290" t="s">
        <v>986</v>
      </c>
      <c r="G68" s="290">
        <v>100805</v>
      </c>
      <c r="H68" s="290" t="s">
        <v>986</v>
      </c>
      <c r="I68" s="290" t="s">
        <v>986</v>
      </c>
      <c r="J68" s="290">
        <v>100805</v>
      </c>
      <c r="K68" s="290" t="s">
        <v>986</v>
      </c>
      <c r="L68" s="290" t="s">
        <v>986</v>
      </c>
      <c r="M68" s="290" t="s">
        <v>986</v>
      </c>
      <c r="N68" s="290">
        <v>157417</v>
      </c>
      <c r="O68" s="290">
        <v>95344</v>
      </c>
      <c r="P68" s="290" t="s">
        <v>986</v>
      </c>
      <c r="Q68" s="290">
        <v>62073</v>
      </c>
      <c r="R68" s="290" t="s">
        <v>986</v>
      </c>
      <c r="S68" s="290" t="s">
        <v>986</v>
      </c>
      <c r="T68" s="290" t="s">
        <v>986</v>
      </c>
      <c r="U68" s="290" t="s">
        <v>986</v>
      </c>
      <c r="V68" s="290" t="s">
        <v>986</v>
      </c>
      <c r="W68" s="295" t="s">
        <v>997</v>
      </c>
    </row>
    <row r="69" spans="1:23" s="290" customFormat="1" ht="9.75" customHeight="1" x14ac:dyDescent="0.15">
      <c r="A69" s="559" t="s">
        <v>651</v>
      </c>
      <c r="B69" s="290" t="s">
        <v>986</v>
      </c>
      <c r="C69" s="290">
        <v>73491</v>
      </c>
      <c r="D69" s="290" t="s">
        <v>986</v>
      </c>
      <c r="E69" s="290" t="s">
        <v>986</v>
      </c>
      <c r="F69" s="290" t="s">
        <v>986</v>
      </c>
      <c r="G69" s="290" t="s">
        <v>986</v>
      </c>
      <c r="H69" s="290" t="s">
        <v>986</v>
      </c>
      <c r="I69" s="290" t="s">
        <v>986</v>
      </c>
      <c r="J69" s="290" t="s">
        <v>986</v>
      </c>
      <c r="K69" s="290" t="s">
        <v>986</v>
      </c>
      <c r="L69" s="290" t="s">
        <v>986</v>
      </c>
      <c r="M69" s="290" t="s">
        <v>986</v>
      </c>
      <c r="N69" s="290">
        <v>305618</v>
      </c>
      <c r="O69" s="290">
        <v>200129</v>
      </c>
      <c r="P69" s="290">
        <v>12315</v>
      </c>
      <c r="Q69" s="290">
        <v>93174</v>
      </c>
      <c r="R69" s="290" t="s">
        <v>986</v>
      </c>
      <c r="S69" s="290" t="s">
        <v>986</v>
      </c>
      <c r="T69" s="290" t="s">
        <v>986</v>
      </c>
      <c r="U69" s="290" t="s">
        <v>986</v>
      </c>
      <c r="V69" s="290" t="s">
        <v>986</v>
      </c>
      <c r="W69" s="295" t="s">
        <v>73</v>
      </c>
    </row>
    <row r="70" spans="1:23" s="290" customFormat="1" ht="9.75" customHeight="1" x14ac:dyDescent="0.15">
      <c r="A70" s="560" t="s">
        <v>652</v>
      </c>
      <c r="B70" s="294" t="s">
        <v>986</v>
      </c>
      <c r="C70" s="293">
        <v>28155</v>
      </c>
      <c r="D70" s="293" t="s">
        <v>986</v>
      </c>
      <c r="E70" s="293" t="s">
        <v>986</v>
      </c>
      <c r="F70" s="293" t="s">
        <v>986</v>
      </c>
      <c r="G70" s="293">
        <v>99922</v>
      </c>
      <c r="H70" s="293" t="s">
        <v>986</v>
      </c>
      <c r="I70" s="293">
        <v>99922</v>
      </c>
      <c r="J70" s="293" t="s">
        <v>986</v>
      </c>
      <c r="K70" s="293" t="s">
        <v>986</v>
      </c>
      <c r="L70" s="293" t="s">
        <v>986</v>
      </c>
      <c r="M70" s="293" t="s">
        <v>986</v>
      </c>
      <c r="N70" s="293">
        <v>272156</v>
      </c>
      <c r="O70" s="293">
        <v>164990</v>
      </c>
      <c r="P70" s="293" t="s">
        <v>986</v>
      </c>
      <c r="Q70" s="293">
        <v>107166</v>
      </c>
      <c r="R70" s="293" t="s">
        <v>986</v>
      </c>
      <c r="S70" s="293" t="s">
        <v>986</v>
      </c>
      <c r="T70" s="293" t="s">
        <v>986</v>
      </c>
      <c r="U70" s="293" t="s">
        <v>986</v>
      </c>
      <c r="V70" s="293" t="s">
        <v>986</v>
      </c>
      <c r="W70" s="291" t="s">
        <v>74</v>
      </c>
    </row>
    <row r="71" spans="1:23" ht="12" customHeight="1" x14ac:dyDescent="0.15"/>
    <row r="72" spans="1:23" ht="12" customHeight="1" x14ac:dyDescent="0.15"/>
    <row r="73" spans="1:23" ht="12" customHeight="1" x14ac:dyDescent="0.15">
      <c r="K73" s="299" t="s">
        <v>93</v>
      </c>
      <c r="V73" s="302" t="s">
        <v>858</v>
      </c>
    </row>
    <row r="74" spans="1:23" s="297" customFormat="1" ht="21" customHeight="1" x14ac:dyDescent="0.15">
      <c r="A74" s="1053" t="s">
        <v>172</v>
      </c>
      <c r="B74" s="832" t="s">
        <v>309</v>
      </c>
      <c r="C74" s="827"/>
      <c r="D74" s="827"/>
      <c r="E74" s="827"/>
      <c r="F74" s="827"/>
      <c r="G74" s="834"/>
      <c r="H74" s="826" t="s">
        <v>308</v>
      </c>
      <c r="I74" s="827"/>
      <c r="J74" s="827"/>
      <c r="K74" s="827"/>
      <c r="L74" s="827"/>
      <c r="M74" s="827"/>
      <c r="N74" s="827"/>
      <c r="O74" s="827"/>
      <c r="P74" s="827"/>
      <c r="Q74" s="827"/>
      <c r="R74" s="827"/>
      <c r="S74" s="827"/>
      <c r="T74" s="827"/>
      <c r="U74" s="827"/>
      <c r="V74" s="827"/>
      <c r="W74" s="1056" t="s">
        <v>79</v>
      </c>
    </row>
    <row r="75" spans="1:23" s="297" customFormat="1" ht="21" customHeight="1" x14ac:dyDescent="0.15">
      <c r="A75" s="1054"/>
      <c r="B75" s="832" t="s">
        <v>111</v>
      </c>
      <c r="C75" s="827"/>
      <c r="D75" s="834"/>
      <c r="E75" s="826" t="s">
        <v>875</v>
      </c>
      <c r="F75" s="827"/>
      <c r="G75" s="834"/>
      <c r="H75" s="1059" t="s">
        <v>306</v>
      </c>
      <c r="I75" s="826" t="s">
        <v>265</v>
      </c>
      <c r="J75" s="827"/>
      <c r="K75" s="827"/>
      <c r="L75" s="827"/>
      <c r="M75" s="827"/>
      <c r="N75" s="827"/>
      <c r="O75" s="827"/>
      <c r="P75" s="827"/>
      <c r="Q75" s="827"/>
      <c r="R75" s="827"/>
      <c r="S75" s="827"/>
      <c r="T75" s="827"/>
      <c r="U75" s="827"/>
      <c r="V75" s="827"/>
      <c r="W75" s="1057"/>
    </row>
    <row r="76" spans="1:23" s="297" customFormat="1" ht="52.5" customHeight="1" x14ac:dyDescent="0.15">
      <c r="A76" s="1055"/>
      <c r="B76" s="298" t="s">
        <v>432</v>
      </c>
      <c r="C76" s="301" t="s">
        <v>1051</v>
      </c>
      <c r="D76" s="298" t="s">
        <v>334</v>
      </c>
      <c r="E76" s="696" t="s">
        <v>314</v>
      </c>
      <c r="F76" s="298" t="s">
        <v>333</v>
      </c>
      <c r="G76" s="298" t="s">
        <v>313</v>
      </c>
      <c r="H76" s="1060"/>
      <c r="I76" s="696" t="s">
        <v>851</v>
      </c>
      <c r="J76" s="298" t="s">
        <v>256</v>
      </c>
      <c r="K76" s="298" t="s">
        <v>852</v>
      </c>
      <c r="L76" s="298" t="s">
        <v>271</v>
      </c>
      <c r="M76" s="298" t="s">
        <v>324</v>
      </c>
      <c r="N76" s="298" t="s">
        <v>276</v>
      </c>
      <c r="O76" s="298" t="s">
        <v>255</v>
      </c>
      <c r="P76" s="298" t="s">
        <v>254</v>
      </c>
      <c r="Q76" s="298" t="s">
        <v>253</v>
      </c>
      <c r="R76" s="298" t="s">
        <v>303</v>
      </c>
      <c r="S76" s="298" t="s">
        <v>252</v>
      </c>
      <c r="T76" s="298" t="s">
        <v>281</v>
      </c>
      <c r="U76" s="298" t="s">
        <v>300</v>
      </c>
      <c r="V76" s="300" t="s">
        <v>606</v>
      </c>
      <c r="W76" s="1058"/>
    </row>
    <row r="77" spans="1:23" s="290" customFormat="1" ht="9.75" customHeight="1" x14ac:dyDescent="0.15">
      <c r="A77" s="828" t="s">
        <v>985</v>
      </c>
      <c r="B77" s="829">
        <v>40675</v>
      </c>
      <c r="C77" s="830" t="s">
        <v>986</v>
      </c>
      <c r="D77" s="830" t="s">
        <v>986</v>
      </c>
      <c r="E77" s="830">
        <v>12727539</v>
      </c>
      <c r="F77" s="830">
        <v>201792</v>
      </c>
      <c r="G77" s="830">
        <v>12525747</v>
      </c>
      <c r="H77" s="830">
        <v>3406830</v>
      </c>
      <c r="I77" s="830">
        <v>2107367</v>
      </c>
      <c r="J77" s="830">
        <v>842753</v>
      </c>
      <c r="K77" s="830">
        <v>131902</v>
      </c>
      <c r="L77" s="830">
        <v>126804</v>
      </c>
      <c r="M77" s="830" t="s">
        <v>986</v>
      </c>
      <c r="N77" s="830">
        <v>98400</v>
      </c>
      <c r="O77" s="830">
        <v>521408</v>
      </c>
      <c r="P77" s="830">
        <v>198792</v>
      </c>
      <c r="Q77" s="830" t="s">
        <v>986</v>
      </c>
      <c r="R77" s="830">
        <v>107944</v>
      </c>
      <c r="S77" s="830" t="s">
        <v>986</v>
      </c>
      <c r="T77" s="830">
        <v>47600</v>
      </c>
      <c r="U77" s="830" t="s">
        <v>986</v>
      </c>
      <c r="V77" s="830" t="s">
        <v>986</v>
      </c>
      <c r="W77" s="831" t="s">
        <v>485</v>
      </c>
    </row>
    <row r="78" spans="1:23" s="290" customFormat="1" ht="9.75" customHeight="1" x14ac:dyDescent="0.15">
      <c r="A78" s="559" t="s">
        <v>634</v>
      </c>
      <c r="B78" s="290" t="s">
        <v>986</v>
      </c>
      <c r="C78" s="290" t="s">
        <v>986</v>
      </c>
      <c r="D78" s="290">
        <v>7015</v>
      </c>
      <c r="E78" s="290">
        <v>8772954</v>
      </c>
      <c r="F78" s="290">
        <v>100927</v>
      </c>
      <c r="G78" s="290">
        <v>8672027</v>
      </c>
      <c r="H78" s="290">
        <v>2322527</v>
      </c>
      <c r="I78" s="290">
        <v>1803767</v>
      </c>
      <c r="J78" s="290">
        <v>871366</v>
      </c>
      <c r="K78" s="290">
        <v>91869</v>
      </c>
      <c r="L78" s="290">
        <v>220192</v>
      </c>
      <c r="M78" s="290" t="s">
        <v>986</v>
      </c>
      <c r="N78" s="290">
        <v>45300</v>
      </c>
      <c r="O78" s="290">
        <v>470409</v>
      </c>
      <c r="P78" s="290">
        <v>58810</v>
      </c>
      <c r="Q78" s="290">
        <v>45821</v>
      </c>
      <c r="R78" s="290" t="s">
        <v>986</v>
      </c>
      <c r="S78" s="290" t="s">
        <v>986</v>
      </c>
      <c r="T78" s="290" t="s">
        <v>986</v>
      </c>
      <c r="U78" s="290" t="s">
        <v>986</v>
      </c>
      <c r="V78" s="290" t="s">
        <v>986</v>
      </c>
      <c r="W78" s="295" t="s">
        <v>588</v>
      </c>
    </row>
    <row r="79" spans="1:23" s="290" customFormat="1" ht="9.75" customHeight="1" x14ac:dyDescent="0.15">
      <c r="A79" s="559" t="s">
        <v>635</v>
      </c>
      <c r="B79" s="290">
        <v>10330</v>
      </c>
      <c r="C79" s="290" t="s">
        <v>986</v>
      </c>
      <c r="D79" s="290" t="s">
        <v>986</v>
      </c>
      <c r="E79" s="290">
        <v>9428098</v>
      </c>
      <c r="F79" s="290">
        <v>154626</v>
      </c>
      <c r="G79" s="290">
        <v>9273472</v>
      </c>
      <c r="H79" s="290">
        <v>3344951</v>
      </c>
      <c r="I79" s="290">
        <v>2782497</v>
      </c>
      <c r="J79" s="290">
        <v>1528548</v>
      </c>
      <c r="K79" s="290">
        <v>33364</v>
      </c>
      <c r="L79" s="290" t="s">
        <v>986</v>
      </c>
      <c r="M79" s="290" t="s">
        <v>986</v>
      </c>
      <c r="N79" s="290" t="s">
        <v>986</v>
      </c>
      <c r="O79" s="290">
        <v>819445</v>
      </c>
      <c r="P79" s="290">
        <v>401140</v>
      </c>
      <c r="Q79" s="290" t="s">
        <v>986</v>
      </c>
      <c r="R79" s="290" t="s">
        <v>986</v>
      </c>
      <c r="S79" s="290" t="s">
        <v>986</v>
      </c>
      <c r="T79" s="290" t="s">
        <v>986</v>
      </c>
      <c r="U79" s="290" t="s">
        <v>986</v>
      </c>
      <c r="V79" s="290" t="s">
        <v>986</v>
      </c>
      <c r="W79" s="295" t="s">
        <v>636</v>
      </c>
    </row>
    <row r="80" spans="1:23" s="290" customFormat="1" ht="9.75" customHeight="1" x14ac:dyDescent="0.15">
      <c r="A80" s="559" t="s">
        <v>774</v>
      </c>
      <c r="B80" s="290" t="s">
        <v>986</v>
      </c>
      <c r="C80" s="290" t="s">
        <v>986</v>
      </c>
      <c r="D80" s="290" t="s">
        <v>986</v>
      </c>
      <c r="E80" s="290">
        <v>9914987</v>
      </c>
      <c r="F80" s="290">
        <v>79756</v>
      </c>
      <c r="G80" s="290">
        <v>9835231</v>
      </c>
      <c r="H80" s="290">
        <v>4400750</v>
      </c>
      <c r="I80" s="290">
        <v>3767249</v>
      </c>
      <c r="J80" s="290">
        <v>2031958</v>
      </c>
      <c r="K80" s="290" t="s">
        <v>986</v>
      </c>
      <c r="L80" s="290">
        <v>59726</v>
      </c>
      <c r="M80" s="290">
        <v>122280</v>
      </c>
      <c r="N80" s="290" t="s">
        <v>986</v>
      </c>
      <c r="O80" s="290">
        <v>694676</v>
      </c>
      <c r="P80" s="290">
        <v>615608</v>
      </c>
      <c r="Q80" s="290" t="s">
        <v>986</v>
      </c>
      <c r="R80" s="290">
        <v>122211</v>
      </c>
      <c r="S80" s="290" t="s">
        <v>986</v>
      </c>
      <c r="T80" s="290">
        <v>23850</v>
      </c>
      <c r="U80" s="290">
        <v>47640</v>
      </c>
      <c r="V80" s="290">
        <v>49300</v>
      </c>
      <c r="W80" s="295" t="s">
        <v>775</v>
      </c>
    </row>
    <row r="81" spans="1:23" s="290" customFormat="1" ht="9.75" customHeight="1" x14ac:dyDescent="0.15">
      <c r="A81" s="559" t="s">
        <v>987</v>
      </c>
      <c r="B81" s="290" t="s">
        <v>986</v>
      </c>
      <c r="C81" s="290">
        <v>5244</v>
      </c>
      <c r="D81" s="290" t="s">
        <v>986</v>
      </c>
      <c r="E81" s="290">
        <v>11926741</v>
      </c>
      <c r="F81" s="290">
        <v>372136</v>
      </c>
      <c r="G81" s="290">
        <v>11554605</v>
      </c>
      <c r="H81" s="290">
        <v>4161292</v>
      </c>
      <c r="I81" s="290">
        <v>3670648</v>
      </c>
      <c r="J81" s="290">
        <v>1972693</v>
      </c>
      <c r="K81" s="290" t="s">
        <v>986</v>
      </c>
      <c r="L81" s="290">
        <v>122830</v>
      </c>
      <c r="M81" s="290">
        <v>40000</v>
      </c>
      <c r="N81" s="290" t="s">
        <v>986</v>
      </c>
      <c r="O81" s="290">
        <v>1090715</v>
      </c>
      <c r="P81" s="290">
        <v>213642</v>
      </c>
      <c r="Q81" s="290" t="s">
        <v>986</v>
      </c>
      <c r="R81" s="290">
        <v>57134</v>
      </c>
      <c r="S81" s="290" t="s">
        <v>986</v>
      </c>
      <c r="T81" s="290" t="s">
        <v>986</v>
      </c>
      <c r="U81" s="290">
        <v>173634</v>
      </c>
      <c r="V81" s="290" t="s">
        <v>986</v>
      </c>
      <c r="W81" s="295" t="s">
        <v>988</v>
      </c>
    </row>
    <row r="82" spans="1:23" s="290" customFormat="1" ht="6.75" customHeight="1" x14ac:dyDescent="0.15">
      <c r="A82" s="578"/>
      <c r="W82" s="295"/>
    </row>
    <row r="83" spans="1:23" s="290" customFormat="1" ht="9.75" customHeight="1" x14ac:dyDescent="0.15">
      <c r="A83" s="559" t="s">
        <v>989</v>
      </c>
      <c r="B83" s="290" t="s">
        <v>986</v>
      </c>
      <c r="C83" s="290" t="s">
        <v>986</v>
      </c>
      <c r="D83" s="290" t="s">
        <v>986</v>
      </c>
      <c r="E83" s="290">
        <v>10345862</v>
      </c>
      <c r="F83" s="290">
        <v>77489</v>
      </c>
      <c r="G83" s="290">
        <v>10268373</v>
      </c>
      <c r="H83" s="290">
        <v>4360883</v>
      </c>
      <c r="I83" s="290">
        <v>3774851</v>
      </c>
      <c r="J83" s="290">
        <v>2120387</v>
      </c>
      <c r="K83" s="290" t="s">
        <v>986</v>
      </c>
      <c r="L83" s="290">
        <v>77399</v>
      </c>
      <c r="M83" s="290">
        <v>40000</v>
      </c>
      <c r="N83" s="290" t="s">
        <v>986</v>
      </c>
      <c r="O83" s="290">
        <v>837687</v>
      </c>
      <c r="P83" s="290">
        <v>356493</v>
      </c>
      <c r="Q83" s="290" t="s">
        <v>986</v>
      </c>
      <c r="R83" s="290">
        <v>97761</v>
      </c>
      <c r="S83" s="290" t="s">
        <v>986</v>
      </c>
      <c r="T83" s="290">
        <v>23850</v>
      </c>
      <c r="U83" s="290">
        <v>221274</v>
      </c>
      <c r="V83" s="290" t="s">
        <v>986</v>
      </c>
      <c r="W83" s="295" t="s">
        <v>776</v>
      </c>
    </row>
    <row r="84" spans="1:23" s="290" customFormat="1" ht="9.75" customHeight="1" x14ac:dyDescent="0.15">
      <c r="A84" s="559" t="s">
        <v>990</v>
      </c>
      <c r="B84" s="290" t="s">
        <v>986</v>
      </c>
      <c r="C84" s="290">
        <v>5244</v>
      </c>
      <c r="D84" s="290" t="s">
        <v>986</v>
      </c>
      <c r="E84" s="290">
        <v>12134755</v>
      </c>
      <c r="F84" s="290">
        <v>368750</v>
      </c>
      <c r="G84" s="290">
        <v>11766005</v>
      </c>
      <c r="H84" s="290">
        <v>3863550</v>
      </c>
      <c r="I84" s="290">
        <v>3500742</v>
      </c>
      <c r="J84" s="290">
        <v>1943144</v>
      </c>
      <c r="K84" s="290" t="s">
        <v>986</v>
      </c>
      <c r="L84" s="290">
        <v>140303</v>
      </c>
      <c r="M84" s="290" t="s">
        <v>986</v>
      </c>
      <c r="N84" s="290" t="s">
        <v>986</v>
      </c>
      <c r="O84" s="290">
        <v>872374</v>
      </c>
      <c r="P84" s="290">
        <v>413706</v>
      </c>
      <c r="Q84" s="290" t="s">
        <v>986</v>
      </c>
      <c r="R84" s="290">
        <v>31215</v>
      </c>
      <c r="S84" s="290">
        <v>100000</v>
      </c>
      <c r="T84" s="290" t="s">
        <v>986</v>
      </c>
      <c r="U84" s="290" t="s">
        <v>986</v>
      </c>
      <c r="V84" s="290" t="s">
        <v>986</v>
      </c>
      <c r="W84" s="295" t="s">
        <v>991</v>
      </c>
    </row>
    <row r="85" spans="1:23" s="290" customFormat="1" ht="6.75" customHeight="1" x14ac:dyDescent="0.15">
      <c r="A85" s="578"/>
      <c r="W85" s="295"/>
    </row>
    <row r="86" spans="1:23" s="290" customFormat="1" ht="9.75" customHeight="1" x14ac:dyDescent="0.15">
      <c r="A86" s="559" t="s">
        <v>992</v>
      </c>
      <c r="B86" s="290" t="s">
        <v>986</v>
      </c>
      <c r="C86" s="290" t="s">
        <v>986</v>
      </c>
      <c r="D86" s="290" t="s">
        <v>986</v>
      </c>
      <c r="E86" s="290">
        <v>2790125</v>
      </c>
      <c r="F86" s="290">
        <v>22473</v>
      </c>
      <c r="G86" s="290">
        <v>2767652</v>
      </c>
      <c r="H86" s="290">
        <v>1752384</v>
      </c>
      <c r="I86" s="290">
        <v>1496494</v>
      </c>
      <c r="J86" s="290">
        <v>723793</v>
      </c>
      <c r="K86" s="290" t="s">
        <v>986</v>
      </c>
      <c r="L86" s="290">
        <v>17673</v>
      </c>
      <c r="M86" s="290">
        <v>40000</v>
      </c>
      <c r="N86" s="290" t="s">
        <v>986</v>
      </c>
      <c r="O86" s="290">
        <v>418162</v>
      </c>
      <c r="P86" s="290">
        <v>97313</v>
      </c>
      <c r="Q86" s="290" t="s">
        <v>986</v>
      </c>
      <c r="R86" s="290">
        <v>25919</v>
      </c>
      <c r="S86" s="290" t="s">
        <v>986</v>
      </c>
      <c r="T86" s="290" t="s">
        <v>986</v>
      </c>
      <c r="U86" s="290">
        <v>173634</v>
      </c>
      <c r="V86" s="290" t="s">
        <v>986</v>
      </c>
      <c r="W86" s="295" t="s">
        <v>777</v>
      </c>
    </row>
    <row r="87" spans="1:23" s="290" customFormat="1" ht="9.75" customHeight="1" x14ac:dyDescent="0.15">
      <c r="A87" s="559" t="s">
        <v>637</v>
      </c>
      <c r="B87" s="290" t="s">
        <v>986</v>
      </c>
      <c r="C87" s="290">
        <v>5244</v>
      </c>
      <c r="D87" s="290" t="s">
        <v>986</v>
      </c>
      <c r="E87" s="290">
        <v>2916301</v>
      </c>
      <c r="F87" s="290">
        <v>16107</v>
      </c>
      <c r="G87" s="290">
        <v>2900194</v>
      </c>
      <c r="H87" s="290">
        <v>438972</v>
      </c>
      <c r="I87" s="290">
        <v>386446</v>
      </c>
      <c r="J87" s="290">
        <v>136816</v>
      </c>
      <c r="K87" s="290" t="s">
        <v>986</v>
      </c>
      <c r="L87" s="290" t="s">
        <v>986</v>
      </c>
      <c r="M87" s="290" t="s">
        <v>986</v>
      </c>
      <c r="N87" s="290" t="s">
        <v>986</v>
      </c>
      <c r="O87" s="290">
        <v>199781</v>
      </c>
      <c r="P87" s="290">
        <v>49849</v>
      </c>
      <c r="Q87" s="290" t="s">
        <v>986</v>
      </c>
      <c r="R87" s="290" t="s">
        <v>986</v>
      </c>
      <c r="S87" s="290" t="s">
        <v>986</v>
      </c>
      <c r="T87" s="290" t="s">
        <v>986</v>
      </c>
      <c r="U87" s="290" t="s">
        <v>986</v>
      </c>
      <c r="V87" s="290" t="s">
        <v>986</v>
      </c>
      <c r="W87" s="295" t="s">
        <v>85</v>
      </c>
    </row>
    <row r="88" spans="1:23" s="290" customFormat="1" ht="9.75" customHeight="1" x14ac:dyDescent="0.15">
      <c r="A88" s="559" t="s">
        <v>638</v>
      </c>
      <c r="B88" s="290" t="s">
        <v>986</v>
      </c>
      <c r="C88" s="290" t="s">
        <v>986</v>
      </c>
      <c r="D88" s="290" t="s">
        <v>986</v>
      </c>
      <c r="E88" s="290">
        <v>3071482</v>
      </c>
      <c r="F88" s="290">
        <v>158091</v>
      </c>
      <c r="G88" s="290">
        <v>2913391</v>
      </c>
      <c r="H88" s="290">
        <v>697750</v>
      </c>
      <c r="I88" s="290">
        <v>589607</v>
      </c>
      <c r="J88" s="290">
        <v>388644</v>
      </c>
      <c r="K88" s="290" t="s">
        <v>986</v>
      </c>
      <c r="L88" s="290">
        <v>52371</v>
      </c>
      <c r="M88" s="290" t="s">
        <v>986</v>
      </c>
      <c r="N88" s="290" t="s">
        <v>986</v>
      </c>
      <c r="O88" s="290">
        <v>148592</v>
      </c>
      <c r="P88" s="290" t="s">
        <v>986</v>
      </c>
      <c r="Q88" s="290" t="s">
        <v>986</v>
      </c>
      <c r="R88" s="290" t="s">
        <v>986</v>
      </c>
      <c r="S88" s="290" t="s">
        <v>986</v>
      </c>
      <c r="T88" s="290" t="s">
        <v>986</v>
      </c>
      <c r="U88" s="290" t="s">
        <v>986</v>
      </c>
      <c r="V88" s="290" t="s">
        <v>986</v>
      </c>
      <c r="W88" s="295" t="s">
        <v>86</v>
      </c>
    </row>
    <row r="89" spans="1:23" s="290" customFormat="1" ht="9.75" customHeight="1" x14ac:dyDescent="0.15">
      <c r="A89" s="559" t="s">
        <v>639</v>
      </c>
      <c r="B89" s="290" t="s">
        <v>986</v>
      </c>
      <c r="C89" s="290" t="s">
        <v>986</v>
      </c>
      <c r="D89" s="290" t="s">
        <v>986</v>
      </c>
      <c r="E89" s="290">
        <v>3148833</v>
      </c>
      <c r="F89" s="290">
        <v>175465</v>
      </c>
      <c r="G89" s="290">
        <v>2973368</v>
      </c>
      <c r="H89" s="290">
        <v>1272186</v>
      </c>
      <c r="I89" s="290">
        <v>1198101</v>
      </c>
      <c r="J89" s="290">
        <v>723440</v>
      </c>
      <c r="K89" s="290" t="s">
        <v>986</v>
      </c>
      <c r="L89" s="290">
        <v>52786</v>
      </c>
      <c r="M89" s="290" t="s">
        <v>986</v>
      </c>
      <c r="N89" s="290" t="s">
        <v>986</v>
      </c>
      <c r="O89" s="290">
        <v>324180</v>
      </c>
      <c r="P89" s="290">
        <v>66480</v>
      </c>
      <c r="Q89" s="290" t="s">
        <v>986</v>
      </c>
      <c r="R89" s="290">
        <v>31215</v>
      </c>
      <c r="S89" s="290" t="s">
        <v>986</v>
      </c>
      <c r="T89" s="290" t="s">
        <v>986</v>
      </c>
      <c r="U89" s="290" t="s">
        <v>986</v>
      </c>
      <c r="V89" s="290" t="s">
        <v>986</v>
      </c>
      <c r="W89" s="295" t="s">
        <v>87</v>
      </c>
    </row>
    <row r="90" spans="1:23" s="290" customFormat="1" ht="9.75" customHeight="1" x14ac:dyDescent="0.15">
      <c r="A90" s="559" t="s">
        <v>993</v>
      </c>
      <c r="B90" s="290" t="s">
        <v>986</v>
      </c>
      <c r="C90" s="290" t="s">
        <v>986</v>
      </c>
      <c r="D90" s="290" t="s">
        <v>986</v>
      </c>
      <c r="E90" s="290">
        <v>2998139</v>
      </c>
      <c r="F90" s="290">
        <v>19087</v>
      </c>
      <c r="G90" s="290">
        <v>2979052</v>
      </c>
      <c r="H90" s="290">
        <v>1454642</v>
      </c>
      <c r="I90" s="290">
        <v>1326588</v>
      </c>
      <c r="J90" s="290">
        <v>694244</v>
      </c>
      <c r="K90" s="290" t="s">
        <v>986</v>
      </c>
      <c r="L90" s="290">
        <v>35146</v>
      </c>
      <c r="M90" s="290" t="s">
        <v>986</v>
      </c>
      <c r="N90" s="290" t="s">
        <v>986</v>
      </c>
      <c r="O90" s="290">
        <v>199821</v>
      </c>
      <c r="P90" s="290">
        <v>297377</v>
      </c>
      <c r="Q90" s="290" t="s">
        <v>986</v>
      </c>
      <c r="R90" s="290" t="s">
        <v>986</v>
      </c>
      <c r="S90" s="290">
        <v>100000</v>
      </c>
      <c r="T90" s="290" t="s">
        <v>986</v>
      </c>
      <c r="U90" s="290" t="s">
        <v>986</v>
      </c>
      <c r="V90" s="290" t="s">
        <v>986</v>
      </c>
      <c r="W90" s="295" t="s">
        <v>994</v>
      </c>
    </row>
    <row r="91" spans="1:23" s="290" customFormat="1" ht="6.75" customHeight="1" x14ac:dyDescent="0.15">
      <c r="A91" s="578"/>
      <c r="W91" s="295"/>
    </row>
    <row r="92" spans="1:23" s="290" customFormat="1" ht="9.75" customHeight="1" x14ac:dyDescent="0.15">
      <c r="A92" s="559" t="s">
        <v>995</v>
      </c>
      <c r="B92" s="290" t="s">
        <v>986</v>
      </c>
      <c r="C92" s="290" t="s">
        <v>986</v>
      </c>
      <c r="D92" s="290" t="s">
        <v>986</v>
      </c>
      <c r="E92" s="290">
        <v>905438</v>
      </c>
      <c r="F92" s="290">
        <v>6742</v>
      </c>
      <c r="G92" s="290">
        <v>898696</v>
      </c>
      <c r="H92" s="290">
        <v>556786</v>
      </c>
      <c r="I92" s="290">
        <v>487838</v>
      </c>
      <c r="J92" s="290">
        <v>197422</v>
      </c>
      <c r="K92" s="290" t="s">
        <v>986</v>
      </c>
      <c r="L92" s="290">
        <v>17673</v>
      </c>
      <c r="M92" s="290">
        <v>40000</v>
      </c>
      <c r="N92" s="290" t="s">
        <v>986</v>
      </c>
      <c r="O92" s="290">
        <v>132947</v>
      </c>
      <c r="P92" s="290" t="s">
        <v>986</v>
      </c>
      <c r="Q92" s="290" t="s">
        <v>986</v>
      </c>
      <c r="R92" s="290">
        <v>25919</v>
      </c>
      <c r="S92" s="290" t="s">
        <v>986</v>
      </c>
      <c r="T92" s="290" t="s">
        <v>986</v>
      </c>
      <c r="U92" s="290">
        <v>73877</v>
      </c>
      <c r="V92" s="290" t="s">
        <v>986</v>
      </c>
      <c r="W92" s="295" t="s">
        <v>778</v>
      </c>
    </row>
    <row r="93" spans="1:23" s="290" customFormat="1" ht="9.75" customHeight="1" x14ac:dyDescent="0.15">
      <c r="A93" s="559" t="s">
        <v>640</v>
      </c>
      <c r="B93" s="290" t="s">
        <v>986</v>
      </c>
      <c r="C93" s="290" t="s">
        <v>986</v>
      </c>
      <c r="D93" s="290" t="s">
        <v>986</v>
      </c>
      <c r="E93" s="290">
        <v>868661</v>
      </c>
      <c r="F93" s="290">
        <v>7605</v>
      </c>
      <c r="G93" s="290">
        <v>861056</v>
      </c>
      <c r="H93" s="290">
        <v>651827</v>
      </c>
      <c r="I93" s="290">
        <v>527941</v>
      </c>
      <c r="J93" s="290">
        <v>195489</v>
      </c>
      <c r="K93" s="290" t="s">
        <v>986</v>
      </c>
      <c r="L93" s="290" t="s">
        <v>986</v>
      </c>
      <c r="M93" s="290" t="s">
        <v>986</v>
      </c>
      <c r="N93" s="290" t="s">
        <v>986</v>
      </c>
      <c r="O93" s="290">
        <v>185314</v>
      </c>
      <c r="P93" s="290">
        <v>97313</v>
      </c>
      <c r="Q93" s="290" t="s">
        <v>986</v>
      </c>
      <c r="R93" s="290" t="s">
        <v>986</v>
      </c>
      <c r="S93" s="290" t="s">
        <v>986</v>
      </c>
      <c r="T93" s="290" t="s">
        <v>986</v>
      </c>
      <c r="U93" s="290">
        <v>49825</v>
      </c>
      <c r="V93" s="290" t="s">
        <v>986</v>
      </c>
      <c r="W93" s="295" t="s">
        <v>73</v>
      </c>
    </row>
    <row r="94" spans="1:23" s="290" customFormat="1" ht="9.75" customHeight="1" x14ac:dyDescent="0.15">
      <c r="A94" s="559" t="s">
        <v>641</v>
      </c>
      <c r="B94" s="290" t="s">
        <v>986</v>
      </c>
      <c r="C94" s="290" t="s">
        <v>986</v>
      </c>
      <c r="D94" s="290" t="s">
        <v>986</v>
      </c>
      <c r="E94" s="290">
        <v>1016026</v>
      </c>
      <c r="F94" s="290">
        <v>8126</v>
      </c>
      <c r="G94" s="290">
        <v>1007900</v>
      </c>
      <c r="H94" s="290">
        <v>543771</v>
      </c>
      <c r="I94" s="290">
        <v>480715</v>
      </c>
      <c r="J94" s="290">
        <v>330882</v>
      </c>
      <c r="K94" s="290" t="s">
        <v>986</v>
      </c>
      <c r="L94" s="290" t="s">
        <v>986</v>
      </c>
      <c r="M94" s="290" t="s">
        <v>986</v>
      </c>
      <c r="N94" s="290" t="s">
        <v>986</v>
      </c>
      <c r="O94" s="290">
        <v>99901</v>
      </c>
      <c r="P94" s="290" t="s">
        <v>986</v>
      </c>
      <c r="Q94" s="290" t="s">
        <v>986</v>
      </c>
      <c r="R94" s="290" t="s">
        <v>986</v>
      </c>
      <c r="S94" s="290" t="s">
        <v>986</v>
      </c>
      <c r="T94" s="290" t="s">
        <v>986</v>
      </c>
      <c r="U94" s="290">
        <v>49932</v>
      </c>
      <c r="V94" s="290" t="s">
        <v>986</v>
      </c>
      <c r="W94" s="295" t="s">
        <v>74</v>
      </c>
    </row>
    <row r="95" spans="1:23" s="290" customFormat="1" ht="9.75" customHeight="1" x14ac:dyDescent="0.15">
      <c r="A95" s="559" t="s">
        <v>642</v>
      </c>
      <c r="B95" s="290" t="s">
        <v>986</v>
      </c>
      <c r="C95" s="290" t="s">
        <v>986</v>
      </c>
      <c r="D95" s="290" t="s">
        <v>986</v>
      </c>
      <c r="E95" s="290">
        <v>970307</v>
      </c>
      <c r="F95" s="290">
        <v>9083</v>
      </c>
      <c r="G95" s="290">
        <v>961224</v>
      </c>
      <c r="H95" s="290">
        <v>238290</v>
      </c>
      <c r="I95" s="290">
        <v>236802</v>
      </c>
      <c r="J95" s="290">
        <v>87021</v>
      </c>
      <c r="K95" s="290" t="s">
        <v>986</v>
      </c>
      <c r="L95" s="290" t="s">
        <v>986</v>
      </c>
      <c r="M95" s="290" t="s">
        <v>986</v>
      </c>
      <c r="N95" s="290" t="s">
        <v>986</v>
      </c>
      <c r="O95" s="290">
        <v>149781</v>
      </c>
      <c r="P95" s="290" t="s">
        <v>986</v>
      </c>
      <c r="Q95" s="290" t="s">
        <v>986</v>
      </c>
      <c r="R95" s="290" t="s">
        <v>986</v>
      </c>
      <c r="S95" s="290" t="s">
        <v>986</v>
      </c>
      <c r="T95" s="290" t="s">
        <v>986</v>
      </c>
      <c r="U95" s="290" t="s">
        <v>986</v>
      </c>
      <c r="V95" s="290" t="s">
        <v>986</v>
      </c>
      <c r="W95" s="295" t="s">
        <v>75</v>
      </c>
    </row>
    <row r="96" spans="1:23" s="290" customFormat="1" ht="9.75" customHeight="1" x14ac:dyDescent="0.15">
      <c r="A96" s="559" t="s">
        <v>643</v>
      </c>
      <c r="B96" s="290" t="s">
        <v>986</v>
      </c>
      <c r="C96" s="290">
        <v>5244</v>
      </c>
      <c r="D96" s="290" t="s">
        <v>986</v>
      </c>
      <c r="E96" s="290">
        <v>978376</v>
      </c>
      <c r="F96" s="290">
        <v>3592</v>
      </c>
      <c r="G96" s="290">
        <v>974784</v>
      </c>
      <c r="H96" s="290">
        <v>99594</v>
      </c>
      <c r="I96" s="290">
        <v>50000</v>
      </c>
      <c r="J96" s="290" t="s">
        <v>986</v>
      </c>
      <c r="K96" s="290" t="s">
        <v>986</v>
      </c>
      <c r="L96" s="290" t="s">
        <v>986</v>
      </c>
      <c r="M96" s="290" t="s">
        <v>986</v>
      </c>
      <c r="N96" s="290" t="s">
        <v>986</v>
      </c>
      <c r="O96" s="290">
        <v>50000</v>
      </c>
      <c r="P96" s="290" t="s">
        <v>986</v>
      </c>
      <c r="Q96" s="290" t="s">
        <v>986</v>
      </c>
      <c r="R96" s="290" t="s">
        <v>986</v>
      </c>
      <c r="S96" s="290" t="s">
        <v>986</v>
      </c>
      <c r="T96" s="290" t="s">
        <v>986</v>
      </c>
      <c r="U96" s="290" t="s">
        <v>986</v>
      </c>
      <c r="V96" s="290" t="s">
        <v>986</v>
      </c>
      <c r="W96" s="295" t="s">
        <v>88</v>
      </c>
    </row>
    <row r="97" spans="1:23" s="290" customFormat="1" ht="9.75" customHeight="1" x14ac:dyDescent="0.15">
      <c r="A97" s="559" t="s">
        <v>644</v>
      </c>
      <c r="B97" s="290" t="s">
        <v>986</v>
      </c>
      <c r="C97" s="290" t="s">
        <v>986</v>
      </c>
      <c r="D97" s="290" t="s">
        <v>986</v>
      </c>
      <c r="E97" s="290">
        <v>967618</v>
      </c>
      <c r="F97" s="290">
        <v>3432</v>
      </c>
      <c r="G97" s="290">
        <v>964186</v>
      </c>
      <c r="H97" s="290">
        <v>101088</v>
      </c>
      <c r="I97" s="290">
        <v>99644</v>
      </c>
      <c r="J97" s="290">
        <v>49795</v>
      </c>
      <c r="K97" s="290" t="s">
        <v>986</v>
      </c>
      <c r="L97" s="290" t="s">
        <v>986</v>
      </c>
      <c r="M97" s="290" t="s">
        <v>986</v>
      </c>
      <c r="N97" s="290" t="s">
        <v>986</v>
      </c>
      <c r="O97" s="290" t="s">
        <v>986</v>
      </c>
      <c r="P97" s="290">
        <v>49849</v>
      </c>
      <c r="Q97" s="290" t="s">
        <v>986</v>
      </c>
      <c r="R97" s="290" t="s">
        <v>986</v>
      </c>
      <c r="S97" s="290" t="s">
        <v>986</v>
      </c>
      <c r="T97" s="290" t="s">
        <v>986</v>
      </c>
      <c r="U97" s="290" t="s">
        <v>986</v>
      </c>
      <c r="V97" s="290" t="s">
        <v>986</v>
      </c>
      <c r="W97" s="295" t="s">
        <v>89</v>
      </c>
    </row>
    <row r="98" spans="1:23" s="290" customFormat="1" ht="9.75" customHeight="1" x14ac:dyDescent="0.15">
      <c r="A98" s="559" t="s">
        <v>645</v>
      </c>
      <c r="B98" s="290" t="s">
        <v>986</v>
      </c>
      <c r="C98" s="290" t="s">
        <v>986</v>
      </c>
      <c r="D98" s="290" t="s">
        <v>986</v>
      </c>
      <c r="E98" s="290">
        <v>1020825</v>
      </c>
      <c r="F98" s="290">
        <v>2883</v>
      </c>
      <c r="G98" s="290">
        <v>1017942</v>
      </c>
      <c r="H98" s="290">
        <v>68732</v>
      </c>
      <c r="I98" s="290">
        <v>67814</v>
      </c>
      <c r="J98" s="290">
        <v>49432</v>
      </c>
      <c r="K98" s="290" t="s">
        <v>986</v>
      </c>
      <c r="L98" s="290">
        <v>18382</v>
      </c>
      <c r="M98" s="290" t="s">
        <v>986</v>
      </c>
      <c r="N98" s="290" t="s">
        <v>986</v>
      </c>
      <c r="O98" s="290" t="s">
        <v>986</v>
      </c>
      <c r="P98" s="290" t="s">
        <v>986</v>
      </c>
      <c r="Q98" s="290" t="s">
        <v>986</v>
      </c>
      <c r="R98" s="290" t="s">
        <v>986</v>
      </c>
      <c r="S98" s="290" t="s">
        <v>986</v>
      </c>
      <c r="T98" s="290" t="s">
        <v>986</v>
      </c>
      <c r="U98" s="290" t="s">
        <v>986</v>
      </c>
      <c r="V98" s="290" t="s">
        <v>986</v>
      </c>
      <c r="W98" s="295" t="s">
        <v>90</v>
      </c>
    </row>
    <row r="99" spans="1:23" s="290" customFormat="1" ht="9.75" customHeight="1" x14ac:dyDescent="0.15">
      <c r="A99" s="559" t="s">
        <v>646</v>
      </c>
      <c r="B99" s="290" t="s">
        <v>986</v>
      </c>
      <c r="C99" s="290" t="s">
        <v>986</v>
      </c>
      <c r="D99" s="290" t="s">
        <v>986</v>
      </c>
      <c r="E99" s="290">
        <v>1042075</v>
      </c>
      <c r="F99" s="290">
        <v>3038</v>
      </c>
      <c r="G99" s="290">
        <v>1039037</v>
      </c>
      <c r="H99" s="290">
        <v>250435</v>
      </c>
      <c r="I99" s="290">
        <v>224446</v>
      </c>
      <c r="J99" s="290">
        <v>158536</v>
      </c>
      <c r="K99" s="290" t="s">
        <v>986</v>
      </c>
      <c r="L99" s="290">
        <v>15910</v>
      </c>
      <c r="M99" s="290" t="s">
        <v>986</v>
      </c>
      <c r="N99" s="290" t="s">
        <v>986</v>
      </c>
      <c r="O99" s="290">
        <v>50000</v>
      </c>
      <c r="P99" s="290" t="s">
        <v>986</v>
      </c>
      <c r="Q99" s="290" t="s">
        <v>986</v>
      </c>
      <c r="R99" s="290" t="s">
        <v>986</v>
      </c>
      <c r="S99" s="290" t="s">
        <v>986</v>
      </c>
      <c r="T99" s="290" t="s">
        <v>986</v>
      </c>
      <c r="U99" s="290" t="s">
        <v>986</v>
      </c>
      <c r="V99" s="290" t="s">
        <v>986</v>
      </c>
      <c r="W99" s="295" t="s">
        <v>91</v>
      </c>
    </row>
    <row r="100" spans="1:23" s="290" customFormat="1" ht="9.75" customHeight="1" x14ac:dyDescent="0.15">
      <c r="A100" s="559" t="s">
        <v>647</v>
      </c>
      <c r="B100" s="290" t="s">
        <v>986</v>
      </c>
      <c r="C100" s="290" t="s">
        <v>986</v>
      </c>
      <c r="D100" s="290" t="s">
        <v>986</v>
      </c>
      <c r="E100" s="290">
        <v>1008582</v>
      </c>
      <c r="F100" s="290">
        <v>152170</v>
      </c>
      <c r="G100" s="290">
        <v>856412</v>
      </c>
      <c r="H100" s="290">
        <v>378583</v>
      </c>
      <c r="I100" s="290">
        <v>297347</v>
      </c>
      <c r="J100" s="290">
        <v>180676</v>
      </c>
      <c r="K100" s="290" t="s">
        <v>986</v>
      </c>
      <c r="L100" s="290">
        <v>18079</v>
      </c>
      <c r="M100" s="290" t="s">
        <v>986</v>
      </c>
      <c r="N100" s="290" t="s">
        <v>986</v>
      </c>
      <c r="O100" s="290">
        <v>98592</v>
      </c>
      <c r="P100" s="290" t="s">
        <v>986</v>
      </c>
      <c r="Q100" s="290" t="s">
        <v>986</v>
      </c>
      <c r="R100" s="290" t="s">
        <v>986</v>
      </c>
      <c r="S100" s="290" t="s">
        <v>986</v>
      </c>
      <c r="T100" s="290" t="s">
        <v>986</v>
      </c>
      <c r="U100" s="290" t="s">
        <v>986</v>
      </c>
      <c r="V100" s="290" t="s">
        <v>986</v>
      </c>
      <c r="W100" s="295" t="s">
        <v>92</v>
      </c>
    </row>
    <row r="101" spans="1:23" s="290" customFormat="1" ht="9.75" customHeight="1" x14ac:dyDescent="0.15">
      <c r="A101" s="559" t="s">
        <v>648</v>
      </c>
      <c r="B101" s="290" t="s">
        <v>986</v>
      </c>
      <c r="C101" s="290" t="s">
        <v>986</v>
      </c>
      <c r="D101" s="290" t="s">
        <v>986</v>
      </c>
      <c r="E101" s="290">
        <v>1007199</v>
      </c>
      <c r="F101" s="290">
        <v>162666</v>
      </c>
      <c r="G101" s="290">
        <v>844533</v>
      </c>
      <c r="H101" s="290">
        <v>472180</v>
      </c>
      <c r="I101" s="290">
        <v>447270</v>
      </c>
      <c r="J101" s="290">
        <v>234294</v>
      </c>
      <c r="K101" s="290" t="s">
        <v>986</v>
      </c>
      <c r="L101" s="290">
        <v>17696</v>
      </c>
      <c r="M101" s="290" t="s">
        <v>986</v>
      </c>
      <c r="N101" s="290" t="s">
        <v>986</v>
      </c>
      <c r="O101" s="290">
        <v>178630</v>
      </c>
      <c r="P101" s="290">
        <v>16650</v>
      </c>
      <c r="Q101" s="290" t="s">
        <v>986</v>
      </c>
      <c r="R101" s="290" t="s">
        <v>986</v>
      </c>
      <c r="S101" s="290" t="s">
        <v>986</v>
      </c>
      <c r="T101" s="290" t="s">
        <v>986</v>
      </c>
      <c r="U101" s="290" t="s">
        <v>986</v>
      </c>
      <c r="V101" s="290" t="s">
        <v>986</v>
      </c>
      <c r="W101" s="295" t="s">
        <v>76</v>
      </c>
    </row>
    <row r="102" spans="1:23" s="290" customFormat="1" ht="9.75" customHeight="1" x14ac:dyDescent="0.15">
      <c r="A102" s="559" t="s">
        <v>649</v>
      </c>
      <c r="B102" s="290" t="s">
        <v>986</v>
      </c>
      <c r="C102" s="290" t="s">
        <v>986</v>
      </c>
      <c r="D102" s="290" t="s">
        <v>986</v>
      </c>
      <c r="E102" s="290">
        <v>1048587</v>
      </c>
      <c r="F102" s="290">
        <v>6550</v>
      </c>
      <c r="G102" s="290">
        <v>1042037</v>
      </c>
      <c r="H102" s="290">
        <v>366452</v>
      </c>
      <c r="I102" s="290">
        <v>337178</v>
      </c>
      <c r="J102" s="290">
        <v>241628</v>
      </c>
      <c r="K102" s="290" t="s">
        <v>986</v>
      </c>
      <c r="L102" s="290" t="s">
        <v>986</v>
      </c>
      <c r="M102" s="290" t="s">
        <v>986</v>
      </c>
      <c r="N102" s="290" t="s">
        <v>986</v>
      </c>
      <c r="O102" s="290">
        <v>95550</v>
      </c>
      <c r="P102" s="290" t="s">
        <v>986</v>
      </c>
      <c r="Q102" s="290" t="s">
        <v>986</v>
      </c>
      <c r="R102" s="290" t="s">
        <v>986</v>
      </c>
      <c r="S102" s="290" t="s">
        <v>986</v>
      </c>
      <c r="T102" s="290" t="s">
        <v>986</v>
      </c>
      <c r="U102" s="290" t="s">
        <v>986</v>
      </c>
      <c r="V102" s="290" t="s">
        <v>986</v>
      </c>
      <c r="W102" s="295" t="s">
        <v>77</v>
      </c>
    </row>
    <row r="103" spans="1:23" s="290" customFormat="1" ht="9.75" customHeight="1" x14ac:dyDescent="0.15">
      <c r="A103" s="559" t="s">
        <v>650</v>
      </c>
      <c r="B103" s="290" t="s">
        <v>986</v>
      </c>
      <c r="C103" s="290" t="s">
        <v>986</v>
      </c>
      <c r="D103" s="290" t="s">
        <v>986</v>
      </c>
      <c r="E103" s="290">
        <v>1093047</v>
      </c>
      <c r="F103" s="290">
        <v>6249</v>
      </c>
      <c r="G103" s="290">
        <v>1086798</v>
      </c>
      <c r="H103" s="290">
        <v>433554</v>
      </c>
      <c r="I103" s="290">
        <v>413653</v>
      </c>
      <c r="J103" s="290">
        <v>247518</v>
      </c>
      <c r="K103" s="290" t="s">
        <v>986</v>
      </c>
      <c r="L103" s="290">
        <v>35090</v>
      </c>
      <c r="M103" s="290" t="s">
        <v>986</v>
      </c>
      <c r="N103" s="290" t="s">
        <v>986</v>
      </c>
      <c r="O103" s="290">
        <v>50000</v>
      </c>
      <c r="P103" s="290">
        <v>49830</v>
      </c>
      <c r="Q103" s="290" t="s">
        <v>986</v>
      </c>
      <c r="R103" s="290">
        <v>31215</v>
      </c>
      <c r="S103" s="290" t="s">
        <v>986</v>
      </c>
      <c r="T103" s="290" t="s">
        <v>986</v>
      </c>
      <c r="U103" s="290" t="s">
        <v>986</v>
      </c>
      <c r="V103" s="290" t="s">
        <v>986</v>
      </c>
      <c r="W103" s="295" t="s">
        <v>78</v>
      </c>
    </row>
    <row r="104" spans="1:23" s="290" customFormat="1" ht="9.75" customHeight="1" x14ac:dyDescent="0.15">
      <c r="A104" s="559" t="s">
        <v>996</v>
      </c>
      <c r="B104" s="290" t="s">
        <v>986</v>
      </c>
      <c r="C104" s="290" t="s">
        <v>986</v>
      </c>
      <c r="D104" s="290" t="s">
        <v>986</v>
      </c>
      <c r="E104" s="290">
        <v>1005064</v>
      </c>
      <c r="F104" s="290">
        <v>7518</v>
      </c>
      <c r="G104" s="290">
        <v>997546</v>
      </c>
      <c r="H104" s="290">
        <v>388567</v>
      </c>
      <c r="I104" s="290">
        <v>363924</v>
      </c>
      <c r="J104" s="290">
        <v>193445</v>
      </c>
      <c r="K104" s="290" t="s">
        <v>986</v>
      </c>
      <c r="L104" s="290" t="s">
        <v>986</v>
      </c>
      <c r="M104" s="290" t="s">
        <v>986</v>
      </c>
      <c r="N104" s="290" t="s">
        <v>986</v>
      </c>
      <c r="O104" s="290">
        <v>100001</v>
      </c>
      <c r="P104" s="290">
        <v>70478</v>
      </c>
      <c r="Q104" s="290" t="s">
        <v>986</v>
      </c>
      <c r="R104" s="290" t="s">
        <v>986</v>
      </c>
      <c r="S104" s="290" t="s">
        <v>986</v>
      </c>
      <c r="T104" s="290" t="s">
        <v>986</v>
      </c>
      <c r="U104" s="290" t="s">
        <v>986</v>
      </c>
      <c r="V104" s="290" t="s">
        <v>986</v>
      </c>
      <c r="W104" s="295" t="s">
        <v>997</v>
      </c>
    </row>
    <row r="105" spans="1:23" s="290" customFormat="1" ht="9.75" customHeight="1" x14ac:dyDescent="0.15">
      <c r="A105" s="559" t="s">
        <v>651</v>
      </c>
      <c r="B105" s="290" t="s">
        <v>986</v>
      </c>
      <c r="C105" s="290" t="s">
        <v>986</v>
      </c>
      <c r="D105" s="290" t="s">
        <v>986</v>
      </c>
      <c r="E105" s="290">
        <v>960086</v>
      </c>
      <c r="F105" s="290">
        <v>5882</v>
      </c>
      <c r="G105" s="290">
        <v>954204</v>
      </c>
      <c r="H105" s="290">
        <v>487496</v>
      </c>
      <c r="I105" s="290">
        <v>463044</v>
      </c>
      <c r="J105" s="290">
        <v>266339</v>
      </c>
      <c r="K105" s="290" t="s">
        <v>986</v>
      </c>
      <c r="L105" s="290">
        <v>17625</v>
      </c>
      <c r="M105" s="290" t="s">
        <v>986</v>
      </c>
      <c r="N105" s="290" t="s">
        <v>986</v>
      </c>
      <c r="O105" s="290">
        <v>99820</v>
      </c>
      <c r="P105" s="290">
        <v>79260</v>
      </c>
      <c r="Q105" s="290" t="s">
        <v>986</v>
      </c>
      <c r="R105" s="290" t="s">
        <v>986</v>
      </c>
      <c r="S105" s="290" t="s">
        <v>986</v>
      </c>
      <c r="T105" s="290" t="s">
        <v>986</v>
      </c>
      <c r="U105" s="290" t="s">
        <v>986</v>
      </c>
      <c r="V105" s="290" t="s">
        <v>986</v>
      </c>
      <c r="W105" s="295" t="s">
        <v>73</v>
      </c>
    </row>
    <row r="106" spans="1:23" s="290" customFormat="1" ht="9.75" customHeight="1" x14ac:dyDescent="0.15">
      <c r="A106" s="560" t="s">
        <v>652</v>
      </c>
      <c r="B106" s="294" t="s">
        <v>986</v>
      </c>
      <c r="C106" s="293" t="s">
        <v>986</v>
      </c>
      <c r="D106" s="293" t="s">
        <v>986</v>
      </c>
      <c r="E106" s="293">
        <v>1032989</v>
      </c>
      <c r="F106" s="293">
        <v>5687</v>
      </c>
      <c r="G106" s="293">
        <v>1027302</v>
      </c>
      <c r="H106" s="293">
        <v>578579</v>
      </c>
      <c r="I106" s="293">
        <v>499620</v>
      </c>
      <c r="J106" s="293">
        <v>234460</v>
      </c>
      <c r="K106" s="293" t="s">
        <v>986</v>
      </c>
      <c r="L106" s="293">
        <v>17521</v>
      </c>
      <c r="M106" s="293" t="s">
        <v>986</v>
      </c>
      <c r="N106" s="293" t="s">
        <v>986</v>
      </c>
      <c r="O106" s="293" t="s">
        <v>986</v>
      </c>
      <c r="P106" s="293">
        <v>147639</v>
      </c>
      <c r="Q106" s="293" t="s">
        <v>986</v>
      </c>
      <c r="R106" s="293" t="s">
        <v>986</v>
      </c>
      <c r="S106" s="293">
        <v>100000</v>
      </c>
      <c r="T106" s="293" t="s">
        <v>986</v>
      </c>
      <c r="U106" s="293" t="s">
        <v>986</v>
      </c>
      <c r="V106" s="293" t="s">
        <v>986</v>
      </c>
      <c r="W106" s="291" t="s">
        <v>74</v>
      </c>
    </row>
    <row r="107" spans="1:23" ht="12" customHeight="1" x14ac:dyDescent="0.15"/>
    <row r="108" spans="1:23" ht="12" customHeight="1" x14ac:dyDescent="0.15"/>
    <row r="109" spans="1:23" ht="12" customHeight="1" x14ac:dyDescent="0.15">
      <c r="K109" s="299" t="s">
        <v>93</v>
      </c>
    </row>
    <row r="110" spans="1:23" s="297" customFormat="1" ht="21" customHeight="1" x14ac:dyDescent="0.15">
      <c r="A110" s="1053" t="s">
        <v>172</v>
      </c>
      <c r="B110" s="832" t="s">
        <v>339</v>
      </c>
      <c r="C110" s="827"/>
      <c r="D110" s="827"/>
      <c r="E110" s="827"/>
      <c r="F110" s="827"/>
      <c r="G110" s="827"/>
      <c r="H110" s="827"/>
      <c r="I110" s="827"/>
      <c r="J110" s="827"/>
      <c r="K110" s="827"/>
      <c r="L110" s="827"/>
      <c r="M110" s="827"/>
      <c r="N110" s="827"/>
      <c r="O110" s="827"/>
      <c r="P110" s="834"/>
      <c r="Q110" s="826" t="s">
        <v>307</v>
      </c>
      <c r="R110" s="827"/>
      <c r="S110" s="827"/>
      <c r="T110" s="834"/>
      <c r="U110" s="835" t="s">
        <v>863</v>
      </c>
      <c r="V110" s="827"/>
      <c r="W110" s="1056" t="s">
        <v>79</v>
      </c>
    </row>
    <row r="111" spans="1:23" s="297" customFormat="1" ht="21" customHeight="1" x14ac:dyDescent="0.15">
      <c r="A111" s="1054"/>
      <c r="B111" s="833" t="s">
        <v>260</v>
      </c>
      <c r="C111" s="826" t="s">
        <v>258</v>
      </c>
      <c r="D111" s="827"/>
      <c r="E111" s="834"/>
      <c r="F111" s="826" t="s">
        <v>257</v>
      </c>
      <c r="G111" s="834"/>
      <c r="H111" s="826" t="s">
        <v>242</v>
      </c>
      <c r="I111" s="834"/>
      <c r="J111" s="826" t="s">
        <v>241</v>
      </c>
      <c r="K111" s="827"/>
      <c r="L111" s="827"/>
      <c r="M111" s="827"/>
      <c r="N111" s="834"/>
      <c r="O111" s="826" t="s">
        <v>875</v>
      </c>
      <c r="P111" s="834"/>
      <c r="Q111" s="1059" t="s">
        <v>305</v>
      </c>
      <c r="R111" s="826" t="s">
        <v>265</v>
      </c>
      <c r="S111" s="827"/>
      <c r="T111" s="834"/>
      <c r="U111" s="1059" t="s">
        <v>293</v>
      </c>
      <c r="V111" s="826" t="s">
        <v>265</v>
      </c>
      <c r="W111" s="1057"/>
    </row>
    <row r="112" spans="1:23" s="297" customFormat="1" ht="52.5" customHeight="1" x14ac:dyDescent="0.15">
      <c r="A112" s="1055"/>
      <c r="B112" s="301" t="s">
        <v>853</v>
      </c>
      <c r="C112" s="696" t="s">
        <v>855</v>
      </c>
      <c r="D112" s="298" t="s">
        <v>244</v>
      </c>
      <c r="E112" s="298" t="s">
        <v>297</v>
      </c>
      <c r="F112" s="696" t="s">
        <v>856</v>
      </c>
      <c r="G112" s="298" t="s">
        <v>243</v>
      </c>
      <c r="H112" s="696" t="s">
        <v>857</v>
      </c>
      <c r="I112" s="298" t="s">
        <v>859</v>
      </c>
      <c r="J112" s="696" t="s">
        <v>860</v>
      </c>
      <c r="K112" s="298" t="s">
        <v>236</v>
      </c>
      <c r="L112" s="298" t="s">
        <v>874</v>
      </c>
      <c r="M112" s="298" t="s">
        <v>335</v>
      </c>
      <c r="N112" s="298" t="s">
        <v>334</v>
      </c>
      <c r="O112" s="696" t="s">
        <v>314</v>
      </c>
      <c r="P112" s="298" t="s">
        <v>333</v>
      </c>
      <c r="Q112" s="1060"/>
      <c r="R112" s="696" t="s">
        <v>851</v>
      </c>
      <c r="S112" s="298" t="s">
        <v>256</v>
      </c>
      <c r="T112" s="298" t="s">
        <v>852</v>
      </c>
      <c r="U112" s="1060"/>
      <c r="V112" s="695" t="s">
        <v>851</v>
      </c>
      <c r="W112" s="1058"/>
    </row>
    <row r="113" spans="1:23" s="290" customFormat="1" ht="9.75" customHeight="1" x14ac:dyDescent="0.15">
      <c r="A113" s="828" t="s">
        <v>985</v>
      </c>
      <c r="B113" s="829">
        <v>31764</v>
      </c>
      <c r="C113" s="830">
        <v>610652</v>
      </c>
      <c r="D113" s="830">
        <v>610652</v>
      </c>
      <c r="E113" s="830" t="s">
        <v>986</v>
      </c>
      <c r="F113" s="830" t="s">
        <v>986</v>
      </c>
      <c r="G113" s="830" t="s">
        <v>986</v>
      </c>
      <c r="H113" s="830" t="s">
        <v>986</v>
      </c>
      <c r="I113" s="830" t="s">
        <v>986</v>
      </c>
      <c r="J113" s="830">
        <v>661618</v>
      </c>
      <c r="K113" s="830">
        <v>513970</v>
      </c>
      <c r="L113" s="830">
        <v>30600</v>
      </c>
      <c r="M113" s="830">
        <v>117048</v>
      </c>
      <c r="N113" s="830" t="s">
        <v>986</v>
      </c>
      <c r="O113" s="830">
        <v>27193</v>
      </c>
      <c r="P113" s="830">
        <v>27193</v>
      </c>
      <c r="Q113" s="830">
        <v>3240</v>
      </c>
      <c r="R113" s="830">
        <v>3240</v>
      </c>
      <c r="S113" s="830" t="s">
        <v>986</v>
      </c>
      <c r="T113" s="830">
        <v>3240</v>
      </c>
      <c r="U113" s="830">
        <v>11164796</v>
      </c>
      <c r="V113" s="830">
        <v>532271</v>
      </c>
      <c r="W113" s="831" t="s">
        <v>485</v>
      </c>
    </row>
    <row r="114" spans="1:23" s="290" customFormat="1" ht="9.75" customHeight="1" x14ac:dyDescent="0.15">
      <c r="A114" s="559" t="s">
        <v>634</v>
      </c>
      <c r="B114" s="290" t="s">
        <v>986</v>
      </c>
      <c r="C114" s="290">
        <v>76060</v>
      </c>
      <c r="D114" s="290">
        <v>76060</v>
      </c>
      <c r="E114" s="290" t="s">
        <v>986</v>
      </c>
      <c r="F114" s="290" t="s">
        <v>986</v>
      </c>
      <c r="G114" s="290" t="s">
        <v>986</v>
      </c>
      <c r="H114" s="290">
        <v>49865</v>
      </c>
      <c r="I114" s="290">
        <v>49865</v>
      </c>
      <c r="J114" s="290">
        <v>367708</v>
      </c>
      <c r="K114" s="290">
        <v>306182</v>
      </c>
      <c r="L114" s="290">
        <v>20000</v>
      </c>
      <c r="M114" s="290">
        <v>40561</v>
      </c>
      <c r="N114" s="290">
        <v>965</v>
      </c>
      <c r="O114" s="290">
        <v>25127</v>
      </c>
      <c r="P114" s="290">
        <v>25127</v>
      </c>
      <c r="Q114" s="290" t="s">
        <v>986</v>
      </c>
      <c r="R114" s="290" t="s">
        <v>986</v>
      </c>
      <c r="S114" s="290" t="s">
        <v>986</v>
      </c>
      <c r="T114" s="290" t="s">
        <v>986</v>
      </c>
      <c r="U114" s="290">
        <v>4781020</v>
      </c>
      <c r="V114" s="290">
        <v>205905</v>
      </c>
      <c r="W114" s="295" t="s">
        <v>588</v>
      </c>
    </row>
    <row r="115" spans="1:23" s="290" customFormat="1" ht="9.75" customHeight="1" x14ac:dyDescent="0.15">
      <c r="A115" s="559" t="s">
        <v>635</v>
      </c>
      <c r="B115" s="290" t="s">
        <v>986</v>
      </c>
      <c r="C115" s="290">
        <v>184359</v>
      </c>
      <c r="D115" s="290">
        <v>184359</v>
      </c>
      <c r="E115" s="290" t="s">
        <v>986</v>
      </c>
      <c r="F115" s="290" t="s">
        <v>986</v>
      </c>
      <c r="G115" s="290" t="s">
        <v>986</v>
      </c>
      <c r="H115" s="290" t="s">
        <v>986</v>
      </c>
      <c r="I115" s="290" t="s">
        <v>986</v>
      </c>
      <c r="J115" s="290">
        <v>352362</v>
      </c>
      <c r="K115" s="290">
        <v>323531</v>
      </c>
      <c r="L115" s="290" t="s">
        <v>986</v>
      </c>
      <c r="M115" s="290">
        <v>28831</v>
      </c>
      <c r="N115" s="290" t="s">
        <v>986</v>
      </c>
      <c r="O115" s="290">
        <v>25733</v>
      </c>
      <c r="P115" s="290">
        <v>25733</v>
      </c>
      <c r="Q115" s="290" t="s">
        <v>986</v>
      </c>
      <c r="R115" s="290" t="s">
        <v>986</v>
      </c>
      <c r="S115" s="290" t="s">
        <v>986</v>
      </c>
      <c r="T115" s="290" t="s">
        <v>986</v>
      </c>
      <c r="U115" s="290">
        <v>5327622</v>
      </c>
      <c r="V115" s="290">
        <v>762702</v>
      </c>
      <c r="W115" s="295" t="s">
        <v>636</v>
      </c>
    </row>
    <row r="116" spans="1:23" s="290" customFormat="1" ht="9.75" customHeight="1" x14ac:dyDescent="0.15">
      <c r="A116" s="559" t="s">
        <v>774</v>
      </c>
      <c r="B116" s="290" t="s">
        <v>986</v>
      </c>
      <c r="C116" s="290">
        <v>336009</v>
      </c>
      <c r="D116" s="290">
        <v>336009</v>
      </c>
      <c r="E116" s="290" t="s">
        <v>986</v>
      </c>
      <c r="F116" s="290" t="s">
        <v>986</v>
      </c>
      <c r="G116" s="290" t="s">
        <v>986</v>
      </c>
      <c r="H116" s="290" t="s">
        <v>986</v>
      </c>
      <c r="I116" s="290" t="s">
        <v>986</v>
      </c>
      <c r="J116" s="290">
        <v>273476</v>
      </c>
      <c r="K116" s="290">
        <v>258520</v>
      </c>
      <c r="L116" s="290" t="s">
        <v>986</v>
      </c>
      <c r="M116" s="290">
        <v>14956</v>
      </c>
      <c r="N116" s="290" t="s">
        <v>986</v>
      </c>
      <c r="O116" s="290">
        <v>24016</v>
      </c>
      <c r="P116" s="290">
        <v>24016</v>
      </c>
      <c r="Q116" s="290" t="s">
        <v>986</v>
      </c>
      <c r="R116" s="290" t="s">
        <v>986</v>
      </c>
      <c r="S116" s="290" t="s">
        <v>986</v>
      </c>
      <c r="T116" s="290" t="s">
        <v>986</v>
      </c>
      <c r="U116" s="290">
        <v>6797549</v>
      </c>
      <c r="V116" s="290">
        <v>566465</v>
      </c>
      <c r="W116" s="295" t="s">
        <v>775</v>
      </c>
    </row>
    <row r="117" spans="1:23" s="290" customFormat="1" ht="9.75" customHeight="1" x14ac:dyDescent="0.15">
      <c r="A117" s="559" t="s">
        <v>987</v>
      </c>
      <c r="B117" s="290" t="s">
        <v>986</v>
      </c>
      <c r="C117" s="290">
        <v>255752</v>
      </c>
      <c r="D117" s="290">
        <v>217252</v>
      </c>
      <c r="E117" s="290">
        <v>38500</v>
      </c>
      <c r="F117" s="290" t="s">
        <v>986</v>
      </c>
      <c r="G117" s="290" t="s">
        <v>986</v>
      </c>
      <c r="H117" s="290">
        <v>47600</v>
      </c>
      <c r="I117" s="290">
        <v>47600</v>
      </c>
      <c r="J117" s="290">
        <v>172198</v>
      </c>
      <c r="K117" s="290">
        <v>172198</v>
      </c>
      <c r="L117" s="290" t="s">
        <v>986</v>
      </c>
      <c r="M117" s="290" t="s">
        <v>986</v>
      </c>
      <c r="N117" s="290" t="s">
        <v>986</v>
      </c>
      <c r="O117" s="290">
        <v>15094</v>
      </c>
      <c r="P117" s="290">
        <v>15094</v>
      </c>
      <c r="Q117" s="290">
        <v>55245</v>
      </c>
      <c r="R117" s="290">
        <v>55245</v>
      </c>
      <c r="S117" s="290">
        <v>55245</v>
      </c>
      <c r="T117" s="290" t="s">
        <v>986</v>
      </c>
      <c r="U117" s="290">
        <v>7971235</v>
      </c>
      <c r="V117" s="290">
        <v>91531</v>
      </c>
      <c r="W117" s="295" t="s">
        <v>988</v>
      </c>
    </row>
    <row r="118" spans="1:23" s="290" customFormat="1" ht="6.75" customHeight="1" x14ac:dyDescent="0.15">
      <c r="A118" s="578"/>
      <c r="W118" s="295"/>
    </row>
    <row r="119" spans="1:23" s="290" customFormat="1" ht="9.75" customHeight="1" x14ac:dyDescent="0.15">
      <c r="A119" s="559" t="s">
        <v>989</v>
      </c>
      <c r="B119" s="290" t="s">
        <v>986</v>
      </c>
      <c r="C119" s="290">
        <v>266902</v>
      </c>
      <c r="D119" s="290">
        <v>228402</v>
      </c>
      <c r="E119" s="290">
        <v>38500</v>
      </c>
      <c r="F119" s="290" t="s">
        <v>986</v>
      </c>
      <c r="G119" s="290" t="s">
        <v>986</v>
      </c>
      <c r="H119" s="290">
        <v>47600</v>
      </c>
      <c r="I119" s="290">
        <v>47600</v>
      </c>
      <c r="J119" s="290">
        <v>248618</v>
      </c>
      <c r="K119" s="290">
        <v>248618</v>
      </c>
      <c r="L119" s="290" t="s">
        <v>986</v>
      </c>
      <c r="M119" s="290" t="s">
        <v>986</v>
      </c>
      <c r="N119" s="290" t="s">
        <v>986</v>
      </c>
      <c r="O119" s="290">
        <v>22912</v>
      </c>
      <c r="P119" s="290">
        <v>22912</v>
      </c>
      <c r="Q119" s="290" t="s">
        <v>986</v>
      </c>
      <c r="R119" s="290" t="s">
        <v>986</v>
      </c>
      <c r="S119" s="290" t="s">
        <v>986</v>
      </c>
      <c r="T119" s="290" t="s">
        <v>986</v>
      </c>
      <c r="U119" s="290">
        <v>7234623</v>
      </c>
      <c r="V119" s="290">
        <v>532643</v>
      </c>
      <c r="W119" s="295" t="s">
        <v>776</v>
      </c>
    </row>
    <row r="120" spans="1:23" s="290" customFormat="1" ht="9.75" customHeight="1" x14ac:dyDescent="0.15">
      <c r="A120" s="559" t="s">
        <v>990</v>
      </c>
      <c r="B120" s="290" t="s">
        <v>986</v>
      </c>
      <c r="C120" s="290">
        <v>221718</v>
      </c>
      <c r="D120" s="290">
        <v>221718</v>
      </c>
      <c r="E120" s="290" t="s">
        <v>986</v>
      </c>
      <c r="F120" s="290">
        <v>49872</v>
      </c>
      <c r="G120" s="290">
        <v>49872</v>
      </c>
      <c r="H120" s="290" t="s">
        <v>986</v>
      </c>
      <c r="I120" s="290" t="s">
        <v>986</v>
      </c>
      <c r="J120" s="290">
        <v>78300</v>
      </c>
      <c r="K120" s="290">
        <v>78300</v>
      </c>
      <c r="L120" s="290" t="s">
        <v>986</v>
      </c>
      <c r="M120" s="290" t="s">
        <v>986</v>
      </c>
      <c r="N120" s="290" t="s">
        <v>986</v>
      </c>
      <c r="O120" s="290">
        <v>12918</v>
      </c>
      <c r="P120" s="290">
        <v>12918</v>
      </c>
      <c r="Q120" s="290">
        <v>77491</v>
      </c>
      <c r="R120" s="290">
        <v>77491</v>
      </c>
      <c r="S120" s="290">
        <v>77491</v>
      </c>
      <c r="T120" s="290" t="s">
        <v>986</v>
      </c>
      <c r="U120" s="290">
        <v>8067262</v>
      </c>
      <c r="V120" s="290">
        <v>50051</v>
      </c>
      <c r="W120" s="295" t="s">
        <v>991</v>
      </c>
    </row>
    <row r="121" spans="1:23" s="290" customFormat="1" ht="6.75" customHeight="1" x14ac:dyDescent="0.15">
      <c r="A121" s="578"/>
      <c r="W121" s="295"/>
    </row>
    <row r="122" spans="1:23" s="290" customFormat="1" ht="9.75" customHeight="1" x14ac:dyDescent="0.15">
      <c r="A122" s="559" t="s">
        <v>992</v>
      </c>
      <c r="B122" s="290" t="s">
        <v>986</v>
      </c>
      <c r="C122" s="290">
        <v>109360</v>
      </c>
      <c r="D122" s="290">
        <v>70860</v>
      </c>
      <c r="E122" s="290">
        <v>38500</v>
      </c>
      <c r="F122" s="290" t="s">
        <v>986</v>
      </c>
      <c r="G122" s="290" t="s">
        <v>986</v>
      </c>
      <c r="H122" s="290">
        <v>47600</v>
      </c>
      <c r="I122" s="290">
        <v>47600</v>
      </c>
      <c r="J122" s="290">
        <v>93898</v>
      </c>
      <c r="K122" s="290">
        <v>93898</v>
      </c>
      <c r="L122" s="290" t="s">
        <v>986</v>
      </c>
      <c r="M122" s="290" t="s">
        <v>986</v>
      </c>
      <c r="N122" s="290" t="s">
        <v>986</v>
      </c>
      <c r="O122" s="290">
        <v>5032</v>
      </c>
      <c r="P122" s="290">
        <v>5032</v>
      </c>
      <c r="Q122" s="290" t="s">
        <v>986</v>
      </c>
      <c r="R122" s="290" t="s">
        <v>986</v>
      </c>
      <c r="S122" s="290" t="s">
        <v>986</v>
      </c>
      <c r="T122" s="290" t="s">
        <v>986</v>
      </c>
      <c r="U122" s="290">
        <v>1763675</v>
      </c>
      <c r="V122" s="290">
        <v>41480</v>
      </c>
      <c r="W122" s="295" t="s">
        <v>777</v>
      </c>
    </row>
    <row r="123" spans="1:23" s="290" customFormat="1" ht="9.75" customHeight="1" x14ac:dyDescent="0.15">
      <c r="A123" s="559" t="s">
        <v>637</v>
      </c>
      <c r="B123" s="290" t="s">
        <v>986</v>
      </c>
      <c r="C123" s="290">
        <v>48304</v>
      </c>
      <c r="D123" s="290">
        <v>48304</v>
      </c>
      <c r="E123" s="290" t="s">
        <v>986</v>
      </c>
      <c r="F123" s="290" t="s">
        <v>986</v>
      </c>
      <c r="G123" s="290" t="s">
        <v>986</v>
      </c>
      <c r="H123" s="290" t="s">
        <v>986</v>
      </c>
      <c r="I123" s="290" t="s">
        <v>986</v>
      </c>
      <c r="J123" s="290" t="s">
        <v>986</v>
      </c>
      <c r="K123" s="290" t="s">
        <v>986</v>
      </c>
      <c r="L123" s="290" t="s">
        <v>986</v>
      </c>
      <c r="M123" s="290" t="s">
        <v>986</v>
      </c>
      <c r="N123" s="290" t="s">
        <v>986</v>
      </c>
      <c r="O123" s="290">
        <v>4222</v>
      </c>
      <c r="P123" s="290">
        <v>4222</v>
      </c>
      <c r="Q123" s="290">
        <v>20304</v>
      </c>
      <c r="R123" s="290">
        <v>20304</v>
      </c>
      <c r="S123" s="290">
        <v>20304</v>
      </c>
      <c r="T123" s="290" t="s">
        <v>986</v>
      </c>
      <c r="U123" s="290">
        <v>2050008</v>
      </c>
      <c r="V123" s="290">
        <v>50051</v>
      </c>
      <c r="W123" s="295" t="s">
        <v>85</v>
      </c>
    </row>
    <row r="124" spans="1:23" s="290" customFormat="1" ht="9.75" customHeight="1" x14ac:dyDescent="0.15">
      <c r="A124" s="559" t="s">
        <v>638</v>
      </c>
      <c r="B124" s="290" t="s">
        <v>986</v>
      </c>
      <c r="C124" s="290">
        <v>55127</v>
      </c>
      <c r="D124" s="290">
        <v>55127</v>
      </c>
      <c r="E124" s="290" t="s">
        <v>986</v>
      </c>
      <c r="F124" s="290" t="s">
        <v>986</v>
      </c>
      <c r="G124" s="290" t="s">
        <v>986</v>
      </c>
      <c r="H124" s="290" t="s">
        <v>986</v>
      </c>
      <c r="I124" s="290" t="s">
        <v>986</v>
      </c>
      <c r="J124" s="290">
        <v>50000</v>
      </c>
      <c r="K124" s="290">
        <v>50000</v>
      </c>
      <c r="L124" s="290" t="s">
        <v>986</v>
      </c>
      <c r="M124" s="290" t="s">
        <v>986</v>
      </c>
      <c r="N124" s="290" t="s">
        <v>986</v>
      </c>
      <c r="O124" s="290">
        <v>3016</v>
      </c>
      <c r="P124" s="290">
        <v>3016</v>
      </c>
      <c r="Q124" s="290">
        <v>11627</v>
      </c>
      <c r="R124" s="290">
        <v>11627</v>
      </c>
      <c r="S124" s="290">
        <v>11627</v>
      </c>
      <c r="T124" s="290" t="s">
        <v>986</v>
      </c>
      <c r="U124" s="290">
        <v>2155401</v>
      </c>
      <c r="V124" s="290" t="s">
        <v>986</v>
      </c>
      <c r="W124" s="295" t="s">
        <v>86</v>
      </c>
    </row>
    <row r="125" spans="1:23" s="290" customFormat="1" ht="9.75" customHeight="1" x14ac:dyDescent="0.15">
      <c r="A125" s="559" t="s">
        <v>639</v>
      </c>
      <c r="B125" s="290" t="s">
        <v>986</v>
      </c>
      <c r="C125" s="290">
        <v>42961</v>
      </c>
      <c r="D125" s="290">
        <v>42961</v>
      </c>
      <c r="E125" s="290" t="s">
        <v>986</v>
      </c>
      <c r="F125" s="290" t="s">
        <v>986</v>
      </c>
      <c r="G125" s="290" t="s">
        <v>986</v>
      </c>
      <c r="H125" s="290" t="s">
        <v>986</v>
      </c>
      <c r="I125" s="290" t="s">
        <v>986</v>
      </c>
      <c r="J125" s="290">
        <v>28300</v>
      </c>
      <c r="K125" s="290">
        <v>28300</v>
      </c>
      <c r="L125" s="290" t="s">
        <v>986</v>
      </c>
      <c r="M125" s="290" t="s">
        <v>986</v>
      </c>
      <c r="N125" s="290" t="s">
        <v>986</v>
      </c>
      <c r="O125" s="290">
        <v>2824</v>
      </c>
      <c r="P125" s="290">
        <v>2824</v>
      </c>
      <c r="Q125" s="290">
        <v>23314</v>
      </c>
      <c r="R125" s="290">
        <v>23314</v>
      </c>
      <c r="S125" s="290">
        <v>23314</v>
      </c>
      <c r="T125" s="290" t="s">
        <v>986</v>
      </c>
      <c r="U125" s="290">
        <v>2002151</v>
      </c>
      <c r="V125" s="290" t="s">
        <v>986</v>
      </c>
      <c r="W125" s="295" t="s">
        <v>87</v>
      </c>
    </row>
    <row r="126" spans="1:23" s="290" customFormat="1" ht="9.75" customHeight="1" x14ac:dyDescent="0.15">
      <c r="A126" s="559" t="s">
        <v>993</v>
      </c>
      <c r="B126" s="290" t="s">
        <v>986</v>
      </c>
      <c r="C126" s="290">
        <v>75326</v>
      </c>
      <c r="D126" s="290">
        <v>75326</v>
      </c>
      <c r="E126" s="290" t="s">
        <v>986</v>
      </c>
      <c r="F126" s="290">
        <v>49872</v>
      </c>
      <c r="G126" s="290">
        <v>49872</v>
      </c>
      <c r="H126" s="290" t="s">
        <v>986</v>
      </c>
      <c r="I126" s="290" t="s">
        <v>986</v>
      </c>
      <c r="J126" s="290" t="s">
        <v>986</v>
      </c>
      <c r="K126" s="290" t="s">
        <v>986</v>
      </c>
      <c r="L126" s="290" t="s">
        <v>986</v>
      </c>
      <c r="M126" s="290" t="s">
        <v>986</v>
      </c>
      <c r="N126" s="290" t="s">
        <v>986</v>
      </c>
      <c r="O126" s="290">
        <v>2856</v>
      </c>
      <c r="P126" s="290">
        <v>2856</v>
      </c>
      <c r="Q126" s="290">
        <v>22246</v>
      </c>
      <c r="R126" s="290">
        <v>22246</v>
      </c>
      <c r="S126" s="290">
        <v>22246</v>
      </c>
      <c r="T126" s="290" t="s">
        <v>986</v>
      </c>
      <c r="U126" s="290">
        <v>1859702</v>
      </c>
      <c r="V126" s="290" t="s">
        <v>986</v>
      </c>
      <c r="W126" s="295" t="s">
        <v>994</v>
      </c>
    </row>
    <row r="127" spans="1:23" s="290" customFormat="1" ht="6.75" customHeight="1" x14ac:dyDescent="0.15">
      <c r="A127" s="578"/>
      <c r="W127" s="295"/>
    </row>
    <row r="128" spans="1:23" s="290" customFormat="1" ht="9.75" customHeight="1" x14ac:dyDescent="0.15">
      <c r="A128" s="559" t="s">
        <v>995</v>
      </c>
      <c r="B128" s="290" t="s">
        <v>986</v>
      </c>
      <c r="C128" s="290">
        <v>24460</v>
      </c>
      <c r="D128" s="290">
        <v>24460</v>
      </c>
      <c r="E128" s="290" t="s">
        <v>986</v>
      </c>
      <c r="F128" s="290" t="s">
        <v>986</v>
      </c>
      <c r="G128" s="290" t="s">
        <v>986</v>
      </c>
      <c r="H128" s="290" t="s">
        <v>986</v>
      </c>
      <c r="I128" s="290" t="s">
        <v>986</v>
      </c>
      <c r="J128" s="290">
        <v>42848</v>
      </c>
      <c r="K128" s="290">
        <v>42848</v>
      </c>
      <c r="L128" s="290" t="s">
        <v>986</v>
      </c>
      <c r="M128" s="290" t="s">
        <v>986</v>
      </c>
      <c r="N128" s="290" t="s">
        <v>986</v>
      </c>
      <c r="O128" s="290">
        <v>1640</v>
      </c>
      <c r="P128" s="290">
        <v>1640</v>
      </c>
      <c r="Q128" s="290" t="s">
        <v>986</v>
      </c>
      <c r="R128" s="290" t="s">
        <v>986</v>
      </c>
      <c r="S128" s="290" t="s">
        <v>986</v>
      </c>
      <c r="T128" s="290" t="s">
        <v>986</v>
      </c>
      <c r="U128" s="290">
        <v>473627</v>
      </c>
      <c r="V128" s="290" t="s">
        <v>986</v>
      </c>
      <c r="W128" s="295" t="s">
        <v>778</v>
      </c>
    </row>
    <row r="129" spans="1:23" s="290" customFormat="1" ht="9.75" customHeight="1" x14ac:dyDescent="0.15">
      <c r="A129" s="559" t="s">
        <v>640</v>
      </c>
      <c r="B129" s="290" t="s">
        <v>986</v>
      </c>
      <c r="C129" s="290">
        <v>46400</v>
      </c>
      <c r="D129" s="290">
        <v>46400</v>
      </c>
      <c r="E129" s="290" t="s">
        <v>986</v>
      </c>
      <c r="F129" s="290" t="s">
        <v>986</v>
      </c>
      <c r="G129" s="290" t="s">
        <v>986</v>
      </c>
      <c r="H129" s="290">
        <v>47600</v>
      </c>
      <c r="I129" s="290">
        <v>47600</v>
      </c>
      <c r="J129" s="290">
        <v>28250</v>
      </c>
      <c r="K129" s="290">
        <v>28250</v>
      </c>
      <c r="L129" s="290" t="s">
        <v>986</v>
      </c>
      <c r="M129" s="290" t="s">
        <v>986</v>
      </c>
      <c r="N129" s="290" t="s">
        <v>986</v>
      </c>
      <c r="O129" s="290">
        <v>1636</v>
      </c>
      <c r="P129" s="290">
        <v>1636</v>
      </c>
      <c r="Q129" s="290" t="s">
        <v>986</v>
      </c>
      <c r="R129" s="290" t="s">
        <v>986</v>
      </c>
      <c r="S129" s="290" t="s">
        <v>986</v>
      </c>
      <c r="T129" s="290" t="s">
        <v>986</v>
      </c>
      <c r="U129" s="290">
        <v>576936</v>
      </c>
      <c r="V129" s="290" t="s">
        <v>986</v>
      </c>
      <c r="W129" s="295" t="s">
        <v>73</v>
      </c>
    </row>
    <row r="130" spans="1:23" s="290" customFormat="1" ht="9.75" customHeight="1" x14ac:dyDescent="0.15">
      <c r="A130" s="559" t="s">
        <v>641</v>
      </c>
      <c r="B130" s="290" t="s">
        <v>986</v>
      </c>
      <c r="C130" s="290">
        <v>38500</v>
      </c>
      <c r="D130" s="290" t="s">
        <v>986</v>
      </c>
      <c r="E130" s="290">
        <v>38500</v>
      </c>
      <c r="F130" s="290" t="s">
        <v>986</v>
      </c>
      <c r="G130" s="290" t="s">
        <v>986</v>
      </c>
      <c r="H130" s="290" t="s">
        <v>986</v>
      </c>
      <c r="I130" s="290" t="s">
        <v>986</v>
      </c>
      <c r="J130" s="290">
        <v>22800</v>
      </c>
      <c r="K130" s="290">
        <v>22800</v>
      </c>
      <c r="L130" s="290" t="s">
        <v>986</v>
      </c>
      <c r="M130" s="290" t="s">
        <v>986</v>
      </c>
      <c r="N130" s="290" t="s">
        <v>986</v>
      </c>
      <c r="O130" s="290">
        <v>1756</v>
      </c>
      <c r="P130" s="290">
        <v>1756</v>
      </c>
      <c r="Q130" s="290" t="s">
        <v>986</v>
      </c>
      <c r="R130" s="290" t="s">
        <v>986</v>
      </c>
      <c r="S130" s="290" t="s">
        <v>986</v>
      </c>
      <c r="T130" s="290" t="s">
        <v>986</v>
      </c>
      <c r="U130" s="290">
        <v>713112</v>
      </c>
      <c r="V130" s="290">
        <v>41480</v>
      </c>
      <c r="W130" s="295" t="s">
        <v>74</v>
      </c>
    </row>
    <row r="131" spans="1:23" s="290" customFormat="1" ht="9.75" customHeight="1" x14ac:dyDescent="0.15">
      <c r="A131" s="559" t="s">
        <v>642</v>
      </c>
      <c r="B131" s="290" t="s">
        <v>986</v>
      </c>
      <c r="C131" s="290" t="s">
        <v>986</v>
      </c>
      <c r="D131" s="290" t="s">
        <v>986</v>
      </c>
      <c r="E131" s="290" t="s">
        <v>986</v>
      </c>
      <c r="F131" s="290" t="s">
        <v>986</v>
      </c>
      <c r="G131" s="290" t="s">
        <v>986</v>
      </c>
      <c r="H131" s="290" t="s">
        <v>986</v>
      </c>
      <c r="I131" s="290" t="s">
        <v>986</v>
      </c>
      <c r="J131" s="290" t="s">
        <v>986</v>
      </c>
      <c r="K131" s="290" t="s">
        <v>986</v>
      </c>
      <c r="L131" s="290" t="s">
        <v>986</v>
      </c>
      <c r="M131" s="290" t="s">
        <v>986</v>
      </c>
      <c r="N131" s="290" t="s">
        <v>986</v>
      </c>
      <c r="O131" s="290">
        <v>1488</v>
      </c>
      <c r="P131" s="290">
        <v>1488</v>
      </c>
      <c r="Q131" s="290" t="s">
        <v>986</v>
      </c>
      <c r="R131" s="290" t="s">
        <v>986</v>
      </c>
      <c r="S131" s="290" t="s">
        <v>986</v>
      </c>
      <c r="T131" s="290" t="s">
        <v>986</v>
      </c>
      <c r="U131" s="290">
        <v>689990</v>
      </c>
      <c r="V131" s="290" t="s">
        <v>986</v>
      </c>
      <c r="W131" s="295" t="s">
        <v>75</v>
      </c>
    </row>
    <row r="132" spans="1:23" s="290" customFormat="1" ht="9.75" customHeight="1" x14ac:dyDescent="0.15">
      <c r="A132" s="559" t="s">
        <v>643</v>
      </c>
      <c r="B132" s="290" t="s">
        <v>986</v>
      </c>
      <c r="C132" s="290">
        <v>48304</v>
      </c>
      <c r="D132" s="290">
        <v>48304</v>
      </c>
      <c r="E132" s="290" t="s">
        <v>986</v>
      </c>
      <c r="F132" s="290" t="s">
        <v>986</v>
      </c>
      <c r="G132" s="290" t="s">
        <v>986</v>
      </c>
      <c r="H132" s="290" t="s">
        <v>986</v>
      </c>
      <c r="I132" s="290" t="s">
        <v>986</v>
      </c>
      <c r="J132" s="290" t="s">
        <v>986</v>
      </c>
      <c r="K132" s="290" t="s">
        <v>986</v>
      </c>
      <c r="L132" s="290" t="s">
        <v>986</v>
      </c>
      <c r="M132" s="290" t="s">
        <v>986</v>
      </c>
      <c r="N132" s="290" t="s">
        <v>986</v>
      </c>
      <c r="O132" s="290">
        <v>1290</v>
      </c>
      <c r="P132" s="290">
        <v>1290</v>
      </c>
      <c r="Q132" s="290">
        <v>11620</v>
      </c>
      <c r="R132" s="290">
        <v>11620</v>
      </c>
      <c r="S132" s="290">
        <v>11620</v>
      </c>
      <c r="T132" s="290" t="s">
        <v>986</v>
      </c>
      <c r="U132" s="290">
        <v>705462</v>
      </c>
      <c r="V132" s="290">
        <v>1</v>
      </c>
      <c r="W132" s="295" t="s">
        <v>88</v>
      </c>
    </row>
    <row r="133" spans="1:23" s="290" customFormat="1" ht="9.75" customHeight="1" x14ac:dyDescent="0.15">
      <c r="A133" s="559" t="s">
        <v>644</v>
      </c>
      <c r="B133" s="290" t="s">
        <v>986</v>
      </c>
      <c r="C133" s="290" t="s">
        <v>986</v>
      </c>
      <c r="D133" s="290" t="s">
        <v>986</v>
      </c>
      <c r="E133" s="290" t="s">
        <v>986</v>
      </c>
      <c r="F133" s="290" t="s">
        <v>986</v>
      </c>
      <c r="G133" s="290" t="s">
        <v>986</v>
      </c>
      <c r="H133" s="290" t="s">
        <v>986</v>
      </c>
      <c r="I133" s="290" t="s">
        <v>986</v>
      </c>
      <c r="J133" s="290" t="s">
        <v>986</v>
      </c>
      <c r="K133" s="290" t="s">
        <v>986</v>
      </c>
      <c r="L133" s="290" t="s">
        <v>986</v>
      </c>
      <c r="M133" s="290" t="s">
        <v>986</v>
      </c>
      <c r="N133" s="290" t="s">
        <v>986</v>
      </c>
      <c r="O133" s="290">
        <v>1444</v>
      </c>
      <c r="P133" s="290">
        <v>1444</v>
      </c>
      <c r="Q133" s="290">
        <v>8684</v>
      </c>
      <c r="R133" s="290">
        <v>8684</v>
      </c>
      <c r="S133" s="290">
        <v>8684</v>
      </c>
      <c r="T133" s="290" t="s">
        <v>986</v>
      </c>
      <c r="U133" s="290">
        <v>654556</v>
      </c>
      <c r="V133" s="290">
        <v>50050</v>
      </c>
      <c r="W133" s="295" t="s">
        <v>89</v>
      </c>
    </row>
    <row r="134" spans="1:23" s="290" customFormat="1" ht="9.75" customHeight="1" x14ac:dyDescent="0.15">
      <c r="A134" s="559" t="s">
        <v>645</v>
      </c>
      <c r="B134" s="290" t="s">
        <v>986</v>
      </c>
      <c r="C134" s="290" t="s">
        <v>986</v>
      </c>
      <c r="D134" s="290" t="s">
        <v>986</v>
      </c>
      <c r="E134" s="290" t="s">
        <v>986</v>
      </c>
      <c r="F134" s="290" t="s">
        <v>986</v>
      </c>
      <c r="G134" s="290" t="s">
        <v>986</v>
      </c>
      <c r="H134" s="290" t="s">
        <v>986</v>
      </c>
      <c r="I134" s="290" t="s">
        <v>986</v>
      </c>
      <c r="J134" s="290" t="s">
        <v>986</v>
      </c>
      <c r="K134" s="290" t="s">
        <v>986</v>
      </c>
      <c r="L134" s="290" t="s">
        <v>986</v>
      </c>
      <c r="M134" s="290" t="s">
        <v>986</v>
      </c>
      <c r="N134" s="290" t="s">
        <v>986</v>
      </c>
      <c r="O134" s="290">
        <v>918</v>
      </c>
      <c r="P134" s="290">
        <v>918</v>
      </c>
      <c r="Q134" s="290" t="s">
        <v>986</v>
      </c>
      <c r="R134" s="290" t="s">
        <v>986</v>
      </c>
      <c r="S134" s="290" t="s">
        <v>986</v>
      </c>
      <c r="T134" s="290" t="s">
        <v>986</v>
      </c>
      <c r="U134" s="290">
        <v>736729</v>
      </c>
      <c r="V134" s="290" t="s">
        <v>986</v>
      </c>
      <c r="W134" s="295" t="s">
        <v>90</v>
      </c>
    </row>
    <row r="135" spans="1:23" s="290" customFormat="1" ht="9.75" customHeight="1" x14ac:dyDescent="0.15">
      <c r="A135" s="559" t="s">
        <v>646</v>
      </c>
      <c r="B135" s="290" t="s">
        <v>986</v>
      </c>
      <c r="C135" s="290">
        <v>24977</v>
      </c>
      <c r="D135" s="290">
        <v>24977</v>
      </c>
      <c r="E135" s="290" t="s">
        <v>986</v>
      </c>
      <c r="F135" s="290" t="s">
        <v>986</v>
      </c>
      <c r="G135" s="290" t="s">
        <v>986</v>
      </c>
      <c r="H135" s="290" t="s">
        <v>986</v>
      </c>
      <c r="I135" s="290" t="s">
        <v>986</v>
      </c>
      <c r="J135" s="290" t="s">
        <v>986</v>
      </c>
      <c r="K135" s="290" t="s">
        <v>986</v>
      </c>
      <c r="L135" s="290" t="s">
        <v>986</v>
      </c>
      <c r="M135" s="290" t="s">
        <v>986</v>
      </c>
      <c r="N135" s="290" t="s">
        <v>986</v>
      </c>
      <c r="O135" s="290">
        <v>1012</v>
      </c>
      <c r="P135" s="290">
        <v>1012</v>
      </c>
      <c r="Q135" s="290">
        <v>5764</v>
      </c>
      <c r="R135" s="290">
        <v>5764</v>
      </c>
      <c r="S135" s="290">
        <v>5764</v>
      </c>
      <c r="T135" s="290" t="s">
        <v>986</v>
      </c>
      <c r="U135" s="290">
        <v>682493</v>
      </c>
      <c r="V135" s="290" t="s">
        <v>986</v>
      </c>
      <c r="W135" s="295" t="s">
        <v>91</v>
      </c>
    </row>
    <row r="136" spans="1:23" s="290" customFormat="1" ht="9.75" customHeight="1" x14ac:dyDescent="0.15">
      <c r="A136" s="559" t="s">
        <v>647</v>
      </c>
      <c r="B136" s="290" t="s">
        <v>986</v>
      </c>
      <c r="C136" s="290">
        <v>30150</v>
      </c>
      <c r="D136" s="290">
        <v>30150</v>
      </c>
      <c r="E136" s="290" t="s">
        <v>986</v>
      </c>
      <c r="F136" s="290" t="s">
        <v>986</v>
      </c>
      <c r="G136" s="290" t="s">
        <v>986</v>
      </c>
      <c r="H136" s="290" t="s">
        <v>986</v>
      </c>
      <c r="I136" s="290" t="s">
        <v>986</v>
      </c>
      <c r="J136" s="290">
        <v>50000</v>
      </c>
      <c r="K136" s="290">
        <v>50000</v>
      </c>
      <c r="L136" s="290" t="s">
        <v>986</v>
      </c>
      <c r="M136" s="290" t="s">
        <v>986</v>
      </c>
      <c r="N136" s="290" t="s">
        <v>986</v>
      </c>
      <c r="O136" s="290">
        <v>1086</v>
      </c>
      <c r="P136" s="290">
        <v>1086</v>
      </c>
      <c r="Q136" s="290">
        <v>5863</v>
      </c>
      <c r="R136" s="290">
        <v>5863</v>
      </c>
      <c r="S136" s="290">
        <v>5863</v>
      </c>
      <c r="T136" s="290" t="s">
        <v>986</v>
      </c>
      <c r="U136" s="290">
        <v>736179</v>
      </c>
      <c r="V136" s="290" t="s">
        <v>986</v>
      </c>
      <c r="W136" s="295" t="s">
        <v>92</v>
      </c>
    </row>
    <row r="137" spans="1:23" s="290" customFormat="1" ht="9.75" customHeight="1" x14ac:dyDescent="0.15">
      <c r="A137" s="559" t="s">
        <v>648</v>
      </c>
      <c r="B137" s="290" t="s">
        <v>986</v>
      </c>
      <c r="C137" s="290">
        <v>23982</v>
      </c>
      <c r="D137" s="290">
        <v>23982</v>
      </c>
      <c r="E137" s="290" t="s">
        <v>986</v>
      </c>
      <c r="F137" s="290" t="s">
        <v>986</v>
      </c>
      <c r="G137" s="290" t="s">
        <v>986</v>
      </c>
      <c r="H137" s="290" t="s">
        <v>986</v>
      </c>
      <c r="I137" s="290" t="s">
        <v>986</v>
      </c>
      <c r="J137" s="290" t="s">
        <v>986</v>
      </c>
      <c r="K137" s="290" t="s">
        <v>986</v>
      </c>
      <c r="L137" s="290" t="s">
        <v>986</v>
      </c>
      <c r="M137" s="290" t="s">
        <v>986</v>
      </c>
      <c r="N137" s="290" t="s">
        <v>986</v>
      </c>
      <c r="O137" s="290">
        <v>928</v>
      </c>
      <c r="P137" s="290">
        <v>928</v>
      </c>
      <c r="Q137" s="290">
        <v>5850</v>
      </c>
      <c r="R137" s="290">
        <v>5850</v>
      </c>
      <c r="S137" s="290">
        <v>5850</v>
      </c>
      <c r="T137" s="290" t="s">
        <v>986</v>
      </c>
      <c r="U137" s="290">
        <v>666509</v>
      </c>
      <c r="V137" s="290" t="s">
        <v>986</v>
      </c>
      <c r="W137" s="295" t="s">
        <v>76</v>
      </c>
    </row>
    <row r="138" spans="1:23" s="290" customFormat="1" ht="9.75" customHeight="1" x14ac:dyDescent="0.15">
      <c r="A138" s="559" t="s">
        <v>649</v>
      </c>
      <c r="B138" s="290" t="s">
        <v>986</v>
      </c>
      <c r="C138" s="290" t="s">
        <v>986</v>
      </c>
      <c r="D138" s="290" t="s">
        <v>986</v>
      </c>
      <c r="E138" s="290" t="s">
        <v>986</v>
      </c>
      <c r="F138" s="290" t="s">
        <v>986</v>
      </c>
      <c r="G138" s="290" t="s">
        <v>986</v>
      </c>
      <c r="H138" s="290" t="s">
        <v>986</v>
      </c>
      <c r="I138" s="290" t="s">
        <v>986</v>
      </c>
      <c r="J138" s="290">
        <v>28300</v>
      </c>
      <c r="K138" s="290">
        <v>28300</v>
      </c>
      <c r="L138" s="290" t="s">
        <v>986</v>
      </c>
      <c r="M138" s="290" t="s">
        <v>986</v>
      </c>
      <c r="N138" s="290" t="s">
        <v>986</v>
      </c>
      <c r="O138" s="290">
        <v>974</v>
      </c>
      <c r="P138" s="290">
        <v>974</v>
      </c>
      <c r="Q138" s="290">
        <v>11612</v>
      </c>
      <c r="R138" s="290">
        <v>11612</v>
      </c>
      <c r="S138" s="290">
        <v>11612</v>
      </c>
      <c r="T138" s="290" t="s">
        <v>986</v>
      </c>
      <c r="U138" s="290">
        <v>645125</v>
      </c>
      <c r="V138" s="290" t="s">
        <v>986</v>
      </c>
      <c r="W138" s="295" t="s">
        <v>77</v>
      </c>
    </row>
    <row r="139" spans="1:23" s="290" customFormat="1" ht="9.75" customHeight="1" x14ac:dyDescent="0.15">
      <c r="A139" s="559" t="s">
        <v>650</v>
      </c>
      <c r="B139" s="290" t="s">
        <v>986</v>
      </c>
      <c r="C139" s="290">
        <v>18979</v>
      </c>
      <c r="D139" s="290">
        <v>18979</v>
      </c>
      <c r="E139" s="290" t="s">
        <v>986</v>
      </c>
      <c r="F139" s="290" t="s">
        <v>986</v>
      </c>
      <c r="G139" s="290" t="s">
        <v>986</v>
      </c>
      <c r="H139" s="290" t="s">
        <v>986</v>
      </c>
      <c r="I139" s="290" t="s">
        <v>986</v>
      </c>
      <c r="J139" s="290" t="s">
        <v>986</v>
      </c>
      <c r="K139" s="290" t="s">
        <v>986</v>
      </c>
      <c r="L139" s="290" t="s">
        <v>986</v>
      </c>
      <c r="M139" s="290" t="s">
        <v>986</v>
      </c>
      <c r="N139" s="290" t="s">
        <v>986</v>
      </c>
      <c r="O139" s="290">
        <v>922</v>
      </c>
      <c r="P139" s="290">
        <v>922</v>
      </c>
      <c r="Q139" s="290">
        <v>5852</v>
      </c>
      <c r="R139" s="290">
        <v>5852</v>
      </c>
      <c r="S139" s="290">
        <v>5852</v>
      </c>
      <c r="T139" s="290" t="s">
        <v>986</v>
      </c>
      <c r="U139" s="290">
        <v>690517</v>
      </c>
      <c r="V139" s="290" t="s">
        <v>986</v>
      </c>
      <c r="W139" s="295" t="s">
        <v>78</v>
      </c>
    </row>
    <row r="140" spans="1:23" s="290" customFormat="1" ht="9.75" customHeight="1" x14ac:dyDescent="0.15">
      <c r="A140" s="559" t="s">
        <v>996</v>
      </c>
      <c r="B140" s="290" t="s">
        <v>986</v>
      </c>
      <c r="C140" s="290">
        <v>23685</v>
      </c>
      <c r="D140" s="290">
        <v>23685</v>
      </c>
      <c r="E140" s="290" t="s">
        <v>986</v>
      </c>
      <c r="F140" s="290" t="s">
        <v>986</v>
      </c>
      <c r="G140" s="290" t="s">
        <v>986</v>
      </c>
      <c r="H140" s="290" t="s">
        <v>986</v>
      </c>
      <c r="I140" s="290" t="s">
        <v>986</v>
      </c>
      <c r="J140" s="290" t="s">
        <v>986</v>
      </c>
      <c r="K140" s="290" t="s">
        <v>986</v>
      </c>
      <c r="L140" s="290" t="s">
        <v>986</v>
      </c>
      <c r="M140" s="290" t="s">
        <v>986</v>
      </c>
      <c r="N140" s="290" t="s">
        <v>986</v>
      </c>
      <c r="O140" s="290">
        <v>958</v>
      </c>
      <c r="P140" s="290">
        <v>958</v>
      </c>
      <c r="Q140" s="290">
        <v>11624</v>
      </c>
      <c r="R140" s="290">
        <v>11624</v>
      </c>
      <c r="S140" s="290">
        <v>11624</v>
      </c>
      <c r="T140" s="290" t="s">
        <v>986</v>
      </c>
      <c r="U140" s="290">
        <v>633647</v>
      </c>
      <c r="V140" s="290" t="s">
        <v>986</v>
      </c>
      <c r="W140" s="295" t="s">
        <v>997</v>
      </c>
    </row>
    <row r="141" spans="1:23" s="290" customFormat="1" ht="9.75" customHeight="1" x14ac:dyDescent="0.15">
      <c r="A141" s="559" t="s">
        <v>651</v>
      </c>
      <c r="B141" s="290" t="s">
        <v>986</v>
      </c>
      <c r="C141" s="290">
        <v>23486</v>
      </c>
      <c r="D141" s="290">
        <v>23486</v>
      </c>
      <c r="E141" s="290" t="s">
        <v>986</v>
      </c>
      <c r="F141" s="290" t="s">
        <v>986</v>
      </c>
      <c r="G141" s="290" t="s">
        <v>986</v>
      </c>
      <c r="H141" s="290" t="s">
        <v>986</v>
      </c>
      <c r="I141" s="290" t="s">
        <v>986</v>
      </c>
      <c r="J141" s="290" t="s">
        <v>986</v>
      </c>
      <c r="K141" s="290" t="s">
        <v>986</v>
      </c>
      <c r="L141" s="290" t="s">
        <v>986</v>
      </c>
      <c r="M141" s="290" t="s">
        <v>986</v>
      </c>
      <c r="N141" s="290" t="s">
        <v>986</v>
      </c>
      <c r="O141" s="290">
        <v>966</v>
      </c>
      <c r="P141" s="290">
        <v>966</v>
      </c>
      <c r="Q141" s="290">
        <v>4770</v>
      </c>
      <c r="R141" s="290">
        <v>4770</v>
      </c>
      <c r="S141" s="290">
        <v>4770</v>
      </c>
      <c r="T141" s="290" t="s">
        <v>986</v>
      </c>
      <c r="U141" s="290">
        <v>581056</v>
      </c>
      <c r="V141" s="290" t="s">
        <v>986</v>
      </c>
      <c r="W141" s="295" t="s">
        <v>73</v>
      </c>
    </row>
    <row r="142" spans="1:23" s="290" customFormat="1" ht="9.75" customHeight="1" x14ac:dyDescent="0.15">
      <c r="A142" s="560" t="s">
        <v>652</v>
      </c>
      <c r="B142" s="294" t="s">
        <v>986</v>
      </c>
      <c r="C142" s="293">
        <v>28155</v>
      </c>
      <c r="D142" s="293">
        <v>28155</v>
      </c>
      <c r="E142" s="293" t="s">
        <v>986</v>
      </c>
      <c r="F142" s="293">
        <v>49872</v>
      </c>
      <c r="G142" s="293">
        <v>49872</v>
      </c>
      <c r="H142" s="293" t="s">
        <v>986</v>
      </c>
      <c r="I142" s="293" t="s">
        <v>986</v>
      </c>
      <c r="J142" s="293" t="s">
        <v>986</v>
      </c>
      <c r="K142" s="293" t="s">
        <v>986</v>
      </c>
      <c r="L142" s="293" t="s">
        <v>986</v>
      </c>
      <c r="M142" s="293" t="s">
        <v>986</v>
      </c>
      <c r="N142" s="293" t="s">
        <v>986</v>
      </c>
      <c r="O142" s="293">
        <v>932</v>
      </c>
      <c r="P142" s="293">
        <v>932</v>
      </c>
      <c r="Q142" s="293">
        <v>5852</v>
      </c>
      <c r="R142" s="293">
        <v>5852</v>
      </c>
      <c r="S142" s="293">
        <v>5852</v>
      </c>
      <c r="T142" s="293" t="s">
        <v>986</v>
      </c>
      <c r="U142" s="293">
        <v>644999</v>
      </c>
      <c r="V142" s="293" t="s">
        <v>986</v>
      </c>
      <c r="W142" s="291" t="s">
        <v>74</v>
      </c>
    </row>
    <row r="143" spans="1:23" ht="12" customHeight="1" x14ac:dyDescent="0.15"/>
    <row r="144" spans="1:23" ht="12" customHeight="1" x14ac:dyDescent="0.15"/>
    <row r="145" spans="1:23" ht="12" customHeight="1" x14ac:dyDescent="0.15">
      <c r="K145" s="299" t="s">
        <v>93</v>
      </c>
      <c r="V145" s="302" t="s">
        <v>858</v>
      </c>
    </row>
    <row r="146" spans="1:23" s="297" customFormat="1" ht="21" customHeight="1" x14ac:dyDescent="0.15">
      <c r="A146" s="1053" t="s">
        <v>172</v>
      </c>
      <c r="B146" s="832" t="s">
        <v>338</v>
      </c>
      <c r="C146" s="827"/>
      <c r="D146" s="827"/>
      <c r="E146" s="827"/>
      <c r="F146" s="827"/>
      <c r="G146" s="827"/>
      <c r="H146" s="827"/>
      <c r="I146" s="827"/>
      <c r="J146" s="827"/>
      <c r="K146" s="827"/>
      <c r="L146" s="827"/>
      <c r="M146" s="827"/>
      <c r="N146" s="827"/>
      <c r="O146" s="827"/>
      <c r="P146" s="827"/>
      <c r="Q146" s="827"/>
      <c r="R146" s="827"/>
      <c r="S146" s="827"/>
      <c r="T146" s="827"/>
      <c r="U146" s="827"/>
      <c r="V146" s="827"/>
      <c r="W146" s="1056" t="s">
        <v>79</v>
      </c>
    </row>
    <row r="147" spans="1:23" s="297" customFormat="1" ht="21" customHeight="1" x14ac:dyDescent="0.15">
      <c r="A147" s="1054"/>
      <c r="B147" s="832" t="s">
        <v>260</v>
      </c>
      <c r="C147" s="827"/>
      <c r="D147" s="827"/>
      <c r="E147" s="827"/>
      <c r="F147" s="827"/>
      <c r="G147" s="827"/>
      <c r="H147" s="834"/>
      <c r="I147" s="826" t="s">
        <v>259</v>
      </c>
      <c r="J147" s="834"/>
      <c r="K147" s="826" t="s">
        <v>258</v>
      </c>
      <c r="L147" s="827"/>
      <c r="M147" s="827"/>
      <c r="N147" s="827"/>
      <c r="O147" s="834"/>
      <c r="P147" s="826" t="s">
        <v>257</v>
      </c>
      <c r="Q147" s="827"/>
      <c r="R147" s="827"/>
      <c r="S147" s="834"/>
      <c r="T147" s="826" t="s">
        <v>242</v>
      </c>
      <c r="U147" s="834"/>
      <c r="V147" s="826" t="s">
        <v>241</v>
      </c>
      <c r="W147" s="1057"/>
    </row>
    <row r="148" spans="1:23" s="297" customFormat="1" ht="52.5" customHeight="1" x14ac:dyDescent="0.15">
      <c r="A148" s="1055"/>
      <c r="B148" s="298" t="s">
        <v>256</v>
      </c>
      <c r="C148" s="298" t="s">
        <v>852</v>
      </c>
      <c r="D148" s="298" t="s">
        <v>277</v>
      </c>
      <c r="E148" s="298" t="s">
        <v>255</v>
      </c>
      <c r="F148" s="298" t="s">
        <v>254</v>
      </c>
      <c r="G148" s="298" t="s">
        <v>303</v>
      </c>
      <c r="H148" s="301" t="s">
        <v>853</v>
      </c>
      <c r="I148" s="696" t="s">
        <v>101</v>
      </c>
      <c r="J148" s="301" t="s">
        <v>854</v>
      </c>
      <c r="K148" s="696" t="s">
        <v>855</v>
      </c>
      <c r="L148" s="298" t="s">
        <v>273</v>
      </c>
      <c r="M148" s="298" t="s">
        <v>244</v>
      </c>
      <c r="N148" s="298" t="s">
        <v>266</v>
      </c>
      <c r="O148" s="298" t="s">
        <v>872</v>
      </c>
      <c r="P148" s="696" t="s">
        <v>856</v>
      </c>
      <c r="Q148" s="298" t="s">
        <v>318</v>
      </c>
      <c r="R148" s="298" t="s">
        <v>243</v>
      </c>
      <c r="S148" s="298" t="s">
        <v>317</v>
      </c>
      <c r="T148" s="696" t="s">
        <v>857</v>
      </c>
      <c r="U148" s="298" t="s">
        <v>859</v>
      </c>
      <c r="V148" s="695" t="s">
        <v>860</v>
      </c>
      <c r="W148" s="1058"/>
    </row>
    <row r="149" spans="1:23" s="290" customFormat="1" ht="9.75" customHeight="1" x14ac:dyDescent="0.15">
      <c r="A149" s="828" t="s">
        <v>985</v>
      </c>
      <c r="B149" s="829">
        <v>100706</v>
      </c>
      <c r="C149" s="830">
        <v>215890</v>
      </c>
      <c r="D149" s="830">
        <v>149675</v>
      </c>
      <c r="E149" s="830" t="s">
        <v>986</v>
      </c>
      <c r="F149" s="830">
        <v>50000</v>
      </c>
      <c r="G149" s="830">
        <v>16000</v>
      </c>
      <c r="H149" s="830" t="s">
        <v>986</v>
      </c>
      <c r="I149" s="830" t="s">
        <v>986</v>
      </c>
      <c r="J149" s="830" t="s">
        <v>986</v>
      </c>
      <c r="K149" s="830">
        <v>1619878</v>
      </c>
      <c r="L149" s="830">
        <v>63300</v>
      </c>
      <c r="M149" s="830">
        <v>1510278</v>
      </c>
      <c r="N149" s="830">
        <v>46300</v>
      </c>
      <c r="O149" s="830" t="s">
        <v>986</v>
      </c>
      <c r="P149" s="830">
        <v>220829</v>
      </c>
      <c r="Q149" s="830">
        <v>49203</v>
      </c>
      <c r="R149" s="830">
        <v>21650</v>
      </c>
      <c r="S149" s="830">
        <v>149976</v>
      </c>
      <c r="T149" s="830" t="s">
        <v>986</v>
      </c>
      <c r="U149" s="830" t="s">
        <v>986</v>
      </c>
      <c r="V149" s="830">
        <v>946409</v>
      </c>
      <c r="W149" s="831" t="s">
        <v>485</v>
      </c>
    </row>
    <row r="150" spans="1:23" s="290" customFormat="1" ht="9.75" customHeight="1" x14ac:dyDescent="0.15">
      <c r="A150" s="559" t="s">
        <v>634</v>
      </c>
      <c r="B150" s="290">
        <v>99963</v>
      </c>
      <c r="C150" s="290">
        <v>50002</v>
      </c>
      <c r="D150" s="290">
        <v>47600</v>
      </c>
      <c r="E150" s="290">
        <v>8340</v>
      </c>
      <c r="F150" s="290" t="s">
        <v>986</v>
      </c>
      <c r="G150" s="290" t="s">
        <v>986</v>
      </c>
      <c r="H150" s="290" t="s">
        <v>986</v>
      </c>
      <c r="I150" s="290">
        <v>129080</v>
      </c>
      <c r="J150" s="290">
        <v>129080</v>
      </c>
      <c r="K150" s="290">
        <v>747389</v>
      </c>
      <c r="L150" s="290" t="s">
        <v>986</v>
      </c>
      <c r="M150" s="290">
        <v>747389</v>
      </c>
      <c r="N150" s="290" t="s">
        <v>986</v>
      </c>
      <c r="O150" s="290" t="s">
        <v>986</v>
      </c>
      <c r="P150" s="290" t="s">
        <v>986</v>
      </c>
      <c r="Q150" s="290" t="s">
        <v>986</v>
      </c>
      <c r="R150" s="290" t="s">
        <v>986</v>
      </c>
      <c r="S150" s="290" t="s">
        <v>986</v>
      </c>
      <c r="T150" s="290" t="s">
        <v>986</v>
      </c>
      <c r="U150" s="290" t="s">
        <v>986</v>
      </c>
      <c r="V150" s="290">
        <v>215645</v>
      </c>
      <c r="W150" s="295" t="s">
        <v>588</v>
      </c>
    </row>
    <row r="151" spans="1:23" s="290" customFormat="1" ht="9.75" customHeight="1" x14ac:dyDescent="0.15">
      <c r="A151" s="559" t="s">
        <v>635</v>
      </c>
      <c r="B151" s="290">
        <v>364723</v>
      </c>
      <c r="C151" s="290">
        <v>32602</v>
      </c>
      <c r="D151" s="290">
        <v>160014</v>
      </c>
      <c r="E151" s="290">
        <v>85352</v>
      </c>
      <c r="F151" s="290">
        <v>120011</v>
      </c>
      <c r="G151" s="290" t="s">
        <v>986</v>
      </c>
      <c r="H151" s="290" t="s">
        <v>986</v>
      </c>
      <c r="I151" s="290" t="s">
        <v>986</v>
      </c>
      <c r="J151" s="290" t="s">
        <v>986</v>
      </c>
      <c r="K151" s="290">
        <v>542189</v>
      </c>
      <c r="L151" s="290" t="s">
        <v>986</v>
      </c>
      <c r="M151" s="290">
        <v>542189</v>
      </c>
      <c r="N151" s="290" t="s">
        <v>986</v>
      </c>
      <c r="O151" s="290" t="s">
        <v>986</v>
      </c>
      <c r="P151" s="290" t="s">
        <v>986</v>
      </c>
      <c r="Q151" s="290" t="s">
        <v>986</v>
      </c>
      <c r="R151" s="290" t="s">
        <v>986</v>
      </c>
      <c r="S151" s="290" t="s">
        <v>986</v>
      </c>
      <c r="T151" s="290">
        <v>22600</v>
      </c>
      <c r="U151" s="290">
        <v>22600</v>
      </c>
      <c r="V151" s="290">
        <v>144218</v>
      </c>
      <c r="W151" s="295" t="s">
        <v>636</v>
      </c>
    </row>
    <row r="152" spans="1:23" s="290" customFormat="1" ht="9.75" customHeight="1" x14ac:dyDescent="0.15">
      <c r="A152" s="559" t="s">
        <v>774</v>
      </c>
      <c r="B152" s="290">
        <v>49785</v>
      </c>
      <c r="C152" s="290">
        <v>71204</v>
      </c>
      <c r="D152" s="290">
        <v>167166</v>
      </c>
      <c r="E152" s="290">
        <v>178382</v>
      </c>
      <c r="F152" s="290">
        <v>99928</v>
      </c>
      <c r="G152" s="290" t="s">
        <v>986</v>
      </c>
      <c r="H152" s="290" t="s">
        <v>986</v>
      </c>
      <c r="I152" s="290">
        <v>72400</v>
      </c>
      <c r="J152" s="290">
        <v>72400</v>
      </c>
      <c r="K152" s="290">
        <v>1166887</v>
      </c>
      <c r="L152" s="290">
        <v>11502</v>
      </c>
      <c r="M152" s="290">
        <v>1105400</v>
      </c>
      <c r="N152" s="290" t="s">
        <v>986</v>
      </c>
      <c r="O152" s="290">
        <v>49985</v>
      </c>
      <c r="P152" s="290">
        <v>50000</v>
      </c>
      <c r="Q152" s="290" t="s">
        <v>986</v>
      </c>
      <c r="R152" s="290" t="s">
        <v>986</v>
      </c>
      <c r="S152" s="290">
        <v>50000</v>
      </c>
      <c r="T152" s="290">
        <v>47468</v>
      </c>
      <c r="U152" s="290">
        <v>47468</v>
      </c>
      <c r="V152" s="290">
        <v>206364</v>
      </c>
      <c r="W152" s="295" t="s">
        <v>775</v>
      </c>
    </row>
    <row r="153" spans="1:23" s="290" customFormat="1" ht="9.75" customHeight="1" x14ac:dyDescent="0.15">
      <c r="A153" s="559" t="s">
        <v>987</v>
      </c>
      <c r="B153" s="290" t="s">
        <v>986</v>
      </c>
      <c r="C153" s="290" t="s">
        <v>986</v>
      </c>
      <c r="D153" s="290">
        <v>41402</v>
      </c>
      <c r="E153" s="290">
        <v>50050</v>
      </c>
      <c r="F153" s="290">
        <v>1</v>
      </c>
      <c r="G153" s="290" t="s">
        <v>986</v>
      </c>
      <c r="H153" s="290">
        <v>78</v>
      </c>
      <c r="I153" s="290">
        <v>50050</v>
      </c>
      <c r="J153" s="290">
        <v>50050</v>
      </c>
      <c r="K153" s="290">
        <v>634998</v>
      </c>
      <c r="L153" s="290">
        <v>235250</v>
      </c>
      <c r="M153" s="290">
        <v>399748</v>
      </c>
      <c r="N153" s="290" t="s">
        <v>986</v>
      </c>
      <c r="O153" s="290" t="s">
        <v>986</v>
      </c>
      <c r="P153" s="290">
        <v>141330</v>
      </c>
      <c r="Q153" s="290" t="s">
        <v>986</v>
      </c>
      <c r="R153" s="290" t="s">
        <v>986</v>
      </c>
      <c r="S153" s="290">
        <v>141330</v>
      </c>
      <c r="T153" s="290" t="s">
        <v>986</v>
      </c>
      <c r="U153" s="290" t="s">
        <v>986</v>
      </c>
      <c r="V153" s="290">
        <v>23350</v>
      </c>
      <c r="W153" s="295" t="s">
        <v>988</v>
      </c>
    </row>
    <row r="154" spans="1:23" s="290" customFormat="1" ht="6.75" customHeight="1" x14ac:dyDescent="0.15">
      <c r="A154" s="578"/>
      <c r="W154" s="295"/>
    </row>
    <row r="155" spans="1:23" s="290" customFormat="1" ht="9.75" customHeight="1" x14ac:dyDescent="0.15">
      <c r="A155" s="559" t="s">
        <v>989</v>
      </c>
      <c r="B155" s="290">
        <v>49785</v>
      </c>
      <c r="C155" s="290">
        <v>33902</v>
      </c>
      <c r="D155" s="290">
        <v>208568</v>
      </c>
      <c r="E155" s="290">
        <v>140382</v>
      </c>
      <c r="F155" s="290">
        <v>99928</v>
      </c>
      <c r="G155" s="290" t="s">
        <v>986</v>
      </c>
      <c r="H155" s="290">
        <v>78</v>
      </c>
      <c r="I155" s="290">
        <v>72400</v>
      </c>
      <c r="J155" s="290">
        <v>72400</v>
      </c>
      <c r="K155" s="290">
        <v>1362727</v>
      </c>
      <c r="L155" s="290">
        <v>61428</v>
      </c>
      <c r="M155" s="290">
        <v>1251314</v>
      </c>
      <c r="N155" s="290" t="s">
        <v>986</v>
      </c>
      <c r="O155" s="290">
        <v>49985</v>
      </c>
      <c r="P155" s="290">
        <v>50000</v>
      </c>
      <c r="Q155" s="290" t="s">
        <v>986</v>
      </c>
      <c r="R155" s="290" t="s">
        <v>986</v>
      </c>
      <c r="S155" s="290">
        <v>50000</v>
      </c>
      <c r="T155" s="290" t="s">
        <v>986</v>
      </c>
      <c r="U155" s="290" t="s">
        <v>986</v>
      </c>
      <c r="V155" s="290">
        <v>134850</v>
      </c>
      <c r="W155" s="295" t="s">
        <v>776</v>
      </c>
    </row>
    <row r="156" spans="1:23" s="290" customFormat="1" ht="9.75" customHeight="1" x14ac:dyDescent="0.15">
      <c r="A156" s="559" t="s">
        <v>990</v>
      </c>
      <c r="B156" s="290" t="s">
        <v>986</v>
      </c>
      <c r="C156" s="290" t="s">
        <v>986</v>
      </c>
      <c r="D156" s="290" t="s">
        <v>986</v>
      </c>
      <c r="E156" s="290">
        <v>50050</v>
      </c>
      <c r="F156" s="290">
        <v>1</v>
      </c>
      <c r="G156" s="290" t="s">
        <v>986</v>
      </c>
      <c r="H156" s="290" t="s">
        <v>986</v>
      </c>
      <c r="I156" s="290">
        <v>50050</v>
      </c>
      <c r="J156" s="290">
        <v>50050</v>
      </c>
      <c r="K156" s="290">
        <v>350292</v>
      </c>
      <c r="L156" s="290">
        <v>185324</v>
      </c>
      <c r="M156" s="290">
        <v>164968</v>
      </c>
      <c r="N156" s="290" t="s">
        <v>986</v>
      </c>
      <c r="O156" s="290" t="s">
        <v>986</v>
      </c>
      <c r="P156" s="290">
        <v>141330</v>
      </c>
      <c r="Q156" s="290" t="s">
        <v>986</v>
      </c>
      <c r="R156" s="290" t="s">
        <v>986</v>
      </c>
      <c r="S156" s="290">
        <v>141330</v>
      </c>
      <c r="T156" s="290" t="s">
        <v>986</v>
      </c>
      <c r="U156" s="290" t="s">
        <v>986</v>
      </c>
      <c r="V156" s="290">
        <v>23350</v>
      </c>
      <c r="W156" s="295" t="s">
        <v>991</v>
      </c>
    </row>
    <row r="157" spans="1:23" s="290" customFormat="1" ht="6.75" customHeight="1" x14ac:dyDescent="0.15">
      <c r="A157" s="578"/>
      <c r="W157" s="295"/>
    </row>
    <row r="158" spans="1:23" s="290" customFormat="1" ht="9.75" customHeight="1" x14ac:dyDescent="0.15">
      <c r="A158" s="559" t="s">
        <v>992</v>
      </c>
      <c r="B158" s="290" t="s">
        <v>986</v>
      </c>
      <c r="C158" s="290" t="s">
        <v>986</v>
      </c>
      <c r="D158" s="290">
        <v>41402</v>
      </c>
      <c r="E158" s="290" t="s">
        <v>986</v>
      </c>
      <c r="F158" s="290" t="s">
        <v>986</v>
      </c>
      <c r="G158" s="290" t="s">
        <v>986</v>
      </c>
      <c r="H158" s="290">
        <v>78</v>
      </c>
      <c r="I158" s="290" t="s">
        <v>986</v>
      </c>
      <c r="J158" s="290" t="s">
        <v>986</v>
      </c>
      <c r="K158" s="290">
        <v>284706</v>
      </c>
      <c r="L158" s="290">
        <v>49926</v>
      </c>
      <c r="M158" s="290">
        <v>234780</v>
      </c>
      <c r="N158" s="290" t="s">
        <v>986</v>
      </c>
      <c r="O158" s="290" t="s">
        <v>986</v>
      </c>
      <c r="P158" s="290" t="s">
        <v>986</v>
      </c>
      <c r="Q158" s="290" t="s">
        <v>986</v>
      </c>
      <c r="R158" s="290" t="s">
        <v>986</v>
      </c>
      <c r="S158" s="290" t="s">
        <v>986</v>
      </c>
      <c r="T158" s="290" t="s">
        <v>986</v>
      </c>
      <c r="U158" s="290" t="s">
        <v>986</v>
      </c>
      <c r="V158" s="290" t="s">
        <v>986</v>
      </c>
      <c r="W158" s="295" t="s">
        <v>777</v>
      </c>
    </row>
    <row r="159" spans="1:23" s="290" customFormat="1" ht="9.75" customHeight="1" x14ac:dyDescent="0.15">
      <c r="A159" s="559" t="s">
        <v>637</v>
      </c>
      <c r="B159" s="290" t="s">
        <v>986</v>
      </c>
      <c r="C159" s="290" t="s">
        <v>986</v>
      </c>
      <c r="D159" s="290" t="s">
        <v>986</v>
      </c>
      <c r="E159" s="290">
        <v>50050</v>
      </c>
      <c r="F159" s="290">
        <v>1</v>
      </c>
      <c r="G159" s="290" t="s">
        <v>986</v>
      </c>
      <c r="H159" s="290" t="s">
        <v>986</v>
      </c>
      <c r="I159" s="290">
        <v>50050</v>
      </c>
      <c r="J159" s="290">
        <v>50050</v>
      </c>
      <c r="K159" s="290">
        <v>148855</v>
      </c>
      <c r="L159" s="290">
        <v>86512</v>
      </c>
      <c r="M159" s="290">
        <v>62343</v>
      </c>
      <c r="N159" s="290" t="s">
        <v>986</v>
      </c>
      <c r="O159" s="290" t="s">
        <v>986</v>
      </c>
      <c r="P159" s="290">
        <v>49953</v>
      </c>
      <c r="Q159" s="290" t="s">
        <v>986</v>
      </c>
      <c r="R159" s="290" t="s">
        <v>986</v>
      </c>
      <c r="S159" s="290">
        <v>49953</v>
      </c>
      <c r="T159" s="290" t="s">
        <v>986</v>
      </c>
      <c r="U159" s="290" t="s">
        <v>986</v>
      </c>
      <c r="V159" s="290">
        <v>23350</v>
      </c>
      <c r="W159" s="295" t="s">
        <v>85</v>
      </c>
    </row>
    <row r="160" spans="1:23" s="290" customFormat="1" ht="9.75" customHeight="1" x14ac:dyDescent="0.15">
      <c r="A160" s="559" t="s">
        <v>638</v>
      </c>
      <c r="B160" s="290" t="s">
        <v>986</v>
      </c>
      <c r="C160" s="290" t="s">
        <v>986</v>
      </c>
      <c r="D160" s="290" t="s">
        <v>986</v>
      </c>
      <c r="E160" s="290" t="s">
        <v>986</v>
      </c>
      <c r="F160" s="290" t="s">
        <v>986</v>
      </c>
      <c r="G160" s="290" t="s">
        <v>986</v>
      </c>
      <c r="H160" s="290" t="s">
        <v>986</v>
      </c>
      <c r="I160" s="290" t="s">
        <v>986</v>
      </c>
      <c r="J160" s="290" t="s">
        <v>986</v>
      </c>
      <c r="K160" s="290">
        <v>201437</v>
      </c>
      <c r="L160" s="290">
        <v>98812</v>
      </c>
      <c r="M160" s="290">
        <v>102625</v>
      </c>
      <c r="N160" s="290" t="s">
        <v>986</v>
      </c>
      <c r="O160" s="290" t="s">
        <v>986</v>
      </c>
      <c r="P160" s="290">
        <v>41402</v>
      </c>
      <c r="Q160" s="290" t="s">
        <v>986</v>
      </c>
      <c r="R160" s="290" t="s">
        <v>986</v>
      </c>
      <c r="S160" s="290">
        <v>41402</v>
      </c>
      <c r="T160" s="290" t="s">
        <v>986</v>
      </c>
      <c r="U160" s="290" t="s">
        <v>986</v>
      </c>
      <c r="V160" s="290" t="s">
        <v>986</v>
      </c>
      <c r="W160" s="295" t="s">
        <v>86</v>
      </c>
    </row>
    <row r="161" spans="1:23" s="290" customFormat="1" ht="9.75" customHeight="1" x14ac:dyDescent="0.15">
      <c r="A161" s="559" t="s">
        <v>639</v>
      </c>
      <c r="B161" s="290" t="s">
        <v>986</v>
      </c>
      <c r="C161" s="290" t="s">
        <v>986</v>
      </c>
      <c r="D161" s="290" t="s">
        <v>986</v>
      </c>
      <c r="E161" s="290" t="s">
        <v>986</v>
      </c>
      <c r="F161" s="290" t="s">
        <v>986</v>
      </c>
      <c r="G161" s="290" t="s">
        <v>986</v>
      </c>
      <c r="H161" s="290" t="s">
        <v>986</v>
      </c>
      <c r="I161" s="290" t="s">
        <v>986</v>
      </c>
      <c r="J161" s="290" t="s">
        <v>986</v>
      </c>
      <c r="K161" s="290" t="s">
        <v>986</v>
      </c>
      <c r="L161" s="290" t="s">
        <v>986</v>
      </c>
      <c r="M161" s="290" t="s">
        <v>986</v>
      </c>
      <c r="N161" s="290" t="s">
        <v>986</v>
      </c>
      <c r="O161" s="290" t="s">
        <v>986</v>
      </c>
      <c r="P161" s="290">
        <v>49975</v>
      </c>
      <c r="Q161" s="290" t="s">
        <v>986</v>
      </c>
      <c r="R161" s="290" t="s">
        <v>986</v>
      </c>
      <c r="S161" s="290">
        <v>49975</v>
      </c>
      <c r="T161" s="290" t="s">
        <v>986</v>
      </c>
      <c r="U161" s="290" t="s">
        <v>986</v>
      </c>
      <c r="V161" s="290" t="s">
        <v>986</v>
      </c>
      <c r="W161" s="295" t="s">
        <v>87</v>
      </c>
    </row>
    <row r="162" spans="1:23" s="290" customFormat="1" ht="9.75" customHeight="1" x14ac:dyDescent="0.15">
      <c r="A162" s="559" t="s">
        <v>993</v>
      </c>
      <c r="B162" s="290" t="s">
        <v>986</v>
      </c>
      <c r="C162" s="290" t="s">
        <v>986</v>
      </c>
      <c r="D162" s="290" t="s">
        <v>986</v>
      </c>
      <c r="E162" s="290" t="s">
        <v>986</v>
      </c>
      <c r="F162" s="290" t="s">
        <v>986</v>
      </c>
      <c r="G162" s="290" t="s">
        <v>986</v>
      </c>
      <c r="H162" s="290" t="s">
        <v>986</v>
      </c>
      <c r="I162" s="290" t="s">
        <v>986</v>
      </c>
      <c r="J162" s="290" t="s">
        <v>986</v>
      </c>
      <c r="K162" s="290" t="s">
        <v>986</v>
      </c>
      <c r="L162" s="290" t="s">
        <v>986</v>
      </c>
      <c r="M162" s="290" t="s">
        <v>986</v>
      </c>
      <c r="N162" s="290" t="s">
        <v>986</v>
      </c>
      <c r="O162" s="290" t="s">
        <v>986</v>
      </c>
      <c r="P162" s="290" t="s">
        <v>986</v>
      </c>
      <c r="Q162" s="290" t="s">
        <v>986</v>
      </c>
      <c r="R162" s="290" t="s">
        <v>986</v>
      </c>
      <c r="S162" s="290" t="s">
        <v>986</v>
      </c>
      <c r="T162" s="290" t="s">
        <v>986</v>
      </c>
      <c r="U162" s="290" t="s">
        <v>986</v>
      </c>
      <c r="V162" s="290" t="s">
        <v>986</v>
      </c>
      <c r="W162" s="295" t="s">
        <v>994</v>
      </c>
    </row>
    <row r="163" spans="1:23" s="290" customFormat="1" ht="6.75" customHeight="1" x14ac:dyDescent="0.15">
      <c r="A163" s="578"/>
      <c r="W163" s="295"/>
    </row>
    <row r="164" spans="1:23" s="290" customFormat="1" ht="9.75" customHeight="1" x14ac:dyDescent="0.15">
      <c r="A164" s="559" t="s">
        <v>995</v>
      </c>
      <c r="B164" s="290" t="s">
        <v>986</v>
      </c>
      <c r="C164" s="290" t="s">
        <v>986</v>
      </c>
      <c r="D164" s="290" t="s">
        <v>986</v>
      </c>
      <c r="E164" s="290" t="s">
        <v>986</v>
      </c>
      <c r="F164" s="290" t="s">
        <v>986</v>
      </c>
      <c r="G164" s="290" t="s">
        <v>986</v>
      </c>
      <c r="H164" s="290" t="s">
        <v>986</v>
      </c>
      <c r="I164" s="290" t="s">
        <v>986</v>
      </c>
      <c r="J164" s="290" t="s">
        <v>986</v>
      </c>
      <c r="K164" s="290" t="s">
        <v>986</v>
      </c>
      <c r="L164" s="290" t="s">
        <v>986</v>
      </c>
      <c r="M164" s="290" t="s">
        <v>986</v>
      </c>
      <c r="N164" s="290" t="s">
        <v>986</v>
      </c>
      <c r="O164" s="290" t="s">
        <v>986</v>
      </c>
      <c r="P164" s="290" t="s">
        <v>986</v>
      </c>
      <c r="Q164" s="290" t="s">
        <v>986</v>
      </c>
      <c r="R164" s="290" t="s">
        <v>986</v>
      </c>
      <c r="S164" s="290" t="s">
        <v>986</v>
      </c>
      <c r="T164" s="290" t="s">
        <v>986</v>
      </c>
      <c r="U164" s="290" t="s">
        <v>986</v>
      </c>
      <c r="V164" s="290" t="s">
        <v>986</v>
      </c>
      <c r="W164" s="295" t="s">
        <v>778</v>
      </c>
    </row>
    <row r="165" spans="1:23" s="290" customFormat="1" ht="9.75" customHeight="1" x14ac:dyDescent="0.15">
      <c r="A165" s="559" t="s">
        <v>640</v>
      </c>
      <c r="B165" s="290" t="s">
        <v>986</v>
      </c>
      <c r="C165" s="290" t="s">
        <v>986</v>
      </c>
      <c r="D165" s="290" t="s">
        <v>986</v>
      </c>
      <c r="E165" s="290" t="s">
        <v>986</v>
      </c>
      <c r="F165" s="290" t="s">
        <v>986</v>
      </c>
      <c r="G165" s="290" t="s">
        <v>986</v>
      </c>
      <c r="H165" s="290" t="s">
        <v>986</v>
      </c>
      <c r="I165" s="290" t="s">
        <v>986</v>
      </c>
      <c r="J165" s="290" t="s">
        <v>986</v>
      </c>
      <c r="K165" s="290">
        <v>137868</v>
      </c>
      <c r="L165" s="290" t="s">
        <v>986</v>
      </c>
      <c r="M165" s="290">
        <v>137868</v>
      </c>
      <c r="N165" s="290" t="s">
        <v>986</v>
      </c>
      <c r="O165" s="290" t="s">
        <v>986</v>
      </c>
      <c r="P165" s="290" t="s">
        <v>986</v>
      </c>
      <c r="Q165" s="290" t="s">
        <v>986</v>
      </c>
      <c r="R165" s="290" t="s">
        <v>986</v>
      </c>
      <c r="S165" s="290" t="s">
        <v>986</v>
      </c>
      <c r="T165" s="290" t="s">
        <v>986</v>
      </c>
      <c r="U165" s="290" t="s">
        <v>986</v>
      </c>
      <c r="V165" s="290" t="s">
        <v>986</v>
      </c>
      <c r="W165" s="295" t="s">
        <v>73</v>
      </c>
    </row>
    <row r="166" spans="1:23" s="290" customFormat="1" ht="9.75" customHeight="1" x14ac:dyDescent="0.15">
      <c r="A166" s="559" t="s">
        <v>641</v>
      </c>
      <c r="B166" s="290" t="s">
        <v>986</v>
      </c>
      <c r="C166" s="290" t="s">
        <v>986</v>
      </c>
      <c r="D166" s="290">
        <v>41402</v>
      </c>
      <c r="E166" s="290" t="s">
        <v>986</v>
      </c>
      <c r="F166" s="290" t="s">
        <v>986</v>
      </c>
      <c r="G166" s="290" t="s">
        <v>986</v>
      </c>
      <c r="H166" s="290">
        <v>78</v>
      </c>
      <c r="I166" s="290" t="s">
        <v>986</v>
      </c>
      <c r="J166" s="290" t="s">
        <v>986</v>
      </c>
      <c r="K166" s="290">
        <v>146838</v>
      </c>
      <c r="L166" s="290">
        <v>49926</v>
      </c>
      <c r="M166" s="290">
        <v>96912</v>
      </c>
      <c r="N166" s="290" t="s">
        <v>986</v>
      </c>
      <c r="O166" s="290" t="s">
        <v>986</v>
      </c>
      <c r="P166" s="290" t="s">
        <v>986</v>
      </c>
      <c r="Q166" s="290" t="s">
        <v>986</v>
      </c>
      <c r="R166" s="290" t="s">
        <v>986</v>
      </c>
      <c r="S166" s="290" t="s">
        <v>986</v>
      </c>
      <c r="T166" s="290" t="s">
        <v>986</v>
      </c>
      <c r="U166" s="290" t="s">
        <v>986</v>
      </c>
      <c r="V166" s="290" t="s">
        <v>986</v>
      </c>
      <c r="W166" s="295" t="s">
        <v>74</v>
      </c>
    </row>
    <row r="167" spans="1:23" s="290" customFormat="1" ht="9.75" customHeight="1" x14ac:dyDescent="0.15">
      <c r="A167" s="559" t="s">
        <v>642</v>
      </c>
      <c r="B167" s="290" t="s">
        <v>986</v>
      </c>
      <c r="C167" s="290" t="s">
        <v>986</v>
      </c>
      <c r="D167" s="290" t="s">
        <v>986</v>
      </c>
      <c r="E167" s="290" t="s">
        <v>986</v>
      </c>
      <c r="F167" s="290" t="s">
        <v>986</v>
      </c>
      <c r="G167" s="290" t="s">
        <v>986</v>
      </c>
      <c r="H167" s="290" t="s">
        <v>986</v>
      </c>
      <c r="I167" s="290" t="s">
        <v>986</v>
      </c>
      <c r="J167" s="290" t="s">
        <v>986</v>
      </c>
      <c r="K167" s="290">
        <v>49990</v>
      </c>
      <c r="L167" s="290">
        <v>49990</v>
      </c>
      <c r="M167" s="290" t="s">
        <v>986</v>
      </c>
      <c r="N167" s="290" t="s">
        <v>986</v>
      </c>
      <c r="O167" s="290" t="s">
        <v>986</v>
      </c>
      <c r="P167" s="290">
        <v>49953</v>
      </c>
      <c r="Q167" s="290" t="s">
        <v>986</v>
      </c>
      <c r="R167" s="290" t="s">
        <v>986</v>
      </c>
      <c r="S167" s="290">
        <v>49953</v>
      </c>
      <c r="T167" s="290" t="s">
        <v>986</v>
      </c>
      <c r="U167" s="290" t="s">
        <v>986</v>
      </c>
      <c r="V167" s="290">
        <v>16680</v>
      </c>
      <c r="W167" s="295" t="s">
        <v>75</v>
      </c>
    </row>
    <row r="168" spans="1:23" s="290" customFormat="1" ht="9.75" customHeight="1" x14ac:dyDescent="0.15">
      <c r="A168" s="559" t="s">
        <v>643</v>
      </c>
      <c r="B168" s="290" t="s">
        <v>986</v>
      </c>
      <c r="C168" s="290" t="s">
        <v>986</v>
      </c>
      <c r="D168" s="290" t="s">
        <v>986</v>
      </c>
      <c r="E168" s="290" t="s">
        <v>986</v>
      </c>
      <c r="F168" s="290">
        <v>1</v>
      </c>
      <c r="G168" s="290" t="s">
        <v>986</v>
      </c>
      <c r="H168" s="290" t="s">
        <v>986</v>
      </c>
      <c r="I168" s="290">
        <v>50050</v>
      </c>
      <c r="J168" s="290">
        <v>50050</v>
      </c>
      <c r="K168" s="290">
        <v>62343</v>
      </c>
      <c r="L168" s="290" t="s">
        <v>986</v>
      </c>
      <c r="M168" s="290">
        <v>62343</v>
      </c>
      <c r="N168" s="290" t="s">
        <v>986</v>
      </c>
      <c r="O168" s="290" t="s">
        <v>986</v>
      </c>
      <c r="P168" s="290" t="s">
        <v>986</v>
      </c>
      <c r="Q168" s="290" t="s">
        <v>986</v>
      </c>
      <c r="R168" s="290" t="s">
        <v>986</v>
      </c>
      <c r="S168" s="290" t="s">
        <v>986</v>
      </c>
      <c r="T168" s="290" t="s">
        <v>986</v>
      </c>
      <c r="U168" s="290" t="s">
        <v>986</v>
      </c>
      <c r="V168" s="290">
        <v>6670</v>
      </c>
      <c r="W168" s="295" t="s">
        <v>88</v>
      </c>
    </row>
    <row r="169" spans="1:23" s="290" customFormat="1" ht="9.75" customHeight="1" x14ac:dyDescent="0.15">
      <c r="A169" s="559" t="s">
        <v>644</v>
      </c>
      <c r="B169" s="290" t="s">
        <v>986</v>
      </c>
      <c r="C169" s="290" t="s">
        <v>986</v>
      </c>
      <c r="D169" s="290" t="s">
        <v>986</v>
      </c>
      <c r="E169" s="290">
        <v>50050</v>
      </c>
      <c r="F169" s="290" t="s">
        <v>986</v>
      </c>
      <c r="G169" s="290" t="s">
        <v>986</v>
      </c>
      <c r="H169" s="290" t="s">
        <v>986</v>
      </c>
      <c r="I169" s="290" t="s">
        <v>986</v>
      </c>
      <c r="J169" s="290" t="s">
        <v>986</v>
      </c>
      <c r="K169" s="290">
        <v>36522</v>
      </c>
      <c r="L169" s="290">
        <v>36522</v>
      </c>
      <c r="M169" s="290" t="s">
        <v>986</v>
      </c>
      <c r="N169" s="290" t="s">
        <v>986</v>
      </c>
      <c r="O169" s="290" t="s">
        <v>986</v>
      </c>
      <c r="P169" s="290" t="s">
        <v>986</v>
      </c>
      <c r="Q169" s="290" t="s">
        <v>986</v>
      </c>
      <c r="R169" s="290" t="s">
        <v>986</v>
      </c>
      <c r="S169" s="290" t="s">
        <v>986</v>
      </c>
      <c r="T169" s="290" t="s">
        <v>986</v>
      </c>
      <c r="U169" s="290" t="s">
        <v>986</v>
      </c>
      <c r="V169" s="290" t="s">
        <v>986</v>
      </c>
      <c r="W169" s="295" t="s">
        <v>89</v>
      </c>
    </row>
    <row r="170" spans="1:23" s="290" customFormat="1" ht="9.75" customHeight="1" x14ac:dyDescent="0.15">
      <c r="A170" s="559" t="s">
        <v>645</v>
      </c>
      <c r="B170" s="290" t="s">
        <v>986</v>
      </c>
      <c r="C170" s="290" t="s">
        <v>986</v>
      </c>
      <c r="D170" s="290" t="s">
        <v>986</v>
      </c>
      <c r="E170" s="290" t="s">
        <v>986</v>
      </c>
      <c r="F170" s="290" t="s">
        <v>986</v>
      </c>
      <c r="G170" s="290" t="s">
        <v>986</v>
      </c>
      <c r="H170" s="290" t="s">
        <v>986</v>
      </c>
      <c r="I170" s="290" t="s">
        <v>986</v>
      </c>
      <c r="J170" s="290" t="s">
        <v>986</v>
      </c>
      <c r="K170" s="290">
        <v>62432</v>
      </c>
      <c r="L170" s="290">
        <v>36445</v>
      </c>
      <c r="M170" s="290">
        <v>25987</v>
      </c>
      <c r="N170" s="290" t="s">
        <v>986</v>
      </c>
      <c r="O170" s="290" t="s">
        <v>986</v>
      </c>
      <c r="P170" s="290">
        <v>41402</v>
      </c>
      <c r="Q170" s="290" t="s">
        <v>986</v>
      </c>
      <c r="R170" s="290" t="s">
        <v>986</v>
      </c>
      <c r="S170" s="290">
        <v>41402</v>
      </c>
      <c r="T170" s="290" t="s">
        <v>986</v>
      </c>
      <c r="U170" s="290" t="s">
        <v>986</v>
      </c>
      <c r="V170" s="290" t="s">
        <v>986</v>
      </c>
      <c r="W170" s="295" t="s">
        <v>90</v>
      </c>
    </row>
    <row r="171" spans="1:23" s="290" customFormat="1" ht="9.75" customHeight="1" x14ac:dyDescent="0.15">
      <c r="A171" s="559" t="s">
        <v>646</v>
      </c>
      <c r="B171" s="290" t="s">
        <v>986</v>
      </c>
      <c r="C171" s="290" t="s">
        <v>986</v>
      </c>
      <c r="D171" s="290" t="s">
        <v>986</v>
      </c>
      <c r="E171" s="290" t="s">
        <v>986</v>
      </c>
      <c r="F171" s="290" t="s">
        <v>986</v>
      </c>
      <c r="G171" s="290" t="s">
        <v>986</v>
      </c>
      <c r="H171" s="290" t="s">
        <v>986</v>
      </c>
      <c r="I171" s="290" t="s">
        <v>986</v>
      </c>
      <c r="J171" s="290" t="s">
        <v>986</v>
      </c>
      <c r="K171" s="290">
        <v>41402</v>
      </c>
      <c r="L171" s="290">
        <v>27736</v>
      </c>
      <c r="M171" s="290">
        <v>13666</v>
      </c>
      <c r="N171" s="290" t="s">
        <v>986</v>
      </c>
      <c r="O171" s="290" t="s">
        <v>986</v>
      </c>
      <c r="P171" s="290" t="s">
        <v>986</v>
      </c>
      <c r="Q171" s="290" t="s">
        <v>986</v>
      </c>
      <c r="R171" s="290" t="s">
        <v>986</v>
      </c>
      <c r="S171" s="290" t="s">
        <v>986</v>
      </c>
      <c r="T171" s="290" t="s">
        <v>986</v>
      </c>
      <c r="U171" s="290" t="s">
        <v>986</v>
      </c>
      <c r="V171" s="290" t="s">
        <v>986</v>
      </c>
      <c r="W171" s="295" t="s">
        <v>91</v>
      </c>
    </row>
    <row r="172" spans="1:23" s="290" customFormat="1" ht="9.75" customHeight="1" x14ac:dyDescent="0.15">
      <c r="A172" s="559" t="s">
        <v>647</v>
      </c>
      <c r="B172" s="290" t="s">
        <v>986</v>
      </c>
      <c r="C172" s="290" t="s">
        <v>986</v>
      </c>
      <c r="D172" s="290" t="s">
        <v>986</v>
      </c>
      <c r="E172" s="290" t="s">
        <v>986</v>
      </c>
      <c r="F172" s="290" t="s">
        <v>986</v>
      </c>
      <c r="G172" s="290" t="s">
        <v>986</v>
      </c>
      <c r="H172" s="290" t="s">
        <v>986</v>
      </c>
      <c r="I172" s="290" t="s">
        <v>986</v>
      </c>
      <c r="J172" s="290" t="s">
        <v>986</v>
      </c>
      <c r="K172" s="290">
        <v>97603</v>
      </c>
      <c r="L172" s="290">
        <v>34631</v>
      </c>
      <c r="M172" s="290">
        <v>62972</v>
      </c>
      <c r="N172" s="290" t="s">
        <v>986</v>
      </c>
      <c r="O172" s="290" t="s">
        <v>986</v>
      </c>
      <c r="P172" s="290" t="s">
        <v>986</v>
      </c>
      <c r="Q172" s="290" t="s">
        <v>986</v>
      </c>
      <c r="R172" s="290" t="s">
        <v>986</v>
      </c>
      <c r="S172" s="290" t="s">
        <v>986</v>
      </c>
      <c r="T172" s="290" t="s">
        <v>986</v>
      </c>
      <c r="U172" s="290" t="s">
        <v>986</v>
      </c>
      <c r="V172" s="290" t="s">
        <v>986</v>
      </c>
      <c r="W172" s="295" t="s">
        <v>92</v>
      </c>
    </row>
    <row r="173" spans="1:23" s="290" customFormat="1" ht="9.75" customHeight="1" x14ac:dyDescent="0.15">
      <c r="A173" s="559" t="s">
        <v>648</v>
      </c>
      <c r="B173" s="290" t="s">
        <v>986</v>
      </c>
      <c r="C173" s="290" t="s">
        <v>986</v>
      </c>
      <c r="D173" s="290" t="s">
        <v>986</v>
      </c>
      <c r="E173" s="290" t="s">
        <v>986</v>
      </c>
      <c r="F173" s="290" t="s">
        <v>986</v>
      </c>
      <c r="G173" s="290" t="s">
        <v>986</v>
      </c>
      <c r="H173" s="290" t="s">
        <v>986</v>
      </c>
      <c r="I173" s="290" t="s">
        <v>986</v>
      </c>
      <c r="J173" s="290" t="s">
        <v>986</v>
      </c>
      <c r="K173" s="290" t="s">
        <v>986</v>
      </c>
      <c r="L173" s="290" t="s">
        <v>986</v>
      </c>
      <c r="M173" s="290" t="s">
        <v>986</v>
      </c>
      <c r="N173" s="290" t="s">
        <v>986</v>
      </c>
      <c r="O173" s="290" t="s">
        <v>986</v>
      </c>
      <c r="P173" s="290">
        <v>49975</v>
      </c>
      <c r="Q173" s="290" t="s">
        <v>986</v>
      </c>
      <c r="R173" s="290" t="s">
        <v>986</v>
      </c>
      <c r="S173" s="290">
        <v>49975</v>
      </c>
      <c r="T173" s="290" t="s">
        <v>986</v>
      </c>
      <c r="U173" s="290" t="s">
        <v>986</v>
      </c>
      <c r="V173" s="290" t="s">
        <v>986</v>
      </c>
      <c r="W173" s="295" t="s">
        <v>76</v>
      </c>
    </row>
    <row r="174" spans="1:23" s="290" customFormat="1" ht="9.75" customHeight="1" x14ac:dyDescent="0.15">
      <c r="A174" s="559" t="s">
        <v>649</v>
      </c>
      <c r="B174" s="290" t="s">
        <v>986</v>
      </c>
      <c r="C174" s="290" t="s">
        <v>986</v>
      </c>
      <c r="D174" s="290" t="s">
        <v>986</v>
      </c>
      <c r="E174" s="290" t="s">
        <v>986</v>
      </c>
      <c r="F174" s="290" t="s">
        <v>986</v>
      </c>
      <c r="G174" s="290" t="s">
        <v>986</v>
      </c>
      <c r="H174" s="290" t="s">
        <v>986</v>
      </c>
      <c r="I174" s="290" t="s">
        <v>986</v>
      </c>
      <c r="J174" s="290" t="s">
        <v>986</v>
      </c>
      <c r="K174" s="290" t="s">
        <v>986</v>
      </c>
      <c r="L174" s="290" t="s">
        <v>986</v>
      </c>
      <c r="M174" s="290" t="s">
        <v>986</v>
      </c>
      <c r="N174" s="290" t="s">
        <v>986</v>
      </c>
      <c r="O174" s="290" t="s">
        <v>986</v>
      </c>
      <c r="P174" s="290" t="s">
        <v>986</v>
      </c>
      <c r="Q174" s="290" t="s">
        <v>986</v>
      </c>
      <c r="R174" s="290" t="s">
        <v>986</v>
      </c>
      <c r="S174" s="290" t="s">
        <v>986</v>
      </c>
      <c r="T174" s="290" t="s">
        <v>986</v>
      </c>
      <c r="U174" s="290" t="s">
        <v>986</v>
      </c>
      <c r="V174" s="290" t="s">
        <v>986</v>
      </c>
      <c r="W174" s="295" t="s">
        <v>77</v>
      </c>
    </row>
    <row r="175" spans="1:23" s="290" customFormat="1" ht="9.75" customHeight="1" x14ac:dyDescent="0.15">
      <c r="A175" s="559" t="s">
        <v>650</v>
      </c>
      <c r="B175" s="290" t="s">
        <v>986</v>
      </c>
      <c r="C175" s="290" t="s">
        <v>986</v>
      </c>
      <c r="D175" s="290" t="s">
        <v>986</v>
      </c>
      <c r="E175" s="290" t="s">
        <v>986</v>
      </c>
      <c r="F175" s="290" t="s">
        <v>986</v>
      </c>
      <c r="G175" s="290" t="s">
        <v>986</v>
      </c>
      <c r="H175" s="290" t="s">
        <v>986</v>
      </c>
      <c r="I175" s="290" t="s">
        <v>986</v>
      </c>
      <c r="J175" s="290" t="s">
        <v>986</v>
      </c>
      <c r="K175" s="290" t="s">
        <v>986</v>
      </c>
      <c r="L175" s="290" t="s">
        <v>986</v>
      </c>
      <c r="M175" s="290" t="s">
        <v>986</v>
      </c>
      <c r="N175" s="290" t="s">
        <v>986</v>
      </c>
      <c r="O175" s="290" t="s">
        <v>986</v>
      </c>
      <c r="P175" s="290" t="s">
        <v>986</v>
      </c>
      <c r="Q175" s="290" t="s">
        <v>986</v>
      </c>
      <c r="R175" s="290" t="s">
        <v>986</v>
      </c>
      <c r="S175" s="290" t="s">
        <v>986</v>
      </c>
      <c r="T175" s="290" t="s">
        <v>986</v>
      </c>
      <c r="U175" s="290" t="s">
        <v>986</v>
      </c>
      <c r="V175" s="290" t="s">
        <v>986</v>
      </c>
      <c r="W175" s="295" t="s">
        <v>78</v>
      </c>
    </row>
    <row r="176" spans="1:23" s="290" customFormat="1" ht="9.75" customHeight="1" x14ac:dyDescent="0.15">
      <c r="A176" s="559" t="s">
        <v>996</v>
      </c>
      <c r="B176" s="290" t="s">
        <v>986</v>
      </c>
      <c r="C176" s="290" t="s">
        <v>986</v>
      </c>
      <c r="D176" s="290" t="s">
        <v>986</v>
      </c>
      <c r="E176" s="290" t="s">
        <v>986</v>
      </c>
      <c r="F176" s="290" t="s">
        <v>986</v>
      </c>
      <c r="G176" s="290" t="s">
        <v>986</v>
      </c>
      <c r="H176" s="290" t="s">
        <v>986</v>
      </c>
      <c r="I176" s="290" t="s">
        <v>986</v>
      </c>
      <c r="J176" s="290" t="s">
        <v>986</v>
      </c>
      <c r="K176" s="290" t="s">
        <v>986</v>
      </c>
      <c r="L176" s="290" t="s">
        <v>986</v>
      </c>
      <c r="M176" s="290" t="s">
        <v>986</v>
      </c>
      <c r="N176" s="290" t="s">
        <v>986</v>
      </c>
      <c r="O176" s="290" t="s">
        <v>986</v>
      </c>
      <c r="P176" s="290" t="s">
        <v>986</v>
      </c>
      <c r="Q176" s="290" t="s">
        <v>986</v>
      </c>
      <c r="R176" s="290" t="s">
        <v>986</v>
      </c>
      <c r="S176" s="290" t="s">
        <v>986</v>
      </c>
      <c r="T176" s="290" t="s">
        <v>986</v>
      </c>
      <c r="U176" s="290" t="s">
        <v>986</v>
      </c>
      <c r="V176" s="290" t="s">
        <v>986</v>
      </c>
      <c r="W176" s="295" t="s">
        <v>997</v>
      </c>
    </row>
    <row r="177" spans="1:23" s="290" customFormat="1" ht="9.75" customHeight="1" x14ac:dyDescent="0.15">
      <c r="A177" s="559" t="s">
        <v>651</v>
      </c>
      <c r="B177" s="290" t="s">
        <v>986</v>
      </c>
      <c r="C177" s="290" t="s">
        <v>986</v>
      </c>
      <c r="D177" s="290" t="s">
        <v>986</v>
      </c>
      <c r="E177" s="290" t="s">
        <v>986</v>
      </c>
      <c r="F177" s="290" t="s">
        <v>986</v>
      </c>
      <c r="G177" s="290" t="s">
        <v>986</v>
      </c>
      <c r="H177" s="290" t="s">
        <v>986</v>
      </c>
      <c r="I177" s="290" t="s">
        <v>986</v>
      </c>
      <c r="J177" s="290" t="s">
        <v>986</v>
      </c>
      <c r="K177" s="290" t="s">
        <v>986</v>
      </c>
      <c r="L177" s="290" t="s">
        <v>986</v>
      </c>
      <c r="M177" s="290" t="s">
        <v>986</v>
      </c>
      <c r="N177" s="290" t="s">
        <v>986</v>
      </c>
      <c r="O177" s="290" t="s">
        <v>986</v>
      </c>
      <c r="P177" s="290" t="s">
        <v>986</v>
      </c>
      <c r="Q177" s="290" t="s">
        <v>986</v>
      </c>
      <c r="R177" s="290" t="s">
        <v>986</v>
      </c>
      <c r="S177" s="290" t="s">
        <v>986</v>
      </c>
      <c r="T177" s="290" t="s">
        <v>986</v>
      </c>
      <c r="U177" s="290" t="s">
        <v>986</v>
      </c>
      <c r="V177" s="290" t="s">
        <v>986</v>
      </c>
      <c r="W177" s="295" t="s">
        <v>73</v>
      </c>
    </row>
    <row r="178" spans="1:23" s="290" customFormat="1" ht="9.75" customHeight="1" x14ac:dyDescent="0.15">
      <c r="A178" s="560" t="s">
        <v>652</v>
      </c>
      <c r="B178" s="294" t="s">
        <v>986</v>
      </c>
      <c r="C178" s="293" t="s">
        <v>986</v>
      </c>
      <c r="D178" s="293" t="s">
        <v>986</v>
      </c>
      <c r="E178" s="293" t="s">
        <v>986</v>
      </c>
      <c r="F178" s="293" t="s">
        <v>986</v>
      </c>
      <c r="G178" s="293" t="s">
        <v>986</v>
      </c>
      <c r="H178" s="293" t="s">
        <v>986</v>
      </c>
      <c r="I178" s="293" t="s">
        <v>986</v>
      </c>
      <c r="J178" s="293" t="s">
        <v>986</v>
      </c>
      <c r="K178" s="293" t="s">
        <v>986</v>
      </c>
      <c r="L178" s="293" t="s">
        <v>986</v>
      </c>
      <c r="M178" s="293" t="s">
        <v>986</v>
      </c>
      <c r="N178" s="293" t="s">
        <v>986</v>
      </c>
      <c r="O178" s="293" t="s">
        <v>986</v>
      </c>
      <c r="P178" s="293" t="s">
        <v>986</v>
      </c>
      <c r="Q178" s="293" t="s">
        <v>986</v>
      </c>
      <c r="R178" s="293" t="s">
        <v>986</v>
      </c>
      <c r="S178" s="293" t="s">
        <v>986</v>
      </c>
      <c r="T178" s="293" t="s">
        <v>986</v>
      </c>
      <c r="U178" s="293" t="s">
        <v>986</v>
      </c>
      <c r="V178" s="293" t="s">
        <v>986</v>
      </c>
      <c r="W178" s="291" t="s">
        <v>74</v>
      </c>
    </row>
    <row r="179" spans="1:23" ht="12" customHeight="1" x14ac:dyDescent="0.15"/>
    <row r="180" spans="1:23" ht="12" customHeight="1" x14ac:dyDescent="0.15"/>
    <row r="181" spans="1:23" ht="12" customHeight="1" x14ac:dyDescent="0.15">
      <c r="K181" s="299" t="s">
        <v>93</v>
      </c>
    </row>
    <row r="182" spans="1:23" s="297" customFormat="1" ht="21" customHeight="1" x14ac:dyDescent="0.15">
      <c r="A182" s="1053" t="s">
        <v>172</v>
      </c>
      <c r="B182" s="832" t="s">
        <v>338</v>
      </c>
      <c r="C182" s="827"/>
      <c r="D182" s="827"/>
      <c r="E182" s="827"/>
      <c r="F182" s="827"/>
      <c r="G182" s="827"/>
      <c r="H182" s="827"/>
      <c r="I182" s="827"/>
      <c r="J182" s="827"/>
      <c r="K182" s="827"/>
      <c r="L182" s="834"/>
      <c r="M182" s="826" t="s">
        <v>295</v>
      </c>
      <c r="N182" s="827"/>
      <c r="O182" s="827"/>
      <c r="P182" s="827"/>
      <c r="Q182" s="827"/>
      <c r="R182" s="827"/>
      <c r="S182" s="827"/>
      <c r="T182" s="834"/>
      <c r="U182" s="826" t="s">
        <v>291</v>
      </c>
      <c r="V182" s="827"/>
      <c r="W182" s="1056" t="s">
        <v>79</v>
      </c>
    </row>
    <row r="183" spans="1:23" s="297" customFormat="1" ht="21" customHeight="1" x14ac:dyDescent="0.15">
      <c r="A183" s="1054"/>
      <c r="B183" s="832" t="s">
        <v>111</v>
      </c>
      <c r="C183" s="827"/>
      <c r="D183" s="827"/>
      <c r="E183" s="827"/>
      <c r="F183" s="827"/>
      <c r="G183" s="827"/>
      <c r="H183" s="827"/>
      <c r="I183" s="834"/>
      <c r="J183" s="826" t="s">
        <v>875</v>
      </c>
      <c r="K183" s="827"/>
      <c r="L183" s="834"/>
      <c r="M183" s="1059" t="s">
        <v>292</v>
      </c>
      <c r="N183" s="826" t="s">
        <v>265</v>
      </c>
      <c r="O183" s="827"/>
      <c r="P183" s="834"/>
      <c r="Q183" s="826" t="s">
        <v>258</v>
      </c>
      <c r="R183" s="834"/>
      <c r="S183" s="826" t="s">
        <v>875</v>
      </c>
      <c r="T183" s="834"/>
      <c r="U183" s="1059" t="s">
        <v>289</v>
      </c>
      <c r="V183" s="826" t="s">
        <v>265</v>
      </c>
      <c r="W183" s="1057"/>
    </row>
    <row r="184" spans="1:23" s="297" customFormat="1" ht="52.5" customHeight="1" x14ac:dyDescent="0.15">
      <c r="A184" s="1055"/>
      <c r="B184" s="298" t="s">
        <v>236</v>
      </c>
      <c r="C184" s="298" t="s">
        <v>874</v>
      </c>
      <c r="D184" s="298" t="s">
        <v>554</v>
      </c>
      <c r="E184" s="298" t="s">
        <v>315</v>
      </c>
      <c r="F184" s="298" t="s">
        <v>555</v>
      </c>
      <c r="G184" s="298" t="s">
        <v>336</v>
      </c>
      <c r="H184" s="298" t="s">
        <v>335</v>
      </c>
      <c r="I184" s="301" t="s">
        <v>1051</v>
      </c>
      <c r="J184" s="696" t="s">
        <v>314</v>
      </c>
      <c r="K184" s="298" t="s">
        <v>333</v>
      </c>
      <c r="L184" s="298" t="s">
        <v>313</v>
      </c>
      <c r="M184" s="1060"/>
      <c r="N184" s="696" t="s">
        <v>851</v>
      </c>
      <c r="O184" s="298" t="s">
        <v>256</v>
      </c>
      <c r="P184" s="298" t="s">
        <v>254</v>
      </c>
      <c r="Q184" s="696" t="s">
        <v>855</v>
      </c>
      <c r="R184" s="298" t="s">
        <v>244</v>
      </c>
      <c r="S184" s="696" t="s">
        <v>314</v>
      </c>
      <c r="T184" s="298" t="s">
        <v>333</v>
      </c>
      <c r="U184" s="1060"/>
      <c r="V184" s="695" t="s">
        <v>851</v>
      </c>
      <c r="W184" s="1058"/>
    </row>
    <row r="185" spans="1:23" s="290" customFormat="1" ht="9.75" customHeight="1" x14ac:dyDescent="0.15">
      <c r="A185" s="828" t="s">
        <v>985</v>
      </c>
      <c r="B185" s="829">
        <v>824243</v>
      </c>
      <c r="C185" s="830" t="s">
        <v>986</v>
      </c>
      <c r="D185" s="830">
        <v>512</v>
      </c>
      <c r="E185" s="830">
        <v>6248</v>
      </c>
      <c r="F185" s="830">
        <v>525</v>
      </c>
      <c r="G185" s="830">
        <v>1015</v>
      </c>
      <c r="H185" s="830">
        <v>113866</v>
      </c>
      <c r="I185" s="830" t="s">
        <v>986</v>
      </c>
      <c r="J185" s="830">
        <v>7845409</v>
      </c>
      <c r="K185" s="830">
        <v>12000</v>
      </c>
      <c r="L185" s="830">
        <v>7833409</v>
      </c>
      <c r="M185" s="830">
        <v>955739</v>
      </c>
      <c r="N185" s="830">
        <v>932524</v>
      </c>
      <c r="O185" s="830">
        <v>932524</v>
      </c>
      <c r="P185" s="830" t="s">
        <v>986</v>
      </c>
      <c r="Q185" s="830">
        <v>23097</v>
      </c>
      <c r="R185" s="830">
        <v>23097</v>
      </c>
      <c r="S185" s="830">
        <v>118</v>
      </c>
      <c r="T185" s="830">
        <v>118</v>
      </c>
      <c r="U185" s="830">
        <v>9901113</v>
      </c>
      <c r="V185" s="830">
        <v>2472706</v>
      </c>
      <c r="W185" s="831" t="s">
        <v>485</v>
      </c>
    </row>
    <row r="186" spans="1:23" s="290" customFormat="1" ht="9.75" customHeight="1" x14ac:dyDescent="0.15">
      <c r="A186" s="559" t="s">
        <v>634</v>
      </c>
      <c r="B186" s="290">
        <v>153894</v>
      </c>
      <c r="C186" s="290" t="s">
        <v>986</v>
      </c>
      <c r="D186" s="290" t="s">
        <v>986</v>
      </c>
      <c r="E186" s="290" t="s">
        <v>986</v>
      </c>
      <c r="F186" s="290" t="s">
        <v>986</v>
      </c>
      <c r="G186" s="290" t="s">
        <v>986</v>
      </c>
      <c r="H186" s="290">
        <v>61751</v>
      </c>
      <c r="I186" s="290" t="s">
        <v>986</v>
      </c>
      <c r="J186" s="290">
        <v>3483001</v>
      </c>
      <c r="K186" s="290" t="s">
        <v>986</v>
      </c>
      <c r="L186" s="290">
        <v>3483001</v>
      </c>
      <c r="M186" s="290">
        <v>1313743</v>
      </c>
      <c r="N186" s="290">
        <v>1212529</v>
      </c>
      <c r="O186" s="290">
        <v>1167129</v>
      </c>
      <c r="P186" s="290">
        <v>45400</v>
      </c>
      <c r="Q186" s="290">
        <v>101086</v>
      </c>
      <c r="R186" s="290">
        <v>101086</v>
      </c>
      <c r="S186" s="290">
        <v>128</v>
      </c>
      <c r="T186" s="290">
        <v>128</v>
      </c>
      <c r="U186" s="290">
        <v>3962210</v>
      </c>
      <c r="V186" s="290">
        <v>1543658</v>
      </c>
      <c r="W186" s="295" t="s">
        <v>588</v>
      </c>
    </row>
    <row r="187" spans="1:23" s="290" customFormat="1" ht="9.75" customHeight="1" x14ac:dyDescent="0.15">
      <c r="A187" s="559" t="s">
        <v>635</v>
      </c>
      <c r="B187" s="290">
        <v>105267</v>
      </c>
      <c r="C187" s="290" t="s">
        <v>986</v>
      </c>
      <c r="D187" s="290" t="s">
        <v>986</v>
      </c>
      <c r="E187" s="290" t="s">
        <v>986</v>
      </c>
      <c r="F187" s="290" t="s">
        <v>986</v>
      </c>
      <c r="G187" s="290" t="s">
        <v>986</v>
      </c>
      <c r="H187" s="290">
        <v>38951</v>
      </c>
      <c r="I187" s="290" t="s">
        <v>986</v>
      </c>
      <c r="J187" s="290">
        <v>3855913</v>
      </c>
      <c r="K187" s="290" t="s">
        <v>986</v>
      </c>
      <c r="L187" s="290">
        <v>3855913</v>
      </c>
      <c r="M187" s="290">
        <v>511923</v>
      </c>
      <c r="N187" s="290">
        <v>404064</v>
      </c>
      <c r="O187" s="290">
        <v>404064</v>
      </c>
      <c r="P187" s="290" t="s">
        <v>986</v>
      </c>
      <c r="Q187" s="290">
        <v>107739</v>
      </c>
      <c r="R187" s="290">
        <v>107739</v>
      </c>
      <c r="S187" s="290">
        <v>120</v>
      </c>
      <c r="T187" s="290">
        <v>120</v>
      </c>
      <c r="U187" s="290">
        <v>4886875</v>
      </c>
      <c r="V187" s="290">
        <v>1645849</v>
      </c>
      <c r="W187" s="295" t="s">
        <v>636</v>
      </c>
    </row>
    <row r="188" spans="1:23" s="290" customFormat="1" ht="9.75" customHeight="1" x14ac:dyDescent="0.15">
      <c r="A188" s="559" t="s">
        <v>774</v>
      </c>
      <c r="B188" s="290">
        <v>195656</v>
      </c>
      <c r="C188" s="290" t="s">
        <v>986</v>
      </c>
      <c r="D188" s="290" t="s">
        <v>986</v>
      </c>
      <c r="E188" s="290" t="s">
        <v>986</v>
      </c>
      <c r="F188" s="290" t="s">
        <v>986</v>
      </c>
      <c r="G188" s="290" t="s">
        <v>986</v>
      </c>
      <c r="H188" s="290">
        <v>10708</v>
      </c>
      <c r="I188" s="290" t="s">
        <v>986</v>
      </c>
      <c r="J188" s="290">
        <v>4687965</v>
      </c>
      <c r="K188" s="290" t="s">
        <v>986</v>
      </c>
      <c r="L188" s="290">
        <v>4687965</v>
      </c>
      <c r="M188" s="290">
        <v>1033947</v>
      </c>
      <c r="N188" s="290">
        <v>922070</v>
      </c>
      <c r="O188" s="290">
        <v>922070</v>
      </c>
      <c r="P188" s="290" t="s">
        <v>986</v>
      </c>
      <c r="Q188" s="290">
        <v>111755</v>
      </c>
      <c r="R188" s="290">
        <v>111755</v>
      </c>
      <c r="S188" s="290">
        <v>122</v>
      </c>
      <c r="T188" s="290">
        <v>122</v>
      </c>
      <c r="U188" s="290">
        <v>7805554</v>
      </c>
      <c r="V188" s="290">
        <v>2660425</v>
      </c>
      <c r="W188" s="295" t="s">
        <v>775</v>
      </c>
    </row>
    <row r="189" spans="1:23" s="290" customFormat="1" ht="9.75" customHeight="1" x14ac:dyDescent="0.15">
      <c r="A189" s="559" t="s">
        <v>987</v>
      </c>
      <c r="B189" s="290" t="s">
        <v>986</v>
      </c>
      <c r="C189" s="290">
        <v>16680</v>
      </c>
      <c r="D189" s="290" t="s">
        <v>986</v>
      </c>
      <c r="E189" s="290" t="s">
        <v>986</v>
      </c>
      <c r="F189" s="290" t="s">
        <v>986</v>
      </c>
      <c r="G189" s="290" t="s">
        <v>986</v>
      </c>
      <c r="H189" s="290">
        <v>5399</v>
      </c>
      <c r="I189" s="290">
        <v>1271</v>
      </c>
      <c r="J189" s="290">
        <v>7029976</v>
      </c>
      <c r="K189" s="290">
        <v>305299</v>
      </c>
      <c r="L189" s="290">
        <v>6724677</v>
      </c>
      <c r="M189" s="290">
        <v>1064996</v>
      </c>
      <c r="N189" s="290">
        <v>902374</v>
      </c>
      <c r="O189" s="290">
        <v>902374</v>
      </c>
      <c r="P189" s="290" t="s">
        <v>986</v>
      </c>
      <c r="Q189" s="290">
        <v>162478</v>
      </c>
      <c r="R189" s="290">
        <v>162478</v>
      </c>
      <c r="S189" s="290">
        <v>144</v>
      </c>
      <c r="T189" s="290">
        <v>144</v>
      </c>
      <c r="U189" s="290">
        <v>6222490</v>
      </c>
      <c r="V189" s="290">
        <v>1745718</v>
      </c>
      <c r="W189" s="295" t="s">
        <v>988</v>
      </c>
    </row>
    <row r="190" spans="1:23" s="290" customFormat="1" ht="6.75" customHeight="1" x14ac:dyDescent="0.15">
      <c r="A190" s="578"/>
      <c r="W190" s="295"/>
    </row>
    <row r="191" spans="1:23" s="290" customFormat="1" ht="9.75" customHeight="1" x14ac:dyDescent="0.15">
      <c r="A191" s="559" t="s">
        <v>989</v>
      </c>
      <c r="B191" s="290">
        <v>134850</v>
      </c>
      <c r="C191" s="290" t="s">
        <v>986</v>
      </c>
      <c r="D191" s="290" t="s">
        <v>986</v>
      </c>
      <c r="E191" s="290" t="s">
        <v>986</v>
      </c>
      <c r="F191" s="290" t="s">
        <v>986</v>
      </c>
      <c r="G191" s="290" t="s">
        <v>986</v>
      </c>
      <c r="H191" s="290" t="s">
        <v>986</v>
      </c>
      <c r="I191" s="290" t="s">
        <v>986</v>
      </c>
      <c r="J191" s="290">
        <v>5082003</v>
      </c>
      <c r="K191" s="290" t="s">
        <v>986</v>
      </c>
      <c r="L191" s="290">
        <v>5082003</v>
      </c>
      <c r="M191" s="290">
        <v>1122791</v>
      </c>
      <c r="N191" s="290">
        <v>964442</v>
      </c>
      <c r="O191" s="290">
        <v>964442</v>
      </c>
      <c r="P191" s="290" t="s">
        <v>986</v>
      </c>
      <c r="Q191" s="290">
        <v>158255</v>
      </c>
      <c r="R191" s="290">
        <v>158255</v>
      </c>
      <c r="S191" s="290">
        <v>94</v>
      </c>
      <c r="T191" s="290">
        <v>94</v>
      </c>
      <c r="U191" s="290">
        <v>7995993</v>
      </c>
      <c r="V191" s="290">
        <v>2292115</v>
      </c>
      <c r="W191" s="295" t="s">
        <v>776</v>
      </c>
    </row>
    <row r="192" spans="1:23" s="290" customFormat="1" ht="9.75" customHeight="1" x14ac:dyDescent="0.15">
      <c r="A192" s="559" t="s">
        <v>990</v>
      </c>
      <c r="B192" s="290" t="s">
        <v>986</v>
      </c>
      <c r="C192" s="290">
        <v>16680</v>
      </c>
      <c r="D192" s="290" t="s">
        <v>986</v>
      </c>
      <c r="E192" s="290" t="s">
        <v>986</v>
      </c>
      <c r="F192" s="290" t="s">
        <v>986</v>
      </c>
      <c r="G192" s="290" t="s">
        <v>986</v>
      </c>
      <c r="H192" s="290">
        <v>5399</v>
      </c>
      <c r="I192" s="290">
        <v>1271</v>
      </c>
      <c r="J192" s="290">
        <v>7452189</v>
      </c>
      <c r="K192" s="290">
        <v>306130</v>
      </c>
      <c r="L192" s="290">
        <v>7146059</v>
      </c>
      <c r="M192" s="290">
        <v>818830</v>
      </c>
      <c r="N192" s="290">
        <v>702734</v>
      </c>
      <c r="O192" s="290">
        <v>702734</v>
      </c>
      <c r="P192" s="290" t="s">
        <v>986</v>
      </c>
      <c r="Q192" s="290">
        <v>115978</v>
      </c>
      <c r="R192" s="290">
        <v>115978</v>
      </c>
      <c r="S192" s="290">
        <v>118</v>
      </c>
      <c r="T192" s="290">
        <v>118</v>
      </c>
      <c r="U192" s="290">
        <v>5537708</v>
      </c>
      <c r="V192" s="290">
        <v>1783569</v>
      </c>
      <c r="W192" s="295" t="s">
        <v>991</v>
      </c>
    </row>
    <row r="193" spans="1:23" s="290" customFormat="1" ht="6.75" customHeight="1" x14ac:dyDescent="0.15">
      <c r="A193" s="578"/>
      <c r="W193" s="295"/>
    </row>
    <row r="194" spans="1:23" s="290" customFormat="1" ht="9.75" customHeight="1" x14ac:dyDescent="0.15">
      <c r="A194" s="559" t="s">
        <v>992</v>
      </c>
      <c r="B194" s="290" t="s">
        <v>986</v>
      </c>
      <c r="C194" s="290" t="s">
        <v>986</v>
      </c>
      <c r="D194" s="290" t="s">
        <v>986</v>
      </c>
      <c r="E194" s="290" t="s">
        <v>986</v>
      </c>
      <c r="F194" s="290" t="s">
        <v>986</v>
      </c>
      <c r="G194" s="290" t="s">
        <v>986</v>
      </c>
      <c r="H194" s="290" t="s">
        <v>986</v>
      </c>
      <c r="I194" s="290" t="s">
        <v>986</v>
      </c>
      <c r="J194" s="290">
        <v>1437489</v>
      </c>
      <c r="K194" s="290" t="s">
        <v>986</v>
      </c>
      <c r="L194" s="290">
        <v>1437489</v>
      </c>
      <c r="M194" s="290">
        <v>246210</v>
      </c>
      <c r="N194" s="290">
        <v>199640</v>
      </c>
      <c r="O194" s="290">
        <v>199640</v>
      </c>
      <c r="P194" s="290" t="s">
        <v>986</v>
      </c>
      <c r="Q194" s="290">
        <v>46500</v>
      </c>
      <c r="R194" s="290">
        <v>46500</v>
      </c>
      <c r="S194" s="290">
        <v>70</v>
      </c>
      <c r="T194" s="290">
        <v>70</v>
      </c>
      <c r="U194" s="290">
        <v>2175351</v>
      </c>
      <c r="V194" s="290">
        <v>546514</v>
      </c>
      <c r="W194" s="295" t="s">
        <v>777</v>
      </c>
    </row>
    <row r="195" spans="1:23" s="290" customFormat="1" ht="9.75" customHeight="1" x14ac:dyDescent="0.15">
      <c r="A195" s="559" t="s">
        <v>637</v>
      </c>
      <c r="B195" s="290" t="s">
        <v>986</v>
      </c>
      <c r="C195" s="290">
        <v>16680</v>
      </c>
      <c r="D195" s="290" t="s">
        <v>986</v>
      </c>
      <c r="E195" s="290" t="s">
        <v>986</v>
      </c>
      <c r="F195" s="290" t="s">
        <v>986</v>
      </c>
      <c r="G195" s="290" t="s">
        <v>986</v>
      </c>
      <c r="H195" s="290">
        <v>5399</v>
      </c>
      <c r="I195" s="290">
        <v>1271</v>
      </c>
      <c r="J195" s="290">
        <v>1727749</v>
      </c>
      <c r="K195" s="290" t="s">
        <v>986</v>
      </c>
      <c r="L195" s="290">
        <v>1727749</v>
      </c>
      <c r="M195" s="290">
        <v>114227</v>
      </c>
      <c r="N195" s="290">
        <v>36995</v>
      </c>
      <c r="O195" s="290">
        <v>36995</v>
      </c>
      <c r="P195" s="290" t="s">
        <v>986</v>
      </c>
      <c r="Q195" s="290">
        <v>77218</v>
      </c>
      <c r="R195" s="290">
        <v>77218</v>
      </c>
      <c r="S195" s="290">
        <v>14</v>
      </c>
      <c r="T195" s="290">
        <v>14</v>
      </c>
      <c r="U195" s="290">
        <v>1031927</v>
      </c>
      <c r="V195" s="290">
        <v>619699</v>
      </c>
      <c r="W195" s="295" t="s">
        <v>85</v>
      </c>
    </row>
    <row r="196" spans="1:23" s="290" customFormat="1" ht="9.75" customHeight="1" x14ac:dyDescent="0.15">
      <c r="A196" s="559" t="s">
        <v>638</v>
      </c>
      <c r="B196" s="290" t="s">
        <v>986</v>
      </c>
      <c r="C196" s="290" t="s">
        <v>986</v>
      </c>
      <c r="D196" s="290" t="s">
        <v>986</v>
      </c>
      <c r="E196" s="290" t="s">
        <v>986</v>
      </c>
      <c r="F196" s="290" t="s">
        <v>986</v>
      </c>
      <c r="G196" s="290" t="s">
        <v>986</v>
      </c>
      <c r="H196" s="290" t="s">
        <v>986</v>
      </c>
      <c r="I196" s="290" t="s">
        <v>986</v>
      </c>
      <c r="J196" s="290">
        <v>1912562</v>
      </c>
      <c r="K196" s="290">
        <v>148375</v>
      </c>
      <c r="L196" s="290">
        <v>1764187</v>
      </c>
      <c r="M196" s="290">
        <v>369454</v>
      </c>
      <c r="N196" s="290">
        <v>330678</v>
      </c>
      <c r="O196" s="290">
        <v>330678</v>
      </c>
      <c r="P196" s="290" t="s">
        <v>986</v>
      </c>
      <c r="Q196" s="290">
        <v>38760</v>
      </c>
      <c r="R196" s="290">
        <v>38760</v>
      </c>
      <c r="S196" s="290">
        <v>16</v>
      </c>
      <c r="T196" s="290">
        <v>16</v>
      </c>
      <c r="U196" s="290">
        <v>1560780</v>
      </c>
      <c r="V196" s="290">
        <v>273251</v>
      </c>
      <c r="W196" s="295" t="s">
        <v>86</v>
      </c>
    </row>
    <row r="197" spans="1:23" s="290" customFormat="1" ht="9.75" customHeight="1" x14ac:dyDescent="0.15">
      <c r="A197" s="559" t="s">
        <v>639</v>
      </c>
      <c r="B197" s="290" t="s">
        <v>986</v>
      </c>
      <c r="C197" s="290" t="s">
        <v>986</v>
      </c>
      <c r="D197" s="290" t="s">
        <v>986</v>
      </c>
      <c r="E197" s="290" t="s">
        <v>986</v>
      </c>
      <c r="F197" s="290" t="s">
        <v>986</v>
      </c>
      <c r="G197" s="290" t="s">
        <v>986</v>
      </c>
      <c r="H197" s="290" t="s">
        <v>986</v>
      </c>
      <c r="I197" s="290" t="s">
        <v>986</v>
      </c>
      <c r="J197" s="290">
        <v>1952176</v>
      </c>
      <c r="K197" s="290">
        <v>156924</v>
      </c>
      <c r="L197" s="290">
        <v>1795252</v>
      </c>
      <c r="M197" s="290">
        <v>335105</v>
      </c>
      <c r="N197" s="290">
        <v>335061</v>
      </c>
      <c r="O197" s="290">
        <v>335061</v>
      </c>
      <c r="P197" s="290" t="s">
        <v>986</v>
      </c>
      <c r="Q197" s="290" t="s">
        <v>986</v>
      </c>
      <c r="R197" s="290" t="s">
        <v>986</v>
      </c>
      <c r="S197" s="290">
        <v>44</v>
      </c>
      <c r="T197" s="290">
        <v>44</v>
      </c>
      <c r="U197" s="290">
        <v>1454432</v>
      </c>
      <c r="V197" s="290">
        <v>306254</v>
      </c>
      <c r="W197" s="295" t="s">
        <v>87</v>
      </c>
    </row>
    <row r="198" spans="1:23" s="290" customFormat="1" ht="9.75" customHeight="1" x14ac:dyDescent="0.15">
      <c r="A198" s="559" t="s">
        <v>993</v>
      </c>
      <c r="B198" s="290" t="s">
        <v>986</v>
      </c>
      <c r="C198" s="290" t="s">
        <v>986</v>
      </c>
      <c r="D198" s="290" t="s">
        <v>986</v>
      </c>
      <c r="E198" s="290" t="s">
        <v>986</v>
      </c>
      <c r="F198" s="290" t="s">
        <v>986</v>
      </c>
      <c r="G198" s="290" t="s">
        <v>986</v>
      </c>
      <c r="H198" s="290" t="s">
        <v>986</v>
      </c>
      <c r="I198" s="290" t="s">
        <v>986</v>
      </c>
      <c r="J198" s="290">
        <v>1859702</v>
      </c>
      <c r="K198" s="290">
        <v>831</v>
      </c>
      <c r="L198" s="290">
        <v>1858871</v>
      </c>
      <c r="M198" s="290">
        <v>44</v>
      </c>
      <c r="N198" s="290" t="s">
        <v>986</v>
      </c>
      <c r="O198" s="290" t="s">
        <v>986</v>
      </c>
      <c r="P198" s="290" t="s">
        <v>986</v>
      </c>
      <c r="Q198" s="290" t="s">
        <v>986</v>
      </c>
      <c r="R198" s="290" t="s">
        <v>986</v>
      </c>
      <c r="S198" s="290">
        <v>44</v>
      </c>
      <c r="T198" s="290">
        <v>44</v>
      </c>
      <c r="U198" s="290">
        <v>1490569</v>
      </c>
      <c r="V198" s="290">
        <v>584365</v>
      </c>
      <c r="W198" s="295" t="s">
        <v>994</v>
      </c>
    </row>
    <row r="199" spans="1:23" s="290" customFormat="1" ht="6.75" customHeight="1" x14ac:dyDescent="0.15">
      <c r="A199" s="578"/>
      <c r="W199" s="295"/>
    </row>
    <row r="200" spans="1:23" s="290" customFormat="1" ht="9.75" customHeight="1" x14ac:dyDescent="0.15">
      <c r="A200" s="559" t="s">
        <v>995</v>
      </c>
      <c r="B200" s="290" t="s">
        <v>986</v>
      </c>
      <c r="C200" s="290" t="s">
        <v>986</v>
      </c>
      <c r="D200" s="290" t="s">
        <v>986</v>
      </c>
      <c r="E200" s="290" t="s">
        <v>986</v>
      </c>
      <c r="F200" s="290" t="s">
        <v>986</v>
      </c>
      <c r="G200" s="290" t="s">
        <v>986</v>
      </c>
      <c r="H200" s="290" t="s">
        <v>986</v>
      </c>
      <c r="I200" s="290" t="s">
        <v>986</v>
      </c>
      <c r="J200" s="290">
        <v>473627</v>
      </c>
      <c r="K200" s="290" t="s">
        <v>986</v>
      </c>
      <c r="L200" s="290">
        <v>473627</v>
      </c>
      <c r="M200" s="290">
        <v>98392</v>
      </c>
      <c r="N200" s="290">
        <v>98370</v>
      </c>
      <c r="O200" s="290">
        <v>98370</v>
      </c>
      <c r="P200" s="290" t="s">
        <v>986</v>
      </c>
      <c r="Q200" s="290" t="s">
        <v>986</v>
      </c>
      <c r="R200" s="290" t="s">
        <v>986</v>
      </c>
      <c r="S200" s="290">
        <v>22</v>
      </c>
      <c r="T200" s="290">
        <v>22</v>
      </c>
      <c r="U200" s="290">
        <v>845038</v>
      </c>
      <c r="V200" s="290">
        <v>212147</v>
      </c>
      <c r="W200" s="295" t="s">
        <v>778</v>
      </c>
    </row>
    <row r="201" spans="1:23" s="290" customFormat="1" ht="9.75" customHeight="1" x14ac:dyDescent="0.15">
      <c r="A201" s="559" t="s">
        <v>640</v>
      </c>
      <c r="B201" s="290" t="s">
        <v>986</v>
      </c>
      <c r="C201" s="290" t="s">
        <v>986</v>
      </c>
      <c r="D201" s="290" t="s">
        <v>986</v>
      </c>
      <c r="E201" s="290" t="s">
        <v>986</v>
      </c>
      <c r="F201" s="290" t="s">
        <v>986</v>
      </c>
      <c r="G201" s="290" t="s">
        <v>986</v>
      </c>
      <c r="H201" s="290" t="s">
        <v>986</v>
      </c>
      <c r="I201" s="290" t="s">
        <v>986</v>
      </c>
      <c r="J201" s="290">
        <v>439068</v>
      </c>
      <c r="K201" s="290" t="s">
        <v>986</v>
      </c>
      <c r="L201" s="290">
        <v>439068</v>
      </c>
      <c r="M201" s="290">
        <v>101306</v>
      </c>
      <c r="N201" s="290">
        <v>101270</v>
      </c>
      <c r="O201" s="290">
        <v>101270</v>
      </c>
      <c r="P201" s="290" t="s">
        <v>986</v>
      </c>
      <c r="Q201" s="290" t="s">
        <v>986</v>
      </c>
      <c r="R201" s="290" t="s">
        <v>986</v>
      </c>
      <c r="S201" s="290">
        <v>36</v>
      </c>
      <c r="T201" s="290">
        <v>36</v>
      </c>
      <c r="U201" s="290">
        <v>694407</v>
      </c>
      <c r="V201" s="290">
        <v>192297</v>
      </c>
      <c r="W201" s="295" t="s">
        <v>73</v>
      </c>
    </row>
    <row r="202" spans="1:23" s="290" customFormat="1" ht="9.75" customHeight="1" x14ac:dyDescent="0.15">
      <c r="A202" s="559" t="s">
        <v>641</v>
      </c>
      <c r="B202" s="290" t="s">
        <v>986</v>
      </c>
      <c r="C202" s="290" t="s">
        <v>986</v>
      </c>
      <c r="D202" s="290" t="s">
        <v>986</v>
      </c>
      <c r="E202" s="290" t="s">
        <v>986</v>
      </c>
      <c r="F202" s="290" t="s">
        <v>986</v>
      </c>
      <c r="G202" s="290" t="s">
        <v>986</v>
      </c>
      <c r="H202" s="290" t="s">
        <v>986</v>
      </c>
      <c r="I202" s="290" t="s">
        <v>986</v>
      </c>
      <c r="J202" s="290">
        <v>524794</v>
      </c>
      <c r="K202" s="290" t="s">
        <v>986</v>
      </c>
      <c r="L202" s="290">
        <v>524794</v>
      </c>
      <c r="M202" s="290">
        <v>46512</v>
      </c>
      <c r="N202" s="290" t="s">
        <v>986</v>
      </c>
      <c r="O202" s="290" t="s">
        <v>986</v>
      </c>
      <c r="P202" s="290" t="s">
        <v>986</v>
      </c>
      <c r="Q202" s="290">
        <v>46500</v>
      </c>
      <c r="R202" s="290">
        <v>46500</v>
      </c>
      <c r="S202" s="290">
        <v>12</v>
      </c>
      <c r="T202" s="290">
        <v>12</v>
      </c>
      <c r="U202" s="290">
        <v>635906</v>
      </c>
      <c r="V202" s="290">
        <v>142070</v>
      </c>
      <c r="W202" s="295" t="s">
        <v>74</v>
      </c>
    </row>
    <row r="203" spans="1:23" s="290" customFormat="1" ht="9.75" customHeight="1" x14ac:dyDescent="0.15">
      <c r="A203" s="559" t="s">
        <v>642</v>
      </c>
      <c r="B203" s="290" t="s">
        <v>986</v>
      </c>
      <c r="C203" s="290">
        <v>16680</v>
      </c>
      <c r="D203" s="290" t="s">
        <v>986</v>
      </c>
      <c r="E203" s="290" t="s">
        <v>986</v>
      </c>
      <c r="F203" s="290" t="s">
        <v>986</v>
      </c>
      <c r="G203" s="290" t="s">
        <v>986</v>
      </c>
      <c r="H203" s="290" t="s">
        <v>986</v>
      </c>
      <c r="I203" s="290" t="s">
        <v>986</v>
      </c>
      <c r="J203" s="290">
        <v>573367</v>
      </c>
      <c r="K203" s="290" t="s">
        <v>986</v>
      </c>
      <c r="L203" s="290">
        <v>573367</v>
      </c>
      <c r="M203" s="290">
        <v>37185</v>
      </c>
      <c r="N203" s="290">
        <v>30325</v>
      </c>
      <c r="O203" s="290">
        <v>30325</v>
      </c>
      <c r="P203" s="290" t="s">
        <v>986</v>
      </c>
      <c r="Q203" s="290">
        <v>6848</v>
      </c>
      <c r="R203" s="290">
        <v>6848</v>
      </c>
      <c r="S203" s="290">
        <v>12</v>
      </c>
      <c r="T203" s="290">
        <v>12</v>
      </c>
      <c r="U203" s="290">
        <v>284852</v>
      </c>
      <c r="V203" s="290">
        <v>91353</v>
      </c>
      <c r="W203" s="295" t="s">
        <v>75</v>
      </c>
    </row>
    <row r="204" spans="1:23" s="290" customFormat="1" ht="9.75" customHeight="1" x14ac:dyDescent="0.15">
      <c r="A204" s="559" t="s">
        <v>643</v>
      </c>
      <c r="B204" s="290" t="s">
        <v>986</v>
      </c>
      <c r="C204" s="290" t="s">
        <v>986</v>
      </c>
      <c r="D204" s="290" t="s">
        <v>986</v>
      </c>
      <c r="E204" s="290" t="s">
        <v>986</v>
      </c>
      <c r="F204" s="290" t="s">
        <v>986</v>
      </c>
      <c r="G204" s="290" t="s">
        <v>986</v>
      </c>
      <c r="H204" s="290">
        <v>5399</v>
      </c>
      <c r="I204" s="290">
        <v>1271</v>
      </c>
      <c r="J204" s="290">
        <v>586398</v>
      </c>
      <c r="K204" s="290" t="s">
        <v>986</v>
      </c>
      <c r="L204" s="290">
        <v>586398</v>
      </c>
      <c r="M204" s="290">
        <v>6670</v>
      </c>
      <c r="N204" s="290">
        <v>6670</v>
      </c>
      <c r="O204" s="290">
        <v>6670</v>
      </c>
      <c r="P204" s="290" t="s">
        <v>986</v>
      </c>
      <c r="Q204" s="290" t="s">
        <v>986</v>
      </c>
      <c r="R204" s="290" t="s">
        <v>986</v>
      </c>
      <c r="S204" s="290" t="s">
        <v>986</v>
      </c>
      <c r="T204" s="290" t="s">
        <v>986</v>
      </c>
      <c r="U204" s="290">
        <v>386845</v>
      </c>
      <c r="V204" s="290">
        <v>314486</v>
      </c>
      <c r="W204" s="295" t="s">
        <v>88</v>
      </c>
    </row>
    <row r="205" spans="1:23" s="290" customFormat="1" ht="9.75" customHeight="1" x14ac:dyDescent="0.15">
      <c r="A205" s="559" t="s">
        <v>644</v>
      </c>
      <c r="B205" s="290" t="s">
        <v>986</v>
      </c>
      <c r="C205" s="290" t="s">
        <v>986</v>
      </c>
      <c r="D205" s="290" t="s">
        <v>986</v>
      </c>
      <c r="E205" s="290" t="s">
        <v>986</v>
      </c>
      <c r="F205" s="290" t="s">
        <v>986</v>
      </c>
      <c r="G205" s="290" t="s">
        <v>986</v>
      </c>
      <c r="H205" s="290" t="s">
        <v>986</v>
      </c>
      <c r="I205" s="290" t="s">
        <v>986</v>
      </c>
      <c r="J205" s="290">
        <v>567984</v>
      </c>
      <c r="K205" s="290" t="s">
        <v>986</v>
      </c>
      <c r="L205" s="290">
        <v>567984</v>
      </c>
      <c r="M205" s="290">
        <v>70372</v>
      </c>
      <c r="N205" s="290" t="s">
        <v>986</v>
      </c>
      <c r="O205" s="290" t="s">
        <v>986</v>
      </c>
      <c r="P205" s="290" t="s">
        <v>986</v>
      </c>
      <c r="Q205" s="290">
        <v>70370</v>
      </c>
      <c r="R205" s="290">
        <v>70370</v>
      </c>
      <c r="S205" s="290">
        <v>2</v>
      </c>
      <c r="T205" s="290">
        <v>2</v>
      </c>
      <c r="U205" s="290">
        <v>360230</v>
      </c>
      <c r="V205" s="290">
        <v>213860</v>
      </c>
      <c r="W205" s="295" t="s">
        <v>89</v>
      </c>
    </row>
    <row r="206" spans="1:23" s="290" customFormat="1" ht="9.75" customHeight="1" x14ac:dyDescent="0.15">
      <c r="A206" s="559" t="s">
        <v>645</v>
      </c>
      <c r="B206" s="290" t="s">
        <v>986</v>
      </c>
      <c r="C206" s="290" t="s">
        <v>986</v>
      </c>
      <c r="D206" s="290" t="s">
        <v>986</v>
      </c>
      <c r="E206" s="290" t="s">
        <v>986</v>
      </c>
      <c r="F206" s="290" t="s">
        <v>986</v>
      </c>
      <c r="G206" s="290" t="s">
        <v>986</v>
      </c>
      <c r="H206" s="290" t="s">
        <v>986</v>
      </c>
      <c r="I206" s="290" t="s">
        <v>986</v>
      </c>
      <c r="J206" s="290">
        <v>632895</v>
      </c>
      <c r="K206" s="290" t="s">
        <v>986</v>
      </c>
      <c r="L206" s="290">
        <v>632895</v>
      </c>
      <c r="M206" s="290">
        <v>21038</v>
      </c>
      <c r="N206" s="290" t="s">
        <v>986</v>
      </c>
      <c r="O206" s="290" t="s">
        <v>986</v>
      </c>
      <c r="P206" s="290" t="s">
        <v>986</v>
      </c>
      <c r="Q206" s="290">
        <v>21030</v>
      </c>
      <c r="R206" s="290">
        <v>21030</v>
      </c>
      <c r="S206" s="290">
        <v>8</v>
      </c>
      <c r="T206" s="290">
        <v>8</v>
      </c>
      <c r="U206" s="290">
        <v>432931</v>
      </c>
      <c r="V206" s="290">
        <v>197405</v>
      </c>
      <c r="W206" s="295" t="s">
        <v>90</v>
      </c>
    </row>
    <row r="207" spans="1:23" s="290" customFormat="1" ht="9.75" customHeight="1" x14ac:dyDescent="0.15">
      <c r="A207" s="559" t="s">
        <v>646</v>
      </c>
      <c r="B207" s="290" t="s">
        <v>986</v>
      </c>
      <c r="C207" s="290" t="s">
        <v>986</v>
      </c>
      <c r="D207" s="290" t="s">
        <v>986</v>
      </c>
      <c r="E207" s="290" t="s">
        <v>986</v>
      </c>
      <c r="F207" s="290" t="s">
        <v>986</v>
      </c>
      <c r="G207" s="290" t="s">
        <v>986</v>
      </c>
      <c r="H207" s="290" t="s">
        <v>986</v>
      </c>
      <c r="I207" s="290" t="s">
        <v>986</v>
      </c>
      <c r="J207" s="290">
        <v>641091</v>
      </c>
      <c r="K207" s="290" t="s">
        <v>986</v>
      </c>
      <c r="L207" s="290">
        <v>641091</v>
      </c>
      <c r="M207" s="290">
        <v>193270</v>
      </c>
      <c r="N207" s="290">
        <v>175532</v>
      </c>
      <c r="O207" s="290">
        <v>175532</v>
      </c>
      <c r="P207" s="290" t="s">
        <v>986</v>
      </c>
      <c r="Q207" s="290">
        <v>17730</v>
      </c>
      <c r="R207" s="290">
        <v>17730</v>
      </c>
      <c r="S207" s="290">
        <v>8</v>
      </c>
      <c r="T207" s="290">
        <v>8</v>
      </c>
      <c r="U207" s="290">
        <v>377258</v>
      </c>
      <c r="V207" s="290">
        <v>26176</v>
      </c>
      <c r="W207" s="295" t="s">
        <v>91</v>
      </c>
    </row>
    <row r="208" spans="1:23" s="290" customFormat="1" ht="9.75" customHeight="1" x14ac:dyDescent="0.15">
      <c r="A208" s="559" t="s">
        <v>647</v>
      </c>
      <c r="B208" s="290" t="s">
        <v>986</v>
      </c>
      <c r="C208" s="290" t="s">
        <v>986</v>
      </c>
      <c r="D208" s="290" t="s">
        <v>986</v>
      </c>
      <c r="E208" s="290" t="s">
        <v>986</v>
      </c>
      <c r="F208" s="290" t="s">
        <v>986</v>
      </c>
      <c r="G208" s="290" t="s">
        <v>986</v>
      </c>
      <c r="H208" s="290" t="s">
        <v>986</v>
      </c>
      <c r="I208" s="290" t="s">
        <v>986</v>
      </c>
      <c r="J208" s="290">
        <v>638576</v>
      </c>
      <c r="K208" s="290">
        <v>148375</v>
      </c>
      <c r="L208" s="290">
        <v>490201</v>
      </c>
      <c r="M208" s="290">
        <v>155146</v>
      </c>
      <c r="N208" s="290">
        <v>155146</v>
      </c>
      <c r="O208" s="290">
        <v>155146</v>
      </c>
      <c r="P208" s="290" t="s">
        <v>986</v>
      </c>
      <c r="Q208" s="290" t="s">
        <v>986</v>
      </c>
      <c r="R208" s="290" t="s">
        <v>986</v>
      </c>
      <c r="S208" s="290" t="s">
        <v>986</v>
      </c>
      <c r="T208" s="290" t="s">
        <v>986</v>
      </c>
      <c r="U208" s="290">
        <v>750591</v>
      </c>
      <c r="V208" s="290">
        <v>49670</v>
      </c>
      <c r="W208" s="295" t="s">
        <v>92</v>
      </c>
    </row>
    <row r="209" spans="1:23" s="290" customFormat="1" ht="9.75" customHeight="1" x14ac:dyDescent="0.15">
      <c r="A209" s="559" t="s">
        <v>648</v>
      </c>
      <c r="B209" s="290" t="s">
        <v>986</v>
      </c>
      <c r="C209" s="290" t="s">
        <v>986</v>
      </c>
      <c r="D209" s="290" t="s">
        <v>986</v>
      </c>
      <c r="E209" s="290" t="s">
        <v>986</v>
      </c>
      <c r="F209" s="290" t="s">
        <v>986</v>
      </c>
      <c r="G209" s="290" t="s">
        <v>986</v>
      </c>
      <c r="H209" s="290" t="s">
        <v>986</v>
      </c>
      <c r="I209" s="290" t="s">
        <v>986</v>
      </c>
      <c r="J209" s="290">
        <v>616534</v>
      </c>
      <c r="K209" s="290">
        <v>156924</v>
      </c>
      <c r="L209" s="290">
        <v>459610</v>
      </c>
      <c r="M209" s="290">
        <v>105564</v>
      </c>
      <c r="N209" s="290">
        <v>105550</v>
      </c>
      <c r="O209" s="290">
        <v>105550</v>
      </c>
      <c r="P209" s="290" t="s">
        <v>986</v>
      </c>
      <c r="Q209" s="290" t="s">
        <v>986</v>
      </c>
      <c r="R209" s="290" t="s">
        <v>986</v>
      </c>
      <c r="S209" s="290">
        <v>14</v>
      </c>
      <c r="T209" s="290">
        <v>14</v>
      </c>
      <c r="U209" s="290">
        <v>500647</v>
      </c>
      <c r="V209" s="290">
        <v>49017</v>
      </c>
      <c r="W209" s="295" t="s">
        <v>76</v>
      </c>
    </row>
    <row r="210" spans="1:23" s="290" customFormat="1" ht="9.75" customHeight="1" x14ac:dyDescent="0.15">
      <c r="A210" s="559" t="s">
        <v>649</v>
      </c>
      <c r="B210" s="290" t="s">
        <v>986</v>
      </c>
      <c r="C210" s="290" t="s">
        <v>986</v>
      </c>
      <c r="D210" s="290" t="s">
        <v>986</v>
      </c>
      <c r="E210" s="290" t="s">
        <v>986</v>
      </c>
      <c r="F210" s="290" t="s">
        <v>986</v>
      </c>
      <c r="G210" s="290" t="s">
        <v>986</v>
      </c>
      <c r="H210" s="290" t="s">
        <v>986</v>
      </c>
      <c r="I210" s="290" t="s">
        <v>986</v>
      </c>
      <c r="J210" s="290">
        <v>645125</v>
      </c>
      <c r="K210" s="290" t="s">
        <v>986</v>
      </c>
      <c r="L210" s="290">
        <v>645125</v>
      </c>
      <c r="M210" s="290">
        <v>89959</v>
      </c>
      <c r="N210" s="290">
        <v>89945</v>
      </c>
      <c r="O210" s="290">
        <v>89945</v>
      </c>
      <c r="P210" s="290" t="s">
        <v>986</v>
      </c>
      <c r="Q210" s="290" t="s">
        <v>986</v>
      </c>
      <c r="R210" s="290" t="s">
        <v>986</v>
      </c>
      <c r="S210" s="290">
        <v>14</v>
      </c>
      <c r="T210" s="290">
        <v>14</v>
      </c>
      <c r="U210" s="290">
        <v>433019</v>
      </c>
      <c r="V210" s="290">
        <v>113338</v>
      </c>
      <c r="W210" s="295" t="s">
        <v>77</v>
      </c>
    </row>
    <row r="211" spans="1:23" s="290" customFormat="1" ht="9.75" customHeight="1" x14ac:dyDescent="0.15">
      <c r="A211" s="559" t="s">
        <v>650</v>
      </c>
      <c r="B211" s="290" t="s">
        <v>986</v>
      </c>
      <c r="C211" s="290" t="s">
        <v>986</v>
      </c>
      <c r="D211" s="290" t="s">
        <v>986</v>
      </c>
      <c r="E211" s="290" t="s">
        <v>986</v>
      </c>
      <c r="F211" s="290" t="s">
        <v>986</v>
      </c>
      <c r="G211" s="290" t="s">
        <v>986</v>
      </c>
      <c r="H211" s="290" t="s">
        <v>986</v>
      </c>
      <c r="I211" s="290" t="s">
        <v>986</v>
      </c>
      <c r="J211" s="290">
        <v>690517</v>
      </c>
      <c r="K211" s="290" t="s">
        <v>986</v>
      </c>
      <c r="L211" s="290">
        <v>690517</v>
      </c>
      <c r="M211" s="290">
        <v>139582</v>
      </c>
      <c r="N211" s="290">
        <v>139566</v>
      </c>
      <c r="O211" s="290">
        <v>139566</v>
      </c>
      <c r="P211" s="290" t="s">
        <v>986</v>
      </c>
      <c r="Q211" s="290" t="s">
        <v>986</v>
      </c>
      <c r="R211" s="290" t="s">
        <v>986</v>
      </c>
      <c r="S211" s="290">
        <v>16</v>
      </c>
      <c r="T211" s="290">
        <v>16</v>
      </c>
      <c r="U211" s="290">
        <v>520766</v>
      </c>
      <c r="V211" s="290">
        <v>143899</v>
      </c>
      <c r="W211" s="295" t="s">
        <v>78</v>
      </c>
    </row>
    <row r="212" spans="1:23" s="290" customFormat="1" ht="9.75" customHeight="1" x14ac:dyDescent="0.15">
      <c r="A212" s="559" t="s">
        <v>996</v>
      </c>
      <c r="B212" s="290" t="s">
        <v>986</v>
      </c>
      <c r="C212" s="290" t="s">
        <v>986</v>
      </c>
      <c r="D212" s="290" t="s">
        <v>986</v>
      </c>
      <c r="E212" s="290" t="s">
        <v>986</v>
      </c>
      <c r="F212" s="290" t="s">
        <v>986</v>
      </c>
      <c r="G212" s="290" t="s">
        <v>986</v>
      </c>
      <c r="H212" s="290" t="s">
        <v>986</v>
      </c>
      <c r="I212" s="290" t="s">
        <v>986</v>
      </c>
      <c r="J212" s="290">
        <v>633647</v>
      </c>
      <c r="K212" s="290">
        <v>831</v>
      </c>
      <c r="L212" s="290">
        <v>632816</v>
      </c>
      <c r="M212" s="290">
        <v>20</v>
      </c>
      <c r="N212" s="290" t="s">
        <v>986</v>
      </c>
      <c r="O212" s="290" t="s">
        <v>986</v>
      </c>
      <c r="P212" s="290" t="s">
        <v>986</v>
      </c>
      <c r="Q212" s="290" t="s">
        <v>986</v>
      </c>
      <c r="R212" s="290" t="s">
        <v>986</v>
      </c>
      <c r="S212" s="290">
        <v>20</v>
      </c>
      <c r="T212" s="290">
        <v>20</v>
      </c>
      <c r="U212" s="290">
        <v>427080</v>
      </c>
      <c r="V212" s="290">
        <v>161925</v>
      </c>
      <c r="W212" s="295" t="s">
        <v>997</v>
      </c>
    </row>
    <row r="213" spans="1:23" s="290" customFormat="1" ht="9.75" customHeight="1" x14ac:dyDescent="0.15">
      <c r="A213" s="559" t="s">
        <v>651</v>
      </c>
      <c r="B213" s="290" t="s">
        <v>986</v>
      </c>
      <c r="C213" s="290" t="s">
        <v>986</v>
      </c>
      <c r="D213" s="290" t="s">
        <v>986</v>
      </c>
      <c r="E213" s="290" t="s">
        <v>986</v>
      </c>
      <c r="F213" s="290" t="s">
        <v>986</v>
      </c>
      <c r="G213" s="290" t="s">
        <v>986</v>
      </c>
      <c r="H213" s="290" t="s">
        <v>986</v>
      </c>
      <c r="I213" s="290" t="s">
        <v>986</v>
      </c>
      <c r="J213" s="290">
        <v>581056</v>
      </c>
      <c r="K213" s="290" t="s">
        <v>986</v>
      </c>
      <c r="L213" s="290">
        <v>581056</v>
      </c>
      <c r="M213" s="290">
        <v>16</v>
      </c>
      <c r="N213" s="290" t="s">
        <v>986</v>
      </c>
      <c r="O213" s="290" t="s">
        <v>986</v>
      </c>
      <c r="P213" s="290" t="s">
        <v>986</v>
      </c>
      <c r="Q213" s="290" t="s">
        <v>986</v>
      </c>
      <c r="R213" s="290" t="s">
        <v>986</v>
      </c>
      <c r="S213" s="290">
        <v>16</v>
      </c>
      <c r="T213" s="290">
        <v>16</v>
      </c>
      <c r="U213" s="290">
        <v>367982</v>
      </c>
      <c r="V213" s="290">
        <v>56337</v>
      </c>
      <c r="W213" s="295" t="s">
        <v>73</v>
      </c>
    </row>
    <row r="214" spans="1:23" s="290" customFormat="1" ht="9.75" customHeight="1" x14ac:dyDescent="0.15">
      <c r="A214" s="560" t="s">
        <v>652</v>
      </c>
      <c r="B214" s="294" t="s">
        <v>986</v>
      </c>
      <c r="C214" s="293" t="s">
        <v>986</v>
      </c>
      <c r="D214" s="293" t="s">
        <v>986</v>
      </c>
      <c r="E214" s="293" t="s">
        <v>986</v>
      </c>
      <c r="F214" s="293" t="s">
        <v>986</v>
      </c>
      <c r="G214" s="293" t="s">
        <v>986</v>
      </c>
      <c r="H214" s="293" t="s">
        <v>986</v>
      </c>
      <c r="I214" s="293" t="s">
        <v>986</v>
      </c>
      <c r="J214" s="293">
        <v>644999</v>
      </c>
      <c r="K214" s="293" t="s">
        <v>986</v>
      </c>
      <c r="L214" s="293">
        <v>644999</v>
      </c>
      <c r="M214" s="293">
        <v>8</v>
      </c>
      <c r="N214" s="293" t="s">
        <v>986</v>
      </c>
      <c r="O214" s="293" t="s">
        <v>986</v>
      </c>
      <c r="P214" s="293" t="s">
        <v>986</v>
      </c>
      <c r="Q214" s="293" t="s">
        <v>986</v>
      </c>
      <c r="R214" s="293" t="s">
        <v>986</v>
      </c>
      <c r="S214" s="293">
        <v>8</v>
      </c>
      <c r="T214" s="293">
        <v>8</v>
      </c>
      <c r="U214" s="293">
        <v>695507</v>
      </c>
      <c r="V214" s="293">
        <v>366103</v>
      </c>
      <c r="W214" s="291" t="s">
        <v>74</v>
      </c>
    </row>
    <row r="215" spans="1:23" ht="12" customHeight="1" x14ac:dyDescent="0.15"/>
    <row r="216" spans="1:23" ht="12" customHeight="1" x14ac:dyDescent="0.15"/>
    <row r="217" spans="1:23" ht="12" customHeight="1" x14ac:dyDescent="0.15">
      <c r="K217" s="299" t="s">
        <v>93</v>
      </c>
      <c r="V217" s="302" t="s">
        <v>858</v>
      </c>
    </row>
    <row r="218" spans="1:23" s="297" customFormat="1" ht="21" customHeight="1" x14ac:dyDescent="0.15">
      <c r="A218" s="1053" t="s">
        <v>172</v>
      </c>
      <c r="B218" s="832" t="s">
        <v>337</v>
      </c>
      <c r="C218" s="827"/>
      <c r="D218" s="827"/>
      <c r="E218" s="827"/>
      <c r="F218" s="827"/>
      <c r="G218" s="827"/>
      <c r="H218" s="827"/>
      <c r="I218" s="827"/>
      <c r="J218" s="827"/>
      <c r="K218" s="827"/>
      <c r="L218" s="827"/>
      <c r="M218" s="827"/>
      <c r="N218" s="827"/>
      <c r="O218" s="827"/>
      <c r="P218" s="827"/>
      <c r="Q218" s="827"/>
      <c r="R218" s="827"/>
      <c r="S218" s="827"/>
      <c r="T218" s="827"/>
      <c r="U218" s="827"/>
      <c r="V218" s="827"/>
      <c r="W218" s="1056" t="s">
        <v>79</v>
      </c>
    </row>
    <row r="219" spans="1:23" s="297" customFormat="1" ht="21" customHeight="1" x14ac:dyDescent="0.15">
      <c r="A219" s="1054"/>
      <c r="B219" s="832" t="s">
        <v>260</v>
      </c>
      <c r="C219" s="827"/>
      <c r="D219" s="827"/>
      <c r="E219" s="827"/>
      <c r="F219" s="827"/>
      <c r="G219" s="827"/>
      <c r="H219" s="827"/>
      <c r="I219" s="827"/>
      <c r="J219" s="827"/>
      <c r="K219" s="834"/>
      <c r="L219" s="826" t="s">
        <v>259</v>
      </c>
      <c r="M219" s="827"/>
      <c r="N219" s="834"/>
      <c r="O219" s="826" t="s">
        <v>258</v>
      </c>
      <c r="P219" s="827"/>
      <c r="Q219" s="827"/>
      <c r="R219" s="834"/>
      <c r="S219" s="826" t="s">
        <v>257</v>
      </c>
      <c r="T219" s="827"/>
      <c r="U219" s="827"/>
      <c r="V219" s="827"/>
      <c r="W219" s="1057"/>
    </row>
    <row r="220" spans="1:23" s="297" customFormat="1" ht="52.5" customHeight="1" x14ac:dyDescent="0.15">
      <c r="A220" s="1055"/>
      <c r="B220" s="298" t="s">
        <v>256</v>
      </c>
      <c r="C220" s="298" t="s">
        <v>852</v>
      </c>
      <c r="D220" s="298" t="s">
        <v>271</v>
      </c>
      <c r="E220" s="298" t="s">
        <v>277</v>
      </c>
      <c r="F220" s="298" t="s">
        <v>276</v>
      </c>
      <c r="G220" s="298" t="s">
        <v>255</v>
      </c>
      <c r="H220" s="298" t="s">
        <v>254</v>
      </c>
      <c r="I220" s="298" t="s">
        <v>303</v>
      </c>
      <c r="J220" s="298" t="s">
        <v>252</v>
      </c>
      <c r="K220" s="298" t="s">
        <v>300</v>
      </c>
      <c r="L220" s="696" t="s">
        <v>101</v>
      </c>
      <c r="M220" s="301" t="s">
        <v>854</v>
      </c>
      <c r="N220" s="298" t="s">
        <v>248</v>
      </c>
      <c r="O220" s="696" t="s">
        <v>855</v>
      </c>
      <c r="P220" s="298" t="s">
        <v>244</v>
      </c>
      <c r="Q220" s="298" t="s">
        <v>297</v>
      </c>
      <c r="R220" s="298" t="s">
        <v>266</v>
      </c>
      <c r="S220" s="696" t="s">
        <v>856</v>
      </c>
      <c r="T220" s="298" t="s">
        <v>318</v>
      </c>
      <c r="U220" s="298" t="s">
        <v>243</v>
      </c>
      <c r="V220" s="300" t="s">
        <v>317</v>
      </c>
      <c r="W220" s="1058"/>
    </row>
    <row r="221" spans="1:23" s="290" customFormat="1" ht="9.75" customHeight="1" x14ac:dyDescent="0.15">
      <c r="A221" s="828" t="s">
        <v>985</v>
      </c>
      <c r="B221" s="829">
        <v>507817</v>
      </c>
      <c r="C221" s="830">
        <v>365579</v>
      </c>
      <c r="D221" s="830">
        <v>638684</v>
      </c>
      <c r="E221" s="830">
        <v>341653</v>
      </c>
      <c r="F221" s="830">
        <v>80107</v>
      </c>
      <c r="G221" s="830">
        <v>198304</v>
      </c>
      <c r="H221" s="830">
        <v>152563</v>
      </c>
      <c r="I221" s="830">
        <v>187999</v>
      </c>
      <c r="J221" s="830" t="s">
        <v>986</v>
      </c>
      <c r="K221" s="830" t="s">
        <v>986</v>
      </c>
      <c r="L221" s="830" t="s">
        <v>986</v>
      </c>
      <c r="M221" s="830" t="s">
        <v>986</v>
      </c>
      <c r="N221" s="830" t="s">
        <v>986</v>
      </c>
      <c r="O221" s="830">
        <v>246056</v>
      </c>
      <c r="P221" s="830">
        <v>68323</v>
      </c>
      <c r="Q221" s="830">
        <v>149254</v>
      </c>
      <c r="R221" s="830">
        <v>28479</v>
      </c>
      <c r="S221" s="830">
        <v>1478028</v>
      </c>
      <c r="T221" s="830">
        <v>164905</v>
      </c>
      <c r="U221" s="830" t="s">
        <v>986</v>
      </c>
      <c r="V221" s="830">
        <v>1313123</v>
      </c>
      <c r="W221" s="831" t="s">
        <v>485</v>
      </c>
    </row>
    <row r="222" spans="1:23" s="290" customFormat="1" ht="9.75" customHeight="1" x14ac:dyDescent="0.15">
      <c r="A222" s="559" t="s">
        <v>634</v>
      </c>
      <c r="B222" s="290">
        <v>801737</v>
      </c>
      <c r="C222" s="290">
        <v>76201</v>
      </c>
      <c r="D222" s="290">
        <v>50000</v>
      </c>
      <c r="E222" s="290">
        <v>127841</v>
      </c>
      <c r="F222" s="290">
        <v>43901</v>
      </c>
      <c r="G222" s="290">
        <v>85370</v>
      </c>
      <c r="H222" s="290">
        <v>195030</v>
      </c>
      <c r="I222" s="290">
        <v>89701</v>
      </c>
      <c r="J222" s="290" t="s">
        <v>986</v>
      </c>
      <c r="K222" s="290">
        <v>73877</v>
      </c>
      <c r="L222" s="290">
        <v>119888</v>
      </c>
      <c r="M222" s="290">
        <v>119888</v>
      </c>
      <c r="N222" s="290" t="s">
        <v>986</v>
      </c>
      <c r="O222" s="290">
        <v>12680</v>
      </c>
      <c r="P222" s="290">
        <v>12680</v>
      </c>
      <c r="Q222" s="290" t="s">
        <v>986</v>
      </c>
      <c r="R222" s="290" t="s">
        <v>986</v>
      </c>
      <c r="S222" s="290">
        <v>83186</v>
      </c>
      <c r="T222" s="290" t="s">
        <v>986</v>
      </c>
      <c r="U222" s="290" t="s">
        <v>986</v>
      </c>
      <c r="V222" s="290">
        <v>83186</v>
      </c>
      <c r="W222" s="295" t="s">
        <v>588</v>
      </c>
    </row>
    <row r="223" spans="1:23" s="290" customFormat="1" ht="9.75" customHeight="1" x14ac:dyDescent="0.15">
      <c r="A223" s="559" t="s">
        <v>635</v>
      </c>
      <c r="B223" s="290">
        <v>645041</v>
      </c>
      <c r="C223" s="290">
        <v>113318</v>
      </c>
      <c r="D223" s="290" t="s">
        <v>986</v>
      </c>
      <c r="E223" s="290">
        <v>133072</v>
      </c>
      <c r="F223" s="290" t="s">
        <v>986</v>
      </c>
      <c r="G223" s="290">
        <v>147880</v>
      </c>
      <c r="H223" s="290">
        <v>102330</v>
      </c>
      <c r="I223" s="290">
        <v>405831</v>
      </c>
      <c r="J223" s="290" t="s">
        <v>986</v>
      </c>
      <c r="K223" s="290">
        <v>98377</v>
      </c>
      <c r="L223" s="290" t="s">
        <v>986</v>
      </c>
      <c r="M223" s="290" t="s">
        <v>986</v>
      </c>
      <c r="N223" s="290" t="s">
        <v>986</v>
      </c>
      <c r="O223" s="290">
        <v>100285</v>
      </c>
      <c r="P223" s="290">
        <v>51081</v>
      </c>
      <c r="Q223" s="290">
        <v>49204</v>
      </c>
      <c r="R223" s="290" t="s">
        <v>986</v>
      </c>
      <c r="S223" s="290">
        <v>833501</v>
      </c>
      <c r="T223" s="290">
        <v>136060</v>
      </c>
      <c r="U223" s="290">
        <v>97652</v>
      </c>
      <c r="V223" s="290">
        <v>599789</v>
      </c>
      <c r="W223" s="295" t="s">
        <v>636</v>
      </c>
    </row>
    <row r="224" spans="1:23" s="290" customFormat="1" ht="9.75" customHeight="1" x14ac:dyDescent="0.15">
      <c r="A224" s="559" t="s">
        <v>774</v>
      </c>
      <c r="B224" s="290">
        <v>285920</v>
      </c>
      <c r="C224" s="290" t="s">
        <v>986</v>
      </c>
      <c r="D224" s="290" t="s">
        <v>986</v>
      </c>
      <c r="E224" s="290">
        <v>37295</v>
      </c>
      <c r="F224" s="290">
        <v>97751</v>
      </c>
      <c r="G224" s="290">
        <v>441006</v>
      </c>
      <c r="H224" s="290">
        <v>66632</v>
      </c>
      <c r="I224" s="290">
        <v>1218656</v>
      </c>
      <c r="J224" s="290">
        <v>1697</v>
      </c>
      <c r="K224" s="290">
        <v>511468</v>
      </c>
      <c r="L224" s="290">
        <v>123708</v>
      </c>
      <c r="M224" s="290" t="s">
        <v>986</v>
      </c>
      <c r="N224" s="290">
        <v>123708</v>
      </c>
      <c r="O224" s="290">
        <v>436912</v>
      </c>
      <c r="P224" s="290">
        <v>89353</v>
      </c>
      <c r="Q224" s="290">
        <v>347559</v>
      </c>
      <c r="R224" s="290" t="s">
        <v>986</v>
      </c>
      <c r="S224" s="290">
        <v>949279</v>
      </c>
      <c r="T224" s="290">
        <v>90681</v>
      </c>
      <c r="U224" s="290" t="s">
        <v>986</v>
      </c>
      <c r="V224" s="290">
        <v>858598</v>
      </c>
      <c r="W224" s="295" t="s">
        <v>775</v>
      </c>
    </row>
    <row r="225" spans="1:23" s="290" customFormat="1" ht="9.75" customHeight="1" x14ac:dyDescent="0.15">
      <c r="A225" s="559" t="s">
        <v>987</v>
      </c>
      <c r="B225" s="290">
        <v>429441</v>
      </c>
      <c r="C225" s="290" t="s">
        <v>986</v>
      </c>
      <c r="D225" s="290" t="s">
        <v>986</v>
      </c>
      <c r="E225" s="290">
        <v>119949</v>
      </c>
      <c r="F225" s="290" t="s">
        <v>986</v>
      </c>
      <c r="G225" s="290">
        <v>163504</v>
      </c>
      <c r="H225" s="290">
        <v>124801</v>
      </c>
      <c r="I225" s="290">
        <v>593025</v>
      </c>
      <c r="J225" s="290">
        <v>1697</v>
      </c>
      <c r="K225" s="290">
        <v>313301</v>
      </c>
      <c r="L225" s="290" t="s">
        <v>986</v>
      </c>
      <c r="M225" s="290" t="s">
        <v>986</v>
      </c>
      <c r="N225" s="290" t="s">
        <v>986</v>
      </c>
      <c r="O225" s="290">
        <v>629356</v>
      </c>
      <c r="P225" s="290">
        <v>62149</v>
      </c>
      <c r="Q225" s="290">
        <v>567207</v>
      </c>
      <c r="R225" s="290" t="s">
        <v>986</v>
      </c>
      <c r="S225" s="290">
        <v>985722</v>
      </c>
      <c r="T225" s="290">
        <v>90366</v>
      </c>
      <c r="U225" s="290">
        <v>97541</v>
      </c>
      <c r="V225" s="290">
        <v>797815</v>
      </c>
      <c r="W225" s="295" t="s">
        <v>988</v>
      </c>
    </row>
    <row r="226" spans="1:23" s="290" customFormat="1" ht="6.75" customHeight="1" x14ac:dyDescent="0.15">
      <c r="A226" s="578"/>
      <c r="W226" s="295"/>
    </row>
    <row r="227" spans="1:23" s="290" customFormat="1" ht="9.75" customHeight="1" x14ac:dyDescent="0.15">
      <c r="A227" s="559" t="s">
        <v>989</v>
      </c>
      <c r="B227" s="290">
        <v>259456</v>
      </c>
      <c r="C227" s="290" t="s">
        <v>986</v>
      </c>
      <c r="D227" s="290" t="s">
        <v>986</v>
      </c>
      <c r="E227" s="290">
        <v>66051</v>
      </c>
      <c r="F227" s="290">
        <v>47700</v>
      </c>
      <c r="G227" s="290">
        <v>429741</v>
      </c>
      <c r="H227" s="290">
        <v>66632</v>
      </c>
      <c r="I227" s="290">
        <v>976366</v>
      </c>
      <c r="J227" s="290">
        <v>1697</v>
      </c>
      <c r="K227" s="290">
        <v>444472</v>
      </c>
      <c r="L227" s="290">
        <v>123708</v>
      </c>
      <c r="M227" s="290" t="s">
        <v>986</v>
      </c>
      <c r="N227" s="290">
        <v>123708</v>
      </c>
      <c r="O227" s="290">
        <v>779670</v>
      </c>
      <c r="P227" s="290">
        <v>62090</v>
      </c>
      <c r="Q227" s="290">
        <v>717580</v>
      </c>
      <c r="R227" s="290" t="s">
        <v>986</v>
      </c>
      <c r="S227" s="290">
        <v>1009463</v>
      </c>
      <c r="T227" s="290">
        <v>45350</v>
      </c>
      <c r="U227" s="290">
        <v>49100</v>
      </c>
      <c r="V227" s="290">
        <v>915013</v>
      </c>
      <c r="W227" s="295" t="s">
        <v>776</v>
      </c>
    </row>
    <row r="228" spans="1:23" s="290" customFormat="1" ht="9.75" customHeight="1" x14ac:dyDescent="0.15">
      <c r="A228" s="559" t="s">
        <v>990</v>
      </c>
      <c r="B228" s="290">
        <v>426713</v>
      </c>
      <c r="C228" s="290">
        <v>99415</v>
      </c>
      <c r="D228" s="290" t="s">
        <v>986</v>
      </c>
      <c r="E228" s="290">
        <v>139994</v>
      </c>
      <c r="F228" s="290" t="s">
        <v>986</v>
      </c>
      <c r="G228" s="290">
        <v>20500</v>
      </c>
      <c r="H228" s="290">
        <v>124801</v>
      </c>
      <c r="I228" s="290">
        <v>689157</v>
      </c>
      <c r="J228" s="290">
        <v>1697</v>
      </c>
      <c r="K228" s="290">
        <v>281292</v>
      </c>
      <c r="L228" s="290" t="s">
        <v>986</v>
      </c>
      <c r="M228" s="290" t="s">
        <v>986</v>
      </c>
      <c r="N228" s="290" t="s">
        <v>986</v>
      </c>
      <c r="O228" s="290">
        <v>259335</v>
      </c>
      <c r="P228" s="290">
        <v>62149</v>
      </c>
      <c r="Q228" s="290">
        <v>197186</v>
      </c>
      <c r="R228" s="290" t="s">
        <v>986</v>
      </c>
      <c r="S228" s="290">
        <v>886607</v>
      </c>
      <c r="T228" s="290">
        <v>90366</v>
      </c>
      <c r="U228" s="290">
        <v>98491</v>
      </c>
      <c r="V228" s="290">
        <v>697750</v>
      </c>
      <c r="W228" s="295" t="s">
        <v>991</v>
      </c>
    </row>
    <row r="229" spans="1:23" s="290" customFormat="1" ht="6.75" customHeight="1" x14ac:dyDescent="0.15">
      <c r="A229" s="578"/>
      <c r="W229" s="295"/>
    </row>
    <row r="230" spans="1:23" s="290" customFormat="1" ht="9.75" customHeight="1" x14ac:dyDescent="0.15">
      <c r="A230" s="559" t="s">
        <v>992</v>
      </c>
      <c r="B230" s="290">
        <v>98985</v>
      </c>
      <c r="C230" s="290" t="s">
        <v>986</v>
      </c>
      <c r="D230" s="290" t="s">
        <v>986</v>
      </c>
      <c r="E230" s="290">
        <v>28756</v>
      </c>
      <c r="F230" s="290" t="s">
        <v>986</v>
      </c>
      <c r="G230" s="290">
        <v>143004</v>
      </c>
      <c r="H230" s="290" t="s">
        <v>986</v>
      </c>
      <c r="I230" s="290">
        <v>143769</v>
      </c>
      <c r="J230" s="290" t="s">
        <v>986</v>
      </c>
      <c r="K230" s="290">
        <v>132000</v>
      </c>
      <c r="L230" s="290" t="s">
        <v>986</v>
      </c>
      <c r="M230" s="290" t="s">
        <v>986</v>
      </c>
      <c r="N230" s="290" t="s">
        <v>986</v>
      </c>
      <c r="O230" s="290">
        <v>370021</v>
      </c>
      <c r="P230" s="290" t="s">
        <v>986</v>
      </c>
      <c r="Q230" s="290">
        <v>370021</v>
      </c>
      <c r="R230" s="290" t="s">
        <v>986</v>
      </c>
      <c r="S230" s="290">
        <v>249970</v>
      </c>
      <c r="T230" s="290" t="s">
        <v>986</v>
      </c>
      <c r="U230" s="290">
        <v>49100</v>
      </c>
      <c r="V230" s="290">
        <v>200870</v>
      </c>
      <c r="W230" s="295" t="s">
        <v>777</v>
      </c>
    </row>
    <row r="231" spans="1:23" s="290" customFormat="1" ht="9.75" customHeight="1" x14ac:dyDescent="0.15">
      <c r="A231" s="559" t="s">
        <v>637</v>
      </c>
      <c r="B231" s="290">
        <v>218526</v>
      </c>
      <c r="C231" s="290" t="s">
        <v>986</v>
      </c>
      <c r="D231" s="290" t="s">
        <v>986</v>
      </c>
      <c r="E231" s="290">
        <v>24239</v>
      </c>
      <c r="F231" s="290" t="s">
        <v>986</v>
      </c>
      <c r="G231" s="290" t="s">
        <v>986</v>
      </c>
      <c r="H231" s="290">
        <v>124801</v>
      </c>
      <c r="I231" s="290">
        <v>209833</v>
      </c>
      <c r="J231" s="290" t="s">
        <v>986</v>
      </c>
      <c r="K231" s="290">
        <v>42300</v>
      </c>
      <c r="L231" s="290" t="s">
        <v>986</v>
      </c>
      <c r="M231" s="290" t="s">
        <v>986</v>
      </c>
      <c r="N231" s="290" t="s">
        <v>986</v>
      </c>
      <c r="O231" s="290">
        <v>49750</v>
      </c>
      <c r="P231" s="290" t="s">
        <v>986</v>
      </c>
      <c r="Q231" s="290">
        <v>49750</v>
      </c>
      <c r="R231" s="290" t="s">
        <v>986</v>
      </c>
      <c r="S231" s="290" t="s">
        <v>986</v>
      </c>
      <c r="T231" s="290" t="s">
        <v>986</v>
      </c>
      <c r="U231" s="290" t="s">
        <v>986</v>
      </c>
      <c r="V231" s="290" t="s">
        <v>986</v>
      </c>
      <c r="W231" s="295" t="s">
        <v>85</v>
      </c>
    </row>
    <row r="232" spans="1:23" s="290" customFormat="1" ht="9.75" customHeight="1" x14ac:dyDescent="0.15">
      <c r="A232" s="559" t="s">
        <v>638</v>
      </c>
      <c r="B232" s="290">
        <v>88626</v>
      </c>
      <c r="C232" s="290" t="s">
        <v>986</v>
      </c>
      <c r="D232" s="290" t="s">
        <v>986</v>
      </c>
      <c r="E232" s="290">
        <v>66954</v>
      </c>
      <c r="F232" s="290" t="s">
        <v>986</v>
      </c>
      <c r="G232" s="290">
        <v>20500</v>
      </c>
      <c r="H232" s="290" t="s">
        <v>986</v>
      </c>
      <c r="I232" s="290">
        <v>95474</v>
      </c>
      <c r="J232" s="290">
        <v>1697</v>
      </c>
      <c r="K232" s="290" t="s">
        <v>986</v>
      </c>
      <c r="L232" s="290" t="s">
        <v>986</v>
      </c>
      <c r="M232" s="290" t="s">
        <v>986</v>
      </c>
      <c r="N232" s="290" t="s">
        <v>986</v>
      </c>
      <c r="O232" s="290">
        <v>94700</v>
      </c>
      <c r="P232" s="290">
        <v>44660</v>
      </c>
      <c r="Q232" s="290">
        <v>50040</v>
      </c>
      <c r="R232" s="290" t="s">
        <v>986</v>
      </c>
      <c r="S232" s="290">
        <v>364366</v>
      </c>
      <c r="T232" s="290">
        <v>90366</v>
      </c>
      <c r="U232" s="290" t="s">
        <v>986</v>
      </c>
      <c r="V232" s="290">
        <v>274000</v>
      </c>
      <c r="W232" s="295" t="s">
        <v>86</v>
      </c>
    </row>
    <row r="233" spans="1:23" s="290" customFormat="1" ht="9.75" customHeight="1" x14ac:dyDescent="0.15">
      <c r="A233" s="559" t="s">
        <v>639</v>
      </c>
      <c r="B233" s="290">
        <v>23304</v>
      </c>
      <c r="C233" s="290" t="s">
        <v>986</v>
      </c>
      <c r="D233" s="290" t="s">
        <v>986</v>
      </c>
      <c r="E233" s="290" t="s">
        <v>986</v>
      </c>
      <c r="F233" s="290" t="s">
        <v>986</v>
      </c>
      <c r="G233" s="290" t="s">
        <v>986</v>
      </c>
      <c r="H233" s="290" t="s">
        <v>986</v>
      </c>
      <c r="I233" s="290">
        <v>143949</v>
      </c>
      <c r="J233" s="290" t="s">
        <v>986</v>
      </c>
      <c r="K233" s="290">
        <v>139001</v>
      </c>
      <c r="L233" s="290" t="s">
        <v>986</v>
      </c>
      <c r="M233" s="290" t="s">
        <v>986</v>
      </c>
      <c r="N233" s="290" t="s">
        <v>986</v>
      </c>
      <c r="O233" s="290">
        <v>114885</v>
      </c>
      <c r="P233" s="290">
        <v>17489</v>
      </c>
      <c r="Q233" s="290">
        <v>97396</v>
      </c>
      <c r="R233" s="290" t="s">
        <v>986</v>
      </c>
      <c r="S233" s="290">
        <v>371386</v>
      </c>
      <c r="T233" s="290" t="s">
        <v>986</v>
      </c>
      <c r="U233" s="290">
        <v>48441</v>
      </c>
      <c r="V233" s="290">
        <v>322945</v>
      </c>
      <c r="W233" s="295" t="s">
        <v>87</v>
      </c>
    </row>
    <row r="234" spans="1:23" s="290" customFormat="1" ht="9.75" customHeight="1" x14ac:dyDescent="0.15">
      <c r="A234" s="559" t="s">
        <v>993</v>
      </c>
      <c r="B234" s="290">
        <v>96257</v>
      </c>
      <c r="C234" s="290">
        <v>99415</v>
      </c>
      <c r="D234" s="290" t="s">
        <v>986</v>
      </c>
      <c r="E234" s="290">
        <v>48801</v>
      </c>
      <c r="F234" s="290" t="s">
        <v>986</v>
      </c>
      <c r="G234" s="290" t="s">
        <v>986</v>
      </c>
      <c r="H234" s="290" t="s">
        <v>986</v>
      </c>
      <c r="I234" s="290">
        <v>239901</v>
      </c>
      <c r="J234" s="290" t="s">
        <v>986</v>
      </c>
      <c r="K234" s="290">
        <v>99991</v>
      </c>
      <c r="L234" s="290" t="s">
        <v>986</v>
      </c>
      <c r="M234" s="290" t="s">
        <v>986</v>
      </c>
      <c r="N234" s="290" t="s">
        <v>986</v>
      </c>
      <c r="O234" s="290" t="s">
        <v>986</v>
      </c>
      <c r="P234" s="290" t="s">
        <v>986</v>
      </c>
      <c r="Q234" s="290" t="s">
        <v>986</v>
      </c>
      <c r="R234" s="290" t="s">
        <v>986</v>
      </c>
      <c r="S234" s="290">
        <v>150855</v>
      </c>
      <c r="T234" s="290" t="s">
        <v>986</v>
      </c>
      <c r="U234" s="290">
        <v>50050</v>
      </c>
      <c r="V234" s="290">
        <v>100805</v>
      </c>
      <c r="W234" s="295" t="s">
        <v>994</v>
      </c>
    </row>
    <row r="235" spans="1:23" s="290" customFormat="1" ht="6.75" customHeight="1" x14ac:dyDescent="0.15">
      <c r="A235" s="578"/>
      <c r="W235" s="295"/>
    </row>
    <row r="236" spans="1:23" s="290" customFormat="1" ht="9.75" customHeight="1" x14ac:dyDescent="0.15">
      <c r="A236" s="559" t="s">
        <v>995</v>
      </c>
      <c r="B236" s="290" t="s">
        <v>986</v>
      </c>
      <c r="C236" s="290" t="s">
        <v>986</v>
      </c>
      <c r="D236" s="290" t="s">
        <v>986</v>
      </c>
      <c r="E236" s="290">
        <v>28756</v>
      </c>
      <c r="F236" s="290" t="s">
        <v>986</v>
      </c>
      <c r="G236" s="290">
        <v>43002</v>
      </c>
      <c r="H236" s="290" t="s">
        <v>986</v>
      </c>
      <c r="I236" s="290">
        <v>96089</v>
      </c>
      <c r="J236" s="290" t="s">
        <v>986</v>
      </c>
      <c r="K236" s="290">
        <v>44300</v>
      </c>
      <c r="L236" s="290" t="s">
        <v>986</v>
      </c>
      <c r="M236" s="290" t="s">
        <v>986</v>
      </c>
      <c r="N236" s="290" t="s">
        <v>986</v>
      </c>
      <c r="O236" s="290">
        <v>139861</v>
      </c>
      <c r="P236" s="290" t="s">
        <v>986</v>
      </c>
      <c r="Q236" s="290">
        <v>139861</v>
      </c>
      <c r="R236" s="290" t="s">
        <v>986</v>
      </c>
      <c r="S236" s="290">
        <v>200870</v>
      </c>
      <c r="T236" s="290" t="s">
        <v>986</v>
      </c>
      <c r="U236" s="290" t="s">
        <v>986</v>
      </c>
      <c r="V236" s="290">
        <v>200870</v>
      </c>
      <c r="W236" s="295" t="s">
        <v>778</v>
      </c>
    </row>
    <row r="237" spans="1:23" s="290" customFormat="1" ht="9.75" customHeight="1" x14ac:dyDescent="0.15">
      <c r="A237" s="559" t="s">
        <v>640</v>
      </c>
      <c r="B237" s="290">
        <v>49995</v>
      </c>
      <c r="C237" s="290" t="s">
        <v>986</v>
      </c>
      <c r="D237" s="290" t="s">
        <v>986</v>
      </c>
      <c r="E237" s="290" t="s">
        <v>986</v>
      </c>
      <c r="F237" s="290" t="s">
        <v>986</v>
      </c>
      <c r="G237" s="290">
        <v>100002</v>
      </c>
      <c r="H237" s="290" t="s">
        <v>986</v>
      </c>
      <c r="I237" s="290" t="s">
        <v>986</v>
      </c>
      <c r="J237" s="290" t="s">
        <v>986</v>
      </c>
      <c r="K237" s="290">
        <v>42300</v>
      </c>
      <c r="L237" s="290" t="s">
        <v>986</v>
      </c>
      <c r="M237" s="290" t="s">
        <v>986</v>
      </c>
      <c r="N237" s="290" t="s">
        <v>986</v>
      </c>
      <c r="O237" s="290">
        <v>88085</v>
      </c>
      <c r="P237" s="290" t="s">
        <v>986</v>
      </c>
      <c r="Q237" s="290">
        <v>88085</v>
      </c>
      <c r="R237" s="290" t="s">
        <v>986</v>
      </c>
      <c r="S237" s="290" t="s">
        <v>986</v>
      </c>
      <c r="T237" s="290" t="s">
        <v>986</v>
      </c>
      <c r="U237" s="290" t="s">
        <v>986</v>
      </c>
      <c r="V237" s="290" t="s">
        <v>986</v>
      </c>
      <c r="W237" s="295" t="s">
        <v>73</v>
      </c>
    </row>
    <row r="238" spans="1:23" s="290" customFormat="1" ht="9.75" customHeight="1" x14ac:dyDescent="0.15">
      <c r="A238" s="559" t="s">
        <v>641</v>
      </c>
      <c r="B238" s="290">
        <v>48990</v>
      </c>
      <c r="C238" s="290" t="s">
        <v>986</v>
      </c>
      <c r="D238" s="290" t="s">
        <v>986</v>
      </c>
      <c r="E238" s="290" t="s">
        <v>986</v>
      </c>
      <c r="F238" s="290" t="s">
        <v>986</v>
      </c>
      <c r="G238" s="290" t="s">
        <v>986</v>
      </c>
      <c r="H238" s="290" t="s">
        <v>986</v>
      </c>
      <c r="I238" s="290">
        <v>47680</v>
      </c>
      <c r="J238" s="290" t="s">
        <v>986</v>
      </c>
      <c r="K238" s="290">
        <v>45400</v>
      </c>
      <c r="L238" s="290" t="s">
        <v>986</v>
      </c>
      <c r="M238" s="290" t="s">
        <v>986</v>
      </c>
      <c r="N238" s="290" t="s">
        <v>986</v>
      </c>
      <c r="O238" s="290">
        <v>142075</v>
      </c>
      <c r="P238" s="290" t="s">
        <v>986</v>
      </c>
      <c r="Q238" s="290">
        <v>142075</v>
      </c>
      <c r="R238" s="290" t="s">
        <v>986</v>
      </c>
      <c r="S238" s="290">
        <v>49100</v>
      </c>
      <c r="T238" s="290" t="s">
        <v>986</v>
      </c>
      <c r="U238" s="290">
        <v>49100</v>
      </c>
      <c r="V238" s="290" t="s">
        <v>986</v>
      </c>
      <c r="W238" s="295" t="s">
        <v>74</v>
      </c>
    </row>
    <row r="239" spans="1:23" s="290" customFormat="1" ht="9.75" customHeight="1" x14ac:dyDescent="0.15">
      <c r="A239" s="559" t="s">
        <v>642</v>
      </c>
      <c r="B239" s="290" t="s">
        <v>986</v>
      </c>
      <c r="C239" s="290" t="s">
        <v>986</v>
      </c>
      <c r="D239" s="290" t="s">
        <v>986</v>
      </c>
      <c r="E239" s="290" t="s">
        <v>986</v>
      </c>
      <c r="F239" s="290" t="s">
        <v>986</v>
      </c>
      <c r="G239" s="290" t="s">
        <v>986</v>
      </c>
      <c r="H239" s="290">
        <v>50020</v>
      </c>
      <c r="I239" s="290">
        <v>41333</v>
      </c>
      <c r="J239" s="290" t="s">
        <v>986</v>
      </c>
      <c r="K239" s="290" t="s">
        <v>986</v>
      </c>
      <c r="L239" s="290" t="s">
        <v>986</v>
      </c>
      <c r="M239" s="290" t="s">
        <v>986</v>
      </c>
      <c r="N239" s="290" t="s">
        <v>986</v>
      </c>
      <c r="O239" s="290">
        <v>49750</v>
      </c>
      <c r="P239" s="290" t="s">
        <v>986</v>
      </c>
      <c r="Q239" s="290">
        <v>49750</v>
      </c>
      <c r="R239" s="290" t="s">
        <v>986</v>
      </c>
      <c r="S239" s="290" t="s">
        <v>986</v>
      </c>
      <c r="T239" s="290" t="s">
        <v>986</v>
      </c>
      <c r="U239" s="290" t="s">
        <v>986</v>
      </c>
      <c r="V239" s="290" t="s">
        <v>986</v>
      </c>
      <c r="W239" s="295" t="s">
        <v>75</v>
      </c>
    </row>
    <row r="240" spans="1:23" s="290" customFormat="1" ht="9.75" customHeight="1" x14ac:dyDescent="0.15">
      <c r="A240" s="559" t="s">
        <v>643</v>
      </c>
      <c r="B240" s="290">
        <v>97380</v>
      </c>
      <c r="C240" s="290" t="s">
        <v>986</v>
      </c>
      <c r="D240" s="290" t="s">
        <v>986</v>
      </c>
      <c r="E240" s="290" t="s">
        <v>986</v>
      </c>
      <c r="F240" s="290" t="s">
        <v>986</v>
      </c>
      <c r="G240" s="290" t="s">
        <v>986</v>
      </c>
      <c r="H240" s="290">
        <v>74781</v>
      </c>
      <c r="I240" s="290">
        <v>100025</v>
      </c>
      <c r="J240" s="290" t="s">
        <v>986</v>
      </c>
      <c r="K240" s="290">
        <v>42300</v>
      </c>
      <c r="L240" s="290" t="s">
        <v>986</v>
      </c>
      <c r="M240" s="290" t="s">
        <v>986</v>
      </c>
      <c r="N240" s="290" t="s">
        <v>986</v>
      </c>
      <c r="O240" s="290" t="s">
        <v>986</v>
      </c>
      <c r="P240" s="290" t="s">
        <v>986</v>
      </c>
      <c r="Q240" s="290" t="s">
        <v>986</v>
      </c>
      <c r="R240" s="290" t="s">
        <v>986</v>
      </c>
      <c r="S240" s="290" t="s">
        <v>986</v>
      </c>
      <c r="T240" s="290" t="s">
        <v>986</v>
      </c>
      <c r="U240" s="290" t="s">
        <v>986</v>
      </c>
      <c r="V240" s="290" t="s">
        <v>986</v>
      </c>
      <c r="W240" s="295" t="s">
        <v>88</v>
      </c>
    </row>
    <row r="241" spans="1:23" s="290" customFormat="1" ht="9.75" customHeight="1" x14ac:dyDescent="0.15">
      <c r="A241" s="559" t="s">
        <v>644</v>
      </c>
      <c r="B241" s="290">
        <v>121146</v>
      </c>
      <c r="C241" s="290" t="s">
        <v>986</v>
      </c>
      <c r="D241" s="290" t="s">
        <v>986</v>
      </c>
      <c r="E241" s="290">
        <v>24239</v>
      </c>
      <c r="F241" s="290" t="s">
        <v>986</v>
      </c>
      <c r="G241" s="290" t="s">
        <v>986</v>
      </c>
      <c r="H241" s="290" t="s">
        <v>986</v>
      </c>
      <c r="I241" s="290">
        <v>68475</v>
      </c>
      <c r="J241" s="290" t="s">
        <v>986</v>
      </c>
      <c r="K241" s="290" t="s">
        <v>986</v>
      </c>
      <c r="L241" s="290" t="s">
        <v>986</v>
      </c>
      <c r="M241" s="290" t="s">
        <v>986</v>
      </c>
      <c r="N241" s="290" t="s">
        <v>986</v>
      </c>
      <c r="O241" s="290" t="s">
        <v>986</v>
      </c>
      <c r="P241" s="290" t="s">
        <v>986</v>
      </c>
      <c r="Q241" s="290" t="s">
        <v>986</v>
      </c>
      <c r="R241" s="290" t="s">
        <v>986</v>
      </c>
      <c r="S241" s="290" t="s">
        <v>986</v>
      </c>
      <c r="T241" s="290" t="s">
        <v>986</v>
      </c>
      <c r="U241" s="290" t="s">
        <v>986</v>
      </c>
      <c r="V241" s="290" t="s">
        <v>986</v>
      </c>
      <c r="W241" s="295" t="s">
        <v>89</v>
      </c>
    </row>
    <row r="242" spans="1:23" s="290" customFormat="1" ht="9.75" customHeight="1" x14ac:dyDescent="0.15">
      <c r="A242" s="559" t="s">
        <v>645</v>
      </c>
      <c r="B242" s="290">
        <v>49926</v>
      </c>
      <c r="C242" s="290" t="s">
        <v>986</v>
      </c>
      <c r="D242" s="290" t="s">
        <v>986</v>
      </c>
      <c r="E242" s="290">
        <v>66954</v>
      </c>
      <c r="F242" s="290" t="s">
        <v>986</v>
      </c>
      <c r="G242" s="290" t="s">
        <v>986</v>
      </c>
      <c r="H242" s="290" t="s">
        <v>986</v>
      </c>
      <c r="I242" s="290">
        <v>80525</v>
      </c>
      <c r="J242" s="290" t="s">
        <v>986</v>
      </c>
      <c r="K242" s="290" t="s">
        <v>986</v>
      </c>
      <c r="L242" s="290" t="s">
        <v>986</v>
      </c>
      <c r="M242" s="290" t="s">
        <v>986</v>
      </c>
      <c r="N242" s="290" t="s">
        <v>986</v>
      </c>
      <c r="O242" s="290">
        <v>37110</v>
      </c>
      <c r="P242" s="290">
        <v>37110</v>
      </c>
      <c r="Q242" s="290" t="s">
        <v>986</v>
      </c>
      <c r="R242" s="290" t="s">
        <v>986</v>
      </c>
      <c r="S242" s="290" t="s">
        <v>986</v>
      </c>
      <c r="T242" s="290" t="s">
        <v>986</v>
      </c>
      <c r="U242" s="290" t="s">
        <v>986</v>
      </c>
      <c r="V242" s="290" t="s">
        <v>986</v>
      </c>
      <c r="W242" s="295" t="s">
        <v>90</v>
      </c>
    </row>
    <row r="243" spans="1:23" s="290" customFormat="1" ht="9.75" customHeight="1" x14ac:dyDescent="0.15">
      <c r="A243" s="559" t="s">
        <v>646</v>
      </c>
      <c r="B243" s="290">
        <v>9530</v>
      </c>
      <c r="C243" s="290" t="s">
        <v>986</v>
      </c>
      <c r="D243" s="290" t="s">
        <v>986</v>
      </c>
      <c r="E243" s="290" t="s">
        <v>986</v>
      </c>
      <c r="F243" s="290" t="s">
        <v>986</v>
      </c>
      <c r="G243" s="290" t="s">
        <v>986</v>
      </c>
      <c r="H243" s="290" t="s">
        <v>986</v>
      </c>
      <c r="I243" s="290">
        <v>14949</v>
      </c>
      <c r="J243" s="290">
        <v>1697</v>
      </c>
      <c r="K243" s="290" t="s">
        <v>986</v>
      </c>
      <c r="L243" s="290" t="s">
        <v>986</v>
      </c>
      <c r="M243" s="290" t="s">
        <v>986</v>
      </c>
      <c r="N243" s="290" t="s">
        <v>986</v>
      </c>
      <c r="O243" s="290">
        <v>7550</v>
      </c>
      <c r="P243" s="290">
        <v>7550</v>
      </c>
      <c r="Q243" s="290" t="s">
        <v>986</v>
      </c>
      <c r="R243" s="290" t="s">
        <v>986</v>
      </c>
      <c r="S243" s="290" t="s">
        <v>986</v>
      </c>
      <c r="T243" s="290" t="s">
        <v>986</v>
      </c>
      <c r="U243" s="290" t="s">
        <v>986</v>
      </c>
      <c r="V243" s="290" t="s">
        <v>986</v>
      </c>
      <c r="W243" s="295" t="s">
        <v>91</v>
      </c>
    </row>
    <row r="244" spans="1:23" s="290" customFormat="1" ht="9.75" customHeight="1" x14ac:dyDescent="0.15">
      <c r="A244" s="559" t="s">
        <v>647</v>
      </c>
      <c r="B244" s="290">
        <v>29170</v>
      </c>
      <c r="C244" s="290" t="s">
        <v>986</v>
      </c>
      <c r="D244" s="290" t="s">
        <v>986</v>
      </c>
      <c r="E244" s="290" t="s">
        <v>986</v>
      </c>
      <c r="F244" s="290" t="s">
        <v>986</v>
      </c>
      <c r="G244" s="290">
        <v>20500</v>
      </c>
      <c r="H244" s="290" t="s">
        <v>986</v>
      </c>
      <c r="I244" s="290" t="s">
        <v>986</v>
      </c>
      <c r="J244" s="290" t="s">
        <v>986</v>
      </c>
      <c r="K244" s="290" t="s">
        <v>986</v>
      </c>
      <c r="L244" s="290" t="s">
        <v>986</v>
      </c>
      <c r="M244" s="290" t="s">
        <v>986</v>
      </c>
      <c r="N244" s="290" t="s">
        <v>986</v>
      </c>
      <c r="O244" s="290">
        <v>50040</v>
      </c>
      <c r="P244" s="290" t="s">
        <v>986</v>
      </c>
      <c r="Q244" s="290">
        <v>50040</v>
      </c>
      <c r="R244" s="290" t="s">
        <v>986</v>
      </c>
      <c r="S244" s="290">
        <v>364366</v>
      </c>
      <c r="T244" s="290">
        <v>90366</v>
      </c>
      <c r="U244" s="290" t="s">
        <v>986</v>
      </c>
      <c r="V244" s="290">
        <v>274000</v>
      </c>
      <c r="W244" s="295" t="s">
        <v>92</v>
      </c>
    </row>
    <row r="245" spans="1:23" s="290" customFormat="1" ht="9.75" customHeight="1" x14ac:dyDescent="0.15">
      <c r="A245" s="559" t="s">
        <v>648</v>
      </c>
      <c r="B245" s="290">
        <v>10017</v>
      </c>
      <c r="C245" s="290" t="s">
        <v>986</v>
      </c>
      <c r="D245" s="290" t="s">
        <v>986</v>
      </c>
      <c r="E245" s="290" t="s">
        <v>986</v>
      </c>
      <c r="F245" s="290" t="s">
        <v>986</v>
      </c>
      <c r="G245" s="290" t="s">
        <v>986</v>
      </c>
      <c r="H245" s="290" t="s">
        <v>986</v>
      </c>
      <c r="I245" s="290" t="s">
        <v>986</v>
      </c>
      <c r="J245" s="290" t="s">
        <v>986</v>
      </c>
      <c r="K245" s="290">
        <v>39000</v>
      </c>
      <c r="L245" s="290" t="s">
        <v>986</v>
      </c>
      <c r="M245" s="290" t="s">
        <v>986</v>
      </c>
      <c r="N245" s="290" t="s">
        <v>986</v>
      </c>
      <c r="O245" s="290">
        <v>97396</v>
      </c>
      <c r="P245" s="290" t="s">
        <v>986</v>
      </c>
      <c r="Q245" s="290">
        <v>97396</v>
      </c>
      <c r="R245" s="290" t="s">
        <v>986</v>
      </c>
      <c r="S245" s="290">
        <v>121323</v>
      </c>
      <c r="T245" s="290" t="s">
        <v>986</v>
      </c>
      <c r="U245" s="290">
        <v>48441</v>
      </c>
      <c r="V245" s="290">
        <v>72882</v>
      </c>
      <c r="W245" s="295" t="s">
        <v>76</v>
      </c>
    </row>
    <row r="246" spans="1:23" s="290" customFormat="1" ht="9.75" customHeight="1" x14ac:dyDescent="0.15">
      <c r="A246" s="559" t="s">
        <v>649</v>
      </c>
      <c r="B246" s="290">
        <v>13287</v>
      </c>
      <c r="C246" s="290" t="s">
        <v>986</v>
      </c>
      <c r="D246" s="290" t="s">
        <v>986</v>
      </c>
      <c r="E246" s="290" t="s">
        <v>986</v>
      </c>
      <c r="F246" s="290" t="s">
        <v>986</v>
      </c>
      <c r="G246" s="290" t="s">
        <v>986</v>
      </c>
      <c r="H246" s="290" t="s">
        <v>986</v>
      </c>
      <c r="I246" s="290">
        <v>50050</v>
      </c>
      <c r="J246" s="290" t="s">
        <v>986</v>
      </c>
      <c r="K246" s="290">
        <v>50001</v>
      </c>
      <c r="L246" s="290" t="s">
        <v>986</v>
      </c>
      <c r="M246" s="290" t="s">
        <v>986</v>
      </c>
      <c r="N246" s="290" t="s">
        <v>986</v>
      </c>
      <c r="O246" s="290">
        <v>17489</v>
      </c>
      <c r="P246" s="290">
        <v>17489</v>
      </c>
      <c r="Q246" s="290" t="s">
        <v>986</v>
      </c>
      <c r="R246" s="290" t="s">
        <v>986</v>
      </c>
      <c r="S246" s="290">
        <v>100006</v>
      </c>
      <c r="T246" s="290" t="s">
        <v>986</v>
      </c>
      <c r="U246" s="290" t="s">
        <v>986</v>
      </c>
      <c r="V246" s="290">
        <v>100006</v>
      </c>
      <c r="W246" s="295" t="s">
        <v>77</v>
      </c>
    </row>
    <row r="247" spans="1:23" s="290" customFormat="1" ht="9.75" customHeight="1" x14ac:dyDescent="0.15">
      <c r="A247" s="559" t="s">
        <v>650</v>
      </c>
      <c r="B247" s="290" t="s">
        <v>986</v>
      </c>
      <c r="C247" s="290" t="s">
        <v>986</v>
      </c>
      <c r="D247" s="290" t="s">
        <v>986</v>
      </c>
      <c r="E247" s="290" t="s">
        <v>986</v>
      </c>
      <c r="F247" s="290" t="s">
        <v>986</v>
      </c>
      <c r="G247" s="290" t="s">
        <v>986</v>
      </c>
      <c r="H247" s="290" t="s">
        <v>986</v>
      </c>
      <c r="I247" s="290">
        <v>93899</v>
      </c>
      <c r="J247" s="290" t="s">
        <v>986</v>
      </c>
      <c r="K247" s="290">
        <v>50000</v>
      </c>
      <c r="L247" s="290" t="s">
        <v>986</v>
      </c>
      <c r="M247" s="290" t="s">
        <v>986</v>
      </c>
      <c r="N247" s="290" t="s">
        <v>986</v>
      </c>
      <c r="O247" s="290" t="s">
        <v>986</v>
      </c>
      <c r="P247" s="290" t="s">
        <v>986</v>
      </c>
      <c r="Q247" s="290" t="s">
        <v>986</v>
      </c>
      <c r="R247" s="290" t="s">
        <v>986</v>
      </c>
      <c r="S247" s="290">
        <v>150057</v>
      </c>
      <c r="T247" s="290" t="s">
        <v>986</v>
      </c>
      <c r="U247" s="290" t="s">
        <v>986</v>
      </c>
      <c r="V247" s="290">
        <v>150057</v>
      </c>
      <c r="W247" s="295" t="s">
        <v>78</v>
      </c>
    </row>
    <row r="248" spans="1:23" s="290" customFormat="1" ht="9.75" customHeight="1" x14ac:dyDescent="0.15">
      <c r="A248" s="559" t="s">
        <v>996</v>
      </c>
      <c r="B248" s="290">
        <v>61924</v>
      </c>
      <c r="C248" s="290" t="s">
        <v>986</v>
      </c>
      <c r="D248" s="290" t="s">
        <v>986</v>
      </c>
      <c r="E248" s="290" t="s">
        <v>986</v>
      </c>
      <c r="F248" s="290" t="s">
        <v>986</v>
      </c>
      <c r="G248" s="290" t="s">
        <v>986</v>
      </c>
      <c r="H248" s="290" t="s">
        <v>986</v>
      </c>
      <c r="I248" s="290">
        <v>50010</v>
      </c>
      <c r="J248" s="290" t="s">
        <v>986</v>
      </c>
      <c r="K248" s="290">
        <v>49991</v>
      </c>
      <c r="L248" s="290" t="s">
        <v>986</v>
      </c>
      <c r="M248" s="290" t="s">
        <v>986</v>
      </c>
      <c r="N248" s="290" t="s">
        <v>986</v>
      </c>
      <c r="O248" s="290" t="s">
        <v>986</v>
      </c>
      <c r="P248" s="290" t="s">
        <v>986</v>
      </c>
      <c r="Q248" s="290" t="s">
        <v>986</v>
      </c>
      <c r="R248" s="290" t="s">
        <v>986</v>
      </c>
      <c r="S248" s="290">
        <v>100805</v>
      </c>
      <c r="T248" s="290" t="s">
        <v>986</v>
      </c>
      <c r="U248" s="290" t="s">
        <v>986</v>
      </c>
      <c r="V248" s="290">
        <v>100805</v>
      </c>
      <c r="W248" s="295" t="s">
        <v>997</v>
      </c>
    </row>
    <row r="249" spans="1:23" s="290" customFormat="1" ht="9.75" customHeight="1" x14ac:dyDescent="0.15">
      <c r="A249" s="559" t="s">
        <v>651</v>
      </c>
      <c r="B249" s="290">
        <v>7036</v>
      </c>
      <c r="C249" s="290" t="s">
        <v>986</v>
      </c>
      <c r="D249" s="290" t="s">
        <v>986</v>
      </c>
      <c r="E249" s="290" t="s">
        <v>986</v>
      </c>
      <c r="F249" s="290" t="s">
        <v>986</v>
      </c>
      <c r="G249" s="290" t="s">
        <v>986</v>
      </c>
      <c r="H249" s="290" t="s">
        <v>986</v>
      </c>
      <c r="I249" s="290">
        <v>49301</v>
      </c>
      <c r="J249" s="290" t="s">
        <v>986</v>
      </c>
      <c r="K249" s="290" t="s">
        <v>986</v>
      </c>
      <c r="L249" s="290" t="s">
        <v>986</v>
      </c>
      <c r="M249" s="290" t="s">
        <v>986</v>
      </c>
      <c r="N249" s="290" t="s">
        <v>986</v>
      </c>
      <c r="O249" s="290" t="s">
        <v>986</v>
      </c>
      <c r="P249" s="290" t="s">
        <v>986</v>
      </c>
      <c r="Q249" s="290" t="s">
        <v>986</v>
      </c>
      <c r="R249" s="290" t="s">
        <v>986</v>
      </c>
      <c r="S249" s="290" t="s">
        <v>986</v>
      </c>
      <c r="T249" s="290" t="s">
        <v>986</v>
      </c>
      <c r="U249" s="290" t="s">
        <v>986</v>
      </c>
      <c r="V249" s="290" t="s">
        <v>986</v>
      </c>
      <c r="W249" s="295" t="s">
        <v>73</v>
      </c>
    </row>
    <row r="250" spans="1:23" s="290" customFormat="1" ht="9.75" customHeight="1" x14ac:dyDescent="0.15">
      <c r="A250" s="560" t="s">
        <v>652</v>
      </c>
      <c r="B250" s="294">
        <v>27297</v>
      </c>
      <c r="C250" s="293">
        <v>99415</v>
      </c>
      <c r="D250" s="293" t="s">
        <v>986</v>
      </c>
      <c r="E250" s="293">
        <v>48801</v>
      </c>
      <c r="F250" s="293" t="s">
        <v>986</v>
      </c>
      <c r="G250" s="293" t="s">
        <v>986</v>
      </c>
      <c r="H250" s="293" t="s">
        <v>986</v>
      </c>
      <c r="I250" s="293">
        <v>140590</v>
      </c>
      <c r="J250" s="293" t="s">
        <v>986</v>
      </c>
      <c r="K250" s="293">
        <v>50000</v>
      </c>
      <c r="L250" s="293" t="s">
        <v>986</v>
      </c>
      <c r="M250" s="293" t="s">
        <v>986</v>
      </c>
      <c r="N250" s="293" t="s">
        <v>986</v>
      </c>
      <c r="O250" s="293" t="s">
        <v>986</v>
      </c>
      <c r="P250" s="293" t="s">
        <v>986</v>
      </c>
      <c r="Q250" s="293" t="s">
        <v>986</v>
      </c>
      <c r="R250" s="293" t="s">
        <v>986</v>
      </c>
      <c r="S250" s="293">
        <v>50050</v>
      </c>
      <c r="T250" s="293" t="s">
        <v>986</v>
      </c>
      <c r="U250" s="293">
        <v>50050</v>
      </c>
      <c r="V250" s="293" t="s">
        <v>986</v>
      </c>
      <c r="W250" s="291" t="s">
        <v>74</v>
      </c>
    </row>
    <row r="251" spans="1:23" ht="12" customHeight="1" x14ac:dyDescent="0.15"/>
    <row r="252" spans="1:23" ht="12" customHeight="1" x14ac:dyDescent="0.15"/>
    <row r="253" spans="1:23" ht="12" customHeight="1" x14ac:dyDescent="0.15">
      <c r="K253" s="299" t="s">
        <v>93</v>
      </c>
    </row>
    <row r="254" spans="1:23" s="297" customFormat="1" ht="21" customHeight="1" x14ac:dyDescent="0.15">
      <c r="A254" s="1053" t="s">
        <v>172</v>
      </c>
      <c r="B254" s="832" t="s">
        <v>337</v>
      </c>
      <c r="C254" s="827"/>
      <c r="D254" s="827"/>
      <c r="E254" s="827"/>
      <c r="F254" s="827"/>
      <c r="G254" s="827"/>
      <c r="H254" s="827"/>
      <c r="I254" s="827"/>
      <c r="J254" s="827"/>
      <c r="K254" s="827"/>
      <c r="L254" s="827"/>
      <c r="M254" s="827"/>
      <c r="N254" s="827"/>
      <c r="O254" s="827"/>
      <c r="P254" s="827"/>
      <c r="Q254" s="827"/>
      <c r="R254" s="827"/>
      <c r="S254" s="834"/>
      <c r="T254" s="826" t="s">
        <v>290</v>
      </c>
      <c r="U254" s="827"/>
      <c r="V254" s="827"/>
      <c r="W254" s="1056" t="s">
        <v>79</v>
      </c>
    </row>
    <row r="255" spans="1:23" s="297" customFormat="1" ht="21" customHeight="1" x14ac:dyDescent="0.15">
      <c r="A255" s="1054"/>
      <c r="B255" s="826" t="s">
        <v>242</v>
      </c>
      <c r="C255" s="827"/>
      <c r="D255" s="834"/>
      <c r="E255" s="826" t="s">
        <v>241</v>
      </c>
      <c r="F255" s="827"/>
      <c r="G255" s="827"/>
      <c r="H255" s="827"/>
      <c r="I255" s="827"/>
      <c r="J255" s="827"/>
      <c r="K255" s="827"/>
      <c r="L255" s="827"/>
      <c r="M255" s="827"/>
      <c r="N255" s="827"/>
      <c r="O255" s="827"/>
      <c r="P255" s="834"/>
      <c r="Q255" s="826" t="s">
        <v>875</v>
      </c>
      <c r="R255" s="827"/>
      <c r="S255" s="834"/>
      <c r="T255" s="1059" t="s">
        <v>288</v>
      </c>
      <c r="U255" s="826" t="s">
        <v>265</v>
      </c>
      <c r="V255" s="827"/>
      <c r="W255" s="1057"/>
    </row>
    <row r="256" spans="1:23" s="297" customFormat="1" ht="52.5" customHeight="1" x14ac:dyDescent="0.15">
      <c r="A256" s="1055"/>
      <c r="B256" s="696" t="s">
        <v>857</v>
      </c>
      <c r="C256" s="301" t="s">
        <v>873</v>
      </c>
      <c r="D256" s="298" t="s">
        <v>859</v>
      </c>
      <c r="E256" s="696" t="s">
        <v>860</v>
      </c>
      <c r="F256" s="298" t="s">
        <v>236</v>
      </c>
      <c r="G256" s="298" t="s">
        <v>861</v>
      </c>
      <c r="H256" s="298" t="s">
        <v>874</v>
      </c>
      <c r="I256" s="298" t="s">
        <v>554</v>
      </c>
      <c r="J256" s="298" t="s">
        <v>315</v>
      </c>
      <c r="K256" s="298" t="s">
        <v>555</v>
      </c>
      <c r="L256" s="298" t="s">
        <v>336</v>
      </c>
      <c r="M256" s="298" t="s">
        <v>335</v>
      </c>
      <c r="N256" s="298" t="s">
        <v>432</v>
      </c>
      <c r="O256" s="301" t="s">
        <v>1051</v>
      </c>
      <c r="P256" s="298" t="s">
        <v>334</v>
      </c>
      <c r="Q256" s="696" t="s">
        <v>314</v>
      </c>
      <c r="R256" s="298" t="s">
        <v>333</v>
      </c>
      <c r="S256" s="298" t="s">
        <v>313</v>
      </c>
      <c r="T256" s="1060"/>
      <c r="U256" s="696" t="s">
        <v>851</v>
      </c>
      <c r="V256" s="300" t="s">
        <v>256</v>
      </c>
      <c r="W256" s="1058"/>
    </row>
    <row r="257" spans="1:23" s="290" customFormat="1" ht="9.75" customHeight="1" x14ac:dyDescent="0.15">
      <c r="A257" s="828" t="s">
        <v>985</v>
      </c>
      <c r="B257" s="829">
        <v>94050</v>
      </c>
      <c r="C257" s="830">
        <v>94050</v>
      </c>
      <c r="D257" s="830" t="s">
        <v>986</v>
      </c>
      <c r="E257" s="830">
        <v>5419197</v>
      </c>
      <c r="F257" s="830">
        <v>4925895</v>
      </c>
      <c r="G257" s="830" t="s">
        <v>986</v>
      </c>
      <c r="H257" s="830">
        <v>304586</v>
      </c>
      <c r="I257" s="830">
        <v>12031</v>
      </c>
      <c r="J257" s="830">
        <v>11641</v>
      </c>
      <c r="K257" s="830">
        <v>9431</v>
      </c>
      <c r="L257" s="830">
        <v>21279</v>
      </c>
      <c r="M257" s="830">
        <v>93659</v>
      </c>
      <c r="N257" s="830">
        <v>40675</v>
      </c>
      <c r="O257" s="830" t="s">
        <v>986</v>
      </c>
      <c r="P257" s="830" t="s">
        <v>986</v>
      </c>
      <c r="Q257" s="830">
        <v>191076</v>
      </c>
      <c r="R257" s="830">
        <v>162481</v>
      </c>
      <c r="S257" s="830">
        <v>28595</v>
      </c>
      <c r="T257" s="830">
        <v>1672616</v>
      </c>
      <c r="U257" s="830">
        <v>1552558</v>
      </c>
      <c r="V257" s="830">
        <v>530039</v>
      </c>
      <c r="W257" s="831" t="s">
        <v>485</v>
      </c>
    </row>
    <row r="258" spans="1:23" s="290" customFormat="1" ht="9.75" customHeight="1" x14ac:dyDescent="0.15">
      <c r="A258" s="559" t="s">
        <v>634</v>
      </c>
      <c r="B258" s="290">
        <v>114000</v>
      </c>
      <c r="C258" s="290">
        <v>114000</v>
      </c>
      <c r="D258" s="290" t="s">
        <v>986</v>
      </c>
      <c r="E258" s="290">
        <v>2002000</v>
      </c>
      <c r="F258" s="290">
        <v>1780657</v>
      </c>
      <c r="G258" s="290" t="s">
        <v>986</v>
      </c>
      <c r="H258" s="290">
        <v>185720</v>
      </c>
      <c r="I258" s="290" t="s">
        <v>986</v>
      </c>
      <c r="J258" s="290" t="s">
        <v>986</v>
      </c>
      <c r="K258" s="290" t="s">
        <v>986</v>
      </c>
      <c r="L258" s="290" t="s">
        <v>986</v>
      </c>
      <c r="M258" s="290">
        <v>29573</v>
      </c>
      <c r="N258" s="290" t="s">
        <v>986</v>
      </c>
      <c r="O258" s="290" t="s">
        <v>986</v>
      </c>
      <c r="P258" s="290">
        <v>6050</v>
      </c>
      <c r="Q258" s="290">
        <v>86798</v>
      </c>
      <c r="R258" s="290">
        <v>75672</v>
      </c>
      <c r="S258" s="290">
        <v>11126</v>
      </c>
      <c r="T258" s="290">
        <v>1327820</v>
      </c>
      <c r="U258" s="290">
        <v>1261782</v>
      </c>
      <c r="V258" s="290">
        <v>391582</v>
      </c>
      <c r="W258" s="295" t="s">
        <v>588</v>
      </c>
    </row>
    <row r="259" spans="1:23" s="290" customFormat="1" ht="9.75" customHeight="1" x14ac:dyDescent="0.15">
      <c r="A259" s="559" t="s">
        <v>635</v>
      </c>
      <c r="B259" s="290">
        <v>100031</v>
      </c>
      <c r="C259" s="290" t="s">
        <v>986</v>
      </c>
      <c r="D259" s="290">
        <v>100031</v>
      </c>
      <c r="E259" s="290">
        <v>2064434</v>
      </c>
      <c r="F259" s="290">
        <v>1800341</v>
      </c>
      <c r="G259" s="290" t="s">
        <v>986</v>
      </c>
      <c r="H259" s="290">
        <v>141069</v>
      </c>
      <c r="I259" s="290" t="s">
        <v>986</v>
      </c>
      <c r="J259" s="290" t="s">
        <v>986</v>
      </c>
      <c r="K259" s="290" t="s">
        <v>986</v>
      </c>
      <c r="L259" s="290" t="s">
        <v>986</v>
      </c>
      <c r="M259" s="290">
        <v>112694</v>
      </c>
      <c r="N259" s="290">
        <v>10330</v>
      </c>
      <c r="O259" s="290" t="s">
        <v>986</v>
      </c>
      <c r="P259" s="290" t="s">
        <v>986</v>
      </c>
      <c r="Q259" s="290">
        <v>142775</v>
      </c>
      <c r="R259" s="290">
        <v>128773</v>
      </c>
      <c r="S259" s="290">
        <v>14002</v>
      </c>
      <c r="T259" s="290">
        <v>775956</v>
      </c>
      <c r="U259" s="290">
        <v>728535</v>
      </c>
      <c r="V259" s="290">
        <v>158221</v>
      </c>
      <c r="W259" s="295" t="s">
        <v>636</v>
      </c>
    </row>
    <row r="260" spans="1:23" s="290" customFormat="1" ht="9.75" customHeight="1" x14ac:dyDescent="0.15">
      <c r="A260" s="559" t="s">
        <v>774</v>
      </c>
      <c r="B260" s="290" t="s">
        <v>986</v>
      </c>
      <c r="C260" s="290" t="s">
        <v>986</v>
      </c>
      <c r="D260" s="290" t="s">
        <v>986</v>
      </c>
      <c r="E260" s="290">
        <v>3568987</v>
      </c>
      <c r="F260" s="290">
        <v>3003069</v>
      </c>
      <c r="G260" s="290" t="s">
        <v>986</v>
      </c>
      <c r="H260" s="290">
        <v>518570</v>
      </c>
      <c r="I260" s="290" t="s">
        <v>986</v>
      </c>
      <c r="J260" s="290" t="s">
        <v>986</v>
      </c>
      <c r="K260" s="290" t="s">
        <v>986</v>
      </c>
      <c r="L260" s="290" t="s">
        <v>986</v>
      </c>
      <c r="M260" s="290">
        <v>47348</v>
      </c>
      <c r="N260" s="290" t="s">
        <v>986</v>
      </c>
      <c r="O260" s="290" t="s">
        <v>986</v>
      </c>
      <c r="P260" s="290" t="s">
        <v>986</v>
      </c>
      <c r="Q260" s="290">
        <v>66243</v>
      </c>
      <c r="R260" s="290">
        <v>55618</v>
      </c>
      <c r="S260" s="290">
        <v>10625</v>
      </c>
      <c r="T260" s="290">
        <v>204144</v>
      </c>
      <c r="U260" s="290">
        <v>187035</v>
      </c>
      <c r="V260" s="290">
        <v>103181</v>
      </c>
      <c r="W260" s="295" t="s">
        <v>775</v>
      </c>
    </row>
    <row r="261" spans="1:23" s="290" customFormat="1" ht="9.75" customHeight="1" x14ac:dyDescent="0.15">
      <c r="A261" s="559" t="s">
        <v>987</v>
      </c>
      <c r="B261" s="290" t="s">
        <v>986</v>
      </c>
      <c r="C261" s="290" t="s">
        <v>986</v>
      </c>
      <c r="D261" s="290" t="s">
        <v>986</v>
      </c>
      <c r="E261" s="290">
        <v>2797011</v>
      </c>
      <c r="F261" s="290">
        <v>2190353</v>
      </c>
      <c r="G261" s="290" t="s">
        <v>986</v>
      </c>
      <c r="H261" s="290">
        <v>565347</v>
      </c>
      <c r="I261" s="290" t="s">
        <v>986</v>
      </c>
      <c r="J261" s="290" t="s">
        <v>986</v>
      </c>
      <c r="K261" s="290" t="s">
        <v>986</v>
      </c>
      <c r="L261" s="290" t="s">
        <v>986</v>
      </c>
      <c r="M261" s="290">
        <v>37338</v>
      </c>
      <c r="N261" s="290" t="s">
        <v>986</v>
      </c>
      <c r="O261" s="290">
        <v>3973</v>
      </c>
      <c r="P261" s="290" t="s">
        <v>986</v>
      </c>
      <c r="Q261" s="290">
        <v>64683</v>
      </c>
      <c r="R261" s="290">
        <v>51599</v>
      </c>
      <c r="S261" s="290">
        <v>13084</v>
      </c>
      <c r="T261" s="290">
        <v>109014</v>
      </c>
      <c r="U261" s="290">
        <v>98747</v>
      </c>
      <c r="V261" s="290">
        <v>30258</v>
      </c>
      <c r="W261" s="295" t="s">
        <v>988</v>
      </c>
    </row>
    <row r="262" spans="1:23" s="290" customFormat="1" ht="6.75" customHeight="1" x14ac:dyDescent="0.15">
      <c r="A262" s="578"/>
      <c r="W262" s="295"/>
    </row>
    <row r="263" spans="1:23" s="290" customFormat="1" ht="9.75" customHeight="1" x14ac:dyDescent="0.15">
      <c r="A263" s="559" t="s">
        <v>989</v>
      </c>
      <c r="B263" s="290" t="s">
        <v>986</v>
      </c>
      <c r="C263" s="290" t="s">
        <v>986</v>
      </c>
      <c r="D263" s="290" t="s">
        <v>986</v>
      </c>
      <c r="E263" s="290">
        <v>3725678</v>
      </c>
      <c r="F263" s="290">
        <v>3216704</v>
      </c>
      <c r="G263" s="290" t="s">
        <v>986</v>
      </c>
      <c r="H263" s="290">
        <v>508974</v>
      </c>
      <c r="I263" s="290" t="s">
        <v>986</v>
      </c>
      <c r="J263" s="290" t="s">
        <v>986</v>
      </c>
      <c r="K263" s="290" t="s">
        <v>986</v>
      </c>
      <c r="L263" s="290" t="s">
        <v>986</v>
      </c>
      <c r="M263" s="290" t="s">
        <v>986</v>
      </c>
      <c r="N263" s="290" t="s">
        <v>986</v>
      </c>
      <c r="O263" s="290" t="s">
        <v>986</v>
      </c>
      <c r="P263" s="290" t="s">
        <v>986</v>
      </c>
      <c r="Q263" s="290">
        <v>65359</v>
      </c>
      <c r="R263" s="290">
        <v>54483</v>
      </c>
      <c r="S263" s="290">
        <v>10876</v>
      </c>
      <c r="T263" s="290">
        <v>173141</v>
      </c>
      <c r="U263" s="290">
        <v>159307</v>
      </c>
      <c r="V263" s="290">
        <v>82686</v>
      </c>
      <c r="W263" s="295" t="s">
        <v>776</v>
      </c>
    </row>
    <row r="264" spans="1:23" s="290" customFormat="1" ht="9.75" customHeight="1" x14ac:dyDescent="0.15">
      <c r="A264" s="559" t="s">
        <v>990</v>
      </c>
      <c r="B264" s="290" t="s">
        <v>986</v>
      </c>
      <c r="C264" s="290" t="s">
        <v>986</v>
      </c>
      <c r="D264" s="290" t="s">
        <v>986</v>
      </c>
      <c r="E264" s="290">
        <v>2544460</v>
      </c>
      <c r="F264" s="290">
        <v>1777307</v>
      </c>
      <c r="G264" s="290">
        <v>12315</v>
      </c>
      <c r="H264" s="290">
        <v>713527</v>
      </c>
      <c r="I264" s="290" t="s">
        <v>986</v>
      </c>
      <c r="J264" s="290" t="s">
        <v>986</v>
      </c>
      <c r="K264" s="290" t="s">
        <v>986</v>
      </c>
      <c r="L264" s="290" t="s">
        <v>986</v>
      </c>
      <c r="M264" s="290">
        <v>37338</v>
      </c>
      <c r="N264" s="290" t="s">
        <v>986</v>
      </c>
      <c r="O264" s="290">
        <v>3973</v>
      </c>
      <c r="P264" s="290" t="s">
        <v>986</v>
      </c>
      <c r="Q264" s="290">
        <v>63737</v>
      </c>
      <c r="R264" s="290">
        <v>49584</v>
      </c>
      <c r="S264" s="290">
        <v>14153</v>
      </c>
      <c r="T264" s="290">
        <v>90893</v>
      </c>
      <c r="U264" s="290">
        <v>80606</v>
      </c>
      <c r="V264" s="290">
        <v>22784</v>
      </c>
      <c r="W264" s="295" t="s">
        <v>991</v>
      </c>
    </row>
    <row r="265" spans="1:23" s="290" customFormat="1" ht="6.75" customHeight="1" x14ac:dyDescent="0.15">
      <c r="A265" s="578"/>
      <c r="W265" s="295"/>
    </row>
    <row r="266" spans="1:23" s="290" customFormat="1" ht="9.75" customHeight="1" x14ac:dyDescent="0.15">
      <c r="A266" s="559" t="s">
        <v>992</v>
      </c>
      <c r="B266" s="290" t="s">
        <v>986</v>
      </c>
      <c r="C266" s="290" t="s">
        <v>986</v>
      </c>
      <c r="D266" s="290" t="s">
        <v>986</v>
      </c>
      <c r="E266" s="290">
        <v>987742</v>
      </c>
      <c r="F266" s="290">
        <v>873509</v>
      </c>
      <c r="G266" s="290" t="s">
        <v>986</v>
      </c>
      <c r="H266" s="290">
        <v>114233</v>
      </c>
      <c r="I266" s="290" t="s">
        <v>986</v>
      </c>
      <c r="J266" s="290" t="s">
        <v>986</v>
      </c>
      <c r="K266" s="290" t="s">
        <v>986</v>
      </c>
      <c r="L266" s="290" t="s">
        <v>986</v>
      </c>
      <c r="M266" s="290" t="s">
        <v>986</v>
      </c>
      <c r="N266" s="290" t="s">
        <v>986</v>
      </c>
      <c r="O266" s="290" t="s">
        <v>986</v>
      </c>
      <c r="P266" s="290" t="s">
        <v>986</v>
      </c>
      <c r="Q266" s="290">
        <v>21104</v>
      </c>
      <c r="R266" s="290">
        <v>17371</v>
      </c>
      <c r="S266" s="290">
        <v>3733</v>
      </c>
      <c r="T266" s="290">
        <v>41940</v>
      </c>
      <c r="U266" s="290">
        <v>40011</v>
      </c>
      <c r="V266" s="290">
        <v>9530</v>
      </c>
      <c r="W266" s="295" t="s">
        <v>777</v>
      </c>
    </row>
    <row r="267" spans="1:23" s="290" customFormat="1" ht="9.75" customHeight="1" x14ac:dyDescent="0.15">
      <c r="A267" s="559" t="s">
        <v>637</v>
      </c>
      <c r="B267" s="290" t="s">
        <v>986</v>
      </c>
      <c r="C267" s="290" t="s">
        <v>986</v>
      </c>
      <c r="D267" s="290" t="s">
        <v>986</v>
      </c>
      <c r="E267" s="290">
        <v>348733</v>
      </c>
      <c r="F267" s="290">
        <v>224012</v>
      </c>
      <c r="G267" s="290" t="s">
        <v>986</v>
      </c>
      <c r="H267" s="290">
        <v>83410</v>
      </c>
      <c r="I267" s="290" t="s">
        <v>986</v>
      </c>
      <c r="J267" s="290" t="s">
        <v>986</v>
      </c>
      <c r="K267" s="290" t="s">
        <v>986</v>
      </c>
      <c r="L267" s="290" t="s">
        <v>986</v>
      </c>
      <c r="M267" s="290">
        <v>37338</v>
      </c>
      <c r="N267" s="290" t="s">
        <v>986</v>
      </c>
      <c r="O267" s="290">
        <v>3973</v>
      </c>
      <c r="P267" s="290" t="s">
        <v>986</v>
      </c>
      <c r="Q267" s="290">
        <v>13745</v>
      </c>
      <c r="R267" s="290">
        <v>11871</v>
      </c>
      <c r="S267" s="290">
        <v>1874</v>
      </c>
      <c r="T267" s="290">
        <v>2486</v>
      </c>
      <c r="U267" s="290" t="s">
        <v>986</v>
      </c>
      <c r="V267" s="290" t="s">
        <v>986</v>
      </c>
      <c r="W267" s="295" t="s">
        <v>85</v>
      </c>
    </row>
    <row r="268" spans="1:23" s="290" customFormat="1" ht="9.75" customHeight="1" x14ac:dyDescent="0.15">
      <c r="A268" s="559" t="s">
        <v>638</v>
      </c>
      <c r="B268" s="290" t="s">
        <v>986</v>
      </c>
      <c r="C268" s="290" t="s">
        <v>986</v>
      </c>
      <c r="D268" s="290" t="s">
        <v>986</v>
      </c>
      <c r="E268" s="290">
        <v>817261</v>
      </c>
      <c r="F268" s="290">
        <v>647278</v>
      </c>
      <c r="G268" s="290" t="s">
        <v>986</v>
      </c>
      <c r="H268" s="290">
        <v>169983</v>
      </c>
      <c r="I268" s="290" t="s">
        <v>986</v>
      </c>
      <c r="J268" s="290" t="s">
        <v>986</v>
      </c>
      <c r="K268" s="290" t="s">
        <v>986</v>
      </c>
      <c r="L268" s="290" t="s">
        <v>986</v>
      </c>
      <c r="M268" s="290" t="s">
        <v>986</v>
      </c>
      <c r="N268" s="290" t="s">
        <v>986</v>
      </c>
      <c r="O268" s="290" t="s">
        <v>986</v>
      </c>
      <c r="P268" s="290" t="s">
        <v>986</v>
      </c>
      <c r="Q268" s="290">
        <v>11202</v>
      </c>
      <c r="R268" s="290">
        <v>6684</v>
      </c>
      <c r="S268" s="290">
        <v>4518</v>
      </c>
      <c r="T268" s="290">
        <v>15247</v>
      </c>
      <c r="U268" s="290">
        <v>12058</v>
      </c>
      <c r="V268" s="290">
        <v>12058</v>
      </c>
      <c r="W268" s="295" t="s">
        <v>86</v>
      </c>
    </row>
    <row r="269" spans="1:23" s="290" customFormat="1" ht="9.75" customHeight="1" x14ac:dyDescent="0.15">
      <c r="A269" s="559" t="s">
        <v>639</v>
      </c>
      <c r="B269" s="290" t="s">
        <v>986</v>
      </c>
      <c r="C269" s="290" t="s">
        <v>986</v>
      </c>
      <c r="D269" s="290" t="s">
        <v>986</v>
      </c>
      <c r="E269" s="290">
        <v>643275</v>
      </c>
      <c r="F269" s="290">
        <v>445554</v>
      </c>
      <c r="G269" s="290" t="s">
        <v>986</v>
      </c>
      <c r="H269" s="290">
        <v>197721</v>
      </c>
      <c r="I269" s="290" t="s">
        <v>986</v>
      </c>
      <c r="J269" s="290" t="s">
        <v>986</v>
      </c>
      <c r="K269" s="290" t="s">
        <v>986</v>
      </c>
      <c r="L269" s="290" t="s">
        <v>986</v>
      </c>
      <c r="M269" s="290" t="s">
        <v>986</v>
      </c>
      <c r="N269" s="290" t="s">
        <v>986</v>
      </c>
      <c r="O269" s="290" t="s">
        <v>986</v>
      </c>
      <c r="P269" s="290" t="s">
        <v>986</v>
      </c>
      <c r="Q269" s="290">
        <v>18632</v>
      </c>
      <c r="R269" s="290">
        <v>15673</v>
      </c>
      <c r="S269" s="290">
        <v>2959</v>
      </c>
      <c r="T269" s="290">
        <v>49341</v>
      </c>
      <c r="U269" s="290">
        <v>46678</v>
      </c>
      <c r="V269" s="290">
        <v>8670</v>
      </c>
      <c r="W269" s="295" t="s">
        <v>87</v>
      </c>
    </row>
    <row r="270" spans="1:23" s="290" customFormat="1" ht="9.75" customHeight="1" x14ac:dyDescent="0.15">
      <c r="A270" s="559" t="s">
        <v>993</v>
      </c>
      <c r="B270" s="290" t="s">
        <v>986</v>
      </c>
      <c r="C270" s="290" t="s">
        <v>986</v>
      </c>
      <c r="D270" s="290" t="s">
        <v>986</v>
      </c>
      <c r="E270" s="290">
        <v>735191</v>
      </c>
      <c r="F270" s="290">
        <v>460463</v>
      </c>
      <c r="G270" s="290">
        <v>12315</v>
      </c>
      <c r="H270" s="290">
        <v>262413</v>
      </c>
      <c r="I270" s="290" t="s">
        <v>986</v>
      </c>
      <c r="J270" s="290" t="s">
        <v>986</v>
      </c>
      <c r="K270" s="290" t="s">
        <v>986</v>
      </c>
      <c r="L270" s="290" t="s">
        <v>986</v>
      </c>
      <c r="M270" s="290" t="s">
        <v>986</v>
      </c>
      <c r="N270" s="290" t="s">
        <v>986</v>
      </c>
      <c r="O270" s="290" t="s">
        <v>986</v>
      </c>
      <c r="P270" s="290" t="s">
        <v>986</v>
      </c>
      <c r="Q270" s="290">
        <v>20158</v>
      </c>
      <c r="R270" s="290">
        <v>15356</v>
      </c>
      <c r="S270" s="290">
        <v>4802</v>
      </c>
      <c r="T270" s="290">
        <v>23819</v>
      </c>
      <c r="U270" s="290">
        <v>21870</v>
      </c>
      <c r="V270" s="290">
        <v>2056</v>
      </c>
      <c r="W270" s="295" t="s">
        <v>994</v>
      </c>
    </row>
    <row r="271" spans="1:23" s="290" customFormat="1" ht="6.75" customHeight="1" x14ac:dyDescent="0.15">
      <c r="A271" s="578"/>
      <c r="W271" s="295"/>
    </row>
    <row r="272" spans="1:23" s="290" customFormat="1" ht="9.75" customHeight="1" x14ac:dyDescent="0.15">
      <c r="A272" s="559" t="s">
        <v>995</v>
      </c>
      <c r="B272" s="290" t="s">
        <v>986</v>
      </c>
      <c r="C272" s="290" t="s">
        <v>986</v>
      </c>
      <c r="D272" s="290" t="s">
        <v>986</v>
      </c>
      <c r="E272" s="290">
        <v>286182</v>
      </c>
      <c r="F272" s="290">
        <v>286182</v>
      </c>
      <c r="G272" s="290" t="s">
        <v>986</v>
      </c>
      <c r="H272" s="290" t="s">
        <v>986</v>
      </c>
      <c r="I272" s="290" t="s">
        <v>986</v>
      </c>
      <c r="J272" s="290" t="s">
        <v>986</v>
      </c>
      <c r="K272" s="290" t="s">
        <v>986</v>
      </c>
      <c r="L272" s="290" t="s">
        <v>986</v>
      </c>
      <c r="M272" s="290" t="s">
        <v>986</v>
      </c>
      <c r="N272" s="290" t="s">
        <v>986</v>
      </c>
      <c r="O272" s="290" t="s">
        <v>986</v>
      </c>
      <c r="P272" s="290" t="s">
        <v>986</v>
      </c>
      <c r="Q272" s="290">
        <v>5978</v>
      </c>
      <c r="R272" s="290">
        <v>5080</v>
      </c>
      <c r="S272" s="290">
        <v>898</v>
      </c>
      <c r="T272" s="290">
        <v>31692</v>
      </c>
      <c r="U272" s="290">
        <v>30481</v>
      </c>
      <c r="V272" s="290" t="s">
        <v>986</v>
      </c>
      <c r="W272" s="295" t="s">
        <v>778</v>
      </c>
    </row>
    <row r="273" spans="1:23" s="290" customFormat="1" ht="9.75" customHeight="1" x14ac:dyDescent="0.15">
      <c r="A273" s="559" t="s">
        <v>640</v>
      </c>
      <c r="B273" s="290" t="s">
        <v>986</v>
      </c>
      <c r="C273" s="290" t="s">
        <v>986</v>
      </c>
      <c r="D273" s="290" t="s">
        <v>986</v>
      </c>
      <c r="E273" s="290">
        <v>407348</v>
      </c>
      <c r="F273" s="290">
        <v>357318</v>
      </c>
      <c r="G273" s="290" t="s">
        <v>986</v>
      </c>
      <c r="H273" s="290">
        <v>50030</v>
      </c>
      <c r="I273" s="290" t="s">
        <v>986</v>
      </c>
      <c r="J273" s="290" t="s">
        <v>986</v>
      </c>
      <c r="K273" s="290" t="s">
        <v>986</v>
      </c>
      <c r="L273" s="290" t="s">
        <v>986</v>
      </c>
      <c r="M273" s="290" t="s">
        <v>986</v>
      </c>
      <c r="N273" s="290" t="s">
        <v>986</v>
      </c>
      <c r="O273" s="290" t="s">
        <v>986</v>
      </c>
      <c r="P273" s="290" t="s">
        <v>986</v>
      </c>
      <c r="Q273" s="290">
        <v>6677</v>
      </c>
      <c r="R273" s="290">
        <v>5933</v>
      </c>
      <c r="S273" s="290">
        <v>744</v>
      </c>
      <c r="T273" s="290">
        <v>465</v>
      </c>
      <c r="U273" s="290" t="s">
        <v>986</v>
      </c>
      <c r="V273" s="290" t="s">
        <v>986</v>
      </c>
      <c r="W273" s="295" t="s">
        <v>73</v>
      </c>
    </row>
    <row r="274" spans="1:23" s="290" customFormat="1" ht="9.75" customHeight="1" x14ac:dyDescent="0.15">
      <c r="A274" s="559" t="s">
        <v>641</v>
      </c>
      <c r="B274" s="290" t="s">
        <v>986</v>
      </c>
      <c r="C274" s="290" t="s">
        <v>986</v>
      </c>
      <c r="D274" s="290" t="s">
        <v>986</v>
      </c>
      <c r="E274" s="290">
        <v>294212</v>
      </c>
      <c r="F274" s="290">
        <v>230009</v>
      </c>
      <c r="G274" s="290" t="s">
        <v>986</v>
      </c>
      <c r="H274" s="290">
        <v>64203</v>
      </c>
      <c r="I274" s="290" t="s">
        <v>986</v>
      </c>
      <c r="J274" s="290" t="s">
        <v>986</v>
      </c>
      <c r="K274" s="290" t="s">
        <v>986</v>
      </c>
      <c r="L274" s="290" t="s">
        <v>986</v>
      </c>
      <c r="M274" s="290" t="s">
        <v>986</v>
      </c>
      <c r="N274" s="290" t="s">
        <v>986</v>
      </c>
      <c r="O274" s="290" t="s">
        <v>986</v>
      </c>
      <c r="P274" s="290" t="s">
        <v>986</v>
      </c>
      <c r="Q274" s="290">
        <v>8449</v>
      </c>
      <c r="R274" s="290">
        <v>6358</v>
      </c>
      <c r="S274" s="290">
        <v>2091</v>
      </c>
      <c r="T274" s="290">
        <v>9783</v>
      </c>
      <c r="U274" s="290">
        <v>9530</v>
      </c>
      <c r="V274" s="290">
        <v>9530</v>
      </c>
      <c r="W274" s="295" t="s">
        <v>74</v>
      </c>
    </row>
    <row r="275" spans="1:23" s="290" customFormat="1" ht="9.75" customHeight="1" x14ac:dyDescent="0.15">
      <c r="A275" s="559" t="s">
        <v>642</v>
      </c>
      <c r="B275" s="290" t="s">
        <v>986</v>
      </c>
      <c r="C275" s="290" t="s">
        <v>986</v>
      </c>
      <c r="D275" s="290" t="s">
        <v>986</v>
      </c>
      <c r="E275" s="290">
        <v>134991</v>
      </c>
      <c r="F275" s="290">
        <v>101631</v>
      </c>
      <c r="G275" s="290" t="s">
        <v>986</v>
      </c>
      <c r="H275" s="290">
        <v>33360</v>
      </c>
      <c r="I275" s="290" t="s">
        <v>986</v>
      </c>
      <c r="J275" s="290" t="s">
        <v>986</v>
      </c>
      <c r="K275" s="290" t="s">
        <v>986</v>
      </c>
      <c r="L275" s="290" t="s">
        <v>986</v>
      </c>
      <c r="M275" s="290" t="s">
        <v>986</v>
      </c>
      <c r="N275" s="290" t="s">
        <v>986</v>
      </c>
      <c r="O275" s="290" t="s">
        <v>986</v>
      </c>
      <c r="P275" s="290" t="s">
        <v>986</v>
      </c>
      <c r="Q275" s="290">
        <v>8758</v>
      </c>
      <c r="R275" s="290">
        <v>7583</v>
      </c>
      <c r="S275" s="290">
        <v>1175</v>
      </c>
      <c r="T275" s="290">
        <v>596</v>
      </c>
      <c r="U275" s="290" t="s">
        <v>986</v>
      </c>
      <c r="V275" s="290" t="s">
        <v>986</v>
      </c>
      <c r="W275" s="295" t="s">
        <v>75</v>
      </c>
    </row>
    <row r="276" spans="1:23" s="290" customFormat="1" ht="9.75" customHeight="1" x14ac:dyDescent="0.15">
      <c r="A276" s="559" t="s">
        <v>643</v>
      </c>
      <c r="B276" s="290" t="s">
        <v>986</v>
      </c>
      <c r="C276" s="290" t="s">
        <v>986</v>
      </c>
      <c r="D276" s="290" t="s">
        <v>986</v>
      </c>
      <c r="E276" s="290">
        <v>69612</v>
      </c>
      <c r="F276" s="290">
        <v>28301</v>
      </c>
      <c r="G276" s="290" t="s">
        <v>986</v>
      </c>
      <c r="H276" s="290" t="s">
        <v>986</v>
      </c>
      <c r="I276" s="290" t="s">
        <v>986</v>
      </c>
      <c r="J276" s="290" t="s">
        <v>986</v>
      </c>
      <c r="K276" s="290" t="s">
        <v>986</v>
      </c>
      <c r="L276" s="290" t="s">
        <v>986</v>
      </c>
      <c r="M276" s="290">
        <v>37338</v>
      </c>
      <c r="N276" s="290" t="s">
        <v>986</v>
      </c>
      <c r="O276" s="290">
        <v>3973</v>
      </c>
      <c r="P276" s="290" t="s">
        <v>986</v>
      </c>
      <c r="Q276" s="290">
        <v>2747</v>
      </c>
      <c r="R276" s="290">
        <v>2302</v>
      </c>
      <c r="S276" s="290">
        <v>445</v>
      </c>
      <c r="T276" s="290">
        <v>1033</v>
      </c>
      <c r="U276" s="290" t="s">
        <v>986</v>
      </c>
      <c r="V276" s="290" t="s">
        <v>986</v>
      </c>
      <c r="W276" s="295" t="s">
        <v>88</v>
      </c>
    </row>
    <row r="277" spans="1:23" s="290" customFormat="1" ht="9.75" customHeight="1" x14ac:dyDescent="0.15">
      <c r="A277" s="559" t="s">
        <v>644</v>
      </c>
      <c r="B277" s="290" t="s">
        <v>986</v>
      </c>
      <c r="C277" s="290" t="s">
        <v>986</v>
      </c>
      <c r="D277" s="290" t="s">
        <v>986</v>
      </c>
      <c r="E277" s="290">
        <v>144130</v>
      </c>
      <c r="F277" s="290">
        <v>94080</v>
      </c>
      <c r="G277" s="290" t="s">
        <v>986</v>
      </c>
      <c r="H277" s="290">
        <v>50050</v>
      </c>
      <c r="I277" s="290" t="s">
        <v>986</v>
      </c>
      <c r="J277" s="290" t="s">
        <v>986</v>
      </c>
      <c r="K277" s="290" t="s">
        <v>986</v>
      </c>
      <c r="L277" s="290" t="s">
        <v>986</v>
      </c>
      <c r="M277" s="290" t="s">
        <v>986</v>
      </c>
      <c r="N277" s="290" t="s">
        <v>986</v>
      </c>
      <c r="O277" s="290" t="s">
        <v>986</v>
      </c>
      <c r="P277" s="290" t="s">
        <v>986</v>
      </c>
      <c r="Q277" s="290">
        <v>2240</v>
      </c>
      <c r="R277" s="290">
        <v>1986</v>
      </c>
      <c r="S277" s="290">
        <v>254</v>
      </c>
      <c r="T277" s="290">
        <v>857</v>
      </c>
      <c r="U277" s="290" t="s">
        <v>986</v>
      </c>
      <c r="V277" s="290" t="s">
        <v>986</v>
      </c>
      <c r="W277" s="295" t="s">
        <v>89</v>
      </c>
    </row>
    <row r="278" spans="1:23" s="290" customFormat="1" ht="9.75" customHeight="1" x14ac:dyDescent="0.15">
      <c r="A278" s="559" t="s">
        <v>645</v>
      </c>
      <c r="B278" s="290" t="s">
        <v>986</v>
      </c>
      <c r="C278" s="290" t="s">
        <v>986</v>
      </c>
      <c r="D278" s="290" t="s">
        <v>986</v>
      </c>
      <c r="E278" s="290">
        <v>195407</v>
      </c>
      <c r="F278" s="290">
        <v>145405</v>
      </c>
      <c r="G278" s="290" t="s">
        <v>986</v>
      </c>
      <c r="H278" s="290">
        <v>50002</v>
      </c>
      <c r="I278" s="290" t="s">
        <v>986</v>
      </c>
      <c r="J278" s="290" t="s">
        <v>986</v>
      </c>
      <c r="K278" s="290" t="s">
        <v>986</v>
      </c>
      <c r="L278" s="290" t="s">
        <v>986</v>
      </c>
      <c r="M278" s="290" t="s">
        <v>986</v>
      </c>
      <c r="N278" s="290" t="s">
        <v>986</v>
      </c>
      <c r="O278" s="290" t="s">
        <v>986</v>
      </c>
      <c r="P278" s="290" t="s">
        <v>986</v>
      </c>
      <c r="Q278" s="290">
        <v>3009</v>
      </c>
      <c r="R278" s="290">
        <v>1957</v>
      </c>
      <c r="S278" s="290">
        <v>1052</v>
      </c>
      <c r="T278" s="290">
        <v>4302</v>
      </c>
      <c r="U278" s="290">
        <v>3900</v>
      </c>
      <c r="V278" s="290">
        <v>3900</v>
      </c>
      <c r="W278" s="295" t="s">
        <v>90</v>
      </c>
    </row>
    <row r="279" spans="1:23" s="290" customFormat="1" ht="9.75" customHeight="1" x14ac:dyDescent="0.15">
      <c r="A279" s="559" t="s">
        <v>646</v>
      </c>
      <c r="B279" s="290" t="s">
        <v>986</v>
      </c>
      <c r="C279" s="290" t="s">
        <v>986</v>
      </c>
      <c r="D279" s="290" t="s">
        <v>986</v>
      </c>
      <c r="E279" s="290">
        <v>340485</v>
      </c>
      <c r="F279" s="290">
        <v>295451</v>
      </c>
      <c r="G279" s="290" t="s">
        <v>986</v>
      </c>
      <c r="H279" s="290">
        <v>45034</v>
      </c>
      <c r="I279" s="290" t="s">
        <v>986</v>
      </c>
      <c r="J279" s="290" t="s">
        <v>986</v>
      </c>
      <c r="K279" s="290" t="s">
        <v>986</v>
      </c>
      <c r="L279" s="290" t="s">
        <v>986</v>
      </c>
      <c r="M279" s="290" t="s">
        <v>986</v>
      </c>
      <c r="N279" s="290" t="s">
        <v>986</v>
      </c>
      <c r="O279" s="290" t="s">
        <v>986</v>
      </c>
      <c r="P279" s="290" t="s">
        <v>986</v>
      </c>
      <c r="Q279" s="290">
        <v>3047</v>
      </c>
      <c r="R279" s="290">
        <v>2018</v>
      </c>
      <c r="S279" s="290">
        <v>1029</v>
      </c>
      <c r="T279" s="290">
        <v>9848</v>
      </c>
      <c r="U279" s="290">
        <v>8158</v>
      </c>
      <c r="V279" s="290">
        <v>8158</v>
      </c>
      <c r="W279" s="295" t="s">
        <v>91</v>
      </c>
    </row>
    <row r="280" spans="1:23" s="290" customFormat="1" ht="9.75" customHeight="1" x14ac:dyDescent="0.15">
      <c r="A280" s="559" t="s">
        <v>647</v>
      </c>
      <c r="B280" s="290" t="s">
        <v>986</v>
      </c>
      <c r="C280" s="290" t="s">
        <v>986</v>
      </c>
      <c r="D280" s="290" t="s">
        <v>986</v>
      </c>
      <c r="E280" s="290">
        <v>281369</v>
      </c>
      <c r="F280" s="290">
        <v>206422</v>
      </c>
      <c r="G280" s="290" t="s">
        <v>986</v>
      </c>
      <c r="H280" s="290">
        <v>74947</v>
      </c>
      <c r="I280" s="290" t="s">
        <v>986</v>
      </c>
      <c r="J280" s="290" t="s">
        <v>986</v>
      </c>
      <c r="K280" s="290" t="s">
        <v>986</v>
      </c>
      <c r="L280" s="290" t="s">
        <v>986</v>
      </c>
      <c r="M280" s="290" t="s">
        <v>986</v>
      </c>
      <c r="N280" s="290" t="s">
        <v>986</v>
      </c>
      <c r="O280" s="290" t="s">
        <v>986</v>
      </c>
      <c r="P280" s="290" t="s">
        <v>986</v>
      </c>
      <c r="Q280" s="290">
        <v>5146</v>
      </c>
      <c r="R280" s="290">
        <v>2709</v>
      </c>
      <c r="S280" s="290">
        <v>2437</v>
      </c>
      <c r="T280" s="290">
        <v>1097</v>
      </c>
      <c r="U280" s="290" t="s">
        <v>986</v>
      </c>
      <c r="V280" s="290" t="s">
        <v>986</v>
      </c>
      <c r="W280" s="295" t="s">
        <v>92</v>
      </c>
    </row>
    <row r="281" spans="1:23" s="290" customFormat="1" ht="9.75" customHeight="1" x14ac:dyDescent="0.15">
      <c r="A281" s="559" t="s">
        <v>648</v>
      </c>
      <c r="B281" s="290" t="s">
        <v>986</v>
      </c>
      <c r="C281" s="290" t="s">
        <v>986</v>
      </c>
      <c r="D281" s="290" t="s">
        <v>986</v>
      </c>
      <c r="E281" s="290">
        <v>226536</v>
      </c>
      <c r="F281" s="290">
        <v>142746</v>
      </c>
      <c r="G281" s="290" t="s">
        <v>986</v>
      </c>
      <c r="H281" s="290">
        <v>83790</v>
      </c>
      <c r="I281" s="290" t="s">
        <v>986</v>
      </c>
      <c r="J281" s="290" t="s">
        <v>986</v>
      </c>
      <c r="K281" s="290" t="s">
        <v>986</v>
      </c>
      <c r="L281" s="290" t="s">
        <v>986</v>
      </c>
      <c r="M281" s="290" t="s">
        <v>986</v>
      </c>
      <c r="N281" s="290" t="s">
        <v>986</v>
      </c>
      <c r="O281" s="290" t="s">
        <v>986</v>
      </c>
      <c r="P281" s="290" t="s">
        <v>986</v>
      </c>
      <c r="Q281" s="290">
        <v>6375</v>
      </c>
      <c r="R281" s="290">
        <v>4800</v>
      </c>
      <c r="S281" s="290">
        <v>1575</v>
      </c>
      <c r="T281" s="290">
        <v>38997</v>
      </c>
      <c r="U281" s="290">
        <v>38008</v>
      </c>
      <c r="V281" s="290" t="s">
        <v>986</v>
      </c>
      <c r="W281" s="295" t="s">
        <v>76</v>
      </c>
    </row>
    <row r="282" spans="1:23" s="290" customFormat="1" ht="9.75" customHeight="1" x14ac:dyDescent="0.15">
      <c r="A282" s="559" t="s">
        <v>649</v>
      </c>
      <c r="B282" s="290" t="s">
        <v>986</v>
      </c>
      <c r="C282" s="290" t="s">
        <v>986</v>
      </c>
      <c r="D282" s="290" t="s">
        <v>986</v>
      </c>
      <c r="E282" s="290">
        <v>196241</v>
      </c>
      <c r="F282" s="290">
        <v>108996</v>
      </c>
      <c r="G282" s="290" t="s">
        <v>986</v>
      </c>
      <c r="H282" s="290">
        <v>87245</v>
      </c>
      <c r="I282" s="290" t="s">
        <v>986</v>
      </c>
      <c r="J282" s="290" t="s">
        <v>986</v>
      </c>
      <c r="K282" s="290" t="s">
        <v>986</v>
      </c>
      <c r="L282" s="290" t="s">
        <v>986</v>
      </c>
      <c r="M282" s="290" t="s">
        <v>986</v>
      </c>
      <c r="N282" s="290" t="s">
        <v>986</v>
      </c>
      <c r="O282" s="290" t="s">
        <v>986</v>
      </c>
      <c r="P282" s="290" t="s">
        <v>986</v>
      </c>
      <c r="Q282" s="290">
        <v>5945</v>
      </c>
      <c r="R282" s="290">
        <v>5562</v>
      </c>
      <c r="S282" s="290">
        <v>383</v>
      </c>
      <c r="T282" s="290">
        <v>5495</v>
      </c>
      <c r="U282" s="290">
        <v>4950</v>
      </c>
      <c r="V282" s="290">
        <v>4950</v>
      </c>
      <c r="W282" s="295" t="s">
        <v>77</v>
      </c>
    </row>
    <row r="283" spans="1:23" s="290" customFormat="1" ht="9.75" customHeight="1" x14ac:dyDescent="0.15">
      <c r="A283" s="559" t="s">
        <v>650</v>
      </c>
      <c r="B283" s="290" t="s">
        <v>986</v>
      </c>
      <c r="C283" s="290" t="s">
        <v>986</v>
      </c>
      <c r="D283" s="290" t="s">
        <v>986</v>
      </c>
      <c r="E283" s="290">
        <v>220498</v>
      </c>
      <c r="F283" s="290">
        <v>193812</v>
      </c>
      <c r="G283" s="290" t="s">
        <v>986</v>
      </c>
      <c r="H283" s="290">
        <v>26686</v>
      </c>
      <c r="I283" s="290" t="s">
        <v>986</v>
      </c>
      <c r="J283" s="290" t="s">
        <v>986</v>
      </c>
      <c r="K283" s="290" t="s">
        <v>986</v>
      </c>
      <c r="L283" s="290" t="s">
        <v>986</v>
      </c>
      <c r="M283" s="290" t="s">
        <v>986</v>
      </c>
      <c r="N283" s="290" t="s">
        <v>986</v>
      </c>
      <c r="O283" s="290" t="s">
        <v>986</v>
      </c>
      <c r="P283" s="290" t="s">
        <v>986</v>
      </c>
      <c r="Q283" s="290">
        <v>6312</v>
      </c>
      <c r="R283" s="290">
        <v>5311</v>
      </c>
      <c r="S283" s="290">
        <v>1001</v>
      </c>
      <c r="T283" s="290">
        <v>4849</v>
      </c>
      <c r="U283" s="290">
        <v>3720</v>
      </c>
      <c r="V283" s="290">
        <v>3720</v>
      </c>
      <c r="W283" s="295" t="s">
        <v>78</v>
      </c>
    </row>
    <row r="284" spans="1:23" s="290" customFormat="1" ht="9.75" customHeight="1" x14ac:dyDescent="0.15">
      <c r="A284" s="559" t="s">
        <v>996</v>
      </c>
      <c r="B284" s="290" t="s">
        <v>986</v>
      </c>
      <c r="C284" s="290" t="s">
        <v>986</v>
      </c>
      <c r="D284" s="290" t="s">
        <v>986</v>
      </c>
      <c r="E284" s="290">
        <v>157417</v>
      </c>
      <c r="F284" s="290">
        <v>95344</v>
      </c>
      <c r="G284" s="290" t="s">
        <v>986</v>
      </c>
      <c r="H284" s="290">
        <v>62073</v>
      </c>
      <c r="I284" s="290" t="s">
        <v>986</v>
      </c>
      <c r="J284" s="290" t="s">
        <v>986</v>
      </c>
      <c r="K284" s="290" t="s">
        <v>986</v>
      </c>
      <c r="L284" s="290" t="s">
        <v>986</v>
      </c>
      <c r="M284" s="290" t="s">
        <v>986</v>
      </c>
      <c r="N284" s="290" t="s">
        <v>986</v>
      </c>
      <c r="O284" s="290" t="s">
        <v>986</v>
      </c>
      <c r="P284" s="290" t="s">
        <v>986</v>
      </c>
      <c r="Q284" s="290">
        <v>6933</v>
      </c>
      <c r="R284" s="290">
        <v>5709</v>
      </c>
      <c r="S284" s="290">
        <v>1224</v>
      </c>
      <c r="T284" s="290">
        <v>687</v>
      </c>
      <c r="U284" s="290" t="s">
        <v>986</v>
      </c>
      <c r="V284" s="290" t="s">
        <v>986</v>
      </c>
      <c r="W284" s="295" t="s">
        <v>997</v>
      </c>
    </row>
    <row r="285" spans="1:23" s="290" customFormat="1" ht="9.75" customHeight="1" x14ac:dyDescent="0.15">
      <c r="A285" s="559" t="s">
        <v>651</v>
      </c>
      <c r="B285" s="290" t="s">
        <v>986</v>
      </c>
      <c r="C285" s="290" t="s">
        <v>986</v>
      </c>
      <c r="D285" s="290" t="s">
        <v>986</v>
      </c>
      <c r="E285" s="290">
        <v>305618</v>
      </c>
      <c r="F285" s="290">
        <v>200129</v>
      </c>
      <c r="G285" s="290">
        <v>12315</v>
      </c>
      <c r="H285" s="290">
        <v>93174</v>
      </c>
      <c r="I285" s="290" t="s">
        <v>986</v>
      </c>
      <c r="J285" s="290" t="s">
        <v>986</v>
      </c>
      <c r="K285" s="290" t="s">
        <v>986</v>
      </c>
      <c r="L285" s="290" t="s">
        <v>986</v>
      </c>
      <c r="M285" s="290" t="s">
        <v>986</v>
      </c>
      <c r="N285" s="290" t="s">
        <v>986</v>
      </c>
      <c r="O285" s="290" t="s">
        <v>986</v>
      </c>
      <c r="P285" s="290" t="s">
        <v>986</v>
      </c>
      <c r="Q285" s="290">
        <v>6027</v>
      </c>
      <c r="R285" s="290">
        <v>4900</v>
      </c>
      <c r="S285" s="290">
        <v>1127</v>
      </c>
      <c r="T285" s="290">
        <v>567</v>
      </c>
      <c r="U285" s="290" t="s">
        <v>986</v>
      </c>
      <c r="V285" s="290" t="s">
        <v>986</v>
      </c>
      <c r="W285" s="295" t="s">
        <v>73</v>
      </c>
    </row>
    <row r="286" spans="1:23" s="290" customFormat="1" ht="9.75" customHeight="1" x14ac:dyDescent="0.15">
      <c r="A286" s="560" t="s">
        <v>652</v>
      </c>
      <c r="B286" s="294" t="s">
        <v>986</v>
      </c>
      <c r="C286" s="293" t="s">
        <v>986</v>
      </c>
      <c r="D286" s="293" t="s">
        <v>986</v>
      </c>
      <c r="E286" s="293">
        <v>272156</v>
      </c>
      <c r="F286" s="293">
        <v>164990</v>
      </c>
      <c r="G286" s="293" t="s">
        <v>986</v>
      </c>
      <c r="H286" s="293">
        <v>107166</v>
      </c>
      <c r="I286" s="293" t="s">
        <v>986</v>
      </c>
      <c r="J286" s="293" t="s">
        <v>986</v>
      </c>
      <c r="K286" s="293" t="s">
        <v>986</v>
      </c>
      <c r="L286" s="293" t="s">
        <v>986</v>
      </c>
      <c r="M286" s="293" t="s">
        <v>986</v>
      </c>
      <c r="N286" s="293" t="s">
        <v>986</v>
      </c>
      <c r="O286" s="293" t="s">
        <v>986</v>
      </c>
      <c r="P286" s="293" t="s">
        <v>986</v>
      </c>
      <c r="Q286" s="293">
        <v>7198</v>
      </c>
      <c r="R286" s="293">
        <v>4747</v>
      </c>
      <c r="S286" s="293">
        <v>2451</v>
      </c>
      <c r="T286" s="293">
        <v>22565</v>
      </c>
      <c r="U286" s="293">
        <v>21870</v>
      </c>
      <c r="V286" s="293">
        <v>2056</v>
      </c>
      <c r="W286" s="291" t="s">
        <v>74</v>
      </c>
    </row>
    <row r="287" spans="1:23" ht="12" customHeight="1" x14ac:dyDescent="0.15"/>
    <row r="288" spans="1:23" ht="12" customHeight="1" x14ac:dyDescent="0.15"/>
    <row r="289" spans="1:23" ht="12" customHeight="1" x14ac:dyDescent="0.15">
      <c r="K289" s="299" t="s">
        <v>93</v>
      </c>
      <c r="V289" s="302" t="s">
        <v>858</v>
      </c>
    </row>
    <row r="290" spans="1:23" s="297" customFormat="1" ht="21" customHeight="1" x14ac:dyDescent="0.15">
      <c r="A290" s="1053" t="s">
        <v>172</v>
      </c>
      <c r="B290" s="832" t="s">
        <v>876</v>
      </c>
      <c r="C290" s="827"/>
      <c r="D290" s="827"/>
      <c r="E290" s="827"/>
      <c r="F290" s="827"/>
      <c r="G290" s="834"/>
      <c r="H290" s="826" t="s">
        <v>864</v>
      </c>
      <c r="I290" s="827"/>
      <c r="J290" s="827"/>
      <c r="K290" s="827"/>
      <c r="L290" s="827"/>
      <c r="M290" s="827"/>
      <c r="N290" s="827"/>
      <c r="O290" s="827"/>
      <c r="P290" s="827"/>
      <c r="Q290" s="827"/>
      <c r="R290" s="827"/>
      <c r="S290" s="827"/>
      <c r="T290" s="827"/>
      <c r="U290" s="827"/>
      <c r="V290" s="827"/>
      <c r="W290" s="1056" t="s">
        <v>79</v>
      </c>
    </row>
    <row r="291" spans="1:23" s="297" customFormat="1" ht="21" customHeight="1" x14ac:dyDescent="0.15">
      <c r="A291" s="1054"/>
      <c r="B291" s="832" t="s">
        <v>260</v>
      </c>
      <c r="C291" s="827"/>
      <c r="D291" s="827"/>
      <c r="E291" s="834"/>
      <c r="F291" s="826" t="s">
        <v>875</v>
      </c>
      <c r="G291" s="834"/>
      <c r="H291" s="1061" t="s">
        <v>865</v>
      </c>
      <c r="I291" s="826" t="s">
        <v>265</v>
      </c>
      <c r="J291" s="827"/>
      <c r="K291" s="827"/>
      <c r="L291" s="827"/>
      <c r="M291" s="827"/>
      <c r="N291" s="827"/>
      <c r="O291" s="827"/>
      <c r="P291" s="834"/>
      <c r="Q291" s="826" t="s">
        <v>258</v>
      </c>
      <c r="R291" s="834"/>
      <c r="S291" s="826" t="s">
        <v>241</v>
      </c>
      <c r="T291" s="834"/>
      <c r="U291" s="826" t="s">
        <v>875</v>
      </c>
      <c r="V291" s="827"/>
      <c r="W291" s="1057"/>
    </row>
    <row r="292" spans="1:23" s="297" customFormat="1" ht="52.5" customHeight="1" x14ac:dyDescent="0.15">
      <c r="A292" s="1055"/>
      <c r="B292" s="298" t="s">
        <v>852</v>
      </c>
      <c r="C292" s="298" t="s">
        <v>255</v>
      </c>
      <c r="D292" s="298" t="s">
        <v>254</v>
      </c>
      <c r="E292" s="298" t="s">
        <v>252</v>
      </c>
      <c r="F292" s="696" t="s">
        <v>314</v>
      </c>
      <c r="G292" s="298" t="s">
        <v>313</v>
      </c>
      <c r="H292" s="1062"/>
      <c r="I292" s="696" t="s">
        <v>851</v>
      </c>
      <c r="J292" s="298" t="s">
        <v>256</v>
      </c>
      <c r="K292" s="298" t="s">
        <v>852</v>
      </c>
      <c r="L292" s="298" t="s">
        <v>271</v>
      </c>
      <c r="M292" s="298" t="s">
        <v>277</v>
      </c>
      <c r="N292" s="298" t="s">
        <v>255</v>
      </c>
      <c r="O292" s="298" t="s">
        <v>254</v>
      </c>
      <c r="P292" s="298" t="s">
        <v>252</v>
      </c>
      <c r="Q292" s="696" t="s">
        <v>855</v>
      </c>
      <c r="R292" s="298" t="s">
        <v>244</v>
      </c>
      <c r="S292" s="696" t="s">
        <v>860</v>
      </c>
      <c r="T292" s="298" t="s">
        <v>315</v>
      </c>
      <c r="U292" s="696" t="s">
        <v>314</v>
      </c>
      <c r="V292" s="300" t="s">
        <v>313</v>
      </c>
      <c r="W292" s="1058"/>
    </row>
    <row r="293" spans="1:23" s="290" customFormat="1" ht="9.75" customHeight="1" x14ac:dyDescent="0.15">
      <c r="A293" s="828" t="s">
        <v>985</v>
      </c>
      <c r="B293" s="829">
        <v>363766</v>
      </c>
      <c r="C293" s="830">
        <v>175741</v>
      </c>
      <c r="D293" s="830">
        <v>385663</v>
      </c>
      <c r="E293" s="830">
        <v>97349</v>
      </c>
      <c r="F293" s="830">
        <v>120058</v>
      </c>
      <c r="G293" s="830">
        <v>120058</v>
      </c>
      <c r="H293" s="830">
        <v>6964735</v>
      </c>
      <c r="I293" s="830">
        <v>2257258</v>
      </c>
      <c r="J293" s="830">
        <v>327861</v>
      </c>
      <c r="K293" s="830">
        <v>1032009</v>
      </c>
      <c r="L293" s="830" t="s">
        <v>986</v>
      </c>
      <c r="M293" s="830">
        <v>91913</v>
      </c>
      <c r="N293" s="830">
        <v>699774</v>
      </c>
      <c r="O293" s="830">
        <v>105701</v>
      </c>
      <c r="P293" s="830" t="s">
        <v>986</v>
      </c>
      <c r="Q293" s="830">
        <v>153551</v>
      </c>
      <c r="R293" s="830">
        <v>153551</v>
      </c>
      <c r="S293" s="830">
        <v>10241</v>
      </c>
      <c r="T293" s="830">
        <v>10241</v>
      </c>
      <c r="U293" s="830">
        <v>4543685</v>
      </c>
      <c r="V293" s="830">
        <v>4543685</v>
      </c>
      <c r="W293" s="831" t="s">
        <v>485</v>
      </c>
    </row>
    <row r="294" spans="1:23" s="290" customFormat="1" ht="9.75" customHeight="1" x14ac:dyDescent="0.15">
      <c r="A294" s="559" t="s">
        <v>634</v>
      </c>
      <c r="B294" s="290">
        <v>259238</v>
      </c>
      <c r="C294" s="290">
        <v>118025</v>
      </c>
      <c r="D294" s="290">
        <v>486497</v>
      </c>
      <c r="E294" s="290">
        <v>6440</v>
      </c>
      <c r="F294" s="290">
        <v>66038</v>
      </c>
      <c r="G294" s="290">
        <v>66038</v>
      </c>
      <c r="H294" s="290">
        <v>7623042</v>
      </c>
      <c r="I294" s="290">
        <v>2488615</v>
      </c>
      <c r="J294" s="290">
        <v>666325</v>
      </c>
      <c r="K294" s="290">
        <v>374103</v>
      </c>
      <c r="L294" s="290" t="s">
        <v>986</v>
      </c>
      <c r="M294" s="290" t="s">
        <v>986</v>
      </c>
      <c r="N294" s="290">
        <v>920692</v>
      </c>
      <c r="O294" s="290">
        <v>509745</v>
      </c>
      <c r="P294" s="290">
        <v>17750</v>
      </c>
      <c r="Q294" s="290">
        <v>22565</v>
      </c>
      <c r="R294" s="290">
        <v>22565</v>
      </c>
      <c r="S294" s="290" t="s">
        <v>986</v>
      </c>
      <c r="T294" s="290" t="s">
        <v>986</v>
      </c>
      <c r="U294" s="290">
        <v>5111862</v>
      </c>
      <c r="V294" s="290">
        <v>5111862</v>
      </c>
      <c r="W294" s="295" t="s">
        <v>588</v>
      </c>
    </row>
    <row r="295" spans="1:23" s="290" customFormat="1" ht="9.75" customHeight="1" x14ac:dyDescent="0.15">
      <c r="A295" s="559" t="s">
        <v>635</v>
      </c>
      <c r="B295" s="290">
        <v>74654</v>
      </c>
      <c r="C295" s="290">
        <v>173230</v>
      </c>
      <c r="D295" s="290">
        <v>170488</v>
      </c>
      <c r="E295" s="290">
        <v>151942</v>
      </c>
      <c r="F295" s="290">
        <v>47421</v>
      </c>
      <c r="G295" s="290">
        <v>47421</v>
      </c>
      <c r="H295" s="290">
        <v>7383184</v>
      </c>
      <c r="I295" s="290">
        <v>2027048</v>
      </c>
      <c r="J295" s="290">
        <v>583734</v>
      </c>
      <c r="K295" s="290">
        <v>94875</v>
      </c>
      <c r="L295" s="290" t="s">
        <v>986</v>
      </c>
      <c r="M295" s="290" t="s">
        <v>986</v>
      </c>
      <c r="N295" s="290">
        <v>993440</v>
      </c>
      <c r="O295" s="290">
        <v>354999</v>
      </c>
      <c r="P295" s="290" t="s">
        <v>986</v>
      </c>
      <c r="Q295" s="290" t="s">
        <v>986</v>
      </c>
      <c r="R295" s="290" t="s">
        <v>986</v>
      </c>
      <c r="S295" s="290" t="s">
        <v>986</v>
      </c>
      <c r="T295" s="290" t="s">
        <v>986</v>
      </c>
      <c r="U295" s="290">
        <v>5356136</v>
      </c>
      <c r="V295" s="290">
        <v>5356136</v>
      </c>
      <c r="W295" s="295" t="s">
        <v>636</v>
      </c>
    </row>
    <row r="296" spans="1:23" s="290" customFormat="1" ht="9.75" customHeight="1" x14ac:dyDescent="0.15">
      <c r="A296" s="559" t="s">
        <v>774</v>
      </c>
      <c r="B296" s="290">
        <v>24978</v>
      </c>
      <c r="C296" s="290">
        <v>24362</v>
      </c>
      <c r="D296" s="290">
        <v>34514</v>
      </c>
      <c r="E296" s="290" t="s">
        <v>986</v>
      </c>
      <c r="F296" s="290">
        <v>17109</v>
      </c>
      <c r="G296" s="290">
        <v>17109</v>
      </c>
      <c r="H296" s="290">
        <v>8342946</v>
      </c>
      <c r="I296" s="290">
        <v>3121817</v>
      </c>
      <c r="J296" s="290">
        <v>387607</v>
      </c>
      <c r="K296" s="290">
        <v>333506</v>
      </c>
      <c r="L296" s="290">
        <v>55900</v>
      </c>
      <c r="M296" s="290">
        <v>142338</v>
      </c>
      <c r="N296" s="290">
        <v>1965426</v>
      </c>
      <c r="O296" s="290">
        <v>237040</v>
      </c>
      <c r="P296" s="290" t="s">
        <v>986</v>
      </c>
      <c r="Q296" s="290">
        <v>101597</v>
      </c>
      <c r="R296" s="290">
        <v>101597</v>
      </c>
      <c r="S296" s="290" t="s">
        <v>986</v>
      </c>
      <c r="T296" s="290" t="s">
        <v>986</v>
      </c>
      <c r="U296" s="290">
        <v>5119532</v>
      </c>
      <c r="V296" s="290">
        <v>5119532</v>
      </c>
      <c r="W296" s="295" t="s">
        <v>775</v>
      </c>
    </row>
    <row r="297" spans="1:23" s="290" customFormat="1" ht="9.75" customHeight="1" x14ac:dyDescent="0.15">
      <c r="A297" s="559" t="s">
        <v>987</v>
      </c>
      <c r="B297" s="290">
        <v>68489</v>
      </c>
      <c r="C297" s="290" t="s">
        <v>986</v>
      </c>
      <c r="D297" s="290" t="s">
        <v>986</v>
      </c>
      <c r="E297" s="290" t="s">
        <v>986</v>
      </c>
      <c r="F297" s="290">
        <v>10267</v>
      </c>
      <c r="G297" s="290">
        <v>10267</v>
      </c>
      <c r="H297" s="290">
        <v>7752146</v>
      </c>
      <c r="I297" s="290">
        <v>2945569</v>
      </c>
      <c r="J297" s="290">
        <v>546589</v>
      </c>
      <c r="K297" s="290">
        <v>1845404</v>
      </c>
      <c r="L297" s="290" t="s">
        <v>986</v>
      </c>
      <c r="M297" s="290" t="s">
        <v>986</v>
      </c>
      <c r="N297" s="290">
        <v>447184</v>
      </c>
      <c r="O297" s="290">
        <v>106392</v>
      </c>
      <c r="P297" s="290" t="s">
        <v>986</v>
      </c>
      <c r="Q297" s="290" t="s">
        <v>986</v>
      </c>
      <c r="R297" s="290" t="s">
        <v>986</v>
      </c>
      <c r="S297" s="290" t="s">
        <v>986</v>
      </c>
      <c r="T297" s="290" t="s">
        <v>986</v>
      </c>
      <c r="U297" s="290">
        <v>4806577</v>
      </c>
      <c r="V297" s="290">
        <v>4806577</v>
      </c>
      <c r="W297" s="295" t="s">
        <v>988</v>
      </c>
    </row>
    <row r="298" spans="1:23" s="290" customFormat="1" ht="6.75" customHeight="1" x14ac:dyDescent="0.15">
      <c r="A298" s="578"/>
      <c r="W298" s="295"/>
    </row>
    <row r="299" spans="1:23" s="290" customFormat="1" ht="9.75" customHeight="1" x14ac:dyDescent="0.15">
      <c r="A299" s="559" t="s">
        <v>989</v>
      </c>
      <c r="B299" s="290">
        <v>55459</v>
      </c>
      <c r="C299" s="290">
        <v>10162</v>
      </c>
      <c r="D299" s="290">
        <v>11000</v>
      </c>
      <c r="E299" s="290" t="s">
        <v>986</v>
      </c>
      <c r="F299" s="290">
        <v>13834</v>
      </c>
      <c r="G299" s="290">
        <v>13834</v>
      </c>
      <c r="H299" s="290">
        <v>8459777</v>
      </c>
      <c r="I299" s="290">
        <v>3298117</v>
      </c>
      <c r="J299" s="290">
        <v>415021</v>
      </c>
      <c r="K299" s="290">
        <v>588885</v>
      </c>
      <c r="L299" s="290" t="s">
        <v>986</v>
      </c>
      <c r="M299" s="290">
        <v>142338</v>
      </c>
      <c r="N299" s="290">
        <v>1840362</v>
      </c>
      <c r="O299" s="290">
        <v>311511</v>
      </c>
      <c r="P299" s="290" t="s">
        <v>986</v>
      </c>
      <c r="Q299" s="290" t="s">
        <v>986</v>
      </c>
      <c r="R299" s="290" t="s">
        <v>986</v>
      </c>
      <c r="S299" s="290" t="s">
        <v>986</v>
      </c>
      <c r="T299" s="290" t="s">
        <v>986</v>
      </c>
      <c r="U299" s="290">
        <v>5161660</v>
      </c>
      <c r="V299" s="290">
        <v>5161660</v>
      </c>
      <c r="W299" s="295" t="s">
        <v>776</v>
      </c>
    </row>
    <row r="300" spans="1:23" s="290" customFormat="1" ht="9.75" customHeight="1" x14ac:dyDescent="0.15">
      <c r="A300" s="559" t="s">
        <v>990</v>
      </c>
      <c r="B300" s="290">
        <v>57822</v>
      </c>
      <c r="C300" s="290" t="s">
        <v>986</v>
      </c>
      <c r="D300" s="290" t="s">
        <v>986</v>
      </c>
      <c r="E300" s="290" t="s">
        <v>986</v>
      </c>
      <c r="F300" s="290">
        <v>10287</v>
      </c>
      <c r="G300" s="290">
        <v>10287</v>
      </c>
      <c r="H300" s="290">
        <v>7829857</v>
      </c>
      <c r="I300" s="290">
        <v>3184346</v>
      </c>
      <c r="J300" s="290">
        <v>594493</v>
      </c>
      <c r="K300" s="290">
        <v>2104033</v>
      </c>
      <c r="L300" s="290" t="s">
        <v>986</v>
      </c>
      <c r="M300" s="290" t="s">
        <v>986</v>
      </c>
      <c r="N300" s="290">
        <v>472206</v>
      </c>
      <c r="O300" s="290">
        <v>13614</v>
      </c>
      <c r="P300" s="290" t="s">
        <v>986</v>
      </c>
      <c r="Q300" s="290">
        <v>50005</v>
      </c>
      <c r="R300" s="290">
        <v>50005</v>
      </c>
      <c r="S300" s="290" t="s">
        <v>986</v>
      </c>
      <c r="T300" s="290" t="s">
        <v>986</v>
      </c>
      <c r="U300" s="290">
        <v>4595506</v>
      </c>
      <c r="V300" s="290">
        <v>4595506</v>
      </c>
      <c r="W300" s="295" t="s">
        <v>991</v>
      </c>
    </row>
    <row r="301" spans="1:23" s="290" customFormat="1" ht="6.75" customHeight="1" x14ac:dyDescent="0.15">
      <c r="A301" s="578"/>
      <c r="W301" s="295"/>
    </row>
    <row r="302" spans="1:23" s="290" customFormat="1" ht="9.75" customHeight="1" x14ac:dyDescent="0.15">
      <c r="A302" s="559" t="s">
        <v>992</v>
      </c>
      <c r="B302" s="290">
        <v>30481</v>
      </c>
      <c r="C302" s="290" t="s">
        <v>986</v>
      </c>
      <c r="D302" s="290" t="s">
        <v>986</v>
      </c>
      <c r="E302" s="290" t="s">
        <v>986</v>
      </c>
      <c r="F302" s="290">
        <v>1929</v>
      </c>
      <c r="G302" s="290">
        <v>1929</v>
      </c>
      <c r="H302" s="290">
        <v>2142718</v>
      </c>
      <c r="I302" s="290">
        <v>818217</v>
      </c>
      <c r="J302" s="290">
        <v>127116</v>
      </c>
      <c r="K302" s="290">
        <v>328734</v>
      </c>
      <c r="L302" s="290" t="s">
        <v>986</v>
      </c>
      <c r="M302" s="290" t="s">
        <v>986</v>
      </c>
      <c r="N302" s="290">
        <v>255975</v>
      </c>
      <c r="O302" s="290">
        <v>106392</v>
      </c>
      <c r="P302" s="290" t="s">
        <v>986</v>
      </c>
      <c r="Q302" s="290" t="s">
        <v>986</v>
      </c>
      <c r="R302" s="290" t="s">
        <v>986</v>
      </c>
      <c r="S302" s="290" t="s">
        <v>986</v>
      </c>
      <c r="T302" s="290" t="s">
        <v>986</v>
      </c>
      <c r="U302" s="290">
        <v>1324501</v>
      </c>
      <c r="V302" s="290">
        <v>1324501</v>
      </c>
      <c r="W302" s="295" t="s">
        <v>777</v>
      </c>
    </row>
    <row r="303" spans="1:23" s="290" customFormat="1" ht="9.75" customHeight="1" x14ac:dyDescent="0.15">
      <c r="A303" s="559" t="s">
        <v>637</v>
      </c>
      <c r="B303" s="290" t="s">
        <v>986</v>
      </c>
      <c r="C303" s="290" t="s">
        <v>986</v>
      </c>
      <c r="D303" s="290" t="s">
        <v>986</v>
      </c>
      <c r="E303" s="290" t="s">
        <v>986</v>
      </c>
      <c r="F303" s="290">
        <v>2486</v>
      </c>
      <c r="G303" s="290">
        <v>2486</v>
      </c>
      <c r="H303" s="290">
        <v>1651987</v>
      </c>
      <c r="I303" s="290">
        <v>483902</v>
      </c>
      <c r="J303" s="290">
        <v>144970</v>
      </c>
      <c r="K303" s="290">
        <v>238018</v>
      </c>
      <c r="L303" s="290" t="s">
        <v>986</v>
      </c>
      <c r="M303" s="290" t="s">
        <v>986</v>
      </c>
      <c r="N303" s="290">
        <v>100914</v>
      </c>
      <c r="O303" s="290" t="s">
        <v>986</v>
      </c>
      <c r="P303" s="290" t="s">
        <v>986</v>
      </c>
      <c r="Q303" s="290" t="s">
        <v>986</v>
      </c>
      <c r="R303" s="290" t="s">
        <v>986</v>
      </c>
      <c r="S303" s="290" t="s">
        <v>986</v>
      </c>
      <c r="T303" s="290" t="s">
        <v>986</v>
      </c>
      <c r="U303" s="290">
        <v>1168085</v>
      </c>
      <c r="V303" s="290">
        <v>1168085</v>
      </c>
      <c r="W303" s="295" t="s">
        <v>85</v>
      </c>
    </row>
    <row r="304" spans="1:23" s="290" customFormat="1" ht="9.75" customHeight="1" x14ac:dyDescent="0.15">
      <c r="A304" s="559" t="s">
        <v>638</v>
      </c>
      <c r="B304" s="290" t="s">
        <v>986</v>
      </c>
      <c r="C304" s="290" t="s">
        <v>986</v>
      </c>
      <c r="D304" s="290" t="s">
        <v>986</v>
      </c>
      <c r="E304" s="290" t="s">
        <v>986</v>
      </c>
      <c r="F304" s="290">
        <v>3189</v>
      </c>
      <c r="G304" s="290">
        <v>3189</v>
      </c>
      <c r="H304" s="290">
        <v>1814910</v>
      </c>
      <c r="I304" s="290">
        <v>673413</v>
      </c>
      <c r="J304" s="290">
        <v>145664</v>
      </c>
      <c r="K304" s="290">
        <v>498671</v>
      </c>
      <c r="L304" s="290" t="s">
        <v>986</v>
      </c>
      <c r="M304" s="290" t="s">
        <v>986</v>
      </c>
      <c r="N304" s="290">
        <v>29078</v>
      </c>
      <c r="O304" s="290" t="s">
        <v>986</v>
      </c>
      <c r="P304" s="290" t="s">
        <v>986</v>
      </c>
      <c r="Q304" s="290" t="s">
        <v>986</v>
      </c>
      <c r="R304" s="290" t="s">
        <v>986</v>
      </c>
      <c r="S304" s="290" t="s">
        <v>986</v>
      </c>
      <c r="T304" s="290" t="s">
        <v>986</v>
      </c>
      <c r="U304" s="290">
        <v>1141497</v>
      </c>
      <c r="V304" s="290">
        <v>1141497</v>
      </c>
      <c r="W304" s="295" t="s">
        <v>86</v>
      </c>
    </row>
    <row r="305" spans="1:23" s="290" customFormat="1" ht="9.75" customHeight="1" x14ac:dyDescent="0.15">
      <c r="A305" s="559" t="s">
        <v>639</v>
      </c>
      <c r="B305" s="290">
        <v>38008</v>
      </c>
      <c r="C305" s="290" t="s">
        <v>986</v>
      </c>
      <c r="D305" s="290" t="s">
        <v>986</v>
      </c>
      <c r="E305" s="290" t="s">
        <v>986</v>
      </c>
      <c r="F305" s="290">
        <v>2663</v>
      </c>
      <c r="G305" s="290">
        <v>2663</v>
      </c>
      <c r="H305" s="290">
        <v>2142531</v>
      </c>
      <c r="I305" s="290">
        <v>970037</v>
      </c>
      <c r="J305" s="290">
        <v>128839</v>
      </c>
      <c r="K305" s="290">
        <v>779981</v>
      </c>
      <c r="L305" s="290" t="s">
        <v>986</v>
      </c>
      <c r="M305" s="290" t="s">
        <v>986</v>
      </c>
      <c r="N305" s="290">
        <v>61217</v>
      </c>
      <c r="O305" s="290" t="s">
        <v>986</v>
      </c>
      <c r="P305" s="290" t="s">
        <v>986</v>
      </c>
      <c r="Q305" s="290" t="s">
        <v>986</v>
      </c>
      <c r="R305" s="290" t="s">
        <v>986</v>
      </c>
      <c r="S305" s="290" t="s">
        <v>986</v>
      </c>
      <c r="T305" s="290" t="s">
        <v>986</v>
      </c>
      <c r="U305" s="290">
        <v>1172494</v>
      </c>
      <c r="V305" s="290">
        <v>1172494</v>
      </c>
      <c r="W305" s="295" t="s">
        <v>87</v>
      </c>
    </row>
    <row r="306" spans="1:23" s="290" customFormat="1" ht="9.75" customHeight="1" x14ac:dyDescent="0.15">
      <c r="A306" s="559" t="s">
        <v>993</v>
      </c>
      <c r="B306" s="290">
        <v>19814</v>
      </c>
      <c r="C306" s="290" t="s">
        <v>986</v>
      </c>
      <c r="D306" s="290" t="s">
        <v>986</v>
      </c>
      <c r="E306" s="290" t="s">
        <v>986</v>
      </c>
      <c r="F306" s="290">
        <v>1949</v>
      </c>
      <c r="G306" s="290">
        <v>1949</v>
      </c>
      <c r="H306" s="290">
        <v>2220429</v>
      </c>
      <c r="I306" s="290">
        <v>1056994</v>
      </c>
      <c r="J306" s="290">
        <v>175020</v>
      </c>
      <c r="K306" s="290">
        <v>587363</v>
      </c>
      <c r="L306" s="290" t="s">
        <v>986</v>
      </c>
      <c r="M306" s="290" t="s">
        <v>986</v>
      </c>
      <c r="N306" s="290">
        <v>280997</v>
      </c>
      <c r="O306" s="290">
        <v>13614</v>
      </c>
      <c r="P306" s="290" t="s">
        <v>986</v>
      </c>
      <c r="Q306" s="290">
        <v>50005</v>
      </c>
      <c r="R306" s="290">
        <v>50005</v>
      </c>
      <c r="S306" s="290" t="s">
        <v>986</v>
      </c>
      <c r="T306" s="290" t="s">
        <v>986</v>
      </c>
      <c r="U306" s="290">
        <v>1113430</v>
      </c>
      <c r="V306" s="290">
        <v>1113430</v>
      </c>
      <c r="W306" s="295" t="s">
        <v>994</v>
      </c>
    </row>
    <row r="307" spans="1:23" s="290" customFormat="1" ht="6.75" customHeight="1" x14ac:dyDescent="0.15">
      <c r="A307" s="578"/>
      <c r="W307" s="295"/>
    </row>
    <row r="308" spans="1:23" s="290" customFormat="1" ht="9.75" customHeight="1" x14ac:dyDescent="0.15">
      <c r="A308" s="559" t="s">
        <v>995</v>
      </c>
      <c r="B308" s="290">
        <v>30481</v>
      </c>
      <c r="C308" s="290" t="s">
        <v>986</v>
      </c>
      <c r="D308" s="290" t="s">
        <v>986</v>
      </c>
      <c r="E308" s="290" t="s">
        <v>986</v>
      </c>
      <c r="F308" s="290">
        <v>1211</v>
      </c>
      <c r="G308" s="290">
        <v>1211</v>
      </c>
      <c r="H308" s="290">
        <v>676939</v>
      </c>
      <c r="I308" s="290">
        <v>253979</v>
      </c>
      <c r="J308" s="290">
        <v>55666</v>
      </c>
      <c r="K308" s="290">
        <v>60620</v>
      </c>
      <c r="L308" s="290" t="s">
        <v>986</v>
      </c>
      <c r="M308" s="290" t="s">
        <v>986</v>
      </c>
      <c r="N308" s="290">
        <v>137693</v>
      </c>
      <c r="O308" s="290" t="s">
        <v>986</v>
      </c>
      <c r="P308" s="290" t="s">
        <v>986</v>
      </c>
      <c r="Q308" s="290" t="s">
        <v>986</v>
      </c>
      <c r="R308" s="290" t="s">
        <v>986</v>
      </c>
      <c r="S308" s="290" t="s">
        <v>986</v>
      </c>
      <c r="T308" s="290" t="s">
        <v>986</v>
      </c>
      <c r="U308" s="290">
        <v>422960</v>
      </c>
      <c r="V308" s="290">
        <v>422960</v>
      </c>
      <c r="W308" s="295" t="s">
        <v>778</v>
      </c>
    </row>
    <row r="309" spans="1:23" s="290" customFormat="1" ht="9.75" customHeight="1" x14ac:dyDescent="0.15">
      <c r="A309" s="559" t="s">
        <v>640</v>
      </c>
      <c r="B309" s="290" t="s">
        <v>986</v>
      </c>
      <c r="C309" s="290" t="s">
        <v>986</v>
      </c>
      <c r="D309" s="290" t="s">
        <v>986</v>
      </c>
      <c r="E309" s="290" t="s">
        <v>986</v>
      </c>
      <c r="F309" s="290">
        <v>465</v>
      </c>
      <c r="G309" s="290">
        <v>465</v>
      </c>
      <c r="H309" s="290">
        <v>733841</v>
      </c>
      <c r="I309" s="290">
        <v>313062</v>
      </c>
      <c r="J309" s="290">
        <v>25091</v>
      </c>
      <c r="K309" s="290">
        <v>101297</v>
      </c>
      <c r="L309" s="290" t="s">
        <v>986</v>
      </c>
      <c r="M309" s="290" t="s">
        <v>986</v>
      </c>
      <c r="N309" s="290">
        <v>80282</v>
      </c>
      <c r="O309" s="290">
        <v>106392</v>
      </c>
      <c r="P309" s="290" t="s">
        <v>986</v>
      </c>
      <c r="Q309" s="290" t="s">
        <v>986</v>
      </c>
      <c r="R309" s="290" t="s">
        <v>986</v>
      </c>
      <c r="S309" s="290" t="s">
        <v>986</v>
      </c>
      <c r="T309" s="290" t="s">
        <v>986</v>
      </c>
      <c r="U309" s="290">
        <v>420779</v>
      </c>
      <c r="V309" s="290">
        <v>420779</v>
      </c>
      <c r="W309" s="295" t="s">
        <v>73</v>
      </c>
    </row>
    <row r="310" spans="1:23" s="290" customFormat="1" ht="9.75" customHeight="1" x14ac:dyDescent="0.15">
      <c r="A310" s="559" t="s">
        <v>641</v>
      </c>
      <c r="B310" s="290" t="s">
        <v>986</v>
      </c>
      <c r="C310" s="290" t="s">
        <v>986</v>
      </c>
      <c r="D310" s="290" t="s">
        <v>986</v>
      </c>
      <c r="E310" s="290" t="s">
        <v>986</v>
      </c>
      <c r="F310" s="290">
        <v>253</v>
      </c>
      <c r="G310" s="290">
        <v>253</v>
      </c>
      <c r="H310" s="290">
        <v>731938</v>
      </c>
      <c r="I310" s="290">
        <v>251176</v>
      </c>
      <c r="J310" s="290">
        <v>46359</v>
      </c>
      <c r="K310" s="290">
        <v>166817</v>
      </c>
      <c r="L310" s="290" t="s">
        <v>986</v>
      </c>
      <c r="M310" s="290" t="s">
        <v>986</v>
      </c>
      <c r="N310" s="290">
        <v>38000</v>
      </c>
      <c r="O310" s="290" t="s">
        <v>986</v>
      </c>
      <c r="P310" s="290" t="s">
        <v>986</v>
      </c>
      <c r="Q310" s="290" t="s">
        <v>986</v>
      </c>
      <c r="R310" s="290" t="s">
        <v>986</v>
      </c>
      <c r="S310" s="290" t="s">
        <v>986</v>
      </c>
      <c r="T310" s="290" t="s">
        <v>986</v>
      </c>
      <c r="U310" s="290">
        <v>480762</v>
      </c>
      <c r="V310" s="290">
        <v>480762</v>
      </c>
      <c r="W310" s="295" t="s">
        <v>74</v>
      </c>
    </row>
    <row r="311" spans="1:23" s="290" customFormat="1" ht="9.75" customHeight="1" x14ac:dyDescent="0.15">
      <c r="A311" s="559" t="s">
        <v>642</v>
      </c>
      <c r="B311" s="290" t="s">
        <v>986</v>
      </c>
      <c r="C311" s="290" t="s">
        <v>986</v>
      </c>
      <c r="D311" s="290" t="s">
        <v>986</v>
      </c>
      <c r="E311" s="290" t="s">
        <v>986</v>
      </c>
      <c r="F311" s="290">
        <v>596</v>
      </c>
      <c r="G311" s="290">
        <v>596</v>
      </c>
      <c r="H311" s="290">
        <v>510535</v>
      </c>
      <c r="I311" s="290">
        <v>124449</v>
      </c>
      <c r="J311" s="290">
        <v>56863</v>
      </c>
      <c r="K311" s="290">
        <v>67586</v>
      </c>
      <c r="L311" s="290" t="s">
        <v>986</v>
      </c>
      <c r="M311" s="290" t="s">
        <v>986</v>
      </c>
      <c r="N311" s="290" t="s">
        <v>986</v>
      </c>
      <c r="O311" s="290" t="s">
        <v>986</v>
      </c>
      <c r="P311" s="290" t="s">
        <v>986</v>
      </c>
      <c r="Q311" s="290" t="s">
        <v>986</v>
      </c>
      <c r="R311" s="290" t="s">
        <v>986</v>
      </c>
      <c r="S311" s="290" t="s">
        <v>986</v>
      </c>
      <c r="T311" s="290" t="s">
        <v>986</v>
      </c>
      <c r="U311" s="290">
        <v>386086</v>
      </c>
      <c r="V311" s="290">
        <v>386086</v>
      </c>
      <c r="W311" s="295" t="s">
        <v>75</v>
      </c>
    </row>
    <row r="312" spans="1:23" s="290" customFormat="1" ht="9.75" customHeight="1" x14ac:dyDescent="0.15">
      <c r="A312" s="559" t="s">
        <v>643</v>
      </c>
      <c r="B312" s="290" t="s">
        <v>986</v>
      </c>
      <c r="C312" s="290" t="s">
        <v>986</v>
      </c>
      <c r="D312" s="290" t="s">
        <v>986</v>
      </c>
      <c r="E312" s="290" t="s">
        <v>986</v>
      </c>
      <c r="F312" s="290">
        <v>1033</v>
      </c>
      <c r="G312" s="290">
        <v>1033</v>
      </c>
      <c r="H312" s="290">
        <v>556766</v>
      </c>
      <c r="I312" s="290">
        <v>169858</v>
      </c>
      <c r="J312" s="290">
        <v>73107</v>
      </c>
      <c r="K312" s="290">
        <v>76384</v>
      </c>
      <c r="L312" s="290" t="s">
        <v>986</v>
      </c>
      <c r="M312" s="290" t="s">
        <v>986</v>
      </c>
      <c r="N312" s="290">
        <v>20367</v>
      </c>
      <c r="O312" s="290" t="s">
        <v>986</v>
      </c>
      <c r="P312" s="290" t="s">
        <v>986</v>
      </c>
      <c r="Q312" s="290" t="s">
        <v>986</v>
      </c>
      <c r="R312" s="290" t="s">
        <v>986</v>
      </c>
      <c r="S312" s="290" t="s">
        <v>986</v>
      </c>
      <c r="T312" s="290" t="s">
        <v>986</v>
      </c>
      <c r="U312" s="290">
        <v>386908</v>
      </c>
      <c r="V312" s="290">
        <v>386908</v>
      </c>
      <c r="W312" s="295" t="s">
        <v>88</v>
      </c>
    </row>
    <row r="313" spans="1:23" s="290" customFormat="1" ht="9.75" customHeight="1" x14ac:dyDescent="0.15">
      <c r="A313" s="559" t="s">
        <v>644</v>
      </c>
      <c r="B313" s="290" t="s">
        <v>986</v>
      </c>
      <c r="C313" s="290" t="s">
        <v>986</v>
      </c>
      <c r="D313" s="290" t="s">
        <v>986</v>
      </c>
      <c r="E313" s="290" t="s">
        <v>986</v>
      </c>
      <c r="F313" s="290">
        <v>857</v>
      </c>
      <c r="G313" s="290">
        <v>857</v>
      </c>
      <c r="H313" s="290">
        <v>584686</v>
      </c>
      <c r="I313" s="290">
        <v>189595</v>
      </c>
      <c r="J313" s="290">
        <v>15000</v>
      </c>
      <c r="K313" s="290">
        <v>94048</v>
      </c>
      <c r="L313" s="290" t="s">
        <v>986</v>
      </c>
      <c r="M313" s="290" t="s">
        <v>986</v>
      </c>
      <c r="N313" s="290">
        <v>80547</v>
      </c>
      <c r="O313" s="290" t="s">
        <v>986</v>
      </c>
      <c r="P313" s="290" t="s">
        <v>986</v>
      </c>
      <c r="Q313" s="290" t="s">
        <v>986</v>
      </c>
      <c r="R313" s="290" t="s">
        <v>986</v>
      </c>
      <c r="S313" s="290" t="s">
        <v>986</v>
      </c>
      <c r="T313" s="290" t="s">
        <v>986</v>
      </c>
      <c r="U313" s="290">
        <v>395091</v>
      </c>
      <c r="V313" s="290">
        <v>395091</v>
      </c>
      <c r="W313" s="295" t="s">
        <v>89</v>
      </c>
    </row>
    <row r="314" spans="1:23" s="290" customFormat="1" ht="9.75" customHeight="1" x14ac:dyDescent="0.15">
      <c r="A314" s="559" t="s">
        <v>645</v>
      </c>
      <c r="B314" s="290" t="s">
        <v>986</v>
      </c>
      <c r="C314" s="290" t="s">
        <v>986</v>
      </c>
      <c r="D314" s="290" t="s">
        <v>986</v>
      </c>
      <c r="E314" s="290" t="s">
        <v>986</v>
      </c>
      <c r="F314" s="290">
        <v>402</v>
      </c>
      <c r="G314" s="290">
        <v>402</v>
      </c>
      <c r="H314" s="290">
        <v>596130</v>
      </c>
      <c r="I314" s="290">
        <v>212537</v>
      </c>
      <c r="J314" s="290">
        <v>63476</v>
      </c>
      <c r="K314" s="290">
        <v>149061</v>
      </c>
      <c r="L314" s="290" t="s">
        <v>986</v>
      </c>
      <c r="M314" s="290" t="s">
        <v>986</v>
      </c>
      <c r="N314" s="290" t="s">
        <v>986</v>
      </c>
      <c r="O314" s="290" t="s">
        <v>986</v>
      </c>
      <c r="P314" s="290" t="s">
        <v>986</v>
      </c>
      <c r="Q314" s="290" t="s">
        <v>986</v>
      </c>
      <c r="R314" s="290" t="s">
        <v>986</v>
      </c>
      <c r="S314" s="290" t="s">
        <v>986</v>
      </c>
      <c r="T314" s="290" t="s">
        <v>986</v>
      </c>
      <c r="U314" s="290">
        <v>383593</v>
      </c>
      <c r="V314" s="290">
        <v>383593</v>
      </c>
      <c r="W314" s="295" t="s">
        <v>90</v>
      </c>
    </row>
    <row r="315" spans="1:23" s="290" customFormat="1" ht="9.75" customHeight="1" x14ac:dyDescent="0.15">
      <c r="A315" s="559" t="s">
        <v>646</v>
      </c>
      <c r="B315" s="290" t="s">
        <v>986</v>
      </c>
      <c r="C315" s="290" t="s">
        <v>986</v>
      </c>
      <c r="D315" s="290" t="s">
        <v>986</v>
      </c>
      <c r="E315" s="290" t="s">
        <v>986</v>
      </c>
      <c r="F315" s="290">
        <v>1690</v>
      </c>
      <c r="G315" s="290">
        <v>1690</v>
      </c>
      <c r="H315" s="290">
        <v>494909</v>
      </c>
      <c r="I315" s="290">
        <v>99682</v>
      </c>
      <c r="J315" s="290">
        <v>51487</v>
      </c>
      <c r="K315" s="290">
        <v>48195</v>
      </c>
      <c r="L315" s="290" t="s">
        <v>986</v>
      </c>
      <c r="M315" s="290" t="s">
        <v>986</v>
      </c>
      <c r="N315" s="290" t="s">
        <v>986</v>
      </c>
      <c r="O315" s="290" t="s">
        <v>986</v>
      </c>
      <c r="P315" s="290" t="s">
        <v>986</v>
      </c>
      <c r="Q315" s="290" t="s">
        <v>986</v>
      </c>
      <c r="R315" s="290" t="s">
        <v>986</v>
      </c>
      <c r="S315" s="290" t="s">
        <v>986</v>
      </c>
      <c r="T315" s="290" t="s">
        <v>986</v>
      </c>
      <c r="U315" s="290">
        <v>395227</v>
      </c>
      <c r="V315" s="290">
        <v>395227</v>
      </c>
      <c r="W315" s="295" t="s">
        <v>91</v>
      </c>
    </row>
    <row r="316" spans="1:23" s="290" customFormat="1" ht="9.75" customHeight="1" x14ac:dyDescent="0.15">
      <c r="A316" s="559" t="s">
        <v>647</v>
      </c>
      <c r="B316" s="290" t="s">
        <v>986</v>
      </c>
      <c r="C316" s="290" t="s">
        <v>986</v>
      </c>
      <c r="D316" s="290" t="s">
        <v>986</v>
      </c>
      <c r="E316" s="290" t="s">
        <v>986</v>
      </c>
      <c r="F316" s="290">
        <v>1097</v>
      </c>
      <c r="G316" s="290">
        <v>1097</v>
      </c>
      <c r="H316" s="290">
        <v>723871</v>
      </c>
      <c r="I316" s="290">
        <v>361194</v>
      </c>
      <c r="J316" s="290">
        <v>30701</v>
      </c>
      <c r="K316" s="290">
        <v>301415</v>
      </c>
      <c r="L316" s="290" t="s">
        <v>986</v>
      </c>
      <c r="M316" s="290" t="s">
        <v>986</v>
      </c>
      <c r="N316" s="290">
        <v>29078</v>
      </c>
      <c r="O316" s="290" t="s">
        <v>986</v>
      </c>
      <c r="P316" s="290" t="s">
        <v>986</v>
      </c>
      <c r="Q316" s="290" t="s">
        <v>986</v>
      </c>
      <c r="R316" s="290" t="s">
        <v>986</v>
      </c>
      <c r="S316" s="290" t="s">
        <v>986</v>
      </c>
      <c r="T316" s="290" t="s">
        <v>986</v>
      </c>
      <c r="U316" s="290">
        <v>362677</v>
      </c>
      <c r="V316" s="290">
        <v>362677</v>
      </c>
      <c r="W316" s="295" t="s">
        <v>92</v>
      </c>
    </row>
    <row r="317" spans="1:23" s="290" customFormat="1" ht="9.75" customHeight="1" x14ac:dyDescent="0.15">
      <c r="A317" s="559" t="s">
        <v>648</v>
      </c>
      <c r="B317" s="290">
        <v>38008</v>
      </c>
      <c r="C317" s="290" t="s">
        <v>986</v>
      </c>
      <c r="D317" s="290" t="s">
        <v>986</v>
      </c>
      <c r="E317" s="290" t="s">
        <v>986</v>
      </c>
      <c r="F317" s="290">
        <v>989</v>
      </c>
      <c r="G317" s="290">
        <v>989</v>
      </c>
      <c r="H317" s="290">
        <v>580391</v>
      </c>
      <c r="I317" s="290">
        <v>198032</v>
      </c>
      <c r="J317" s="290">
        <v>9000</v>
      </c>
      <c r="K317" s="290">
        <v>189032</v>
      </c>
      <c r="L317" s="290" t="s">
        <v>986</v>
      </c>
      <c r="M317" s="290" t="s">
        <v>986</v>
      </c>
      <c r="N317" s="290" t="s">
        <v>986</v>
      </c>
      <c r="O317" s="290" t="s">
        <v>986</v>
      </c>
      <c r="P317" s="290" t="s">
        <v>986</v>
      </c>
      <c r="Q317" s="290" t="s">
        <v>986</v>
      </c>
      <c r="R317" s="290" t="s">
        <v>986</v>
      </c>
      <c r="S317" s="290" t="s">
        <v>986</v>
      </c>
      <c r="T317" s="290" t="s">
        <v>986</v>
      </c>
      <c r="U317" s="290">
        <v>382359</v>
      </c>
      <c r="V317" s="290">
        <v>382359</v>
      </c>
      <c r="W317" s="295" t="s">
        <v>76</v>
      </c>
    </row>
    <row r="318" spans="1:23" s="290" customFormat="1" ht="9.75" customHeight="1" x14ac:dyDescent="0.15">
      <c r="A318" s="559" t="s">
        <v>649</v>
      </c>
      <c r="B318" s="290" t="s">
        <v>986</v>
      </c>
      <c r="C318" s="290" t="s">
        <v>986</v>
      </c>
      <c r="D318" s="290" t="s">
        <v>986</v>
      </c>
      <c r="E318" s="290" t="s">
        <v>986</v>
      </c>
      <c r="F318" s="290">
        <v>545</v>
      </c>
      <c r="G318" s="290">
        <v>545</v>
      </c>
      <c r="H318" s="290">
        <v>739221</v>
      </c>
      <c r="I318" s="290">
        <v>343237</v>
      </c>
      <c r="J318" s="290">
        <v>66550</v>
      </c>
      <c r="K318" s="290">
        <v>276687</v>
      </c>
      <c r="L318" s="290" t="s">
        <v>986</v>
      </c>
      <c r="M318" s="290" t="s">
        <v>986</v>
      </c>
      <c r="N318" s="290" t="s">
        <v>986</v>
      </c>
      <c r="O318" s="290" t="s">
        <v>986</v>
      </c>
      <c r="P318" s="290" t="s">
        <v>986</v>
      </c>
      <c r="Q318" s="290" t="s">
        <v>986</v>
      </c>
      <c r="R318" s="290" t="s">
        <v>986</v>
      </c>
      <c r="S318" s="290" t="s">
        <v>986</v>
      </c>
      <c r="T318" s="290" t="s">
        <v>986</v>
      </c>
      <c r="U318" s="290">
        <v>395984</v>
      </c>
      <c r="V318" s="290">
        <v>395984</v>
      </c>
      <c r="W318" s="295" t="s">
        <v>77</v>
      </c>
    </row>
    <row r="319" spans="1:23" s="290" customFormat="1" ht="9.75" customHeight="1" x14ac:dyDescent="0.15">
      <c r="A319" s="559" t="s">
        <v>650</v>
      </c>
      <c r="B319" s="290" t="s">
        <v>986</v>
      </c>
      <c r="C319" s="290" t="s">
        <v>986</v>
      </c>
      <c r="D319" s="290" t="s">
        <v>986</v>
      </c>
      <c r="E319" s="290" t="s">
        <v>986</v>
      </c>
      <c r="F319" s="290">
        <v>1129</v>
      </c>
      <c r="G319" s="290">
        <v>1129</v>
      </c>
      <c r="H319" s="290">
        <v>822919</v>
      </c>
      <c r="I319" s="290">
        <v>428768</v>
      </c>
      <c r="J319" s="290">
        <v>53289</v>
      </c>
      <c r="K319" s="290">
        <v>314262</v>
      </c>
      <c r="L319" s="290" t="s">
        <v>986</v>
      </c>
      <c r="M319" s="290" t="s">
        <v>986</v>
      </c>
      <c r="N319" s="290">
        <v>61217</v>
      </c>
      <c r="O319" s="290" t="s">
        <v>986</v>
      </c>
      <c r="P319" s="290" t="s">
        <v>986</v>
      </c>
      <c r="Q319" s="290" t="s">
        <v>986</v>
      </c>
      <c r="R319" s="290" t="s">
        <v>986</v>
      </c>
      <c r="S319" s="290" t="s">
        <v>986</v>
      </c>
      <c r="T319" s="290" t="s">
        <v>986</v>
      </c>
      <c r="U319" s="290">
        <v>394151</v>
      </c>
      <c r="V319" s="290">
        <v>394151</v>
      </c>
      <c r="W319" s="295" t="s">
        <v>78</v>
      </c>
    </row>
    <row r="320" spans="1:23" s="290" customFormat="1" ht="9.75" customHeight="1" x14ac:dyDescent="0.15">
      <c r="A320" s="559" t="s">
        <v>996</v>
      </c>
      <c r="B320" s="290" t="s">
        <v>986</v>
      </c>
      <c r="C320" s="290" t="s">
        <v>986</v>
      </c>
      <c r="D320" s="290" t="s">
        <v>986</v>
      </c>
      <c r="E320" s="290" t="s">
        <v>986</v>
      </c>
      <c r="F320" s="290">
        <v>687</v>
      </c>
      <c r="G320" s="290">
        <v>687</v>
      </c>
      <c r="H320" s="290">
        <v>671287</v>
      </c>
      <c r="I320" s="290">
        <v>308468</v>
      </c>
      <c r="J320" s="290">
        <v>56342</v>
      </c>
      <c r="K320" s="290">
        <v>208881</v>
      </c>
      <c r="L320" s="290" t="s">
        <v>986</v>
      </c>
      <c r="M320" s="290" t="s">
        <v>986</v>
      </c>
      <c r="N320" s="290">
        <v>43245</v>
      </c>
      <c r="O320" s="290" t="s">
        <v>986</v>
      </c>
      <c r="P320" s="290" t="s">
        <v>986</v>
      </c>
      <c r="Q320" s="290" t="s">
        <v>986</v>
      </c>
      <c r="R320" s="290" t="s">
        <v>986</v>
      </c>
      <c r="S320" s="290" t="s">
        <v>986</v>
      </c>
      <c r="T320" s="290" t="s">
        <v>986</v>
      </c>
      <c r="U320" s="290">
        <v>362819</v>
      </c>
      <c r="V320" s="290">
        <v>362819</v>
      </c>
      <c r="W320" s="295" t="s">
        <v>997</v>
      </c>
    </row>
    <row r="321" spans="1:23" s="290" customFormat="1" ht="9.75" customHeight="1" x14ac:dyDescent="0.15">
      <c r="A321" s="559" t="s">
        <v>651</v>
      </c>
      <c r="B321" s="290" t="s">
        <v>986</v>
      </c>
      <c r="C321" s="290" t="s">
        <v>986</v>
      </c>
      <c r="D321" s="290" t="s">
        <v>986</v>
      </c>
      <c r="E321" s="290" t="s">
        <v>986</v>
      </c>
      <c r="F321" s="290">
        <v>567</v>
      </c>
      <c r="G321" s="290">
        <v>567</v>
      </c>
      <c r="H321" s="290">
        <v>729819</v>
      </c>
      <c r="I321" s="290">
        <v>308360</v>
      </c>
      <c r="J321" s="290">
        <v>53837</v>
      </c>
      <c r="K321" s="290">
        <v>166104</v>
      </c>
      <c r="L321" s="290" t="s">
        <v>986</v>
      </c>
      <c r="M321" s="290" t="s">
        <v>986</v>
      </c>
      <c r="N321" s="290">
        <v>88419</v>
      </c>
      <c r="O321" s="290" t="s">
        <v>986</v>
      </c>
      <c r="P321" s="290" t="s">
        <v>986</v>
      </c>
      <c r="Q321" s="290">
        <v>50005</v>
      </c>
      <c r="R321" s="290">
        <v>50005</v>
      </c>
      <c r="S321" s="290" t="s">
        <v>986</v>
      </c>
      <c r="T321" s="290" t="s">
        <v>986</v>
      </c>
      <c r="U321" s="290">
        <v>371454</v>
      </c>
      <c r="V321" s="290">
        <v>371454</v>
      </c>
      <c r="W321" s="295" t="s">
        <v>73</v>
      </c>
    </row>
    <row r="322" spans="1:23" s="290" customFormat="1" ht="9.75" customHeight="1" x14ac:dyDescent="0.15">
      <c r="A322" s="560" t="s">
        <v>652</v>
      </c>
      <c r="B322" s="294">
        <v>19814</v>
      </c>
      <c r="C322" s="293" t="s">
        <v>986</v>
      </c>
      <c r="D322" s="293" t="s">
        <v>986</v>
      </c>
      <c r="E322" s="293" t="s">
        <v>986</v>
      </c>
      <c r="F322" s="293">
        <v>695</v>
      </c>
      <c r="G322" s="293">
        <v>695</v>
      </c>
      <c r="H322" s="293">
        <v>819323</v>
      </c>
      <c r="I322" s="293">
        <v>440166</v>
      </c>
      <c r="J322" s="293">
        <v>64841</v>
      </c>
      <c r="K322" s="293">
        <v>212378</v>
      </c>
      <c r="L322" s="293" t="s">
        <v>986</v>
      </c>
      <c r="M322" s="293" t="s">
        <v>986</v>
      </c>
      <c r="N322" s="293">
        <v>149333</v>
      </c>
      <c r="O322" s="293">
        <v>13614</v>
      </c>
      <c r="P322" s="293" t="s">
        <v>986</v>
      </c>
      <c r="Q322" s="293" t="s">
        <v>986</v>
      </c>
      <c r="R322" s="293" t="s">
        <v>986</v>
      </c>
      <c r="S322" s="293" t="s">
        <v>986</v>
      </c>
      <c r="T322" s="293" t="s">
        <v>986</v>
      </c>
      <c r="U322" s="293">
        <v>379157</v>
      </c>
      <c r="V322" s="293">
        <v>379157</v>
      </c>
      <c r="W322" s="291" t="s">
        <v>74</v>
      </c>
    </row>
    <row r="323" spans="1:23" ht="12" customHeight="1" x14ac:dyDescent="0.15"/>
    <row r="324" spans="1:23" ht="12" customHeight="1" x14ac:dyDescent="0.15"/>
    <row r="325" spans="1:23" ht="12" customHeight="1" x14ac:dyDescent="0.15">
      <c r="K325" s="299" t="s">
        <v>93</v>
      </c>
    </row>
    <row r="326" spans="1:23" s="297" customFormat="1" ht="21" customHeight="1" x14ac:dyDescent="0.15">
      <c r="A326" s="1053" t="s">
        <v>172</v>
      </c>
      <c r="B326" s="826" t="s">
        <v>287</v>
      </c>
      <c r="C326" s="827"/>
      <c r="D326" s="827"/>
      <c r="E326" s="827"/>
      <c r="F326" s="827"/>
      <c r="G326" s="827"/>
      <c r="H326" s="827"/>
      <c r="I326" s="827"/>
      <c r="J326" s="827"/>
      <c r="K326" s="827"/>
      <c r="L326" s="827"/>
      <c r="M326" s="827"/>
      <c r="N326" s="827"/>
      <c r="O326" s="827"/>
      <c r="P326" s="827"/>
      <c r="Q326" s="827"/>
      <c r="R326" s="827"/>
      <c r="S326" s="827"/>
      <c r="T326" s="827"/>
      <c r="U326" s="827"/>
      <c r="V326" s="827"/>
      <c r="W326" s="1056" t="s">
        <v>79</v>
      </c>
    </row>
    <row r="327" spans="1:23" s="297" customFormat="1" ht="21" customHeight="1" x14ac:dyDescent="0.15">
      <c r="A327" s="1054"/>
      <c r="B327" s="1059" t="s">
        <v>286</v>
      </c>
      <c r="C327" s="826" t="s">
        <v>265</v>
      </c>
      <c r="D327" s="827"/>
      <c r="E327" s="827"/>
      <c r="F327" s="827"/>
      <c r="G327" s="827"/>
      <c r="H327" s="827"/>
      <c r="I327" s="827"/>
      <c r="J327" s="827"/>
      <c r="K327" s="827"/>
      <c r="L327" s="827"/>
      <c r="M327" s="827"/>
      <c r="N327" s="827"/>
      <c r="O327" s="827"/>
      <c r="P327" s="827"/>
      <c r="Q327" s="827"/>
      <c r="R327" s="827"/>
      <c r="S327" s="827"/>
      <c r="T327" s="827"/>
      <c r="U327" s="827"/>
      <c r="V327" s="827"/>
      <c r="W327" s="1057"/>
    </row>
    <row r="328" spans="1:23" s="297" customFormat="1" ht="52.5" customHeight="1" x14ac:dyDescent="0.15">
      <c r="A328" s="1055"/>
      <c r="B328" s="1060"/>
      <c r="C328" s="696" t="s">
        <v>851</v>
      </c>
      <c r="D328" s="298" t="s">
        <v>256</v>
      </c>
      <c r="E328" s="298" t="s">
        <v>852</v>
      </c>
      <c r="F328" s="298" t="s">
        <v>271</v>
      </c>
      <c r="G328" s="298" t="s">
        <v>332</v>
      </c>
      <c r="H328" s="298" t="s">
        <v>277</v>
      </c>
      <c r="I328" s="298" t="s">
        <v>324</v>
      </c>
      <c r="J328" s="298" t="s">
        <v>276</v>
      </c>
      <c r="K328" s="298" t="s">
        <v>255</v>
      </c>
      <c r="L328" s="298" t="s">
        <v>254</v>
      </c>
      <c r="M328" s="298" t="s">
        <v>303</v>
      </c>
      <c r="N328" s="298" t="s">
        <v>252</v>
      </c>
      <c r="O328" s="298" t="s">
        <v>331</v>
      </c>
      <c r="P328" s="298" t="s">
        <v>281</v>
      </c>
      <c r="Q328" s="298" t="s">
        <v>302</v>
      </c>
      <c r="R328" s="298" t="s">
        <v>300</v>
      </c>
      <c r="S328" s="298" t="s">
        <v>264</v>
      </c>
      <c r="T328" s="298" t="s">
        <v>263</v>
      </c>
      <c r="U328" s="298" t="s">
        <v>251</v>
      </c>
      <c r="V328" s="300" t="s">
        <v>330</v>
      </c>
      <c r="W328" s="1058"/>
    </row>
    <row r="329" spans="1:23" s="290" customFormat="1" ht="9.75" customHeight="1" x14ac:dyDescent="0.15">
      <c r="A329" s="828" t="s">
        <v>985</v>
      </c>
      <c r="B329" s="829">
        <v>839240</v>
      </c>
      <c r="C329" s="830">
        <v>795062</v>
      </c>
      <c r="D329" s="830">
        <v>114636</v>
      </c>
      <c r="E329" s="830">
        <v>150822</v>
      </c>
      <c r="F329" s="830">
        <v>38220</v>
      </c>
      <c r="G329" s="830">
        <v>103</v>
      </c>
      <c r="H329" s="830">
        <v>2326</v>
      </c>
      <c r="I329" s="830">
        <v>20499</v>
      </c>
      <c r="J329" s="830">
        <v>67022</v>
      </c>
      <c r="K329" s="830">
        <v>372238</v>
      </c>
      <c r="L329" s="830">
        <v>12606</v>
      </c>
      <c r="M329" s="830">
        <v>3757</v>
      </c>
      <c r="N329" s="830">
        <v>9030</v>
      </c>
      <c r="O329" s="830">
        <v>6</v>
      </c>
      <c r="P329" s="830">
        <v>2824</v>
      </c>
      <c r="Q329" s="830">
        <v>1</v>
      </c>
      <c r="R329" s="830">
        <v>32</v>
      </c>
      <c r="S329" s="830">
        <v>6</v>
      </c>
      <c r="T329" s="830">
        <v>13</v>
      </c>
      <c r="U329" s="830" t="s">
        <v>986</v>
      </c>
      <c r="V329" s="830">
        <v>6</v>
      </c>
      <c r="W329" s="831" t="s">
        <v>485</v>
      </c>
    </row>
    <row r="330" spans="1:23" s="290" customFormat="1" ht="9.75" customHeight="1" x14ac:dyDescent="0.15">
      <c r="A330" s="559" t="s">
        <v>634</v>
      </c>
      <c r="B330" s="290">
        <v>749232</v>
      </c>
      <c r="C330" s="290">
        <v>711893</v>
      </c>
      <c r="D330" s="290">
        <v>115989</v>
      </c>
      <c r="E330" s="290">
        <v>132449</v>
      </c>
      <c r="F330" s="290">
        <v>35919</v>
      </c>
      <c r="G330" s="290">
        <v>66</v>
      </c>
      <c r="H330" s="290">
        <v>6381</v>
      </c>
      <c r="I330" s="290">
        <v>24349</v>
      </c>
      <c r="J330" s="290">
        <v>44811</v>
      </c>
      <c r="K330" s="290">
        <v>327748</v>
      </c>
      <c r="L330" s="290">
        <v>11745</v>
      </c>
      <c r="M330" s="290">
        <v>2717</v>
      </c>
      <c r="N330" s="290">
        <v>6836</v>
      </c>
      <c r="O330" s="290">
        <v>3</v>
      </c>
      <c r="P330" s="290">
        <v>2442</v>
      </c>
      <c r="Q330" s="290">
        <v>3</v>
      </c>
      <c r="R330" s="290" t="s">
        <v>986</v>
      </c>
      <c r="S330" s="290">
        <v>4</v>
      </c>
      <c r="T330" s="290" t="s">
        <v>986</v>
      </c>
      <c r="U330" s="290" t="s">
        <v>986</v>
      </c>
      <c r="V330" s="290">
        <v>3</v>
      </c>
      <c r="W330" s="295" t="s">
        <v>588</v>
      </c>
    </row>
    <row r="331" spans="1:23" s="290" customFormat="1" ht="9.75" customHeight="1" x14ac:dyDescent="0.15">
      <c r="A331" s="559" t="s">
        <v>635</v>
      </c>
      <c r="B331" s="290">
        <v>766211</v>
      </c>
      <c r="C331" s="290">
        <v>726285</v>
      </c>
      <c r="D331" s="290">
        <v>117046</v>
      </c>
      <c r="E331" s="290">
        <v>153485</v>
      </c>
      <c r="F331" s="290">
        <v>35061</v>
      </c>
      <c r="G331" s="290">
        <v>60</v>
      </c>
      <c r="H331" s="290">
        <v>9758</v>
      </c>
      <c r="I331" s="290">
        <v>23855</v>
      </c>
      <c r="J331" s="290">
        <v>53273</v>
      </c>
      <c r="K331" s="290">
        <v>302197</v>
      </c>
      <c r="L331" s="290">
        <v>11340</v>
      </c>
      <c r="M331" s="290">
        <v>3308</v>
      </c>
      <c r="N331" s="290">
        <v>11239</v>
      </c>
      <c r="O331" s="290" t="s">
        <v>986</v>
      </c>
      <c r="P331" s="290">
        <v>5017</v>
      </c>
      <c r="Q331" s="290">
        <v>6</v>
      </c>
      <c r="R331" s="290" t="s">
        <v>986</v>
      </c>
      <c r="S331" s="290">
        <v>34</v>
      </c>
      <c r="T331" s="290">
        <v>14</v>
      </c>
      <c r="U331" s="290" t="s">
        <v>986</v>
      </c>
      <c r="V331" s="290">
        <v>3</v>
      </c>
      <c r="W331" s="295" t="s">
        <v>636</v>
      </c>
    </row>
    <row r="332" spans="1:23" s="290" customFormat="1" ht="9.75" customHeight="1" x14ac:dyDescent="0.15">
      <c r="A332" s="559" t="s">
        <v>774</v>
      </c>
      <c r="B332" s="838">
        <v>809205</v>
      </c>
      <c r="C332" s="838">
        <v>774492</v>
      </c>
      <c r="D332" s="838">
        <v>111112</v>
      </c>
      <c r="E332" s="290">
        <v>126531</v>
      </c>
      <c r="F332" s="290">
        <v>42154</v>
      </c>
      <c r="G332" s="290">
        <v>119</v>
      </c>
      <c r="H332" s="290">
        <v>1990</v>
      </c>
      <c r="I332" s="290">
        <v>22428</v>
      </c>
      <c r="J332" s="290">
        <v>54519</v>
      </c>
      <c r="K332" s="838">
        <v>392084</v>
      </c>
      <c r="L332" s="290">
        <v>7558</v>
      </c>
      <c r="M332" s="290">
        <v>525</v>
      </c>
      <c r="N332" s="290">
        <v>9532</v>
      </c>
      <c r="O332" s="290" t="s">
        <v>986</v>
      </c>
      <c r="P332" s="290">
        <v>5179</v>
      </c>
      <c r="Q332" s="290" t="s">
        <v>986</v>
      </c>
      <c r="R332" s="290">
        <v>16</v>
      </c>
      <c r="S332" s="290" t="s">
        <v>986</v>
      </c>
      <c r="T332" s="290" t="s">
        <v>986</v>
      </c>
      <c r="U332" s="290" t="s">
        <v>986</v>
      </c>
      <c r="V332" s="290">
        <v>6</v>
      </c>
      <c r="W332" s="295" t="s">
        <v>775</v>
      </c>
    </row>
    <row r="333" spans="1:23" s="290" customFormat="1" ht="9.75" customHeight="1" x14ac:dyDescent="0.15">
      <c r="A333" s="559" t="s">
        <v>987</v>
      </c>
      <c r="B333" s="290">
        <v>601426</v>
      </c>
      <c r="C333" s="290">
        <v>576568</v>
      </c>
      <c r="D333" s="290">
        <v>95968</v>
      </c>
      <c r="E333" s="290">
        <v>91780</v>
      </c>
      <c r="F333" s="290">
        <v>23977</v>
      </c>
      <c r="G333" s="290">
        <v>168</v>
      </c>
      <c r="H333" s="290">
        <v>206</v>
      </c>
      <c r="I333" s="290">
        <v>13953</v>
      </c>
      <c r="J333" s="290">
        <v>32537</v>
      </c>
      <c r="K333" s="290">
        <v>292355</v>
      </c>
      <c r="L333" s="290">
        <v>6905</v>
      </c>
      <c r="M333" s="290">
        <v>884</v>
      </c>
      <c r="N333" s="290">
        <v>8045</v>
      </c>
      <c r="O333" s="290" t="s">
        <v>986</v>
      </c>
      <c r="P333" s="290">
        <v>8332</v>
      </c>
      <c r="Q333" s="290" t="s">
        <v>986</v>
      </c>
      <c r="R333" s="290" t="s">
        <v>986</v>
      </c>
      <c r="S333" s="290">
        <v>19</v>
      </c>
      <c r="T333" s="290" t="s">
        <v>986</v>
      </c>
      <c r="U333" s="290">
        <v>36</v>
      </c>
      <c r="V333" s="290" t="s">
        <v>986</v>
      </c>
      <c r="W333" s="295" t="s">
        <v>988</v>
      </c>
    </row>
    <row r="334" spans="1:23" s="290" customFormat="1" ht="6.75" customHeight="1" x14ac:dyDescent="0.15">
      <c r="A334" s="578"/>
      <c r="W334" s="295"/>
    </row>
    <row r="335" spans="1:23" s="290" customFormat="1" ht="9.75" customHeight="1" x14ac:dyDescent="0.15">
      <c r="A335" s="559" t="s">
        <v>989</v>
      </c>
      <c r="B335" s="290">
        <v>781020</v>
      </c>
      <c r="C335" s="290">
        <v>747135</v>
      </c>
      <c r="D335" s="290">
        <v>105612</v>
      </c>
      <c r="E335" s="290">
        <v>117544</v>
      </c>
      <c r="F335" s="290">
        <v>37837</v>
      </c>
      <c r="G335" s="290">
        <v>144</v>
      </c>
      <c r="H335" s="290">
        <v>106</v>
      </c>
      <c r="I335" s="290">
        <v>19199</v>
      </c>
      <c r="J335" s="290">
        <v>50678</v>
      </c>
      <c r="K335" s="290">
        <v>390387</v>
      </c>
      <c r="L335" s="290">
        <v>7689</v>
      </c>
      <c r="M335" s="290">
        <v>714</v>
      </c>
      <c r="N335" s="290">
        <v>9179</v>
      </c>
      <c r="O335" s="290" t="s">
        <v>986</v>
      </c>
      <c r="P335" s="290">
        <v>7100</v>
      </c>
      <c r="Q335" s="290" t="s">
        <v>986</v>
      </c>
      <c r="R335" s="290">
        <v>16</v>
      </c>
      <c r="S335" s="290" t="s">
        <v>986</v>
      </c>
      <c r="T335" s="290" t="s">
        <v>986</v>
      </c>
      <c r="U335" s="290" t="s">
        <v>986</v>
      </c>
      <c r="V335" s="290">
        <v>5</v>
      </c>
      <c r="W335" s="295" t="s">
        <v>776</v>
      </c>
    </row>
    <row r="336" spans="1:23" s="290" customFormat="1" ht="9.75" customHeight="1" x14ac:dyDescent="0.15">
      <c r="A336" s="559" t="s">
        <v>990</v>
      </c>
      <c r="B336" s="290">
        <v>523212</v>
      </c>
      <c r="C336" s="290">
        <v>501273</v>
      </c>
      <c r="D336" s="290">
        <v>92740</v>
      </c>
      <c r="E336" s="290">
        <v>82946</v>
      </c>
      <c r="F336" s="290">
        <v>23714</v>
      </c>
      <c r="G336" s="290">
        <v>132</v>
      </c>
      <c r="H336" s="290">
        <v>256</v>
      </c>
      <c r="I336" s="290">
        <v>9001</v>
      </c>
      <c r="J336" s="290">
        <v>27992</v>
      </c>
      <c r="K336" s="290">
        <v>239386</v>
      </c>
      <c r="L336" s="290">
        <v>7157</v>
      </c>
      <c r="M336" s="290">
        <v>891</v>
      </c>
      <c r="N336" s="290">
        <v>8036</v>
      </c>
      <c r="O336" s="290" t="s">
        <v>986</v>
      </c>
      <c r="P336" s="290">
        <v>7725</v>
      </c>
      <c r="Q336" s="290" t="s">
        <v>986</v>
      </c>
      <c r="R336" s="290" t="s">
        <v>986</v>
      </c>
      <c r="S336" s="290">
        <v>19</v>
      </c>
      <c r="T336" s="290" t="s">
        <v>986</v>
      </c>
      <c r="U336" s="290">
        <v>36</v>
      </c>
      <c r="V336" s="290">
        <v>1</v>
      </c>
      <c r="W336" s="295" t="s">
        <v>991</v>
      </c>
    </row>
    <row r="337" spans="1:23" s="290" customFormat="1" ht="6.75" customHeight="1" x14ac:dyDescent="0.15">
      <c r="A337" s="578"/>
      <c r="W337" s="295"/>
    </row>
    <row r="338" spans="1:23" s="290" customFormat="1" ht="9.75" customHeight="1" x14ac:dyDescent="0.15">
      <c r="A338" s="559" t="s">
        <v>992</v>
      </c>
      <c r="B338" s="290">
        <v>175702</v>
      </c>
      <c r="C338" s="290">
        <v>167732</v>
      </c>
      <c r="D338" s="290">
        <v>23263</v>
      </c>
      <c r="E338" s="290">
        <v>27532</v>
      </c>
      <c r="F338" s="290">
        <v>5596</v>
      </c>
      <c r="G338" s="290">
        <v>51</v>
      </c>
      <c r="H338" s="290">
        <v>17</v>
      </c>
      <c r="I338" s="290">
        <v>7460</v>
      </c>
      <c r="J338" s="290">
        <v>11254</v>
      </c>
      <c r="K338" s="290">
        <v>85616</v>
      </c>
      <c r="L338" s="290">
        <v>1610</v>
      </c>
      <c r="M338" s="290">
        <v>256</v>
      </c>
      <c r="N338" s="290">
        <v>1761</v>
      </c>
      <c r="O338" s="290" t="s">
        <v>986</v>
      </c>
      <c r="P338" s="290">
        <v>2897</v>
      </c>
      <c r="Q338" s="290" t="s">
        <v>986</v>
      </c>
      <c r="R338" s="290" t="s">
        <v>986</v>
      </c>
      <c r="S338" s="290" t="s">
        <v>986</v>
      </c>
      <c r="T338" s="290" t="s">
        <v>986</v>
      </c>
      <c r="U338" s="290" t="s">
        <v>986</v>
      </c>
      <c r="V338" s="290" t="s">
        <v>986</v>
      </c>
      <c r="W338" s="295" t="s">
        <v>777</v>
      </c>
    </row>
    <row r="339" spans="1:23" s="290" customFormat="1" ht="9.75" customHeight="1" x14ac:dyDescent="0.15">
      <c r="A339" s="559" t="s">
        <v>637</v>
      </c>
      <c r="B339" s="290">
        <v>169694</v>
      </c>
      <c r="C339" s="290">
        <v>163430</v>
      </c>
      <c r="D339" s="290">
        <v>29559</v>
      </c>
      <c r="E339" s="290">
        <v>23886</v>
      </c>
      <c r="F339" s="290">
        <v>7898</v>
      </c>
      <c r="G339" s="290">
        <v>68</v>
      </c>
      <c r="H339" s="290">
        <v>49</v>
      </c>
      <c r="I339" s="290">
        <v>3560</v>
      </c>
      <c r="J339" s="290">
        <v>7347</v>
      </c>
      <c r="K339" s="290">
        <v>84396</v>
      </c>
      <c r="L339" s="290">
        <v>2136</v>
      </c>
      <c r="M339" s="290">
        <v>119</v>
      </c>
      <c r="N339" s="290">
        <v>2094</v>
      </c>
      <c r="O339" s="290" t="s">
        <v>986</v>
      </c>
      <c r="P339" s="290">
        <v>1978</v>
      </c>
      <c r="Q339" s="290" t="s">
        <v>986</v>
      </c>
      <c r="R339" s="290" t="s">
        <v>986</v>
      </c>
      <c r="S339" s="290" t="s">
        <v>986</v>
      </c>
      <c r="T339" s="290" t="s">
        <v>986</v>
      </c>
      <c r="U339" s="290" t="s">
        <v>986</v>
      </c>
      <c r="V339" s="290" t="s">
        <v>986</v>
      </c>
      <c r="W339" s="295" t="s">
        <v>85</v>
      </c>
    </row>
    <row r="340" spans="1:23" s="290" customFormat="1" ht="9.75" customHeight="1" x14ac:dyDescent="0.15">
      <c r="A340" s="559" t="s">
        <v>638</v>
      </c>
      <c r="B340" s="290">
        <v>165286</v>
      </c>
      <c r="C340" s="290">
        <v>158925</v>
      </c>
      <c r="D340" s="290">
        <v>24689</v>
      </c>
      <c r="E340" s="290">
        <v>20838</v>
      </c>
      <c r="F340" s="290">
        <v>5141</v>
      </c>
      <c r="G340" s="290">
        <v>35</v>
      </c>
      <c r="H340" s="290">
        <v>108</v>
      </c>
      <c r="I340" s="290">
        <v>666</v>
      </c>
      <c r="J340" s="290">
        <v>6757</v>
      </c>
      <c r="K340" s="290">
        <v>93847</v>
      </c>
      <c r="L340" s="290">
        <v>2278</v>
      </c>
      <c r="M340" s="290">
        <v>192</v>
      </c>
      <c r="N340" s="290">
        <v>2113</v>
      </c>
      <c r="O340" s="290" t="s">
        <v>986</v>
      </c>
      <c r="P340" s="290">
        <v>1876</v>
      </c>
      <c r="Q340" s="290" t="s">
        <v>986</v>
      </c>
      <c r="R340" s="290" t="s">
        <v>986</v>
      </c>
      <c r="S340" s="290">
        <v>16</v>
      </c>
      <c r="T340" s="290" t="s">
        <v>986</v>
      </c>
      <c r="U340" s="290" t="s">
        <v>986</v>
      </c>
      <c r="V340" s="290" t="s">
        <v>986</v>
      </c>
      <c r="W340" s="295" t="s">
        <v>86</v>
      </c>
    </row>
    <row r="341" spans="1:23" s="290" customFormat="1" ht="9.75" customHeight="1" x14ac:dyDescent="0.15">
      <c r="A341" s="559" t="s">
        <v>639</v>
      </c>
      <c r="B341" s="290">
        <v>90744</v>
      </c>
      <c r="C341" s="290">
        <v>86481</v>
      </c>
      <c r="D341" s="290">
        <v>18457</v>
      </c>
      <c r="E341" s="290">
        <v>19524</v>
      </c>
      <c r="F341" s="290">
        <v>5342</v>
      </c>
      <c r="G341" s="290">
        <v>14</v>
      </c>
      <c r="H341" s="290">
        <v>32</v>
      </c>
      <c r="I341" s="290">
        <v>2267</v>
      </c>
      <c r="J341" s="290">
        <v>7179</v>
      </c>
      <c r="K341" s="290">
        <v>28496</v>
      </c>
      <c r="L341" s="290">
        <v>881</v>
      </c>
      <c r="M341" s="290">
        <v>317</v>
      </c>
      <c r="N341" s="290">
        <v>2077</v>
      </c>
      <c r="O341" s="290" t="s">
        <v>986</v>
      </c>
      <c r="P341" s="290">
        <v>1581</v>
      </c>
      <c r="Q341" s="290" t="s">
        <v>986</v>
      </c>
      <c r="R341" s="290" t="s">
        <v>986</v>
      </c>
      <c r="S341" s="290">
        <v>3</v>
      </c>
      <c r="T341" s="290" t="s">
        <v>986</v>
      </c>
      <c r="U341" s="290">
        <v>36</v>
      </c>
      <c r="V341" s="290" t="s">
        <v>986</v>
      </c>
      <c r="W341" s="295" t="s">
        <v>87</v>
      </c>
    </row>
    <row r="342" spans="1:23" s="290" customFormat="1" ht="9.75" customHeight="1" x14ac:dyDescent="0.15">
      <c r="A342" s="559" t="s">
        <v>993</v>
      </c>
      <c r="B342" s="290">
        <v>97488</v>
      </c>
      <c r="C342" s="290">
        <v>92437</v>
      </c>
      <c r="D342" s="290">
        <v>20035</v>
      </c>
      <c r="E342" s="290">
        <v>18698</v>
      </c>
      <c r="F342" s="290">
        <v>5333</v>
      </c>
      <c r="G342" s="290">
        <v>15</v>
      </c>
      <c r="H342" s="290">
        <v>67</v>
      </c>
      <c r="I342" s="290">
        <v>2508</v>
      </c>
      <c r="J342" s="290">
        <v>6709</v>
      </c>
      <c r="K342" s="290">
        <v>32647</v>
      </c>
      <c r="L342" s="290">
        <v>1862</v>
      </c>
      <c r="M342" s="290">
        <v>263</v>
      </c>
      <c r="N342" s="290">
        <v>1752</v>
      </c>
      <c r="O342" s="290" t="s">
        <v>986</v>
      </c>
      <c r="P342" s="290">
        <v>2290</v>
      </c>
      <c r="Q342" s="290" t="s">
        <v>986</v>
      </c>
      <c r="R342" s="290" t="s">
        <v>986</v>
      </c>
      <c r="S342" s="290" t="s">
        <v>986</v>
      </c>
      <c r="T342" s="290" t="s">
        <v>986</v>
      </c>
      <c r="U342" s="290" t="s">
        <v>986</v>
      </c>
      <c r="V342" s="290">
        <v>1</v>
      </c>
      <c r="W342" s="295" t="s">
        <v>994</v>
      </c>
    </row>
    <row r="343" spans="1:23" s="290" customFormat="1" ht="6.75" customHeight="1" x14ac:dyDescent="0.15">
      <c r="A343" s="578"/>
      <c r="W343" s="295"/>
    </row>
    <row r="344" spans="1:23" s="290" customFormat="1" ht="9.75" customHeight="1" x14ac:dyDescent="0.15">
      <c r="A344" s="559" t="s">
        <v>995</v>
      </c>
      <c r="B344" s="290">
        <v>56591</v>
      </c>
      <c r="C344" s="290">
        <v>53612</v>
      </c>
      <c r="D344" s="290">
        <v>7188</v>
      </c>
      <c r="E344" s="290">
        <v>8618</v>
      </c>
      <c r="F344" s="290">
        <v>1052</v>
      </c>
      <c r="G344" s="290">
        <v>10</v>
      </c>
      <c r="H344" s="290" t="s">
        <v>986</v>
      </c>
      <c r="I344" s="290">
        <v>120</v>
      </c>
      <c r="J344" s="290">
        <v>2590</v>
      </c>
      <c r="K344" s="290">
        <v>32269</v>
      </c>
      <c r="L344" s="290">
        <v>683</v>
      </c>
      <c r="M344" s="290">
        <v>150</v>
      </c>
      <c r="N344" s="290">
        <v>584</v>
      </c>
      <c r="O344" s="290" t="s">
        <v>986</v>
      </c>
      <c r="P344" s="290">
        <v>205</v>
      </c>
      <c r="Q344" s="290" t="s">
        <v>986</v>
      </c>
      <c r="R344" s="290" t="s">
        <v>986</v>
      </c>
      <c r="S344" s="290" t="s">
        <v>986</v>
      </c>
      <c r="T344" s="290" t="s">
        <v>986</v>
      </c>
      <c r="U344" s="290" t="s">
        <v>986</v>
      </c>
      <c r="V344" s="290" t="s">
        <v>986</v>
      </c>
      <c r="W344" s="295" t="s">
        <v>778</v>
      </c>
    </row>
    <row r="345" spans="1:23" s="290" customFormat="1" ht="9.75" customHeight="1" x14ac:dyDescent="0.15">
      <c r="A345" s="559" t="s">
        <v>640</v>
      </c>
      <c r="B345" s="290">
        <v>51381</v>
      </c>
      <c r="C345" s="290">
        <v>49134</v>
      </c>
      <c r="D345" s="290">
        <v>9127</v>
      </c>
      <c r="E345" s="290">
        <v>9396</v>
      </c>
      <c r="F345" s="290">
        <v>1724</v>
      </c>
      <c r="G345" s="290">
        <v>21</v>
      </c>
      <c r="H345" s="290" t="s">
        <v>986</v>
      </c>
      <c r="I345" s="290">
        <v>4738</v>
      </c>
      <c r="J345" s="290">
        <v>3830</v>
      </c>
      <c r="K345" s="290">
        <v>18396</v>
      </c>
      <c r="L345" s="290">
        <v>508</v>
      </c>
      <c r="M345" s="290">
        <v>13</v>
      </c>
      <c r="N345" s="290">
        <v>491</v>
      </c>
      <c r="O345" s="290" t="s">
        <v>986</v>
      </c>
      <c r="P345" s="290">
        <v>828</v>
      </c>
      <c r="Q345" s="290" t="s">
        <v>986</v>
      </c>
      <c r="R345" s="290" t="s">
        <v>986</v>
      </c>
      <c r="S345" s="290" t="s">
        <v>986</v>
      </c>
      <c r="T345" s="290" t="s">
        <v>986</v>
      </c>
      <c r="U345" s="290" t="s">
        <v>986</v>
      </c>
      <c r="V345" s="290" t="s">
        <v>986</v>
      </c>
      <c r="W345" s="295" t="s">
        <v>73</v>
      </c>
    </row>
    <row r="346" spans="1:23" s="290" customFormat="1" ht="9.75" customHeight="1" x14ac:dyDescent="0.15">
      <c r="A346" s="559" t="s">
        <v>641</v>
      </c>
      <c r="B346" s="290">
        <v>67730</v>
      </c>
      <c r="C346" s="290">
        <v>64986</v>
      </c>
      <c r="D346" s="290">
        <v>6948</v>
      </c>
      <c r="E346" s="290">
        <v>9518</v>
      </c>
      <c r="F346" s="290">
        <v>2820</v>
      </c>
      <c r="G346" s="290">
        <v>20</v>
      </c>
      <c r="H346" s="290">
        <v>17</v>
      </c>
      <c r="I346" s="290">
        <v>2602</v>
      </c>
      <c r="J346" s="290">
        <v>4834</v>
      </c>
      <c r="K346" s="290">
        <v>34951</v>
      </c>
      <c r="L346" s="290">
        <v>419</v>
      </c>
      <c r="M346" s="290">
        <v>93</v>
      </c>
      <c r="N346" s="290">
        <v>686</v>
      </c>
      <c r="O346" s="290" t="s">
        <v>986</v>
      </c>
      <c r="P346" s="290">
        <v>1864</v>
      </c>
      <c r="Q346" s="290" t="s">
        <v>986</v>
      </c>
      <c r="R346" s="290" t="s">
        <v>986</v>
      </c>
      <c r="S346" s="290" t="s">
        <v>986</v>
      </c>
      <c r="T346" s="290" t="s">
        <v>986</v>
      </c>
      <c r="U346" s="290" t="s">
        <v>986</v>
      </c>
      <c r="V346" s="290" t="s">
        <v>986</v>
      </c>
      <c r="W346" s="295" t="s">
        <v>74</v>
      </c>
    </row>
    <row r="347" spans="1:23" s="290" customFormat="1" ht="9.75" customHeight="1" x14ac:dyDescent="0.15">
      <c r="A347" s="559" t="s">
        <v>642</v>
      </c>
      <c r="B347" s="290">
        <v>59790</v>
      </c>
      <c r="C347" s="290">
        <v>57583</v>
      </c>
      <c r="D347" s="290">
        <v>8964</v>
      </c>
      <c r="E347" s="290">
        <v>8337</v>
      </c>
      <c r="F347" s="290">
        <v>3607</v>
      </c>
      <c r="G347" s="290">
        <v>27</v>
      </c>
      <c r="H347" s="290">
        <v>33</v>
      </c>
      <c r="I347" s="290">
        <v>3213</v>
      </c>
      <c r="J347" s="290">
        <v>4004</v>
      </c>
      <c r="K347" s="290">
        <v>27047</v>
      </c>
      <c r="L347" s="290">
        <v>697</v>
      </c>
      <c r="M347" s="290">
        <v>50</v>
      </c>
      <c r="N347" s="290">
        <v>564</v>
      </c>
      <c r="O347" s="290" t="s">
        <v>986</v>
      </c>
      <c r="P347" s="290">
        <v>917</v>
      </c>
      <c r="Q347" s="290" t="s">
        <v>986</v>
      </c>
      <c r="R347" s="290" t="s">
        <v>986</v>
      </c>
      <c r="S347" s="290" t="s">
        <v>986</v>
      </c>
      <c r="T347" s="290" t="s">
        <v>986</v>
      </c>
      <c r="U347" s="290" t="s">
        <v>986</v>
      </c>
      <c r="V347" s="290" t="s">
        <v>986</v>
      </c>
      <c r="W347" s="295" t="s">
        <v>75</v>
      </c>
    </row>
    <row r="348" spans="1:23" s="290" customFormat="1" ht="9.75" customHeight="1" x14ac:dyDescent="0.15">
      <c r="A348" s="559" t="s">
        <v>643</v>
      </c>
      <c r="B348" s="290">
        <v>63404</v>
      </c>
      <c r="C348" s="290">
        <v>61461</v>
      </c>
      <c r="D348" s="290">
        <v>10911</v>
      </c>
      <c r="E348" s="290">
        <v>7302</v>
      </c>
      <c r="F348" s="290">
        <v>1036</v>
      </c>
      <c r="G348" s="290">
        <v>20</v>
      </c>
      <c r="H348" s="290" t="s">
        <v>986</v>
      </c>
      <c r="I348" s="290">
        <v>189</v>
      </c>
      <c r="J348" s="290">
        <v>1618</v>
      </c>
      <c r="K348" s="290">
        <v>38245</v>
      </c>
      <c r="L348" s="290">
        <v>983</v>
      </c>
      <c r="M348" s="290">
        <v>16</v>
      </c>
      <c r="N348" s="290">
        <v>763</v>
      </c>
      <c r="O348" s="290" t="s">
        <v>986</v>
      </c>
      <c r="P348" s="290">
        <v>225</v>
      </c>
      <c r="Q348" s="290" t="s">
        <v>986</v>
      </c>
      <c r="R348" s="290" t="s">
        <v>986</v>
      </c>
      <c r="S348" s="290" t="s">
        <v>986</v>
      </c>
      <c r="T348" s="290" t="s">
        <v>986</v>
      </c>
      <c r="U348" s="290" t="s">
        <v>986</v>
      </c>
      <c r="V348" s="290" t="s">
        <v>986</v>
      </c>
      <c r="W348" s="295" t="s">
        <v>88</v>
      </c>
    </row>
    <row r="349" spans="1:23" s="290" customFormat="1" ht="9.75" customHeight="1" x14ac:dyDescent="0.15">
      <c r="A349" s="559" t="s">
        <v>644</v>
      </c>
      <c r="B349" s="290">
        <v>46500</v>
      </c>
      <c r="C349" s="290">
        <v>44386</v>
      </c>
      <c r="D349" s="290">
        <v>9684</v>
      </c>
      <c r="E349" s="290">
        <v>8247</v>
      </c>
      <c r="F349" s="290">
        <v>3255</v>
      </c>
      <c r="G349" s="290">
        <v>21</v>
      </c>
      <c r="H349" s="290">
        <v>16</v>
      </c>
      <c r="I349" s="290">
        <v>158</v>
      </c>
      <c r="J349" s="290">
        <v>1725</v>
      </c>
      <c r="K349" s="290">
        <v>19104</v>
      </c>
      <c r="L349" s="290">
        <v>456</v>
      </c>
      <c r="M349" s="290">
        <v>53</v>
      </c>
      <c r="N349" s="290">
        <v>767</v>
      </c>
      <c r="O349" s="290" t="s">
        <v>986</v>
      </c>
      <c r="P349" s="290">
        <v>836</v>
      </c>
      <c r="Q349" s="290" t="s">
        <v>986</v>
      </c>
      <c r="R349" s="290" t="s">
        <v>986</v>
      </c>
      <c r="S349" s="290" t="s">
        <v>986</v>
      </c>
      <c r="T349" s="290" t="s">
        <v>986</v>
      </c>
      <c r="U349" s="290" t="s">
        <v>986</v>
      </c>
      <c r="V349" s="290" t="s">
        <v>986</v>
      </c>
      <c r="W349" s="295" t="s">
        <v>89</v>
      </c>
    </row>
    <row r="350" spans="1:23" s="290" customFormat="1" ht="9.75" customHeight="1" x14ac:dyDescent="0.15">
      <c r="A350" s="559" t="s">
        <v>645</v>
      </c>
      <c r="B350" s="290">
        <v>56386</v>
      </c>
      <c r="C350" s="290">
        <v>54030</v>
      </c>
      <c r="D350" s="290">
        <v>6334</v>
      </c>
      <c r="E350" s="290">
        <v>6484</v>
      </c>
      <c r="F350" s="290">
        <v>775</v>
      </c>
      <c r="G350" s="290">
        <v>18</v>
      </c>
      <c r="H350" s="290">
        <v>84</v>
      </c>
      <c r="I350" s="290">
        <v>175</v>
      </c>
      <c r="J350" s="290">
        <v>2274</v>
      </c>
      <c r="K350" s="290">
        <v>35283</v>
      </c>
      <c r="L350" s="290">
        <v>1076</v>
      </c>
      <c r="M350" s="290">
        <v>64</v>
      </c>
      <c r="N350" s="290">
        <v>578</v>
      </c>
      <c r="O350" s="290" t="s">
        <v>986</v>
      </c>
      <c r="P350" s="290">
        <v>684</v>
      </c>
      <c r="Q350" s="290" t="s">
        <v>986</v>
      </c>
      <c r="R350" s="290" t="s">
        <v>986</v>
      </c>
      <c r="S350" s="290">
        <v>16</v>
      </c>
      <c r="T350" s="290" t="s">
        <v>986</v>
      </c>
      <c r="U350" s="290" t="s">
        <v>986</v>
      </c>
      <c r="V350" s="290" t="s">
        <v>986</v>
      </c>
      <c r="W350" s="295" t="s">
        <v>90</v>
      </c>
    </row>
    <row r="351" spans="1:23" s="290" customFormat="1" ht="9.75" customHeight="1" x14ac:dyDescent="0.15">
      <c r="A351" s="559" t="s">
        <v>646</v>
      </c>
      <c r="B351" s="290">
        <v>56944</v>
      </c>
      <c r="C351" s="290">
        <v>55056</v>
      </c>
      <c r="D351" s="290">
        <v>9233</v>
      </c>
      <c r="E351" s="290">
        <v>7351</v>
      </c>
      <c r="F351" s="290">
        <v>1174</v>
      </c>
      <c r="G351" s="290">
        <v>13</v>
      </c>
      <c r="H351" s="290">
        <v>16</v>
      </c>
      <c r="I351" s="290">
        <v>202</v>
      </c>
      <c r="J351" s="290">
        <v>2970</v>
      </c>
      <c r="K351" s="290">
        <v>31340</v>
      </c>
      <c r="L351" s="290">
        <v>811</v>
      </c>
      <c r="M351" s="290">
        <v>83</v>
      </c>
      <c r="N351" s="290">
        <v>851</v>
      </c>
      <c r="O351" s="290" t="s">
        <v>986</v>
      </c>
      <c r="P351" s="290">
        <v>857</v>
      </c>
      <c r="Q351" s="290" t="s">
        <v>986</v>
      </c>
      <c r="R351" s="290" t="s">
        <v>986</v>
      </c>
      <c r="S351" s="290" t="s">
        <v>986</v>
      </c>
      <c r="T351" s="290" t="s">
        <v>986</v>
      </c>
      <c r="U351" s="290" t="s">
        <v>986</v>
      </c>
      <c r="V351" s="290" t="s">
        <v>986</v>
      </c>
      <c r="W351" s="295" t="s">
        <v>91</v>
      </c>
    </row>
    <row r="352" spans="1:23" s="290" customFormat="1" ht="9.75" customHeight="1" x14ac:dyDescent="0.15">
      <c r="A352" s="559" t="s">
        <v>647</v>
      </c>
      <c r="B352" s="290">
        <v>51956</v>
      </c>
      <c r="C352" s="290">
        <v>49839</v>
      </c>
      <c r="D352" s="290">
        <v>9122</v>
      </c>
      <c r="E352" s="290">
        <v>7003</v>
      </c>
      <c r="F352" s="290">
        <v>3192</v>
      </c>
      <c r="G352" s="290">
        <v>4</v>
      </c>
      <c r="H352" s="290">
        <v>8</v>
      </c>
      <c r="I352" s="290">
        <v>289</v>
      </c>
      <c r="J352" s="290">
        <v>1513</v>
      </c>
      <c r="K352" s="290">
        <v>27224</v>
      </c>
      <c r="L352" s="290">
        <v>391</v>
      </c>
      <c r="M352" s="290">
        <v>45</v>
      </c>
      <c r="N352" s="290">
        <v>684</v>
      </c>
      <c r="O352" s="290" t="s">
        <v>986</v>
      </c>
      <c r="P352" s="290">
        <v>335</v>
      </c>
      <c r="Q352" s="290" t="s">
        <v>986</v>
      </c>
      <c r="R352" s="290" t="s">
        <v>986</v>
      </c>
      <c r="S352" s="290" t="s">
        <v>986</v>
      </c>
      <c r="T352" s="290" t="s">
        <v>986</v>
      </c>
      <c r="U352" s="290" t="s">
        <v>986</v>
      </c>
      <c r="V352" s="290" t="s">
        <v>986</v>
      </c>
      <c r="W352" s="295" t="s">
        <v>92</v>
      </c>
    </row>
    <row r="353" spans="1:23" s="290" customFormat="1" ht="9.75" customHeight="1" x14ac:dyDescent="0.15">
      <c r="A353" s="559" t="s">
        <v>648</v>
      </c>
      <c r="B353" s="290">
        <v>27710</v>
      </c>
      <c r="C353" s="290">
        <v>26163</v>
      </c>
      <c r="D353" s="290">
        <v>4147</v>
      </c>
      <c r="E353" s="290">
        <v>5289</v>
      </c>
      <c r="F353" s="290">
        <v>814</v>
      </c>
      <c r="G353" s="290">
        <v>9</v>
      </c>
      <c r="H353" s="290">
        <v>16</v>
      </c>
      <c r="I353" s="290">
        <v>1578</v>
      </c>
      <c r="J353" s="290">
        <v>3387</v>
      </c>
      <c r="K353" s="290">
        <v>8920</v>
      </c>
      <c r="L353" s="290">
        <v>533</v>
      </c>
      <c r="M353" s="290">
        <v>99</v>
      </c>
      <c r="N353" s="290">
        <v>764</v>
      </c>
      <c r="O353" s="290" t="s">
        <v>986</v>
      </c>
      <c r="P353" s="290">
        <v>476</v>
      </c>
      <c r="Q353" s="290" t="s">
        <v>986</v>
      </c>
      <c r="R353" s="290" t="s">
        <v>986</v>
      </c>
      <c r="S353" s="290" t="s">
        <v>986</v>
      </c>
      <c r="T353" s="290" t="s">
        <v>986</v>
      </c>
      <c r="U353" s="290">
        <v>7</v>
      </c>
      <c r="V353" s="290" t="s">
        <v>986</v>
      </c>
      <c r="W353" s="295" t="s">
        <v>76</v>
      </c>
    </row>
    <row r="354" spans="1:23" s="290" customFormat="1" ht="9.75" customHeight="1" x14ac:dyDescent="0.15">
      <c r="A354" s="559" t="s">
        <v>649</v>
      </c>
      <c r="B354" s="290">
        <v>28702</v>
      </c>
      <c r="C354" s="290">
        <v>27491</v>
      </c>
      <c r="D354" s="290">
        <v>7486</v>
      </c>
      <c r="E354" s="290">
        <v>6191</v>
      </c>
      <c r="F354" s="290">
        <v>3404</v>
      </c>
      <c r="G354" s="290">
        <v>4</v>
      </c>
      <c r="H354" s="290">
        <v>16</v>
      </c>
      <c r="I354" s="290">
        <v>416</v>
      </c>
      <c r="J354" s="290">
        <v>1718</v>
      </c>
      <c r="K354" s="290">
        <v>6783</v>
      </c>
      <c r="L354" s="290">
        <v>85</v>
      </c>
      <c r="M354" s="290">
        <v>101</v>
      </c>
      <c r="N354" s="290">
        <v>642</v>
      </c>
      <c r="O354" s="290" t="s">
        <v>986</v>
      </c>
      <c r="P354" s="290">
        <v>542</v>
      </c>
      <c r="Q354" s="290" t="s">
        <v>986</v>
      </c>
      <c r="R354" s="290" t="s">
        <v>986</v>
      </c>
      <c r="S354" s="290" t="s">
        <v>986</v>
      </c>
      <c r="T354" s="290" t="s">
        <v>986</v>
      </c>
      <c r="U354" s="290">
        <v>29</v>
      </c>
      <c r="V354" s="290" t="s">
        <v>986</v>
      </c>
      <c r="W354" s="295" t="s">
        <v>77</v>
      </c>
    </row>
    <row r="355" spans="1:23" s="290" customFormat="1" ht="9.75" customHeight="1" x14ac:dyDescent="0.15">
      <c r="A355" s="559" t="s">
        <v>650</v>
      </c>
      <c r="B355" s="290">
        <v>34332</v>
      </c>
      <c r="C355" s="290">
        <v>32827</v>
      </c>
      <c r="D355" s="290">
        <v>6824</v>
      </c>
      <c r="E355" s="290">
        <v>8044</v>
      </c>
      <c r="F355" s="290">
        <v>1124</v>
      </c>
      <c r="G355" s="290">
        <v>1</v>
      </c>
      <c r="H355" s="290" t="s">
        <v>986</v>
      </c>
      <c r="I355" s="290">
        <v>273</v>
      </c>
      <c r="J355" s="290">
        <v>2074</v>
      </c>
      <c r="K355" s="290">
        <v>12793</v>
      </c>
      <c r="L355" s="290">
        <v>263</v>
      </c>
      <c r="M355" s="290">
        <v>117</v>
      </c>
      <c r="N355" s="290">
        <v>671</v>
      </c>
      <c r="O355" s="290" t="s">
        <v>986</v>
      </c>
      <c r="P355" s="290">
        <v>563</v>
      </c>
      <c r="Q355" s="290" t="s">
        <v>986</v>
      </c>
      <c r="R355" s="290" t="s">
        <v>986</v>
      </c>
      <c r="S355" s="290">
        <v>3</v>
      </c>
      <c r="T355" s="290" t="s">
        <v>986</v>
      </c>
      <c r="U355" s="290" t="s">
        <v>986</v>
      </c>
      <c r="V355" s="290" t="s">
        <v>986</v>
      </c>
      <c r="W355" s="295" t="s">
        <v>78</v>
      </c>
    </row>
    <row r="356" spans="1:23" s="290" customFormat="1" ht="9.75" customHeight="1" x14ac:dyDescent="0.15">
      <c r="A356" s="559" t="s">
        <v>996</v>
      </c>
      <c r="B356" s="290">
        <v>31326</v>
      </c>
      <c r="C356" s="290">
        <v>29991</v>
      </c>
      <c r="D356" s="290">
        <v>6498</v>
      </c>
      <c r="E356" s="290">
        <v>6230</v>
      </c>
      <c r="F356" s="290">
        <v>3296</v>
      </c>
      <c r="G356" s="290">
        <v>4</v>
      </c>
      <c r="H356" s="290" t="s">
        <v>986</v>
      </c>
      <c r="I356" s="290">
        <v>257</v>
      </c>
      <c r="J356" s="290">
        <v>3087</v>
      </c>
      <c r="K356" s="290">
        <v>8636</v>
      </c>
      <c r="L356" s="290">
        <v>568</v>
      </c>
      <c r="M356" s="290">
        <v>29</v>
      </c>
      <c r="N356" s="290">
        <v>606</v>
      </c>
      <c r="O356" s="290" t="s">
        <v>986</v>
      </c>
      <c r="P356" s="290">
        <v>716</v>
      </c>
      <c r="Q356" s="290" t="s">
        <v>986</v>
      </c>
      <c r="R356" s="290" t="s">
        <v>986</v>
      </c>
      <c r="S356" s="290" t="s">
        <v>986</v>
      </c>
      <c r="T356" s="290" t="s">
        <v>986</v>
      </c>
      <c r="U356" s="290" t="s">
        <v>986</v>
      </c>
      <c r="V356" s="290" t="s">
        <v>986</v>
      </c>
      <c r="W356" s="295" t="s">
        <v>997</v>
      </c>
    </row>
    <row r="357" spans="1:23" s="290" customFormat="1" ht="9.75" customHeight="1" x14ac:dyDescent="0.15">
      <c r="A357" s="559" t="s">
        <v>651</v>
      </c>
      <c r="B357" s="290">
        <v>28001</v>
      </c>
      <c r="C357" s="290">
        <v>26198</v>
      </c>
      <c r="D357" s="290">
        <v>7537</v>
      </c>
      <c r="E357" s="290">
        <v>2994</v>
      </c>
      <c r="F357" s="290">
        <v>1106</v>
      </c>
      <c r="G357" s="290">
        <v>5</v>
      </c>
      <c r="H357" s="290">
        <v>41</v>
      </c>
      <c r="I357" s="290">
        <v>489</v>
      </c>
      <c r="J357" s="290">
        <v>1901</v>
      </c>
      <c r="K357" s="290">
        <v>9788</v>
      </c>
      <c r="L357" s="290">
        <v>732</v>
      </c>
      <c r="M357" s="290">
        <v>141</v>
      </c>
      <c r="N357" s="290">
        <v>639</v>
      </c>
      <c r="O357" s="290" t="s">
        <v>986</v>
      </c>
      <c r="P357" s="290">
        <v>710</v>
      </c>
      <c r="Q357" s="290" t="s">
        <v>986</v>
      </c>
      <c r="R357" s="290" t="s">
        <v>986</v>
      </c>
      <c r="S357" s="290" t="s">
        <v>986</v>
      </c>
      <c r="T357" s="290" t="s">
        <v>986</v>
      </c>
      <c r="U357" s="290" t="s">
        <v>986</v>
      </c>
      <c r="V357" s="290" t="s">
        <v>986</v>
      </c>
      <c r="W357" s="295" t="s">
        <v>73</v>
      </c>
    </row>
    <row r="358" spans="1:23" s="290" customFormat="1" ht="9.75" customHeight="1" x14ac:dyDescent="0.15">
      <c r="A358" s="560" t="s">
        <v>652</v>
      </c>
      <c r="B358" s="294">
        <v>38161</v>
      </c>
      <c r="C358" s="293">
        <v>36248</v>
      </c>
      <c r="D358" s="293">
        <v>6000</v>
      </c>
      <c r="E358" s="293">
        <v>9474</v>
      </c>
      <c r="F358" s="293">
        <v>931</v>
      </c>
      <c r="G358" s="293">
        <v>6</v>
      </c>
      <c r="H358" s="293">
        <v>26</v>
      </c>
      <c r="I358" s="293">
        <v>1762</v>
      </c>
      <c r="J358" s="293">
        <v>1721</v>
      </c>
      <c r="K358" s="293">
        <v>14223</v>
      </c>
      <c r="L358" s="293">
        <v>562</v>
      </c>
      <c r="M358" s="293">
        <v>93</v>
      </c>
      <c r="N358" s="293">
        <v>507</v>
      </c>
      <c r="O358" s="293" t="s">
        <v>986</v>
      </c>
      <c r="P358" s="293">
        <v>864</v>
      </c>
      <c r="Q358" s="293" t="s">
        <v>986</v>
      </c>
      <c r="R358" s="293" t="s">
        <v>986</v>
      </c>
      <c r="S358" s="293" t="s">
        <v>986</v>
      </c>
      <c r="T358" s="293" t="s">
        <v>986</v>
      </c>
      <c r="U358" s="293" t="s">
        <v>986</v>
      </c>
      <c r="V358" s="293">
        <v>1</v>
      </c>
      <c r="W358" s="291" t="s">
        <v>74</v>
      </c>
    </row>
    <row r="359" spans="1:23" ht="12" customHeight="1" x14ac:dyDescent="0.15"/>
    <row r="360" spans="1:23" ht="12" customHeight="1" x14ac:dyDescent="0.15"/>
    <row r="361" spans="1:23" ht="12" customHeight="1" x14ac:dyDescent="0.15">
      <c r="K361" s="299" t="s">
        <v>93</v>
      </c>
      <c r="V361" s="302" t="s">
        <v>858</v>
      </c>
    </row>
    <row r="362" spans="1:23" s="297" customFormat="1" ht="21" customHeight="1" x14ac:dyDescent="0.15">
      <c r="A362" s="1053" t="s">
        <v>172</v>
      </c>
      <c r="B362" s="832" t="s">
        <v>284</v>
      </c>
      <c r="C362" s="827"/>
      <c r="D362" s="827"/>
      <c r="E362" s="827"/>
      <c r="F362" s="827"/>
      <c r="G362" s="827"/>
      <c r="H362" s="827"/>
      <c r="I362" s="827"/>
      <c r="J362" s="827"/>
      <c r="K362" s="827"/>
      <c r="L362" s="827"/>
      <c r="M362" s="827"/>
      <c r="N362" s="827"/>
      <c r="O362" s="827"/>
      <c r="P362" s="827"/>
      <c r="Q362" s="827"/>
      <c r="R362" s="827"/>
      <c r="S362" s="827"/>
      <c r="T362" s="827"/>
      <c r="U362" s="827"/>
      <c r="V362" s="827"/>
      <c r="W362" s="1056" t="s">
        <v>79</v>
      </c>
    </row>
    <row r="363" spans="1:23" s="297" customFormat="1" ht="21" customHeight="1" x14ac:dyDescent="0.15">
      <c r="A363" s="1054"/>
      <c r="B363" s="832" t="s">
        <v>260</v>
      </c>
      <c r="C363" s="827"/>
      <c r="D363" s="827"/>
      <c r="E363" s="827"/>
      <c r="F363" s="834"/>
      <c r="G363" s="826" t="s">
        <v>259</v>
      </c>
      <c r="H363" s="827"/>
      <c r="I363" s="827"/>
      <c r="J363" s="827"/>
      <c r="K363" s="827"/>
      <c r="L363" s="827"/>
      <c r="M363" s="827"/>
      <c r="N363" s="827"/>
      <c r="O363" s="827"/>
      <c r="P363" s="827"/>
      <c r="Q363" s="827"/>
      <c r="R363" s="827"/>
      <c r="S363" s="827"/>
      <c r="T363" s="834"/>
      <c r="U363" s="826" t="s">
        <v>258</v>
      </c>
      <c r="V363" s="827"/>
      <c r="W363" s="1057"/>
    </row>
    <row r="364" spans="1:23" s="297" customFormat="1" ht="52.5" customHeight="1" x14ac:dyDescent="0.15">
      <c r="A364" s="1055"/>
      <c r="B364" s="298" t="s">
        <v>329</v>
      </c>
      <c r="C364" s="301" t="s">
        <v>853</v>
      </c>
      <c r="D364" s="298" t="s">
        <v>1052</v>
      </c>
      <c r="E364" s="298" t="s">
        <v>877</v>
      </c>
      <c r="F364" s="298" t="s">
        <v>878</v>
      </c>
      <c r="G364" s="696" t="s">
        <v>101</v>
      </c>
      <c r="H364" s="298" t="s">
        <v>556</v>
      </c>
      <c r="I364" s="298" t="s">
        <v>328</v>
      </c>
      <c r="J364" s="298" t="s">
        <v>285</v>
      </c>
      <c r="K364" s="298" t="s">
        <v>145</v>
      </c>
      <c r="L364" s="298" t="s">
        <v>248</v>
      </c>
      <c r="M364" s="298" t="s">
        <v>247</v>
      </c>
      <c r="N364" s="298" t="s">
        <v>275</v>
      </c>
      <c r="O364" s="298" t="s">
        <v>246</v>
      </c>
      <c r="P364" s="298" t="s">
        <v>327</v>
      </c>
      <c r="Q364" s="298" t="s">
        <v>245</v>
      </c>
      <c r="R364" s="298" t="s">
        <v>274</v>
      </c>
      <c r="S364" s="298" t="s">
        <v>557</v>
      </c>
      <c r="T364" s="298" t="s">
        <v>326</v>
      </c>
      <c r="U364" s="696" t="s">
        <v>855</v>
      </c>
      <c r="V364" s="300" t="s">
        <v>244</v>
      </c>
      <c r="W364" s="1058"/>
    </row>
    <row r="365" spans="1:23" s="290" customFormat="1" ht="9.75" customHeight="1" x14ac:dyDescent="0.15">
      <c r="A365" s="828" t="s">
        <v>985</v>
      </c>
      <c r="B365" s="829" t="s">
        <v>986</v>
      </c>
      <c r="C365" s="830">
        <v>659</v>
      </c>
      <c r="D365" s="830">
        <v>256</v>
      </c>
      <c r="E365" s="830" t="s">
        <v>986</v>
      </c>
      <c r="F365" s="830" t="s">
        <v>986</v>
      </c>
      <c r="G365" s="830">
        <v>33103</v>
      </c>
      <c r="H365" s="830">
        <v>28</v>
      </c>
      <c r="I365" s="830">
        <v>68</v>
      </c>
      <c r="J365" s="830">
        <v>345</v>
      </c>
      <c r="K365" s="830">
        <v>17904</v>
      </c>
      <c r="L365" s="830">
        <v>1453</v>
      </c>
      <c r="M365" s="830">
        <v>8</v>
      </c>
      <c r="N365" s="830">
        <v>605</v>
      </c>
      <c r="O365" s="830">
        <v>22</v>
      </c>
      <c r="P365" s="830">
        <v>10</v>
      </c>
      <c r="Q365" s="830">
        <v>10581</v>
      </c>
      <c r="R365" s="830">
        <v>1829</v>
      </c>
      <c r="S365" s="830">
        <v>236</v>
      </c>
      <c r="T365" s="830">
        <v>14</v>
      </c>
      <c r="U365" s="830">
        <v>4848</v>
      </c>
      <c r="V365" s="830">
        <v>4295</v>
      </c>
      <c r="W365" s="831" t="s">
        <v>485</v>
      </c>
    </row>
    <row r="366" spans="1:23" s="290" customFormat="1" ht="9.75" customHeight="1" x14ac:dyDescent="0.15">
      <c r="A366" s="559" t="s">
        <v>634</v>
      </c>
      <c r="B366" s="290">
        <v>2</v>
      </c>
      <c r="C366" s="290">
        <v>202</v>
      </c>
      <c r="D366" s="290">
        <v>224</v>
      </c>
      <c r="E366" s="290" t="s">
        <v>986</v>
      </c>
      <c r="F366" s="290" t="s">
        <v>986</v>
      </c>
      <c r="G366" s="290">
        <v>28684</v>
      </c>
      <c r="H366" s="290" t="s">
        <v>986</v>
      </c>
      <c r="I366" s="290">
        <v>45</v>
      </c>
      <c r="J366" s="290">
        <v>224</v>
      </c>
      <c r="K366" s="290">
        <v>16760</v>
      </c>
      <c r="L366" s="290">
        <v>471</v>
      </c>
      <c r="M366" s="290">
        <v>6</v>
      </c>
      <c r="N366" s="290">
        <v>2471</v>
      </c>
      <c r="O366" s="290">
        <v>25</v>
      </c>
      <c r="P366" s="290" t="s">
        <v>986</v>
      </c>
      <c r="Q366" s="290">
        <v>6389</v>
      </c>
      <c r="R366" s="290">
        <v>1793</v>
      </c>
      <c r="S366" s="290">
        <v>500</v>
      </c>
      <c r="T366" s="290" t="s">
        <v>986</v>
      </c>
      <c r="U366" s="290">
        <v>3840</v>
      </c>
      <c r="V366" s="290">
        <v>3252</v>
      </c>
      <c r="W366" s="295" t="s">
        <v>588</v>
      </c>
    </row>
    <row r="367" spans="1:23" s="290" customFormat="1" ht="9.75" customHeight="1" x14ac:dyDescent="0.15">
      <c r="A367" s="559" t="s">
        <v>635</v>
      </c>
      <c r="B367" s="290" t="s">
        <v>986</v>
      </c>
      <c r="C367" s="290">
        <v>189</v>
      </c>
      <c r="D367" s="290">
        <v>400</v>
      </c>
      <c r="E367" s="290" t="s">
        <v>986</v>
      </c>
      <c r="F367" s="290" t="s">
        <v>986</v>
      </c>
      <c r="G367" s="290">
        <v>30626</v>
      </c>
      <c r="H367" s="290" t="s">
        <v>986</v>
      </c>
      <c r="I367" s="290">
        <v>47</v>
      </c>
      <c r="J367" s="290">
        <v>161</v>
      </c>
      <c r="K367" s="290">
        <v>17882</v>
      </c>
      <c r="L367" s="290" t="s">
        <v>986</v>
      </c>
      <c r="M367" s="290">
        <v>12</v>
      </c>
      <c r="N367" s="290">
        <v>2584</v>
      </c>
      <c r="O367" s="290">
        <v>18</v>
      </c>
      <c r="P367" s="290" t="s">
        <v>986</v>
      </c>
      <c r="Q367" s="290">
        <v>9221</v>
      </c>
      <c r="R367" s="290">
        <v>417</v>
      </c>
      <c r="S367" s="290">
        <v>284</v>
      </c>
      <c r="T367" s="290" t="s">
        <v>986</v>
      </c>
      <c r="U367" s="290">
        <v>4954</v>
      </c>
      <c r="V367" s="290">
        <v>3834</v>
      </c>
      <c r="W367" s="295" t="s">
        <v>636</v>
      </c>
    </row>
    <row r="368" spans="1:23" s="290" customFormat="1" ht="9.75" customHeight="1" x14ac:dyDescent="0.15">
      <c r="A368" s="559" t="s">
        <v>774</v>
      </c>
      <c r="B368" s="290" t="s">
        <v>986</v>
      </c>
      <c r="C368" s="290">
        <v>313</v>
      </c>
      <c r="D368" s="290">
        <v>416</v>
      </c>
      <c r="E368" s="290" t="s">
        <v>986</v>
      </c>
      <c r="F368" s="290">
        <v>10</v>
      </c>
      <c r="G368" s="290">
        <v>25169</v>
      </c>
      <c r="H368" s="290">
        <v>15</v>
      </c>
      <c r="I368" s="290">
        <v>31</v>
      </c>
      <c r="J368" s="290">
        <v>92</v>
      </c>
      <c r="K368" s="290">
        <v>15777</v>
      </c>
      <c r="L368" s="290" t="s">
        <v>986</v>
      </c>
      <c r="M368" s="290" t="s">
        <v>986</v>
      </c>
      <c r="N368" s="290">
        <v>1072</v>
      </c>
      <c r="O368" s="290">
        <v>33</v>
      </c>
      <c r="P368" s="290" t="s">
        <v>986</v>
      </c>
      <c r="Q368" s="290">
        <v>7736</v>
      </c>
      <c r="R368" s="290">
        <v>49</v>
      </c>
      <c r="S368" s="290">
        <v>364</v>
      </c>
      <c r="T368" s="290" t="s">
        <v>986</v>
      </c>
      <c r="U368" s="290">
        <v>5532</v>
      </c>
      <c r="V368" s="290">
        <v>4410</v>
      </c>
      <c r="W368" s="295" t="s">
        <v>775</v>
      </c>
    </row>
    <row r="369" spans="1:23" s="290" customFormat="1" ht="9.75" customHeight="1" x14ac:dyDescent="0.15">
      <c r="A369" s="559" t="s">
        <v>987</v>
      </c>
      <c r="B369" s="290" t="s">
        <v>986</v>
      </c>
      <c r="C369" s="290">
        <v>225</v>
      </c>
      <c r="D369" s="290">
        <v>992</v>
      </c>
      <c r="E369" s="290">
        <v>45</v>
      </c>
      <c r="F369" s="290">
        <v>141</v>
      </c>
      <c r="G369" s="290">
        <v>16462</v>
      </c>
      <c r="H369" s="290" t="s">
        <v>986</v>
      </c>
      <c r="I369" s="290">
        <v>15</v>
      </c>
      <c r="J369" s="290" t="s">
        <v>986</v>
      </c>
      <c r="K369" s="290">
        <v>10862</v>
      </c>
      <c r="L369" s="290" t="s">
        <v>986</v>
      </c>
      <c r="M369" s="290" t="s">
        <v>986</v>
      </c>
      <c r="N369" s="290">
        <v>16</v>
      </c>
      <c r="O369" s="290" t="s">
        <v>986</v>
      </c>
      <c r="P369" s="290" t="s">
        <v>986</v>
      </c>
      <c r="Q369" s="290">
        <v>5406</v>
      </c>
      <c r="R369" s="290" t="s">
        <v>986</v>
      </c>
      <c r="S369" s="290">
        <v>163</v>
      </c>
      <c r="T369" s="290" t="s">
        <v>986</v>
      </c>
      <c r="U369" s="290">
        <v>4619</v>
      </c>
      <c r="V369" s="290">
        <v>3299</v>
      </c>
      <c r="W369" s="295" t="s">
        <v>988</v>
      </c>
    </row>
    <row r="370" spans="1:23" s="290" customFormat="1" ht="6.75" customHeight="1" x14ac:dyDescent="0.15">
      <c r="A370" s="578"/>
      <c r="W370" s="295"/>
    </row>
    <row r="371" spans="1:23" s="290" customFormat="1" ht="9.75" customHeight="1" x14ac:dyDescent="0.15">
      <c r="A371" s="559" t="s">
        <v>989</v>
      </c>
      <c r="B371" s="290" t="s">
        <v>986</v>
      </c>
      <c r="C371" s="290">
        <v>291</v>
      </c>
      <c r="D371" s="290">
        <v>576</v>
      </c>
      <c r="E371" s="290">
        <v>15</v>
      </c>
      <c r="F371" s="290">
        <v>43</v>
      </c>
      <c r="G371" s="290">
        <v>24401</v>
      </c>
      <c r="H371" s="290" t="s">
        <v>986</v>
      </c>
      <c r="I371" s="290">
        <v>31</v>
      </c>
      <c r="J371" s="290" t="s">
        <v>986</v>
      </c>
      <c r="K371" s="290">
        <v>15742</v>
      </c>
      <c r="L371" s="290" t="s">
        <v>986</v>
      </c>
      <c r="M371" s="290" t="s">
        <v>986</v>
      </c>
      <c r="N371" s="290">
        <v>383</v>
      </c>
      <c r="O371" s="290">
        <v>13</v>
      </c>
      <c r="P371" s="290" t="s">
        <v>986</v>
      </c>
      <c r="Q371" s="290">
        <v>7936</v>
      </c>
      <c r="R371" s="290">
        <v>2</v>
      </c>
      <c r="S371" s="290">
        <v>294</v>
      </c>
      <c r="T371" s="290" t="s">
        <v>986</v>
      </c>
      <c r="U371" s="290">
        <v>5711</v>
      </c>
      <c r="V371" s="290">
        <v>4393</v>
      </c>
      <c r="W371" s="295" t="s">
        <v>776</v>
      </c>
    </row>
    <row r="372" spans="1:23" s="290" customFormat="1" ht="9.75" customHeight="1" x14ac:dyDescent="0.15">
      <c r="A372" s="559" t="s">
        <v>990</v>
      </c>
      <c r="B372" s="290">
        <v>1</v>
      </c>
      <c r="C372" s="290">
        <v>270</v>
      </c>
      <c r="D372" s="290">
        <v>832</v>
      </c>
      <c r="E372" s="290">
        <v>30</v>
      </c>
      <c r="F372" s="290">
        <v>108</v>
      </c>
      <c r="G372" s="290">
        <v>13144</v>
      </c>
      <c r="H372" s="290" t="s">
        <v>986</v>
      </c>
      <c r="I372" s="290">
        <v>15</v>
      </c>
      <c r="J372" s="290" t="s">
        <v>986</v>
      </c>
      <c r="K372" s="290">
        <v>7870</v>
      </c>
      <c r="L372" s="290" t="s">
        <v>986</v>
      </c>
      <c r="M372" s="290" t="s">
        <v>986</v>
      </c>
      <c r="N372" s="290">
        <v>1</v>
      </c>
      <c r="O372" s="290" t="s">
        <v>986</v>
      </c>
      <c r="P372" s="290" t="s">
        <v>986</v>
      </c>
      <c r="Q372" s="290">
        <v>5165</v>
      </c>
      <c r="R372" s="290" t="s">
        <v>986</v>
      </c>
      <c r="S372" s="290">
        <v>93</v>
      </c>
      <c r="T372" s="290" t="s">
        <v>986</v>
      </c>
      <c r="U372" s="290">
        <v>4837</v>
      </c>
      <c r="V372" s="290">
        <v>3370</v>
      </c>
      <c r="W372" s="295" t="s">
        <v>991</v>
      </c>
    </row>
    <row r="373" spans="1:23" s="290" customFormat="1" ht="6.75" customHeight="1" x14ac:dyDescent="0.15">
      <c r="A373" s="578"/>
      <c r="W373" s="295"/>
    </row>
    <row r="374" spans="1:23" s="290" customFormat="1" ht="9.75" customHeight="1" x14ac:dyDescent="0.15">
      <c r="A374" s="559" t="s">
        <v>992</v>
      </c>
      <c r="B374" s="290" t="s">
        <v>986</v>
      </c>
      <c r="C374" s="290">
        <v>51</v>
      </c>
      <c r="D374" s="290">
        <v>320</v>
      </c>
      <c r="E374" s="290">
        <v>15</v>
      </c>
      <c r="F374" s="290">
        <v>33</v>
      </c>
      <c r="G374" s="290">
        <v>5986</v>
      </c>
      <c r="H374" s="290" t="s">
        <v>986</v>
      </c>
      <c r="I374" s="290" t="s">
        <v>986</v>
      </c>
      <c r="J374" s="290" t="s">
        <v>986</v>
      </c>
      <c r="K374" s="290">
        <v>3819</v>
      </c>
      <c r="L374" s="290" t="s">
        <v>986</v>
      </c>
      <c r="M374" s="290" t="s">
        <v>986</v>
      </c>
      <c r="N374" s="290">
        <v>16</v>
      </c>
      <c r="O374" s="290" t="s">
        <v>986</v>
      </c>
      <c r="P374" s="290" t="s">
        <v>986</v>
      </c>
      <c r="Q374" s="290">
        <v>2081</v>
      </c>
      <c r="R374" s="290" t="s">
        <v>986</v>
      </c>
      <c r="S374" s="290">
        <v>70</v>
      </c>
      <c r="T374" s="290" t="s">
        <v>986</v>
      </c>
      <c r="U374" s="290">
        <v>1158</v>
      </c>
      <c r="V374" s="290">
        <v>798</v>
      </c>
      <c r="W374" s="295" t="s">
        <v>777</v>
      </c>
    </row>
    <row r="375" spans="1:23" s="290" customFormat="1" ht="9.75" customHeight="1" x14ac:dyDescent="0.15">
      <c r="A375" s="559" t="s">
        <v>637</v>
      </c>
      <c r="B375" s="290" t="s">
        <v>986</v>
      </c>
      <c r="C375" s="290">
        <v>62</v>
      </c>
      <c r="D375" s="290">
        <v>224</v>
      </c>
      <c r="E375" s="290" t="s">
        <v>986</v>
      </c>
      <c r="F375" s="290">
        <v>54</v>
      </c>
      <c r="G375" s="290">
        <v>4397</v>
      </c>
      <c r="H375" s="290" t="s">
        <v>986</v>
      </c>
      <c r="I375" s="290" t="s">
        <v>986</v>
      </c>
      <c r="J375" s="290" t="s">
        <v>986</v>
      </c>
      <c r="K375" s="290">
        <v>3182</v>
      </c>
      <c r="L375" s="290" t="s">
        <v>986</v>
      </c>
      <c r="M375" s="290" t="s">
        <v>986</v>
      </c>
      <c r="N375" s="290" t="s">
        <v>986</v>
      </c>
      <c r="O375" s="290" t="s">
        <v>986</v>
      </c>
      <c r="P375" s="290" t="s">
        <v>986</v>
      </c>
      <c r="Q375" s="290">
        <v>1133</v>
      </c>
      <c r="R375" s="290" t="s">
        <v>986</v>
      </c>
      <c r="S375" s="290">
        <v>82</v>
      </c>
      <c r="T375" s="290" t="s">
        <v>986</v>
      </c>
      <c r="U375" s="290">
        <v>1025</v>
      </c>
      <c r="V375" s="290">
        <v>852</v>
      </c>
      <c r="W375" s="295" t="s">
        <v>85</v>
      </c>
    </row>
    <row r="376" spans="1:23" s="290" customFormat="1" ht="9.75" customHeight="1" x14ac:dyDescent="0.15">
      <c r="A376" s="559" t="s">
        <v>638</v>
      </c>
      <c r="B376" s="290" t="s">
        <v>986</v>
      </c>
      <c r="C376" s="290">
        <v>27</v>
      </c>
      <c r="D376" s="290">
        <v>288</v>
      </c>
      <c r="E376" s="290" t="s">
        <v>986</v>
      </c>
      <c r="F376" s="290">
        <v>54</v>
      </c>
      <c r="G376" s="290">
        <v>3916</v>
      </c>
      <c r="H376" s="290" t="s">
        <v>986</v>
      </c>
      <c r="I376" s="290">
        <v>15</v>
      </c>
      <c r="J376" s="290" t="s">
        <v>986</v>
      </c>
      <c r="K376" s="290">
        <v>2835</v>
      </c>
      <c r="L376" s="290" t="s">
        <v>986</v>
      </c>
      <c r="M376" s="290" t="s">
        <v>986</v>
      </c>
      <c r="N376" s="290" t="s">
        <v>986</v>
      </c>
      <c r="O376" s="290" t="s">
        <v>986</v>
      </c>
      <c r="P376" s="290" t="s">
        <v>986</v>
      </c>
      <c r="Q376" s="290">
        <v>1055</v>
      </c>
      <c r="R376" s="290" t="s">
        <v>986</v>
      </c>
      <c r="S376" s="290">
        <v>11</v>
      </c>
      <c r="T376" s="290" t="s">
        <v>986</v>
      </c>
      <c r="U376" s="290">
        <v>1192</v>
      </c>
      <c r="V376" s="290">
        <v>851</v>
      </c>
      <c r="W376" s="295" t="s">
        <v>86</v>
      </c>
    </row>
    <row r="377" spans="1:23" s="290" customFormat="1" ht="9.75" customHeight="1" x14ac:dyDescent="0.15">
      <c r="A377" s="559" t="s">
        <v>639</v>
      </c>
      <c r="B377" s="290" t="s">
        <v>986</v>
      </c>
      <c r="C377" s="290">
        <v>85</v>
      </c>
      <c r="D377" s="290">
        <v>160</v>
      </c>
      <c r="E377" s="290">
        <v>30</v>
      </c>
      <c r="F377" s="290" t="s">
        <v>986</v>
      </c>
      <c r="G377" s="290">
        <v>2163</v>
      </c>
      <c r="H377" s="290" t="s">
        <v>986</v>
      </c>
      <c r="I377" s="290" t="s">
        <v>986</v>
      </c>
      <c r="J377" s="290" t="s">
        <v>986</v>
      </c>
      <c r="K377" s="290">
        <v>1026</v>
      </c>
      <c r="L377" s="290" t="s">
        <v>986</v>
      </c>
      <c r="M377" s="290" t="s">
        <v>986</v>
      </c>
      <c r="N377" s="290" t="s">
        <v>986</v>
      </c>
      <c r="O377" s="290" t="s">
        <v>986</v>
      </c>
      <c r="P377" s="290" t="s">
        <v>986</v>
      </c>
      <c r="Q377" s="290">
        <v>1137</v>
      </c>
      <c r="R377" s="290" t="s">
        <v>986</v>
      </c>
      <c r="S377" s="290" t="s">
        <v>986</v>
      </c>
      <c r="T377" s="290" t="s">
        <v>986</v>
      </c>
      <c r="U377" s="290">
        <v>1244</v>
      </c>
      <c r="V377" s="290">
        <v>798</v>
      </c>
      <c r="W377" s="295" t="s">
        <v>87</v>
      </c>
    </row>
    <row r="378" spans="1:23" s="290" customFormat="1" ht="9.75" customHeight="1" x14ac:dyDescent="0.15">
      <c r="A378" s="559" t="s">
        <v>993</v>
      </c>
      <c r="B378" s="290">
        <v>1</v>
      </c>
      <c r="C378" s="290">
        <v>96</v>
      </c>
      <c r="D378" s="290">
        <v>160</v>
      </c>
      <c r="E378" s="290" t="s">
        <v>986</v>
      </c>
      <c r="F378" s="290" t="s">
        <v>986</v>
      </c>
      <c r="G378" s="290">
        <v>2668</v>
      </c>
      <c r="H378" s="290" t="s">
        <v>986</v>
      </c>
      <c r="I378" s="290" t="s">
        <v>986</v>
      </c>
      <c r="J378" s="290" t="s">
        <v>986</v>
      </c>
      <c r="K378" s="290">
        <v>827</v>
      </c>
      <c r="L378" s="290" t="s">
        <v>986</v>
      </c>
      <c r="M378" s="290" t="s">
        <v>986</v>
      </c>
      <c r="N378" s="290">
        <v>1</v>
      </c>
      <c r="O378" s="290" t="s">
        <v>986</v>
      </c>
      <c r="P378" s="290" t="s">
        <v>986</v>
      </c>
      <c r="Q378" s="290">
        <v>1840</v>
      </c>
      <c r="R378" s="290" t="s">
        <v>986</v>
      </c>
      <c r="S378" s="290" t="s">
        <v>986</v>
      </c>
      <c r="T378" s="290" t="s">
        <v>986</v>
      </c>
      <c r="U378" s="290">
        <v>1376</v>
      </c>
      <c r="V378" s="290">
        <v>869</v>
      </c>
      <c r="W378" s="295" t="s">
        <v>994</v>
      </c>
    </row>
    <row r="379" spans="1:23" s="290" customFormat="1" ht="6.75" customHeight="1" x14ac:dyDescent="0.15">
      <c r="A379" s="578"/>
      <c r="W379" s="295"/>
    </row>
    <row r="380" spans="1:23" s="290" customFormat="1" ht="9.75" customHeight="1" x14ac:dyDescent="0.15">
      <c r="A380" s="559" t="s">
        <v>995</v>
      </c>
      <c r="B380" s="290" t="s">
        <v>986</v>
      </c>
      <c r="C380" s="290">
        <v>15</v>
      </c>
      <c r="D380" s="290">
        <v>128</v>
      </c>
      <c r="E380" s="290" t="s">
        <v>986</v>
      </c>
      <c r="F380" s="290" t="s">
        <v>986</v>
      </c>
      <c r="G380" s="290">
        <v>2266</v>
      </c>
      <c r="H380" s="290" t="s">
        <v>986</v>
      </c>
      <c r="I380" s="290" t="s">
        <v>986</v>
      </c>
      <c r="J380" s="290" t="s">
        <v>986</v>
      </c>
      <c r="K380" s="290">
        <v>1055</v>
      </c>
      <c r="L380" s="290" t="s">
        <v>986</v>
      </c>
      <c r="M380" s="290" t="s">
        <v>986</v>
      </c>
      <c r="N380" s="290" t="s">
        <v>986</v>
      </c>
      <c r="O380" s="290" t="s">
        <v>986</v>
      </c>
      <c r="P380" s="290" t="s">
        <v>986</v>
      </c>
      <c r="Q380" s="290">
        <v>1171</v>
      </c>
      <c r="R380" s="290" t="s">
        <v>986</v>
      </c>
      <c r="S380" s="290">
        <v>40</v>
      </c>
      <c r="T380" s="290" t="s">
        <v>986</v>
      </c>
      <c r="U380" s="290">
        <v>422</v>
      </c>
      <c r="V380" s="290">
        <v>299</v>
      </c>
      <c r="W380" s="295" t="s">
        <v>778</v>
      </c>
    </row>
    <row r="381" spans="1:23" s="290" customFormat="1" ht="9.75" customHeight="1" x14ac:dyDescent="0.15">
      <c r="A381" s="559" t="s">
        <v>640</v>
      </c>
      <c r="B381" s="290" t="s">
        <v>986</v>
      </c>
      <c r="C381" s="290">
        <v>30</v>
      </c>
      <c r="D381" s="290">
        <v>32</v>
      </c>
      <c r="E381" s="290" t="s">
        <v>986</v>
      </c>
      <c r="F381" s="290" t="s">
        <v>986</v>
      </c>
      <c r="G381" s="290">
        <v>1643</v>
      </c>
      <c r="H381" s="290" t="s">
        <v>986</v>
      </c>
      <c r="I381" s="290" t="s">
        <v>986</v>
      </c>
      <c r="J381" s="290" t="s">
        <v>986</v>
      </c>
      <c r="K381" s="290">
        <v>1196</v>
      </c>
      <c r="L381" s="290" t="s">
        <v>986</v>
      </c>
      <c r="M381" s="290" t="s">
        <v>986</v>
      </c>
      <c r="N381" s="290">
        <v>16</v>
      </c>
      <c r="O381" s="290" t="s">
        <v>986</v>
      </c>
      <c r="P381" s="290" t="s">
        <v>986</v>
      </c>
      <c r="Q381" s="290">
        <v>416</v>
      </c>
      <c r="R381" s="290" t="s">
        <v>986</v>
      </c>
      <c r="S381" s="290">
        <v>15</v>
      </c>
      <c r="T381" s="290" t="s">
        <v>986</v>
      </c>
      <c r="U381" s="290">
        <v>316</v>
      </c>
      <c r="V381" s="290">
        <v>205</v>
      </c>
      <c r="W381" s="295" t="s">
        <v>73</v>
      </c>
    </row>
    <row r="382" spans="1:23" s="290" customFormat="1" ht="9.75" customHeight="1" x14ac:dyDescent="0.15">
      <c r="A382" s="559" t="s">
        <v>641</v>
      </c>
      <c r="B382" s="290" t="s">
        <v>986</v>
      </c>
      <c r="C382" s="290">
        <v>6</v>
      </c>
      <c r="D382" s="290">
        <v>160</v>
      </c>
      <c r="E382" s="290">
        <v>15</v>
      </c>
      <c r="F382" s="290">
        <v>33</v>
      </c>
      <c r="G382" s="290">
        <v>2077</v>
      </c>
      <c r="H382" s="290" t="s">
        <v>986</v>
      </c>
      <c r="I382" s="290" t="s">
        <v>986</v>
      </c>
      <c r="J382" s="290" t="s">
        <v>986</v>
      </c>
      <c r="K382" s="290">
        <v>1568</v>
      </c>
      <c r="L382" s="290" t="s">
        <v>986</v>
      </c>
      <c r="M382" s="290" t="s">
        <v>986</v>
      </c>
      <c r="N382" s="290" t="s">
        <v>986</v>
      </c>
      <c r="O382" s="290" t="s">
        <v>986</v>
      </c>
      <c r="P382" s="290" t="s">
        <v>986</v>
      </c>
      <c r="Q382" s="290">
        <v>494</v>
      </c>
      <c r="R382" s="290" t="s">
        <v>986</v>
      </c>
      <c r="S382" s="290">
        <v>15</v>
      </c>
      <c r="T382" s="290" t="s">
        <v>986</v>
      </c>
      <c r="U382" s="290">
        <v>420</v>
      </c>
      <c r="V382" s="290">
        <v>294</v>
      </c>
      <c r="W382" s="295" t="s">
        <v>74</v>
      </c>
    </row>
    <row r="383" spans="1:23" s="290" customFormat="1" ht="9.75" customHeight="1" x14ac:dyDescent="0.15">
      <c r="A383" s="559" t="s">
        <v>642</v>
      </c>
      <c r="B383" s="290" t="s">
        <v>986</v>
      </c>
      <c r="C383" s="290">
        <v>27</v>
      </c>
      <c r="D383" s="290">
        <v>96</v>
      </c>
      <c r="E383" s="290" t="s">
        <v>986</v>
      </c>
      <c r="F383" s="290" t="s">
        <v>986</v>
      </c>
      <c r="G383" s="290">
        <v>1512</v>
      </c>
      <c r="H383" s="290" t="s">
        <v>986</v>
      </c>
      <c r="I383" s="290" t="s">
        <v>986</v>
      </c>
      <c r="J383" s="290" t="s">
        <v>986</v>
      </c>
      <c r="K383" s="290">
        <v>1112</v>
      </c>
      <c r="L383" s="290" t="s">
        <v>986</v>
      </c>
      <c r="M383" s="290" t="s">
        <v>986</v>
      </c>
      <c r="N383" s="290" t="s">
        <v>986</v>
      </c>
      <c r="O383" s="290" t="s">
        <v>986</v>
      </c>
      <c r="P383" s="290" t="s">
        <v>986</v>
      </c>
      <c r="Q383" s="290">
        <v>362</v>
      </c>
      <c r="R383" s="290" t="s">
        <v>986</v>
      </c>
      <c r="S383" s="290">
        <v>38</v>
      </c>
      <c r="T383" s="290" t="s">
        <v>986</v>
      </c>
      <c r="U383" s="290">
        <v>342</v>
      </c>
      <c r="V383" s="290">
        <v>310</v>
      </c>
      <c r="W383" s="295" t="s">
        <v>75</v>
      </c>
    </row>
    <row r="384" spans="1:23" s="290" customFormat="1" ht="9.75" customHeight="1" x14ac:dyDescent="0.15">
      <c r="A384" s="559" t="s">
        <v>643</v>
      </c>
      <c r="B384" s="290" t="s">
        <v>986</v>
      </c>
      <c r="C384" s="290">
        <v>30</v>
      </c>
      <c r="D384" s="290">
        <v>96</v>
      </c>
      <c r="E384" s="290" t="s">
        <v>986</v>
      </c>
      <c r="F384" s="290">
        <v>27</v>
      </c>
      <c r="G384" s="290">
        <v>1362</v>
      </c>
      <c r="H384" s="290" t="s">
        <v>986</v>
      </c>
      <c r="I384" s="290" t="s">
        <v>986</v>
      </c>
      <c r="J384" s="290" t="s">
        <v>986</v>
      </c>
      <c r="K384" s="290">
        <v>1046</v>
      </c>
      <c r="L384" s="290" t="s">
        <v>986</v>
      </c>
      <c r="M384" s="290" t="s">
        <v>986</v>
      </c>
      <c r="N384" s="290" t="s">
        <v>986</v>
      </c>
      <c r="O384" s="290" t="s">
        <v>986</v>
      </c>
      <c r="P384" s="290" t="s">
        <v>986</v>
      </c>
      <c r="Q384" s="290">
        <v>316</v>
      </c>
      <c r="R384" s="290" t="s">
        <v>986</v>
      </c>
      <c r="S384" s="290" t="s">
        <v>986</v>
      </c>
      <c r="T384" s="290" t="s">
        <v>986</v>
      </c>
      <c r="U384" s="290">
        <v>351</v>
      </c>
      <c r="V384" s="290">
        <v>262</v>
      </c>
      <c r="W384" s="295" t="s">
        <v>88</v>
      </c>
    </row>
    <row r="385" spans="1:23" s="290" customFormat="1" ht="9.75" customHeight="1" x14ac:dyDescent="0.15">
      <c r="A385" s="559" t="s">
        <v>644</v>
      </c>
      <c r="B385" s="290" t="s">
        <v>986</v>
      </c>
      <c r="C385" s="290">
        <v>5</v>
      </c>
      <c r="D385" s="290">
        <v>32</v>
      </c>
      <c r="E385" s="290" t="s">
        <v>986</v>
      </c>
      <c r="F385" s="290">
        <v>27</v>
      </c>
      <c r="G385" s="290">
        <v>1523</v>
      </c>
      <c r="H385" s="290" t="s">
        <v>986</v>
      </c>
      <c r="I385" s="290" t="s">
        <v>986</v>
      </c>
      <c r="J385" s="290" t="s">
        <v>986</v>
      </c>
      <c r="K385" s="290">
        <v>1024</v>
      </c>
      <c r="L385" s="290" t="s">
        <v>986</v>
      </c>
      <c r="M385" s="290" t="s">
        <v>986</v>
      </c>
      <c r="N385" s="290" t="s">
        <v>986</v>
      </c>
      <c r="O385" s="290" t="s">
        <v>986</v>
      </c>
      <c r="P385" s="290" t="s">
        <v>986</v>
      </c>
      <c r="Q385" s="290">
        <v>455</v>
      </c>
      <c r="R385" s="290" t="s">
        <v>986</v>
      </c>
      <c r="S385" s="290">
        <v>44</v>
      </c>
      <c r="T385" s="290" t="s">
        <v>986</v>
      </c>
      <c r="U385" s="290">
        <v>332</v>
      </c>
      <c r="V385" s="290">
        <v>280</v>
      </c>
      <c r="W385" s="295" t="s">
        <v>89</v>
      </c>
    </row>
    <row r="386" spans="1:23" s="290" customFormat="1" ht="9.75" customHeight="1" x14ac:dyDescent="0.15">
      <c r="A386" s="559" t="s">
        <v>645</v>
      </c>
      <c r="B386" s="290" t="s">
        <v>986</v>
      </c>
      <c r="C386" s="290">
        <v>16</v>
      </c>
      <c r="D386" s="290">
        <v>128</v>
      </c>
      <c r="E386" s="290" t="s">
        <v>986</v>
      </c>
      <c r="F386" s="290">
        <v>41</v>
      </c>
      <c r="G386" s="290">
        <v>1499</v>
      </c>
      <c r="H386" s="290" t="s">
        <v>986</v>
      </c>
      <c r="I386" s="290" t="s">
        <v>986</v>
      </c>
      <c r="J386" s="290" t="s">
        <v>986</v>
      </c>
      <c r="K386" s="290">
        <v>1091</v>
      </c>
      <c r="L386" s="290" t="s">
        <v>986</v>
      </c>
      <c r="M386" s="290" t="s">
        <v>986</v>
      </c>
      <c r="N386" s="290" t="s">
        <v>986</v>
      </c>
      <c r="O386" s="290" t="s">
        <v>986</v>
      </c>
      <c r="P386" s="290" t="s">
        <v>986</v>
      </c>
      <c r="Q386" s="290">
        <v>397</v>
      </c>
      <c r="R386" s="290" t="s">
        <v>986</v>
      </c>
      <c r="S386" s="290">
        <v>11</v>
      </c>
      <c r="T386" s="290" t="s">
        <v>986</v>
      </c>
      <c r="U386" s="290">
        <v>460</v>
      </c>
      <c r="V386" s="290">
        <v>377</v>
      </c>
      <c r="W386" s="295" t="s">
        <v>90</v>
      </c>
    </row>
    <row r="387" spans="1:23" s="290" customFormat="1" ht="9.75" customHeight="1" x14ac:dyDescent="0.15">
      <c r="A387" s="559" t="s">
        <v>646</v>
      </c>
      <c r="B387" s="290" t="s">
        <v>986</v>
      </c>
      <c r="C387" s="290">
        <v>11</v>
      </c>
      <c r="D387" s="290">
        <v>144</v>
      </c>
      <c r="E387" s="290" t="s">
        <v>986</v>
      </c>
      <c r="F387" s="290" t="s">
        <v>986</v>
      </c>
      <c r="G387" s="290">
        <v>1059</v>
      </c>
      <c r="H387" s="290" t="s">
        <v>986</v>
      </c>
      <c r="I387" s="290" t="s">
        <v>986</v>
      </c>
      <c r="J387" s="290" t="s">
        <v>986</v>
      </c>
      <c r="K387" s="290">
        <v>760</v>
      </c>
      <c r="L387" s="290" t="s">
        <v>986</v>
      </c>
      <c r="M387" s="290" t="s">
        <v>986</v>
      </c>
      <c r="N387" s="290" t="s">
        <v>986</v>
      </c>
      <c r="O387" s="290" t="s">
        <v>986</v>
      </c>
      <c r="P387" s="290" t="s">
        <v>986</v>
      </c>
      <c r="Q387" s="290">
        <v>299</v>
      </c>
      <c r="R387" s="290" t="s">
        <v>986</v>
      </c>
      <c r="S387" s="290" t="s">
        <v>986</v>
      </c>
      <c r="T387" s="290" t="s">
        <v>986</v>
      </c>
      <c r="U387" s="290">
        <v>415</v>
      </c>
      <c r="V387" s="290">
        <v>316</v>
      </c>
      <c r="W387" s="295" t="s">
        <v>91</v>
      </c>
    </row>
    <row r="388" spans="1:23" s="290" customFormat="1" ht="9.75" customHeight="1" x14ac:dyDescent="0.15">
      <c r="A388" s="559" t="s">
        <v>647</v>
      </c>
      <c r="B388" s="290" t="s">
        <v>986</v>
      </c>
      <c r="C388" s="290" t="s">
        <v>986</v>
      </c>
      <c r="D388" s="290">
        <v>16</v>
      </c>
      <c r="E388" s="290" t="s">
        <v>986</v>
      </c>
      <c r="F388" s="290">
        <v>13</v>
      </c>
      <c r="G388" s="290">
        <v>1358</v>
      </c>
      <c r="H388" s="290" t="s">
        <v>986</v>
      </c>
      <c r="I388" s="290">
        <v>15</v>
      </c>
      <c r="J388" s="290" t="s">
        <v>986</v>
      </c>
      <c r="K388" s="290">
        <v>984</v>
      </c>
      <c r="L388" s="290" t="s">
        <v>986</v>
      </c>
      <c r="M388" s="290" t="s">
        <v>986</v>
      </c>
      <c r="N388" s="290" t="s">
        <v>986</v>
      </c>
      <c r="O388" s="290" t="s">
        <v>986</v>
      </c>
      <c r="P388" s="290" t="s">
        <v>986</v>
      </c>
      <c r="Q388" s="290">
        <v>359</v>
      </c>
      <c r="R388" s="290" t="s">
        <v>986</v>
      </c>
      <c r="S388" s="290" t="s">
        <v>986</v>
      </c>
      <c r="T388" s="290" t="s">
        <v>986</v>
      </c>
      <c r="U388" s="290">
        <v>317</v>
      </c>
      <c r="V388" s="290">
        <v>158</v>
      </c>
      <c r="W388" s="295" t="s">
        <v>92</v>
      </c>
    </row>
    <row r="389" spans="1:23" s="290" customFormat="1" ht="9.75" customHeight="1" x14ac:dyDescent="0.15">
      <c r="A389" s="559" t="s">
        <v>648</v>
      </c>
      <c r="B389" s="290" t="s">
        <v>986</v>
      </c>
      <c r="C389" s="290">
        <v>30</v>
      </c>
      <c r="D389" s="290">
        <v>64</v>
      </c>
      <c r="E389" s="290">
        <v>30</v>
      </c>
      <c r="F389" s="290" t="s">
        <v>986</v>
      </c>
      <c r="G389" s="290">
        <v>897</v>
      </c>
      <c r="H389" s="290" t="s">
        <v>986</v>
      </c>
      <c r="I389" s="290" t="s">
        <v>986</v>
      </c>
      <c r="J389" s="290" t="s">
        <v>986</v>
      </c>
      <c r="K389" s="290">
        <v>343</v>
      </c>
      <c r="L389" s="290" t="s">
        <v>986</v>
      </c>
      <c r="M389" s="290" t="s">
        <v>986</v>
      </c>
      <c r="N389" s="290" t="s">
        <v>986</v>
      </c>
      <c r="O389" s="290" t="s">
        <v>986</v>
      </c>
      <c r="P389" s="290" t="s">
        <v>986</v>
      </c>
      <c r="Q389" s="290">
        <v>554</v>
      </c>
      <c r="R389" s="290" t="s">
        <v>986</v>
      </c>
      <c r="S389" s="290" t="s">
        <v>986</v>
      </c>
      <c r="T389" s="290" t="s">
        <v>986</v>
      </c>
      <c r="U389" s="290">
        <v>410</v>
      </c>
      <c r="V389" s="290">
        <v>246</v>
      </c>
      <c r="W389" s="295" t="s">
        <v>76</v>
      </c>
    </row>
    <row r="390" spans="1:23" s="290" customFormat="1" ht="9.75" customHeight="1" x14ac:dyDescent="0.15">
      <c r="A390" s="559" t="s">
        <v>649</v>
      </c>
      <c r="B390" s="290" t="s">
        <v>986</v>
      </c>
      <c r="C390" s="290">
        <v>10</v>
      </c>
      <c r="D390" s="290">
        <v>64</v>
      </c>
      <c r="E390" s="290" t="s">
        <v>986</v>
      </c>
      <c r="F390" s="290" t="s">
        <v>986</v>
      </c>
      <c r="G390" s="290">
        <v>605</v>
      </c>
      <c r="H390" s="290" t="s">
        <v>986</v>
      </c>
      <c r="I390" s="290" t="s">
        <v>986</v>
      </c>
      <c r="J390" s="290" t="s">
        <v>986</v>
      </c>
      <c r="K390" s="290">
        <v>233</v>
      </c>
      <c r="L390" s="290" t="s">
        <v>986</v>
      </c>
      <c r="M390" s="290" t="s">
        <v>986</v>
      </c>
      <c r="N390" s="290" t="s">
        <v>986</v>
      </c>
      <c r="O390" s="290" t="s">
        <v>986</v>
      </c>
      <c r="P390" s="290" t="s">
        <v>986</v>
      </c>
      <c r="Q390" s="290">
        <v>372</v>
      </c>
      <c r="R390" s="290" t="s">
        <v>986</v>
      </c>
      <c r="S390" s="290" t="s">
        <v>986</v>
      </c>
      <c r="T390" s="290" t="s">
        <v>986</v>
      </c>
      <c r="U390" s="290">
        <v>348</v>
      </c>
      <c r="V390" s="290">
        <v>216</v>
      </c>
      <c r="W390" s="295" t="s">
        <v>77</v>
      </c>
    </row>
    <row r="391" spans="1:23" s="290" customFormat="1" ht="9.75" customHeight="1" x14ac:dyDescent="0.15">
      <c r="A391" s="559" t="s">
        <v>650</v>
      </c>
      <c r="B391" s="290" t="s">
        <v>986</v>
      </c>
      <c r="C391" s="290">
        <v>45</v>
      </c>
      <c r="D391" s="290">
        <v>32</v>
      </c>
      <c r="E391" s="290" t="s">
        <v>986</v>
      </c>
      <c r="F391" s="290" t="s">
        <v>986</v>
      </c>
      <c r="G391" s="290">
        <v>661</v>
      </c>
      <c r="H391" s="290" t="s">
        <v>986</v>
      </c>
      <c r="I391" s="290" t="s">
        <v>986</v>
      </c>
      <c r="J391" s="290" t="s">
        <v>986</v>
      </c>
      <c r="K391" s="290">
        <v>450</v>
      </c>
      <c r="L391" s="290" t="s">
        <v>986</v>
      </c>
      <c r="M391" s="290" t="s">
        <v>986</v>
      </c>
      <c r="N391" s="290" t="s">
        <v>986</v>
      </c>
      <c r="O391" s="290" t="s">
        <v>986</v>
      </c>
      <c r="P391" s="290" t="s">
        <v>986</v>
      </c>
      <c r="Q391" s="290">
        <v>211</v>
      </c>
      <c r="R391" s="290" t="s">
        <v>986</v>
      </c>
      <c r="S391" s="290" t="s">
        <v>986</v>
      </c>
      <c r="T391" s="290" t="s">
        <v>986</v>
      </c>
      <c r="U391" s="290">
        <v>486</v>
      </c>
      <c r="V391" s="290">
        <v>336</v>
      </c>
      <c r="W391" s="295" t="s">
        <v>78</v>
      </c>
    </row>
    <row r="392" spans="1:23" s="290" customFormat="1" ht="9.75" customHeight="1" x14ac:dyDescent="0.15">
      <c r="A392" s="559" t="s">
        <v>996</v>
      </c>
      <c r="B392" s="290" t="s">
        <v>986</v>
      </c>
      <c r="C392" s="290">
        <v>64</v>
      </c>
      <c r="D392" s="290" t="s">
        <v>986</v>
      </c>
      <c r="E392" s="290" t="s">
        <v>986</v>
      </c>
      <c r="F392" s="290" t="s">
        <v>986</v>
      </c>
      <c r="G392" s="290">
        <v>708</v>
      </c>
      <c r="H392" s="290" t="s">
        <v>986</v>
      </c>
      <c r="I392" s="290" t="s">
        <v>986</v>
      </c>
      <c r="J392" s="290" t="s">
        <v>986</v>
      </c>
      <c r="K392" s="290">
        <v>151</v>
      </c>
      <c r="L392" s="290" t="s">
        <v>986</v>
      </c>
      <c r="M392" s="290" t="s">
        <v>986</v>
      </c>
      <c r="N392" s="290">
        <v>1</v>
      </c>
      <c r="O392" s="290" t="s">
        <v>986</v>
      </c>
      <c r="P392" s="290" t="s">
        <v>986</v>
      </c>
      <c r="Q392" s="290">
        <v>556</v>
      </c>
      <c r="R392" s="290" t="s">
        <v>986</v>
      </c>
      <c r="S392" s="290" t="s">
        <v>986</v>
      </c>
      <c r="T392" s="290" t="s">
        <v>986</v>
      </c>
      <c r="U392" s="290">
        <v>351</v>
      </c>
      <c r="V392" s="290">
        <v>232</v>
      </c>
      <c r="W392" s="295" t="s">
        <v>997</v>
      </c>
    </row>
    <row r="393" spans="1:23" s="290" customFormat="1" ht="9.75" customHeight="1" x14ac:dyDescent="0.15">
      <c r="A393" s="559" t="s">
        <v>651</v>
      </c>
      <c r="B393" s="290">
        <v>1</v>
      </c>
      <c r="C393" s="290">
        <v>18</v>
      </c>
      <c r="D393" s="290">
        <v>96</v>
      </c>
      <c r="E393" s="290" t="s">
        <v>986</v>
      </c>
      <c r="F393" s="290" t="s">
        <v>986</v>
      </c>
      <c r="G393" s="290">
        <v>901</v>
      </c>
      <c r="H393" s="290" t="s">
        <v>986</v>
      </c>
      <c r="I393" s="290" t="s">
        <v>986</v>
      </c>
      <c r="J393" s="290" t="s">
        <v>986</v>
      </c>
      <c r="K393" s="290">
        <v>357</v>
      </c>
      <c r="L393" s="290" t="s">
        <v>986</v>
      </c>
      <c r="M393" s="290" t="s">
        <v>986</v>
      </c>
      <c r="N393" s="290" t="s">
        <v>986</v>
      </c>
      <c r="O393" s="290" t="s">
        <v>986</v>
      </c>
      <c r="P393" s="290" t="s">
        <v>986</v>
      </c>
      <c r="Q393" s="290">
        <v>544</v>
      </c>
      <c r="R393" s="290" t="s">
        <v>986</v>
      </c>
      <c r="S393" s="290" t="s">
        <v>986</v>
      </c>
      <c r="T393" s="290" t="s">
        <v>986</v>
      </c>
      <c r="U393" s="290">
        <v>557</v>
      </c>
      <c r="V393" s="290">
        <v>367</v>
      </c>
      <c r="W393" s="295" t="s">
        <v>73</v>
      </c>
    </row>
    <row r="394" spans="1:23" s="290" customFormat="1" ht="9.75" customHeight="1" x14ac:dyDescent="0.15">
      <c r="A394" s="560" t="s">
        <v>652</v>
      </c>
      <c r="B394" s="294" t="s">
        <v>986</v>
      </c>
      <c r="C394" s="293">
        <v>14</v>
      </c>
      <c r="D394" s="293">
        <v>64</v>
      </c>
      <c r="E394" s="293" t="s">
        <v>986</v>
      </c>
      <c r="F394" s="293" t="s">
        <v>986</v>
      </c>
      <c r="G394" s="293">
        <v>1059</v>
      </c>
      <c r="H394" s="293" t="s">
        <v>986</v>
      </c>
      <c r="I394" s="293" t="s">
        <v>986</v>
      </c>
      <c r="J394" s="293" t="s">
        <v>986</v>
      </c>
      <c r="K394" s="293">
        <v>319</v>
      </c>
      <c r="L394" s="293" t="s">
        <v>986</v>
      </c>
      <c r="M394" s="293" t="s">
        <v>986</v>
      </c>
      <c r="N394" s="293" t="s">
        <v>986</v>
      </c>
      <c r="O394" s="293" t="s">
        <v>986</v>
      </c>
      <c r="P394" s="293" t="s">
        <v>986</v>
      </c>
      <c r="Q394" s="293">
        <v>740</v>
      </c>
      <c r="R394" s="293" t="s">
        <v>986</v>
      </c>
      <c r="S394" s="293" t="s">
        <v>986</v>
      </c>
      <c r="T394" s="293" t="s">
        <v>986</v>
      </c>
      <c r="U394" s="293">
        <v>468</v>
      </c>
      <c r="V394" s="293">
        <v>270</v>
      </c>
      <c r="W394" s="291" t="s">
        <v>74</v>
      </c>
    </row>
    <row r="395" spans="1:23" ht="12" customHeight="1" x14ac:dyDescent="0.15"/>
    <row r="396" spans="1:23" ht="12" customHeight="1" x14ac:dyDescent="0.15"/>
    <row r="397" spans="1:23" ht="12" customHeight="1" x14ac:dyDescent="0.15">
      <c r="K397" s="299" t="s">
        <v>93</v>
      </c>
    </row>
    <row r="398" spans="1:23" s="297" customFormat="1" ht="21" customHeight="1" x14ac:dyDescent="0.15">
      <c r="A398" s="1053" t="s">
        <v>172</v>
      </c>
      <c r="B398" s="832" t="s">
        <v>284</v>
      </c>
      <c r="C398" s="827"/>
      <c r="D398" s="827"/>
      <c r="E398" s="827"/>
      <c r="F398" s="827"/>
      <c r="G398" s="827"/>
      <c r="H398" s="827"/>
      <c r="I398" s="827"/>
      <c r="J398" s="827"/>
      <c r="K398" s="827"/>
      <c r="L398" s="827"/>
      <c r="M398" s="827"/>
      <c r="N398" s="827"/>
      <c r="O398" s="827"/>
      <c r="P398" s="827"/>
      <c r="Q398" s="827"/>
      <c r="R398" s="827"/>
      <c r="S398" s="827"/>
      <c r="T398" s="827"/>
      <c r="U398" s="834"/>
      <c r="V398" s="839" t="s">
        <v>283</v>
      </c>
      <c r="W398" s="1056" t="s">
        <v>79</v>
      </c>
    </row>
    <row r="399" spans="1:23" s="297" customFormat="1" ht="21" customHeight="1" x14ac:dyDescent="0.15">
      <c r="A399" s="1054"/>
      <c r="B399" s="832" t="s">
        <v>871</v>
      </c>
      <c r="C399" s="827"/>
      <c r="D399" s="834"/>
      <c r="E399" s="826" t="s">
        <v>257</v>
      </c>
      <c r="F399" s="827"/>
      <c r="G399" s="827"/>
      <c r="H399" s="827"/>
      <c r="I399" s="827"/>
      <c r="J399" s="827"/>
      <c r="K399" s="834"/>
      <c r="L399" s="826" t="s">
        <v>242</v>
      </c>
      <c r="M399" s="827"/>
      <c r="N399" s="827"/>
      <c r="O399" s="827"/>
      <c r="P399" s="834"/>
      <c r="Q399" s="826" t="s">
        <v>241</v>
      </c>
      <c r="R399" s="827"/>
      <c r="S399" s="834"/>
      <c r="T399" s="826" t="s">
        <v>875</v>
      </c>
      <c r="U399" s="834"/>
      <c r="V399" s="1057" t="s">
        <v>282</v>
      </c>
      <c r="W399" s="1057"/>
    </row>
    <row r="400" spans="1:23" s="297" customFormat="1" ht="52.5" customHeight="1" x14ac:dyDescent="0.15">
      <c r="A400" s="1055"/>
      <c r="B400" s="298" t="s">
        <v>297</v>
      </c>
      <c r="C400" s="298" t="s">
        <v>266</v>
      </c>
      <c r="D400" s="298" t="s">
        <v>558</v>
      </c>
      <c r="E400" s="696" t="s">
        <v>856</v>
      </c>
      <c r="F400" s="298" t="s">
        <v>319</v>
      </c>
      <c r="G400" s="298" t="s">
        <v>318</v>
      </c>
      <c r="H400" s="298" t="s">
        <v>243</v>
      </c>
      <c r="I400" s="298" t="s">
        <v>317</v>
      </c>
      <c r="J400" s="298" t="s">
        <v>240</v>
      </c>
      <c r="K400" s="298" t="s">
        <v>261</v>
      </c>
      <c r="L400" s="696" t="s">
        <v>857</v>
      </c>
      <c r="M400" s="298" t="s">
        <v>238</v>
      </c>
      <c r="N400" s="298" t="s">
        <v>1053</v>
      </c>
      <c r="O400" s="301" t="s">
        <v>873</v>
      </c>
      <c r="P400" s="298" t="s">
        <v>859</v>
      </c>
      <c r="Q400" s="696" t="s">
        <v>860</v>
      </c>
      <c r="R400" s="298" t="s">
        <v>236</v>
      </c>
      <c r="S400" s="298" t="s">
        <v>874</v>
      </c>
      <c r="T400" s="696" t="s">
        <v>314</v>
      </c>
      <c r="U400" s="298" t="s">
        <v>313</v>
      </c>
      <c r="V400" s="1058"/>
      <c r="W400" s="1058"/>
    </row>
    <row r="401" spans="1:23" s="290" customFormat="1" ht="9.75" customHeight="1" x14ac:dyDescent="0.15">
      <c r="A401" s="828" t="s">
        <v>985</v>
      </c>
      <c r="B401" s="829">
        <v>552</v>
      </c>
      <c r="C401" s="830" t="s">
        <v>986</v>
      </c>
      <c r="D401" s="830">
        <v>1</v>
      </c>
      <c r="E401" s="830">
        <v>961</v>
      </c>
      <c r="F401" s="830">
        <v>16</v>
      </c>
      <c r="G401" s="830" t="s">
        <v>986</v>
      </c>
      <c r="H401" s="830">
        <v>66</v>
      </c>
      <c r="I401" s="830">
        <v>5</v>
      </c>
      <c r="J401" s="830">
        <v>576</v>
      </c>
      <c r="K401" s="830">
        <v>298</v>
      </c>
      <c r="L401" s="830">
        <v>663</v>
      </c>
      <c r="M401" s="830">
        <v>12</v>
      </c>
      <c r="N401" s="830" t="s">
        <v>986</v>
      </c>
      <c r="O401" s="830" t="s">
        <v>986</v>
      </c>
      <c r="P401" s="830">
        <v>651</v>
      </c>
      <c r="Q401" s="830">
        <v>1194</v>
      </c>
      <c r="R401" s="830">
        <v>718</v>
      </c>
      <c r="S401" s="830">
        <v>476</v>
      </c>
      <c r="T401" s="830">
        <v>3409</v>
      </c>
      <c r="U401" s="830">
        <v>3409</v>
      </c>
      <c r="V401" s="830">
        <v>59956</v>
      </c>
      <c r="W401" s="831" t="s">
        <v>485</v>
      </c>
    </row>
    <row r="402" spans="1:23" s="290" customFormat="1" ht="9.75" customHeight="1" x14ac:dyDescent="0.15">
      <c r="A402" s="559" t="s">
        <v>634</v>
      </c>
      <c r="B402" s="290">
        <v>588</v>
      </c>
      <c r="C402" s="290" t="s">
        <v>986</v>
      </c>
      <c r="D402" s="290" t="s">
        <v>986</v>
      </c>
      <c r="E402" s="290">
        <v>217</v>
      </c>
      <c r="F402" s="290" t="s">
        <v>986</v>
      </c>
      <c r="G402" s="290">
        <v>1</v>
      </c>
      <c r="H402" s="290">
        <v>1</v>
      </c>
      <c r="I402" s="290" t="s">
        <v>986</v>
      </c>
      <c r="J402" s="290">
        <v>215</v>
      </c>
      <c r="K402" s="290" t="s">
        <v>986</v>
      </c>
      <c r="L402" s="290">
        <v>500</v>
      </c>
      <c r="M402" s="290">
        <v>32</v>
      </c>
      <c r="N402" s="290" t="s">
        <v>986</v>
      </c>
      <c r="O402" s="290" t="s">
        <v>986</v>
      </c>
      <c r="P402" s="290">
        <v>468</v>
      </c>
      <c r="Q402" s="290">
        <v>1225</v>
      </c>
      <c r="R402" s="290">
        <v>917</v>
      </c>
      <c r="S402" s="290">
        <v>308</v>
      </c>
      <c r="T402" s="290">
        <v>2873</v>
      </c>
      <c r="U402" s="290">
        <v>2873</v>
      </c>
      <c r="V402" s="290">
        <v>23765</v>
      </c>
      <c r="W402" s="295" t="s">
        <v>588</v>
      </c>
    </row>
    <row r="403" spans="1:23" s="290" customFormat="1" ht="9.75" customHeight="1" x14ac:dyDescent="0.15">
      <c r="A403" s="559" t="s">
        <v>635</v>
      </c>
      <c r="B403" s="290">
        <v>1120</v>
      </c>
      <c r="C403" s="290" t="s">
        <v>986</v>
      </c>
      <c r="D403" s="290" t="s">
        <v>986</v>
      </c>
      <c r="E403" s="290">
        <v>454</v>
      </c>
      <c r="F403" s="290" t="s">
        <v>986</v>
      </c>
      <c r="G403" s="290" t="s">
        <v>986</v>
      </c>
      <c r="H403" s="290" t="s">
        <v>986</v>
      </c>
      <c r="I403" s="290" t="s">
        <v>986</v>
      </c>
      <c r="J403" s="290">
        <v>454</v>
      </c>
      <c r="K403" s="290" t="s">
        <v>986</v>
      </c>
      <c r="L403" s="290">
        <v>367</v>
      </c>
      <c r="M403" s="290">
        <v>19</v>
      </c>
      <c r="N403" s="290" t="s">
        <v>986</v>
      </c>
      <c r="O403" s="290" t="s">
        <v>986</v>
      </c>
      <c r="P403" s="290">
        <v>348</v>
      </c>
      <c r="Q403" s="290">
        <v>871</v>
      </c>
      <c r="R403" s="290">
        <v>743</v>
      </c>
      <c r="S403" s="290">
        <v>128</v>
      </c>
      <c r="T403" s="290">
        <v>2654</v>
      </c>
      <c r="U403" s="290">
        <v>2654</v>
      </c>
      <c r="V403" s="290">
        <v>14830</v>
      </c>
      <c r="W403" s="295" t="s">
        <v>636</v>
      </c>
    </row>
    <row r="404" spans="1:23" s="290" customFormat="1" ht="9.75" customHeight="1" x14ac:dyDescent="0.15">
      <c r="A404" s="559" t="s">
        <v>774</v>
      </c>
      <c r="B404" s="290">
        <v>959</v>
      </c>
      <c r="C404" s="290">
        <v>163</v>
      </c>
      <c r="D404" s="290" t="s">
        <v>986</v>
      </c>
      <c r="E404" s="290">
        <v>546</v>
      </c>
      <c r="F404" s="290">
        <v>1</v>
      </c>
      <c r="G404" s="290" t="s">
        <v>986</v>
      </c>
      <c r="H404" s="290">
        <v>1</v>
      </c>
      <c r="I404" s="290" t="s">
        <v>986</v>
      </c>
      <c r="J404" s="290">
        <v>544</v>
      </c>
      <c r="K404" s="290" t="s">
        <v>986</v>
      </c>
      <c r="L404" s="290">
        <v>171</v>
      </c>
      <c r="M404" s="290">
        <v>32</v>
      </c>
      <c r="N404" s="290" t="s">
        <v>986</v>
      </c>
      <c r="O404" s="290">
        <v>11</v>
      </c>
      <c r="P404" s="290">
        <v>128</v>
      </c>
      <c r="Q404" s="290">
        <v>757</v>
      </c>
      <c r="R404" s="290">
        <v>756</v>
      </c>
      <c r="S404" s="290">
        <v>1</v>
      </c>
      <c r="T404" s="290">
        <v>2538</v>
      </c>
      <c r="U404" s="290">
        <v>2538</v>
      </c>
      <c r="V404" s="290">
        <v>11421</v>
      </c>
      <c r="W404" s="295" t="s">
        <v>775</v>
      </c>
    </row>
    <row r="405" spans="1:23" s="290" customFormat="1" ht="9.75" customHeight="1" x14ac:dyDescent="0.15">
      <c r="A405" s="559" t="s">
        <v>987</v>
      </c>
      <c r="B405" s="290">
        <v>1320</v>
      </c>
      <c r="C405" s="290" t="s">
        <v>986</v>
      </c>
      <c r="D405" s="290" t="s">
        <v>986</v>
      </c>
      <c r="E405" s="290">
        <v>351</v>
      </c>
      <c r="F405" s="290">
        <v>2</v>
      </c>
      <c r="G405" s="290" t="s">
        <v>986</v>
      </c>
      <c r="H405" s="290" t="s">
        <v>986</v>
      </c>
      <c r="I405" s="290" t="s">
        <v>986</v>
      </c>
      <c r="J405" s="290">
        <v>349</v>
      </c>
      <c r="K405" s="290" t="s">
        <v>986</v>
      </c>
      <c r="L405" s="290">
        <v>111</v>
      </c>
      <c r="M405" s="290" t="s">
        <v>986</v>
      </c>
      <c r="N405" s="290">
        <v>13</v>
      </c>
      <c r="O405" s="290" t="s">
        <v>986</v>
      </c>
      <c r="P405" s="290">
        <v>98</v>
      </c>
      <c r="Q405" s="290">
        <v>856</v>
      </c>
      <c r="R405" s="290">
        <v>856</v>
      </c>
      <c r="S405" s="290" t="s">
        <v>986</v>
      </c>
      <c r="T405" s="290">
        <v>2459</v>
      </c>
      <c r="U405" s="290">
        <v>2459</v>
      </c>
      <c r="V405" s="290" t="s">
        <v>986</v>
      </c>
      <c r="W405" s="295" t="s">
        <v>988</v>
      </c>
    </row>
    <row r="406" spans="1:23" s="290" customFormat="1" ht="6.75" customHeight="1" x14ac:dyDescent="0.15">
      <c r="A406" s="578"/>
      <c r="W406" s="295"/>
    </row>
    <row r="407" spans="1:23" s="290" customFormat="1" ht="9.75" customHeight="1" x14ac:dyDescent="0.15">
      <c r="A407" s="559" t="s">
        <v>989</v>
      </c>
      <c r="B407" s="290">
        <v>1155</v>
      </c>
      <c r="C407" s="290">
        <v>163</v>
      </c>
      <c r="D407" s="290" t="s">
        <v>986</v>
      </c>
      <c r="E407" s="290">
        <v>497</v>
      </c>
      <c r="F407" s="290">
        <v>3</v>
      </c>
      <c r="G407" s="290" t="s">
        <v>986</v>
      </c>
      <c r="H407" s="290">
        <v>1</v>
      </c>
      <c r="I407" s="290" t="s">
        <v>986</v>
      </c>
      <c r="J407" s="290">
        <v>493</v>
      </c>
      <c r="K407" s="290" t="s">
        <v>986</v>
      </c>
      <c r="L407" s="290">
        <v>112</v>
      </c>
      <c r="M407" s="290">
        <v>16</v>
      </c>
      <c r="N407" s="290" t="s">
        <v>986</v>
      </c>
      <c r="O407" s="290" t="s">
        <v>986</v>
      </c>
      <c r="P407" s="290">
        <v>96</v>
      </c>
      <c r="Q407" s="290">
        <v>798</v>
      </c>
      <c r="R407" s="290">
        <v>797</v>
      </c>
      <c r="S407" s="290">
        <v>1</v>
      </c>
      <c r="T407" s="290">
        <v>2366</v>
      </c>
      <c r="U407" s="290">
        <v>2366</v>
      </c>
      <c r="V407" s="290">
        <v>11421</v>
      </c>
      <c r="W407" s="295" t="s">
        <v>776</v>
      </c>
    </row>
    <row r="408" spans="1:23" s="290" customFormat="1" ht="9.75" customHeight="1" x14ac:dyDescent="0.15">
      <c r="A408" s="559" t="s">
        <v>990</v>
      </c>
      <c r="B408" s="290">
        <v>1467</v>
      </c>
      <c r="C408" s="290" t="s">
        <v>986</v>
      </c>
      <c r="D408" s="290" t="s">
        <v>986</v>
      </c>
      <c r="E408" s="290">
        <v>341</v>
      </c>
      <c r="F408" s="290">
        <v>1</v>
      </c>
      <c r="G408" s="290" t="s">
        <v>986</v>
      </c>
      <c r="H408" s="290" t="s">
        <v>986</v>
      </c>
      <c r="I408" s="290" t="s">
        <v>986</v>
      </c>
      <c r="J408" s="290">
        <v>340</v>
      </c>
      <c r="K408" s="290" t="s">
        <v>986</v>
      </c>
      <c r="L408" s="290">
        <v>131</v>
      </c>
      <c r="M408" s="290">
        <v>16</v>
      </c>
      <c r="N408" s="290">
        <v>13</v>
      </c>
      <c r="O408" s="290" t="s">
        <v>986</v>
      </c>
      <c r="P408" s="290">
        <v>102</v>
      </c>
      <c r="Q408" s="290">
        <v>937</v>
      </c>
      <c r="R408" s="290">
        <v>914</v>
      </c>
      <c r="S408" s="290">
        <v>23</v>
      </c>
      <c r="T408" s="290">
        <v>2549</v>
      </c>
      <c r="U408" s="290">
        <v>2549</v>
      </c>
      <c r="V408" s="290" t="s">
        <v>986</v>
      </c>
      <c r="W408" s="295" t="s">
        <v>991</v>
      </c>
    </row>
    <row r="409" spans="1:23" s="290" customFormat="1" ht="6.75" customHeight="1" x14ac:dyDescent="0.15">
      <c r="A409" s="578"/>
      <c r="W409" s="295"/>
    </row>
    <row r="410" spans="1:23" s="290" customFormat="1" ht="9.75" customHeight="1" x14ac:dyDescent="0.15">
      <c r="A410" s="559" t="s">
        <v>992</v>
      </c>
      <c r="B410" s="290">
        <v>360</v>
      </c>
      <c r="C410" s="290" t="s">
        <v>986</v>
      </c>
      <c r="D410" s="290" t="s">
        <v>986</v>
      </c>
      <c r="E410" s="290">
        <v>111</v>
      </c>
      <c r="F410" s="290">
        <v>2</v>
      </c>
      <c r="G410" s="290" t="s">
        <v>986</v>
      </c>
      <c r="H410" s="290" t="s">
        <v>986</v>
      </c>
      <c r="I410" s="290" t="s">
        <v>986</v>
      </c>
      <c r="J410" s="290">
        <v>109</v>
      </c>
      <c r="K410" s="290" t="s">
        <v>986</v>
      </c>
      <c r="L410" s="290" t="s">
        <v>986</v>
      </c>
      <c r="M410" s="290" t="s">
        <v>986</v>
      </c>
      <c r="N410" s="290" t="s">
        <v>986</v>
      </c>
      <c r="O410" s="290" t="s">
        <v>986</v>
      </c>
      <c r="P410" s="290" t="s">
        <v>986</v>
      </c>
      <c r="Q410" s="290">
        <v>215</v>
      </c>
      <c r="R410" s="290">
        <v>215</v>
      </c>
      <c r="S410" s="290" t="s">
        <v>986</v>
      </c>
      <c r="T410" s="290">
        <v>500</v>
      </c>
      <c r="U410" s="290">
        <v>500</v>
      </c>
      <c r="V410" s="290" t="s">
        <v>986</v>
      </c>
      <c r="W410" s="295" t="s">
        <v>777</v>
      </c>
    </row>
    <row r="411" spans="1:23" s="290" customFormat="1" ht="9.75" customHeight="1" x14ac:dyDescent="0.15">
      <c r="A411" s="559" t="s">
        <v>637</v>
      </c>
      <c r="B411" s="290">
        <v>173</v>
      </c>
      <c r="C411" s="290" t="s">
        <v>986</v>
      </c>
      <c r="D411" s="290" t="s">
        <v>986</v>
      </c>
      <c r="E411" s="290">
        <v>68</v>
      </c>
      <c r="F411" s="290" t="s">
        <v>986</v>
      </c>
      <c r="G411" s="290" t="s">
        <v>986</v>
      </c>
      <c r="H411" s="290" t="s">
        <v>986</v>
      </c>
      <c r="I411" s="290" t="s">
        <v>986</v>
      </c>
      <c r="J411" s="290">
        <v>68</v>
      </c>
      <c r="K411" s="290" t="s">
        <v>986</v>
      </c>
      <c r="L411" s="290">
        <v>34</v>
      </c>
      <c r="M411" s="290" t="s">
        <v>986</v>
      </c>
      <c r="N411" s="290" t="s">
        <v>986</v>
      </c>
      <c r="O411" s="290" t="s">
        <v>986</v>
      </c>
      <c r="P411" s="290">
        <v>34</v>
      </c>
      <c r="Q411" s="290">
        <v>162</v>
      </c>
      <c r="R411" s="290">
        <v>162</v>
      </c>
      <c r="S411" s="290" t="s">
        <v>986</v>
      </c>
      <c r="T411" s="290">
        <v>578</v>
      </c>
      <c r="U411" s="290">
        <v>578</v>
      </c>
      <c r="V411" s="290" t="s">
        <v>986</v>
      </c>
      <c r="W411" s="295" t="s">
        <v>85</v>
      </c>
    </row>
    <row r="412" spans="1:23" s="290" customFormat="1" ht="9.75" customHeight="1" x14ac:dyDescent="0.15">
      <c r="A412" s="559" t="s">
        <v>638</v>
      </c>
      <c r="B412" s="290">
        <v>341</v>
      </c>
      <c r="C412" s="290" t="s">
        <v>986</v>
      </c>
      <c r="D412" s="290" t="s">
        <v>986</v>
      </c>
      <c r="E412" s="290">
        <v>123</v>
      </c>
      <c r="F412" s="290" t="s">
        <v>986</v>
      </c>
      <c r="G412" s="290" t="s">
        <v>986</v>
      </c>
      <c r="H412" s="290" t="s">
        <v>986</v>
      </c>
      <c r="I412" s="290" t="s">
        <v>986</v>
      </c>
      <c r="J412" s="290">
        <v>123</v>
      </c>
      <c r="K412" s="290" t="s">
        <v>986</v>
      </c>
      <c r="L412" s="290">
        <v>77</v>
      </c>
      <c r="M412" s="290" t="s">
        <v>986</v>
      </c>
      <c r="N412" s="290">
        <v>13</v>
      </c>
      <c r="O412" s="290" t="s">
        <v>986</v>
      </c>
      <c r="P412" s="290">
        <v>64</v>
      </c>
      <c r="Q412" s="290">
        <v>287</v>
      </c>
      <c r="R412" s="290">
        <v>287</v>
      </c>
      <c r="S412" s="290" t="s">
        <v>986</v>
      </c>
      <c r="T412" s="290">
        <v>766</v>
      </c>
      <c r="U412" s="290">
        <v>766</v>
      </c>
      <c r="V412" s="290" t="s">
        <v>986</v>
      </c>
      <c r="W412" s="295" t="s">
        <v>86</v>
      </c>
    </row>
    <row r="413" spans="1:23" s="290" customFormat="1" ht="9.75" customHeight="1" x14ac:dyDescent="0.15">
      <c r="A413" s="559" t="s">
        <v>639</v>
      </c>
      <c r="B413" s="290">
        <v>446</v>
      </c>
      <c r="C413" s="290" t="s">
        <v>986</v>
      </c>
      <c r="D413" s="290" t="s">
        <v>986</v>
      </c>
      <c r="E413" s="290">
        <v>49</v>
      </c>
      <c r="F413" s="290" t="s">
        <v>986</v>
      </c>
      <c r="G413" s="290" t="s">
        <v>986</v>
      </c>
      <c r="H413" s="290" t="s">
        <v>986</v>
      </c>
      <c r="I413" s="290" t="s">
        <v>986</v>
      </c>
      <c r="J413" s="290">
        <v>49</v>
      </c>
      <c r="K413" s="290" t="s">
        <v>986</v>
      </c>
      <c r="L413" s="290" t="s">
        <v>986</v>
      </c>
      <c r="M413" s="290" t="s">
        <v>986</v>
      </c>
      <c r="N413" s="290" t="s">
        <v>986</v>
      </c>
      <c r="O413" s="290" t="s">
        <v>986</v>
      </c>
      <c r="P413" s="290" t="s">
        <v>986</v>
      </c>
      <c r="Q413" s="290">
        <v>192</v>
      </c>
      <c r="R413" s="290">
        <v>192</v>
      </c>
      <c r="S413" s="290" t="s">
        <v>986</v>
      </c>
      <c r="T413" s="290">
        <v>615</v>
      </c>
      <c r="U413" s="290">
        <v>615</v>
      </c>
      <c r="V413" s="290" t="s">
        <v>986</v>
      </c>
      <c r="W413" s="295" t="s">
        <v>87</v>
      </c>
    </row>
    <row r="414" spans="1:23" s="290" customFormat="1" ht="9.75" customHeight="1" x14ac:dyDescent="0.15">
      <c r="A414" s="559" t="s">
        <v>993</v>
      </c>
      <c r="B414" s="290">
        <v>507</v>
      </c>
      <c r="C414" s="290" t="s">
        <v>986</v>
      </c>
      <c r="D414" s="290" t="s">
        <v>986</v>
      </c>
      <c r="E414" s="290">
        <v>101</v>
      </c>
      <c r="F414" s="290">
        <v>1</v>
      </c>
      <c r="G414" s="290" t="s">
        <v>986</v>
      </c>
      <c r="H414" s="290" t="s">
        <v>986</v>
      </c>
      <c r="I414" s="290" t="s">
        <v>986</v>
      </c>
      <c r="J414" s="290">
        <v>100</v>
      </c>
      <c r="K414" s="290" t="s">
        <v>986</v>
      </c>
      <c r="L414" s="290">
        <v>20</v>
      </c>
      <c r="M414" s="290">
        <v>16</v>
      </c>
      <c r="N414" s="290" t="s">
        <v>986</v>
      </c>
      <c r="O414" s="290" t="s">
        <v>986</v>
      </c>
      <c r="P414" s="290">
        <v>4</v>
      </c>
      <c r="Q414" s="290">
        <v>296</v>
      </c>
      <c r="R414" s="290">
        <v>273</v>
      </c>
      <c r="S414" s="290">
        <v>23</v>
      </c>
      <c r="T414" s="290">
        <v>590</v>
      </c>
      <c r="U414" s="290">
        <v>590</v>
      </c>
      <c r="V414" s="290" t="s">
        <v>986</v>
      </c>
      <c r="W414" s="295" t="s">
        <v>994</v>
      </c>
    </row>
    <row r="415" spans="1:23" s="290" customFormat="1" ht="6.75" customHeight="1" x14ac:dyDescent="0.15">
      <c r="A415" s="578"/>
      <c r="W415" s="295"/>
    </row>
    <row r="416" spans="1:23" s="290" customFormat="1" ht="9.75" customHeight="1" x14ac:dyDescent="0.15">
      <c r="A416" s="559" t="s">
        <v>995</v>
      </c>
      <c r="B416" s="290">
        <v>123</v>
      </c>
      <c r="C416" s="290" t="s">
        <v>986</v>
      </c>
      <c r="D416" s="290" t="s">
        <v>986</v>
      </c>
      <c r="E416" s="290">
        <v>29</v>
      </c>
      <c r="F416" s="290">
        <v>1</v>
      </c>
      <c r="G416" s="290" t="s">
        <v>986</v>
      </c>
      <c r="H416" s="290" t="s">
        <v>986</v>
      </c>
      <c r="I416" s="290" t="s">
        <v>986</v>
      </c>
      <c r="J416" s="290">
        <v>28</v>
      </c>
      <c r="K416" s="290" t="s">
        <v>986</v>
      </c>
      <c r="L416" s="290" t="s">
        <v>986</v>
      </c>
      <c r="M416" s="290" t="s">
        <v>986</v>
      </c>
      <c r="N416" s="290" t="s">
        <v>986</v>
      </c>
      <c r="O416" s="290" t="s">
        <v>986</v>
      </c>
      <c r="P416" s="290" t="s">
        <v>986</v>
      </c>
      <c r="Q416" s="290">
        <v>120</v>
      </c>
      <c r="R416" s="290">
        <v>120</v>
      </c>
      <c r="S416" s="290" t="s">
        <v>986</v>
      </c>
      <c r="T416" s="290">
        <v>142</v>
      </c>
      <c r="U416" s="290">
        <v>142</v>
      </c>
      <c r="V416" s="290" t="s">
        <v>986</v>
      </c>
      <c r="W416" s="295" t="s">
        <v>778</v>
      </c>
    </row>
    <row r="417" spans="1:23" s="290" customFormat="1" ht="9.75" customHeight="1" x14ac:dyDescent="0.15">
      <c r="A417" s="559" t="s">
        <v>640</v>
      </c>
      <c r="B417" s="290">
        <v>111</v>
      </c>
      <c r="C417" s="290" t="s">
        <v>986</v>
      </c>
      <c r="D417" s="290" t="s">
        <v>986</v>
      </c>
      <c r="E417" s="290">
        <v>21</v>
      </c>
      <c r="F417" s="290" t="s">
        <v>986</v>
      </c>
      <c r="G417" s="290" t="s">
        <v>986</v>
      </c>
      <c r="H417" s="290" t="s">
        <v>986</v>
      </c>
      <c r="I417" s="290" t="s">
        <v>986</v>
      </c>
      <c r="J417" s="290">
        <v>21</v>
      </c>
      <c r="K417" s="290" t="s">
        <v>986</v>
      </c>
      <c r="L417" s="290" t="s">
        <v>986</v>
      </c>
      <c r="M417" s="290" t="s">
        <v>986</v>
      </c>
      <c r="N417" s="290" t="s">
        <v>986</v>
      </c>
      <c r="O417" s="290" t="s">
        <v>986</v>
      </c>
      <c r="P417" s="290" t="s">
        <v>986</v>
      </c>
      <c r="Q417" s="290">
        <v>44</v>
      </c>
      <c r="R417" s="290">
        <v>44</v>
      </c>
      <c r="S417" s="290" t="s">
        <v>986</v>
      </c>
      <c r="T417" s="290">
        <v>223</v>
      </c>
      <c r="U417" s="290">
        <v>223</v>
      </c>
      <c r="V417" s="290" t="s">
        <v>986</v>
      </c>
      <c r="W417" s="295" t="s">
        <v>73</v>
      </c>
    </row>
    <row r="418" spans="1:23" s="290" customFormat="1" ht="9.75" customHeight="1" x14ac:dyDescent="0.15">
      <c r="A418" s="559" t="s">
        <v>641</v>
      </c>
      <c r="B418" s="290">
        <v>126</v>
      </c>
      <c r="C418" s="290" t="s">
        <v>986</v>
      </c>
      <c r="D418" s="290" t="s">
        <v>986</v>
      </c>
      <c r="E418" s="290">
        <v>61</v>
      </c>
      <c r="F418" s="290">
        <v>1</v>
      </c>
      <c r="G418" s="290" t="s">
        <v>986</v>
      </c>
      <c r="H418" s="290" t="s">
        <v>986</v>
      </c>
      <c r="I418" s="290" t="s">
        <v>986</v>
      </c>
      <c r="J418" s="290">
        <v>60</v>
      </c>
      <c r="K418" s="290" t="s">
        <v>986</v>
      </c>
      <c r="L418" s="290" t="s">
        <v>986</v>
      </c>
      <c r="M418" s="290" t="s">
        <v>986</v>
      </c>
      <c r="N418" s="290" t="s">
        <v>986</v>
      </c>
      <c r="O418" s="290" t="s">
        <v>986</v>
      </c>
      <c r="P418" s="290" t="s">
        <v>986</v>
      </c>
      <c r="Q418" s="290">
        <v>51</v>
      </c>
      <c r="R418" s="290">
        <v>51</v>
      </c>
      <c r="S418" s="290" t="s">
        <v>986</v>
      </c>
      <c r="T418" s="290">
        <v>135</v>
      </c>
      <c r="U418" s="290">
        <v>135</v>
      </c>
      <c r="V418" s="290" t="s">
        <v>986</v>
      </c>
      <c r="W418" s="295" t="s">
        <v>74</v>
      </c>
    </row>
    <row r="419" spans="1:23" s="290" customFormat="1" ht="9.75" customHeight="1" x14ac:dyDescent="0.15">
      <c r="A419" s="559" t="s">
        <v>642</v>
      </c>
      <c r="B419" s="290">
        <v>32</v>
      </c>
      <c r="C419" s="290" t="s">
        <v>986</v>
      </c>
      <c r="D419" s="290" t="s">
        <v>986</v>
      </c>
      <c r="E419" s="290">
        <v>25</v>
      </c>
      <c r="F419" s="290" t="s">
        <v>986</v>
      </c>
      <c r="G419" s="290" t="s">
        <v>986</v>
      </c>
      <c r="H419" s="290" t="s">
        <v>986</v>
      </c>
      <c r="I419" s="290" t="s">
        <v>986</v>
      </c>
      <c r="J419" s="290">
        <v>25</v>
      </c>
      <c r="K419" s="290" t="s">
        <v>986</v>
      </c>
      <c r="L419" s="290">
        <v>17</v>
      </c>
      <c r="M419" s="290" t="s">
        <v>986</v>
      </c>
      <c r="N419" s="290" t="s">
        <v>986</v>
      </c>
      <c r="O419" s="290" t="s">
        <v>986</v>
      </c>
      <c r="P419" s="290">
        <v>17</v>
      </c>
      <c r="Q419" s="290">
        <v>64</v>
      </c>
      <c r="R419" s="290">
        <v>64</v>
      </c>
      <c r="S419" s="290" t="s">
        <v>986</v>
      </c>
      <c r="T419" s="290">
        <v>247</v>
      </c>
      <c r="U419" s="290">
        <v>247</v>
      </c>
      <c r="V419" s="290" t="s">
        <v>986</v>
      </c>
      <c r="W419" s="295" t="s">
        <v>75</v>
      </c>
    </row>
    <row r="420" spans="1:23" s="290" customFormat="1" ht="9.75" customHeight="1" x14ac:dyDescent="0.15">
      <c r="A420" s="559" t="s">
        <v>643</v>
      </c>
      <c r="B420" s="290">
        <v>89</v>
      </c>
      <c r="C420" s="290" t="s">
        <v>986</v>
      </c>
      <c r="D420" s="290" t="s">
        <v>986</v>
      </c>
      <c r="E420" s="290">
        <v>9</v>
      </c>
      <c r="F420" s="290" t="s">
        <v>986</v>
      </c>
      <c r="G420" s="290" t="s">
        <v>986</v>
      </c>
      <c r="H420" s="290" t="s">
        <v>986</v>
      </c>
      <c r="I420" s="290" t="s">
        <v>986</v>
      </c>
      <c r="J420" s="290">
        <v>9</v>
      </c>
      <c r="K420" s="290" t="s">
        <v>986</v>
      </c>
      <c r="L420" s="290">
        <v>16</v>
      </c>
      <c r="M420" s="290" t="s">
        <v>986</v>
      </c>
      <c r="N420" s="290" t="s">
        <v>986</v>
      </c>
      <c r="O420" s="290" t="s">
        <v>986</v>
      </c>
      <c r="P420" s="290">
        <v>16</v>
      </c>
      <c r="Q420" s="290">
        <v>48</v>
      </c>
      <c r="R420" s="290">
        <v>48</v>
      </c>
      <c r="S420" s="290" t="s">
        <v>986</v>
      </c>
      <c r="T420" s="290">
        <v>157</v>
      </c>
      <c r="U420" s="290">
        <v>157</v>
      </c>
      <c r="V420" s="290" t="s">
        <v>986</v>
      </c>
      <c r="W420" s="295" t="s">
        <v>88</v>
      </c>
    </row>
    <row r="421" spans="1:23" s="290" customFormat="1" ht="9.75" customHeight="1" x14ac:dyDescent="0.15">
      <c r="A421" s="559" t="s">
        <v>644</v>
      </c>
      <c r="B421" s="290">
        <v>52</v>
      </c>
      <c r="C421" s="290" t="s">
        <v>986</v>
      </c>
      <c r="D421" s="290" t="s">
        <v>986</v>
      </c>
      <c r="E421" s="290">
        <v>34</v>
      </c>
      <c r="F421" s="290" t="s">
        <v>986</v>
      </c>
      <c r="G421" s="290" t="s">
        <v>986</v>
      </c>
      <c r="H421" s="290" t="s">
        <v>986</v>
      </c>
      <c r="I421" s="290" t="s">
        <v>986</v>
      </c>
      <c r="J421" s="290">
        <v>34</v>
      </c>
      <c r="K421" s="290" t="s">
        <v>986</v>
      </c>
      <c r="L421" s="290">
        <v>1</v>
      </c>
      <c r="M421" s="290" t="s">
        <v>986</v>
      </c>
      <c r="N421" s="290" t="s">
        <v>986</v>
      </c>
      <c r="O421" s="290" t="s">
        <v>986</v>
      </c>
      <c r="P421" s="290">
        <v>1</v>
      </c>
      <c r="Q421" s="290">
        <v>50</v>
      </c>
      <c r="R421" s="290">
        <v>50</v>
      </c>
      <c r="S421" s="290" t="s">
        <v>986</v>
      </c>
      <c r="T421" s="290">
        <v>174</v>
      </c>
      <c r="U421" s="290">
        <v>174</v>
      </c>
      <c r="V421" s="290" t="s">
        <v>986</v>
      </c>
      <c r="W421" s="295" t="s">
        <v>89</v>
      </c>
    </row>
    <row r="422" spans="1:23" s="290" customFormat="1" ht="9.75" customHeight="1" x14ac:dyDescent="0.15">
      <c r="A422" s="559" t="s">
        <v>645</v>
      </c>
      <c r="B422" s="290">
        <v>83</v>
      </c>
      <c r="C422" s="290" t="s">
        <v>986</v>
      </c>
      <c r="D422" s="290" t="s">
        <v>986</v>
      </c>
      <c r="E422" s="290">
        <v>21</v>
      </c>
      <c r="F422" s="290" t="s">
        <v>986</v>
      </c>
      <c r="G422" s="290" t="s">
        <v>986</v>
      </c>
      <c r="H422" s="290" t="s">
        <v>986</v>
      </c>
      <c r="I422" s="290" t="s">
        <v>986</v>
      </c>
      <c r="J422" s="290">
        <v>21</v>
      </c>
      <c r="K422" s="290" t="s">
        <v>986</v>
      </c>
      <c r="L422" s="290">
        <v>45</v>
      </c>
      <c r="M422" s="290" t="s">
        <v>986</v>
      </c>
      <c r="N422" s="290">
        <v>13</v>
      </c>
      <c r="O422" s="290" t="s">
        <v>986</v>
      </c>
      <c r="P422" s="290">
        <v>32</v>
      </c>
      <c r="Q422" s="290">
        <v>95</v>
      </c>
      <c r="R422" s="290">
        <v>95</v>
      </c>
      <c r="S422" s="290" t="s">
        <v>986</v>
      </c>
      <c r="T422" s="290">
        <v>236</v>
      </c>
      <c r="U422" s="290">
        <v>236</v>
      </c>
      <c r="V422" s="290" t="s">
        <v>986</v>
      </c>
      <c r="W422" s="295" t="s">
        <v>90</v>
      </c>
    </row>
    <row r="423" spans="1:23" s="290" customFormat="1" ht="9.75" customHeight="1" x14ac:dyDescent="0.15">
      <c r="A423" s="559" t="s">
        <v>646</v>
      </c>
      <c r="B423" s="290">
        <v>99</v>
      </c>
      <c r="C423" s="290" t="s">
        <v>986</v>
      </c>
      <c r="D423" s="290" t="s">
        <v>986</v>
      </c>
      <c r="E423" s="290">
        <v>72</v>
      </c>
      <c r="F423" s="290" t="s">
        <v>986</v>
      </c>
      <c r="G423" s="290" t="s">
        <v>986</v>
      </c>
      <c r="H423" s="290" t="s">
        <v>986</v>
      </c>
      <c r="I423" s="290" t="s">
        <v>986</v>
      </c>
      <c r="J423" s="290">
        <v>72</v>
      </c>
      <c r="K423" s="290" t="s">
        <v>986</v>
      </c>
      <c r="L423" s="290" t="s">
        <v>986</v>
      </c>
      <c r="M423" s="290" t="s">
        <v>986</v>
      </c>
      <c r="N423" s="290" t="s">
        <v>986</v>
      </c>
      <c r="O423" s="290" t="s">
        <v>986</v>
      </c>
      <c r="P423" s="290" t="s">
        <v>986</v>
      </c>
      <c r="Q423" s="290">
        <v>78</v>
      </c>
      <c r="R423" s="290">
        <v>78</v>
      </c>
      <c r="S423" s="290" t="s">
        <v>986</v>
      </c>
      <c r="T423" s="290">
        <v>264</v>
      </c>
      <c r="U423" s="290">
        <v>264</v>
      </c>
      <c r="V423" s="290" t="s">
        <v>986</v>
      </c>
      <c r="W423" s="295" t="s">
        <v>91</v>
      </c>
    </row>
    <row r="424" spans="1:23" s="290" customFormat="1" ht="9.75" customHeight="1" x14ac:dyDescent="0.15">
      <c r="A424" s="559" t="s">
        <v>647</v>
      </c>
      <c r="B424" s="290">
        <v>159</v>
      </c>
      <c r="C424" s="290" t="s">
        <v>986</v>
      </c>
      <c r="D424" s="290" t="s">
        <v>986</v>
      </c>
      <c r="E424" s="290">
        <v>30</v>
      </c>
      <c r="F424" s="290" t="s">
        <v>986</v>
      </c>
      <c r="G424" s="290" t="s">
        <v>986</v>
      </c>
      <c r="H424" s="290" t="s">
        <v>986</v>
      </c>
      <c r="I424" s="290" t="s">
        <v>986</v>
      </c>
      <c r="J424" s="290">
        <v>30</v>
      </c>
      <c r="K424" s="290" t="s">
        <v>986</v>
      </c>
      <c r="L424" s="290">
        <v>32</v>
      </c>
      <c r="M424" s="290" t="s">
        <v>986</v>
      </c>
      <c r="N424" s="290" t="s">
        <v>986</v>
      </c>
      <c r="O424" s="290" t="s">
        <v>986</v>
      </c>
      <c r="P424" s="290">
        <v>32</v>
      </c>
      <c r="Q424" s="290">
        <v>114</v>
      </c>
      <c r="R424" s="290">
        <v>114</v>
      </c>
      <c r="S424" s="290" t="s">
        <v>986</v>
      </c>
      <c r="T424" s="290">
        <v>266</v>
      </c>
      <c r="U424" s="290">
        <v>266</v>
      </c>
      <c r="V424" s="290" t="s">
        <v>986</v>
      </c>
      <c r="W424" s="295" t="s">
        <v>92</v>
      </c>
    </row>
    <row r="425" spans="1:23" s="290" customFormat="1" ht="9.75" customHeight="1" x14ac:dyDescent="0.15">
      <c r="A425" s="559" t="s">
        <v>648</v>
      </c>
      <c r="B425" s="290">
        <v>164</v>
      </c>
      <c r="C425" s="290" t="s">
        <v>986</v>
      </c>
      <c r="D425" s="290" t="s">
        <v>986</v>
      </c>
      <c r="E425" s="290">
        <v>17</v>
      </c>
      <c r="F425" s="290" t="s">
        <v>986</v>
      </c>
      <c r="G425" s="290" t="s">
        <v>986</v>
      </c>
      <c r="H425" s="290" t="s">
        <v>986</v>
      </c>
      <c r="I425" s="290" t="s">
        <v>986</v>
      </c>
      <c r="J425" s="290">
        <v>17</v>
      </c>
      <c r="K425" s="290" t="s">
        <v>986</v>
      </c>
      <c r="L425" s="290" t="s">
        <v>986</v>
      </c>
      <c r="M425" s="290" t="s">
        <v>986</v>
      </c>
      <c r="N425" s="290" t="s">
        <v>986</v>
      </c>
      <c r="O425" s="290" t="s">
        <v>986</v>
      </c>
      <c r="P425" s="290" t="s">
        <v>986</v>
      </c>
      <c r="Q425" s="290">
        <v>16</v>
      </c>
      <c r="R425" s="290">
        <v>16</v>
      </c>
      <c r="S425" s="290" t="s">
        <v>986</v>
      </c>
      <c r="T425" s="290">
        <v>207</v>
      </c>
      <c r="U425" s="290">
        <v>207</v>
      </c>
      <c r="V425" s="290" t="s">
        <v>986</v>
      </c>
      <c r="W425" s="295" t="s">
        <v>76</v>
      </c>
    </row>
    <row r="426" spans="1:23" s="290" customFormat="1" ht="9.75" customHeight="1" x14ac:dyDescent="0.15">
      <c r="A426" s="559" t="s">
        <v>649</v>
      </c>
      <c r="B426" s="290">
        <v>132</v>
      </c>
      <c r="C426" s="290" t="s">
        <v>986</v>
      </c>
      <c r="D426" s="290" t="s">
        <v>986</v>
      </c>
      <c r="E426" s="290">
        <v>10</v>
      </c>
      <c r="F426" s="290" t="s">
        <v>986</v>
      </c>
      <c r="G426" s="290" t="s">
        <v>986</v>
      </c>
      <c r="H426" s="290" t="s">
        <v>986</v>
      </c>
      <c r="I426" s="290" t="s">
        <v>986</v>
      </c>
      <c r="J426" s="290">
        <v>10</v>
      </c>
      <c r="K426" s="290" t="s">
        <v>986</v>
      </c>
      <c r="L426" s="290" t="s">
        <v>986</v>
      </c>
      <c r="M426" s="290" t="s">
        <v>986</v>
      </c>
      <c r="N426" s="290" t="s">
        <v>986</v>
      </c>
      <c r="O426" s="290" t="s">
        <v>986</v>
      </c>
      <c r="P426" s="290" t="s">
        <v>986</v>
      </c>
      <c r="Q426" s="290">
        <v>56</v>
      </c>
      <c r="R426" s="290">
        <v>56</v>
      </c>
      <c r="S426" s="290" t="s">
        <v>986</v>
      </c>
      <c r="T426" s="290">
        <v>192</v>
      </c>
      <c r="U426" s="290">
        <v>192</v>
      </c>
      <c r="V426" s="290" t="s">
        <v>986</v>
      </c>
      <c r="W426" s="295" t="s">
        <v>77</v>
      </c>
    </row>
    <row r="427" spans="1:23" s="290" customFormat="1" ht="9.75" customHeight="1" x14ac:dyDescent="0.15">
      <c r="A427" s="559" t="s">
        <v>650</v>
      </c>
      <c r="B427" s="290">
        <v>150</v>
      </c>
      <c r="C427" s="290" t="s">
        <v>986</v>
      </c>
      <c r="D427" s="290" t="s">
        <v>986</v>
      </c>
      <c r="E427" s="290">
        <v>22</v>
      </c>
      <c r="F427" s="290" t="s">
        <v>986</v>
      </c>
      <c r="G427" s="290" t="s">
        <v>986</v>
      </c>
      <c r="H427" s="290" t="s">
        <v>986</v>
      </c>
      <c r="I427" s="290" t="s">
        <v>986</v>
      </c>
      <c r="J427" s="290">
        <v>22</v>
      </c>
      <c r="K427" s="290" t="s">
        <v>986</v>
      </c>
      <c r="L427" s="290" t="s">
        <v>986</v>
      </c>
      <c r="M427" s="290" t="s">
        <v>986</v>
      </c>
      <c r="N427" s="290" t="s">
        <v>986</v>
      </c>
      <c r="O427" s="290" t="s">
        <v>986</v>
      </c>
      <c r="P427" s="290" t="s">
        <v>986</v>
      </c>
      <c r="Q427" s="290">
        <v>120</v>
      </c>
      <c r="R427" s="290">
        <v>120</v>
      </c>
      <c r="S427" s="290" t="s">
        <v>986</v>
      </c>
      <c r="T427" s="290">
        <v>216</v>
      </c>
      <c r="U427" s="290">
        <v>216</v>
      </c>
      <c r="V427" s="290" t="s">
        <v>986</v>
      </c>
      <c r="W427" s="295" t="s">
        <v>78</v>
      </c>
    </row>
    <row r="428" spans="1:23" s="290" customFormat="1" ht="9.75" customHeight="1" x14ac:dyDescent="0.15">
      <c r="A428" s="559" t="s">
        <v>996</v>
      </c>
      <c r="B428" s="290">
        <v>119</v>
      </c>
      <c r="C428" s="290" t="s">
        <v>986</v>
      </c>
      <c r="D428" s="290" t="s">
        <v>986</v>
      </c>
      <c r="E428" s="290">
        <v>3</v>
      </c>
      <c r="F428" s="290">
        <v>1</v>
      </c>
      <c r="G428" s="290" t="s">
        <v>986</v>
      </c>
      <c r="H428" s="290" t="s">
        <v>986</v>
      </c>
      <c r="I428" s="290" t="s">
        <v>986</v>
      </c>
      <c r="J428" s="290">
        <v>2</v>
      </c>
      <c r="K428" s="290" t="s">
        <v>986</v>
      </c>
      <c r="L428" s="290" t="s">
        <v>986</v>
      </c>
      <c r="M428" s="290" t="s">
        <v>986</v>
      </c>
      <c r="N428" s="290" t="s">
        <v>986</v>
      </c>
      <c r="O428" s="290" t="s">
        <v>986</v>
      </c>
      <c r="P428" s="290" t="s">
        <v>986</v>
      </c>
      <c r="Q428" s="290">
        <v>107</v>
      </c>
      <c r="R428" s="290">
        <v>107</v>
      </c>
      <c r="S428" s="290" t="s">
        <v>986</v>
      </c>
      <c r="T428" s="290">
        <v>166</v>
      </c>
      <c r="U428" s="290">
        <v>166</v>
      </c>
      <c r="V428" s="290" t="s">
        <v>986</v>
      </c>
      <c r="W428" s="295" t="s">
        <v>997</v>
      </c>
    </row>
    <row r="429" spans="1:23" s="290" customFormat="1" ht="9.75" customHeight="1" x14ac:dyDescent="0.15">
      <c r="A429" s="559" t="s">
        <v>651</v>
      </c>
      <c r="B429" s="290">
        <v>190</v>
      </c>
      <c r="C429" s="290" t="s">
        <v>986</v>
      </c>
      <c r="D429" s="290" t="s">
        <v>986</v>
      </c>
      <c r="E429" s="290">
        <v>61</v>
      </c>
      <c r="F429" s="290" t="s">
        <v>986</v>
      </c>
      <c r="G429" s="290" t="s">
        <v>986</v>
      </c>
      <c r="H429" s="290" t="s">
        <v>986</v>
      </c>
      <c r="I429" s="290" t="s">
        <v>986</v>
      </c>
      <c r="J429" s="290">
        <v>61</v>
      </c>
      <c r="K429" s="290" t="s">
        <v>986</v>
      </c>
      <c r="L429" s="290">
        <v>20</v>
      </c>
      <c r="M429" s="290">
        <v>16</v>
      </c>
      <c r="N429" s="290" t="s">
        <v>986</v>
      </c>
      <c r="O429" s="290" t="s">
        <v>986</v>
      </c>
      <c r="P429" s="290">
        <v>4</v>
      </c>
      <c r="Q429" s="290">
        <v>61</v>
      </c>
      <c r="R429" s="290">
        <v>61</v>
      </c>
      <c r="S429" s="290" t="s">
        <v>986</v>
      </c>
      <c r="T429" s="290">
        <v>203</v>
      </c>
      <c r="U429" s="290">
        <v>203</v>
      </c>
      <c r="V429" s="290" t="s">
        <v>986</v>
      </c>
      <c r="W429" s="295" t="s">
        <v>73</v>
      </c>
    </row>
    <row r="430" spans="1:23" s="290" customFormat="1" ht="9.75" customHeight="1" x14ac:dyDescent="0.15">
      <c r="A430" s="560" t="s">
        <v>652</v>
      </c>
      <c r="B430" s="294">
        <v>198</v>
      </c>
      <c r="C430" s="293" t="s">
        <v>986</v>
      </c>
      <c r="D430" s="293" t="s">
        <v>986</v>
      </c>
      <c r="E430" s="293">
        <v>37</v>
      </c>
      <c r="F430" s="293" t="s">
        <v>986</v>
      </c>
      <c r="G430" s="293" t="s">
        <v>986</v>
      </c>
      <c r="H430" s="293" t="s">
        <v>986</v>
      </c>
      <c r="I430" s="293" t="s">
        <v>986</v>
      </c>
      <c r="J430" s="293">
        <v>37</v>
      </c>
      <c r="K430" s="293" t="s">
        <v>986</v>
      </c>
      <c r="L430" s="293" t="s">
        <v>986</v>
      </c>
      <c r="M430" s="293" t="s">
        <v>986</v>
      </c>
      <c r="N430" s="293" t="s">
        <v>986</v>
      </c>
      <c r="O430" s="293" t="s">
        <v>986</v>
      </c>
      <c r="P430" s="293" t="s">
        <v>986</v>
      </c>
      <c r="Q430" s="293">
        <v>128</v>
      </c>
      <c r="R430" s="293">
        <v>105</v>
      </c>
      <c r="S430" s="293">
        <v>23</v>
      </c>
      <c r="T430" s="293">
        <v>221</v>
      </c>
      <c r="U430" s="293">
        <v>221</v>
      </c>
      <c r="V430" s="293" t="s">
        <v>986</v>
      </c>
      <c r="W430" s="291" t="s">
        <v>74</v>
      </c>
    </row>
    <row r="431" spans="1:23" ht="12" customHeight="1" x14ac:dyDescent="0.15"/>
    <row r="432" spans="1:23" ht="12" customHeight="1" x14ac:dyDescent="0.15"/>
    <row r="433" spans="1:23" ht="12" customHeight="1" x14ac:dyDescent="0.15">
      <c r="K433" s="299" t="s">
        <v>93</v>
      </c>
      <c r="V433" s="302" t="s">
        <v>858</v>
      </c>
    </row>
    <row r="434" spans="1:23" s="297" customFormat="1" ht="21" customHeight="1" x14ac:dyDescent="0.15">
      <c r="A434" s="1053" t="s">
        <v>172</v>
      </c>
      <c r="B434" s="832" t="s">
        <v>559</v>
      </c>
      <c r="C434" s="827"/>
      <c r="D434" s="834"/>
      <c r="E434" s="826" t="s">
        <v>279</v>
      </c>
      <c r="F434" s="827"/>
      <c r="G434" s="827"/>
      <c r="H434" s="827"/>
      <c r="I434" s="827"/>
      <c r="J434" s="827"/>
      <c r="K434" s="827"/>
      <c r="L434" s="827"/>
      <c r="M434" s="827"/>
      <c r="N434" s="827"/>
      <c r="O434" s="827"/>
      <c r="P434" s="827"/>
      <c r="Q434" s="827"/>
      <c r="R434" s="827"/>
      <c r="S434" s="827"/>
      <c r="T434" s="827"/>
      <c r="U434" s="827"/>
      <c r="V434" s="827"/>
      <c r="W434" s="1056" t="s">
        <v>79</v>
      </c>
    </row>
    <row r="435" spans="1:23" s="297" customFormat="1" ht="21" customHeight="1" x14ac:dyDescent="0.15">
      <c r="A435" s="1054"/>
      <c r="B435" s="826" t="s">
        <v>265</v>
      </c>
      <c r="C435" s="827"/>
      <c r="D435" s="834"/>
      <c r="E435" s="1059" t="s">
        <v>278</v>
      </c>
      <c r="F435" s="826" t="s">
        <v>265</v>
      </c>
      <c r="G435" s="827"/>
      <c r="H435" s="827"/>
      <c r="I435" s="827"/>
      <c r="J435" s="827"/>
      <c r="K435" s="827"/>
      <c r="L435" s="827"/>
      <c r="M435" s="827"/>
      <c r="N435" s="827"/>
      <c r="O435" s="827"/>
      <c r="P435" s="827"/>
      <c r="Q435" s="827"/>
      <c r="R435" s="834"/>
      <c r="S435" s="826" t="s">
        <v>259</v>
      </c>
      <c r="T435" s="827"/>
      <c r="U435" s="827"/>
      <c r="V435" s="827"/>
      <c r="W435" s="1057"/>
    </row>
    <row r="436" spans="1:23" s="297" customFormat="1" ht="52.5" customHeight="1" x14ac:dyDescent="0.15">
      <c r="A436" s="1055"/>
      <c r="B436" s="696" t="s">
        <v>851</v>
      </c>
      <c r="C436" s="298" t="s">
        <v>852</v>
      </c>
      <c r="D436" s="298" t="s">
        <v>255</v>
      </c>
      <c r="E436" s="1060"/>
      <c r="F436" s="696" t="s">
        <v>851</v>
      </c>
      <c r="G436" s="298" t="s">
        <v>256</v>
      </c>
      <c r="H436" s="298" t="s">
        <v>852</v>
      </c>
      <c r="I436" s="298" t="s">
        <v>271</v>
      </c>
      <c r="J436" s="298" t="s">
        <v>277</v>
      </c>
      <c r="K436" s="298" t="s">
        <v>324</v>
      </c>
      <c r="L436" s="298" t="s">
        <v>276</v>
      </c>
      <c r="M436" s="298" t="s">
        <v>255</v>
      </c>
      <c r="N436" s="298" t="s">
        <v>254</v>
      </c>
      <c r="O436" s="298" t="s">
        <v>303</v>
      </c>
      <c r="P436" s="298" t="s">
        <v>252</v>
      </c>
      <c r="Q436" s="298" t="s">
        <v>281</v>
      </c>
      <c r="R436" s="298" t="s">
        <v>878</v>
      </c>
      <c r="S436" s="696" t="s">
        <v>101</v>
      </c>
      <c r="T436" s="298" t="s">
        <v>145</v>
      </c>
      <c r="U436" s="298" t="s">
        <v>275</v>
      </c>
      <c r="V436" s="300" t="s">
        <v>245</v>
      </c>
      <c r="W436" s="1058"/>
    </row>
    <row r="437" spans="1:23" s="290" customFormat="1" ht="9.75" customHeight="1" x14ac:dyDescent="0.15">
      <c r="A437" s="828" t="s">
        <v>985</v>
      </c>
      <c r="B437" s="829">
        <v>59956</v>
      </c>
      <c r="C437" s="830">
        <v>53953</v>
      </c>
      <c r="D437" s="830">
        <v>6003</v>
      </c>
      <c r="E437" s="830">
        <v>923</v>
      </c>
      <c r="F437" s="830">
        <v>873</v>
      </c>
      <c r="G437" s="830">
        <v>40</v>
      </c>
      <c r="H437" s="830">
        <v>329</v>
      </c>
      <c r="I437" s="830">
        <v>10</v>
      </c>
      <c r="J437" s="830" t="s">
        <v>986</v>
      </c>
      <c r="K437" s="830">
        <v>26</v>
      </c>
      <c r="L437" s="830">
        <v>107</v>
      </c>
      <c r="M437" s="830">
        <v>36</v>
      </c>
      <c r="N437" s="830">
        <v>3</v>
      </c>
      <c r="O437" s="830" t="s">
        <v>986</v>
      </c>
      <c r="P437" s="830">
        <v>214</v>
      </c>
      <c r="Q437" s="830">
        <v>108</v>
      </c>
      <c r="R437" s="830" t="s">
        <v>986</v>
      </c>
      <c r="S437" s="830">
        <v>35</v>
      </c>
      <c r="T437" s="830">
        <v>34</v>
      </c>
      <c r="U437" s="830" t="s">
        <v>986</v>
      </c>
      <c r="V437" s="830" t="s">
        <v>986</v>
      </c>
      <c r="W437" s="831" t="s">
        <v>485</v>
      </c>
    </row>
    <row r="438" spans="1:23" s="290" customFormat="1" ht="9.75" customHeight="1" x14ac:dyDescent="0.15">
      <c r="A438" s="559" t="s">
        <v>634</v>
      </c>
      <c r="B438" s="290">
        <v>23765</v>
      </c>
      <c r="C438" s="290">
        <v>23765</v>
      </c>
      <c r="D438" s="290" t="s">
        <v>986</v>
      </c>
      <c r="E438" s="290">
        <v>633</v>
      </c>
      <c r="F438" s="290">
        <v>588</v>
      </c>
      <c r="G438" s="290">
        <v>27</v>
      </c>
      <c r="H438" s="290">
        <v>307</v>
      </c>
      <c r="I438" s="290">
        <v>5</v>
      </c>
      <c r="J438" s="290" t="s">
        <v>986</v>
      </c>
      <c r="K438" s="290">
        <v>18</v>
      </c>
      <c r="L438" s="290">
        <v>43</v>
      </c>
      <c r="M438" s="290">
        <v>6</v>
      </c>
      <c r="N438" s="290" t="s">
        <v>986</v>
      </c>
      <c r="O438" s="290">
        <v>4</v>
      </c>
      <c r="P438" s="290">
        <v>148</v>
      </c>
      <c r="Q438" s="290">
        <v>30</v>
      </c>
      <c r="R438" s="290" t="s">
        <v>986</v>
      </c>
      <c r="S438" s="290">
        <v>34</v>
      </c>
      <c r="T438" s="290">
        <v>32</v>
      </c>
      <c r="U438" s="290" t="s">
        <v>986</v>
      </c>
      <c r="V438" s="290">
        <v>2</v>
      </c>
      <c r="W438" s="295" t="s">
        <v>588</v>
      </c>
    </row>
    <row r="439" spans="1:23" s="290" customFormat="1" ht="9.75" customHeight="1" x14ac:dyDescent="0.15">
      <c r="A439" s="559" t="s">
        <v>635</v>
      </c>
      <c r="B439" s="290">
        <v>14830</v>
      </c>
      <c r="C439" s="290">
        <v>14830</v>
      </c>
      <c r="D439" s="290" t="s">
        <v>986</v>
      </c>
      <c r="E439" s="290">
        <v>831</v>
      </c>
      <c r="F439" s="290">
        <v>771</v>
      </c>
      <c r="G439" s="290">
        <v>45</v>
      </c>
      <c r="H439" s="290">
        <v>305</v>
      </c>
      <c r="I439" s="290">
        <v>33</v>
      </c>
      <c r="J439" s="290" t="s">
        <v>986</v>
      </c>
      <c r="K439" s="290">
        <v>33</v>
      </c>
      <c r="L439" s="290">
        <v>100</v>
      </c>
      <c r="M439" s="290">
        <v>11</v>
      </c>
      <c r="N439" s="290">
        <v>6</v>
      </c>
      <c r="O439" s="290">
        <v>2</v>
      </c>
      <c r="P439" s="290">
        <v>152</v>
      </c>
      <c r="Q439" s="290">
        <v>84</v>
      </c>
      <c r="R439" s="290" t="s">
        <v>986</v>
      </c>
      <c r="S439" s="290">
        <v>37</v>
      </c>
      <c r="T439" s="290">
        <v>23</v>
      </c>
      <c r="U439" s="290">
        <v>9</v>
      </c>
      <c r="V439" s="290">
        <v>5</v>
      </c>
      <c r="W439" s="295" t="s">
        <v>636</v>
      </c>
    </row>
    <row r="440" spans="1:23" s="290" customFormat="1" ht="9.75" customHeight="1" x14ac:dyDescent="0.15">
      <c r="A440" s="559" t="s">
        <v>774</v>
      </c>
      <c r="B440" s="290">
        <v>11421</v>
      </c>
      <c r="C440" s="290">
        <v>11421</v>
      </c>
      <c r="D440" s="290" t="s">
        <v>986</v>
      </c>
      <c r="E440" s="290">
        <v>677</v>
      </c>
      <c r="F440" s="290">
        <v>610</v>
      </c>
      <c r="G440" s="290">
        <v>26</v>
      </c>
      <c r="H440" s="290">
        <v>139</v>
      </c>
      <c r="I440" s="290">
        <v>51</v>
      </c>
      <c r="J440" s="290" t="s">
        <v>986</v>
      </c>
      <c r="K440" s="290">
        <v>57</v>
      </c>
      <c r="L440" s="290">
        <v>77</v>
      </c>
      <c r="M440" s="290">
        <v>6</v>
      </c>
      <c r="N440" s="290">
        <v>2</v>
      </c>
      <c r="O440" s="290">
        <v>17</v>
      </c>
      <c r="P440" s="290">
        <v>143</v>
      </c>
      <c r="Q440" s="290">
        <v>91</v>
      </c>
      <c r="R440" s="290">
        <v>1</v>
      </c>
      <c r="S440" s="290">
        <v>38</v>
      </c>
      <c r="T440" s="290">
        <v>17</v>
      </c>
      <c r="U440" s="290">
        <v>9</v>
      </c>
      <c r="V440" s="290">
        <v>12</v>
      </c>
      <c r="W440" s="295" t="s">
        <v>775</v>
      </c>
    </row>
    <row r="441" spans="1:23" s="290" customFormat="1" ht="9.75" customHeight="1" x14ac:dyDescent="0.15">
      <c r="A441" s="559" t="s">
        <v>987</v>
      </c>
      <c r="B441" s="290" t="s">
        <v>986</v>
      </c>
      <c r="C441" s="290" t="s">
        <v>986</v>
      </c>
      <c r="D441" s="290" t="s">
        <v>986</v>
      </c>
      <c r="E441" s="290">
        <v>744</v>
      </c>
      <c r="F441" s="290">
        <v>685</v>
      </c>
      <c r="G441" s="290">
        <v>28</v>
      </c>
      <c r="H441" s="290">
        <v>195</v>
      </c>
      <c r="I441" s="290">
        <v>40</v>
      </c>
      <c r="J441" s="290">
        <v>10</v>
      </c>
      <c r="K441" s="290">
        <v>68</v>
      </c>
      <c r="L441" s="290">
        <v>70</v>
      </c>
      <c r="M441" s="290">
        <v>16</v>
      </c>
      <c r="N441" s="290">
        <v>8</v>
      </c>
      <c r="O441" s="290">
        <v>12</v>
      </c>
      <c r="P441" s="290">
        <v>147</v>
      </c>
      <c r="Q441" s="290">
        <v>81</v>
      </c>
      <c r="R441" s="290">
        <v>10</v>
      </c>
      <c r="S441" s="290">
        <v>36</v>
      </c>
      <c r="T441" s="290">
        <v>9</v>
      </c>
      <c r="U441" s="290">
        <v>10</v>
      </c>
      <c r="V441" s="290">
        <v>15</v>
      </c>
      <c r="W441" s="295" t="s">
        <v>988</v>
      </c>
    </row>
    <row r="442" spans="1:23" s="290" customFormat="1" ht="6.75" customHeight="1" x14ac:dyDescent="0.15">
      <c r="A442" s="578"/>
      <c r="W442" s="295"/>
    </row>
    <row r="443" spans="1:23" s="290" customFormat="1" ht="9.75" customHeight="1" x14ac:dyDescent="0.15">
      <c r="A443" s="559" t="s">
        <v>989</v>
      </c>
      <c r="B443" s="290">
        <v>11421</v>
      </c>
      <c r="C443" s="290">
        <v>11421</v>
      </c>
      <c r="D443" s="290" t="s">
        <v>986</v>
      </c>
      <c r="E443" s="290">
        <v>683</v>
      </c>
      <c r="F443" s="290">
        <v>608</v>
      </c>
      <c r="G443" s="290">
        <v>26</v>
      </c>
      <c r="H443" s="290">
        <v>120</v>
      </c>
      <c r="I443" s="290">
        <v>57</v>
      </c>
      <c r="J443" s="290" t="s">
        <v>986</v>
      </c>
      <c r="K443" s="290">
        <v>61</v>
      </c>
      <c r="L443" s="290">
        <v>71</v>
      </c>
      <c r="M443" s="290">
        <v>12</v>
      </c>
      <c r="N443" s="290">
        <v>4</v>
      </c>
      <c r="O443" s="290">
        <v>13</v>
      </c>
      <c r="P443" s="290">
        <v>148</v>
      </c>
      <c r="Q443" s="290">
        <v>95</v>
      </c>
      <c r="R443" s="290">
        <v>1</v>
      </c>
      <c r="S443" s="290">
        <v>45</v>
      </c>
      <c r="T443" s="290">
        <v>18</v>
      </c>
      <c r="U443" s="290">
        <v>14</v>
      </c>
      <c r="V443" s="290">
        <v>12</v>
      </c>
      <c r="W443" s="295" t="s">
        <v>776</v>
      </c>
    </row>
    <row r="444" spans="1:23" s="290" customFormat="1" ht="9.75" customHeight="1" x14ac:dyDescent="0.15">
      <c r="A444" s="559" t="s">
        <v>990</v>
      </c>
      <c r="B444" s="290" t="s">
        <v>986</v>
      </c>
      <c r="C444" s="290" t="s">
        <v>986</v>
      </c>
      <c r="D444" s="290" t="s">
        <v>986</v>
      </c>
      <c r="E444" s="290">
        <v>730</v>
      </c>
      <c r="F444" s="290">
        <v>671</v>
      </c>
      <c r="G444" s="290">
        <v>27</v>
      </c>
      <c r="H444" s="290">
        <v>206</v>
      </c>
      <c r="I444" s="290">
        <v>34</v>
      </c>
      <c r="J444" s="290">
        <v>18</v>
      </c>
      <c r="K444" s="290">
        <v>67</v>
      </c>
      <c r="L444" s="290">
        <v>79</v>
      </c>
      <c r="M444" s="290">
        <v>10</v>
      </c>
      <c r="N444" s="290">
        <v>10</v>
      </c>
      <c r="O444" s="290">
        <v>9</v>
      </c>
      <c r="P444" s="290">
        <v>127</v>
      </c>
      <c r="Q444" s="290">
        <v>74</v>
      </c>
      <c r="R444" s="290">
        <v>10</v>
      </c>
      <c r="S444" s="290">
        <v>36</v>
      </c>
      <c r="T444" s="290">
        <v>4</v>
      </c>
      <c r="U444" s="290">
        <v>16</v>
      </c>
      <c r="V444" s="290">
        <v>15</v>
      </c>
      <c r="W444" s="295" t="s">
        <v>991</v>
      </c>
    </row>
    <row r="445" spans="1:23" s="290" customFormat="1" ht="6.75" customHeight="1" x14ac:dyDescent="0.15">
      <c r="A445" s="578"/>
      <c r="W445" s="295"/>
    </row>
    <row r="446" spans="1:23" s="290" customFormat="1" ht="9.75" customHeight="1" x14ac:dyDescent="0.15">
      <c r="A446" s="559" t="s">
        <v>992</v>
      </c>
      <c r="B446" s="290" t="s">
        <v>986</v>
      </c>
      <c r="C446" s="290" t="s">
        <v>986</v>
      </c>
      <c r="D446" s="290" t="s">
        <v>986</v>
      </c>
      <c r="E446" s="290">
        <v>182</v>
      </c>
      <c r="F446" s="290">
        <v>165</v>
      </c>
      <c r="G446" s="290">
        <v>4</v>
      </c>
      <c r="H446" s="290">
        <v>31</v>
      </c>
      <c r="I446" s="290">
        <v>16</v>
      </c>
      <c r="J446" s="290" t="s">
        <v>986</v>
      </c>
      <c r="K446" s="290">
        <v>20</v>
      </c>
      <c r="L446" s="290">
        <v>15</v>
      </c>
      <c r="M446" s="290">
        <v>6</v>
      </c>
      <c r="N446" s="290">
        <v>2</v>
      </c>
      <c r="O446" s="290">
        <v>3</v>
      </c>
      <c r="P446" s="290">
        <v>43</v>
      </c>
      <c r="Q446" s="290">
        <v>25</v>
      </c>
      <c r="R446" s="290" t="s">
        <v>986</v>
      </c>
      <c r="S446" s="290">
        <v>11</v>
      </c>
      <c r="T446" s="290">
        <v>5</v>
      </c>
      <c r="U446" s="290">
        <v>5</v>
      </c>
      <c r="V446" s="290" t="s">
        <v>986</v>
      </c>
      <c r="W446" s="295" t="s">
        <v>777</v>
      </c>
    </row>
    <row r="447" spans="1:23" s="290" customFormat="1" ht="9.75" customHeight="1" x14ac:dyDescent="0.15">
      <c r="A447" s="559" t="s">
        <v>637</v>
      </c>
      <c r="B447" s="290" t="s">
        <v>986</v>
      </c>
      <c r="C447" s="290" t="s">
        <v>986</v>
      </c>
      <c r="D447" s="290" t="s">
        <v>986</v>
      </c>
      <c r="E447" s="290">
        <v>165</v>
      </c>
      <c r="F447" s="290">
        <v>151</v>
      </c>
      <c r="G447" s="290">
        <v>13</v>
      </c>
      <c r="H447" s="290">
        <v>53</v>
      </c>
      <c r="I447" s="290">
        <v>2</v>
      </c>
      <c r="J447" s="290" t="s">
        <v>986</v>
      </c>
      <c r="K447" s="290">
        <v>12</v>
      </c>
      <c r="L447" s="290">
        <v>14</v>
      </c>
      <c r="M447" s="290">
        <v>2</v>
      </c>
      <c r="N447" s="290">
        <v>2</v>
      </c>
      <c r="O447" s="290" t="s">
        <v>986</v>
      </c>
      <c r="P447" s="290">
        <v>42</v>
      </c>
      <c r="Q447" s="290">
        <v>5</v>
      </c>
      <c r="R447" s="290">
        <v>6</v>
      </c>
      <c r="S447" s="290">
        <v>10</v>
      </c>
      <c r="T447" s="290">
        <v>3</v>
      </c>
      <c r="U447" s="290">
        <v>1</v>
      </c>
      <c r="V447" s="290">
        <v>5</v>
      </c>
      <c r="W447" s="295" t="s">
        <v>85</v>
      </c>
    </row>
    <row r="448" spans="1:23" s="290" customFormat="1" ht="9.75" customHeight="1" x14ac:dyDescent="0.15">
      <c r="A448" s="559" t="s">
        <v>638</v>
      </c>
      <c r="B448" s="290" t="s">
        <v>986</v>
      </c>
      <c r="C448" s="290" t="s">
        <v>986</v>
      </c>
      <c r="D448" s="290" t="s">
        <v>986</v>
      </c>
      <c r="E448" s="290">
        <v>217</v>
      </c>
      <c r="F448" s="290">
        <v>204</v>
      </c>
      <c r="G448" s="290">
        <v>4</v>
      </c>
      <c r="H448" s="290">
        <v>78</v>
      </c>
      <c r="I448" s="290">
        <v>12</v>
      </c>
      <c r="J448" s="290">
        <v>10</v>
      </c>
      <c r="K448" s="290">
        <v>16</v>
      </c>
      <c r="L448" s="290">
        <v>21</v>
      </c>
      <c r="M448" s="290">
        <v>5</v>
      </c>
      <c r="N448" s="290" t="s">
        <v>986</v>
      </c>
      <c r="O448" s="290">
        <v>3</v>
      </c>
      <c r="P448" s="290">
        <v>26</v>
      </c>
      <c r="Q448" s="290">
        <v>25</v>
      </c>
      <c r="R448" s="290">
        <v>4</v>
      </c>
      <c r="S448" s="290">
        <v>5</v>
      </c>
      <c r="T448" s="290">
        <v>1</v>
      </c>
      <c r="U448" s="290">
        <v>4</v>
      </c>
      <c r="V448" s="290" t="s">
        <v>986</v>
      </c>
      <c r="W448" s="295" t="s">
        <v>86</v>
      </c>
    </row>
    <row r="449" spans="1:23" s="290" customFormat="1" ht="9.75" customHeight="1" x14ac:dyDescent="0.15">
      <c r="A449" s="559" t="s">
        <v>639</v>
      </c>
      <c r="B449" s="290" t="s">
        <v>986</v>
      </c>
      <c r="C449" s="290" t="s">
        <v>986</v>
      </c>
      <c r="D449" s="290" t="s">
        <v>986</v>
      </c>
      <c r="E449" s="290">
        <v>180</v>
      </c>
      <c r="F449" s="290">
        <v>165</v>
      </c>
      <c r="G449" s="290">
        <v>7</v>
      </c>
      <c r="H449" s="290">
        <v>33</v>
      </c>
      <c r="I449" s="290">
        <v>10</v>
      </c>
      <c r="J449" s="290" t="s">
        <v>986</v>
      </c>
      <c r="K449" s="290">
        <v>20</v>
      </c>
      <c r="L449" s="290">
        <v>20</v>
      </c>
      <c r="M449" s="290">
        <v>3</v>
      </c>
      <c r="N449" s="290">
        <v>4</v>
      </c>
      <c r="O449" s="290">
        <v>6</v>
      </c>
      <c r="P449" s="290">
        <v>36</v>
      </c>
      <c r="Q449" s="290">
        <v>26</v>
      </c>
      <c r="R449" s="290" t="s">
        <v>986</v>
      </c>
      <c r="S449" s="290">
        <v>10</v>
      </c>
      <c r="T449" s="290" t="s">
        <v>986</v>
      </c>
      <c r="U449" s="290" t="s">
        <v>986</v>
      </c>
      <c r="V449" s="290">
        <v>10</v>
      </c>
      <c r="W449" s="295" t="s">
        <v>87</v>
      </c>
    </row>
    <row r="450" spans="1:23" s="290" customFormat="1" ht="9.75" customHeight="1" x14ac:dyDescent="0.15">
      <c r="A450" s="559" t="s">
        <v>993</v>
      </c>
      <c r="B450" s="290" t="s">
        <v>986</v>
      </c>
      <c r="C450" s="290" t="s">
        <v>986</v>
      </c>
      <c r="D450" s="290" t="s">
        <v>986</v>
      </c>
      <c r="E450" s="290">
        <v>168</v>
      </c>
      <c r="F450" s="290">
        <v>151</v>
      </c>
      <c r="G450" s="290">
        <v>3</v>
      </c>
      <c r="H450" s="290">
        <v>42</v>
      </c>
      <c r="I450" s="290">
        <v>10</v>
      </c>
      <c r="J450" s="290">
        <v>8</v>
      </c>
      <c r="K450" s="290">
        <v>19</v>
      </c>
      <c r="L450" s="290">
        <v>24</v>
      </c>
      <c r="M450" s="290" t="s">
        <v>986</v>
      </c>
      <c r="N450" s="290">
        <v>4</v>
      </c>
      <c r="O450" s="290" t="s">
        <v>986</v>
      </c>
      <c r="P450" s="290">
        <v>23</v>
      </c>
      <c r="Q450" s="290">
        <v>18</v>
      </c>
      <c r="R450" s="290" t="s">
        <v>986</v>
      </c>
      <c r="S450" s="290">
        <v>11</v>
      </c>
      <c r="T450" s="290" t="s">
        <v>986</v>
      </c>
      <c r="U450" s="290">
        <v>11</v>
      </c>
      <c r="V450" s="290" t="s">
        <v>986</v>
      </c>
      <c r="W450" s="295" t="s">
        <v>994</v>
      </c>
    </row>
    <row r="451" spans="1:23" s="290" customFormat="1" ht="6.75" customHeight="1" x14ac:dyDescent="0.15">
      <c r="A451" s="578"/>
      <c r="W451" s="295"/>
    </row>
    <row r="452" spans="1:23" s="290" customFormat="1" ht="9.75" customHeight="1" x14ac:dyDescent="0.15">
      <c r="A452" s="559" t="s">
        <v>995</v>
      </c>
      <c r="B452" s="290" t="s">
        <v>986</v>
      </c>
      <c r="C452" s="290" t="s">
        <v>986</v>
      </c>
      <c r="D452" s="290" t="s">
        <v>986</v>
      </c>
      <c r="E452" s="290">
        <v>51</v>
      </c>
      <c r="F452" s="290">
        <v>48</v>
      </c>
      <c r="G452" s="290" t="s">
        <v>986</v>
      </c>
      <c r="H452" s="290">
        <v>3</v>
      </c>
      <c r="I452" s="290">
        <v>10</v>
      </c>
      <c r="J452" s="290" t="s">
        <v>986</v>
      </c>
      <c r="K452" s="290">
        <v>8</v>
      </c>
      <c r="L452" s="290">
        <v>7</v>
      </c>
      <c r="M452" s="290">
        <v>3</v>
      </c>
      <c r="N452" s="290" t="s">
        <v>986</v>
      </c>
      <c r="O452" s="290" t="s">
        <v>986</v>
      </c>
      <c r="P452" s="290">
        <v>11</v>
      </c>
      <c r="Q452" s="290">
        <v>6</v>
      </c>
      <c r="R452" s="290" t="s">
        <v>986</v>
      </c>
      <c r="S452" s="290">
        <v>2</v>
      </c>
      <c r="T452" s="290">
        <v>1</v>
      </c>
      <c r="U452" s="290">
        <v>1</v>
      </c>
      <c r="V452" s="290" t="s">
        <v>986</v>
      </c>
      <c r="W452" s="295" t="s">
        <v>778</v>
      </c>
    </row>
    <row r="453" spans="1:23" s="290" customFormat="1" ht="9.75" customHeight="1" x14ac:dyDescent="0.15">
      <c r="A453" s="559" t="s">
        <v>640</v>
      </c>
      <c r="B453" s="290" t="s">
        <v>986</v>
      </c>
      <c r="C453" s="290" t="s">
        <v>986</v>
      </c>
      <c r="D453" s="290" t="s">
        <v>986</v>
      </c>
      <c r="E453" s="290">
        <v>46</v>
      </c>
      <c r="F453" s="290">
        <v>39</v>
      </c>
      <c r="G453" s="290">
        <v>3</v>
      </c>
      <c r="H453" s="290">
        <v>1</v>
      </c>
      <c r="I453" s="290">
        <v>6</v>
      </c>
      <c r="J453" s="290" t="s">
        <v>986</v>
      </c>
      <c r="K453" s="290">
        <v>3</v>
      </c>
      <c r="L453" s="290">
        <v>5</v>
      </c>
      <c r="M453" s="290" t="s">
        <v>986</v>
      </c>
      <c r="N453" s="290">
        <v>1</v>
      </c>
      <c r="O453" s="290" t="s">
        <v>986</v>
      </c>
      <c r="P453" s="290">
        <v>11</v>
      </c>
      <c r="Q453" s="290">
        <v>9</v>
      </c>
      <c r="R453" s="290" t="s">
        <v>986</v>
      </c>
      <c r="S453" s="290">
        <v>2</v>
      </c>
      <c r="T453" s="290">
        <v>2</v>
      </c>
      <c r="U453" s="290" t="s">
        <v>986</v>
      </c>
      <c r="V453" s="290" t="s">
        <v>986</v>
      </c>
      <c r="W453" s="295" t="s">
        <v>73</v>
      </c>
    </row>
    <row r="454" spans="1:23" s="290" customFormat="1" ht="9.75" customHeight="1" x14ac:dyDescent="0.15">
      <c r="A454" s="559" t="s">
        <v>641</v>
      </c>
      <c r="B454" s="290" t="s">
        <v>986</v>
      </c>
      <c r="C454" s="290" t="s">
        <v>986</v>
      </c>
      <c r="D454" s="290" t="s">
        <v>986</v>
      </c>
      <c r="E454" s="290">
        <v>85</v>
      </c>
      <c r="F454" s="290">
        <v>78</v>
      </c>
      <c r="G454" s="290">
        <v>1</v>
      </c>
      <c r="H454" s="290">
        <v>27</v>
      </c>
      <c r="I454" s="290" t="s">
        <v>986</v>
      </c>
      <c r="J454" s="290" t="s">
        <v>986</v>
      </c>
      <c r="K454" s="290">
        <v>9</v>
      </c>
      <c r="L454" s="290">
        <v>3</v>
      </c>
      <c r="M454" s="290">
        <v>3</v>
      </c>
      <c r="N454" s="290">
        <v>1</v>
      </c>
      <c r="O454" s="290">
        <v>3</v>
      </c>
      <c r="P454" s="290">
        <v>21</v>
      </c>
      <c r="Q454" s="290">
        <v>10</v>
      </c>
      <c r="R454" s="290" t="s">
        <v>986</v>
      </c>
      <c r="S454" s="290">
        <v>7</v>
      </c>
      <c r="T454" s="290">
        <v>2</v>
      </c>
      <c r="U454" s="290">
        <v>4</v>
      </c>
      <c r="V454" s="290" t="s">
        <v>986</v>
      </c>
      <c r="W454" s="295" t="s">
        <v>74</v>
      </c>
    </row>
    <row r="455" spans="1:23" s="290" customFormat="1" ht="9.75" customHeight="1" x14ac:dyDescent="0.15">
      <c r="A455" s="559" t="s">
        <v>642</v>
      </c>
      <c r="B455" s="290" t="s">
        <v>986</v>
      </c>
      <c r="C455" s="290" t="s">
        <v>986</v>
      </c>
      <c r="D455" s="290" t="s">
        <v>986</v>
      </c>
      <c r="E455" s="290">
        <v>61</v>
      </c>
      <c r="F455" s="290">
        <v>56</v>
      </c>
      <c r="G455" s="290" t="s">
        <v>986</v>
      </c>
      <c r="H455" s="290">
        <v>21</v>
      </c>
      <c r="I455" s="290" t="s">
        <v>986</v>
      </c>
      <c r="J455" s="290" t="s">
        <v>986</v>
      </c>
      <c r="K455" s="290">
        <v>12</v>
      </c>
      <c r="L455" s="290">
        <v>7</v>
      </c>
      <c r="M455" s="290" t="s">
        <v>986</v>
      </c>
      <c r="N455" s="290">
        <v>1</v>
      </c>
      <c r="O455" s="290" t="s">
        <v>986</v>
      </c>
      <c r="P455" s="290">
        <v>14</v>
      </c>
      <c r="Q455" s="290">
        <v>1</v>
      </c>
      <c r="R455" s="290" t="s">
        <v>986</v>
      </c>
      <c r="S455" s="290">
        <v>3</v>
      </c>
      <c r="T455" s="290">
        <v>1</v>
      </c>
      <c r="U455" s="290">
        <v>1</v>
      </c>
      <c r="V455" s="290" t="s">
        <v>986</v>
      </c>
      <c r="W455" s="295" t="s">
        <v>75</v>
      </c>
    </row>
    <row r="456" spans="1:23" s="290" customFormat="1" ht="9.75" customHeight="1" x14ac:dyDescent="0.15">
      <c r="A456" s="559" t="s">
        <v>643</v>
      </c>
      <c r="B456" s="290" t="s">
        <v>986</v>
      </c>
      <c r="C456" s="290" t="s">
        <v>986</v>
      </c>
      <c r="D456" s="290" t="s">
        <v>986</v>
      </c>
      <c r="E456" s="290">
        <v>41</v>
      </c>
      <c r="F456" s="290">
        <v>39</v>
      </c>
      <c r="G456" s="290" t="s">
        <v>986</v>
      </c>
      <c r="H456" s="290">
        <v>11</v>
      </c>
      <c r="I456" s="290" t="s">
        <v>986</v>
      </c>
      <c r="J456" s="290" t="s">
        <v>986</v>
      </c>
      <c r="K456" s="290" t="s">
        <v>986</v>
      </c>
      <c r="L456" s="290">
        <v>3</v>
      </c>
      <c r="M456" s="290">
        <v>2</v>
      </c>
      <c r="N456" s="290">
        <v>1</v>
      </c>
      <c r="O456" s="290" t="s">
        <v>986</v>
      </c>
      <c r="P456" s="290">
        <v>19</v>
      </c>
      <c r="Q456" s="290" t="s">
        <v>986</v>
      </c>
      <c r="R456" s="290">
        <v>3</v>
      </c>
      <c r="S456" s="290">
        <v>1</v>
      </c>
      <c r="T456" s="290">
        <v>1</v>
      </c>
      <c r="U456" s="290" t="s">
        <v>986</v>
      </c>
      <c r="V456" s="290" t="s">
        <v>986</v>
      </c>
      <c r="W456" s="295" t="s">
        <v>88</v>
      </c>
    </row>
    <row r="457" spans="1:23" s="290" customFormat="1" ht="9.75" customHeight="1" x14ac:dyDescent="0.15">
      <c r="A457" s="559" t="s">
        <v>644</v>
      </c>
      <c r="B457" s="290" t="s">
        <v>986</v>
      </c>
      <c r="C457" s="290" t="s">
        <v>986</v>
      </c>
      <c r="D457" s="290" t="s">
        <v>986</v>
      </c>
      <c r="E457" s="290">
        <v>63</v>
      </c>
      <c r="F457" s="290">
        <v>56</v>
      </c>
      <c r="G457" s="290">
        <v>13</v>
      </c>
      <c r="H457" s="290">
        <v>21</v>
      </c>
      <c r="I457" s="290">
        <v>2</v>
      </c>
      <c r="J457" s="290" t="s">
        <v>986</v>
      </c>
      <c r="K457" s="290" t="s">
        <v>986</v>
      </c>
      <c r="L457" s="290">
        <v>4</v>
      </c>
      <c r="M457" s="290" t="s">
        <v>986</v>
      </c>
      <c r="N457" s="290" t="s">
        <v>986</v>
      </c>
      <c r="O457" s="290" t="s">
        <v>986</v>
      </c>
      <c r="P457" s="290">
        <v>9</v>
      </c>
      <c r="Q457" s="290">
        <v>4</v>
      </c>
      <c r="R457" s="290">
        <v>3</v>
      </c>
      <c r="S457" s="290">
        <v>6</v>
      </c>
      <c r="T457" s="290">
        <v>1</v>
      </c>
      <c r="U457" s="290" t="s">
        <v>986</v>
      </c>
      <c r="V457" s="290">
        <v>5</v>
      </c>
      <c r="W457" s="295" t="s">
        <v>89</v>
      </c>
    </row>
    <row r="458" spans="1:23" s="290" customFormat="1" ht="9.75" customHeight="1" x14ac:dyDescent="0.15">
      <c r="A458" s="559" t="s">
        <v>645</v>
      </c>
      <c r="B458" s="290" t="s">
        <v>986</v>
      </c>
      <c r="C458" s="290" t="s">
        <v>986</v>
      </c>
      <c r="D458" s="290" t="s">
        <v>986</v>
      </c>
      <c r="E458" s="290">
        <v>93</v>
      </c>
      <c r="F458" s="290">
        <v>88</v>
      </c>
      <c r="G458" s="290" t="s">
        <v>986</v>
      </c>
      <c r="H458" s="290">
        <v>23</v>
      </c>
      <c r="I458" s="290">
        <v>10</v>
      </c>
      <c r="J458" s="290">
        <v>10</v>
      </c>
      <c r="K458" s="290">
        <v>12</v>
      </c>
      <c r="L458" s="290">
        <v>11</v>
      </c>
      <c r="M458" s="290">
        <v>3</v>
      </c>
      <c r="N458" s="290" t="s">
        <v>986</v>
      </c>
      <c r="O458" s="290">
        <v>3</v>
      </c>
      <c r="P458" s="290">
        <v>4</v>
      </c>
      <c r="Q458" s="290">
        <v>8</v>
      </c>
      <c r="R458" s="290">
        <v>4</v>
      </c>
      <c r="S458" s="290" t="s">
        <v>986</v>
      </c>
      <c r="T458" s="290" t="s">
        <v>986</v>
      </c>
      <c r="U458" s="290" t="s">
        <v>986</v>
      </c>
      <c r="V458" s="290" t="s">
        <v>986</v>
      </c>
      <c r="W458" s="295" t="s">
        <v>90</v>
      </c>
    </row>
    <row r="459" spans="1:23" s="290" customFormat="1" ht="9.75" customHeight="1" x14ac:dyDescent="0.15">
      <c r="A459" s="559" t="s">
        <v>646</v>
      </c>
      <c r="B459" s="290" t="s">
        <v>986</v>
      </c>
      <c r="C459" s="290" t="s">
        <v>986</v>
      </c>
      <c r="D459" s="290" t="s">
        <v>986</v>
      </c>
      <c r="E459" s="290">
        <v>59</v>
      </c>
      <c r="F459" s="290">
        <v>54</v>
      </c>
      <c r="G459" s="290">
        <v>4</v>
      </c>
      <c r="H459" s="290">
        <v>28</v>
      </c>
      <c r="I459" s="290">
        <v>1</v>
      </c>
      <c r="J459" s="290" t="s">
        <v>986</v>
      </c>
      <c r="K459" s="290" t="s">
        <v>986</v>
      </c>
      <c r="L459" s="290">
        <v>5</v>
      </c>
      <c r="M459" s="290" t="s">
        <v>986</v>
      </c>
      <c r="N459" s="290" t="s">
        <v>986</v>
      </c>
      <c r="O459" s="290" t="s">
        <v>986</v>
      </c>
      <c r="P459" s="290">
        <v>13</v>
      </c>
      <c r="Q459" s="290">
        <v>3</v>
      </c>
      <c r="R459" s="290" t="s">
        <v>986</v>
      </c>
      <c r="S459" s="290">
        <v>4</v>
      </c>
      <c r="T459" s="290" t="s">
        <v>986</v>
      </c>
      <c r="U459" s="290">
        <v>4</v>
      </c>
      <c r="V459" s="290" t="s">
        <v>986</v>
      </c>
      <c r="W459" s="295" t="s">
        <v>91</v>
      </c>
    </row>
    <row r="460" spans="1:23" s="290" customFormat="1" ht="9.75" customHeight="1" x14ac:dyDescent="0.15">
      <c r="A460" s="559" t="s">
        <v>647</v>
      </c>
      <c r="B460" s="290" t="s">
        <v>986</v>
      </c>
      <c r="C460" s="290" t="s">
        <v>986</v>
      </c>
      <c r="D460" s="290" t="s">
        <v>986</v>
      </c>
      <c r="E460" s="290">
        <v>65</v>
      </c>
      <c r="F460" s="290">
        <v>62</v>
      </c>
      <c r="G460" s="290" t="s">
        <v>986</v>
      </c>
      <c r="H460" s="290">
        <v>27</v>
      </c>
      <c r="I460" s="290">
        <v>1</v>
      </c>
      <c r="J460" s="290" t="s">
        <v>986</v>
      </c>
      <c r="K460" s="290">
        <v>4</v>
      </c>
      <c r="L460" s="290">
        <v>5</v>
      </c>
      <c r="M460" s="290">
        <v>2</v>
      </c>
      <c r="N460" s="290" t="s">
        <v>986</v>
      </c>
      <c r="O460" s="290" t="s">
        <v>986</v>
      </c>
      <c r="P460" s="290">
        <v>9</v>
      </c>
      <c r="Q460" s="290">
        <v>14</v>
      </c>
      <c r="R460" s="290" t="s">
        <v>986</v>
      </c>
      <c r="S460" s="290">
        <v>1</v>
      </c>
      <c r="T460" s="290">
        <v>1</v>
      </c>
      <c r="U460" s="290" t="s">
        <v>986</v>
      </c>
      <c r="V460" s="290" t="s">
        <v>986</v>
      </c>
      <c r="W460" s="295" t="s">
        <v>92</v>
      </c>
    </row>
    <row r="461" spans="1:23" s="290" customFormat="1" ht="9.75" customHeight="1" x14ac:dyDescent="0.15">
      <c r="A461" s="559" t="s">
        <v>648</v>
      </c>
      <c r="B461" s="290" t="s">
        <v>986</v>
      </c>
      <c r="C461" s="290" t="s">
        <v>986</v>
      </c>
      <c r="D461" s="290" t="s">
        <v>986</v>
      </c>
      <c r="E461" s="290">
        <v>63</v>
      </c>
      <c r="F461" s="290">
        <v>50</v>
      </c>
      <c r="G461" s="290" t="s">
        <v>986</v>
      </c>
      <c r="H461" s="290">
        <v>5</v>
      </c>
      <c r="I461" s="290">
        <v>7</v>
      </c>
      <c r="J461" s="290" t="s">
        <v>986</v>
      </c>
      <c r="K461" s="290">
        <v>11</v>
      </c>
      <c r="L461" s="290">
        <v>7</v>
      </c>
      <c r="M461" s="290" t="s">
        <v>986</v>
      </c>
      <c r="N461" s="290">
        <v>1</v>
      </c>
      <c r="O461" s="290">
        <v>2</v>
      </c>
      <c r="P461" s="290">
        <v>4</v>
      </c>
      <c r="Q461" s="290">
        <v>13</v>
      </c>
      <c r="R461" s="290" t="s">
        <v>986</v>
      </c>
      <c r="S461" s="290">
        <v>10</v>
      </c>
      <c r="T461" s="290" t="s">
        <v>986</v>
      </c>
      <c r="U461" s="290" t="s">
        <v>986</v>
      </c>
      <c r="V461" s="290">
        <v>10</v>
      </c>
      <c r="W461" s="295" t="s">
        <v>76</v>
      </c>
    </row>
    <row r="462" spans="1:23" s="290" customFormat="1" ht="9.75" customHeight="1" x14ac:dyDescent="0.15">
      <c r="A462" s="559" t="s">
        <v>649</v>
      </c>
      <c r="B462" s="290" t="s">
        <v>986</v>
      </c>
      <c r="C462" s="290" t="s">
        <v>986</v>
      </c>
      <c r="D462" s="290" t="s">
        <v>986</v>
      </c>
      <c r="E462" s="290">
        <v>60</v>
      </c>
      <c r="F462" s="290">
        <v>58</v>
      </c>
      <c r="G462" s="290">
        <v>7</v>
      </c>
      <c r="H462" s="290">
        <v>16</v>
      </c>
      <c r="I462" s="290">
        <v>2</v>
      </c>
      <c r="J462" s="290" t="s">
        <v>986</v>
      </c>
      <c r="K462" s="290" t="s">
        <v>986</v>
      </c>
      <c r="L462" s="290">
        <v>9</v>
      </c>
      <c r="M462" s="290">
        <v>3</v>
      </c>
      <c r="N462" s="290">
        <v>1</v>
      </c>
      <c r="O462" s="290">
        <v>4</v>
      </c>
      <c r="P462" s="290">
        <v>13</v>
      </c>
      <c r="Q462" s="290">
        <v>3</v>
      </c>
      <c r="R462" s="290" t="s">
        <v>986</v>
      </c>
      <c r="S462" s="290" t="s">
        <v>986</v>
      </c>
      <c r="T462" s="290" t="s">
        <v>986</v>
      </c>
      <c r="U462" s="290" t="s">
        <v>986</v>
      </c>
      <c r="V462" s="290" t="s">
        <v>986</v>
      </c>
      <c r="W462" s="295" t="s">
        <v>77</v>
      </c>
    </row>
    <row r="463" spans="1:23" s="290" customFormat="1" ht="9.75" customHeight="1" x14ac:dyDescent="0.15">
      <c r="A463" s="559" t="s">
        <v>650</v>
      </c>
      <c r="B463" s="290" t="s">
        <v>986</v>
      </c>
      <c r="C463" s="290" t="s">
        <v>986</v>
      </c>
      <c r="D463" s="290" t="s">
        <v>986</v>
      </c>
      <c r="E463" s="290">
        <v>57</v>
      </c>
      <c r="F463" s="290">
        <v>57</v>
      </c>
      <c r="G463" s="290" t="s">
        <v>986</v>
      </c>
      <c r="H463" s="290">
        <v>12</v>
      </c>
      <c r="I463" s="290">
        <v>1</v>
      </c>
      <c r="J463" s="290" t="s">
        <v>986</v>
      </c>
      <c r="K463" s="290">
        <v>9</v>
      </c>
      <c r="L463" s="290">
        <v>4</v>
      </c>
      <c r="M463" s="290" t="s">
        <v>986</v>
      </c>
      <c r="N463" s="290">
        <v>2</v>
      </c>
      <c r="O463" s="290" t="s">
        <v>986</v>
      </c>
      <c r="P463" s="290">
        <v>19</v>
      </c>
      <c r="Q463" s="290">
        <v>10</v>
      </c>
      <c r="R463" s="290" t="s">
        <v>986</v>
      </c>
      <c r="S463" s="290" t="s">
        <v>986</v>
      </c>
      <c r="T463" s="290" t="s">
        <v>986</v>
      </c>
      <c r="U463" s="290" t="s">
        <v>986</v>
      </c>
      <c r="V463" s="290" t="s">
        <v>986</v>
      </c>
      <c r="W463" s="295" t="s">
        <v>78</v>
      </c>
    </row>
    <row r="464" spans="1:23" s="290" customFormat="1" ht="9.75" customHeight="1" x14ac:dyDescent="0.15">
      <c r="A464" s="559" t="s">
        <v>996</v>
      </c>
      <c r="B464" s="290" t="s">
        <v>986</v>
      </c>
      <c r="C464" s="290" t="s">
        <v>986</v>
      </c>
      <c r="D464" s="290" t="s">
        <v>986</v>
      </c>
      <c r="E464" s="290">
        <v>49</v>
      </c>
      <c r="F464" s="290">
        <v>34</v>
      </c>
      <c r="G464" s="290" t="s">
        <v>986</v>
      </c>
      <c r="H464" s="290">
        <v>6</v>
      </c>
      <c r="I464" s="290">
        <v>8</v>
      </c>
      <c r="J464" s="290" t="s">
        <v>986</v>
      </c>
      <c r="K464" s="290" t="s">
        <v>986</v>
      </c>
      <c r="L464" s="290">
        <v>2</v>
      </c>
      <c r="M464" s="290" t="s">
        <v>986</v>
      </c>
      <c r="N464" s="290">
        <v>1</v>
      </c>
      <c r="O464" s="290" t="s">
        <v>986</v>
      </c>
      <c r="P464" s="290">
        <v>12</v>
      </c>
      <c r="Q464" s="290">
        <v>5</v>
      </c>
      <c r="R464" s="290" t="s">
        <v>986</v>
      </c>
      <c r="S464" s="290">
        <v>11</v>
      </c>
      <c r="T464" s="290" t="s">
        <v>986</v>
      </c>
      <c r="U464" s="290">
        <v>11</v>
      </c>
      <c r="V464" s="290" t="s">
        <v>986</v>
      </c>
      <c r="W464" s="295" t="s">
        <v>997</v>
      </c>
    </row>
    <row r="465" spans="1:23" s="290" customFormat="1" ht="9.75" customHeight="1" x14ac:dyDescent="0.15">
      <c r="A465" s="559" t="s">
        <v>651</v>
      </c>
      <c r="B465" s="290" t="s">
        <v>986</v>
      </c>
      <c r="C465" s="290" t="s">
        <v>986</v>
      </c>
      <c r="D465" s="290" t="s">
        <v>986</v>
      </c>
      <c r="E465" s="290">
        <v>76</v>
      </c>
      <c r="F465" s="290">
        <v>76</v>
      </c>
      <c r="G465" s="290" t="s">
        <v>986</v>
      </c>
      <c r="H465" s="290">
        <v>27</v>
      </c>
      <c r="I465" s="290">
        <v>1</v>
      </c>
      <c r="J465" s="290">
        <v>4</v>
      </c>
      <c r="K465" s="290">
        <v>19</v>
      </c>
      <c r="L465" s="290">
        <v>10</v>
      </c>
      <c r="M465" s="290" t="s">
        <v>986</v>
      </c>
      <c r="N465" s="290">
        <v>2</v>
      </c>
      <c r="O465" s="290" t="s">
        <v>986</v>
      </c>
      <c r="P465" s="290">
        <v>5</v>
      </c>
      <c r="Q465" s="290">
        <v>8</v>
      </c>
      <c r="R465" s="290" t="s">
        <v>986</v>
      </c>
      <c r="S465" s="290" t="s">
        <v>986</v>
      </c>
      <c r="T465" s="290" t="s">
        <v>986</v>
      </c>
      <c r="U465" s="290" t="s">
        <v>986</v>
      </c>
      <c r="V465" s="290" t="s">
        <v>986</v>
      </c>
      <c r="W465" s="295" t="s">
        <v>73</v>
      </c>
    </row>
    <row r="466" spans="1:23" s="290" customFormat="1" ht="9.75" customHeight="1" x14ac:dyDescent="0.15">
      <c r="A466" s="560" t="s">
        <v>652</v>
      </c>
      <c r="B466" s="294" t="s">
        <v>986</v>
      </c>
      <c r="C466" s="293" t="s">
        <v>986</v>
      </c>
      <c r="D466" s="293" t="s">
        <v>986</v>
      </c>
      <c r="E466" s="293">
        <v>43</v>
      </c>
      <c r="F466" s="293">
        <v>41</v>
      </c>
      <c r="G466" s="293">
        <v>3</v>
      </c>
      <c r="H466" s="293">
        <v>9</v>
      </c>
      <c r="I466" s="293">
        <v>1</v>
      </c>
      <c r="J466" s="293">
        <v>4</v>
      </c>
      <c r="K466" s="293" t="s">
        <v>986</v>
      </c>
      <c r="L466" s="293">
        <v>12</v>
      </c>
      <c r="M466" s="293" t="s">
        <v>986</v>
      </c>
      <c r="N466" s="293">
        <v>1</v>
      </c>
      <c r="O466" s="293" t="s">
        <v>986</v>
      </c>
      <c r="P466" s="293">
        <v>6</v>
      </c>
      <c r="Q466" s="293">
        <v>5</v>
      </c>
      <c r="R466" s="293" t="s">
        <v>986</v>
      </c>
      <c r="S466" s="293" t="s">
        <v>986</v>
      </c>
      <c r="T466" s="293" t="s">
        <v>986</v>
      </c>
      <c r="U466" s="293" t="s">
        <v>986</v>
      </c>
      <c r="V466" s="293" t="s">
        <v>986</v>
      </c>
      <c r="W466" s="291" t="s">
        <v>74</v>
      </c>
    </row>
    <row r="467" spans="1:23" ht="12" customHeight="1" x14ac:dyDescent="0.15"/>
    <row r="468" spans="1:23" ht="12" customHeight="1" x14ac:dyDescent="0.15"/>
    <row r="469" spans="1:23" ht="12" customHeight="1" x14ac:dyDescent="0.15">
      <c r="K469" s="299" t="s">
        <v>93</v>
      </c>
    </row>
    <row r="470" spans="1:23" s="297" customFormat="1" ht="21" customHeight="1" x14ac:dyDescent="0.15">
      <c r="A470" s="1053" t="s">
        <v>172</v>
      </c>
      <c r="B470" s="832" t="s">
        <v>325</v>
      </c>
      <c r="C470" s="827"/>
      <c r="D470" s="827"/>
      <c r="E470" s="827"/>
      <c r="F470" s="827"/>
      <c r="G470" s="827"/>
      <c r="H470" s="827"/>
      <c r="I470" s="827"/>
      <c r="J470" s="827"/>
      <c r="K470" s="834"/>
      <c r="L470" s="826" t="s">
        <v>866</v>
      </c>
      <c r="M470" s="827"/>
      <c r="N470" s="827"/>
      <c r="O470" s="827"/>
      <c r="P470" s="827"/>
      <c r="Q470" s="827"/>
      <c r="R470" s="827"/>
      <c r="S470" s="827"/>
      <c r="T470" s="827"/>
      <c r="U470" s="827"/>
      <c r="V470" s="827"/>
      <c r="W470" s="1056" t="s">
        <v>79</v>
      </c>
    </row>
    <row r="471" spans="1:23" s="297" customFormat="1" ht="21" customHeight="1" x14ac:dyDescent="0.15">
      <c r="A471" s="1054"/>
      <c r="B471" s="837" t="s">
        <v>1043</v>
      </c>
      <c r="C471" s="826" t="s">
        <v>258</v>
      </c>
      <c r="D471" s="827"/>
      <c r="E471" s="827"/>
      <c r="F471" s="834"/>
      <c r="G471" s="826" t="s">
        <v>257</v>
      </c>
      <c r="H471" s="827"/>
      <c r="I471" s="834"/>
      <c r="J471" s="826" t="s">
        <v>875</v>
      </c>
      <c r="K471" s="834"/>
      <c r="L471" s="1061" t="s">
        <v>867</v>
      </c>
      <c r="M471" s="826" t="s">
        <v>265</v>
      </c>
      <c r="N471" s="827"/>
      <c r="O471" s="827"/>
      <c r="P471" s="827"/>
      <c r="Q471" s="827"/>
      <c r="R471" s="827"/>
      <c r="S471" s="827"/>
      <c r="T471" s="827"/>
      <c r="U471" s="827"/>
      <c r="V471" s="827"/>
      <c r="W471" s="1057"/>
    </row>
    <row r="472" spans="1:23" s="297" customFormat="1" ht="52.5" customHeight="1" x14ac:dyDescent="0.15">
      <c r="A472" s="1055"/>
      <c r="B472" s="298" t="s">
        <v>323</v>
      </c>
      <c r="C472" s="696" t="s">
        <v>855</v>
      </c>
      <c r="D472" s="298" t="s">
        <v>273</v>
      </c>
      <c r="E472" s="298" t="s">
        <v>244</v>
      </c>
      <c r="F472" s="298" t="s">
        <v>297</v>
      </c>
      <c r="G472" s="696" t="s">
        <v>856</v>
      </c>
      <c r="H472" s="298" t="s">
        <v>319</v>
      </c>
      <c r="I472" s="298" t="s">
        <v>240</v>
      </c>
      <c r="J472" s="696" t="s">
        <v>314</v>
      </c>
      <c r="K472" s="298" t="s">
        <v>313</v>
      </c>
      <c r="L472" s="1062"/>
      <c r="M472" s="696" t="s">
        <v>851</v>
      </c>
      <c r="N472" s="298" t="s">
        <v>256</v>
      </c>
      <c r="O472" s="298" t="s">
        <v>852</v>
      </c>
      <c r="P472" s="298" t="s">
        <v>271</v>
      </c>
      <c r="Q472" s="298" t="s">
        <v>277</v>
      </c>
      <c r="R472" s="298" t="s">
        <v>324</v>
      </c>
      <c r="S472" s="298" t="s">
        <v>276</v>
      </c>
      <c r="T472" s="298" t="s">
        <v>255</v>
      </c>
      <c r="U472" s="298" t="s">
        <v>254</v>
      </c>
      <c r="V472" s="300" t="s">
        <v>303</v>
      </c>
      <c r="W472" s="1058"/>
    </row>
    <row r="473" spans="1:23" s="290" customFormat="1" ht="9.75" customHeight="1" x14ac:dyDescent="0.15">
      <c r="A473" s="828" t="s">
        <v>985</v>
      </c>
      <c r="B473" s="829">
        <v>1</v>
      </c>
      <c r="C473" s="830">
        <v>15</v>
      </c>
      <c r="D473" s="830" t="s">
        <v>986</v>
      </c>
      <c r="E473" s="830">
        <v>15</v>
      </c>
      <c r="F473" s="830" t="s">
        <v>986</v>
      </c>
      <c r="G473" s="830" t="s">
        <v>986</v>
      </c>
      <c r="H473" s="830" t="s">
        <v>986</v>
      </c>
      <c r="I473" s="830" t="s">
        <v>986</v>
      </c>
      <c r="J473" s="830" t="s">
        <v>986</v>
      </c>
      <c r="K473" s="830" t="s">
        <v>986</v>
      </c>
      <c r="L473" s="830">
        <v>36055</v>
      </c>
      <c r="M473" s="830">
        <v>15105</v>
      </c>
      <c r="N473" s="830">
        <v>2099</v>
      </c>
      <c r="O473" s="830">
        <v>1840</v>
      </c>
      <c r="P473" s="830">
        <v>2731</v>
      </c>
      <c r="Q473" s="830">
        <v>16</v>
      </c>
      <c r="R473" s="830">
        <v>123</v>
      </c>
      <c r="S473" s="830">
        <v>5907</v>
      </c>
      <c r="T473" s="830">
        <v>36</v>
      </c>
      <c r="U473" s="830">
        <v>4</v>
      </c>
      <c r="V473" s="830">
        <v>138</v>
      </c>
      <c r="W473" s="831" t="s">
        <v>485</v>
      </c>
    </row>
    <row r="474" spans="1:23" s="290" customFormat="1" ht="9.75" customHeight="1" x14ac:dyDescent="0.15">
      <c r="A474" s="559" t="s">
        <v>634</v>
      </c>
      <c r="B474" s="290" t="s">
        <v>986</v>
      </c>
      <c r="C474" s="290">
        <v>11</v>
      </c>
      <c r="D474" s="290">
        <v>1</v>
      </c>
      <c r="E474" s="290">
        <v>9</v>
      </c>
      <c r="F474" s="290">
        <v>1</v>
      </c>
      <c r="G474" s="290" t="s">
        <v>986</v>
      </c>
      <c r="H474" s="290" t="s">
        <v>986</v>
      </c>
      <c r="I474" s="290" t="s">
        <v>986</v>
      </c>
      <c r="J474" s="290" t="s">
        <v>986</v>
      </c>
      <c r="K474" s="290" t="s">
        <v>986</v>
      </c>
      <c r="L474" s="290">
        <v>42715</v>
      </c>
      <c r="M474" s="290">
        <v>15731</v>
      </c>
      <c r="N474" s="290">
        <v>2068</v>
      </c>
      <c r="O474" s="290">
        <v>1815</v>
      </c>
      <c r="P474" s="290">
        <v>2546</v>
      </c>
      <c r="Q474" s="290">
        <v>25</v>
      </c>
      <c r="R474" s="290">
        <v>158</v>
      </c>
      <c r="S474" s="290">
        <v>7527</v>
      </c>
      <c r="T474" s="290">
        <v>26</v>
      </c>
      <c r="U474" s="290">
        <v>22</v>
      </c>
      <c r="V474" s="290">
        <v>130</v>
      </c>
      <c r="W474" s="295" t="s">
        <v>588</v>
      </c>
    </row>
    <row r="475" spans="1:23" s="290" customFormat="1" ht="9.75" customHeight="1" x14ac:dyDescent="0.15">
      <c r="A475" s="559" t="s">
        <v>635</v>
      </c>
      <c r="B475" s="290" t="s">
        <v>986</v>
      </c>
      <c r="C475" s="290">
        <v>23</v>
      </c>
      <c r="D475" s="290">
        <v>5</v>
      </c>
      <c r="E475" s="290">
        <v>15</v>
      </c>
      <c r="F475" s="290">
        <v>3</v>
      </c>
      <c r="G475" s="290" t="s">
        <v>986</v>
      </c>
      <c r="H475" s="290" t="s">
        <v>986</v>
      </c>
      <c r="I475" s="290" t="s">
        <v>986</v>
      </c>
      <c r="J475" s="290" t="s">
        <v>986</v>
      </c>
      <c r="K475" s="290" t="s">
        <v>986</v>
      </c>
      <c r="L475" s="290">
        <v>44158</v>
      </c>
      <c r="M475" s="290">
        <v>19467</v>
      </c>
      <c r="N475" s="290">
        <v>2544</v>
      </c>
      <c r="O475" s="290">
        <v>1832</v>
      </c>
      <c r="P475" s="290">
        <v>2874</v>
      </c>
      <c r="Q475" s="290">
        <v>29</v>
      </c>
      <c r="R475" s="290">
        <v>86</v>
      </c>
      <c r="S475" s="290">
        <v>10535</v>
      </c>
      <c r="T475" s="290">
        <v>16</v>
      </c>
      <c r="U475" s="290">
        <v>5</v>
      </c>
      <c r="V475" s="290">
        <v>114</v>
      </c>
      <c r="W475" s="295" t="s">
        <v>636</v>
      </c>
    </row>
    <row r="476" spans="1:23" s="290" customFormat="1" ht="9.75" customHeight="1" x14ac:dyDescent="0.15">
      <c r="A476" s="559" t="s">
        <v>774</v>
      </c>
      <c r="B476" s="290" t="s">
        <v>986</v>
      </c>
      <c r="C476" s="290">
        <v>24</v>
      </c>
      <c r="D476" s="290">
        <v>2</v>
      </c>
      <c r="E476" s="290">
        <v>16</v>
      </c>
      <c r="F476" s="290">
        <v>6</v>
      </c>
      <c r="G476" s="290">
        <v>1</v>
      </c>
      <c r="H476" s="290" t="s">
        <v>986</v>
      </c>
      <c r="I476" s="290">
        <v>1</v>
      </c>
      <c r="J476" s="290">
        <v>4</v>
      </c>
      <c r="K476" s="290">
        <v>4</v>
      </c>
      <c r="L476" s="290">
        <v>42975</v>
      </c>
      <c r="M476" s="290">
        <v>16329</v>
      </c>
      <c r="N476" s="290">
        <v>2463</v>
      </c>
      <c r="O476" s="290">
        <v>2010</v>
      </c>
      <c r="P476" s="290">
        <v>2818</v>
      </c>
      <c r="Q476" s="290">
        <v>33</v>
      </c>
      <c r="R476" s="290">
        <v>78</v>
      </c>
      <c r="S476" s="290">
        <v>7969</v>
      </c>
      <c r="T476" s="290">
        <v>12</v>
      </c>
      <c r="U476" s="290">
        <v>19</v>
      </c>
      <c r="V476" s="290">
        <v>154</v>
      </c>
      <c r="W476" s="295" t="s">
        <v>775</v>
      </c>
    </row>
    <row r="477" spans="1:23" s="290" customFormat="1" ht="9.75" customHeight="1" x14ac:dyDescent="0.15">
      <c r="A477" s="559" t="s">
        <v>987</v>
      </c>
      <c r="B477" s="290">
        <v>2</v>
      </c>
      <c r="C477" s="290">
        <v>21</v>
      </c>
      <c r="D477" s="290">
        <v>3</v>
      </c>
      <c r="E477" s="290">
        <v>14</v>
      </c>
      <c r="F477" s="290">
        <v>4</v>
      </c>
      <c r="G477" s="290">
        <v>1</v>
      </c>
      <c r="H477" s="290">
        <v>1</v>
      </c>
      <c r="I477" s="290" t="s">
        <v>986</v>
      </c>
      <c r="J477" s="290">
        <v>1</v>
      </c>
      <c r="K477" s="290">
        <v>1</v>
      </c>
      <c r="L477" s="290">
        <v>19234</v>
      </c>
      <c r="M477" s="290">
        <v>12594</v>
      </c>
      <c r="N477" s="290">
        <v>1802</v>
      </c>
      <c r="O477" s="290">
        <v>2159</v>
      </c>
      <c r="P477" s="290">
        <v>1628</v>
      </c>
      <c r="Q477" s="290">
        <v>55</v>
      </c>
      <c r="R477" s="290">
        <v>30</v>
      </c>
      <c r="S477" s="290">
        <v>6024</v>
      </c>
      <c r="T477" s="290">
        <v>16</v>
      </c>
      <c r="U477" s="290">
        <v>22</v>
      </c>
      <c r="V477" s="290">
        <v>150</v>
      </c>
      <c r="W477" s="295" t="s">
        <v>988</v>
      </c>
    </row>
    <row r="478" spans="1:23" s="290" customFormat="1" ht="6.75" customHeight="1" x14ac:dyDescent="0.15">
      <c r="A478" s="578"/>
      <c r="W478" s="295"/>
    </row>
    <row r="479" spans="1:23" s="290" customFormat="1" ht="9.75" customHeight="1" x14ac:dyDescent="0.15">
      <c r="A479" s="559" t="s">
        <v>989</v>
      </c>
      <c r="B479" s="290">
        <v>1</v>
      </c>
      <c r="C479" s="290">
        <v>24</v>
      </c>
      <c r="D479" s="290">
        <v>2</v>
      </c>
      <c r="E479" s="290">
        <v>17</v>
      </c>
      <c r="F479" s="290">
        <v>5</v>
      </c>
      <c r="G479" s="290">
        <v>2</v>
      </c>
      <c r="H479" s="290">
        <v>1</v>
      </c>
      <c r="I479" s="290">
        <v>1</v>
      </c>
      <c r="J479" s="290">
        <v>4</v>
      </c>
      <c r="K479" s="290">
        <v>4</v>
      </c>
      <c r="L479" s="290">
        <v>31107</v>
      </c>
      <c r="M479" s="290">
        <v>13460</v>
      </c>
      <c r="N479" s="290">
        <v>2201</v>
      </c>
      <c r="O479" s="290">
        <v>2059</v>
      </c>
      <c r="P479" s="290">
        <v>2783</v>
      </c>
      <c r="Q479" s="290">
        <v>22</v>
      </c>
      <c r="R479" s="290">
        <v>58</v>
      </c>
      <c r="S479" s="290">
        <v>5516</v>
      </c>
      <c r="T479" s="290">
        <v>12</v>
      </c>
      <c r="U479" s="290">
        <v>30</v>
      </c>
      <c r="V479" s="290">
        <v>150</v>
      </c>
      <c r="W479" s="295" t="s">
        <v>776</v>
      </c>
    </row>
    <row r="480" spans="1:23" s="290" customFormat="1" ht="9.75" customHeight="1" x14ac:dyDescent="0.15">
      <c r="A480" s="559" t="s">
        <v>990</v>
      </c>
      <c r="B480" s="290">
        <v>1</v>
      </c>
      <c r="C480" s="290">
        <v>22</v>
      </c>
      <c r="D480" s="290">
        <v>3</v>
      </c>
      <c r="E480" s="290">
        <v>16</v>
      </c>
      <c r="F480" s="290">
        <v>3</v>
      </c>
      <c r="G480" s="290" t="s">
        <v>986</v>
      </c>
      <c r="H480" s="290" t="s">
        <v>986</v>
      </c>
      <c r="I480" s="290" t="s">
        <v>986</v>
      </c>
      <c r="J480" s="290">
        <v>1</v>
      </c>
      <c r="K480" s="290">
        <v>1</v>
      </c>
      <c r="L480" s="290">
        <v>19930</v>
      </c>
      <c r="M480" s="290">
        <v>13686</v>
      </c>
      <c r="N480" s="290">
        <v>1733</v>
      </c>
      <c r="O480" s="290">
        <v>2295</v>
      </c>
      <c r="P480" s="290">
        <v>1998</v>
      </c>
      <c r="Q480" s="290">
        <v>66</v>
      </c>
      <c r="R480" s="290">
        <v>28</v>
      </c>
      <c r="S480" s="290">
        <v>6695</v>
      </c>
      <c r="T480" s="290">
        <v>28</v>
      </c>
      <c r="U480" s="290">
        <v>11</v>
      </c>
      <c r="V480" s="290">
        <v>130</v>
      </c>
      <c r="W480" s="295" t="s">
        <v>991</v>
      </c>
    </row>
    <row r="481" spans="1:23" s="290" customFormat="1" ht="6.75" customHeight="1" x14ac:dyDescent="0.15">
      <c r="A481" s="578"/>
      <c r="W481" s="295"/>
    </row>
    <row r="482" spans="1:23" s="290" customFormat="1" ht="9.75" customHeight="1" x14ac:dyDescent="0.15">
      <c r="A482" s="559" t="s">
        <v>992</v>
      </c>
      <c r="B482" s="290">
        <v>1</v>
      </c>
      <c r="C482" s="290">
        <v>5</v>
      </c>
      <c r="D482" s="290" t="s">
        <v>986</v>
      </c>
      <c r="E482" s="290">
        <v>4</v>
      </c>
      <c r="F482" s="290">
        <v>1</v>
      </c>
      <c r="G482" s="290">
        <v>1</v>
      </c>
      <c r="H482" s="290">
        <v>1</v>
      </c>
      <c r="I482" s="290" t="s">
        <v>986</v>
      </c>
      <c r="J482" s="290" t="s">
        <v>986</v>
      </c>
      <c r="K482" s="290" t="s">
        <v>986</v>
      </c>
      <c r="L482" s="290">
        <v>3894</v>
      </c>
      <c r="M482" s="290">
        <v>2180</v>
      </c>
      <c r="N482" s="290">
        <v>399</v>
      </c>
      <c r="O482" s="290">
        <v>449</v>
      </c>
      <c r="P482" s="290">
        <v>319</v>
      </c>
      <c r="Q482" s="290" t="s">
        <v>986</v>
      </c>
      <c r="R482" s="290">
        <v>2</v>
      </c>
      <c r="S482" s="290">
        <v>828</v>
      </c>
      <c r="T482" s="290" t="s">
        <v>986</v>
      </c>
      <c r="U482" s="290">
        <v>11</v>
      </c>
      <c r="V482" s="290">
        <v>52</v>
      </c>
      <c r="W482" s="295" t="s">
        <v>777</v>
      </c>
    </row>
    <row r="483" spans="1:23" s="290" customFormat="1" ht="9.75" customHeight="1" x14ac:dyDescent="0.15">
      <c r="A483" s="559" t="s">
        <v>637</v>
      </c>
      <c r="B483" s="290">
        <v>1</v>
      </c>
      <c r="C483" s="290">
        <v>4</v>
      </c>
      <c r="D483" s="290" t="s">
        <v>986</v>
      </c>
      <c r="E483" s="290">
        <v>3</v>
      </c>
      <c r="F483" s="290">
        <v>1</v>
      </c>
      <c r="G483" s="290" t="s">
        <v>986</v>
      </c>
      <c r="H483" s="290" t="s">
        <v>986</v>
      </c>
      <c r="I483" s="290" t="s">
        <v>986</v>
      </c>
      <c r="J483" s="290" t="s">
        <v>986</v>
      </c>
      <c r="K483" s="290" t="s">
        <v>986</v>
      </c>
      <c r="L483" s="290">
        <v>4122</v>
      </c>
      <c r="M483" s="290">
        <v>2879</v>
      </c>
      <c r="N483" s="290">
        <v>454</v>
      </c>
      <c r="O483" s="290">
        <v>346</v>
      </c>
      <c r="P483" s="290">
        <v>340</v>
      </c>
      <c r="Q483" s="290">
        <v>11</v>
      </c>
      <c r="R483" s="290">
        <v>2</v>
      </c>
      <c r="S483" s="290">
        <v>1571</v>
      </c>
      <c r="T483" s="290">
        <v>5</v>
      </c>
      <c r="U483" s="290">
        <v>11</v>
      </c>
      <c r="V483" s="290">
        <v>16</v>
      </c>
      <c r="W483" s="295" t="s">
        <v>85</v>
      </c>
    </row>
    <row r="484" spans="1:23" s="290" customFormat="1" ht="9.75" customHeight="1" x14ac:dyDescent="0.15">
      <c r="A484" s="559" t="s">
        <v>638</v>
      </c>
      <c r="B484" s="290" t="s">
        <v>986</v>
      </c>
      <c r="C484" s="290">
        <v>8</v>
      </c>
      <c r="D484" s="290">
        <v>3</v>
      </c>
      <c r="E484" s="290">
        <v>3</v>
      </c>
      <c r="F484" s="290">
        <v>2</v>
      </c>
      <c r="G484" s="290" t="s">
        <v>986</v>
      </c>
      <c r="H484" s="290" t="s">
        <v>986</v>
      </c>
      <c r="I484" s="290" t="s">
        <v>986</v>
      </c>
      <c r="J484" s="290" t="s">
        <v>986</v>
      </c>
      <c r="K484" s="290" t="s">
        <v>986</v>
      </c>
      <c r="L484" s="290">
        <v>5017</v>
      </c>
      <c r="M484" s="290">
        <v>3404</v>
      </c>
      <c r="N484" s="290">
        <v>453</v>
      </c>
      <c r="O484" s="290">
        <v>481</v>
      </c>
      <c r="P484" s="290">
        <v>421</v>
      </c>
      <c r="Q484" s="290">
        <v>22</v>
      </c>
      <c r="R484" s="290">
        <v>22</v>
      </c>
      <c r="S484" s="290">
        <v>1780</v>
      </c>
      <c r="T484" s="290" t="s">
        <v>986</v>
      </c>
      <c r="U484" s="290" t="s">
        <v>986</v>
      </c>
      <c r="V484" s="290">
        <v>41</v>
      </c>
      <c r="W484" s="295" t="s">
        <v>86</v>
      </c>
    </row>
    <row r="485" spans="1:23" s="290" customFormat="1" ht="9.75" customHeight="1" x14ac:dyDescent="0.15">
      <c r="A485" s="559" t="s">
        <v>639</v>
      </c>
      <c r="B485" s="290" t="s">
        <v>986</v>
      </c>
      <c r="C485" s="290">
        <v>4</v>
      </c>
      <c r="D485" s="290" t="s">
        <v>986</v>
      </c>
      <c r="E485" s="290">
        <v>4</v>
      </c>
      <c r="F485" s="290" t="s">
        <v>986</v>
      </c>
      <c r="G485" s="290" t="s">
        <v>986</v>
      </c>
      <c r="H485" s="290" t="s">
        <v>986</v>
      </c>
      <c r="I485" s="290" t="s">
        <v>986</v>
      </c>
      <c r="J485" s="290">
        <v>1</v>
      </c>
      <c r="K485" s="290">
        <v>1</v>
      </c>
      <c r="L485" s="290">
        <v>6201</v>
      </c>
      <c r="M485" s="290">
        <v>4131</v>
      </c>
      <c r="N485" s="290">
        <v>496</v>
      </c>
      <c r="O485" s="290">
        <v>883</v>
      </c>
      <c r="P485" s="290">
        <v>548</v>
      </c>
      <c r="Q485" s="290">
        <v>22</v>
      </c>
      <c r="R485" s="290">
        <v>4</v>
      </c>
      <c r="S485" s="290">
        <v>1845</v>
      </c>
      <c r="T485" s="290">
        <v>11</v>
      </c>
      <c r="U485" s="290" t="s">
        <v>986</v>
      </c>
      <c r="V485" s="290">
        <v>41</v>
      </c>
      <c r="W485" s="295" t="s">
        <v>87</v>
      </c>
    </row>
    <row r="486" spans="1:23" s="290" customFormat="1" ht="9.75" customHeight="1" x14ac:dyDescent="0.15">
      <c r="A486" s="559" t="s">
        <v>993</v>
      </c>
      <c r="B486" s="290" t="s">
        <v>986</v>
      </c>
      <c r="C486" s="290">
        <v>6</v>
      </c>
      <c r="D486" s="290" t="s">
        <v>986</v>
      </c>
      <c r="E486" s="290">
        <v>6</v>
      </c>
      <c r="F486" s="290" t="s">
        <v>986</v>
      </c>
      <c r="G486" s="290" t="s">
        <v>986</v>
      </c>
      <c r="H486" s="290" t="s">
        <v>986</v>
      </c>
      <c r="I486" s="290" t="s">
        <v>986</v>
      </c>
      <c r="J486" s="290" t="s">
        <v>986</v>
      </c>
      <c r="K486" s="290" t="s">
        <v>986</v>
      </c>
      <c r="L486" s="290">
        <v>4590</v>
      </c>
      <c r="M486" s="290">
        <v>3272</v>
      </c>
      <c r="N486" s="290">
        <v>330</v>
      </c>
      <c r="O486" s="290">
        <v>585</v>
      </c>
      <c r="P486" s="290">
        <v>689</v>
      </c>
      <c r="Q486" s="290">
        <v>11</v>
      </c>
      <c r="R486" s="290" t="s">
        <v>986</v>
      </c>
      <c r="S486" s="290">
        <v>1499</v>
      </c>
      <c r="T486" s="290">
        <v>12</v>
      </c>
      <c r="U486" s="290" t="s">
        <v>986</v>
      </c>
      <c r="V486" s="290">
        <v>32</v>
      </c>
      <c r="W486" s="295" t="s">
        <v>994</v>
      </c>
    </row>
    <row r="487" spans="1:23" s="290" customFormat="1" ht="6.75" customHeight="1" x14ac:dyDescent="0.15">
      <c r="A487" s="578"/>
      <c r="W487" s="295"/>
    </row>
    <row r="488" spans="1:23" s="290" customFormat="1" ht="9.75" customHeight="1" x14ac:dyDescent="0.15">
      <c r="A488" s="559" t="s">
        <v>995</v>
      </c>
      <c r="B488" s="290" t="s">
        <v>986</v>
      </c>
      <c r="C488" s="290" t="s">
        <v>986</v>
      </c>
      <c r="D488" s="290" t="s">
        <v>986</v>
      </c>
      <c r="E488" s="290" t="s">
        <v>986</v>
      </c>
      <c r="F488" s="290" t="s">
        <v>986</v>
      </c>
      <c r="G488" s="290">
        <v>1</v>
      </c>
      <c r="H488" s="290">
        <v>1</v>
      </c>
      <c r="I488" s="290" t="s">
        <v>986</v>
      </c>
      <c r="J488" s="290" t="s">
        <v>986</v>
      </c>
      <c r="K488" s="290" t="s">
        <v>986</v>
      </c>
      <c r="L488" s="290">
        <v>1296</v>
      </c>
      <c r="M488" s="290">
        <v>704</v>
      </c>
      <c r="N488" s="290">
        <v>84</v>
      </c>
      <c r="O488" s="290">
        <v>184</v>
      </c>
      <c r="P488" s="290">
        <v>87</v>
      </c>
      <c r="Q488" s="290" t="s">
        <v>986</v>
      </c>
      <c r="R488" s="290" t="s">
        <v>986</v>
      </c>
      <c r="S488" s="290">
        <v>321</v>
      </c>
      <c r="T488" s="290" t="s">
        <v>986</v>
      </c>
      <c r="U488" s="290" t="s">
        <v>986</v>
      </c>
      <c r="V488" s="290" t="s">
        <v>986</v>
      </c>
      <c r="W488" s="295" t="s">
        <v>778</v>
      </c>
    </row>
    <row r="489" spans="1:23" s="290" customFormat="1" ht="9.75" customHeight="1" x14ac:dyDescent="0.15">
      <c r="A489" s="559" t="s">
        <v>640</v>
      </c>
      <c r="B489" s="290" t="s">
        <v>986</v>
      </c>
      <c r="C489" s="290">
        <v>5</v>
      </c>
      <c r="D489" s="290" t="s">
        <v>986</v>
      </c>
      <c r="E489" s="290">
        <v>4</v>
      </c>
      <c r="F489" s="290">
        <v>1</v>
      </c>
      <c r="G489" s="290" t="s">
        <v>986</v>
      </c>
      <c r="H489" s="290" t="s">
        <v>986</v>
      </c>
      <c r="I489" s="290" t="s">
        <v>986</v>
      </c>
      <c r="J489" s="290" t="s">
        <v>986</v>
      </c>
      <c r="K489" s="290" t="s">
        <v>986</v>
      </c>
      <c r="L489" s="290">
        <v>1509</v>
      </c>
      <c r="M489" s="290">
        <v>791</v>
      </c>
      <c r="N489" s="290">
        <v>155</v>
      </c>
      <c r="O489" s="290">
        <v>144</v>
      </c>
      <c r="P489" s="290">
        <v>6</v>
      </c>
      <c r="Q489" s="290" t="s">
        <v>986</v>
      </c>
      <c r="R489" s="290">
        <v>2</v>
      </c>
      <c r="S489" s="290">
        <v>410</v>
      </c>
      <c r="T489" s="290" t="s">
        <v>986</v>
      </c>
      <c r="U489" s="290">
        <v>11</v>
      </c>
      <c r="V489" s="290">
        <v>52</v>
      </c>
      <c r="W489" s="295" t="s">
        <v>73</v>
      </c>
    </row>
    <row r="490" spans="1:23" s="290" customFormat="1" ht="9.75" customHeight="1" x14ac:dyDescent="0.15">
      <c r="A490" s="559" t="s">
        <v>641</v>
      </c>
      <c r="B490" s="290">
        <v>1</v>
      </c>
      <c r="C490" s="290" t="s">
        <v>986</v>
      </c>
      <c r="D490" s="290" t="s">
        <v>986</v>
      </c>
      <c r="E490" s="290" t="s">
        <v>986</v>
      </c>
      <c r="F490" s="290" t="s">
        <v>986</v>
      </c>
      <c r="G490" s="290" t="s">
        <v>986</v>
      </c>
      <c r="H490" s="290" t="s">
        <v>986</v>
      </c>
      <c r="I490" s="290" t="s">
        <v>986</v>
      </c>
      <c r="J490" s="290" t="s">
        <v>986</v>
      </c>
      <c r="K490" s="290" t="s">
        <v>986</v>
      </c>
      <c r="L490" s="290">
        <v>1089</v>
      </c>
      <c r="M490" s="290">
        <v>685</v>
      </c>
      <c r="N490" s="290">
        <v>160</v>
      </c>
      <c r="O490" s="290">
        <v>121</v>
      </c>
      <c r="P490" s="290">
        <v>226</v>
      </c>
      <c r="Q490" s="290" t="s">
        <v>986</v>
      </c>
      <c r="R490" s="290" t="s">
        <v>986</v>
      </c>
      <c r="S490" s="290">
        <v>97</v>
      </c>
      <c r="T490" s="290" t="s">
        <v>986</v>
      </c>
      <c r="U490" s="290" t="s">
        <v>986</v>
      </c>
      <c r="V490" s="290" t="s">
        <v>986</v>
      </c>
      <c r="W490" s="295" t="s">
        <v>74</v>
      </c>
    </row>
    <row r="491" spans="1:23" s="290" customFormat="1" ht="9.75" customHeight="1" x14ac:dyDescent="0.15">
      <c r="A491" s="559" t="s">
        <v>642</v>
      </c>
      <c r="B491" s="290">
        <v>1</v>
      </c>
      <c r="C491" s="290">
        <v>2</v>
      </c>
      <c r="D491" s="290" t="s">
        <v>986</v>
      </c>
      <c r="E491" s="290">
        <v>1</v>
      </c>
      <c r="F491" s="290">
        <v>1</v>
      </c>
      <c r="G491" s="290" t="s">
        <v>986</v>
      </c>
      <c r="H491" s="290" t="s">
        <v>986</v>
      </c>
      <c r="I491" s="290" t="s">
        <v>986</v>
      </c>
      <c r="J491" s="290" t="s">
        <v>986</v>
      </c>
      <c r="K491" s="290" t="s">
        <v>986</v>
      </c>
      <c r="L491" s="290">
        <v>1356</v>
      </c>
      <c r="M491" s="290">
        <v>944</v>
      </c>
      <c r="N491" s="290">
        <v>196</v>
      </c>
      <c r="O491" s="290">
        <v>139</v>
      </c>
      <c r="P491" s="290">
        <v>88</v>
      </c>
      <c r="Q491" s="290">
        <v>11</v>
      </c>
      <c r="R491" s="290">
        <v>2</v>
      </c>
      <c r="S491" s="290">
        <v>460</v>
      </c>
      <c r="T491" s="290" t="s">
        <v>986</v>
      </c>
      <c r="U491" s="290">
        <v>11</v>
      </c>
      <c r="V491" s="290">
        <v>16</v>
      </c>
      <c r="W491" s="295" t="s">
        <v>75</v>
      </c>
    </row>
    <row r="492" spans="1:23" s="290" customFormat="1" ht="9.75" customHeight="1" x14ac:dyDescent="0.15">
      <c r="A492" s="559" t="s">
        <v>643</v>
      </c>
      <c r="B492" s="290" t="s">
        <v>986</v>
      </c>
      <c r="C492" s="290">
        <v>1</v>
      </c>
      <c r="D492" s="290" t="s">
        <v>986</v>
      </c>
      <c r="E492" s="290">
        <v>1</v>
      </c>
      <c r="F492" s="290" t="s">
        <v>986</v>
      </c>
      <c r="G492" s="290" t="s">
        <v>986</v>
      </c>
      <c r="H492" s="290" t="s">
        <v>986</v>
      </c>
      <c r="I492" s="290" t="s">
        <v>986</v>
      </c>
      <c r="J492" s="290" t="s">
        <v>986</v>
      </c>
      <c r="K492" s="290" t="s">
        <v>986</v>
      </c>
      <c r="L492" s="290">
        <v>1323</v>
      </c>
      <c r="M492" s="290">
        <v>885</v>
      </c>
      <c r="N492" s="290">
        <v>139</v>
      </c>
      <c r="O492" s="290">
        <v>93</v>
      </c>
      <c r="P492" s="290">
        <v>119</v>
      </c>
      <c r="Q492" s="290" t="s">
        <v>986</v>
      </c>
      <c r="R492" s="290" t="s">
        <v>986</v>
      </c>
      <c r="S492" s="290">
        <v>481</v>
      </c>
      <c r="T492" s="290" t="s">
        <v>986</v>
      </c>
      <c r="U492" s="290" t="s">
        <v>986</v>
      </c>
      <c r="V492" s="290" t="s">
        <v>986</v>
      </c>
      <c r="W492" s="295" t="s">
        <v>88</v>
      </c>
    </row>
    <row r="493" spans="1:23" s="290" customFormat="1" ht="9.75" customHeight="1" x14ac:dyDescent="0.15">
      <c r="A493" s="559" t="s">
        <v>644</v>
      </c>
      <c r="B493" s="290" t="s">
        <v>986</v>
      </c>
      <c r="C493" s="290">
        <v>1</v>
      </c>
      <c r="D493" s="290" t="s">
        <v>986</v>
      </c>
      <c r="E493" s="290">
        <v>1</v>
      </c>
      <c r="F493" s="290" t="s">
        <v>986</v>
      </c>
      <c r="G493" s="290" t="s">
        <v>986</v>
      </c>
      <c r="H493" s="290" t="s">
        <v>986</v>
      </c>
      <c r="I493" s="290" t="s">
        <v>986</v>
      </c>
      <c r="J493" s="290" t="s">
        <v>986</v>
      </c>
      <c r="K493" s="290" t="s">
        <v>986</v>
      </c>
      <c r="L493" s="290">
        <v>1443</v>
      </c>
      <c r="M493" s="290">
        <v>1050</v>
      </c>
      <c r="N493" s="290">
        <v>119</v>
      </c>
      <c r="O493" s="290">
        <v>114</v>
      </c>
      <c r="P493" s="290">
        <v>133</v>
      </c>
      <c r="Q493" s="290" t="s">
        <v>986</v>
      </c>
      <c r="R493" s="290" t="s">
        <v>986</v>
      </c>
      <c r="S493" s="290">
        <v>630</v>
      </c>
      <c r="T493" s="290">
        <v>5</v>
      </c>
      <c r="U493" s="290" t="s">
        <v>986</v>
      </c>
      <c r="V493" s="290" t="s">
        <v>986</v>
      </c>
      <c r="W493" s="295" t="s">
        <v>89</v>
      </c>
    </row>
    <row r="494" spans="1:23" s="290" customFormat="1" ht="9.75" customHeight="1" x14ac:dyDescent="0.15">
      <c r="A494" s="559" t="s">
        <v>645</v>
      </c>
      <c r="B494" s="290" t="s">
        <v>986</v>
      </c>
      <c r="C494" s="290">
        <v>5</v>
      </c>
      <c r="D494" s="290">
        <v>3</v>
      </c>
      <c r="E494" s="290" t="s">
        <v>986</v>
      </c>
      <c r="F494" s="290">
        <v>2</v>
      </c>
      <c r="G494" s="290" t="s">
        <v>986</v>
      </c>
      <c r="H494" s="290" t="s">
        <v>986</v>
      </c>
      <c r="I494" s="290" t="s">
        <v>986</v>
      </c>
      <c r="J494" s="290" t="s">
        <v>986</v>
      </c>
      <c r="K494" s="290" t="s">
        <v>986</v>
      </c>
      <c r="L494" s="290">
        <v>1435</v>
      </c>
      <c r="M494" s="290">
        <v>1050</v>
      </c>
      <c r="N494" s="290">
        <v>145</v>
      </c>
      <c r="O494" s="290">
        <v>199</v>
      </c>
      <c r="P494" s="290">
        <v>202</v>
      </c>
      <c r="Q494" s="290">
        <v>11</v>
      </c>
      <c r="R494" s="290" t="s">
        <v>986</v>
      </c>
      <c r="S494" s="290">
        <v>398</v>
      </c>
      <c r="T494" s="290" t="s">
        <v>986</v>
      </c>
      <c r="U494" s="290" t="s">
        <v>986</v>
      </c>
      <c r="V494" s="290">
        <v>41</v>
      </c>
      <c r="W494" s="295" t="s">
        <v>90</v>
      </c>
    </row>
    <row r="495" spans="1:23" s="290" customFormat="1" ht="9.75" customHeight="1" x14ac:dyDescent="0.15">
      <c r="A495" s="559" t="s">
        <v>646</v>
      </c>
      <c r="B495" s="290" t="s">
        <v>986</v>
      </c>
      <c r="C495" s="290">
        <v>1</v>
      </c>
      <c r="D495" s="290" t="s">
        <v>986</v>
      </c>
      <c r="E495" s="290">
        <v>1</v>
      </c>
      <c r="F495" s="290" t="s">
        <v>986</v>
      </c>
      <c r="G495" s="290" t="s">
        <v>986</v>
      </c>
      <c r="H495" s="290" t="s">
        <v>986</v>
      </c>
      <c r="I495" s="290" t="s">
        <v>986</v>
      </c>
      <c r="J495" s="290" t="s">
        <v>986</v>
      </c>
      <c r="K495" s="290" t="s">
        <v>986</v>
      </c>
      <c r="L495" s="290">
        <v>1741</v>
      </c>
      <c r="M495" s="290">
        <v>1103</v>
      </c>
      <c r="N495" s="290">
        <v>86</v>
      </c>
      <c r="O495" s="290">
        <v>68</v>
      </c>
      <c r="P495" s="290">
        <v>46</v>
      </c>
      <c r="Q495" s="290" t="s">
        <v>986</v>
      </c>
      <c r="R495" s="290">
        <v>22</v>
      </c>
      <c r="S495" s="290">
        <v>836</v>
      </c>
      <c r="T495" s="290" t="s">
        <v>986</v>
      </c>
      <c r="U495" s="290" t="s">
        <v>986</v>
      </c>
      <c r="V495" s="290" t="s">
        <v>986</v>
      </c>
      <c r="W495" s="295" t="s">
        <v>91</v>
      </c>
    </row>
    <row r="496" spans="1:23" s="290" customFormat="1" ht="9.75" customHeight="1" x14ac:dyDescent="0.15">
      <c r="A496" s="559" t="s">
        <v>647</v>
      </c>
      <c r="B496" s="290" t="s">
        <v>986</v>
      </c>
      <c r="C496" s="290">
        <v>2</v>
      </c>
      <c r="D496" s="290" t="s">
        <v>986</v>
      </c>
      <c r="E496" s="290">
        <v>2</v>
      </c>
      <c r="F496" s="290" t="s">
        <v>986</v>
      </c>
      <c r="G496" s="290" t="s">
        <v>986</v>
      </c>
      <c r="H496" s="290" t="s">
        <v>986</v>
      </c>
      <c r="I496" s="290" t="s">
        <v>986</v>
      </c>
      <c r="J496" s="290" t="s">
        <v>986</v>
      </c>
      <c r="K496" s="290" t="s">
        <v>986</v>
      </c>
      <c r="L496" s="290">
        <v>1841</v>
      </c>
      <c r="M496" s="290">
        <v>1251</v>
      </c>
      <c r="N496" s="290">
        <v>222</v>
      </c>
      <c r="O496" s="290">
        <v>214</v>
      </c>
      <c r="P496" s="290">
        <v>173</v>
      </c>
      <c r="Q496" s="290">
        <v>11</v>
      </c>
      <c r="R496" s="290" t="s">
        <v>986</v>
      </c>
      <c r="S496" s="290">
        <v>546</v>
      </c>
      <c r="T496" s="290" t="s">
        <v>986</v>
      </c>
      <c r="U496" s="290" t="s">
        <v>986</v>
      </c>
      <c r="V496" s="290" t="s">
        <v>986</v>
      </c>
      <c r="W496" s="295" t="s">
        <v>92</v>
      </c>
    </row>
    <row r="497" spans="1:23" s="290" customFormat="1" ht="9.75" customHeight="1" x14ac:dyDescent="0.15">
      <c r="A497" s="559" t="s">
        <v>648</v>
      </c>
      <c r="B497" s="290" t="s">
        <v>986</v>
      </c>
      <c r="C497" s="290">
        <v>2</v>
      </c>
      <c r="D497" s="290" t="s">
        <v>986</v>
      </c>
      <c r="E497" s="290">
        <v>2</v>
      </c>
      <c r="F497" s="290" t="s">
        <v>986</v>
      </c>
      <c r="G497" s="290" t="s">
        <v>986</v>
      </c>
      <c r="H497" s="290" t="s">
        <v>986</v>
      </c>
      <c r="I497" s="290" t="s">
        <v>986</v>
      </c>
      <c r="J497" s="290">
        <v>1</v>
      </c>
      <c r="K497" s="290">
        <v>1</v>
      </c>
      <c r="L497" s="290">
        <v>2237</v>
      </c>
      <c r="M497" s="290">
        <v>1432</v>
      </c>
      <c r="N497" s="290">
        <v>155</v>
      </c>
      <c r="O497" s="290">
        <v>186</v>
      </c>
      <c r="P497" s="290">
        <v>121</v>
      </c>
      <c r="Q497" s="290">
        <v>11</v>
      </c>
      <c r="R497" s="290" t="s">
        <v>986</v>
      </c>
      <c r="S497" s="290">
        <v>806</v>
      </c>
      <c r="T497" s="290" t="s">
        <v>986</v>
      </c>
      <c r="U497" s="290" t="s">
        <v>986</v>
      </c>
      <c r="V497" s="290">
        <v>16</v>
      </c>
      <c r="W497" s="295" t="s">
        <v>76</v>
      </c>
    </row>
    <row r="498" spans="1:23" s="290" customFormat="1" ht="9.75" customHeight="1" x14ac:dyDescent="0.15">
      <c r="A498" s="559" t="s">
        <v>649</v>
      </c>
      <c r="B498" s="290" t="s">
        <v>986</v>
      </c>
      <c r="C498" s="290">
        <v>2</v>
      </c>
      <c r="D498" s="290" t="s">
        <v>986</v>
      </c>
      <c r="E498" s="290">
        <v>2</v>
      </c>
      <c r="F498" s="290" t="s">
        <v>986</v>
      </c>
      <c r="G498" s="290" t="s">
        <v>986</v>
      </c>
      <c r="H498" s="290" t="s">
        <v>986</v>
      </c>
      <c r="I498" s="290" t="s">
        <v>986</v>
      </c>
      <c r="J498" s="290" t="s">
        <v>986</v>
      </c>
      <c r="K498" s="290" t="s">
        <v>986</v>
      </c>
      <c r="L498" s="290">
        <v>1958</v>
      </c>
      <c r="M498" s="290">
        <v>1317</v>
      </c>
      <c r="N498" s="290">
        <v>154</v>
      </c>
      <c r="O498" s="290">
        <v>345</v>
      </c>
      <c r="P498" s="290">
        <v>184</v>
      </c>
      <c r="Q498" s="290" t="s">
        <v>986</v>
      </c>
      <c r="R498" s="290" t="s">
        <v>986</v>
      </c>
      <c r="S498" s="290">
        <v>557</v>
      </c>
      <c r="T498" s="290">
        <v>11</v>
      </c>
      <c r="U498" s="290" t="s">
        <v>986</v>
      </c>
      <c r="V498" s="290">
        <v>25</v>
      </c>
      <c r="W498" s="295" t="s">
        <v>77</v>
      </c>
    </row>
    <row r="499" spans="1:23" s="290" customFormat="1" ht="9.75" customHeight="1" x14ac:dyDescent="0.15">
      <c r="A499" s="559" t="s">
        <v>650</v>
      </c>
      <c r="B499" s="290" t="s">
        <v>986</v>
      </c>
      <c r="C499" s="290" t="s">
        <v>986</v>
      </c>
      <c r="D499" s="290" t="s">
        <v>986</v>
      </c>
      <c r="E499" s="290" t="s">
        <v>986</v>
      </c>
      <c r="F499" s="290" t="s">
        <v>986</v>
      </c>
      <c r="G499" s="290" t="s">
        <v>986</v>
      </c>
      <c r="H499" s="290" t="s">
        <v>986</v>
      </c>
      <c r="I499" s="290" t="s">
        <v>986</v>
      </c>
      <c r="J499" s="290" t="s">
        <v>986</v>
      </c>
      <c r="K499" s="290" t="s">
        <v>986</v>
      </c>
      <c r="L499" s="290">
        <v>2006</v>
      </c>
      <c r="M499" s="290">
        <v>1382</v>
      </c>
      <c r="N499" s="290">
        <v>187</v>
      </c>
      <c r="O499" s="290">
        <v>352</v>
      </c>
      <c r="P499" s="290">
        <v>243</v>
      </c>
      <c r="Q499" s="290">
        <v>11</v>
      </c>
      <c r="R499" s="290">
        <v>4</v>
      </c>
      <c r="S499" s="290">
        <v>482</v>
      </c>
      <c r="T499" s="290" t="s">
        <v>986</v>
      </c>
      <c r="U499" s="290" t="s">
        <v>986</v>
      </c>
      <c r="V499" s="290" t="s">
        <v>986</v>
      </c>
      <c r="W499" s="295" t="s">
        <v>78</v>
      </c>
    </row>
    <row r="500" spans="1:23" s="290" customFormat="1" ht="9.75" customHeight="1" x14ac:dyDescent="0.15">
      <c r="A500" s="559" t="s">
        <v>996</v>
      </c>
      <c r="B500" s="290" t="s">
        <v>986</v>
      </c>
      <c r="C500" s="290">
        <v>4</v>
      </c>
      <c r="D500" s="290" t="s">
        <v>986</v>
      </c>
      <c r="E500" s="290">
        <v>4</v>
      </c>
      <c r="F500" s="290" t="s">
        <v>986</v>
      </c>
      <c r="G500" s="290" t="s">
        <v>986</v>
      </c>
      <c r="H500" s="290" t="s">
        <v>986</v>
      </c>
      <c r="I500" s="290" t="s">
        <v>986</v>
      </c>
      <c r="J500" s="290" t="s">
        <v>986</v>
      </c>
      <c r="K500" s="290" t="s">
        <v>986</v>
      </c>
      <c r="L500" s="290">
        <v>1391</v>
      </c>
      <c r="M500" s="290">
        <v>983</v>
      </c>
      <c r="N500" s="290">
        <v>121</v>
      </c>
      <c r="O500" s="290">
        <v>137</v>
      </c>
      <c r="P500" s="290">
        <v>202</v>
      </c>
      <c r="Q500" s="290" t="s">
        <v>986</v>
      </c>
      <c r="R500" s="290" t="s">
        <v>986</v>
      </c>
      <c r="S500" s="290">
        <v>468</v>
      </c>
      <c r="T500" s="290">
        <v>11</v>
      </c>
      <c r="U500" s="290" t="s">
        <v>986</v>
      </c>
      <c r="V500" s="290">
        <v>16</v>
      </c>
      <c r="W500" s="295" t="s">
        <v>997</v>
      </c>
    </row>
    <row r="501" spans="1:23" s="290" customFormat="1" ht="9.75" customHeight="1" x14ac:dyDescent="0.15">
      <c r="A501" s="559" t="s">
        <v>651</v>
      </c>
      <c r="B501" s="290" t="s">
        <v>986</v>
      </c>
      <c r="C501" s="290" t="s">
        <v>986</v>
      </c>
      <c r="D501" s="290" t="s">
        <v>986</v>
      </c>
      <c r="E501" s="290" t="s">
        <v>986</v>
      </c>
      <c r="F501" s="290" t="s">
        <v>986</v>
      </c>
      <c r="G501" s="290" t="s">
        <v>986</v>
      </c>
      <c r="H501" s="290" t="s">
        <v>986</v>
      </c>
      <c r="I501" s="290" t="s">
        <v>986</v>
      </c>
      <c r="J501" s="290" t="s">
        <v>986</v>
      </c>
      <c r="K501" s="290" t="s">
        <v>986</v>
      </c>
      <c r="L501" s="290">
        <v>1392</v>
      </c>
      <c r="M501" s="290">
        <v>1000</v>
      </c>
      <c r="N501" s="290">
        <v>134</v>
      </c>
      <c r="O501" s="290">
        <v>161</v>
      </c>
      <c r="P501" s="290">
        <v>245</v>
      </c>
      <c r="Q501" s="290">
        <v>11</v>
      </c>
      <c r="R501" s="290" t="s">
        <v>986</v>
      </c>
      <c r="S501" s="290">
        <v>429</v>
      </c>
      <c r="T501" s="290">
        <v>1</v>
      </c>
      <c r="U501" s="290" t="s">
        <v>986</v>
      </c>
      <c r="V501" s="290" t="s">
        <v>986</v>
      </c>
      <c r="W501" s="295" t="s">
        <v>73</v>
      </c>
    </row>
    <row r="502" spans="1:23" s="290" customFormat="1" ht="9.75" customHeight="1" x14ac:dyDescent="0.15">
      <c r="A502" s="560" t="s">
        <v>652</v>
      </c>
      <c r="B502" s="294" t="s">
        <v>986</v>
      </c>
      <c r="C502" s="293">
        <v>2</v>
      </c>
      <c r="D502" s="293" t="s">
        <v>986</v>
      </c>
      <c r="E502" s="293">
        <v>2</v>
      </c>
      <c r="F502" s="293" t="s">
        <v>986</v>
      </c>
      <c r="G502" s="293" t="s">
        <v>986</v>
      </c>
      <c r="H502" s="293" t="s">
        <v>986</v>
      </c>
      <c r="I502" s="293" t="s">
        <v>986</v>
      </c>
      <c r="J502" s="293" t="s">
        <v>986</v>
      </c>
      <c r="K502" s="293" t="s">
        <v>986</v>
      </c>
      <c r="L502" s="293">
        <v>1807</v>
      </c>
      <c r="M502" s="293">
        <v>1289</v>
      </c>
      <c r="N502" s="293">
        <v>75</v>
      </c>
      <c r="O502" s="293">
        <v>287</v>
      </c>
      <c r="P502" s="293">
        <v>242</v>
      </c>
      <c r="Q502" s="293" t="s">
        <v>986</v>
      </c>
      <c r="R502" s="293" t="s">
        <v>986</v>
      </c>
      <c r="S502" s="293">
        <v>602</v>
      </c>
      <c r="T502" s="293" t="s">
        <v>986</v>
      </c>
      <c r="U502" s="293" t="s">
        <v>986</v>
      </c>
      <c r="V502" s="293">
        <v>16</v>
      </c>
      <c r="W502" s="291" t="s">
        <v>74</v>
      </c>
    </row>
    <row r="503" spans="1:23" ht="12" customHeight="1" x14ac:dyDescent="0.15"/>
    <row r="504" spans="1:23" ht="12" customHeight="1" x14ac:dyDescent="0.15"/>
    <row r="505" spans="1:23" ht="12" customHeight="1" x14ac:dyDescent="0.15">
      <c r="K505" s="299" t="s">
        <v>93</v>
      </c>
      <c r="V505" s="302" t="s">
        <v>858</v>
      </c>
    </row>
    <row r="506" spans="1:23" s="297" customFormat="1" ht="21" customHeight="1" x14ac:dyDescent="0.15">
      <c r="A506" s="1053" t="s">
        <v>172</v>
      </c>
      <c r="B506" s="832" t="s">
        <v>321</v>
      </c>
      <c r="C506" s="827"/>
      <c r="D506" s="827"/>
      <c r="E506" s="827"/>
      <c r="F506" s="827"/>
      <c r="G506" s="827"/>
      <c r="H506" s="827"/>
      <c r="I506" s="827"/>
      <c r="J506" s="827"/>
      <c r="K506" s="827"/>
      <c r="L506" s="827"/>
      <c r="M506" s="827"/>
      <c r="N506" s="827"/>
      <c r="O506" s="827"/>
      <c r="P506" s="827"/>
      <c r="Q506" s="827"/>
      <c r="R506" s="827"/>
      <c r="S506" s="827"/>
      <c r="T506" s="827"/>
      <c r="U506" s="827"/>
      <c r="V506" s="827"/>
      <c r="W506" s="1056" t="s">
        <v>79</v>
      </c>
    </row>
    <row r="507" spans="1:23" s="297" customFormat="1" ht="21" customHeight="1" x14ac:dyDescent="0.15">
      <c r="A507" s="1054"/>
      <c r="B507" s="832" t="s">
        <v>260</v>
      </c>
      <c r="C507" s="827"/>
      <c r="D507" s="827"/>
      <c r="E507" s="827"/>
      <c r="F507" s="827"/>
      <c r="G507" s="827"/>
      <c r="H507" s="834"/>
      <c r="I507" s="826" t="s">
        <v>259</v>
      </c>
      <c r="J507" s="827"/>
      <c r="K507" s="827"/>
      <c r="L507" s="827"/>
      <c r="M507" s="827"/>
      <c r="N507" s="827"/>
      <c r="O507" s="827"/>
      <c r="P507" s="827"/>
      <c r="Q507" s="827"/>
      <c r="R507" s="834"/>
      <c r="S507" s="826" t="s">
        <v>258</v>
      </c>
      <c r="T507" s="827"/>
      <c r="U507" s="827"/>
      <c r="V507" s="827"/>
      <c r="W507" s="1057"/>
    </row>
    <row r="508" spans="1:23" s="297" customFormat="1" ht="52.5" customHeight="1" x14ac:dyDescent="0.15">
      <c r="A508" s="1055"/>
      <c r="B508" s="298" t="s">
        <v>252</v>
      </c>
      <c r="C508" s="298" t="s">
        <v>281</v>
      </c>
      <c r="D508" s="298" t="s">
        <v>302</v>
      </c>
      <c r="E508" s="298" t="s">
        <v>301</v>
      </c>
      <c r="F508" s="298" t="s">
        <v>300</v>
      </c>
      <c r="G508" s="298" t="s">
        <v>264</v>
      </c>
      <c r="H508" s="301" t="s">
        <v>853</v>
      </c>
      <c r="I508" s="696" t="s">
        <v>101</v>
      </c>
      <c r="J508" s="298" t="s">
        <v>145</v>
      </c>
      <c r="K508" s="298" t="s">
        <v>879</v>
      </c>
      <c r="L508" s="301" t="s">
        <v>854</v>
      </c>
      <c r="M508" s="298" t="s">
        <v>275</v>
      </c>
      <c r="N508" s="298" t="s">
        <v>246</v>
      </c>
      <c r="O508" s="298" t="s">
        <v>280</v>
      </c>
      <c r="P508" s="298" t="s">
        <v>323</v>
      </c>
      <c r="Q508" s="298" t="s">
        <v>298</v>
      </c>
      <c r="R508" s="298" t="s">
        <v>274</v>
      </c>
      <c r="S508" s="696" t="s">
        <v>855</v>
      </c>
      <c r="T508" s="298" t="s">
        <v>273</v>
      </c>
      <c r="U508" s="298" t="s">
        <v>244</v>
      </c>
      <c r="V508" s="300" t="s">
        <v>322</v>
      </c>
      <c r="W508" s="1058"/>
    </row>
    <row r="509" spans="1:23" s="290" customFormat="1" ht="9.75" customHeight="1" x14ac:dyDescent="0.15">
      <c r="A509" s="828" t="s">
        <v>985</v>
      </c>
      <c r="B509" s="829">
        <v>376</v>
      </c>
      <c r="C509" s="830">
        <v>1140</v>
      </c>
      <c r="D509" s="830">
        <v>89</v>
      </c>
      <c r="E509" s="830">
        <v>580</v>
      </c>
      <c r="F509" s="830">
        <v>10</v>
      </c>
      <c r="G509" s="830">
        <v>16</v>
      </c>
      <c r="H509" s="830" t="s">
        <v>986</v>
      </c>
      <c r="I509" s="830">
        <v>3781</v>
      </c>
      <c r="J509" s="830">
        <v>3</v>
      </c>
      <c r="K509" s="830">
        <v>2</v>
      </c>
      <c r="L509" s="830">
        <v>18</v>
      </c>
      <c r="M509" s="830">
        <v>3302</v>
      </c>
      <c r="N509" s="830">
        <v>11</v>
      </c>
      <c r="O509" s="830" t="s">
        <v>986</v>
      </c>
      <c r="P509" s="830">
        <v>313</v>
      </c>
      <c r="Q509" s="830" t="s">
        <v>986</v>
      </c>
      <c r="R509" s="830">
        <v>132</v>
      </c>
      <c r="S509" s="830">
        <v>16208</v>
      </c>
      <c r="T509" s="830">
        <v>198</v>
      </c>
      <c r="U509" s="830">
        <v>15597</v>
      </c>
      <c r="V509" s="830" t="s">
        <v>986</v>
      </c>
      <c r="W509" s="831" t="s">
        <v>485</v>
      </c>
    </row>
    <row r="510" spans="1:23" s="290" customFormat="1" ht="9.75" customHeight="1" x14ac:dyDescent="0.15">
      <c r="A510" s="559" t="s">
        <v>634</v>
      </c>
      <c r="B510" s="290">
        <v>77</v>
      </c>
      <c r="C510" s="290">
        <v>784</v>
      </c>
      <c r="D510" s="290">
        <v>55</v>
      </c>
      <c r="E510" s="290">
        <v>478</v>
      </c>
      <c r="F510" s="290">
        <v>9</v>
      </c>
      <c r="G510" s="290">
        <v>8</v>
      </c>
      <c r="H510" s="290">
        <v>3</v>
      </c>
      <c r="I510" s="290">
        <v>3630</v>
      </c>
      <c r="J510" s="290">
        <v>4</v>
      </c>
      <c r="K510" s="290">
        <v>4</v>
      </c>
      <c r="L510" s="290">
        <v>54</v>
      </c>
      <c r="M510" s="290">
        <v>3028</v>
      </c>
      <c r="N510" s="290">
        <v>12</v>
      </c>
      <c r="O510" s="290" t="s">
        <v>986</v>
      </c>
      <c r="P510" s="290">
        <v>336</v>
      </c>
      <c r="Q510" s="290" t="s">
        <v>986</v>
      </c>
      <c r="R510" s="290">
        <v>192</v>
      </c>
      <c r="S510" s="290">
        <v>18200</v>
      </c>
      <c r="T510" s="290">
        <v>198</v>
      </c>
      <c r="U510" s="290">
        <v>16111</v>
      </c>
      <c r="V510" s="290">
        <v>14</v>
      </c>
      <c r="W510" s="295" t="s">
        <v>588</v>
      </c>
    </row>
    <row r="511" spans="1:23" s="290" customFormat="1" ht="9.75" customHeight="1" x14ac:dyDescent="0.15">
      <c r="A511" s="559" t="s">
        <v>635</v>
      </c>
      <c r="B511" s="290">
        <v>134</v>
      </c>
      <c r="C511" s="290">
        <v>590</v>
      </c>
      <c r="D511" s="290">
        <v>139</v>
      </c>
      <c r="E511" s="290">
        <v>554</v>
      </c>
      <c r="F511" s="290">
        <v>5</v>
      </c>
      <c r="G511" s="290">
        <v>8</v>
      </c>
      <c r="H511" s="290">
        <v>2</v>
      </c>
      <c r="I511" s="290">
        <v>8081</v>
      </c>
      <c r="J511" s="290">
        <v>3</v>
      </c>
      <c r="K511" s="290">
        <v>6</v>
      </c>
      <c r="L511" s="290">
        <v>122</v>
      </c>
      <c r="M511" s="290">
        <v>7294</v>
      </c>
      <c r="N511" s="290">
        <v>116</v>
      </c>
      <c r="O511" s="290" t="s">
        <v>986</v>
      </c>
      <c r="P511" s="290">
        <v>178</v>
      </c>
      <c r="Q511" s="290">
        <v>99</v>
      </c>
      <c r="R511" s="290">
        <v>263</v>
      </c>
      <c r="S511" s="290">
        <v>15415</v>
      </c>
      <c r="T511" s="290">
        <v>252</v>
      </c>
      <c r="U511" s="290">
        <v>12778</v>
      </c>
      <c r="V511" s="290" t="s">
        <v>986</v>
      </c>
      <c r="W511" s="295" t="s">
        <v>636</v>
      </c>
    </row>
    <row r="512" spans="1:23" s="290" customFormat="1" ht="9.75" customHeight="1" x14ac:dyDescent="0.15">
      <c r="A512" s="559" t="s">
        <v>774</v>
      </c>
      <c r="B512" s="290">
        <v>121</v>
      </c>
      <c r="C512" s="290">
        <v>294</v>
      </c>
      <c r="D512" s="290">
        <v>103</v>
      </c>
      <c r="E512" s="290">
        <v>244</v>
      </c>
      <c r="F512" s="290" t="s">
        <v>986</v>
      </c>
      <c r="G512" s="290">
        <v>8</v>
      </c>
      <c r="H512" s="290">
        <v>3</v>
      </c>
      <c r="I512" s="290">
        <v>8702</v>
      </c>
      <c r="J512" s="290">
        <v>3</v>
      </c>
      <c r="K512" s="290">
        <v>13</v>
      </c>
      <c r="L512" s="290">
        <v>143</v>
      </c>
      <c r="M512" s="290">
        <v>3924</v>
      </c>
      <c r="N512" s="290">
        <v>4011</v>
      </c>
      <c r="O512" s="290">
        <v>344</v>
      </c>
      <c r="P512" s="290" t="s">
        <v>986</v>
      </c>
      <c r="Q512" s="290">
        <v>32</v>
      </c>
      <c r="R512" s="290">
        <v>232</v>
      </c>
      <c r="S512" s="290">
        <v>16968</v>
      </c>
      <c r="T512" s="290">
        <v>288</v>
      </c>
      <c r="U512" s="290">
        <v>16652</v>
      </c>
      <c r="V512" s="290">
        <v>2</v>
      </c>
      <c r="W512" s="295" t="s">
        <v>775</v>
      </c>
    </row>
    <row r="513" spans="1:23" s="290" customFormat="1" ht="9.75" customHeight="1" x14ac:dyDescent="0.15">
      <c r="A513" s="559" t="s">
        <v>987</v>
      </c>
      <c r="B513" s="290">
        <v>88</v>
      </c>
      <c r="C513" s="290">
        <v>310</v>
      </c>
      <c r="D513" s="290">
        <v>105</v>
      </c>
      <c r="E513" s="290">
        <v>192</v>
      </c>
      <c r="F513" s="290" t="s">
        <v>986</v>
      </c>
      <c r="G513" s="290">
        <v>8</v>
      </c>
      <c r="H513" s="290">
        <v>5</v>
      </c>
      <c r="I513" s="290">
        <v>1019</v>
      </c>
      <c r="J513" s="290">
        <v>2</v>
      </c>
      <c r="K513" s="290">
        <v>2</v>
      </c>
      <c r="L513" s="290">
        <v>54</v>
      </c>
      <c r="M513" s="290">
        <v>516</v>
      </c>
      <c r="N513" s="290">
        <v>216</v>
      </c>
      <c r="O513" s="290" t="s">
        <v>986</v>
      </c>
      <c r="P513" s="290" t="s">
        <v>986</v>
      </c>
      <c r="Q513" s="290">
        <v>48</v>
      </c>
      <c r="R513" s="290">
        <v>181</v>
      </c>
      <c r="S513" s="290">
        <v>5036</v>
      </c>
      <c r="T513" s="290">
        <v>270</v>
      </c>
      <c r="U513" s="290">
        <v>3383</v>
      </c>
      <c r="V513" s="290">
        <v>8</v>
      </c>
      <c r="W513" s="295" t="s">
        <v>988</v>
      </c>
    </row>
    <row r="514" spans="1:23" s="290" customFormat="1" ht="6.75" customHeight="1" x14ac:dyDescent="0.15">
      <c r="A514" s="578"/>
      <c r="W514" s="295"/>
    </row>
    <row r="515" spans="1:23" s="290" customFormat="1" ht="9.75" customHeight="1" x14ac:dyDescent="0.15">
      <c r="A515" s="559" t="s">
        <v>989</v>
      </c>
      <c r="B515" s="290">
        <v>110</v>
      </c>
      <c r="C515" s="290">
        <v>267</v>
      </c>
      <c r="D515" s="290">
        <v>85</v>
      </c>
      <c r="E515" s="290">
        <v>156</v>
      </c>
      <c r="F515" s="290" t="s">
        <v>986</v>
      </c>
      <c r="G515" s="290">
        <v>8</v>
      </c>
      <c r="H515" s="290">
        <v>3</v>
      </c>
      <c r="I515" s="290">
        <v>4593</v>
      </c>
      <c r="J515" s="290">
        <v>2</v>
      </c>
      <c r="K515" s="290">
        <v>9</v>
      </c>
      <c r="L515" s="290">
        <v>92</v>
      </c>
      <c r="M515" s="290">
        <v>1859</v>
      </c>
      <c r="N515" s="290">
        <v>2019</v>
      </c>
      <c r="O515" s="290">
        <v>344</v>
      </c>
      <c r="P515" s="290" t="s">
        <v>986</v>
      </c>
      <c r="Q515" s="290">
        <v>48</v>
      </c>
      <c r="R515" s="290">
        <v>220</v>
      </c>
      <c r="S515" s="290">
        <v>12281</v>
      </c>
      <c r="T515" s="290">
        <v>252</v>
      </c>
      <c r="U515" s="290">
        <v>11736</v>
      </c>
      <c r="V515" s="290">
        <v>10</v>
      </c>
      <c r="W515" s="295" t="s">
        <v>776</v>
      </c>
    </row>
    <row r="516" spans="1:23" s="290" customFormat="1" ht="9.75" customHeight="1" x14ac:dyDescent="0.15">
      <c r="A516" s="559" t="s">
        <v>990</v>
      </c>
      <c r="B516" s="290">
        <v>77</v>
      </c>
      <c r="C516" s="290">
        <v>315</v>
      </c>
      <c r="D516" s="290">
        <v>105</v>
      </c>
      <c r="E516" s="290">
        <v>191</v>
      </c>
      <c r="F516" s="290" t="s">
        <v>986</v>
      </c>
      <c r="G516" s="290">
        <v>8</v>
      </c>
      <c r="H516" s="290">
        <v>6</v>
      </c>
      <c r="I516" s="290">
        <v>980</v>
      </c>
      <c r="J516" s="290">
        <v>2</v>
      </c>
      <c r="K516" s="290">
        <v>2</v>
      </c>
      <c r="L516" s="290">
        <v>53</v>
      </c>
      <c r="M516" s="290">
        <v>516</v>
      </c>
      <c r="N516" s="290">
        <v>227</v>
      </c>
      <c r="O516" s="290" t="s">
        <v>986</v>
      </c>
      <c r="P516" s="290" t="s">
        <v>986</v>
      </c>
      <c r="Q516" s="290">
        <v>48</v>
      </c>
      <c r="R516" s="290">
        <v>132</v>
      </c>
      <c r="S516" s="290">
        <v>4511</v>
      </c>
      <c r="T516" s="290">
        <v>342</v>
      </c>
      <c r="U516" s="290">
        <v>3067</v>
      </c>
      <c r="V516" s="290">
        <v>10</v>
      </c>
      <c r="W516" s="295" t="s">
        <v>991</v>
      </c>
    </row>
    <row r="517" spans="1:23" s="290" customFormat="1" ht="6.75" customHeight="1" x14ac:dyDescent="0.15">
      <c r="A517" s="578"/>
      <c r="W517" s="295"/>
    </row>
    <row r="518" spans="1:23" s="290" customFormat="1" ht="9.75" customHeight="1" x14ac:dyDescent="0.15">
      <c r="A518" s="559" t="s">
        <v>992</v>
      </c>
      <c r="B518" s="290">
        <v>33</v>
      </c>
      <c r="C518" s="290">
        <v>35</v>
      </c>
      <c r="D518" s="290">
        <v>17</v>
      </c>
      <c r="E518" s="290">
        <v>35</v>
      </c>
      <c r="F518" s="290" t="s">
        <v>986</v>
      </c>
      <c r="G518" s="290" t="s">
        <v>986</v>
      </c>
      <c r="H518" s="290" t="s">
        <v>986</v>
      </c>
      <c r="I518" s="290">
        <v>72</v>
      </c>
      <c r="J518" s="290" t="s">
        <v>986</v>
      </c>
      <c r="K518" s="290" t="s">
        <v>986</v>
      </c>
      <c r="L518" s="290">
        <v>1</v>
      </c>
      <c r="M518" s="290" t="s">
        <v>986</v>
      </c>
      <c r="N518" s="290" t="s">
        <v>986</v>
      </c>
      <c r="O518" s="290" t="s">
        <v>986</v>
      </c>
      <c r="P518" s="290" t="s">
        <v>986</v>
      </c>
      <c r="Q518" s="290">
        <v>16</v>
      </c>
      <c r="R518" s="290">
        <v>55</v>
      </c>
      <c r="S518" s="290">
        <v>1562</v>
      </c>
      <c r="T518" s="290">
        <v>36</v>
      </c>
      <c r="U518" s="290">
        <v>1235</v>
      </c>
      <c r="V518" s="290">
        <v>8</v>
      </c>
      <c r="W518" s="295" t="s">
        <v>777</v>
      </c>
    </row>
    <row r="519" spans="1:23" s="290" customFormat="1" ht="9.75" customHeight="1" x14ac:dyDescent="0.15">
      <c r="A519" s="559" t="s">
        <v>637</v>
      </c>
      <c r="B519" s="290">
        <v>22</v>
      </c>
      <c r="C519" s="290">
        <v>21</v>
      </c>
      <c r="D519" s="290">
        <v>35</v>
      </c>
      <c r="E519" s="290">
        <v>35</v>
      </c>
      <c r="F519" s="290" t="s">
        <v>986</v>
      </c>
      <c r="G519" s="290">
        <v>8</v>
      </c>
      <c r="H519" s="290">
        <v>2</v>
      </c>
      <c r="I519" s="290">
        <v>107</v>
      </c>
      <c r="J519" s="290">
        <v>1</v>
      </c>
      <c r="K519" s="290" t="s">
        <v>986</v>
      </c>
      <c r="L519" s="290">
        <v>18</v>
      </c>
      <c r="M519" s="290" t="s">
        <v>986</v>
      </c>
      <c r="N519" s="290">
        <v>12</v>
      </c>
      <c r="O519" s="290" t="s">
        <v>986</v>
      </c>
      <c r="P519" s="290" t="s">
        <v>986</v>
      </c>
      <c r="Q519" s="290">
        <v>16</v>
      </c>
      <c r="R519" s="290">
        <v>60</v>
      </c>
      <c r="S519" s="290">
        <v>933</v>
      </c>
      <c r="T519" s="290">
        <v>72</v>
      </c>
      <c r="U519" s="290">
        <v>741</v>
      </c>
      <c r="V519" s="290" t="s">
        <v>986</v>
      </c>
      <c r="W519" s="295" t="s">
        <v>85</v>
      </c>
    </row>
    <row r="520" spans="1:23" s="290" customFormat="1" ht="9.75" customHeight="1" x14ac:dyDescent="0.15">
      <c r="A520" s="559" t="s">
        <v>638</v>
      </c>
      <c r="B520" s="290">
        <v>11</v>
      </c>
      <c r="C520" s="290">
        <v>138</v>
      </c>
      <c r="D520" s="290" t="s">
        <v>986</v>
      </c>
      <c r="E520" s="290">
        <v>35</v>
      </c>
      <c r="F520" s="290" t="s">
        <v>986</v>
      </c>
      <c r="G520" s="290" t="s">
        <v>986</v>
      </c>
      <c r="H520" s="290" t="s">
        <v>986</v>
      </c>
      <c r="I520" s="290">
        <v>126</v>
      </c>
      <c r="J520" s="290">
        <v>1</v>
      </c>
      <c r="K520" s="290" t="s">
        <v>986</v>
      </c>
      <c r="L520" s="290">
        <v>18</v>
      </c>
      <c r="M520" s="290" t="s">
        <v>986</v>
      </c>
      <c r="N520" s="290">
        <v>63</v>
      </c>
      <c r="O520" s="290" t="s">
        <v>986</v>
      </c>
      <c r="P520" s="290" t="s">
        <v>986</v>
      </c>
      <c r="Q520" s="290" t="s">
        <v>986</v>
      </c>
      <c r="R520" s="290">
        <v>44</v>
      </c>
      <c r="S520" s="290">
        <v>1325</v>
      </c>
      <c r="T520" s="290">
        <v>90</v>
      </c>
      <c r="U520" s="290">
        <v>701</v>
      </c>
      <c r="V520" s="290" t="s">
        <v>986</v>
      </c>
      <c r="W520" s="295" t="s">
        <v>86</v>
      </c>
    </row>
    <row r="521" spans="1:23" s="290" customFormat="1" ht="9.75" customHeight="1" x14ac:dyDescent="0.15">
      <c r="A521" s="559" t="s">
        <v>639</v>
      </c>
      <c r="B521" s="290">
        <v>22</v>
      </c>
      <c r="C521" s="290">
        <v>116</v>
      </c>
      <c r="D521" s="290">
        <v>53</v>
      </c>
      <c r="E521" s="290">
        <v>87</v>
      </c>
      <c r="F521" s="290" t="s">
        <v>986</v>
      </c>
      <c r="G521" s="290" t="s">
        <v>986</v>
      </c>
      <c r="H521" s="290">
        <v>3</v>
      </c>
      <c r="I521" s="290">
        <v>714</v>
      </c>
      <c r="J521" s="290" t="s">
        <v>986</v>
      </c>
      <c r="K521" s="290">
        <v>2</v>
      </c>
      <c r="L521" s="290">
        <v>17</v>
      </c>
      <c r="M521" s="290">
        <v>516</v>
      </c>
      <c r="N521" s="290">
        <v>141</v>
      </c>
      <c r="O521" s="290" t="s">
        <v>986</v>
      </c>
      <c r="P521" s="290" t="s">
        <v>986</v>
      </c>
      <c r="Q521" s="290">
        <v>16</v>
      </c>
      <c r="R521" s="290">
        <v>22</v>
      </c>
      <c r="S521" s="290">
        <v>1216</v>
      </c>
      <c r="T521" s="290">
        <v>72</v>
      </c>
      <c r="U521" s="290">
        <v>706</v>
      </c>
      <c r="V521" s="290" t="s">
        <v>986</v>
      </c>
      <c r="W521" s="295" t="s">
        <v>87</v>
      </c>
    </row>
    <row r="522" spans="1:23" s="290" customFormat="1" ht="9.75" customHeight="1" x14ac:dyDescent="0.15">
      <c r="A522" s="559" t="s">
        <v>993</v>
      </c>
      <c r="B522" s="290">
        <v>22</v>
      </c>
      <c r="C522" s="290">
        <v>40</v>
      </c>
      <c r="D522" s="290">
        <v>17</v>
      </c>
      <c r="E522" s="290">
        <v>34</v>
      </c>
      <c r="F522" s="290" t="s">
        <v>986</v>
      </c>
      <c r="G522" s="290" t="s">
        <v>986</v>
      </c>
      <c r="H522" s="290">
        <v>1</v>
      </c>
      <c r="I522" s="290">
        <v>33</v>
      </c>
      <c r="J522" s="290" t="s">
        <v>986</v>
      </c>
      <c r="K522" s="290" t="s">
        <v>986</v>
      </c>
      <c r="L522" s="290" t="s">
        <v>986</v>
      </c>
      <c r="M522" s="290" t="s">
        <v>986</v>
      </c>
      <c r="N522" s="290">
        <v>11</v>
      </c>
      <c r="O522" s="290" t="s">
        <v>986</v>
      </c>
      <c r="P522" s="290" t="s">
        <v>986</v>
      </c>
      <c r="Q522" s="290">
        <v>16</v>
      </c>
      <c r="R522" s="290">
        <v>6</v>
      </c>
      <c r="S522" s="290">
        <v>1037</v>
      </c>
      <c r="T522" s="290">
        <v>108</v>
      </c>
      <c r="U522" s="290">
        <v>919</v>
      </c>
      <c r="V522" s="290">
        <v>10</v>
      </c>
      <c r="W522" s="295" t="s">
        <v>994</v>
      </c>
    </row>
    <row r="523" spans="1:23" s="290" customFormat="1" ht="6.75" customHeight="1" x14ac:dyDescent="0.15">
      <c r="A523" s="578"/>
      <c r="W523" s="295"/>
    </row>
    <row r="524" spans="1:23" s="290" customFormat="1" ht="9.75" customHeight="1" x14ac:dyDescent="0.15">
      <c r="A524" s="559" t="s">
        <v>995</v>
      </c>
      <c r="B524" s="290">
        <v>11</v>
      </c>
      <c r="C524" s="290" t="s">
        <v>986</v>
      </c>
      <c r="D524" s="290">
        <v>17</v>
      </c>
      <c r="E524" s="290" t="s">
        <v>986</v>
      </c>
      <c r="F524" s="290" t="s">
        <v>986</v>
      </c>
      <c r="G524" s="290" t="s">
        <v>986</v>
      </c>
      <c r="H524" s="290" t="s">
        <v>986</v>
      </c>
      <c r="I524" s="290">
        <v>22</v>
      </c>
      <c r="J524" s="290" t="s">
        <v>986</v>
      </c>
      <c r="K524" s="290" t="s">
        <v>986</v>
      </c>
      <c r="L524" s="290" t="s">
        <v>986</v>
      </c>
      <c r="M524" s="290" t="s">
        <v>986</v>
      </c>
      <c r="N524" s="290" t="s">
        <v>986</v>
      </c>
      <c r="O524" s="290" t="s">
        <v>986</v>
      </c>
      <c r="P524" s="290" t="s">
        <v>986</v>
      </c>
      <c r="Q524" s="290" t="s">
        <v>986</v>
      </c>
      <c r="R524" s="290">
        <v>22</v>
      </c>
      <c r="S524" s="290">
        <v>542</v>
      </c>
      <c r="T524" s="290" t="s">
        <v>986</v>
      </c>
      <c r="U524" s="290">
        <v>542</v>
      </c>
      <c r="V524" s="290" t="s">
        <v>986</v>
      </c>
      <c r="W524" s="295" t="s">
        <v>778</v>
      </c>
    </row>
    <row r="525" spans="1:23" s="290" customFormat="1" ht="9.75" customHeight="1" x14ac:dyDescent="0.15">
      <c r="A525" s="559" t="s">
        <v>640</v>
      </c>
      <c r="B525" s="290">
        <v>11</v>
      </c>
      <c r="C525" s="290" t="s">
        <v>986</v>
      </c>
      <c r="D525" s="290" t="s">
        <v>986</v>
      </c>
      <c r="E525" s="290" t="s">
        <v>986</v>
      </c>
      <c r="F525" s="290" t="s">
        <v>986</v>
      </c>
      <c r="G525" s="290" t="s">
        <v>986</v>
      </c>
      <c r="H525" s="290" t="s">
        <v>986</v>
      </c>
      <c r="I525" s="290">
        <v>11</v>
      </c>
      <c r="J525" s="290" t="s">
        <v>986</v>
      </c>
      <c r="K525" s="290" t="s">
        <v>986</v>
      </c>
      <c r="L525" s="290" t="s">
        <v>986</v>
      </c>
      <c r="M525" s="290" t="s">
        <v>986</v>
      </c>
      <c r="N525" s="290" t="s">
        <v>986</v>
      </c>
      <c r="O525" s="290" t="s">
        <v>986</v>
      </c>
      <c r="P525" s="290" t="s">
        <v>986</v>
      </c>
      <c r="Q525" s="290" t="s">
        <v>986</v>
      </c>
      <c r="R525" s="290">
        <v>11</v>
      </c>
      <c r="S525" s="290">
        <v>686</v>
      </c>
      <c r="T525" s="290">
        <v>36</v>
      </c>
      <c r="U525" s="290">
        <v>547</v>
      </c>
      <c r="V525" s="290" t="s">
        <v>986</v>
      </c>
      <c r="W525" s="295" t="s">
        <v>73</v>
      </c>
    </row>
    <row r="526" spans="1:23" s="290" customFormat="1" ht="9.75" customHeight="1" x14ac:dyDescent="0.15">
      <c r="A526" s="559" t="s">
        <v>641</v>
      </c>
      <c r="B526" s="290">
        <v>11</v>
      </c>
      <c r="C526" s="290">
        <v>35</v>
      </c>
      <c r="D526" s="290" t="s">
        <v>986</v>
      </c>
      <c r="E526" s="290">
        <v>35</v>
      </c>
      <c r="F526" s="290" t="s">
        <v>986</v>
      </c>
      <c r="G526" s="290" t="s">
        <v>986</v>
      </c>
      <c r="H526" s="290" t="s">
        <v>986</v>
      </c>
      <c r="I526" s="290">
        <v>39</v>
      </c>
      <c r="J526" s="290" t="s">
        <v>986</v>
      </c>
      <c r="K526" s="290" t="s">
        <v>986</v>
      </c>
      <c r="L526" s="290">
        <v>1</v>
      </c>
      <c r="M526" s="290" t="s">
        <v>986</v>
      </c>
      <c r="N526" s="290" t="s">
        <v>986</v>
      </c>
      <c r="O526" s="290" t="s">
        <v>986</v>
      </c>
      <c r="P526" s="290" t="s">
        <v>986</v>
      </c>
      <c r="Q526" s="290">
        <v>16</v>
      </c>
      <c r="R526" s="290">
        <v>22</v>
      </c>
      <c r="S526" s="290">
        <v>334</v>
      </c>
      <c r="T526" s="290" t="s">
        <v>986</v>
      </c>
      <c r="U526" s="290">
        <v>146</v>
      </c>
      <c r="V526" s="290">
        <v>8</v>
      </c>
      <c r="W526" s="295" t="s">
        <v>74</v>
      </c>
    </row>
    <row r="527" spans="1:23" s="290" customFormat="1" ht="9.75" customHeight="1" x14ac:dyDescent="0.15">
      <c r="A527" s="559" t="s">
        <v>642</v>
      </c>
      <c r="B527" s="290">
        <v>11</v>
      </c>
      <c r="C527" s="290">
        <v>1</v>
      </c>
      <c r="D527" s="290" t="s">
        <v>986</v>
      </c>
      <c r="E527" s="290" t="s">
        <v>986</v>
      </c>
      <c r="F527" s="290" t="s">
        <v>986</v>
      </c>
      <c r="G527" s="290">
        <v>8</v>
      </c>
      <c r="H527" s="290">
        <v>1</v>
      </c>
      <c r="I527" s="290">
        <v>36</v>
      </c>
      <c r="J527" s="290">
        <v>1</v>
      </c>
      <c r="K527" s="290" t="s">
        <v>986</v>
      </c>
      <c r="L527" s="290" t="s">
        <v>986</v>
      </c>
      <c r="M527" s="290" t="s">
        <v>986</v>
      </c>
      <c r="N527" s="290">
        <v>12</v>
      </c>
      <c r="O527" s="290" t="s">
        <v>986</v>
      </c>
      <c r="P527" s="290" t="s">
        <v>986</v>
      </c>
      <c r="Q527" s="290" t="s">
        <v>986</v>
      </c>
      <c r="R527" s="290">
        <v>23</v>
      </c>
      <c r="S527" s="290">
        <v>360</v>
      </c>
      <c r="T527" s="290">
        <v>36</v>
      </c>
      <c r="U527" s="290">
        <v>324</v>
      </c>
      <c r="V527" s="290" t="s">
        <v>986</v>
      </c>
      <c r="W527" s="295" t="s">
        <v>75</v>
      </c>
    </row>
    <row r="528" spans="1:23" s="290" customFormat="1" ht="9.75" customHeight="1" x14ac:dyDescent="0.15">
      <c r="A528" s="559" t="s">
        <v>643</v>
      </c>
      <c r="B528" s="290" t="s">
        <v>986</v>
      </c>
      <c r="C528" s="290">
        <v>18</v>
      </c>
      <c r="D528" s="290" t="s">
        <v>986</v>
      </c>
      <c r="E528" s="290">
        <v>35</v>
      </c>
      <c r="F528" s="290" t="s">
        <v>986</v>
      </c>
      <c r="G528" s="290" t="s">
        <v>986</v>
      </c>
      <c r="H528" s="290" t="s">
        <v>986</v>
      </c>
      <c r="I528" s="290">
        <v>27</v>
      </c>
      <c r="J528" s="290" t="s">
        <v>986</v>
      </c>
      <c r="K528" s="290" t="s">
        <v>986</v>
      </c>
      <c r="L528" s="290" t="s">
        <v>986</v>
      </c>
      <c r="M528" s="290" t="s">
        <v>986</v>
      </c>
      <c r="N528" s="290" t="s">
        <v>986</v>
      </c>
      <c r="O528" s="290" t="s">
        <v>986</v>
      </c>
      <c r="P528" s="290" t="s">
        <v>986</v>
      </c>
      <c r="Q528" s="290">
        <v>16</v>
      </c>
      <c r="R528" s="290">
        <v>11</v>
      </c>
      <c r="S528" s="290">
        <v>332</v>
      </c>
      <c r="T528" s="290">
        <v>18</v>
      </c>
      <c r="U528" s="290">
        <v>211</v>
      </c>
      <c r="V528" s="290" t="s">
        <v>986</v>
      </c>
      <c r="W528" s="295" t="s">
        <v>88</v>
      </c>
    </row>
    <row r="529" spans="1:23" s="290" customFormat="1" ht="9.75" customHeight="1" x14ac:dyDescent="0.15">
      <c r="A529" s="559" t="s">
        <v>644</v>
      </c>
      <c r="B529" s="290">
        <v>11</v>
      </c>
      <c r="C529" s="290">
        <v>2</v>
      </c>
      <c r="D529" s="290">
        <v>35</v>
      </c>
      <c r="E529" s="290" t="s">
        <v>986</v>
      </c>
      <c r="F529" s="290" t="s">
        <v>986</v>
      </c>
      <c r="G529" s="290" t="s">
        <v>986</v>
      </c>
      <c r="H529" s="290">
        <v>1</v>
      </c>
      <c r="I529" s="290">
        <v>44</v>
      </c>
      <c r="J529" s="290" t="s">
        <v>986</v>
      </c>
      <c r="K529" s="290" t="s">
        <v>986</v>
      </c>
      <c r="L529" s="290">
        <v>18</v>
      </c>
      <c r="M529" s="290" t="s">
        <v>986</v>
      </c>
      <c r="N529" s="290" t="s">
        <v>986</v>
      </c>
      <c r="O529" s="290" t="s">
        <v>986</v>
      </c>
      <c r="P529" s="290" t="s">
        <v>986</v>
      </c>
      <c r="Q529" s="290" t="s">
        <v>986</v>
      </c>
      <c r="R529" s="290">
        <v>26</v>
      </c>
      <c r="S529" s="290">
        <v>241</v>
      </c>
      <c r="T529" s="290">
        <v>18</v>
      </c>
      <c r="U529" s="290">
        <v>206</v>
      </c>
      <c r="V529" s="290" t="s">
        <v>986</v>
      </c>
      <c r="W529" s="295" t="s">
        <v>89</v>
      </c>
    </row>
    <row r="530" spans="1:23" s="290" customFormat="1" ht="9.75" customHeight="1" x14ac:dyDescent="0.15">
      <c r="A530" s="559" t="s">
        <v>645</v>
      </c>
      <c r="B530" s="290" t="s">
        <v>986</v>
      </c>
      <c r="C530" s="290">
        <v>36</v>
      </c>
      <c r="D530" s="290" t="s">
        <v>986</v>
      </c>
      <c r="E530" s="290">
        <v>18</v>
      </c>
      <c r="F530" s="290" t="s">
        <v>986</v>
      </c>
      <c r="G530" s="290" t="s">
        <v>986</v>
      </c>
      <c r="H530" s="290" t="s">
        <v>986</v>
      </c>
      <c r="I530" s="290">
        <v>23</v>
      </c>
      <c r="J530" s="290">
        <v>1</v>
      </c>
      <c r="K530" s="290" t="s">
        <v>986</v>
      </c>
      <c r="L530" s="290" t="s">
        <v>986</v>
      </c>
      <c r="M530" s="290" t="s">
        <v>986</v>
      </c>
      <c r="N530" s="290" t="s">
        <v>986</v>
      </c>
      <c r="O530" s="290" t="s">
        <v>986</v>
      </c>
      <c r="P530" s="290" t="s">
        <v>986</v>
      </c>
      <c r="Q530" s="290" t="s">
        <v>986</v>
      </c>
      <c r="R530" s="290">
        <v>22</v>
      </c>
      <c r="S530" s="290">
        <v>313</v>
      </c>
      <c r="T530" s="290">
        <v>54</v>
      </c>
      <c r="U530" s="290">
        <v>156</v>
      </c>
      <c r="V530" s="290" t="s">
        <v>986</v>
      </c>
      <c r="W530" s="295" t="s">
        <v>90</v>
      </c>
    </row>
    <row r="531" spans="1:23" s="290" customFormat="1" ht="9.75" customHeight="1" x14ac:dyDescent="0.15">
      <c r="A531" s="559" t="s">
        <v>646</v>
      </c>
      <c r="B531" s="290" t="s">
        <v>986</v>
      </c>
      <c r="C531" s="290">
        <v>45</v>
      </c>
      <c r="D531" s="290" t="s">
        <v>986</v>
      </c>
      <c r="E531" s="290" t="s">
        <v>986</v>
      </c>
      <c r="F531" s="290" t="s">
        <v>986</v>
      </c>
      <c r="G531" s="290" t="s">
        <v>986</v>
      </c>
      <c r="H531" s="290" t="s">
        <v>986</v>
      </c>
      <c r="I531" s="290">
        <v>29</v>
      </c>
      <c r="J531" s="290" t="s">
        <v>986</v>
      </c>
      <c r="K531" s="290" t="s">
        <v>986</v>
      </c>
      <c r="L531" s="290">
        <v>18</v>
      </c>
      <c r="M531" s="290" t="s">
        <v>986</v>
      </c>
      <c r="N531" s="290" t="s">
        <v>986</v>
      </c>
      <c r="O531" s="290" t="s">
        <v>986</v>
      </c>
      <c r="P531" s="290" t="s">
        <v>986</v>
      </c>
      <c r="Q531" s="290" t="s">
        <v>986</v>
      </c>
      <c r="R531" s="290">
        <v>11</v>
      </c>
      <c r="S531" s="290">
        <v>529</v>
      </c>
      <c r="T531" s="290">
        <v>18</v>
      </c>
      <c r="U531" s="290">
        <v>338</v>
      </c>
      <c r="V531" s="290" t="s">
        <v>986</v>
      </c>
      <c r="W531" s="295" t="s">
        <v>91</v>
      </c>
    </row>
    <row r="532" spans="1:23" s="290" customFormat="1" ht="9.75" customHeight="1" x14ac:dyDescent="0.15">
      <c r="A532" s="559" t="s">
        <v>647</v>
      </c>
      <c r="B532" s="290">
        <v>11</v>
      </c>
      <c r="C532" s="290">
        <v>57</v>
      </c>
      <c r="D532" s="290" t="s">
        <v>986</v>
      </c>
      <c r="E532" s="290">
        <v>17</v>
      </c>
      <c r="F532" s="290" t="s">
        <v>986</v>
      </c>
      <c r="G532" s="290" t="s">
        <v>986</v>
      </c>
      <c r="H532" s="290" t="s">
        <v>986</v>
      </c>
      <c r="I532" s="290">
        <v>74</v>
      </c>
      <c r="J532" s="290" t="s">
        <v>986</v>
      </c>
      <c r="K532" s="290" t="s">
        <v>986</v>
      </c>
      <c r="L532" s="290" t="s">
        <v>986</v>
      </c>
      <c r="M532" s="290" t="s">
        <v>986</v>
      </c>
      <c r="N532" s="290">
        <v>63</v>
      </c>
      <c r="O532" s="290" t="s">
        <v>986</v>
      </c>
      <c r="P532" s="290" t="s">
        <v>986</v>
      </c>
      <c r="Q532" s="290" t="s">
        <v>986</v>
      </c>
      <c r="R532" s="290">
        <v>11</v>
      </c>
      <c r="S532" s="290">
        <v>483</v>
      </c>
      <c r="T532" s="290">
        <v>18</v>
      </c>
      <c r="U532" s="290">
        <v>207</v>
      </c>
      <c r="V532" s="290" t="s">
        <v>986</v>
      </c>
      <c r="W532" s="295" t="s">
        <v>92</v>
      </c>
    </row>
    <row r="533" spans="1:23" s="290" customFormat="1" ht="9.75" customHeight="1" x14ac:dyDescent="0.15">
      <c r="A533" s="559" t="s">
        <v>648</v>
      </c>
      <c r="B533" s="290">
        <v>11</v>
      </c>
      <c r="C533" s="290">
        <v>53</v>
      </c>
      <c r="D533" s="290">
        <v>18</v>
      </c>
      <c r="E533" s="290">
        <v>52</v>
      </c>
      <c r="F533" s="290" t="s">
        <v>986</v>
      </c>
      <c r="G533" s="290" t="s">
        <v>986</v>
      </c>
      <c r="H533" s="290">
        <v>3</v>
      </c>
      <c r="I533" s="290">
        <v>340</v>
      </c>
      <c r="J533" s="290" t="s">
        <v>986</v>
      </c>
      <c r="K533" s="290" t="s">
        <v>986</v>
      </c>
      <c r="L533" s="290" t="s">
        <v>986</v>
      </c>
      <c r="M533" s="290">
        <v>172</v>
      </c>
      <c r="N533" s="290">
        <v>141</v>
      </c>
      <c r="O533" s="290" t="s">
        <v>986</v>
      </c>
      <c r="P533" s="290" t="s">
        <v>986</v>
      </c>
      <c r="Q533" s="290">
        <v>16</v>
      </c>
      <c r="R533" s="290">
        <v>11</v>
      </c>
      <c r="S533" s="290">
        <v>379</v>
      </c>
      <c r="T533" s="290">
        <v>18</v>
      </c>
      <c r="U533" s="290">
        <v>155</v>
      </c>
      <c r="V533" s="290" t="s">
        <v>986</v>
      </c>
      <c r="W533" s="295" t="s">
        <v>76</v>
      </c>
    </row>
    <row r="534" spans="1:23" s="290" customFormat="1" ht="9.75" customHeight="1" x14ac:dyDescent="0.15">
      <c r="A534" s="559" t="s">
        <v>649</v>
      </c>
      <c r="B534" s="290" t="s">
        <v>986</v>
      </c>
      <c r="C534" s="290">
        <v>41</v>
      </c>
      <c r="D534" s="290" t="s">
        <v>986</v>
      </c>
      <c r="E534" s="290" t="s">
        <v>986</v>
      </c>
      <c r="F534" s="290" t="s">
        <v>986</v>
      </c>
      <c r="G534" s="290" t="s">
        <v>986</v>
      </c>
      <c r="H534" s="290" t="s">
        <v>986</v>
      </c>
      <c r="I534" s="290">
        <v>202</v>
      </c>
      <c r="J534" s="290" t="s">
        <v>986</v>
      </c>
      <c r="K534" s="290">
        <v>2</v>
      </c>
      <c r="L534" s="290">
        <v>17</v>
      </c>
      <c r="M534" s="290">
        <v>172</v>
      </c>
      <c r="N534" s="290" t="s">
        <v>986</v>
      </c>
      <c r="O534" s="290" t="s">
        <v>986</v>
      </c>
      <c r="P534" s="290" t="s">
        <v>986</v>
      </c>
      <c r="Q534" s="290" t="s">
        <v>986</v>
      </c>
      <c r="R534" s="290">
        <v>11</v>
      </c>
      <c r="S534" s="290">
        <v>439</v>
      </c>
      <c r="T534" s="290" t="s">
        <v>986</v>
      </c>
      <c r="U534" s="290">
        <v>207</v>
      </c>
      <c r="V534" s="290" t="s">
        <v>986</v>
      </c>
      <c r="W534" s="295" t="s">
        <v>77</v>
      </c>
    </row>
    <row r="535" spans="1:23" s="290" customFormat="1" ht="9.75" customHeight="1" x14ac:dyDescent="0.15">
      <c r="A535" s="559" t="s">
        <v>650</v>
      </c>
      <c r="B535" s="290">
        <v>11</v>
      </c>
      <c r="C535" s="290">
        <v>22</v>
      </c>
      <c r="D535" s="290">
        <v>35</v>
      </c>
      <c r="E535" s="290">
        <v>35</v>
      </c>
      <c r="F535" s="290" t="s">
        <v>986</v>
      </c>
      <c r="G535" s="290" t="s">
        <v>986</v>
      </c>
      <c r="H535" s="290" t="s">
        <v>986</v>
      </c>
      <c r="I535" s="290">
        <v>172</v>
      </c>
      <c r="J535" s="290" t="s">
        <v>986</v>
      </c>
      <c r="K535" s="290" t="s">
        <v>986</v>
      </c>
      <c r="L535" s="290" t="s">
        <v>986</v>
      </c>
      <c r="M535" s="290">
        <v>172</v>
      </c>
      <c r="N535" s="290" t="s">
        <v>986</v>
      </c>
      <c r="O535" s="290" t="s">
        <v>986</v>
      </c>
      <c r="P535" s="290" t="s">
        <v>986</v>
      </c>
      <c r="Q535" s="290" t="s">
        <v>986</v>
      </c>
      <c r="R535" s="290" t="s">
        <v>986</v>
      </c>
      <c r="S535" s="290">
        <v>398</v>
      </c>
      <c r="T535" s="290">
        <v>54</v>
      </c>
      <c r="U535" s="290">
        <v>344</v>
      </c>
      <c r="V535" s="290" t="s">
        <v>986</v>
      </c>
      <c r="W535" s="295" t="s">
        <v>78</v>
      </c>
    </row>
    <row r="536" spans="1:23" s="290" customFormat="1" ht="9.75" customHeight="1" x14ac:dyDescent="0.15">
      <c r="A536" s="559" t="s">
        <v>996</v>
      </c>
      <c r="B536" s="290">
        <v>11</v>
      </c>
      <c r="C536" s="290">
        <v>17</v>
      </c>
      <c r="D536" s="290" t="s">
        <v>986</v>
      </c>
      <c r="E536" s="290" t="s">
        <v>986</v>
      </c>
      <c r="F536" s="290" t="s">
        <v>986</v>
      </c>
      <c r="G536" s="290" t="s">
        <v>986</v>
      </c>
      <c r="H536" s="290" t="s">
        <v>986</v>
      </c>
      <c r="I536" s="290">
        <v>17</v>
      </c>
      <c r="J536" s="290" t="s">
        <v>986</v>
      </c>
      <c r="K536" s="290" t="s">
        <v>986</v>
      </c>
      <c r="L536" s="290" t="s">
        <v>986</v>
      </c>
      <c r="M536" s="290" t="s">
        <v>986</v>
      </c>
      <c r="N536" s="290">
        <v>11</v>
      </c>
      <c r="O536" s="290" t="s">
        <v>986</v>
      </c>
      <c r="P536" s="290" t="s">
        <v>986</v>
      </c>
      <c r="Q536" s="290" t="s">
        <v>986</v>
      </c>
      <c r="R536" s="290">
        <v>6</v>
      </c>
      <c r="S536" s="290">
        <v>311</v>
      </c>
      <c r="T536" s="290">
        <v>36</v>
      </c>
      <c r="U536" s="290">
        <v>275</v>
      </c>
      <c r="V536" s="290" t="s">
        <v>986</v>
      </c>
      <c r="W536" s="295" t="s">
        <v>997</v>
      </c>
    </row>
    <row r="537" spans="1:23" s="290" customFormat="1" ht="9.75" customHeight="1" x14ac:dyDescent="0.15">
      <c r="A537" s="559" t="s">
        <v>651</v>
      </c>
      <c r="B537" s="290" t="s">
        <v>986</v>
      </c>
      <c r="C537" s="290">
        <v>1</v>
      </c>
      <c r="D537" s="290" t="s">
        <v>986</v>
      </c>
      <c r="E537" s="290">
        <v>17</v>
      </c>
      <c r="F537" s="290" t="s">
        <v>986</v>
      </c>
      <c r="G537" s="290" t="s">
        <v>986</v>
      </c>
      <c r="H537" s="290">
        <v>1</v>
      </c>
      <c r="I537" s="290">
        <v>16</v>
      </c>
      <c r="J537" s="290" t="s">
        <v>986</v>
      </c>
      <c r="K537" s="290" t="s">
        <v>986</v>
      </c>
      <c r="L537" s="290" t="s">
        <v>986</v>
      </c>
      <c r="M537" s="290" t="s">
        <v>986</v>
      </c>
      <c r="N537" s="290" t="s">
        <v>986</v>
      </c>
      <c r="O537" s="290" t="s">
        <v>986</v>
      </c>
      <c r="P537" s="290" t="s">
        <v>986</v>
      </c>
      <c r="Q537" s="290">
        <v>16</v>
      </c>
      <c r="R537" s="290" t="s">
        <v>986</v>
      </c>
      <c r="S537" s="290">
        <v>306</v>
      </c>
      <c r="T537" s="290">
        <v>36</v>
      </c>
      <c r="U537" s="290">
        <v>260</v>
      </c>
      <c r="V537" s="290">
        <v>10</v>
      </c>
      <c r="W537" s="295" t="s">
        <v>73</v>
      </c>
    </row>
    <row r="538" spans="1:23" s="290" customFormat="1" ht="9.75" customHeight="1" x14ac:dyDescent="0.15">
      <c r="A538" s="560" t="s">
        <v>652</v>
      </c>
      <c r="B538" s="294">
        <v>11</v>
      </c>
      <c r="C538" s="293">
        <v>22</v>
      </c>
      <c r="D538" s="293">
        <v>17</v>
      </c>
      <c r="E538" s="293">
        <v>17</v>
      </c>
      <c r="F538" s="293" t="s">
        <v>986</v>
      </c>
      <c r="G538" s="293" t="s">
        <v>986</v>
      </c>
      <c r="H538" s="293" t="s">
        <v>986</v>
      </c>
      <c r="I538" s="293" t="s">
        <v>986</v>
      </c>
      <c r="J538" s="293" t="s">
        <v>986</v>
      </c>
      <c r="K538" s="293" t="s">
        <v>986</v>
      </c>
      <c r="L538" s="293" t="s">
        <v>986</v>
      </c>
      <c r="M538" s="293" t="s">
        <v>986</v>
      </c>
      <c r="N538" s="293" t="s">
        <v>986</v>
      </c>
      <c r="O538" s="293" t="s">
        <v>986</v>
      </c>
      <c r="P538" s="293" t="s">
        <v>986</v>
      </c>
      <c r="Q538" s="293" t="s">
        <v>986</v>
      </c>
      <c r="R538" s="293" t="s">
        <v>986</v>
      </c>
      <c r="S538" s="293">
        <v>420</v>
      </c>
      <c r="T538" s="293">
        <v>36</v>
      </c>
      <c r="U538" s="293">
        <v>384</v>
      </c>
      <c r="V538" s="293" t="s">
        <v>986</v>
      </c>
      <c r="W538" s="291" t="s">
        <v>74</v>
      </c>
    </row>
    <row r="539" spans="1:23" ht="12" customHeight="1" x14ac:dyDescent="0.15"/>
    <row r="540" spans="1:23" ht="12" customHeight="1" x14ac:dyDescent="0.15"/>
    <row r="541" spans="1:23" ht="12" customHeight="1" x14ac:dyDescent="0.15">
      <c r="K541" s="299" t="s">
        <v>93</v>
      </c>
    </row>
    <row r="542" spans="1:23" s="297" customFormat="1" ht="21" customHeight="1" x14ac:dyDescent="0.15">
      <c r="A542" s="1053" t="s">
        <v>172</v>
      </c>
      <c r="B542" s="832" t="s">
        <v>321</v>
      </c>
      <c r="C542" s="827"/>
      <c r="D542" s="827"/>
      <c r="E542" s="827"/>
      <c r="F542" s="827"/>
      <c r="G542" s="827"/>
      <c r="H542" s="827"/>
      <c r="I542" s="827"/>
      <c r="J542" s="827"/>
      <c r="K542" s="827"/>
      <c r="L542" s="827"/>
      <c r="M542" s="827"/>
      <c r="N542" s="827"/>
      <c r="O542" s="827"/>
      <c r="P542" s="827"/>
      <c r="Q542" s="827"/>
      <c r="R542" s="827"/>
      <c r="S542" s="834"/>
      <c r="T542" s="835" t="s">
        <v>868</v>
      </c>
      <c r="U542" s="827"/>
      <c r="V542" s="827"/>
      <c r="W542" s="1056" t="s">
        <v>79</v>
      </c>
    </row>
    <row r="543" spans="1:23" s="297" customFormat="1" ht="21" customHeight="1" x14ac:dyDescent="0.15">
      <c r="A543" s="1054"/>
      <c r="B543" s="832" t="s">
        <v>871</v>
      </c>
      <c r="C543" s="827"/>
      <c r="D543" s="834"/>
      <c r="E543" s="826" t="s">
        <v>257</v>
      </c>
      <c r="F543" s="827"/>
      <c r="G543" s="827"/>
      <c r="H543" s="827"/>
      <c r="I543" s="827"/>
      <c r="J543" s="827"/>
      <c r="K543" s="827"/>
      <c r="L543" s="827"/>
      <c r="M543" s="834"/>
      <c r="N543" s="826" t="s">
        <v>242</v>
      </c>
      <c r="O543" s="827"/>
      <c r="P543" s="834"/>
      <c r="Q543" s="826" t="s">
        <v>241</v>
      </c>
      <c r="R543" s="827"/>
      <c r="S543" s="834"/>
      <c r="T543" s="1059" t="s">
        <v>272</v>
      </c>
      <c r="U543" s="826" t="s">
        <v>265</v>
      </c>
      <c r="V543" s="827"/>
      <c r="W543" s="1057"/>
    </row>
    <row r="544" spans="1:23" s="297" customFormat="1" ht="52.5" customHeight="1" x14ac:dyDescent="0.15">
      <c r="A544" s="1055"/>
      <c r="B544" s="298" t="s">
        <v>266</v>
      </c>
      <c r="C544" s="298" t="s">
        <v>880</v>
      </c>
      <c r="D544" s="298" t="s">
        <v>320</v>
      </c>
      <c r="E544" s="696" t="s">
        <v>856</v>
      </c>
      <c r="F544" s="298" t="s">
        <v>319</v>
      </c>
      <c r="G544" s="298" t="s">
        <v>881</v>
      </c>
      <c r="H544" s="298" t="s">
        <v>318</v>
      </c>
      <c r="I544" s="298" t="s">
        <v>243</v>
      </c>
      <c r="J544" s="298" t="s">
        <v>317</v>
      </c>
      <c r="K544" s="298" t="s">
        <v>240</v>
      </c>
      <c r="L544" s="298" t="s">
        <v>560</v>
      </c>
      <c r="M544" s="298" t="s">
        <v>261</v>
      </c>
      <c r="N544" s="696" t="s">
        <v>857</v>
      </c>
      <c r="O544" s="298" t="s">
        <v>316</v>
      </c>
      <c r="P544" s="298" t="s">
        <v>859</v>
      </c>
      <c r="Q544" s="696" t="s">
        <v>860</v>
      </c>
      <c r="R544" s="298" t="s">
        <v>236</v>
      </c>
      <c r="S544" s="298" t="s">
        <v>874</v>
      </c>
      <c r="T544" s="1060"/>
      <c r="U544" s="696" t="s">
        <v>851</v>
      </c>
      <c r="V544" s="300" t="s">
        <v>256</v>
      </c>
      <c r="W544" s="1058"/>
    </row>
    <row r="545" spans="1:23" s="290" customFormat="1" ht="9.75" customHeight="1" x14ac:dyDescent="0.15">
      <c r="A545" s="828" t="s">
        <v>985</v>
      </c>
      <c r="B545" s="829" t="s">
        <v>986</v>
      </c>
      <c r="C545" s="830">
        <v>310</v>
      </c>
      <c r="D545" s="830">
        <v>103</v>
      </c>
      <c r="E545" s="830">
        <v>350</v>
      </c>
      <c r="F545" s="830">
        <v>99</v>
      </c>
      <c r="G545" s="830" t="s">
        <v>986</v>
      </c>
      <c r="H545" s="830">
        <v>24</v>
      </c>
      <c r="I545" s="830" t="s">
        <v>986</v>
      </c>
      <c r="J545" s="830">
        <v>156</v>
      </c>
      <c r="K545" s="830" t="s">
        <v>986</v>
      </c>
      <c r="L545" s="830" t="s">
        <v>986</v>
      </c>
      <c r="M545" s="830">
        <v>71</v>
      </c>
      <c r="N545" s="830">
        <v>307</v>
      </c>
      <c r="O545" s="830">
        <v>87</v>
      </c>
      <c r="P545" s="830">
        <v>220</v>
      </c>
      <c r="Q545" s="830">
        <v>304</v>
      </c>
      <c r="R545" s="830">
        <v>184</v>
      </c>
      <c r="S545" s="830">
        <v>120</v>
      </c>
      <c r="T545" s="830">
        <v>186335</v>
      </c>
      <c r="U545" s="830">
        <v>186078</v>
      </c>
      <c r="V545" s="830">
        <v>16613</v>
      </c>
      <c r="W545" s="831" t="s">
        <v>485</v>
      </c>
    </row>
    <row r="546" spans="1:23" s="290" customFormat="1" ht="9.75" customHeight="1" x14ac:dyDescent="0.15">
      <c r="A546" s="559" t="s">
        <v>634</v>
      </c>
      <c r="B546" s="290" t="s">
        <v>986</v>
      </c>
      <c r="C546" s="290">
        <v>1463</v>
      </c>
      <c r="D546" s="290">
        <v>414</v>
      </c>
      <c r="E546" s="290">
        <v>4652</v>
      </c>
      <c r="F546" s="290">
        <v>72</v>
      </c>
      <c r="G546" s="290">
        <v>129</v>
      </c>
      <c r="H546" s="290">
        <v>36</v>
      </c>
      <c r="I546" s="290">
        <v>86</v>
      </c>
      <c r="J546" s="290">
        <v>173</v>
      </c>
      <c r="K546" s="290">
        <v>4036</v>
      </c>
      <c r="L546" s="290">
        <v>34</v>
      </c>
      <c r="M546" s="290">
        <v>86</v>
      </c>
      <c r="N546" s="290">
        <v>191</v>
      </c>
      <c r="O546" s="290">
        <v>34</v>
      </c>
      <c r="P546" s="290">
        <v>157</v>
      </c>
      <c r="Q546" s="290">
        <v>311</v>
      </c>
      <c r="R546" s="290">
        <v>190</v>
      </c>
      <c r="S546" s="290">
        <v>121</v>
      </c>
      <c r="T546" s="290">
        <v>133245</v>
      </c>
      <c r="U546" s="290">
        <v>133245</v>
      </c>
      <c r="V546" s="290">
        <v>26131</v>
      </c>
      <c r="W546" s="295" t="s">
        <v>588</v>
      </c>
    </row>
    <row r="547" spans="1:23" s="290" customFormat="1" ht="9.75" customHeight="1" x14ac:dyDescent="0.15">
      <c r="A547" s="559" t="s">
        <v>635</v>
      </c>
      <c r="B547" s="290" t="s">
        <v>986</v>
      </c>
      <c r="C547" s="290">
        <v>2385</v>
      </c>
      <c r="D547" s="290" t="s">
        <v>986</v>
      </c>
      <c r="E547" s="290">
        <v>577</v>
      </c>
      <c r="F547" s="290">
        <v>75</v>
      </c>
      <c r="G547" s="290" t="s">
        <v>986</v>
      </c>
      <c r="H547" s="290">
        <v>29</v>
      </c>
      <c r="I547" s="290">
        <v>137</v>
      </c>
      <c r="J547" s="290">
        <v>122</v>
      </c>
      <c r="K547" s="290">
        <v>129</v>
      </c>
      <c r="L547" s="290">
        <v>52</v>
      </c>
      <c r="M547" s="290">
        <v>33</v>
      </c>
      <c r="N547" s="290">
        <v>356</v>
      </c>
      <c r="O547" s="290">
        <v>104</v>
      </c>
      <c r="P547" s="290">
        <v>252</v>
      </c>
      <c r="Q547" s="290">
        <v>262</v>
      </c>
      <c r="R547" s="290">
        <v>124</v>
      </c>
      <c r="S547" s="290">
        <v>138</v>
      </c>
      <c r="T547" s="290">
        <v>147278</v>
      </c>
      <c r="U547" s="290">
        <v>147278</v>
      </c>
      <c r="V547" s="290">
        <v>14309</v>
      </c>
      <c r="W547" s="295" t="s">
        <v>636</v>
      </c>
    </row>
    <row r="548" spans="1:23" s="290" customFormat="1" ht="9.75" customHeight="1" x14ac:dyDescent="0.15">
      <c r="A548" s="559" t="s">
        <v>774</v>
      </c>
      <c r="B548" s="290" t="s">
        <v>986</v>
      </c>
      <c r="C548" s="290">
        <v>26</v>
      </c>
      <c r="D548" s="290" t="s">
        <v>986</v>
      </c>
      <c r="E548" s="290">
        <v>392</v>
      </c>
      <c r="F548" s="290">
        <v>156</v>
      </c>
      <c r="G548" s="290" t="s">
        <v>986</v>
      </c>
      <c r="H548" s="290">
        <v>36</v>
      </c>
      <c r="I548" s="290">
        <v>95</v>
      </c>
      <c r="J548" s="290">
        <v>87</v>
      </c>
      <c r="K548" s="290" t="s">
        <v>986</v>
      </c>
      <c r="L548" s="290">
        <v>18</v>
      </c>
      <c r="M548" s="290" t="s">
        <v>986</v>
      </c>
      <c r="N548" s="290">
        <v>321</v>
      </c>
      <c r="O548" s="290">
        <v>85</v>
      </c>
      <c r="P548" s="290">
        <v>236</v>
      </c>
      <c r="Q548" s="290">
        <v>263</v>
      </c>
      <c r="R548" s="290">
        <v>112</v>
      </c>
      <c r="S548" s="290">
        <v>151</v>
      </c>
      <c r="T548" s="290">
        <v>236149</v>
      </c>
      <c r="U548" s="290">
        <v>236149</v>
      </c>
      <c r="V548" s="290">
        <v>15198</v>
      </c>
      <c r="W548" s="295" t="s">
        <v>775</v>
      </c>
    </row>
    <row r="549" spans="1:23" s="290" customFormat="1" ht="9.75" customHeight="1" x14ac:dyDescent="0.15">
      <c r="A549" s="559" t="s">
        <v>987</v>
      </c>
      <c r="B549" s="290">
        <v>61</v>
      </c>
      <c r="C549" s="290">
        <v>1314</v>
      </c>
      <c r="D549" s="290" t="s">
        <v>986</v>
      </c>
      <c r="E549" s="290">
        <v>149</v>
      </c>
      <c r="F549" s="290">
        <v>11</v>
      </c>
      <c r="G549" s="290" t="s">
        <v>986</v>
      </c>
      <c r="H549" s="290">
        <v>18</v>
      </c>
      <c r="I549" s="290">
        <v>40</v>
      </c>
      <c r="J549" s="290">
        <v>17</v>
      </c>
      <c r="K549" s="290" t="s">
        <v>986</v>
      </c>
      <c r="L549" s="290">
        <v>18</v>
      </c>
      <c r="M549" s="290">
        <v>45</v>
      </c>
      <c r="N549" s="290">
        <v>226</v>
      </c>
      <c r="O549" s="290">
        <v>53</v>
      </c>
      <c r="P549" s="290">
        <v>173</v>
      </c>
      <c r="Q549" s="290">
        <v>210</v>
      </c>
      <c r="R549" s="290">
        <v>110</v>
      </c>
      <c r="S549" s="290">
        <v>100</v>
      </c>
      <c r="T549" s="290">
        <v>224841</v>
      </c>
      <c r="U549" s="290">
        <v>224841</v>
      </c>
      <c r="V549" s="290">
        <v>3641</v>
      </c>
      <c r="W549" s="295" t="s">
        <v>988</v>
      </c>
    </row>
    <row r="550" spans="1:23" s="290" customFormat="1" ht="6.75" customHeight="1" x14ac:dyDescent="0.15">
      <c r="A550" s="578"/>
      <c r="W550" s="295"/>
    </row>
    <row r="551" spans="1:23" s="290" customFormat="1" ht="9.75" customHeight="1" x14ac:dyDescent="0.15">
      <c r="A551" s="559" t="s">
        <v>989</v>
      </c>
      <c r="B551" s="290" t="s">
        <v>986</v>
      </c>
      <c r="C551" s="290">
        <v>283</v>
      </c>
      <c r="D551" s="290" t="s">
        <v>986</v>
      </c>
      <c r="E551" s="290">
        <v>236</v>
      </c>
      <c r="F551" s="290">
        <v>93</v>
      </c>
      <c r="G551" s="290" t="s">
        <v>986</v>
      </c>
      <c r="H551" s="290">
        <v>18</v>
      </c>
      <c r="I551" s="290">
        <v>73</v>
      </c>
      <c r="J551" s="290">
        <v>52</v>
      </c>
      <c r="K551" s="290" t="s">
        <v>986</v>
      </c>
      <c r="L551" s="290" t="s">
        <v>986</v>
      </c>
      <c r="M551" s="290" t="s">
        <v>986</v>
      </c>
      <c r="N551" s="290">
        <v>306</v>
      </c>
      <c r="O551" s="290">
        <v>85</v>
      </c>
      <c r="P551" s="290">
        <v>221</v>
      </c>
      <c r="Q551" s="290">
        <v>231</v>
      </c>
      <c r="R551" s="290">
        <v>113</v>
      </c>
      <c r="S551" s="290">
        <v>118</v>
      </c>
      <c r="T551" s="290">
        <v>249331</v>
      </c>
      <c r="U551" s="290">
        <v>249331</v>
      </c>
      <c r="V551" s="290">
        <v>13094</v>
      </c>
      <c r="W551" s="295" t="s">
        <v>776</v>
      </c>
    </row>
    <row r="552" spans="1:23" s="290" customFormat="1" ht="9.75" customHeight="1" x14ac:dyDescent="0.15">
      <c r="A552" s="559" t="s">
        <v>990</v>
      </c>
      <c r="B552" s="290">
        <v>61</v>
      </c>
      <c r="C552" s="290">
        <v>1031</v>
      </c>
      <c r="D552" s="290" t="s">
        <v>986</v>
      </c>
      <c r="E552" s="290">
        <v>222</v>
      </c>
      <c r="F552" s="290">
        <v>11</v>
      </c>
      <c r="G552" s="290" t="s">
        <v>986</v>
      </c>
      <c r="H552" s="290">
        <v>36</v>
      </c>
      <c r="I552" s="290">
        <v>78</v>
      </c>
      <c r="J552" s="290">
        <v>34</v>
      </c>
      <c r="K552" s="290" t="s">
        <v>986</v>
      </c>
      <c r="L552" s="290">
        <v>18</v>
      </c>
      <c r="M552" s="290">
        <v>45</v>
      </c>
      <c r="N552" s="290">
        <v>274</v>
      </c>
      <c r="O552" s="290">
        <v>70</v>
      </c>
      <c r="P552" s="290">
        <v>204</v>
      </c>
      <c r="Q552" s="290">
        <v>257</v>
      </c>
      <c r="R552" s="290">
        <v>125</v>
      </c>
      <c r="S552" s="290">
        <v>132</v>
      </c>
      <c r="T552" s="290">
        <v>196191</v>
      </c>
      <c r="U552" s="290">
        <v>196191</v>
      </c>
      <c r="V552" s="290">
        <v>2139</v>
      </c>
      <c r="W552" s="295" t="s">
        <v>991</v>
      </c>
    </row>
    <row r="553" spans="1:23" s="290" customFormat="1" ht="6.75" customHeight="1" x14ac:dyDescent="0.15">
      <c r="A553" s="578"/>
      <c r="W553" s="295"/>
    </row>
    <row r="554" spans="1:23" s="290" customFormat="1" ht="9.75" customHeight="1" x14ac:dyDescent="0.15">
      <c r="A554" s="559" t="s">
        <v>992</v>
      </c>
      <c r="B554" s="290" t="s">
        <v>986</v>
      </c>
      <c r="C554" s="290">
        <v>283</v>
      </c>
      <c r="D554" s="290" t="s">
        <v>986</v>
      </c>
      <c r="E554" s="290" t="s">
        <v>986</v>
      </c>
      <c r="F554" s="290" t="s">
        <v>986</v>
      </c>
      <c r="G554" s="290" t="s">
        <v>986</v>
      </c>
      <c r="H554" s="290" t="s">
        <v>986</v>
      </c>
      <c r="I554" s="290" t="s">
        <v>986</v>
      </c>
      <c r="J554" s="290" t="s">
        <v>986</v>
      </c>
      <c r="K554" s="290" t="s">
        <v>986</v>
      </c>
      <c r="L554" s="290" t="s">
        <v>986</v>
      </c>
      <c r="M554" s="290" t="s">
        <v>986</v>
      </c>
      <c r="N554" s="290">
        <v>32</v>
      </c>
      <c r="O554" s="290" t="s">
        <v>986</v>
      </c>
      <c r="P554" s="290">
        <v>32</v>
      </c>
      <c r="Q554" s="290">
        <v>48</v>
      </c>
      <c r="R554" s="290">
        <v>31</v>
      </c>
      <c r="S554" s="290">
        <v>17</v>
      </c>
      <c r="T554" s="290">
        <v>59437</v>
      </c>
      <c r="U554" s="290">
        <v>59437</v>
      </c>
      <c r="V554" s="290">
        <v>1502</v>
      </c>
      <c r="W554" s="295" t="s">
        <v>777</v>
      </c>
    </row>
    <row r="555" spans="1:23" s="290" customFormat="1" ht="9.75" customHeight="1" x14ac:dyDescent="0.15">
      <c r="A555" s="559" t="s">
        <v>637</v>
      </c>
      <c r="B555" s="290">
        <v>17</v>
      </c>
      <c r="C555" s="290">
        <v>103</v>
      </c>
      <c r="D555" s="290" t="s">
        <v>986</v>
      </c>
      <c r="E555" s="290">
        <v>91</v>
      </c>
      <c r="F555" s="290">
        <v>11</v>
      </c>
      <c r="G555" s="290" t="s">
        <v>986</v>
      </c>
      <c r="H555" s="290" t="s">
        <v>986</v>
      </c>
      <c r="I555" s="290" t="s">
        <v>986</v>
      </c>
      <c r="J555" s="290">
        <v>17</v>
      </c>
      <c r="K555" s="290" t="s">
        <v>986</v>
      </c>
      <c r="L555" s="290">
        <v>18</v>
      </c>
      <c r="M555" s="290">
        <v>45</v>
      </c>
      <c r="N555" s="290">
        <v>47</v>
      </c>
      <c r="O555" s="290" t="s">
        <v>986</v>
      </c>
      <c r="P555" s="290">
        <v>47</v>
      </c>
      <c r="Q555" s="290">
        <v>65</v>
      </c>
      <c r="R555" s="290">
        <v>16</v>
      </c>
      <c r="S555" s="290">
        <v>49</v>
      </c>
      <c r="T555" s="290">
        <v>41844</v>
      </c>
      <c r="U555" s="290">
        <v>41844</v>
      </c>
      <c r="V555" s="290" t="s">
        <v>986</v>
      </c>
      <c r="W555" s="295" t="s">
        <v>85</v>
      </c>
    </row>
    <row r="556" spans="1:23" s="290" customFormat="1" ht="9.75" customHeight="1" x14ac:dyDescent="0.15">
      <c r="A556" s="559" t="s">
        <v>638</v>
      </c>
      <c r="B556" s="290">
        <v>18</v>
      </c>
      <c r="C556" s="290">
        <v>516</v>
      </c>
      <c r="D556" s="290" t="s">
        <v>986</v>
      </c>
      <c r="E556" s="290">
        <v>18</v>
      </c>
      <c r="F556" s="290" t="s">
        <v>986</v>
      </c>
      <c r="G556" s="290" t="s">
        <v>986</v>
      </c>
      <c r="H556" s="290">
        <v>18</v>
      </c>
      <c r="I556" s="290" t="s">
        <v>986</v>
      </c>
      <c r="J556" s="290" t="s">
        <v>986</v>
      </c>
      <c r="K556" s="290" t="s">
        <v>986</v>
      </c>
      <c r="L556" s="290" t="s">
        <v>986</v>
      </c>
      <c r="M556" s="290" t="s">
        <v>986</v>
      </c>
      <c r="N556" s="290">
        <v>97</v>
      </c>
      <c r="O556" s="290">
        <v>35</v>
      </c>
      <c r="P556" s="290">
        <v>62</v>
      </c>
      <c r="Q556" s="290">
        <v>47</v>
      </c>
      <c r="R556" s="290">
        <v>47</v>
      </c>
      <c r="S556" s="290" t="s">
        <v>986</v>
      </c>
      <c r="T556" s="290">
        <v>67457</v>
      </c>
      <c r="U556" s="290">
        <v>67457</v>
      </c>
      <c r="V556" s="290">
        <v>2139</v>
      </c>
      <c r="W556" s="295" t="s">
        <v>86</v>
      </c>
    </row>
    <row r="557" spans="1:23" s="290" customFormat="1" ht="9.75" customHeight="1" x14ac:dyDescent="0.15">
      <c r="A557" s="559" t="s">
        <v>639</v>
      </c>
      <c r="B557" s="290">
        <v>26</v>
      </c>
      <c r="C557" s="290">
        <v>412</v>
      </c>
      <c r="D557" s="290" t="s">
        <v>986</v>
      </c>
      <c r="E557" s="290">
        <v>40</v>
      </c>
      <c r="F557" s="290" t="s">
        <v>986</v>
      </c>
      <c r="G557" s="290" t="s">
        <v>986</v>
      </c>
      <c r="H557" s="290" t="s">
        <v>986</v>
      </c>
      <c r="I557" s="290">
        <v>40</v>
      </c>
      <c r="J557" s="290" t="s">
        <v>986</v>
      </c>
      <c r="K557" s="290" t="s">
        <v>986</v>
      </c>
      <c r="L557" s="290" t="s">
        <v>986</v>
      </c>
      <c r="M557" s="290" t="s">
        <v>986</v>
      </c>
      <c r="N557" s="290">
        <v>50</v>
      </c>
      <c r="O557" s="290">
        <v>18</v>
      </c>
      <c r="P557" s="290">
        <v>32</v>
      </c>
      <c r="Q557" s="290">
        <v>50</v>
      </c>
      <c r="R557" s="290">
        <v>16</v>
      </c>
      <c r="S557" s="290">
        <v>34</v>
      </c>
      <c r="T557" s="290">
        <v>56103</v>
      </c>
      <c r="U557" s="290">
        <v>56103</v>
      </c>
      <c r="V557" s="290" t="s">
        <v>986</v>
      </c>
      <c r="W557" s="295" t="s">
        <v>87</v>
      </c>
    </row>
    <row r="558" spans="1:23" s="290" customFormat="1" ht="9.75" customHeight="1" x14ac:dyDescent="0.15">
      <c r="A558" s="559" t="s">
        <v>993</v>
      </c>
      <c r="B558" s="290" t="s">
        <v>986</v>
      </c>
      <c r="C558" s="290" t="s">
        <v>986</v>
      </c>
      <c r="D558" s="290" t="s">
        <v>986</v>
      </c>
      <c r="E558" s="290">
        <v>73</v>
      </c>
      <c r="F558" s="290" t="s">
        <v>986</v>
      </c>
      <c r="G558" s="290" t="s">
        <v>986</v>
      </c>
      <c r="H558" s="290">
        <v>18</v>
      </c>
      <c r="I558" s="290">
        <v>38</v>
      </c>
      <c r="J558" s="290">
        <v>17</v>
      </c>
      <c r="K558" s="290" t="s">
        <v>986</v>
      </c>
      <c r="L558" s="290" t="s">
        <v>986</v>
      </c>
      <c r="M558" s="290" t="s">
        <v>986</v>
      </c>
      <c r="N558" s="290">
        <v>80</v>
      </c>
      <c r="O558" s="290">
        <v>17</v>
      </c>
      <c r="P558" s="290">
        <v>63</v>
      </c>
      <c r="Q558" s="290">
        <v>95</v>
      </c>
      <c r="R558" s="290">
        <v>46</v>
      </c>
      <c r="S558" s="290">
        <v>49</v>
      </c>
      <c r="T558" s="290">
        <v>30787</v>
      </c>
      <c r="U558" s="290">
        <v>30787</v>
      </c>
      <c r="V558" s="290" t="s">
        <v>986</v>
      </c>
      <c r="W558" s="295" t="s">
        <v>994</v>
      </c>
    </row>
    <row r="559" spans="1:23" s="290" customFormat="1" ht="6.75" customHeight="1" x14ac:dyDescent="0.15">
      <c r="A559" s="578"/>
      <c r="W559" s="295"/>
    </row>
    <row r="560" spans="1:23" s="290" customFormat="1" ht="9.75" customHeight="1" x14ac:dyDescent="0.15">
      <c r="A560" s="559" t="s">
        <v>995</v>
      </c>
      <c r="B560" s="290" t="s">
        <v>986</v>
      </c>
      <c r="C560" s="290" t="s">
        <v>986</v>
      </c>
      <c r="D560" s="290" t="s">
        <v>986</v>
      </c>
      <c r="E560" s="290" t="s">
        <v>986</v>
      </c>
      <c r="F560" s="290" t="s">
        <v>986</v>
      </c>
      <c r="G560" s="290" t="s">
        <v>986</v>
      </c>
      <c r="H560" s="290" t="s">
        <v>986</v>
      </c>
      <c r="I560" s="290" t="s">
        <v>986</v>
      </c>
      <c r="J560" s="290" t="s">
        <v>986</v>
      </c>
      <c r="K560" s="290" t="s">
        <v>986</v>
      </c>
      <c r="L560" s="290" t="s">
        <v>986</v>
      </c>
      <c r="M560" s="290" t="s">
        <v>986</v>
      </c>
      <c r="N560" s="290">
        <v>16</v>
      </c>
      <c r="O560" s="290" t="s">
        <v>986</v>
      </c>
      <c r="P560" s="290">
        <v>16</v>
      </c>
      <c r="Q560" s="290">
        <v>12</v>
      </c>
      <c r="R560" s="290">
        <v>12</v>
      </c>
      <c r="S560" s="290" t="s">
        <v>986</v>
      </c>
      <c r="T560" s="290">
        <v>15993</v>
      </c>
      <c r="U560" s="290">
        <v>15993</v>
      </c>
      <c r="V560" s="290" t="s">
        <v>986</v>
      </c>
      <c r="W560" s="295" t="s">
        <v>778</v>
      </c>
    </row>
    <row r="561" spans="1:23" s="290" customFormat="1" ht="9.75" customHeight="1" x14ac:dyDescent="0.15">
      <c r="A561" s="559" t="s">
        <v>640</v>
      </c>
      <c r="B561" s="290" t="s">
        <v>986</v>
      </c>
      <c r="C561" s="290">
        <v>103</v>
      </c>
      <c r="D561" s="290" t="s">
        <v>986</v>
      </c>
      <c r="E561" s="290" t="s">
        <v>986</v>
      </c>
      <c r="F561" s="290" t="s">
        <v>986</v>
      </c>
      <c r="G561" s="290" t="s">
        <v>986</v>
      </c>
      <c r="H561" s="290" t="s">
        <v>986</v>
      </c>
      <c r="I561" s="290" t="s">
        <v>986</v>
      </c>
      <c r="J561" s="290" t="s">
        <v>986</v>
      </c>
      <c r="K561" s="290" t="s">
        <v>986</v>
      </c>
      <c r="L561" s="290" t="s">
        <v>986</v>
      </c>
      <c r="M561" s="290" t="s">
        <v>986</v>
      </c>
      <c r="N561" s="290" t="s">
        <v>986</v>
      </c>
      <c r="O561" s="290" t="s">
        <v>986</v>
      </c>
      <c r="P561" s="290" t="s">
        <v>986</v>
      </c>
      <c r="Q561" s="290">
        <v>21</v>
      </c>
      <c r="R561" s="290">
        <v>4</v>
      </c>
      <c r="S561" s="290">
        <v>17</v>
      </c>
      <c r="T561" s="290">
        <v>18701</v>
      </c>
      <c r="U561" s="290">
        <v>18701</v>
      </c>
      <c r="V561" s="290" t="s">
        <v>986</v>
      </c>
      <c r="W561" s="295" t="s">
        <v>73</v>
      </c>
    </row>
    <row r="562" spans="1:23" s="290" customFormat="1" ht="9.75" customHeight="1" x14ac:dyDescent="0.15">
      <c r="A562" s="559" t="s">
        <v>641</v>
      </c>
      <c r="B562" s="290" t="s">
        <v>986</v>
      </c>
      <c r="C562" s="290">
        <v>180</v>
      </c>
      <c r="D562" s="290" t="s">
        <v>986</v>
      </c>
      <c r="E562" s="290" t="s">
        <v>986</v>
      </c>
      <c r="F562" s="290" t="s">
        <v>986</v>
      </c>
      <c r="G562" s="290" t="s">
        <v>986</v>
      </c>
      <c r="H562" s="290" t="s">
        <v>986</v>
      </c>
      <c r="I562" s="290" t="s">
        <v>986</v>
      </c>
      <c r="J562" s="290" t="s">
        <v>986</v>
      </c>
      <c r="K562" s="290" t="s">
        <v>986</v>
      </c>
      <c r="L562" s="290" t="s">
        <v>986</v>
      </c>
      <c r="M562" s="290" t="s">
        <v>986</v>
      </c>
      <c r="N562" s="290">
        <v>16</v>
      </c>
      <c r="O562" s="290" t="s">
        <v>986</v>
      </c>
      <c r="P562" s="290">
        <v>16</v>
      </c>
      <c r="Q562" s="290">
        <v>15</v>
      </c>
      <c r="R562" s="290">
        <v>15</v>
      </c>
      <c r="S562" s="290" t="s">
        <v>986</v>
      </c>
      <c r="T562" s="290">
        <v>24743</v>
      </c>
      <c r="U562" s="290">
        <v>24743</v>
      </c>
      <c r="V562" s="290">
        <v>1502</v>
      </c>
      <c r="W562" s="295" t="s">
        <v>74</v>
      </c>
    </row>
    <row r="563" spans="1:23" s="290" customFormat="1" ht="9.75" customHeight="1" x14ac:dyDescent="0.15">
      <c r="A563" s="559" t="s">
        <v>642</v>
      </c>
      <c r="B563" s="290" t="s">
        <v>986</v>
      </c>
      <c r="C563" s="290" t="s">
        <v>986</v>
      </c>
      <c r="D563" s="290" t="s">
        <v>986</v>
      </c>
      <c r="E563" s="290" t="s">
        <v>986</v>
      </c>
      <c r="F563" s="290" t="s">
        <v>986</v>
      </c>
      <c r="G563" s="290" t="s">
        <v>986</v>
      </c>
      <c r="H563" s="290" t="s">
        <v>986</v>
      </c>
      <c r="I563" s="290" t="s">
        <v>986</v>
      </c>
      <c r="J563" s="290" t="s">
        <v>986</v>
      </c>
      <c r="K563" s="290" t="s">
        <v>986</v>
      </c>
      <c r="L563" s="290" t="s">
        <v>986</v>
      </c>
      <c r="M563" s="290" t="s">
        <v>986</v>
      </c>
      <c r="N563" s="290">
        <v>16</v>
      </c>
      <c r="O563" s="290" t="s">
        <v>986</v>
      </c>
      <c r="P563" s="290">
        <v>16</v>
      </c>
      <c r="Q563" s="290" t="s">
        <v>986</v>
      </c>
      <c r="R563" s="290" t="s">
        <v>986</v>
      </c>
      <c r="S563" s="290" t="s">
        <v>986</v>
      </c>
      <c r="T563" s="290">
        <v>2914</v>
      </c>
      <c r="U563" s="290">
        <v>2914</v>
      </c>
      <c r="V563" s="290" t="s">
        <v>986</v>
      </c>
      <c r="W563" s="295" t="s">
        <v>75</v>
      </c>
    </row>
    <row r="564" spans="1:23" s="290" customFormat="1" ht="9.75" customHeight="1" x14ac:dyDescent="0.15">
      <c r="A564" s="559" t="s">
        <v>643</v>
      </c>
      <c r="B564" s="290" t="s">
        <v>986</v>
      </c>
      <c r="C564" s="290">
        <v>103</v>
      </c>
      <c r="D564" s="290" t="s">
        <v>986</v>
      </c>
      <c r="E564" s="290">
        <v>46</v>
      </c>
      <c r="F564" s="290">
        <v>11</v>
      </c>
      <c r="G564" s="290" t="s">
        <v>986</v>
      </c>
      <c r="H564" s="290" t="s">
        <v>986</v>
      </c>
      <c r="I564" s="290" t="s">
        <v>986</v>
      </c>
      <c r="J564" s="290">
        <v>17</v>
      </c>
      <c r="K564" s="290" t="s">
        <v>986</v>
      </c>
      <c r="L564" s="290">
        <v>18</v>
      </c>
      <c r="M564" s="290" t="s">
        <v>986</v>
      </c>
      <c r="N564" s="290" t="s">
        <v>986</v>
      </c>
      <c r="O564" s="290" t="s">
        <v>986</v>
      </c>
      <c r="P564" s="290" t="s">
        <v>986</v>
      </c>
      <c r="Q564" s="290">
        <v>33</v>
      </c>
      <c r="R564" s="290" t="s">
        <v>986</v>
      </c>
      <c r="S564" s="290">
        <v>33</v>
      </c>
      <c r="T564" s="290">
        <v>29704</v>
      </c>
      <c r="U564" s="290">
        <v>29704</v>
      </c>
      <c r="V564" s="290" t="s">
        <v>986</v>
      </c>
      <c r="W564" s="295" t="s">
        <v>88</v>
      </c>
    </row>
    <row r="565" spans="1:23" s="290" customFormat="1" ht="9.75" customHeight="1" x14ac:dyDescent="0.15">
      <c r="A565" s="559" t="s">
        <v>644</v>
      </c>
      <c r="B565" s="290">
        <v>17</v>
      </c>
      <c r="C565" s="290" t="s">
        <v>986</v>
      </c>
      <c r="D565" s="290" t="s">
        <v>986</v>
      </c>
      <c r="E565" s="290">
        <v>45</v>
      </c>
      <c r="F565" s="290" t="s">
        <v>986</v>
      </c>
      <c r="G565" s="290" t="s">
        <v>986</v>
      </c>
      <c r="H565" s="290" t="s">
        <v>986</v>
      </c>
      <c r="I565" s="290" t="s">
        <v>986</v>
      </c>
      <c r="J565" s="290" t="s">
        <v>986</v>
      </c>
      <c r="K565" s="290" t="s">
        <v>986</v>
      </c>
      <c r="L565" s="290" t="s">
        <v>986</v>
      </c>
      <c r="M565" s="290">
        <v>45</v>
      </c>
      <c r="N565" s="290">
        <v>31</v>
      </c>
      <c r="O565" s="290" t="s">
        <v>986</v>
      </c>
      <c r="P565" s="290">
        <v>31</v>
      </c>
      <c r="Q565" s="290">
        <v>32</v>
      </c>
      <c r="R565" s="290">
        <v>16</v>
      </c>
      <c r="S565" s="290">
        <v>16</v>
      </c>
      <c r="T565" s="290">
        <v>9226</v>
      </c>
      <c r="U565" s="290">
        <v>9226</v>
      </c>
      <c r="V565" s="290" t="s">
        <v>986</v>
      </c>
      <c r="W565" s="295" t="s">
        <v>89</v>
      </c>
    </row>
    <row r="566" spans="1:23" s="290" customFormat="1" ht="9.75" customHeight="1" x14ac:dyDescent="0.15">
      <c r="A566" s="559" t="s">
        <v>645</v>
      </c>
      <c r="B566" s="290" t="s">
        <v>986</v>
      </c>
      <c r="C566" s="290">
        <v>103</v>
      </c>
      <c r="D566" s="290" t="s">
        <v>986</v>
      </c>
      <c r="E566" s="290">
        <v>18</v>
      </c>
      <c r="F566" s="290" t="s">
        <v>986</v>
      </c>
      <c r="G566" s="290" t="s">
        <v>986</v>
      </c>
      <c r="H566" s="290">
        <v>18</v>
      </c>
      <c r="I566" s="290" t="s">
        <v>986</v>
      </c>
      <c r="J566" s="290" t="s">
        <v>986</v>
      </c>
      <c r="K566" s="290" t="s">
        <v>986</v>
      </c>
      <c r="L566" s="290" t="s">
        <v>986</v>
      </c>
      <c r="M566" s="290" t="s">
        <v>986</v>
      </c>
      <c r="N566" s="290">
        <v>31</v>
      </c>
      <c r="O566" s="290" t="s">
        <v>986</v>
      </c>
      <c r="P566" s="290">
        <v>31</v>
      </c>
      <c r="Q566" s="290" t="s">
        <v>986</v>
      </c>
      <c r="R566" s="290" t="s">
        <v>986</v>
      </c>
      <c r="S566" s="290" t="s">
        <v>986</v>
      </c>
      <c r="T566" s="290">
        <v>25537</v>
      </c>
      <c r="U566" s="290">
        <v>25537</v>
      </c>
      <c r="V566" s="290">
        <v>802</v>
      </c>
      <c r="W566" s="295" t="s">
        <v>90</v>
      </c>
    </row>
    <row r="567" spans="1:23" s="290" customFormat="1" ht="9.75" customHeight="1" x14ac:dyDescent="0.15">
      <c r="A567" s="559" t="s">
        <v>646</v>
      </c>
      <c r="B567" s="290">
        <v>18</v>
      </c>
      <c r="C567" s="290">
        <v>155</v>
      </c>
      <c r="D567" s="290" t="s">
        <v>986</v>
      </c>
      <c r="E567" s="290" t="s">
        <v>986</v>
      </c>
      <c r="F567" s="290" t="s">
        <v>986</v>
      </c>
      <c r="G567" s="290" t="s">
        <v>986</v>
      </c>
      <c r="H567" s="290" t="s">
        <v>986</v>
      </c>
      <c r="I567" s="290" t="s">
        <v>986</v>
      </c>
      <c r="J567" s="290" t="s">
        <v>986</v>
      </c>
      <c r="K567" s="290" t="s">
        <v>986</v>
      </c>
      <c r="L567" s="290" t="s">
        <v>986</v>
      </c>
      <c r="M567" s="290" t="s">
        <v>986</v>
      </c>
      <c r="N567" s="290">
        <v>48</v>
      </c>
      <c r="O567" s="290">
        <v>17</v>
      </c>
      <c r="P567" s="290">
        <v>31</v>
      </c>
      <c r="Q567" s="290">
        <v>32</v>
      </c>
      <c r="R567" s="290">
        <v>32</v>
      </c>
      <c r="S567" s="290" t="s">
        <v>986</v>
      </c>
      <c r="T567" s="290">
        <v>21647</v>
      </c>
      <c r="U567" s="290">
        <v>21647</v>
      </c>
      <c r="V567" s="290" t="s">
        <v>986</v>
      </c>
      <c r="W567" s="295" t="s">
        <v>91</v>
      </c>
    </row>
    <row r="568" spans="1:23" s="290" customFormat="1" ht="9.75" customHeight="1" x14ac:dyDescent="0.15">
      <c r="A568" s="559" t="s">
        <v>647</v>
      </c>
      <c r="B568" s="290" t="s">
        <v>986</v>
      </c>
      <c r="C568" s="290">
        <v>258</v>
      </c>
      <c r="D568" s="290" t="s">
        <v>986</v>
      </c>
      <c r="E568" s="290" t="s">
        <v>986</v>
      </c>
      <c r="F568" s="290" t="s">
        <v>986</v>
      </c>
      <c r="G568" s="290" t="s">
        <v>986</v>
      </c>
      <c r="H568" s="290" t="s">
        <v>986</v>
      </c>
      <c r="I568" s="290" t="s">
        <v>986</v>
      </c>
      <c r="J568" s="290" t="s">
        <v>986</v>
      </c>
      <c r="K568" s="290" t="s">
        <v>986</v>
      </c>
      <c r="L568" s="290" t="s">
        <v>986</v>
      </c>
      <c r="M568" s="290" t="s">
        <v>986</v>
      </c>
      <c r="N568" s="290">
        <v>18</v>
      </c>
      <c r="O568" s="290">
        <v>18</v>
      </c>
      <c r="P568" s="290" t="s">
        <v>986</v>
      </c>
      <c r="Q568" s="290">
        <v>15</v>
      </c>
      <c r="R568" s="290">
        <v>15</v>
      </c>
      <c r="S568" s="290" t="s">
        <v>986</v>
      </c>
      <c r="T568" s="290">
        <v>20273</v>
      </c>
      <c r="U568" s="290">
        <v>20273</v>
      </c>
      <c r="V568" s="290">
        <v>1337</v>
      </c>
      <c r="W568" s="295" t="s">
        <v>92</v>
      </c>
    </row>
    <row r="569" spans="1:23" s="290" customFormat="1" ht="9.75" customHeight="1" x14ac:dyDescent="0.15">
      <c r="A569" s="559" t="s">
        <v>648</v>
      </c>
      <c r="B569" s="290" t="s">
        <v>986</v>
      </c>
      <c r="C569" s="290">
        <v>206</v>
      </c>
      <c r="D569" s="290" t="s">
        <v>986</v>
      </c>
      <c r="E569" s="290">
        <v>18</v>
      </c>
      <c r="F569" s="290" t="s">
        <v>986</v>
      </c>
      <c r="G569" s="290" t="s">
        <v>986</v>
      </c>
      <c r="H569" s="290" t="s">
        <v>986</v>
      </c>
      <c r="I569" s="290">
        <v>18</v>
      </c>
      <c r="J569" s="290" t="s">
        <v>986</v>
      </c>
      <c r="K569" s="290" t="s">
        <v>986</v>
      </c>
      <c r="L569" s="290" t="s">
        <v>986</v>
      </c>
      <c r="M569" s="290" t="s">
        <v>986</v>
      </c>
      <c r="N569" s="290">
        <v>34</v>
      </c>
      <c r="O569" s="290">
        <v>18</v>
      </c>
      <c r="P569" s="290">
        <v>16</v>
      </c>
      <c r="Q569" s="290">
        <v>34</v>
      </c>
      <c r="R569" s="290" t="s">
        <v>986</v>
      </c>
      <c r="S569" s="290">
        <v>34</v>
      </c>
      <c r="T569" s="290">
        <v>18616</v>
      </c>
      <c r="U569" s="290">
        <v>18616</v>
      </c>
      <c r="V569" s="290" t="s">
        <v>986</v>
      </c>
      <c r="W569" s="295" t="s">
        <v>76</v>
      </c>
    </row>
    <row r="570" spans="1:23" s="290" customFormat="1" ht="9.75" customHeight="1" x14ac:dyDescent="0.15">
      <c r="A570" s="559" t="s">
        <v>649</v>
      </c>
      <c r="B570" s="290">
        <v>26</v>
      </c>
      <c r="C570" s="290">
        <v>206</v>
      </c>
      <c r="D570" s="290" t="s">
        <v>986</v>
      </c>
      <c r="E570" s="290" t="s">
        <v>986</v>
      </c>
      <c r="F570" s="290" t="s">
        <v>986</v>
      </c>
      <c r="G570" s="290" t="s">
        <v>986</v>
      </c>
      <c r="H570" s="290" t="s">
        <v>986</v>
      </c>
      <c r="I570" s="290" t="s">
        <v>986</v>
      </c>
      <c r="J570" s="290" t="s">
        <v>986</v>
      </c>
      <c r="K570" s="290" t="s">
        <v>986</v>
      </c>
      <c r="L570" s="290" t="s">
        <v>986</v>
      </c>
      <c r="M570" s="290" t="s">
        <v>986</v>
      </c>
      <c r="N570" s="290" t="s">
        <v>986</v>
      </c>
      <c r="O570" s="290" t="s">
        <v>986</v>
      </c>
      <c r="P570" s="290" t="s">
        <v>986</v>
      </c>
      <c r="Q570" s="290" t="s">
        <v>986</v>
      </c>
      <c r="R570" s="290" t="s">
        <v>986</v>
      </c>
      <c r="S570" s="290" t="s">
        <v>986</v>
      </c>
      <c r="T570" s="290">
        <v>16991</v>
      </c>
      <c r="U570" s="290">
        <v>16991</v>
      </c>
      <c r="V570" s="290" t="s">
        <v>986</v>
      </c>
      <c r="W570" s="295" t="s">
        <v>77</v>
      </c>
    </row>
    <row r="571" spans="1:23" s="290" customFormat="1" ht="9.75" customHeight="1" x14ac:dyDescent="0.15">
      <c r="A571" s="559" t="s">
        <v>650</v>
      </c>
      <c r="B571" s="290" t="s">
        <v>986</v>
      </c>
      <c r="C571" s="290" t="s">
        <v>986</v>
      </c>
      <c r="D571" s="290" t="s">
        <v>986</v>
      </c>
      <c r="E571" s="290">
        <v>22</v>
      </c>
      <c r="F571" s="290" t="s">
        <v>986</v>
      </c>
      <c r="G571" s="290" t="s">
        <v>986</v>
      </c>
      <c r="H571" s="290" t="s">
        <v>986</v>
      </c>
      <c r="I571" s="290">
        <v>22</v>
      </c>
      <c r="J571" s="290" t="s">
        <v>986</v>
      </c>
      <c r="K571" s="290" t="s">
        <v>986</v>
      </c>
      <c r="L571" s="290" t="s">
        <v>986</v>
      </c>
      <c r="M571" s="290" t="s">
        <v>986</v>
      </c>
      <c r="N571" s="290">
        <v>16</v>
      </c>
      <c r="O571" s="290" t="s">
        <v>986</v>
      </c>
      <c r="P571" s="290">
        <v>16</v>
      </c>
      <c r="Q571" s="290">
        <v>16</v>
      </c>
      <c r="R571" s="290">
        <v>16</v>
      </c>
      <c r="S571" s="290" t="s">
        <v>986</v>
      </c>
      <c r="T571" s="290">
        <v>20496</v>
      </c>
      <c r="U571" s="290">
        <v>20496</v>
      </c>
      <c r="V571" s="290" t="s">
        <v>986</v>
      </c>
      <c r="W571" s="295" t="s">
        <v>78</v>
      </c>
    </row>
    <row r="572" spans="1:23" s="290" customFormat="1" ht="9.75" customHeight="1" x14ac:dyDescent="0.15">
      <c r="A572" s="559" t="s">
        <v>996</v>
      </c>
      <c r="B572" s="290" t="s">
        <v>986</v>
      </c>
      <c r="C572" s="290" t="s">
        <v>986</v>
      </c>
      <c r="D572" s="290" t="s">
        <v>986</v>
      </c>
      <c r="E572" s="290" t="s">
        <v>986</v>
      </c>
      <c r="F572" s="290" t="s">
        <v>986</v>
      </c>
      <c r="G572" s="290" t="s">
        <v>986</v>
      </c>
      <c r="H572" s="290" t="s">
        <v>986</v>
      </c>
      <c r="I572" s="290" t="s">
        <v>986</v>
      </c>
      <c r="J572" s="290" t="s">
        <v>986</v>
      </c>
      <c r="K572" s="290" t="s">
        <v>986</v>
      </c>
      <c r="L572" s="290" t="s">
        <v>986</v>
      </c>
      <c r="M572" s="290" t="s">
        <v>986</v>
      </c>
      <c r="N572" s="290">
        <v>31</v>
      </c>
      <c r="O572" s="290" t="s">
        <v>986</v>
      </c>
      <c r="P572" s="290">
        <v>31</v>
      </c>
      <c r="Q572" s="290">
        <v>49</v>
      </c>
      <c r="R572" s="290">
        <v>31</v>
      </c>
      <c r="S572" s="290">
        <v>18</v>
      </c>
      <c r="T572" s="290">
        <v>18478</v>
      </c>
      <c r="U572" s="290">
        <v>18478</v>
      </c>
      <c r="V572" s="290" t="s">
        <v>986</v>
      </c>
      <c r="W572" s="295" t="s">
        <v>997</v>
      </c>
    </row>
    <row r="573" spans="1:23" s="290" customFormat="1" ht="9.75" customHeight="1" x14ac:dyDescent="0.15">
      <c r="A573" s="559" t="s">
        <v>651</v>
      </c>
      <c r="B573" s="290" t="s">
        <v>986</v>
      </c>
      <c r="C573" s="290" t="s">
        <v>986</v>
      </c>
      <c r="D573" s="290" t="s">
        <v>986</v>
      </c>
      <c r="E573" s="290">
        <v>38</v>
      </c>
      <c r="F573" s="290" t="s">
        <v>986</v>
      </c>
      <c r="G573" s="290" t="s">
        <v>986</v>
      </c>
      <c r="H573" s="290" t="s">
        <v>986</v>
      </c>
      <c r="I573" s="290">
        <v>38</v>
      </c>
      <c r="J573" s="290" t="s">
        <v>986</v>
      </c>
      <c r="K573" s="290" t="s">
        <v>986</v>
      </c>
      <c r="L573" s="290" t="s">
        <v>986</v>
      </c>
      <c r="M573" s="290" t="s">
        <v>986</v>
      </c>
      <c r="N573" s="290">
        <v>16</v>
      </c>
      <c r="O573" s="290" t="s">
        <v>986</v>
      </c>
      <c r="P573" s="290">
        <v>16</v>
      </c>
      <c r="Q573" s="290">
        <v>16</v>
      </c>
      <c r="R573" s="290" t="s">
        <v>986</v>
      </c>
      <c r="S573" s="290">
        <v>16</v>
      </c>
      <c r="T573" s="290">
        <v>9266</v>
      </c>
      <c r="U573" s="290">
        <v>9266</v>
      </c>
      <c r="V573" s="290" t="s">
        <v>986</v>
      </c>
      <c r="W573" s="295" t="s">
        <v>73</v>
      </c>
    </row>
    <row r="574" spans="1:23" s="290" customFormat="1" ht="9.75" customHeight="1" x14ac:dyDescent="0.15">
      <c r="A574" s="560" t="s">
        <v>652</v>
      </c>
      <c r="B574" s="294" t="s">
        <v>986</v>
      </c>
      <c r="C574" s="293" t="s">
        <v>986</v>
      </c>
      <c r="D574" s="293" t="s">
        <v>986</v>
      </c>
      <c r="E574" s="293">
        <v>35</v>
      </c>
      <c r="F574" s="293" t="s">
        <v>986</v>
      </c>
      <c r="G574" s="293" t="s">
        <v>986</v>
      </c>
      <c r="H574" s="293">
        <v>18</v>
      </c>
      <c r="I574" s="293" t="s">
        <v>986</v>
      </c>
      <c r="J574" s="293">
        <v>17</v>
      </c>
      <c r="K574" s="293" t="s">
        <v>986</v>
      </c>
      <c r="L574" s="293" t="s">
        <v>986</v>
      </c>
      <c r="M574" s="293" t="s">
        <v>986</v>
      </c>
      <c r="N574" s="293">
        <v>33</v>
      </c>
      <c r="O574" s="293">
        <v>17</v>
      </c>
      <c r="P574" s="293">
        <v>16</v>
      </c>
      <c r="Q574" s="293">
        <v>30</v>
      </c>
      <c r="R574" s="293">
        <v>15</v>
      </c>
      <c r="S574" s="293">
        <v>15</v>
      </c>
      <c r="T574" s="293">
        <v>3043</v>
      </c>
      <c r="U574" s="293">
        <v>3043</v>
      </c>
      <c r="V574" s="293" t="s">
        <v>986</v>
      </c>
      <c r="W574" s="291" t="s">
        <v>74</v>
      </c>
    </row>
    <row r="575" spans="1:23" ht="12" customHeight="1" x14ac:dyDescent="0.15"/>
    <row r="576" spans="1:23" ht="12" customHeight="1" x14ac:dyDescent="0.15"/>
    <row r="577" spans="1:17" ht="12" customHeight="1" x14ac:dyDescent="0.15">
      <c r="K577" s="299" t="s">
        <v>93</v>
      </c>
      <c r="Q577" s="302" t="s">
        <v>858</v>
      </c>
    </row>
    <row r="578" spans="1:17" s="297" customFormat="1" ht="21" customHeight="1" x14ac:dyDescent="0.15">
      <c r="A578" s="1053" t="s">
        <v>172</v>
      </c>
      <c r="B578" s="832" t="s">
        <v>270</v>
      </c>
      <c r="C578" s="827"/>
      <c r="D578" s="827"/>
      <c r="E578" s="834"/>
      <c r="F578" s="826" t="s">
        <v>269</v>
      </c>
      <c r="G578" s="827"/>
      <c r="H578" s="827"/>
      <c r="I578" s="827"/>
      <c r="J578" s="827"/>
      <c r="K578" s="827"/>
      <c r="L578" s="834"/>
      <c r="M578" s="826" t="s">
        <v>268</v>
      </c>
      <c r="N578" s="827"/>
      <c r="O578" s="827"/>
      <c r="P578" s="834"/>
      <c r="Q578" s="1056" t="s">
        <v>79</v>
      </c>
    </row>
    <row r="579" spans="1:17" s="297" customFormat="1" ht="21" customHeight="1" x14ac:dyDescent="0.15">
      <c r="A579" s="1054"/>
      <c r="B579" s="832" t="s">
        <v>260</v>
      </c>
      <c r="C579" s="834"/>
      <c r="D579" s="826" t="s">
        <v>875</v>
      </c>
      <c r="E579" s="834"/>
      <c r="F579" s="1061" t="s">
        <v>870</v>
      </c>
      <c r="G579" s="826" t="s">
        <v>265</v>
      </c>
      <c r="H579" s="827"/>
      <c r="I579" s="827"/>
      <c r="J579" s="834"/>
      <c r="K579" s="826" t="s">
        <v>875</v>
      </c>
      <c r="L579" s="834"/>
      <c r="M579" s="1059" t="s">
        <v>267</v>
      </c>
      <c r="N579" s="826" t="s">
        <v>265</v>
      </c>
      <c r="O579" s="827"/>
      <c r="P579" s="834"/>
      <c r="Q579" s="1057"/>
    </row>
    <row r="580" spans="1:17" s="297" customFormat="1" ht="52.5" customHeight="1" x14ac:dyDescent="0.15">
      <c r="A580" s="1055"/>
      <c r="B580" s="298" t="s">
        <v>852</v>
      </c>
      <c r="C580" s="298" t="s">
        <v>271</v>
      </c>
      <c r="D580" s="696" t="s">
        <v>314</v>
      </c>
      <c r="E580" s="298" t="s">
        <v>313</v>
      </c>
      <c r="F580" s="1062"/>
      <c r="G580" s="696" t="s">
        <v>851</v>
      </c>
      <c r="H580" s="298" t="s">
        <v>256</v>
      </c>
      <c r="I580" s="298" t="s">
        <v>852</v>
      </c>
      <c r="J580" s="298" t="s">
        <v>271</v>
      </c>
      <c r="K580" s="696" t="s">
        <v>314</v>
      </c>
      <c r="L580" s="298" t="s">
        <v>313</v>
      </c>
      <c r="M580" s="1060"/>
      <c r="N580" s="696" t="s">
        <v>851</v>
      </c>
      <c r="O580" s="298" t="s">
        <v>256</v>
      </c>
      <c r="P580" s="298" t="s">
        <v>852</v>
      </c>
      <c r="Q580" s="1058"/>
    </row>
    <row r="581" spans="1:17" s="290" customFormat="1" ht="9.75" customHeight="1" x14ac:dyDescent="0.15">
      <c r="A581" s="828" t="s">
        <v>985</v>
      </c>
      <c r="B581" s="829">
        <v>169465</v>
      </c>
      <c r="C581" s="830" t="s">
        <v>986</v>
      </c>
      <c r="D581" s="830">
        <v>257</v>
      </c>
      <c r="E581" s="830">
        <v>257</v>
      </c>
      <c r="F581" s="830">
        <v>163822</v>
      </c>
      <c r="G581" s="830">
        <v>163565</v>
      </c>
      <c r="H581" s="830">
        <v>6107</v>
      </c>
      <c r="I581" s="830">
        <v>157458</v>
      </c>
      <c r="J581" s="830" t="s">
        <v>986</v>
      </c>
      <c r="K581" s="830">
        <v>257</v>
      </c>
      <c r="L581" s="830">
        <v>257</v>
      </c>
      <c r="M581" s="830">
        <v>22513</v>
      </c>
      <c r="N581" s="830">
        <v>22513</v>
      </c>
      <c r="O581" s="830">
        <v>10506</v>
      </c>
      <c r="P581" s="840">
        <v>12007</v>
      </c>
      <c r="Q581" s="831" t="s">
        <v>485</v>
      </c>
    </row>
    <row r="582" spans="1:17" s="290" customFormat="1" ht="9.75" customHeight="1" x14ac:dyDescent="0.15">
      <c r="A582" s="559" t="s">
        <v>634</v>
      </c>
      <c r="B582" s="290">
        <v>93639</v>
      </c>
      <c r="C582" s="290">
        <v>13475</v>
      </c>
      <c r="D582" s="290" t="s">
        <v>986</v>
      </c>
      <c r="E582" s="290" t="s">
        <v>986</v>
      </c>
      <c r="F582" s="290">
        <v>110328</v>
      </c>
      <c r="G582" s="290">
        <v>110328</v>
      </c>
      <c r="H582" s="290">
        <v>9217</v>
      </c>
      <c r="I582" s="290">
        <v>87636</v>
      </c>
      <c r="J582" s="290">
        <v>13475</v>
      </c>
      <c r="K582" s="290" t="s">
        <v>986</v>
      </c>
      <c r="L582" s="290" t="s">
        <v>986</v>
      </c>
      <c r="M582" s="290">
        <v>22917</v>
      </c>
      <c r="N582" s="290">
        <v>22917</v>
      </c>
      <c r="O582" s="290">
        <v>16914</v>
      </c>
      <c r="P582" s="296">
        <v>6003</v>
      </c>
      <c r="Q582" s="295" t="s">
        <v>588</v>
      </c>
    </row>
    <row r="583" spans="1:17" s="290" customFormat="1" ht="9.75" customHeight="1" x14ac:dyDescent="0.15">
      <c r="A583" s="559" t="s">
        <v>635</v>
      </c>
      <c r="B583" s="290">
        <v>106158</v>
      </c>
      <c r="C583" s="290">
        <v>26811</v>
      </c>
      <c r="D583" s="290" t="s">
        <v>986</v>
      </c>
      <c r="E583" s="290" t="s">
        <v>986</v>
      </c>
      <c r="F583" s="290">
        <v>133767</v>
      </c>
      <c r="G583" s="290">
        <v>133767</v>
      </c>
      <c r="H583" s="290">
        <v>3740</v>
      </c>
      <c r="I583" s="290">
        <v>103216</v>
      </c>
      <c r="J583" s="290">
        <v>26811</v>
      </c>
      <c r="K583" s="290" t="s">
        <v>986</v>
      </c>
      <c r="L583" s="290" t="s">
        <v>986</v>
      </c>
      <c r="M583" s="290">
        <v>13511</v>
      </c>
      <c r="N583" s="290">
        <v>13511</v>
      </c>
      <c r="O583" s="290">
        <v>10569</v>
      </c>
      <c r="P583" s="296">
        <v>2942</v>
      </c>
      <c r="Q583" s="295" t="s">
        <v>636</v>
      </c>
    </row>
    <row r="584" spans="1:17" s="290" customFormat="1" ht="9.75" customHeight="1" x14ac:dyDescent="0.15">
      <c r="A584" s="559" t="s">
        <v>774</v>
      </c>
      <c r="B584" s="290">
        <v>167626</v>
      </c>
      <c r="C584" s="290">
        <v>53325</v>
      </c>
      <c r="D584" s="290" t="s">
        <v>986</v>
      </c>
      <c r="E584" s="290" t="s">
        <v>986</v>
      </c>
      <c r="F584" s="290">
        <v>227133</v>
      </c>
      <c r="G584" s="290">
        <v>227133</v>
      </c>
      <c r="H584" s="290">
        <v>6182</v>
      </c>
      <c r="I584" s="290">
        <v>167626</v>
      </c>
      <c r="J584" s="290">
        <v>53325</v>
      </c>
      <c r="K584" s="290" t="s">
        <v>986</v>
      </c>
      <c r="L584" s="290" t="s">
        <v>986</v>
      </c>
      <c r="M584" s="290">
        <v>9016</v>
      </c>
      <c r="N584" s="290">
        <v>9016</v>
      </c>
      <c r="O584" s="290">
        <v>9016</v>
      </c>
      <c r="P584" s="296" t="s">
        <v>986</v>
      </c>
      <c r="Q584" s="295" t="s">
        <v>775</v>
      </c>
    </row>
    <row r="585" spans="1:17" s="290" customFormat="1" ht="9.75" customHeight="1" x14ac:dyDescent="0.15">
      <c r="A585" s="559" t="s">
        <v>987</v>
      </c>
      <c r="B585" s="290">
        <v>169143</v>
      </c>
      <c r="C585" s="290">
        <v>52057</v>
      </c>
      <c r="D585" s="290" t="s">
        <v>986</v>
      </c>
      <c r="E585" s="290" t="s">
        <v>986</v>
      </c>
      <c r="F585" s="290">
        <v>218966</v>
      </c>
      <c r="G585" s="290">
        <v>218966</v>
      </c>
      <c r="H585" s="290">
        <v>802</v>
      </c>
      <c r="I585" s="290">
        <v>166107</v>
      </c>
      <c r="J585" s="290">
        <v>52057</v>
      </c>
      <c r="K585" s="290" t="s">
        <v>986</v>
      </c>
      <c r="L585" s="290" t="s">
        <v>986</v>
      </c>
      <c r="M585" s="290">
        <v>5875</v>
      </c>
      <c r="N585" s="290">
        <v>5875</v>
      </c>
      <c r="O585" s="290">
        <v>2839</v>
      </c>
      <c r="P585" s="296">
        <v>3036</v>
      </c>
      <c r="Q585" s="295" t="s">
        <v>988</v>
      </c>
    </row>
    <row r="586" spans="1:17" s="290" customFormat="1" ht="6.75" customHeight="1" x14ac:dyDescent="0.15">
      <c r="A586" s="578"/>
      <c r="P586" s="296"/>
      <c r="Q586" s="295"/>
    </row>
    <row r="587" spans="1:17" s="290" customFormat="1" ht="9.75" customHeight="1" x14ac:dyDescent="0.15">
      <c r="A587" s="559" t="s">
        <v>989</v>
      </c>
      <c r="B587" s="290">
        <v>184600</v>
      </c>
      <c r="C587" s="290">
        <v>51637</v>
      </c>
      <c r="D587" s="290" t="s">
        <v>986</v>
      </c>
      <c r="E587" s="290" t="s">
        <v>986</v>
      </c>
      <c r="F587" s="290">
        <v>241818</v>
      </c>
      <c r="G587" s="290">
        <v>241818</v>
      </c>
      <c r="H587" s="290">
        <v>5581</v>
      </c>
      <c r="I587" s="290">
        <v>184600</v>
      </c>
      <c r="J587" s="290">
        <v>51637</v>
      </c>
      <c r="K587" s="290" t="s">
        <v>986</v>
      </c>
      <c r="L587" s="290" t="s">
        <v>986</v>
      </c>
      <c r="M587" s="290">
        <v>7513</v>
      </c>
      <c r="N587" s="290">
        <v>7513</v>
      </c>
      <c r="O587" s="290">
        <v>7513</v>
      </c>
      <c r="P587" s="296" t="s">
        <v>986</v>
      </c>
      <c r="Q587" s="295" t="s">
        <v>776</v>
      </c>
    </row>
    <row r="588" spans="1:17" s="290" customFormat="1" ht="9.75" customHeight="1" x14ac:dyDescent="0.15">
      <c r="A588" s="559" t="s">
        <v>990</v>
      </c>
      <c r="B588" s="290">
        <v>151514</v>
      </c>
      <c r="C588" s="290">
        <v>42538</v>
      </c>
      <c r="D588" s="290" t="s">
        <v>986</v>
      </c>
      <c r="E588" s="290" t="s">
        <v>986</v>
      </c>
      <c r="F588" s="290">
        <v>191818</v>
      </c>
      <c r="G588" s="290">
        <v>191818</v>
      </c>
      <c r="H588" s="290">
        <v>802</v>
      </c>
      <c r="I588" s="290">
        <v>148478</v>
      </c>
      <c r="J588" s="290">
        <v>42538</v>
      </c>
      <c r="K588" s="290" t="s">
        <v>986</v>
      </c>
      <c r="L588" s="290" t="s">
        <v>986</v>
      </c>
      <c r="M588" s="290">
        <v>4373</v>
      </c>
      <c r="N588" s="290">
        <v>4373</v>
      </c>
      <c r="O588" s="290">
        <v>1337</v>
      </c>
      <c r="P588" s="296">
        <v>3036</v>
      </c>
      <c r="Q588" s="295" t="s">
        <v>991</v>
      </c>
    </row>
    <row r="589" spans="1:17" s="290" customFormat="1" ht="6.75" customHeight="1" x14ac:dyDescent="0.15">
      <c r="A589" s="578"/>
      <c r="P589" s="296"/>
      <c r="Q589" s="295"/>
    </row>
    <row r="590" spans="1:17" s="290" customFormat="1" ht="9.75" customHeight="1" x14ac:dyDescent="0.15">
      <c r="A590" s="559" t="s">
        <v>992</v>
      </c>
      <c r="B590" s="290">
        <v>43653</v>
      </c>
      <c r="C590" s="290">
        <v>14282</v>
      </c>
      <c r="D590" s="290" t="s">
        <v>986</v>
      </c>
      <c r="E590" s="290" t="s">
        <v>986</v>
      </c>
      <c r="F590" s="290">
        <v>57935</v>
      </c>
      <c r="G590" s="290">
        <v>57935</v>
      </c>
      <c r="H590" s="290" t="s">
        <v>986</v>
      </c>
      <c r="I590" s="290">
        <v>43653</v>
      </c>
      <c r="J590" s="290">
        <v>14282</v>
      </c>
      <c r="K590" s="290" t="s">
        <v>986</v>
      </c>
      <c r="L590" s="290" t="s">
        <v>986</v>
      </c>
      <c r="M590" s="290">
        <v>1502</v>
      </c>
      <c r="N590" s="290">
        <v>1502</v>
      </c>
      <c r="O590" s="290">
        <v>1502</v>
      </c>
      <c r="P590" s="296" t="s">
        <v>986</v>
      </c>
      <c r="Q590" s="295" t="s">
        <v>777</v>
      </c>
    </row>
    <row r="591" spans="1:17" s="290" customFormat="1" ht="9.75" customHeight="1" x14ac:dyDescent="0.15">
      <c r="A591" s="559" t="s">
        <v>637</v>
      </c>
      <c r="B591" s="290">
        <v>32324</v>
      </c>
      <c r="C591" s="290">
        <v>9520</v>
      </c>
      <c r="D591" s="290" t="s">
        <v>986</v>
      </c>
      <c r="E591" s="290" t="s">
        <v>986</v>
      </c>
      <c r="F591" s="290">
        <v>38808</v>
      </c>
      <c r="G591" s="290">
        <v>38808</v>
      </c>
      <c r="H591" s="290" t="s">
        <v>986</v>
      </c>
      <c r="I591" s="290">
        <v>29288</v>
      </c>
      <c r="J591" s="290">
        <v>9520</v>
      </c>
      <c r="K591" s="290" t="s">
        <v>986</v>
      </c>
      <c r="L591" s="290" t="s">
        <v>986</v>
      </c>
      <c r="M591" s="290">
        <v>3036</v>
      </c>
      <c r="N591" s="290">
        <v>3036</v>
      </c>
      <c r="O591" s="290" t="s">
        <v>986</v>
      </c>
      <c r="P591" s="296">
        <v>3036</v>
      </c>
      <c r="Q591" s="295" t="s">
        <v>85</v>
      </c>
    </row>
    <row r="592" spans="1:17" s="290" customFormat="1" ht="9.75" customHeight="1" x14ac:dyDescent="0.15">
      <c r="A592" s="559" t="s">
        <v>638</v>
      </c>
      <c r="B592" s="290">
        <v>55797</v>
      </c>
      <c r="C592" s="290">
        <v>9521</v>
      </c>
      <c r="D592" s="290" t="s">
        <v>986</v>
      </c>
      <c r="E592" s="290" t="s">
        <v>986</v>
      </c>
      <c r="F592" s="290">
        <v>66120</v>
      </c>
      <c r="G592" s="290">
        <v>66120</v>
      </c>
      <c r="H592" s="290">
        <v>802</v>
      </c>
      <c r="I592" s="290">
        <v>55797</v>
      </c>
      <c r="J592" s="290">
        <v>9521</v>
      </c>
      <c r="K592" s="290" t="s">
        <v>986</v>
      </c>
      <c r="L592" s="290" t="s">
        <v>986</v>
      </c>
      <c r="M592" s="290">
        <v>1337</v>
      </c>
      <c r="N592" s="290">
        <v>1337</v>
      </c>
      <c r="O592" s="290">
        <v>1337</v>
      </c>
      <c r="P592" s="296" t="s">
        <v>986</v>
      </c>
      <c r="Q592" s="295" t="s">
        <v>86</v>
      </c>
    </row>
    <row r="593" spans="1:17" s="290" customFormat="1" ht="9.75" customHeight="1" x14ac:dyDescent="0.15">
      <c r="A593" s="559" t="s">
        <v>639</v>
      </c>
      <c r="B593" s="290">
        <v>37369</v>
      </c>
      <c r="C593" s="290">
        <v>18734</v>
      </c>
      <c r="D593" s="290" t="s">
        <v>986</v>
      </c>
      <c r="E593" s="290" t="s">
        <v>986</v>
      </c>
      <c r="F593" s="290">
        <v>56103</v>
      </c>
      <c r="G593" s="290">
        <v>56103</v>
      </c>
      <c r="H593" s="290" t="s">
        <v>986</v>
      </c>
      <c r="I593" s="290">
        <v>37369</v>
      </c>
      <c r="J593" s="290">
        <v>18734</v>
      </c>
      <c r="K593" s="290" t="s">
        <v>986</v>
      </c>
      <c r="L593" s="290" t="s">
        <v>986</v>
      </c>
      <c r="M593" s="290" t="s">
        <v>986</v>
      </c>
      <c r="N593" s="290" t="s">
        <v>986</v>
      </c>
      <c r="O593" s="290" t="s">
        <v>986</v>
      </c>
      <c r="P593" s="296" t="s">
        <v>986</v>
      </c>
      <c r="Q593" s="295" t="s">
        <v>87</v>
      </c>
    </row>
    <row r="594" spans="1:17" s="290" customFormat="1" ht="9.75" customHeight="1" x14ac:dyDescent="0.15">
      <c r="A594" s="559" t="s">
        <v>993</v>
      </c>
      <c r="B594" s="290">
        <v>26024</v>
      </c>
      <c r="C594" s="290">
        <v>4763</v>
      </c>
      <c r="D594" s="290" t="s">
        <v>986</v>
      </c>
      <c r="E594" s="290" t="s">
        <v>986</v>
      </c>
      <c r="F594" s="290">
        <v>30787</v>
      </c>
      <c r="G594" s="290">
        <v>30787</v>
      </c>
      <c r="H594" s="290" t="s">
        <v>986</v>
      </c>
      <c r="I594" s="290">
        <v>26024</v>
      </c>
      <c r="J594" s="290">
        <v>4763</v>
      </c>
      <c r="K594" s="290" t="s">
        <v>986</v>
      </c>
      <c r="L594" s="290" t="s">
        <v>986</v>
      </c>
      <c r="M594" s="290" t="s">
        <v>986</v>
      </c>
      <c r="N594" s="290" t="s">
        <v>986</v>
      </c>
      <c r="O594" s="290" t="s">
        <v>986</v>
      </c>
      <c r="P594" s="296" t="s">
        <v>986</v>
      </c>
      <c r="Q594" s="295" t="s">
        <v>994</v>
      </c>
    </row>
    <row r="595" spans="1:17" s="290" customFormat="1" ht="6.75" customHeight="1" x14ac:dyDescent="0.15">
      <c r="A595" s="578"/>
      <c r="P595" s="296"/>
      <c r="Q595" s="295"/>
    </row>
    <row r="596" spans="1:17" s="290" customFormat="1" ht="9.75" customHeight="1" x14ac:dyDescent="0.15">
      <c r="A596" s="559" t="s">
        <v>995</v>
      </c>
      <c r="B596" s="290">
        <v>11233</v>
      </c>
      <c r="C596" s="290">
        <v>4760</v>
      </c>
      <c r="D596" s="290" t="s">
        <v>986</v>
      </c>
      <c r="E596" s="290" t="s">
        <v>986</v>
      </c>
      <c r="F596" s="290">
        <v>15993</v>
      </c>
      <c r="G596" s="290">
        <v>15993</v>
      </c>
      <c r="H596" s="290" t="s">
        <v>986</v>
      </c>
      <c r="I596" s="290">
        <v>11233</v>
      </c>
      <c r="J596" s="290">
        <v>4760</v>
      </c>
      <c r="K596" s="290" t="s">
        <v>986</v>
      </c>
      <c r="L596" s="290" t="s">
        <v>986</v>
      </c>
      <c r="M596" s="290" t="s">
        <v>986</v>
      </c>
      <c r="N596" s="290" t="s">
        <v>986</v>
      </c>
      <c r="O596" s="290" t="s">
        <v>986</v>
      </c>
      <c r="P596" s="296" t="s">
        <v>986</v>
      </c>
      <c r="Q596" s="295" t="s">
        <v>778</v>
      </c>
    </row>
    <row r="597" spans="1:17" s="290" customFormat="1" ht="9.75" customHeight="1" x14ac:dyDescent="0.15">
      <c r="A597" s="559" t="s">
        <v>640</v>
      </c>
      <c r="B597" s="290">
        <v>13940</v>
      </c>
      <c r="C597" s="290">
        <v>4761</v>
      </c>
      <c r="D597" s="290" t="s">
        <v>986</v>
      </c>
      <c r="E597" s="290" t="s">
        <v>986</v>
      </c>
      <c r="F597" s="290">
        <v>18701</v>
      </c>
      <c r="G597" s="290">
        <v>18701</v>
      </c>
      <c r="H597" s="290" t="s">
        <v>986</v>
      </c>
      <c r="I597" s="290">
        <v>13940</v>
      </c>
      <c r="J597" s="290">
        <v>4761</v>
      </c>
      <c r="K597" s="290" t="s">
        <v>986</v>
      </c>
      <c r="L597" s="290" t="s">
        <v>986</v>
      </c>
      <c r="M597" s="290" t="s">
        <v>986</v>
      </c>
      <c r="N597" s="290" t="s">
        <v>986</v>
      </c>
      <c r="O597" s="290" t="s">
        <v>986</v>
      </c>
      <c r="P597" s="296" t="s">
        <v>986</v>
      </c>
      <c r="Q597" s="295" t="s">
        <v>73</v>
      </c>
    </row>
    <row r="598" spans="1:17" s="290" customFormat="1" ht="9.75" customHeight="1" x14ac:dyDescent="0.15">
      <c r="A598" s="559" t="s">
        <v>641</v>
      </c>
      <c r="B598" s="290">
        <v>18480</v>
      </c>
      <c r="C598" s="290">
        <v>4761</v>
      </c>
      <c r="D598" s="290" t="s">
        <v>986</v>
      </c>
      <c r="E598" s="290" t="s">
        <v>986</v>
      </c>
      <c r="F598" s="290">
        <v>23241</v>
      </c>
      <c r="G598" s="290">
        <v>23241</v>
      </c>
      <c r="H598" s="290" t="s">
        <v>986</v>
      </c>
      <c r="I598" s="290">
        <v>18480</v>
      </c>
      <c r="J598" s="290">
        <v>4761</v>
      </c>
      <c r="K598" s="290" t="s">
        <v>986</v>
      </c>
      <c r="L598" s="290" t="s">
        <v>986</v>
      </c>
      <c r="M598" s="290">
        <v>1502</v>
      </c>
      <c r="N598" s="290">
        <v>1502</v>
      </c>
      <c r="O598" s="290">
        <v>1502</v>
      </c>
      <c r="P598" s="296" t="s">
        <v>986</v>
      </c>
      <c r="Q598" s="295" t="s">
        <v>74</v>
      </c>
    </row>
    <row r="599" spans="1:17" s="290" customFormat="1" ht="9.75" customHeight="1" x14ac:dyDescent="0.15">
      <c r="A599" s="559" t="s">
        <v>642</v>
      </c>
      <c r="B599" s="290">
        <v>2914</v>
      </c>
      <c r="C599" s="290" t="s">
        <v>986</v>
      </c>
      <c r="D599" s="290" t="s">
        <v>986</v>
      </c>
      <c r="E599" s="290" t="s">
        <v>986</v>
      </c>
      <c r="F599" s="290">
        <v>1483</v>
      </c>
      <c r="G599" s="290">
        <v>1483</v>
      </c>
      <c r="H599" s="290" t="s">
        <v>986</v>
      </c>
      <c r="I599" s="290">
        <v>1483</v>
      </c>
      <c r="J599" s="290" t="s">
        <v>986</v>
      </c>
      <c r="K599" s="290" t="s">
        <v>986</v>
      </c>
      <c r="L599" s="290" t="s">
        <v>986</v>
      </c>
      <c r="M599" s="290">
        <v>1431</v>
      </c>
      <c r="N599" s="290">
        <v>1431</v>
      </c>
      <c r="O599" s="290" t="s">
        <v>986</v>
      </c>
      <c r="P599" s="296">
        <v>1431</v>
      </c>
      <c r="Q599" s="295" t="s">
        <v>75</v>
      </c>
    </row>
    <row r="600" spans="1:17" s="290" customFormat="1" ht="9.75" customHeight="1" x14ac:dyDescent="0.15">
      <c r="A600" s="559" t="s">
        <v>643</v>
      </c>
      <c r="B600" s="290">
        <v>24944</v>
      </c>
      <c r="C600" s="290">
        <v>4760</v>
      </c>
      <c r="D600" s="290" t="s">
        <v>986</v>
      </c>
      <c r="E600" s="290" t="s">
        <v>986</v>
      </c>
      <c r="F600" s="290">
        <v>28099</v>
      </c>
      <c r="G600" s="290">
        <v>28099</v>
      </c>
      <c r="H600" s="290" t="s">
        <v>986</v>
      </c>
      <c r="I600" s="290">
        <v>23339</v>
      </c>
      <c r="J600" s="290">
        <v>4760</v>
      </c>
      <c r="K600" s="290" t="s">
        <v>986</v>
      </c>
      <c r="L600" s="290" t="s">
        <v>986</v>
      </c>
      <c r="M600" s="290">
        <v>1605</v>
      </c>
      <c r="N600" s="290">
        <v>1605</v>
      </c>
      <c r="O600" s="290" t="s">
        <v>986</v>
      </c>
      <c r="P600" s="296">
        <v>1605</v>
      </c>
      <c r="Q600" s="295" t="s">
        <v>88</v>
      </c>
    </row>
    <row r="601" spans="1:17" s="290" customFormat="1" ht="9.75" customHeight="1" x14ac:dyDescent="0.15">
      <c r="A601" s="559" t="s">
        <v>644</v>
      </c>
      <c r="B601" s="290">
        <v>4466</v>
      </c>
      <c r="C601" s="290">
        <v>4760</v>
      </c>
      <c r="D601" s="290" t="s">
        <v>986</v>
      </c>
      <c r="E601" s="290" t="s">
        <v>986</v>
      </c>
      <c r="F601" s="290">
        <v>9226</v>
      </c>
      <c r="G601" s="290">
        <v>9226</v>
      </c>
      <c r="H601" s="290" t="s">
        <v>986</v>
      </c>
      <c r="I601" s="290">
        <v>4466</v>
      </c>
      <c r="J601" s="290">
        <v>4760</v>
      </c>
      <c r="K601" s="290" t="s">
        <v>986</v>
      </c>
      <c r="L601" s="290" t="s">
        <v>986</v>
      </c>
      <c r="M601" s="290" t="s">
        <v>986</v>
      </c>
      <c r="N601" s="290" t="s">
        <v>986</v>
      </c>
      <c r="O601" s="290" t="s">
        <v>986</v>
      </c>
      <c r="P601" s="296" t="s">
        <v>986</v>
      </c>
      <c r="Q601" s="295" t="s">
        <v>89</v>
      </c>
    </row>
    <row r="602" spans="1:17" s="290" customFormat="1" ht="9.75" customHeight="1" x14ac:dyDescent="0.15">
      <c r="A602" s="559" t="s">
        <v>645</v>
      </c>
      <c r="B602" s="290">
        <v>24735</v>
      </c>
      <c r="C602" s="290" t="s">
        <v>986</v>
      </c>
      <c r="D602" s="290" t="s">
        <v>986</v>
      </c>
      <c r="E602" s="290" t="s">
        <v>986</v>
      </c>
      <c r="F602" s="290">
        <v>25537</v>
      </c>
      <c r="G602" s="290">
        <v>25537</v>
      </c>
      <c r="H602" s="290">
        <v>802</v>
      </c>
      <c r="I602" s="290">
        <v>24735</v>
      </c>
      <c r="J602" s="290" t="s">
        <v>986</v>
      </c>
      <c r="K602" s="290" t="s">
        <v>986</v>
      </c>
      <c r="L602" s="290" t="s">
        <v>986</v>
      </c>
      <c r="M602" s="290" t="s">
        <v>986</v>
      </c>
      <c r="N602" s="290" t="s">
        <v>986</v>
      </c>
      <c r="O602" s="290" t="s">
        <v>986</v>
      </c>
      <c r="P602" s="296" t="s">
        <v>986</v>
      </c>
      <c r="Q602" s="295" t="s">
        <v>90</v>
      </c>
    </row>
    <row r="603" spans="1:17" s="290" customFormat="1" ht="9.75" customHeight="1" x14ac:dyDescent="0.15">
      <c r="A603" s="559" t="s">
        <v>646</v>
      </c>
      <c r="B603" s="290">
        <v>16887</v>
      </c>
      <c r="C603" s="290">
        <v>4760</v>
      </c>
      <c r="D603" s="290" t="s">
        <v>986</v>
      </c>
      <c r="E603" s="290" t="s">
        <v>986</v>
      </c>
      <c r="F603" s="290">
        <v>21647</v>
      </c>
      <c r="G603" s="290">
        <v>21647</v>
      </c>
      <c r="H603" s="290" t="s">
        <v>986</v>
      </c>
      <c r="I603" s="290">
        <v>16887</v>
      </c>
      <c r="J603" s="290">
        <v>4760</v>
      </c>
      <c r="K603" s="290" t="s">
        <v>986</v>
      </c>
      <c r="L603" s="290" t="s">
        <v>986</v>
      </c>
      <c r="M603" s="290" t="s">
        <v>986</v>
      </c>
      <c r="N603" s="290" t="s">
        <v>986</v>
      </c>
      <c r="O603" s="290" t="s">
        <v>986</v>
      </c>
      <c r="P603" s="296" t="s">
        <v>986</v>
      </c>
      <c r="Q603" s="295" t="s">
        <v>91</v>
      </c>
    </row>
    <row r="604" spans="1:17" s="290" customFormat="1" ht="9.75" customHeight="1" x14ac:dyDescent="0.15">
      <c r="A604" s="559" t="s">
        <v>647</v>
      </c>
      <c r="B604" s="290">
        <v>14175</v>
      </c>
      <c r="C604" s="290">
        <v>4761</v>
      </c>
      <c r="D604" s="290" t="s">
        <v>986</v>
      </c>
      <c r="E604" s="290" t="s">
        <v>986</v>
      </c>
      <c r="F604" s="290">
        <v>18936</v>
      </c>
      <c r="G604" s="290">
        <v>18936</v>
      </c>
      <c r="H604" s="290" t="s">
        <v>986</v>
      </c>
      <c r="I604" s="290">
        <v>14175</v>
      </c>
      <c r="J604" s="290">
        <v>4761</v>
      </c>
      <c r="K604" s="290" t="s">
        <v>986</v>
      </c>
      <c r="L604" s="290" t="s">
        <v>986</v>
      </c>
      <c r="M604" s="290">
        <v>1337</v>
      </c>
      <c r="N604" s="290">
        <v>1337</v>
      </c>
      <c r="O604" s="290">
        <v>1337</v>
      </c>
      <c r="P604" s="296" t="s">
        <v>986</v>
      </c>
      <c r="Q604" s="295" t="s">
        <v>92</v>
      </c>
    </row>
    <row r="605" spans="1:17" s="290" customFormat="1" ht="9.75" customHeight="1" x14ac:dyDescent="0.15">
      <c r="A605" s="559" t="s">
        <v>648</v>
      </c>
      <c r="B605" s="290">
        <v>14065</v>
      </c>
      <c r="C605" s="290">
        <v>4551</v>
      </c>
      <c r="D605" s="290" t="s">
        <v>986</v>
      </c>
      <c r="E605" s="290" t="s">
        <v>986</v>
      </c>
      <c r="F605" s="290">
        <v>18616</v>
      </c>
      <c r="G605" s="290">
        <v>18616</v>
      </c>
      <c r="H605" s="290" t="s">
        <v>986</v>
      </c>
      <c r="I605" s="290">
        <v>14065</v>
      </c>
      <c r="J605" s="290">
        <v>4551</v>
      </c>
      <c r="K605" s="290" t="s">
        <v>986</v>
      </c>
      <c r="L605" s="290" t="s">
        <v>986</v>
      </c>
      <c r="M605" s="290" t="s">
        <v>986</v>
      </c>
      <c r="N605" s="290" t="s">
        <v>986</v>
      </c>
      <c r="O605" s="290" t="s">
        <v>986</v>
      </c>
      <c r="P605" s="296" t="s">
        <v>986</v>
      </c>
      <c r="Q605" s="295" t="s">
        <v>76</v>
      </c>
    </row>
    <row r="606" spans="1:17" s="290" customFormat="1" ht="9.75" customHeight="1" x14ac:dyDescent="0.15">
      <c r="A606" s="559" t="s">
        <v>649</v>
      </c>
      <c r="B606" s="290">
        <v>9186</v>
      </c>
      <c r="C606" s="290">
        <v>7805</v>
      </c>
      <c r="D606" s="290" t="s">
        <v>986</v>
      </c>
      <c r="E606" s="290" t="s">
        <v>986</v>
      </c>
      <c r="F606" s="290">
        <v>16991</v>
      </c>
      <c r="G606" s="290">
        <v>16991</v>
      </c>
      <c r="H606" s="290" t="s">
        <v>986</v>
      </c>
      <c r="I606" s="290">
        <v>9186</v>
      </c>
      <c r="J606" s="290">
        <v>7805</v>
      </c>
      <c r="K606" s="290" t="s">
        <v>986</v>
      </c>
      <c r="L606" s="290" t="s">
        <v>986</v>
      </c>
      <c r="M606" s="290" t="s">
        <v>986</v>
      </c>
      <c r="N606" s="290" t="s">
        <v>986</v>
      </c>
      <c r="O606" s="290" t="s">
        <v>986</v>
      </c>
      <c r="P606" s="296" t="s">
        <v>986</v>
      </c>
      <c r="Q606" s="295" t="s">
        <v>77</v>
      </c>
    </row>
    <row r="607" spans="1:17" s="290" customFormat="1" ht="9.75" customHeight="1" x14ac:dyDescent="0.15">
      <c r="A607" s="559" t="s">
        <v>650</v>
      </c>
      <c r="B607" s="290">
        <v>14118</v>
      </c>
      <c r="C607" s="290">
        <v>6378</v>
      </c>
      <c r="D607" s="290" t="s">
        <v>986</v>
      </c>
      <c r="E607" s="290" t="s">
        <v>986</v>
      </c>
      <c r="F607" s="290">
        <v>20496</v>
      </c>
      <c r="G607" s="290">
        <v>20496</v>
      </c>
      <c r="H607" s="290" t="s">
        <v>986</v>
      </c>
      <c r="I607" s="290">
        <v>14118</v>
      </c>
      <c r="J607" s="290">
        <v>6378</v>
      </c>
      <c r="K607" s="290" t="s">
        <v>986</v>
      </c>
      <c r="L607" s="290" t="s">
        <v>986</v>
      </c>
      <c r="M607" s="290" t="s">
        <v>986</v>
      </c>
      <c r="N607" s="290" t="s">
        <v>986</v>
      </c>
      <c r="O607" s="290" t="s">
        <v>986</v>
      </c>
      <c r="P607" s="296" t="s">
        <v>986</v>
      </c>
      <c r="Q607" s="295" t="s">
        <v>78</v>
      </c>
    </row>
    <row r="608" spans="1:17" s="290" customFormat="1" ht="9.75" customHeight="1" x14ac:dyDescent="0.15">
      <c r="A608" s="559" t="s">
        <v>996</v>
      </c>
      <c r="B608" s="290">
        <v>18478</v>
      </c>
      <c r="C608" s="290" t="s">
        <v>986</v>
      </c>
      <c r="D608" s="290" t="s">
        <v>986</v>
      </c>
      <c r="E608" s="290" t="s">
        <v>986</v>
      </c>
      <c r="F608" s="290">
        <v>18478</v>
      </c>
      <c r="G608" s="290">
        <v>18478</v>
      </c>
      <c r="H608" s="290" t="s">
        <v>986</v>
      </c>
      <c r="I608" s="290">
        <v>18478</v>
      </c>
      <c r="J608" s="290" t="s">
        <v>986</v>
      </c>
      <c r="K608" s="290" t="s">
        <v>986</v>
      </c>
      <c r="L608" s="290" t="s">
        <v>986</v>
      </c>
      <c r="M608" s="290" t="s">
        <v>986</v>
      </c>
      <c r="N608" s="290" t="s">
        <v>986</v>
      </c>
      <c r="O608" s="290" t="s">
        <v>986</v>
      </c>
      <c r="P608" s="296" t="s">
        <v>986</v>
      </c>
      <c r="Q608" s="295" t="s">
        <v>997</v>
      </c>
    </row>
    <row r="609" spans="1:17" s="290" customFormat="1" ht="9.75" customHeight="1" x14ac:dyDescent="0.15">
      <c r="A609" s="559" t="s">
        <v>651</v>
      </c>
      <c r="B609" s="290">
        <v>4503</v>
      </c>
      <c r="C609" s="290">
        <v>4763</v>
      </c>
      <c r="D609" s="290" t="s">
        <v>986</v>
      </c>
      <c r="E609" s="290" t="s">
        <v>986</v>
      </c>
      <c r="F609" s="290">
        <v>9266</v>
      </c>
      <c r="G609" s="290">
        <v>9266</v>
      </c>
      <c r="H609" s="290" t="s">
        <v>986</v>
      </c>
      <c r="I609" s="290">
        <v>4503</v>
      </c>
      <c r="J609" s="290">
        <v>4763</v>
      </c>
      <c r="K609" s="290" t="s">
        <v>986</v>
      </c>
      <c r="L609" s="290" t="s">
        <v>986</v>
      </c>
      <c r="M609" s="290" t="s">
        <v>986</v>
      </c>
      <c r="N609" s="290" t="s">
        <v>986</v>
      </c>
      <c r="O609" s="290" t="s">
        <v>986</v>
      </c>
      <c r="P609" s="296" t="s">
        <v>986</v>
      </c>
      <c r="Q609" s="295" t="s">
        <v>73</v>
      </c>
    </row>
    <row r="610" spans="1:17" s="290" customFormat="1" ht="9.75" customHeight="1" x14ac:dyDescent="0.15">
      <c r="A610" s="560" t="s">
        <v>652</v>
      </c>
      <c r="B610" s="294">
        <v>3043</v>
      </c>
      <c r="C610" s="293" t="s">
        <v>986</v>
      </c>
      <c r="D610" s="293" t="s">
        <v>986</v>
      </c>
      <c r="E610" s="293" t="s">
        <v>986</v>
      </c>
      <c r="F610" s="293">
        <v>3043</v>
      </c>
      <c r="G610" s="293">
        <v>3043</v>
      </c>
      <c r="H610" s="293" t="s">
        <v>986</v>
      </c>
      <c r="I610" s="293">
        <v>3043</v>
      </c>
      <c r="J610" s="293" t="s">
        <v>986</v>
      </c>
      <c r="K610" s="293" t="s">
        <v>986</v>
      </c>
      <c r="L610" s="293" t="s">
        <v>986</v>
      </c>
      <c r="M610" s="293" t="s">
        <v>986</v>
      </c>
      <c r="N610" s="293" t="s">
        <v>986</v>
      </c>
      <c r="O610" s="293" t="s">
        <v>986</v>
      </c>
      <c r="P610" s="292" t="s">
        <v>986</v>
      </c>
      <c r="Q610" s="291" t="s">
        <v>74</v>
      </c>
    </row>
    <row r="611" spans="1:17" ht="12" customHeight="1" x14ac:dyDescent="0.15"/>
    <row r="612" spans="1:17" ht="12" customHeight="1" x14ac:dyDescent="0.15"/>
    <row r="613" spans="1:17" ht="12" customHeight="1" x14ac:dyDescent="0.15"/>
  </sheetData>
  <mergeCells count="49">
    <mergeCell ref="A542:A544"/>
    <mergeCell ref="W542:W544"/>
    <mergeCell ref="T543:T544"/>
    <mergeCell ref="A578:A580"/>
    <mergeCell ref="Q578:Q580"/>
    <mergeCell ref="F579:F580"/>
    <mergeCell ref="M579:M580"/>
    <mergeCell ref="A434:A436"/>
    <mergeCell ref="A506:A508"/>
    <mergeCell ref="W434:W436"/>
    <mergeCell ref="E435:E436"/>
    <mergeCell ref="A470:A472"/>
    <mergeCell ref="W470:W472"/>
    <mergeCell ref="L471:L472"/>
    <mergeCell ref="W506:W508"/>
    <mergeCell ref="A398:A400"/>
    <mergeCell ref="W398:W400"/>
    <mergeCell ref="V399:V400"/>
    <mergeCell ref="A254:A256"/>
    <mergeCell ref="W254:W256"/>
    <mergeCell ref="T255:T256"/>
    <mergeCell ref="A290:A292"/>
    <mergeCell ref="W290:W292"/>
    <mergeCell ref="H291:H292"/>
    <mergeCell ref="A326:A328"/>
    <mergeCell ref="W326:W328"/>
    <mergeCell ref="B327:B328"/>
    <mergeCell ref="A362:A364"/>
    <mergeCell ref="W362:W364"/>
    <mergeCell ref="A182:A184"/>
    <mergeCell ref="W182:W184"/>
    <mergeCell ref="M183:M184"/>
    <mergeCell ref="U183:U184"/>
    <mergeCell ref="A218:A220"/>
    <mergeCell ref="W218:W220"/>
    <mergeCell ref="A110:A112"/>
    <mergeCell ref="W110:W112"/>
    <mergeCell ref="Q111:Q112"/>
    <mergeCell ref="U111:U112"/>
    <mergeCell ref="A146:A148"/>
    <mergeCell ref="W146:W148"/>
    <mergeCell ref="A74:A76"/>
    <mergeCell ref="W74:W76"/>
    <mergeCell ref="H75:H76"/>
    <mergeCell ref="A2:A4"/>
    <mergeCell ref="W2:W4"/>
    <mergeCell ref="B3:B4"/>
    <mergeCell ref="A38:A40"/>
    <mergeCell ref="W38:W40"/>
  </mergeCells>
  <phoneticPr fontId="33"/>
  <pageMargins left="0.59055118110236227" right="0.59055118110236227" top="0.59055118110236227" bottom="0.59055118110236227" header="0.51181102362204722" footer="0.51181102362204722"/>
  <pageSetup paperSize="9" pageOrder="overThenDown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60"/>
  <sheetViews>
    <sheetView view="pageBreakPreview" topLeftCell="A3" zoomScaleNormal="75" zoomScaleSheetLayoutView="100" workbookViewId="0">
      <pane xSplit="5" ySplit="8" topLeftCell="F11" activePane="bottomRight" state="frozen"/>
      <selection activeCell="A3" sqref="A3"/>
      <selection pane="topRight" activeCell="G3" sqref="G3"/>
      <selection pane="bottomLeft" activeCell="A12" sqref="A12"/>
      <selection pane="bottomRight" activeCell="A4" sqref="A4"/>
    </sheetView>
  </sheetViews>
  <sheetFormatPr defaultRowHeight="13.5" x14ac:dyDescent="0.15"/>
  <cols>
    <col min="1" max="1" width="2.625" style="97" customWidth="1"/>
    <col min="2" max="2" width="3.625" style="97" customWidth="1"/>
    <col min="3" max="3" width="11.625" style="97" customWidth="1"/>
    <col min="4" max="4" width="0.875" style="97" customWidth="1"/>
    <col min="5" max="5" width="9.125" style="97" customWidth="1"/>
    <col min="6" max="20" width="8.125" style="97" customWidth="1"/>
    <col min="21" max="21" width="12.375" style="97" customWidth="1"/>
    <col min="22" max="22" width="2.625" style="98" customWidth="1"/>
    <col min="23" max="16384" width="9" style="97"/>
  </cols>
  <sheetData>
    <row r="1" spans="1:24" ht="24.95" customHeight="1" x14ac:dyDescent="0.15"/>
    <row r="2" spans="1:24" ht="30" customHeight="1" x14ac:dyDescent="0.2">
      <c r="A2" s="844" t="s">
        <v>346</v>
      </c>
      <c r="B2" s="845"/>
      <c r="C2" s="845"/>
      <c r="D2" s="845"/>
      <c r="E2" s="846"/>
      <c r="F2" s="846"/>
      <c r="G2" s="846"/>
      <c r="H2" s="846"/>
      <c r="I2" s="847"/>
      <c r="J2" s="846"/>
      <c r="K2" s="846"/>
      <c r="L2" s="846"/>
      <c r="M2" s="846"/>
      <c r="N2" s="846"/>
      <c r="O2" s="846"/>
      <c r="P2" s="846"/>
      <c r="Q2" s="846"/>
      <c r="R2" s="848"/>
      <c r="S2" s="848"/>
      <c r="T2" s="848"/>
      <c r="U2" s="846"/>
      <c r="V2" s="846"/>
    </row>
    <row r="3" spans="1:24" ht="17.100000000000001" customHeight="1" x14ac:dyDescent="0.15">
      <c r="I3" s="849"/>
      <c r="J3" s="849"/>
      <c r="K3" s="849"/>
      <c r="L3" s="849"/>
      <c r="M3" s="849"/>
      <c r="N3" s="849"/>
      <c r="O3" s="849"/>
      <c r="P3" s="849"/>
      <c r="Q3" s="849"/>
      <c r="V3" s="97"/>
    </row>
    <row r="4" spans="1:24" s="852" customFormat="1" ht="14.85" customHeight="1" x14ac:dyDescent="0.15">
      <c r="A4" s="850"/>
      <c r="B4" s="851"/>
      <c r="G4" s="853"/>
      <c r="H4" s="854"/>
      <c r="I4" s="854"/>
      <c r="J4" s="854"/>
      <c r="K4" s="854"/>
      <c r="M4" s="855"/>
      <c r="N4" s="853"/>
      <c r="O4" s="853"/>
      <c r="P4" s="853"/>
      <c r="Q4" s="853"/>
      <c r="R4" s="855"/>
      <c r="S4" s="853"/>
      <c r="T4" s="856"/>
      <c r="U4" s="853"/>
      <c r="V4" s="854"/>
    </row>
    <row r="5" spans="1:24" ht="14.85" customHeight="1" x14ac:dyDescent="0.2">
      <c r="A5" s="857"/>
      <c r="B5" s="858"/>
      <c r="G5" s="853"/>
      <c r="H5" s="320"/>
      <c r="I5" s="320"/>
      <c r="J5" s="320"/>
      <c r="K5" s="320"/>
      <c r="L5" s="853"/>
      <c r="M5" s="853"/>
      <c r="N5" s="853"/>
      <c r="O5" s="859"/>
      <c r="P5" s="853"/>
      <c r="Q5" s="853"/>
      <c r="R5" s="860"/>
      <c r="S5" s="844"/>
      <c r="T5" s="861"/>
      <c r="U5" s="853"/>
    </row>
    <row r="6" spans="1:24" ht="14.85" customHeight="1" x14ac:dyDescent="0.2">
      <c r="A6" s="862"/>
      <c r="B6" s="212" t="s">
        <v>345</v>
      </c>
      <c r="C6" s="863"/>
      <c r="D6" s="863"/>
      <c r="E6" s="863"/>
      <c r="F6" s="863"/>
      <c r="G6" s="863"/>
      <c r="H6" s="864"/>
      <c r="I6" s="864"/>
      <c r="J6" s="863"/>
      <c r="K6" s="863"/>
      <c r="L6" s="863"/>
      <c r="M6" s="865"/>
      <c r="N6" s="865"/>
      <c r="O6" s="211"/>
      <c r="P6" s="564"/>
      <c r="Q6" s="866"/>
      <c r="S6" s="867"/>
      <c r="T6" s="78" t="s">
        <v>681</v>
      </c>
      <c r="U6" s="211"/>
    </row>
    <row r="7" spans="1:24" s="99" customFormat="1" ht="14.85" customHeight="1" x14ac:dyDescent="0.15">
      <c r="A7" s="94"/>
      <c r="B7" s="639"/>
      <c r="C7" s="639"/>
      <c r="D7" s="868"/>
      <c r="E7" s="841"/>
      <c r="F7" s="136"/>
      <c r="G7" s="136"/>
      <c r="H7" s="136"/>
      <c r="I7" s="136"/>
      <c r="J7" s="136"/>
      <c r="K7" s="136"/>
      <c r="L7" s="136"/>
      <c r="M7" s="135"/>
      <c r="N7" s="134"/>
      <c r="O7" s="133"/>
      <c r="P7" s="133"/>
      <c r="Q7" s="133"/>
      <c r="R7" s="869"/>
      <c r="S7" s="132"/>
      <c r="T7" s="131"/>
      <c r="U7" s="1063" t="s">
        <v>618</v>
      </c>
      <c r="V7" s="870"/>
    </row>
    <row r="8" spans="1:24" s="99" customFormat="1" ht="21.75" customHeight="1" x14ac:dyDescent="0.15">
      <c r="A8" s="94"/>
      <c r="B8" s="1039" t="s">
        <v>500</v>
      </c>
      <c r="C8" s="1039"/>
      <c r="D8" s="1040"/>
      <c r="E8" s="124" t="s">
        <v>227</v>
      </c>
      <c r="F8" s="119" t="s">
        <v>501</v>
      </c>
      <c r="G8" s="119" t="s">
        <v>502</v>
      </c>
      <c r="H8" s="119" t="s">
        <v>503</v>
      </c>
      <c r="I8" s="119" t="s">
        <v>504</v>
      </c>
      <c r="J8" s="119" t="s">
        <v>505</v>
      </c>
      <c r="K8" s="119" t="s">
        <v>506</v>
      </c>
      <c r="L8" s="796"/>
      <c r="M8" s="128"/>
      <c r="N8" s="121" t="s">
        <v>507</v>
      </c>
      <c r="O8" s="122" t="s">
        <v>508</v>
      </c>
      <c r="P8" s="122" t="s">
        <v>509</v>
      </c>
      <c r="Q8" s="122" t="s">
        <v>510</v>
      </c>
      <c r="R8" s="127" t="s">
        <v>693</v>
      </c>
      <c r="S8" s="798"/>
      <c r="T8" s="125"/>
      <c r="U8" s="1064"/>
      <c r="V8" s="870"/>
    </row>
    <row r="9" spans="1:24" s="99" customFormat="1" ht="14.25" customHeight="1" x14ac:dyDescent="0.15">
      <c r="A9" s="94"/>
      <c r="B9" s="639"/>
      <c r="C9" s="639"/>
      <c r="D9" s="871"/>
      <c r="E9" s="124"/>
      <c r="F9" s="119" t="s">
        <v>224</v>
      </c>
      <c r="G9" s="119" t="s">
        <v>224</v>
      </c>
      <c r="H9" s="119" t="s">
        <v>225</v>
      </c>
      <c r="I9" s="119"/>
      <c r="J9" s="119"/>
      <c r="K9" s="119" t="s">
        <v>224</v>
      </c>
      <c r="L9" s="119" t="s">
        <v>223</v>
      </c>
      <c r="M9" s="123" t="s">
        <v>222</v>
      </c>
      <c r="N9" s="121"/>
      <c r="O9" s="122"/>
      <c r="P9" s="122"/>
      <c r="Q9" s="122"/>
      <c r="R9" s="122"/>
      <c r="S9" s="122" t="s">
        <v>512</v>
      </c>
      <c r="T9" s="121" t="s">
        <v>513</v>
      </c>
      <c r="U9" s="1064"/>
      <c r="V9" s="870"/>
    </row>
    <row r="10" spans="1:24" s="874" customFormat="1" ht="33.75" customHeight="1" x14ac:dyDescent="0.15">
      <c r="A10" s="872"/>
      <c r="B10" s="691"/>
      <c r="C10" s="691"/>
      <c r="D10" s="873"/>
      <c r="E10" s="118" t="s">
        <v>827</v>
      </c>
      <c r="F10" s="118" t="s">
        <v>221</v>
      </c>
      <c r="G10" s="118" t="s">
        <v>522</v>
      </c>
      <c r="H10" s="118" t="s">
        <v>523</v>
      </c>
      <c r="I10" s="118" t="s">
        <v>220</v>
      </c>
      <c r="J10" s="118" t="s">
        <v>514</v>
      </c>
      <c r="K10" s="118" t="s">
        <v>828</v>
      </c>
      <c r="L10" s="118" t="s">
        <v>524</v>
      </c>
      <c r="M10" s="117" t="s">
        <v>525</v>
      </c>
      <c r="N10" s="116" t="s">
        <v>229</v>
      </c>
      <c r="O10" s="116" t="s">
        <v>219</v>
      </c>
      <c r="P10" s="116" t="s">
        <v>218</v>
      </c>
      <c r="Q10" s="115" t="s">
        <v>217</v>
      </c>
      <c r="R10" s="642" t="s">
        <v>526</v>
      </c>
      <c r="S10" s="114"/>
      <c r="T10" s="114"/>
      <c r="U10" s="1065"/>
      <c r="V10" s="870"/>
    </row>
    <row r="11" spans="1:24" s="99" customFormat="1" ht="13.5" customHeight="1" x14ac:dyDescent="0.15">
      <c r="A11" s="94"/>
      <c r="B11" s="1066" t="s">
        <v>882</v>
      </c>
      <c r="C11" s="1066"/>
      <c r="D11" s="875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876"/>
      <c r="U11" s="319"/>
      <c r="V11" s="94"/>
    </row>
    <row r="12" spans="1:24" s="99" customFormat="1" ht="14.25" customHeight="1" x14ac:dyDescent="0.15">
      <c r="A12" s="94"/>
      <c r="B12" s="877"/>
      <c r="C12" s="878" t="s">
        <v>190</v>
      </c>
      <c r="D12" s="879"/>
      <c r="E12" s="880">
        <v>9310334</v>
      </c>
      <c r="F12" s="881">
        <v>1803981</v>
      </c>
      <c r="G12" s="881">
        <v>1548060</v>
      </c>
      <c r="H12" s="881">
        <v>810252</v>
      </c>
      <c r="I12" s="881">
        <v>2034988</v>
      </c>
      <c r="J12" s="881">
        <v>1351170</v>
      </c>
      <c r="K12" s="881">
        <v>1761883</v>
      </c>
      <c r="L12" s="881">
        <v>706361</v>
      </c>
      <c r="M12" s="881">
        <v>1055522</v>
      </c>
      <c r="N12" s="881">
        <v>495378</v>
      </c>
      <c r="O12" s="881">
        <v>221105</v>
      </c>
      <c r="P12" s="881">
        <v>10059</v>
      </c>
      <c r="Q12" s="881">
        <v>13495</v>
      </c>
      <c r="R12" s="317">
        <v>1630474</v>
      </c>
      <c r="S12" s="317">
        <v>1015372</v>
      </c>
      <c r="T12" s="613">
        <v>615102</v>
      </c>
      <c r="U12" s="882" t="s">
        <v>883</v>
      </c>
      <c r="V12" s="94"/>
    </row>
    <row r="13" spans="1:24" s="99" customFormat="1" ht="14.1" customHeight="1" x14ac:dyDescent="0.15">
      <c r="A13" s="94"/>
      <c r="B13" s="883" t="s">
        <v>344</v>
      </c>
      <c r="C13" s="884" t="s">
        <v>343</v>
      </c>
      <c r="D13" s="206"/>
      <c r="E13" s="313">
        <v>5111681</v>
      </c>
      <c r="F13" s="313">
        <v>951280</v>
      </c>
      <c r="G13" s="313">
        <v>1084559</v>
      </c>
      <c r="H13" s="313">
        <v>462546</v>
      </c>
      <c r="I13" s="313">
        <v>854558</v>
      </c>
      <c r="J13" s="313">
        <v>704415</v>
      </c>
      <c r="K13" s="313">
        <v>1054323</v>
      </c>
      <c r="L13" s="313">
        <v>285516</v>
      </c>
      <c r="M13" s="313">
        <v>768807</v>
      </c>
      <c r="N13" s="313">
        <v>176294</v>
      </c>
      <c r="O13" s="313">
        <v>175541</v>
      </c>
      <c r="P13" s="313" t="s">
        <v>1029</v>
      </c>
      <c r="Q13" s="313">
        <v>2761</v>
      </c>
      <c r="R13" s="316">
        <v>213026</v>
      </c>
      <c r="S13" s="316">
        <v>75699</v>
      </c>
      <c r="T13" s="473">
        <v>137327</v>
      </c>
      <c r="U13" s="61" t="s">
        <v>198</v>
      </c>
      <c r="V13" s="94"/>
    </row>
    <row r="14" spans="1:24" s="99" customFormat="1" ht="14.1" customHeight="1" x14ac:dyDescent="0.15">
      <c r="A14" s="94"/>
      <c r="B14" s="885"/>
      <c r="C14" s="886" t="s">
        <v>342</v>
      </c>
      <c r="D14" s="887"/>
      <c r="E14" s="888">
        <v>4198653</v>
      </c>
      <c r="F14" s="888">
        <v>852701</v>
      </c>
      <c r="G14" s="888">
        <v>463501</v>
      </c>
      <c r="H14" s="888">
        <v>347706</v>
      </c>
      <c r="I14" s="888">
        <v>1180430</v>
      </c>
      <c r="J14" s="888">
        <v>646755</v>
      </c>
      <c r="K14" s="888">
        <v>707560</v>
      </c>
      <c r="L14" s="888">
        <v>420845</v>
      </c>
      <c r="M14" s="888">
        <v>286715</v>
      </c>
      <c r="N14" s="888">
        <v>319084</v>
      </c>
      <c r="O14" s="888">
        <v>45564</v>
      </c>
      <c r="P14" s="888">
        <v>10059</v>
      </c>
      <c r="Q14" s="888">
        <v>10734</v>
      </c>
      <c r="R14" s="315">
        <v>1417448</v>
      </c>
      <c r="S14" s="315">
        <v>939673</v>
      </c>
      <c r="T14" s="614">
        <v>477775</v>
      </c>
      <c r="U14" s="889" t="s">
        <v>341</v>
      </c>
      <c r="V14" s="94"/>
    </row>
    <row r="15" spans="1:24" s="99" customFormat="1" ht="14.25" customHeight="1" x14ac:dyDescent="0.15">
      <c r="A15" s="94"/>
      <c r="B15" s="890"/>
      <c r="C15" s="878" t="s">
        <v>190</v>
      </c>
      <c r="D15" s="879"/>
      <c r="E15" s="881">
        <v>8389639</v>
      </c>
      <c r="F15" s="881">
        <v>1697946</v>
      </c>
      <c r="G15" s="881">
        <v>1465022</v>
      </c>
      <c r="H15" s="881">
        <v>796206</v>
      </c>
      <c r="I15" s="881">
        <v>1292152</v>
      </c>
      <c r="J15" s="881">
        <v>1303403</v>
      </c>
      <c r="K15" s="881">
        <v>1834910</v>
      </c>
      <c r="L15" s="881">
        <v>702050</v>
      </c>
      <c r="M15" s="881">
        <v>1132860</v>
      </c>
      <c r="N15" s="881">
        <v>507739</v>
      </c>
      <c r="O15" s="881">
        <v>197964</v>
      </c>
      <c r="P15" s="881">
        <v>10513</v>
      </c>
      <c r="Q15" s="881">
        <v>13714</v>
      </c>
      <c r="R15" s="317">
        <v>1479439</v>
      </c>
      <c r="S15" s="317">
        <v>878200</v>
      </c>
      <c r="T15" s="613">
        <v>601239</v>
      </c>
      <c r="U15" s="891" t="s">
        <v>884</v>
      </c>
      <c r="V15" s="94"/>
      <c r="X15" s="859"/>
    </row>
    <row r="16" spans="1:24" s="99" customFormat="1" ht="14.1" customHeight="1" x14ac:dyDescent="0.15">
      <c r="A16" s="94"/>
      <c r="B16" s="883" t="s">
        <v>694</v>
      </c>
      <c r="C16" s="884" t="s">
        <v>343</v>
      </c>
      <c r="D16" s="206"/>
      <c r="E16" s="313">
        <v>4579098</v>
      </c>
      <c r="F16" s="313">
        <v>859878</v>
      </c>
      <c r="G16" s="313">
        <v>1028258</v>
      </c>
      <c r="H16" s="313">
        <v>464668</v>
      </c>
      <c r="I16" s="313">
        <v>522258</v>
      </c>
      <c r="J16" s="313">
        <v>688770</v>
      </c>
      <c r="K16" s="313">
        <v>1015266</v>
      </c>
      <c r="L16" s="313">
        <v>290741</v>
      </c>
      <c r="M16" s="313">
        <v>724525</v>
      </c>
      <c r="N16" s="313">
        <v>188705</v>
      </c>
      <c r="O16" s="313">
        <v>152765</v>
      </c>
      <c r="P16" s="313" t="s">
        <v>1029</v>
      </c>
      <c r="Q16" s="313">
        <v>2945</v>
      </c>
      <c r="R16" s="316">
        <v>213329</v>
      </c>
      <c r="S16" s="316">
        <v>76373</v>
      </c>
      <c r="T16" s="472">
        <v>136956</v>
      </c>
      <c r="U16" s="61" t="s">
        <v>198</v>
      </c>
      <c r="V16" s="94"/>
    </row>
    <row r="17" spans="1:22" s="99" customFormat="1" ht="14.1" customHeight="1" x14ac:dyDescent="0.15">
      <c r="A17" s="94"/>
      <c r="B17" s="885"/>
      <c r="C17" s="886" t="s">
        <v>342</v>
      </c>
      <c r="D17" s="887"/>
      <c r="E17" s="888">
        <v>3810541</v>
      </c>
      <c r="F17" s="888">
        <v>838068</v>
      </c>
      <c r="G17" s="888">
        <v>436764</v>
      </c>
      <c r="H17" s="888">
        <v>331538</v>
      </c>
      <c r="I17" s="888">
        <v>769894</v>
      </c>
      <c r="J17" s="888">
        <v>614633</v>
      </c>
      <c r="K17" s="888">
        <v>819644</v>
      </c>
      <c r="L17" s="888">
        <v>411309</v>
      </c>
      <c r="M17" s="888">
        <v>408335</v>
      </c>
      <c r="N17" s="888">
        <v>319034</v>
      </c>
      <c r="O17" s="888">
        <v>45199</v>
      </c>
      <c r="P17" s="888">
        <v>10513</v>
      </c>
      <c r="Q17" s="888">
        <v>10769</v>
      </c>
      <c r="R17" s="315">
        <v>1266110</v>
      </c>
      <c r="S17" s="315">
        <v>801827</v>
      </c>
      <c r="T17" s="614">
        <v>464283</v>
      </c>
      <c r="U17" s="889" t="s">
        <v>341</v>
      </c>
      <c r="V17" s="94"/>
    </row>
    <row r="18" spans="1:22" s="99" customFormat="1" ht="14.25" customHeight="1" x14ac:dyDescent="0.15">
      <c r="A18" s="94"/>
      <c r="B18" s="890"/>
      <c r="C18" s="878" t="s">
        <v>190</v>
      </c>
      <c r="D18" s="879"/>
      <c r="E18" s="881">
        <v>7914729</v>
      </c>
      <c r="F18" s="881">
        <v>1616359</v>
      </c>
      <c r="G18" s="881">
        <v>1408210</v>
      </c>
      <c r="H18" s="881">
        <v>633135</v>
      </c>
      <c r="I18" s="881">
        <v>1273171</v>
      </c>
      <c r="J18" s="881">
        <v>1161634</v>
      </c>
      <c r="K18" s="881">
        <v>1822220</v>
      </c>
      <c r="L18" s="881">
        <v>702157</v>
      </c>
      <c r="M18" s="881">
        <v>1120063</v>
      </c>
      <c r="N18" s="881">
        <v>492952</v>
      </c>
      <c r="O18" s="881">
        <v>218651</v>
      </c>
      <c r="P18" s="881">
        <v>9698</v>
      </c>
      <c r="Q18" s="881">
        <v>14642</v>
      </c>
      <c r="R18" s="317">
        <v>1736640</v>
      </c>
      <c r="S18" s="317">
        <v>1164313</v>
      </c>
      <c r="T18" s="613">
        <v>572327</v>
      </c>
      <c r="U18" s="882" t="s">
        <v>885</v>
      </c>
      <c r="V18" s="94"/>
    </row>
    <row r="19" spans="1:22" s="99" customFormat="1" ht="14.1" customHeight="1" x14ac:dyDescent="0.15">
      <c r="A19" s="94"/>
      <c r="B19" s="883" t="s">
        <v>695</v>
      </c>
      <c r="C19" s="884" t="s">
        <v>343</v>
      </c>
      <c r="D19" s="206"/>
      <c r="E19" s="313">
        <v>4428396</v>
      </c>
      <c r="F19" s="313">
        <v>854168</v>
      </c>
      <c r="G19" s="313">
        <v>1114374</v>
      </c>
      <c r="H19" s="313">
        <v>348322</v>
      </c>
      <c r="I19" s="313">
        <v>562872</v>
      </c>
      <c r="J19" s="313">
        <v>540871</v>
      </c>
      <c r="K19" s="313">
        <v>1007789</v>
      </c>
      <c r="L19" s="313">
        <v>296157</v>
      </c>
      <c r="M19" s="313">
        <v>711632</v>
      </c>
      <c r="N19" s="313">
        <v>176856</v>
      </c>
      <c r="O19" s="313">
        <v>168766</v>
      </c>
      <c r="P19" s="313" t="s">
        <v>1029</v>
      </c>
      <c r="Q19" s="313">
        <v>5284</v>
      </c>
      <c r="R19" s="316">
        <v>213947</v>
      </c>
      <c r="S19" s="316">
        <v>79762</v>
      </c>
      <c r="T19" s="472">
        <v>134185</v>
      </c>
      <c r="U19" s="61" t="s">
        <v>198</v>
      </c>
      <c r="V19" s="94"/>
    </row>
    <row r="20" spans="1:22" s="99" customFormat="1" ht="14.1" customHeight="1" x14ac:dyDescent="0.15">
      <c r="A20" s="94"/>
      <c r="B20" s="885"/>
      <c r="C20" s="886" t="s">
        <v>342</v>
      </c>
      <c r="D20" s="887"/>
      <c r="E20" s="888">
        <v>3486333</v>
      </c>
      <c r="F20" s="888">
        <v>762191</v>
      </c>
      <c r="G20" s="888">
        <v>293836</v>
      </c>
      <c r="H20" s="888">
        <v>284813</v>
      </c>
      <c r="I20" s="888">
        <v>710299</v>
      </c>
      <c r="J20" s="888">
        <v>620763</v>
      </c>
      <c r="K20" s="888">
        <v>814431</v>
      </c>
      <c r="L20" s="888">
        <v>406000</v>
      </c>
      <c r="M20" s="888">
        <v>408431</v>
      </c>
      <c r="N20" s="888">
        <v>316096</v>
      </c>
      <c r="O20" s="888">
        <v>49885</v>
      </c>
      <c r="P20" s="888">
        <v>9698</v>
      </c>
      <c r="Q20" s="888">
        <v>9358</v>
      </c>
      <c r="R20" s="315">
        <v>1522693</v>
      </c>
      <c r="S20" s="315">
        <v>1084551</v>
      </c>
      <c r="T20" s="614">
        <v>438142</v>
      </c>
      <c r="U20" s="889" t="s">
        <v>341</v>
      </c>
      <c r="V20" s="94"/>
    </row>
    <row r="21" spans="1:22" s="99" customFormat="1" ht="14.25" customHeight="1" x14ac:dyDescent="0.15">
      <c r="A21" s="94"/>
      <c r="B21" s="890"/>
      <c r="C21" s="878" t="s">
        <v>190</v>
      </c>
      <c r="D21" s="879"/>
      <c r="E21" s="881">
        <v>8722877</v>
      </c>
      <c r="F21" s="881">
        <v>1682662</v>
      </c>
      <c r="G21" s="881">
        <v>1697131</v>
      </c>
      <c r="H21" s="881">
        <v>755476</v>
      </c>
      <c r="I21" s="881">
        <v>1323861</v>
      </c>
      <c r="J21" s="881">
        <v>1430368</v>
      </c>
      <c r="K21" s="881">
        <v>1833379</v>
      </c>
      <c r="L21" s="881">
        <v>684002</v>
      </c>
      <c r="M21" s="881">
        <v>1149377</v>
      </c>
      <c r="N21" s="881">
        <v>502920</v>
      </c>
      <c r="O21" s="881">
        <v>225788</v>
      </c>
      <c r="P21" s="881">
        <v>9680</v>
      </c>
      <c r="Q21" s="881">
        <v>16299</v>
      </c>
      <c r="R21" s="317">
        <v>1799712</v>
      </c>
      <c r="S21" s="317">
        <v>1182712</v>
      </c>
      <c r="T21" s="613">
        <v>617000</v>
      </c>
      <c r="U21" s="882" t="s">
        <v>1054</v>
      </c>
      <c r="V21" s="94"/>
    </row>
    <row r="22" spans="1:22" s="99" customFormat="1" ht="14.1" customHeight="1" x14ac:dyDescent="0.15">
      <c r="A22" s="94"/>
      <c r="B22" s="883" t="s">
        <v>619</v>
      </c>
      <c r="C22" s="884" t="s">
        <v>343</v>
      </c>
      <c r="D22" s="206"/>
      <c r="E22" s="313">
        <v>5014032</v>
      </c>
      <c r="F22" s="313">
        <v>879997</v>
      </c>
      <c r="G22" s="313">
        <v>1235756</v>
      </c>
      <c r="H22" s="313">
        <v>435285</v>
      </c>
      <c r="I22" s="313">
        <v>617842</v>
      </c>
      <c r="J22" s="313">
        <v>789196</v>
      </c>
      <c r="K22" s="313">
        <v>1055956</v>
      </c>
      <c r="L22" s="313">
        <v>280065</v>
      </c>
      <c r="M22" s="313">
        <v>775891</v>
      </c>
      <c r="N22" s="313">
        <v>180905</v>
      </c>
      <c r="O22" s="313">
        <v>176488</v>
      </c>
      <c r="P22" s="313" t="s">
        <v>1029</v>
      </c>
      <c r="Q22" s="313">
        <v>6385</v>
      </c>
      <c r="R22" s="316">
        <v>219329</v>
      </c>
      <c r="S22" s="316">
        <v>76261</v>
      </c>
      <c r="T22" s="472">
        <v>143068</v>
      </c>
      <c r="U22" s="61" t="s">
        <v>198</v>
      </c>
      <c r="V22" s="94"/>
    </row>
    <row r="23" spans="1:22" s="99" customFormat="1" ht="14.1" customHeight="1" x14ac:dyDescent="0.15">
      <c r="A23" s="94"/>
      <c r="B23" s="885"/>
      <c r="C23" s="886" t="s">
        <v>342</v>
      </c>
      <c r="D23" s="887"/>
      <c r="E23" s="888">
        <v>3708845</v>
      </c>
      <c r="F23" s="888">
        <v>802665</v>
      </c>
      <c r="G23" s="888">
        <v>461375</v>
      </c>
      <c r="H23" s="888">
        <v>320191</v>
      </c>
      <c r="I23" s="888">
        <v>706019</v>
      </c>
      <c r="J23" s="888">
        <v>641172</v>
      </c>
      <c r="K23" s="888">
        <v>777423</v>
      </c>
      <c r="L23" s="888">
        <v>403937</v>
      </c>
      <c r="M23" s="888">
        <v>373486</v>
      </c>
      <c r="N23" s="888">
        <v>322015</v>
      </c>
      <c r="O23" s="888">
        <v>49300</v>
      </c>
      <c r="P23" s="888">
        <v>9680</v>
      </c>
      <c r="Q23" s="888">
        <v>9914</v>
      </c>
      <c r="R23" s="315">
        <v>1580383</v>
      </c>
      <c r="S23" s="315">
        <v>1106451</v>
      </c>
      <c r="T23" s="614">
        <v>473932</v>
      </c>
      <c r="U23" s="889" t="s">
        <v>341</v>
      </c>
      <c r="V23" s="94"/>
    </row>
    <row r="24" spans="1:22" s="99" customFormat="1" ht="14.25" customHeight="1" x14ac:dyDescent="0.15">
      <c r="A24" s="94"/>
      <c r="B24" s="890"/>
      <c r="C24" s="878" t="s">
        <v>190</v>
      </c>
      <c r="D24" s="879"/>
      <c r="E24" s="881">
        <v>8604845</v>
      </c>
      <c r="F24" s="881">
        <v>1693088</v>
      </c>
      <c r="G24" s="881">
        <v>1312412</v>
      </c>
      <c r="H24" s="881">
        <v>785785</v>
      </c>
      <c r="I24" s="881">
        <v>1465685</v>
      </c>
      <c r="J24" s="881">
        <v>1441763</v>
      </c>
      <c r="K24" s="881">
        <v>1906112</v>
      </c>
      <c r="L24" s="881">
        <v>676306</v>
      </c>
      <c r="M24" s="881">
        <v>1229806</v>
      </c>
      <c r="N24" s="881">
        <v>499903</v>
      </c>
      <c r="O24" s="881">
        <v>237108</v>
      </c>
      <c r="P24" s="881">
        <v>9739</v>
      </c>
      <c r="Q24" s="881">
        <v>15629</v>
      </c>
      <c r="R24" s="317">
        <v>1812495</v>
      </c>
      <c r="S24" s="317">
        <v>1188371</v>
      </c>
      <c r="T24" s="613">
        <v>624124</v>
      </c>
      <c r="U24" s="882" t="s">
        <v>1055</v>
      </c>
      <c r="V24" s="94"/>
    </row>
    <row r="25" spans="1:22" s="99" customFormat="1" ht="14.1" customHeight="1" x14ac:dyDescent="0.15">
      <c r="A25" s="94"/>
      <c r="B25" s="883" t="s">
        <v>620</v>
      </c>
      <c r="C25" s="884" t="s">
        <v>343</v>
      </c>
      <c r="D25" s="206"/>
      <c r="E25" s="313">
        <v>4848620</v>
      </c>
      <c r="F25" s="313">
        <v>876153</v>
      </c>
      <c r="G25" s="313">
        <v>1014686</v>
      </c>
      <c r="H25" s="313">
        <v>427808</v>
      </c>
      <c r="I25" s="313">
        <v>658800</v>
      </c>
      <c r="J25" s="313">
        <v>763229</v>
      </c>
      <c r="K25" s="313">
        <v>1107944</v>
      </c>
      <c r="L25" s="313">
        <v>268149</v>
      </c>
      <c r="M25" s="313">
        <v>839795</v>
      </c>
      <c r="N25" s="313">
        <v>176975</v>
      </c>
      <c r="O25" s="313">
        <v>184851</v>
      </c>
      <c r="P25" s="313" t="s">
        <v>1029</v>
      </c>
      <c r="Q25" s="313">
        <v>5970</v>
      </c>
      <c r="R25" s="316">
        <v>217565</v>
      </c>
      <c r="S25" s="316">
        <v>80851</v>
      </c>
      <c r="T25" s="472">
        <v>136714</v>
      </c>
      <c r="U25" s="61" t="s">
        <v>696</v>
      </c>
      <c r="V25" s="94"/>
    </row>
    <row r="26" spans="1:22" s="99" customFormat="1" ht="14.1" customHeight="1" x14ac:dyDescent="0.15">
      <c r="A26" s="94"/>
      <c r="B26" s="885"/>
      <c r="C26" s="886" t="s">
        <v>342</v>
      </c>
      <c r="D26" s="887"/>
      <c r="E26" s="888">
        <v>3756225</v>
      </c>
      <c r="F26" s="888">
        <v>816935</v>
      </c>
      <c r="G26" s="888">
        <v>297726</v>
      </c>
      <c r="H26" s="888">
        <v>357977</v>
      </c>
      <c r="I26" s="888">
        <v>806885</v>
      </c>
      <c r="J26" s="888">
        <v>678534</v>
      </c>
      <c r="K26" s="888">
        <v>798168</v>
      </c>
      <c r="L26" s="888">
        <v>408157</v>
      </c>
      <c r="M26" s="888">
        <v>390011</v>
      </c>
      <c r="N26" s="888">
        <v>322928</v>
      </c>
      <c r="O26" s="888">
        <v>52257</v>
      </c>
      <c r="P26" s="888">
        <v>9739</v>
      </c>
      <c r="Q26" s="888">
        <v>9659</v>
      </c>
      <c r="R26" s="315">
        <v>1594930</v>
      </c>
      <c r="S26" s="315">
        <v>1107520</v>
      </c>
      <c r="T26" s="614">
        <v>487410</v>
      </c>
      <c r="U26" s="889" t="s">
        <v>341</v>
      </c>
      <c r="V26" s="94"/>
    </row>
    <row r="27" spans="1:22" s="99" customFormat="1" ht="14.25" customHeight="1" x14ac:dyDescent="0.15">
      <c r="A27" s="94"/>
      <c r="B27" s="890"/>
      <c r="C27" s="878" t="s">
        <v>190</v>
      </c>
      <c r="D27" s="879"/>
      <c r="E27" s="881">
        <v>8840502</v>
      </c>
      <c r="F27" s="881">
        <v>1628366</v>
      </c>
      <c r="G27" s="881">
        <v>1506124</v>
      </c>
      <c r="H27" s="881">
        <v>752719</v>
      </c>
      <c r="I27" s="881">
        <v>1555615</v>
      </c>
      <c r="J27" s="881">
        <v>1382456</v>
      </c>
      <c r="K27" s="881">
        <v>2015222</v>
      </c>
      <c r="L27" s="881">
        <v>679851</v>
      </c>
      <c r="M27" s="881">
        <v>1335371</v>
      </c>
      <c r="N27" s="881">
        <v>499524</v>
      </c>
      <c r="O27" s="881">
        <v>221117</v>
      </c>
      <c r="P27" s="881">
        <v>9703</v>
      </c>
      <c r="Q27" s="881">
        <v>15861</v>
      </c>
      <c r="R27" s="317">
        <v>1832307</v>
      </c>
      <c r="S27" s="317">
        <v>1174648</v>
      </c>
      <c r="T27" s="613">
        <v>657659</v>
      </c>
      <c r="U27" s="882" t="s">
        <v>1056</v>
      </c>
      <c r="V27" s="94"/>
    </row>
    <row r="28" spans="1:22" s="99" customFormat="1" ht="14.1" customHeight="1" x14ac:dyDescent="0.15">
      <c r="A28" s="94"/>
      <c r="B28" s="883" t="s">
        <v>697</v>
      </c>
      <c r="C28" s="884" t="s">
        <v>343</v>
      </c>
      <c r="D28" s="206"/>
      <c r="E28" s="313">
        <v>4925660</v>
      </c>
      <c r="F28" s="313">
        <v>801234</v>
      </c>
      <c r="G28" s="313">
        <v>1138259</v>
      </c>
      <c r="H28" s="313">
        <v>436842</v>
      </c>
      <c r="I28" s="313">
        <v>614847</v>
      </c>
      <c r="J28" s="313">
        <v>746947</v>
      </c>
      <c r="K28" s="313">
        <v>1187531</v>
      </c>
      <c r="L28" s="313">
        <v>281899</v>
      </c>
      <c r="M28" s="313">
        <v>905632</v>
      </c>
      <c r="N28" s="313">
        <v>169182</v>
      </c>
      <c r="O28" s="313">
        <v>173812</v>
      </c>
      <c r="P28" s="313" t="s">
        <v>1029</v>
      </c>
      <c r="Q28" s="313">
        <v>6311</v>
      </c>
      <c r="R28" s="316">
        <v>214603</v>
      </c>
      <c r="S28" s="316">
        <v>76707</v>
      </c>
      <c r="T28" s="472">
        <v>137896</v>
      </c>
      <c r="U28" s="61" t="s">
        <v>198</v>
      </c>
      <c r="V28" s="94"/>
    </row>
    <row r="29" spans="1:22" s="99" customFormat="1" ht="14.1" customHeight="1" x14ac:dyDescent="0.15">
      <c r="A29" s="94"/>
      <c r="B29" s="885"/>
      <c r="C29" s="886" t="s">
        <v>342</v>
      </c>
      <c r="D29" s="887"/>
      <c r="E29" s="888">
        <v>3914842</v>
      </c>
      <c r="F29" s="888">
        <v>827132</v>
      </c>
      <c r="G29" s="888">
        <v>367865</v>
      </c>
      <c r="H29" s="888">
        <v>315877</v>
      </c>
      <c r="I29" s="888">
        <v>940768</v>
      </c>
      <c r="J29" s="888">
        <v>635509</v>
      </c>
      <c r="K29" s="888">
        <v>827691</v>
      </c>
      <c r="L29" s="888">
        <v>397952</v>
      </c>
      <c r="M29" s="888">
        <v>429739</v>
      </c>
      <c r="N29" s="888">
        <v>330342</v>
      </c>
      <c r="O29" s="888">
        <v>47305</v>
      </c>
      <c r="P29" s="888">
        <v>9703</v>
      </c>
      <c r="Q29" s="888">
        <v>9550</v>
      </c>
      <c r="R29" s="315">
        <v>1617704</v>
      </c>
      <c r="S29" s="315">
        <v>1097941</v>
      </c>
      <c r="T29" s="614">
        <v>519763</v>
      </c>
      <c r="U29" s="889" t="s">
        <v>341</v>
      </c>
      <c r="V29" s="94"/>
    </row>
    <row r="30" spans="1:22" s="99" customFormat="1" ht="14.25" customHeight="1" x14ac:dyDescent="0.15">
      <c r="A30" s="94"/>
      <c r="B30" s="890"/>
      <c r="C30" s="878" t="s">
        <v>190</v>
      </c>
      <c r="D30" s="879"/>
      <c r="E30" s="881">
        <v>8634424</v>
      </c>
      <c r="F30" s="881">
        <v>1418240</v>
      </c>
      <c r="G30" s="881">
        <v>1456701</v>
      </c>
      <c r="H30" s="881">
        <v>793863</v>
      </c>
      <c r="I30" s="881">
        <v>1756414</v>
      </c>
      <c r="J30" s="881">
        <v>1241556</v>
      </c>
      <c r="K30" s="881">
        <v>1967650</v>
      </c>
      <c r="L30" s="881">
        <v>695960</v>
      </c>
      <c r="M30" s="881">
        <v>1271690</v>
      </c>
      <c r="N30" s="881">
        <v>489193</v>
      </c>
      <c r="O30" s="881">
        <v>185356</v>
      </c>
      <c r="P30" s="881">
        <v>9440</v>
      </c>
      <c r="Q30" s="881">
        <v>16788</v>
      </c>
      <c r="R30" s="317">
        <v>1977473</v>
      </c>
      <c r="S30" s="317">
        <v>1331176</v>
      </c>
      <c r="T30" s="613">
        <v>646297</v>
      </c>
      <c r="U30" s="882" t="s">
        <v>1057</v>
      </c>
      <c r="V30" s="94"/>
    </row>
    <row r="31" spans="1:22" s="99" customFormat="1" ht="14.1" customHeight="1" x14ac:dyDescent="0.15">
      <c r="A31" s="94"/>
      <c r="B31" s="883" t="s">
        <v>621</v>
      </c>
      <c r="C31" s="884" t="s">
        <v>343</v>
      </c>
      <c r="D31" s="206"/>
      <c r="E31" s="313">
        <v>4728920</v>
      </c>
      <c r="F31" s="313">
        <v>697206</v>
      </c>
      <c r="G31" s="313">
        <v>1103213</v>
      </c>
      <c r="H31" s="313">
        <v>516239</v>
      </c>
      <c r="I31" s="313">
        <v>621045</v>
      </c>
      <c r="J31" s="313">
        <v>634155</v>
      </c>
      <c r="K31" s="313">
        <v>1157062</v>
      </c>
      <c r="L31" s="313">
        <v>269730</v>
      </c>
      <c r="M31" s="313">
        <v>887332</v>
      </c>
      <c r="N31" s="313">
        <v>164805</v>
      </c>
      <c r="O31" s="313">
        <v>134408</v>
      </c>
      <c r="P31" s="313" t="s">
        <v>1029</v>
      </c>
      <c r="Q31" s="313">
        <v>7414</v>
      </c>
      <c r="R31" s="316">
        <v>204640</v>
      </c>
      <c r="S31" s="316">
        <v>73274</v>
      </c>
      <c r="T31" s="472">
        <v>131366</v>
      </c>
      <c r="U31" s="61" t="s">
        <v>198</v>
      </c>
      <c r="V31" s="94"/>
    </row>
    <row r="32" spans="1:22" s="99" customFormat="1" ht="14.1" customHeight="1" x14ac:dyDescent="0.15">
      <c r="A32" s="94"/>
      <c r="B32" s="885"/>
      <c r="C32" s="886" t="s">
        <v>342</v>
      </c>
      <c r="D32" s="887"/>
      <c r="E32" s="888">
        <v>3905504</v>
      </c>
      <c r="F32" s="888">
        <v>721034</v>
      </c>
      <c r="G32" s="888">
        <v>353488</v>
      </c>
      <c r="H32" s="888">
        <v>277624</v>
      </c>
      <c r="I32" s="888">
        <v>1135369</v>
      </c>
      <c r="J32" s="888">
        <v>607401</v>
      </c>
      <c r="K32" s="888">
        <v>810588</v>
      </c>
      <c r="L32" s="888">
        <v>426230</v>
      </c>
      <c r="M32" s="888">
        <v>384358</v>
      </c>
      <c r="N32" s="888">
        <v>324388</v>
      </c>
      <c r="O32" s="888">
        <v>50948</v>
      </c>
      <c r="P32" s="888">
        <v>9440</v>
      </c>
      <c r="Q32" s="888">
        <v>9374</v>
      </c>
      <c r="R32" s="315">
        <v>1772833</v>
      </c>
      <c r="S32" s="315">
        <v>1257902</v>
      </c>
      <c r="T32" s="614">
        <v>514931</v>
      </c>
      <c r="U32" s="889" t="s">
        <v>341</v>
      </c>
      <c r="V32" s="94"/>
    </row>
    <row r="33" spans="1:22" s="99" customFormat="1" ht="14.25" customHeight="1" x14ac:dyDescent="0.15">
      <c r="A33" s="94"/>
      <c r="B33" s="890"/>
      <c r="C33" s="878" t="s">
        <v>190</v>
      </c>
      <c r="D33" s="879"/>
      <c r="E33" s="881">
        <v>10053296</v>
      </c>
      <c r="F33" s="881">
        <v>1544033</v>
      </c>
      <c r="G33" s="881">
        <v>1714185</v>
      </c>
      <c r="H33" s="881">
        <v>866645</v>
      </c>
      <c r="I33" s="881">
        <v>2219092</v>
      </c>
      <c r="J33" s="881">
        <v>1471284</v>
      </c>
      <c r="K33" s="881">
        <v>2238057</v>
      </c>
      <c r="L33" s="881">
        <v>769809</v>
      </c>
      <c r="M33" s="881">
        <v>1468248</v>
      </c>
      <c r="N33" s="881">
        <v>481643</v>
      </c>
      <c r="O33" s="881">
        <v>192175</v>
      </c>
      <c r="P33" s="881">
        <v>9450</v>
      </c>
      <c r="Q33" s="881">
        <v>16010</v>
      </c>
      <c r="R33" s="317">
        <v>2138473</v>
      </c>
      <c r="S33" s="317">
        <v>1475762</v>
      </c>
      <c r="T33" s="613">
        <v>662711</v>
      </c>
      <c r="U33" s="882" t="s">
        <v>1058</v>
      </c>
      <c r="V33" s="94"/>
    </row>
    <row r="34" spans="1:22" s="99" customFormat="1" ht="14.1" customHeight="1" x14ac:dyDescent="0.15">
      <c r="A34" s="94"/>
      <c r="B34" s="883" t="s">
        <v>622</v>
      </c>
      <c r="C34" s="884" t="s">
        <v>343</v>
      </c>
      <c r="D34" s="206"/>
      <c r="E34" s="313">
        <v>5809304</v>
      </c>
      <c r="F34" s="313">
        <v>776938</v>
      </c>
      <c r="G34" s="313">
        <v>1265174</v>
      </c>
      <c r="H34" s="313">
        <v>601645</v>
      </c>
      <c r="I34" s="313">
        <v>904787</v>
      </c>
      <c r="J34" s="313">
        <v>851464</v>
      </c>
      <c r="K34" s="313">
        <v>1409296</v>
      </c>
      <c r="L34" s="313">
        <v>313625</v>
      </c>
      <c r="M34" s="313">
        <v>1095671</v>
      </c>
      <c r="N34" s="313">
        <v>173816</v>
      </c>
      <c r="O34" s="313">
        <v>137180</v>
      </c>
      <c r="P34" s="313" t="s">
        <v>1029</v>
      </c>
      <c r="Q34" s="313">
        <v>6425</v>
      </c>
      <c r="R34" s="316">
        <v>201538</v>
      </c>
      <c r="S34" s="316">
        <v>69308</v>
      </c>
      <c r="T34" s="472">
        <v>132230</v>
      </c>
      <c r="U34" s="61" t="s">
        <v>198</v>
      </c>
      <c r="V34" s="94"/>
    </row>
    <row r="35" spans="1:22" s="99" customFormat="1" ht="14.1" customHeight="1" x14ac:dyDescent="0.15">
      <c r="A35" s="94"/>
      <c r="B35" s="885"/>
      <c r="C35" s="886" t="s">
        <v>342</v>
      </c>
      <c r="D35" s="887"/>
      <c r="E35" s="888">
        <v>4243992</v>
      </c>
      <c r="F35" s="888">
        <v>767095</v>
      </c>
      <c r="G35" s="888">
        <v>449011</v>
      </c>
      <c r="H35" s="888">
        <v>265000</v>
      </c>
      <c r="I35" s="888">
        <v>1314305</v>
      </c>
      <c r="J35" s="888">
        <v>619820</v>
      </c>
      <c r="K35" s="888">
        <v>828761</v>
      </c>
      <c r="L35" s="888">
        <v>456184</v>
      </c>
      <c r="M35" s="888">
        <v>372577</v>
      </c>
      <c r="N35" s="888">
        <v>307827</v>
      </c>
      <c r="O35" s="888">
        <v>54995</v>
      </c>
      <c r="P35" s="888">
        <v>9450</v>
      </c>
      <c r="Q35" s="888">
        <v>9585</v>
      </c>
      <c r="R35" s="315">
        <v>1936935</v>
      </c>
      <c r="S35" s="315">
        <v>1406454</v>
      </c>
      <c r="T35" s="614">
        <v>530481</v>
      </c>
      <c r="U35" s="889" t="s">
        <v>341</v>
      </c>
      <c r="V35" s="94"/>
    </row>
    <row r="36" spans="1:22" s="99" customFormat="1" ht="14.25" customHeight="1" x14ac:dyDescent="0.15">
      <c r="A36" s="94"/>
      <c r="B36" s="890"/>
      <c r="C36" s="878" t="s">
        <v>190</v>
      </c>
      <c r="D36" s="879"/>
      <c r="E36" s="881">
        <v>10036341</v>
      </c>
      <c r="F36" s="881">
        <v>1613197</v>
      </c>
      <c r="G36" s="881">
        <v>1429853</v>
      </c>
      <c r="H36" s="881">
        <v>856122</v>
      </c>
      <c r="I36" s="881">
        <v>2699926</v>
      </c>
      <c r="J36" s="881">
        <v>1295684</v>
      </c>
      <c r="K36" s="881">
        <v>2141559</v>
      </c>
      <c r="L36" s="881">
        <v>786401</v>
      </c>
      <c r="M36" s="881">
        <v>1355158</v>
      </c>
      <c r="N36" s="881">
        <v>447822</v>
      </c>
      <c r="O36" s="881">
        <v>176696</v>
      </c>
      <c r="P36" s="881">
        <v>9552</v>
      </c>
      <c r="Q36" s="881">
        <v>15611</v>
      </c>
      <c r="R36" s="317">
        <v>2093086</v>
      </c>
      <c r="S36" s="317">
        <v>1406297</v>
      </c>
      <c r="T36" s="613">
        <v>686789</v>
      </c>
      <c r="U36" s="882" t="s">
        <v>1059</v>
      </c>
      <c r="V36" s="94"/>
    </row>
    <row r="37" spans="1:22" s="99" customFormat="1" ht="14.1" customHeight="1" x14ac:dyDescent="0.15">
      <c r="A37" s="94"/>
      <c r="B37" s="883" t="s">
        <v>698</v>
      </c>
      <c r="C37" s="884" t="s">
        <v>343</v>
      </c>
      <c r="D37" s="206"/>
      <c r="E37" s="313">
        <v>5678002</v>
      </c>
      <c r="F37" s="313">
        <v>803639</v>
      </c>
      <c r="G37" s="313">
        <v>1142194</v>
      </c>
      <c r="H37" s="313">
        <v>583394</v>
      </c>
      <c r="I37" s="313">
        <v>1143710</v>
      </c>
      <c r="J37" s="313">
        <v>707118</v>
      </c>
      <c r="K37" s="313">
        <v>1297947</v>
      </c>
      <c r="L37" s="313">
        <v>321414</v>
      </c>
      <c r="M37" s="313">
        <v>976533</v>
      </c>
      <c r="N37" s="313">
        <v>158715</v>
      </c>
      <c r="O37" s="313">
        <v>125853</v>
      </c>
      <c r="P37" s="313" t="s">
        <v>1029</v>
      </c>
      <c r="Q37" s="313">
        <v>6090</v>
      </c>
      <c r="R37" s="316">
        <v>215988</v>
      </c>
      <c r="S37" s="316">
        <v>74749</v>
      </c>
      <c r="T37" s="472">
        <v>141239</v>
      </c>
      <c r="U37" s="61" t="s">
        <v>198</v>
      </c>
      <c r="V37" s="94"/>
    </row>
    <row r="38" spans="1:22" s="99" customFormat="1" ht="14.1" customHeight="1" x14ac:dyDescent="0.15">
      <c r="A38" s="94"/>
      <c r="B38" s="885"/>
      <c r="C38" s="886" t="s">
        <v>342</v>
      </c>
      <c r="D38" s="887"/>
      <c r="E38" s="888">
        <v>4358339</v>
      </c>
      <c r="F38" s="888">
        <v>809558</v>
      </c>
      <c r="G38" s="888">
        <v>287659</v>
      </c>
      <c r="H38" s="888">
        <v>272728</v>
      </c>
      <c r="I38" s="888">
        <v>1556216</v>
      </c>
      <c r="J38" s="888">
        <v>588566</v>
      </c>
      <c r="K38" s="888">
        <v>843612</v>
      </c>
      <c r="L38" s="888">
        <v>464987</v>
      </c>
      <c r="M38" s="888">
        <v>378625</v>
      </c>
      <c r="N38" s="888">
        <v>289107</v>
      </c>
      <c r="O38" s="888">
        <v>50843</v>
      </c>
      <c r="P38" s="888">
        <v>9552</v>
      </c>
      <c r="Q38" s="888">
        <v>9521</v>
      </c>
      <c r="R38" s="315">
        <v>1877098</v>
      </c>
      <c r="S38" s="315">
        <v>1331548</v>
      </c>
      <c r="T38" s="614">
        <v>545550</v>
      </c>
      <c r="U38" s="889" t="s">
        <v>341</v>
      </c>
      <c r="V38" s="94"/>
    </row>
    <row r="39" spans="1:22" s="99" customFormat="1" ht="14.25" customHeight="1" x14ac:dyDescent="0.15">
      <c r="A39" s="94"/>
      <c r="B39" s="890"/>
      <c r="C39" s="878" t="s">
        <v>190</v>
      </c>
      <c r="D39" s="879"/>
      <c r="E39" s="881">
        <v>10414449</v>
      </c>
      <c r="F39" s="881">
        <v>1677215</v>
      </c>
      <c r="G39" s="881">
        <v>1606610</v>
      </c>
      <c r="H39" s="881">
        <v>772339</v>
      </c>
      <c r="I39" s="881">
        <v>3064851</v>
      </c>
      <c r="J39" s="881">
        <v>1216355</v>
      </c>
      <c r="K39" s="881">
        <v>2077079</v>
      </c>
      <c r="L39" s="881">
        <v>772393</v>
      </c>
      <c r="M39" s="881">
        <v>1304686</v>
      </c>
      <c r="N39" s="881">
        <v>445202</v>
      </c>
      <c r="O39" s="881">
        <v>194657</v>
      </c>
      <c r="P39" s="881">
        <v>9572</v>
      </c>
      <c r="Q39" s="881">
        <v>14960</v>
      </c>
      <c r="R39" s="317">
        <v>1898613</v>
      </c>
      <c r="S39" s="317">
        <v>1285259</v>
      </c>
      <c r="T39" s="613">
        <v>613354</v>
      </c>
      <c r="U39" s="882" t="s">
        <v>1060</v>
      </c>
      <c r="V39" s="94"/>
    </row>
    <row r="40" spans="1:22" s="99" customFormat="1" ht="14.1" customHeight="1" x14ac:dyDescent="0.15">
      <c r="A40" s="94"/>
      <c r="B40" s="883" t="s">
        <v>623</v>
      </c>
      <c r="C40" s="884" t="s">
        <v>343</v>
      </c>
      <c r="D40" s="206"/>
      <c r="E40" s="313">
        <v>5426817</v>
      </c>
      <c r="F40" s="313">
        <v>832789</v>
      </c>
      <c r="G40" s="313">
        <v>1126845</v>
      </c>
      <c r="H40" s="313">
        <v>475841</v>
      </c>
      <c r="I40" s="313">
        <v>1217523</v>
      </c>
      <c r="J40" s="313">
        <v>565340</v>
      </c>
      <c r="K40" s="313">
        <v>1208479</v>
      </c>
      <c r="L40" s="313">
        <v>299022</v>
      </c>
      <c r="M40" s="313">
        <v>909457</v>
      </c>
      <c r="N40" s="313">
        <v>149802</v>
      </c>
      <c r="O40" s="313">
        <v>143289</v>
      </c>
      <c r="P40" s="313" t="s">
        <v>1029</v>
      </c>
      <c r="Q40" s="313">
        <v>5507</v>
      </c>
      <c r="R40" s="316">
        <v>207788</v>
      </c>
      <c r="S40" s="316">
        <v>79479</v>
      </c>
      <c r="T40" s="472">
        <v>128309</v>
      </c>
      <c r="U40" s="61" t="s">
        <v>198</v>
      </c>
      <c r="V40" s="94"/>
    </row>
    <row r="41" spans="1:22" s="99" customFormat="1" ht="14.1" customHeight="1" x14ac:dyDescent="0.15">
      <c r="A41" s="94"/>
      <c r="B41" s="885"/>
      <c r="C41" s="886" t="s">
        <v>342</v>
      </c>
      <c r="D41" s="887"/>
      <c r="E41" s="888">
        <v>4987632</v>
      </c>
      <c r="F41" s="888">
        <v>844426</v>
      </c>
      <c r="G41" s="888">
        <v>479765</v>
      </c>
      <c r="H41" s="888">
        <v>296498</v>
      </c>
      <c r="I41" s="888">
        <v>1847328</v>
      </c>
      <c r="J41" s="888">
        <v>651015</v>
      </c>
      <c r="K41" s="888">
        <v>868600</v>
      </c>
      <c r="L41" s="888">
        <v>473371</v>
      </c>
      <c r="M41" s="888">
        <v>395229</v>
      </c>
      <c r="N41" s="888">
        <v>295400</v>
      </c>
      <c r="O41" s="888">
        <v>51368</v>
      </c>
      <c r="P41" s="888">
        <v>9572</v>
      </c>
      <c r="Q41" s="888">
        <v>9453</v>
      </c>
      <c r="R41" s="315">
        <v>1690825</v>
      </c>
      <c r="S41" s="315">
        <v>1205780</v>
      </c>
      <c r="T41" s="614">
        <v>485045</v>
      </c>
      <c r="U41" s="889" t="s">
        <v>341</v>
      </c>
      <c r="V41" s="94"/>
    </row>
    <row r="42" spans="1:22" s="99" customFormat="1" ht="14.25" customHeight="1" x14ac:dyDescent="0.15">
      <c r="A42" s="94"/>
      <c r="B42" s="890"/>
      <c r="C42" s="878" t="s">
        <v>190</v>
      </c>
      <c r="D42" s="879"/>
      <c r="E42" s="881">
        <v>9962986</v>
      </c>
      <c r="F42" s="881">
        <v>1674186</v>
      </c>
      <c r="G42" s="881">
        <v>1384696</v>
      </c>
      <c r="H42" s="881">
        <v>811429</v>
      </c>
      <c r="I42" s="881">
        <v>2798581</v>
      </c>
      <c r="J42" s="881">
        <v>1326177</v>
      </c>
      <c r="K42" s="881">
        <v>1967917</v>
      </c>
      <c r="L42" s="881">
        <v>734469</v>
      </c>
      <c r="M42" s="881">
        <v>1233448</v>
      </c>
      <c r="N42" s="881">
        <v>432845</v>
      </c>
      <c r="O42" s="881">
        <v>203106</v>
      </c>
      <c r="P42" s="881">
        <v>9638</v>
      </c>
      <c r="Q42" s="881">
        <v>13694</v>
      </c>
      <c r="R42" s="317">
        <v>1953201</v>
      </c>
      <c r="S42" s="317">
        <v>1383439</v>
      </c>
      <c r="T42" s="613">
        <v>569762</v>
      </c>
      <c r="U42" s="882" t="s">
        <v>1061</v>
      </c>
      <c r="V42" s="94"/>
    </row>
    <row r="43" spans="1:22" s="99" customFormat="1" ht="14.1" customHeight="1" x14ac:dyDescent="0.15">
      <c r="A43" s="94"/>
      <c r="B43" s="883" t="s">
        <v>624</v>
      </c>
      <c r="C43" s="884" t="s">
        <v>343</v>
      </c>
      <c r="D43" s="206"/>
      <c r="E43" s="313">
        <v>5213134</v>
      </c>
      <c r="F43" s="313">
        <v>841677</v>
      </c>
      <c r="G43" s="313">
        <v>977328</v>
      </c>
      <c r="H43" s="313">
        <v>501493</v>
      </c>
      <c r="I43" s="313">
        <v>1032904</v>
      </c>
      <c r="J43" s="313">
        <v>720208</v>
      </c>
      <c r="K43" s="313">
        <v>1139524</v>
      </c>
      <c r="L43" s="313">
        <v>283123</v>
      </c>
      <c r="M43" s="313">
        <v>856401</v>
      </c>
      <c r="N43" s="313">
        <v>139975</v>
      </c>
      <c r="O43" s="313">
        <v>160248</v>
      </c>
      <c r="P43" s="313" t="s">
        <v>1029</v>
      </c>
      <c r="Q43" s="313">
        <v>4898</v>
      </c>
      <c r="R43" s="316">
        <v>198967</v>
      </c>
      <c r="S43" s="316">
        <v>72026</v>
      </c>
      <c r="T43" s="472">
        <v>126941</v>
      </c>
      <c r="U43" s="61" t="s">
        <v>198</v>
      </c>
      <c r="V43" s="94"/>
    </row>
    <row r="44" spans="1:22" s="99" customFormat="1" ht="14.1" customHeight="1" x14ac:dyDescent="0.15">
      <c r="A44" s="94"/>
      <c r="B44" s="885"/>
      <c r="C44" s="886" t="s">
        <v>342</v>
      </c>
      <c r="D44" s="887"/>
      <c r="E44" s="888">
        <v>4749852</v>
      </c>
      <c r="F44" s="888">
        <v>832509</v>
      </c>
      <c r="G44" s="888">
        <v>407368</v>
      </c>
      <c r="H44" s="888">
        <v>309936</v>
      </c>
      <c r="I44" s="888">
        <v>1765677</v>
      </c>
      <c r="J44" s="888">
        <v>605969</v>
      </c>
      <c r="K44" s="888">
        <v>828393</v>
      </c>
      <c r="L44" s="888">
        <v>451346</v>
      </c>
      <c r="M44" s="888">
        <v>377047</v>
      </c>
      <c r="N44" s="888">
        <v>292870</v>
      </c>
      <c r="O44" s="888">
        <v>42858</v>
      </c>
      <c r="P44" s="888">
        <v>9638</v>
      </c>
      <c r="Q44" s="888">
        <v>8796</v>
      </c>
      <c r="R44" s="315">
        <v>1754234</v>
      </c>
      <c r="S44" s="315">
        <v>1311413</v>
      </c>
      <c r="T44" s="614">
        <v>442821</v>
      </c>
      <c r="U44" s="889" t="s">
        <v>341</v>
      </c>
      <c r="V44" s="94"/>
    </row>
    <row r="45" spans="1:22" s="99" customFormat="1" ht="14.25" customHeight="1" x14ac:dyDescent="0.15">
      <c r="A45" s="94"/>
      <c r="B45" s="890"/>
      <c r="C45" s="878" t="s">
        <v>190</v>
      </c>
      <c r="D45" s="879"/>
      <c r="E45" s="881">
        <v>9209499</v>
      </c>
      <c r="F45" s="881">
        <v>1577483</v>
      </c>
      <c r="G45" s="881">
        <v>1378633</v>
      </c>
      <c r="H45" s="881">
        <v>709067</v>
      </c>
      <c r="I45" s="881">
        <v>2308718</v>
      </c>
      <c r="J45" s="881">
        <v>1243366</v>
      </c>
      <c r="K45" s="881">
        <v>1992232</v>
      </c>
      <c r="L45" s="881">
        <v>735267</v>
      </c>
      <c r="M45" s="881">
        <v>1256965</v>
      </c>
      <c r="N45" s="881">
        <v>438411</v>
      </c>
      <c r="O45" s="881">
        <v>222490</v>
      </c>
      <c r="P45" s="881">
        <v>9350</v>
      </c>
      <c r="Q45" s="881">
        <v>11633</v>
      </c>
      <c r="R45" s="317">
        <v>1766569</v>
      </c>
      <c r="S45" s="317">
        <v>1189157</v>
      </c>
      <c r="T45" s="613">
        <v>577412</v>
      </c>
      <c r="U45" s="882" t="s">
        <v>1062</v>
      </c>
      <c r="V45" s="94"/>
    </row>
    <row r="46" spans="1:22" s="99" customFormat="1" ht="14.1" customHeight="1" x14ac:dyDescent="0.15">
      <c r="A46" s="94"/>
      <c r="B46" s="883" t="s">
        <v>625</v>
      </c>
      <c r="C46" s="884" t="s">
        <v>343</v>
      </c>
      <c r="D46" s="206"/>
      <c r="E46" s="313">
        <v>4963621</v>
      </c>
      <c r="F46" s="313">
        <v>815906</v>
      </c>
      <c r="G46" s="313">
        <v>992767</v>
      </c>
      <c r="H46" s="313">
        <v>391127</v>
      </c>
      <c r="I46" s="313">
        <v>924450</v>
      </c>
      <c r="J46" s="313">
        <v>631653</v>
      </c>
      <c r="K46" s="313">
        <v>1207718</v>
      </c>
      <c r="L46" s="313">
        <v>311613</v>
      </c>
      <c r="M46" s="313">
        <v>896105</v>
      </c>
      <c r="N46" s="313">
        <v>143009</v>
      </c>
      <c r="O46" s="313">
        <v>181077</v>
      </c>
      <c r="P46" s="313" t="s">
        <v>1029</v>
      </c>
      <c r="Q46" s="313">
        <v>3495</v>
      </c>
      <c r="R46" s="316">
        <v>207632</v>
      </c>
      <c r="S46" s="316">
        <v>76639</v>
      </c>
      <c r="T46" s="472">
        <v>130993</v>
      </c>
      <c r="U46" s="61" t="s">
        <v>198</v>
      </c>
      <c r="V46" s="94"/>
    </row>
    <row r="47" spans="1:22" s="99" customFormat="1" ht="14.1" customHeight="1" x14ac:dyDescent="0.15">
      <c r="A47" s="94"/>
      <c r="B47" s="885"/>
      <c r="C47" s="886" t="s">
        <v>342</v>
      </c>
      <c r="D47" s="887"/>
      <c r="E47" s="888">
        <v>4245878</v>
      </c>
      <c r="F47" s="888">
        <v>761577</v>
      </c>
      <c r="G47" s="888">
        <v>385866</v>
      </c>
      <c r="H47" s="888">
        <v>317940</v>
      </c>
      <c r="I47" s="888">
        <v>1384268</v>
      </c>
      <c r="J47" s="888">
        <v>611713</v>
      </c>
      <c r="K47" s="888">
        <v>784514</v>
      </c>
      <c r="L47" s="888">
        <v>423654</v>
      </c>
      <c r="M47" s="888">
        <v>360860</v>
      </c>
      <c r="N47" s="888">
        <v>295402</v>
      </c>
      <c r="O47" s="888">
        <v>41413</v>
      </c>
      <c r="P47" s="888">
        <v>9350</v>
      </c>
      <c r="Q47" s="888">
        <v>8138</v>
      </c>
      <c r="R47" s="315">
        <v>1558937</v>
      </c>
      <c r="S47" s="315">
        <v>1112518</v>
      </c>
      <c r="T47" s="614">
        <v>446419</v>
      </c>
      <c r="U47" s="889" t="s">
        <v>341</v>
      </c>
      <c r="V47" s="94"/>
    </row>
    <row r="48" spans="1:22" s="99" customFormat="1" ht="13.5" customHeight="1" x14ac:dyDescent="0.15">
      <c r="A48" s="94"/>
      <c r="B48" s="1067" t="s">
        <v>1063</v>
      </c>
      <c r="C48" s="1067"/>
      <c r="D48" s="892"/>
      <c r="E48" s="893"/>
      <c r="F48" s="313"/>
      <c r="G48" s="313"/>
      <c r="H48" s="313"/>
      <c r="I48" s="313"/>
      <c r="J48" s="313"/>
      <c r="K48" s="313"/>
      <c r="L48" s="313"/>
      <c r="M48" s="313"/>
      <c r="N48" s="313"/>
      <c r="O48" s="313"/>
      <c r="P48" s="313"/>
      <c r="Q48" s="313"/>
      <c r="R48" s="316"/>
      <c r="S48" s="316"/>
      <c r="T48" s="472"/>
      <c r="U48" s="318"/>
      <c r="V48" s="94"/>
    </row>
    <row r="49" spans="1:22" s="99" customFormat="1" ht="14.25" customHeight="1" x14ac:dyDescent="0.15">
      <c r="A49" s="94"/>
      <c r="B49" s="890"/>
      <c r="C49" s="878" t="s">
        <v>190</v>
      </c>
      <c r="D49" s="879"/>
      <c r="E49" s="881">
        <v>9345170</v>
      </c>
      <c r="F49" s="881">
        <v>1789047</v>
      </c>
      <c r="G49" s="881">
        <v>1302763</v>
      </c>
      <c r="H49" s="881">
        <v>711764</v>
      </c>
      <c r="I49" s="881">
        <v>2031449</v>
      </c>
      <c r="J49" s="881">
        <v>1532362</v>
      </c>
      <c r="K49" s="881">
        <v>1977785</v>
      </c>
      <c r="L49" s="881">
        <v>710951</v>
      </c>
      <c r="M49" s="881">
        <v>1266834</v>
      </c>
      <c r="N49" s="881">
        <v>435807</v>
      </c>
      <c r="O49" s="881">
        <v>218571</v>
      </c>
      <c r="P49" s="881">
        <v>9676</v>
      </c>
      <c r="Q49" s="881">
        <v>10507</v>
      </c>
      <c r="R49" s="317">
        <v>1930993</v>
      </c>
      <c r="S49" s="317">
        <v>1338054</v>
      </c>
      <c r="T49" s="613">
        <v>592939</v>
      </c>
      <c r="U49" s="882" t="s">
        <v>1064</v>
      </c>
      <c r="V49" s="94"/>
    </row>
    <row r="50" spans="1:22" s="99" customFormat="1" ht="14.1" customHeight="1" x14ac:dyDescent="0.15">
      <c r="A50" s="94"/>
      <c r="B50" s="883" t="s">
        <v>344</v>
      </c>
      <c r="C50" s="884" t="s">
        <v>343</v>
      </c>
      <c r="D50" s="206"/>
      <c r="E50" s="313">
        <v>5218857</v>
      </c>
      <c r="F50" s="313">
        <v>953183</v>
      </c>
      <c r="G50" s="313">
        <v>901920</v>
      </c>
      <c r="H50" s="313">
        <v>398050</v>
      </c>
      <c r="I50" s="313">
        <v>927187</v>
      </c>
      <c r="J50" s="313">
        <v>865221</v>
      </c>
      <c r="K50" s="313">
        <v>1173296</v>
      </c>
      <c r="L50" s="313">
        <v>299546</v>
      </c>
      <c r="M50" s="313">
        <v>873750</v>
      </c>
      <c r="N50" s="313">
        <v>148552</v>
      </c>
      <c r="O50" s="313">
        <v>175413</v>
      </c>
      <c r="P50" s="313" t="s">
        <v>1029</v>
      </c>
      <c r="Q50" s="313">
        <v>2859</v>
      </c>
      <c r="R50" s="316">
        <v>209395</v>
      </c>
      <c r="S50" s="316">
        <v>70989</v>
      </c>
      <c r="T50" s="472">
        <v>138406</v>
      </c>
      <c r="U50" s="61" t="s">
        <v>198</v>
      </c>
      <c r="V50" s="94"/>
    </row>
    <row r="51" spans="1:22" s="99" customFormat="1" ht="14.1" customHeight="1" x14ac:dyDescent="0.15">
      <c r="A51" s="94"/>
      <c r="B51" s="885"/>
      <c r="C51" s="886" t="s">
        <v>342</v>
      </c>
      <c r="D51" s="887"/>
      <c r="E51" s="888">
        <v>4126313</v>
      </c>
      <c r="F51" s="888">
        <v>835864</v>
      </c>
      <c r="G51" s="888">
        <v>400843</v>
      </c>
      <c r="H51" s="888">
        <v>313714</v>
      </c>
      <c r="I51" s="888">
        <v>1104262</v>
      </c>
      <c r="J51" s="888">
        <v>667141</v>
      </c>
      <c r="K51" s="888">
        <v>804489</v>
      </c>
      <c r="L51" s="888">
        <v>411405</v>
      </c>
      <c r="M51" s="888">
        <v>393084</v>
      </c>
      <c r="N51" s="888">
        <v>287255</v>
      </c>
      <c r="O51" s="888">
        <v>43158</v>
      </c>
      <c r="P51" s="888">
        <v>9676</v>
      </c>
      <c r="Q51" s="888">
        <v>7648</v>
      </c>
      <c r="R51" s="315">
        <v>1721598</v>
      </c>
      <c r="S51" s="315">
        <v>1267065</v>
      </c>
      <c r="T51" s="614">
        <v>454533</v>
      </c>
      <c r="U51" s="889" t="s">
        <v>341</v>
      </c>
      <c r="V51" s="94"/>
    </row>
    <row r="52" spans="1:22" s="99" customFormat="1" ht="14.25" customHeight="1" x14ac:dyDescent="0.15">
      <c r="A52" s="94"/>
      <c r="B52" s="890"/>
      <c r="C52" s="878" t="s">
        <v>190</v>
      </c>
      <c r="D52" s="879"/>
      <c r="E52" s="881">
        <v>8654200</v>
      </c>
      <c r="F52" s="881">
        <v>1710435</v>
      </c>
      <c r="G52" s="881">
        <v>1198763</v>
      </c>
      <c r="H52" s="881">
        <v>657352</v>
      </c>
      <c r="I52" s="881">
        <v>1673637</v>
      </c>
      <c r="J52" s="881">
        <v>1551321</v>
      </c>
      <c r="K52" s="881">
        <v>1862692</v>
      </c>
      <c r="L52" s="881">
        <v>693504</v>
      </c>
      <c r="M52" s="881">
        <v>1169188</v>
      </c>
      <c r="N52" s="881">
        <v>429828</v>
      </c>
      <c r="O52" s="881">
        <v>196034</v>
      </c>
      <c r="P52" s="881">
        <v>9917</v>
      </c>
      <c r="Q52" s="881">
        <v>11867</v>
      </c>
      <c r="R52" s="317">
        <v>1705844</v>
      </c>
      <c r="S52" s="317">
        <v>1073851</v>
      </c>
      <c r="T52" s="613">
        <v>631993</v>
      </c>
      <c r="U52" s="882" t="s">
        <v>1065</v>
      </c>
      <c r="V52" s="94"/>
    </row>
    <row r="53" spans="1:22" s="99" customFormat="1" ht="14.1" customHeight="1" x14ac:dyDescent="0.15">
      <c r="A53" s="94"/>
      <c r="B53" s="883" t="s">
        <v>694</v>
      </c>
      <c r="C53" s="884" t="s">
        <v>343</v>
      </c>
      <c r="D53" s="206"/>
      <c r="E53" s="313">
        <v>4854198</v>
      </c>
      <c r="F53" s="313">
        <v>903971</v>
      </c>
      <c r="G53" s="313">
        <v>801802</v>
      </c>
      <c r="H53" s="313">
        <v>349573</v>
      </c>
      <c r="I53" s="313">
        <v>821340</v>
      </c>
      <c r="J53" s="313">
        <v>878112</v>
      </c>
      <c r="K53" s="313">
        <v>1099400</v>
      </c>
      <c r="L53" s="313">
        <v>304980</v>
      </c>
      <c r="M53" s="313">
        <v>794420</v>
      </c>
      <c r="N53" s="313">
        <v>145362</v>
      </c>
      <c r="O53" s="313">
        <v>153966</v>
      </c>
      <c r="P53" s="313" t="s">
        <v>1029</v>
      </c>
      <c r="Q53" s="313">
        <v>3468</v>
      </c>
      <c r="R53" s="316">
        <v>218748</v>
      </c>
      <c r="S53" s="316">
        <v>70397</v>
      </c>
      <c r="T53" s="472">
        <v>148351</v>
      </c>
      <c r="U53" s="61" t="s">
        <v>198</v>
      </c>
      <c r="V53" s="94"/>
    </row>
    <row r="54" spans="1:22" s="99" customFormat="1" ht="14.1" customHeight="1" x14ac:dyDescent="0.15">
      <c r="A54" s="94"/>
      <c r="B54" s="885"/>
      <c r="C54" s="886" t="s">
        <v>342</v>
      </c>
      <c r="D54" s="887"/>
      <c r="E54" s="888">
        <v>3800002</v>
      </c>
      <c r="F54" s="888">
        <v>806464</v>
      </c>
      <c r="G54" s="888">
        <v>396961</v>
      </c>
      <c r="H54" s="888">
        <v>307779</v>
      </c>
      <c r="I54" s="888">
        <v>852297</v>
      </c>
      <c r="J54" s="888">
        <v>673209</v>
      </c>
      <c r="K54" s="888">
        <v>763292</v>
      </c>
      <c r="L54" s="888">
        <v>388524</v>
      </c>
      <c r="M54" s="888">
        <v>374768</v>
      </c>
      <c r="N54" s="888">
        <v>284466</v>
      </c>
      <c r="O54" s="888">
        <v>42068</v>
      </c>
      <c r="P54" s="888">
        <v>9917</v>
      </c>
      <c r="Q54" s="888">
        <v>8399</v>
      </c>
      <c r="R54" s="315">
        <v>1487096</v>
      </c>
      <c r="S54" s="315">
        <v>1003454</v>
      </c>
      <c r="T54" s="614">
        <v>483642</v>
      </c>
      <c r="U54" s="889" t="s">
        <v>341</v>
      </c>
      <c r="V54" s="94"/>
    </row>
    <row r="55" spans="1:22" s="99" customFormat="1" ht="14.25" customHeight="1" x14ac:dyDescent="0.15">
      <c r="A55" s="94"/>
      <c r="B55" s="890"/>
      <c r="C55" s="878" t="s">
        <v>190</v>
      </c>
      <c r="D55" s="879"/>
      <c r="E55" s="881">
        <v>7968794</v>
      </c>
      <c r="F55" s="881">
        <v>1553756</v>
      </c>
      <c r="G55" s="881">
        <v>1423282</v>
      </c>
      <c r="H55" s="881">
        <v>717564</v>
      </c>
      <c r="I55" s="881">
        <v>1151691</v>
      </c>
      <c r="J55" s="881">
        <v>1365847</v>
      </c>
      <c r="K55" s="881">
        <v>1756654</v>
      </c>
      <c r="L55" s="881">
        <v>631330</v>
      </c>
      <c r="M55" s="881">
        <v>1125324</v>
      </c>
      <c r="N55" s="881">
        <v>427487</v>
      </c>
      <c r="O55" s="881">
        <v>192982</v>
      </c>
      <c r="P55" s="881">
        <v>9362</v>
      </c>
      <c r="Q55" s="881">
        <v>11602</v>
      </c>
      <c r="R55" s="314">
        <v>1603484</v>
      </c>
      <c r="S55" s="314">
        <v>1025629</v>
      </c>
      <c r="T55" s="613">
        <v>577855</v>
      </c>
      <c r="U55" s="882" t="s">
        <v>1066</v>
      </c>
      <c r="V55" s="94"/>
    </row>
    <row r="56" spans="1:22" s="99" customFormat="1" ht="14.1" customHeight="1" x14ac:dyDescent="0.15">
      <c r="A56" s="94"/>
      <c r="B56" s="883" t="s">
        <v>695</v>
      </c>
      <c r="C56" s="884" t="s">
        <v>343</v>
      </c>
      <c r="D56" s="206"/>
      <c r="E56" s="313">
        <v>4624021</v>
      </c>
      <c r="F56" s="313">
        <v>815259</v>
      </c>
      <c r="G56" s="313">
        <v>1018670</v>
      </c>
      <c r="H56" s="313">
        <v>395341</v>
      </c>
      <c r="I56" s="313">
        <v>606068</v>
      </c>
      <c r="J56" s="313">
        <v>707472</v>
      </c>
      <c r="K56" s="235">
        <v>1081211</v>
      </c>
      <c r="L56" s="313">
        <v>290384</v>
      </c>
      <c r="M56" s="313">
        <v>790827</v>
      </c>
      <c r="N56" s="313">
        <v>154085</v>
      </c>
      <c r="O56" s="313">
        <v>149312</v>
      </c>
      <c r="P56" s="313" t="s">
        <v>1029</v>
      </c>
      <c r="Q56" s="313">
        <v>3570</v>
      </c>
      <c r="R56" s="207">
        <v>225119</v>
      </c>
      <c r="S56" s="207">
        <v>75171</v>
      </c>
      <c r="T56" s="472">
        <v>149948</v>
      </c>
      <c r="U56" s="61" t="s">
        <v>198</v>
      </c>
      <c r="V56" s="94"/>
    </row>
    <row r="57" spans="1:22" s="99" customFormat="1" ht="14.1" customHeight="1" x14ac:dyDescent="0.15">
      <c r="A57" s="94"/>
      <c r="B57" s="894"/>
      <c r="C57" s="895" t="s">
        <v>342</v>
      </c>
      <c r="D57" s="896"/>
      <c r="E57" s="897">
        <v>3344773</v>
      </c>
      <c r="F57" s="897">
        <v>738497</v>
      </c>
      <c r="G57" s="897">
        <v>404612</v>
      </c>
      <c r="H57" s="897">
        <v>322223</v>
      </c>
      <c r="I57" s="897">
        <v>545623</v>
      </c>
      <c r="J57" s="897">
        <v>658375</v>
      </c>
      <c r="K57" s="898">
        <v>675443</v>
      </c>
      <c r="L57" s="897">
        <v>340946</v>
      </c>
      <c r="M57" s="897">
        <v>334497</v>
      </c>
      <c r="N57" s="897">
        <v>273402</v>
      </c>
      <c r="O57" s="897">
        <v>43670</v>
      </c>
      <c r="P57" s="897">
        <v>9362</v>
      </c>
      <c r="Q57" s="897">
        <v>8032</v>
      </c>
      <c r="R57" s="310">
        <v>1378365</v>
      </c>
      <c r="S57" s="310">
        <v>950458</v>
      </c>
      <c r="T57" s="474">
        <v>427907</v>
      </c>
      <c r="U57" s="899" t="s">
        <v>341</v>
      </c>
      <c r="V57" s="94"/>
    </row>
    <row r="58" spans="1:22" s="68" customFormat="1" ht="14.25" customHeight="1" x14ac:dyDescent="0.15">
      <c r="A58" s="639"/>
      <c r="B58" s="68" t="s">
        <v>340</v>
      </c>
      <c r="E58" s="900"/>
      <c r="F58" s="900"/>
      <c r="G58" s="900"/>
      <c r="H58" s="900"/>
      <c r="I58" s="900"/>
      <c r="J58" s="900"/>
      <c r="L58" s="900"/>
      <c r="M58" s="900"/>
      <c r="N58" s="900" t="s">
        <v>626</v>
      </c>
      <c r="O58" s="900"/>
      <c r="P58" s="900"/>
      <c r="Q58" s="900"/>
      <c r="T58" s="901"/>
      <c r="V58" s="639"/>
    </row>
    <row r="59" spans="1:22" s="99" customFormat="1" ht="14.1" customHeight="1" x14ac:dyDescent="0.15">
      <c r="A59" s="210"/>
      <c r="B59" s="99" t="s">
        <v>535</v>
      </c>
      <c r="C59" s="68"/>
      <c r="E59" s="902"/>
      <c r="F59" s="902"/>
      <c r="G59" s="902"/>
      <c r="H59" s="902"/>
      <c r="I59" s="902"/>
      <c r="J59" s="902"/>
      <c r="K59" s="902"/>
      <c r="L59" s="902"/>
      <c r="M59" s="902"/>
      <c r="N59" s="100" t="s">
        <v>699</v>
      </c>
      <c r="O59" s="902"/>
      <c r="P59" s="902"/>
      <c r="Q59" s="902"/>
      <c r="V59" s="192"/>
    </row>
    <row r="60" spans="1:22" x14ac:dyDescent="0.15">
      <c r="B60" s="99" t="s">
        <v>536</v>
      </c>
      <c r="C60" s="141"/>
    </row>
  </sheetData>
  <mergeCells count="4">
    <mergeCell ref="U7:U10"/>
    <mergeCell ref="B8:D8"/>
    <mergeCell ref="B11:C11"/>
    <mergeCell ref="B48:C48"/>
  </mergeCells>
  <phoneticPr fontId="33"/>
  <pageMargins left="0.55118110236220474" right="0.51181102362204722" top="0.59055118110236227" bottom="0.59055118110236227" header="0.23622047244094491" footer="0.15748031496062992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40"/>
  <sheetViews>
    <sheetView view="pageBreakPreview" zoomScaleNormal="70" zoomScaleSheetLayoutView="10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defaultRowHeight="13.5" x14ac:dyDescent="0.15"/>
  <cols>
    <col min="1" max="1" width="2.625" style="141" customWidth="1"/>
    <col min="2" max="2" width="3.375" style="141" customWidth="1"/>
    <col min="3" max="3" width="3.25" style="141" customWidth="1"/>
    <col min="4" max="4" width="6.125" style="141" customWidth="1"/>
    <col min="5" max="5" width="0.875" style="141" customWidth="1"/>
    <col min="6" max="6" width="9.375" style="141" customWidth="1"/>
    <col min="7" max="12" width="8.375" style="141" customWidth="1"/>
    <col min="13" max="13" width="7.875" style="141" customWidth="1"/>
    <col min="14" max="21" width="8.375" style="141" customWidth="1"/>
    <col min="22" max="22" width="8.25" style="141" customWidth="1"/>
    <col min="23" max="23" width="2.625" style="142" customWidth="1"/>
    <col min="24" max="24" width="6.875" style="141" customWidth="1"/>
    <col min="25" max="16384" width="9" style="141"/>
  </cols>
  <sheetData>
    <row r="1" spans="1:24" ht="16.5" customHeight="1" x14ac:dyDescent="0.2">
      <c r="I1" s="218"/>
      <c r="T1" s="511"/>
      <c r="W1" s="141"/>
    </row>
    <row r="2" spans="1:24" s="213" customFormat="1" ht="16.5" customHeight="1" x14ac:dyDescent="0.15">
      <c r="B2" s="476" t="s">
        <v>700</v>
      </c>
      <c r="O2" s="287"/>
      <c r="R2" s="217"/>
      <c r="T2" s="216"/>
      <c r="U2" s="216"/>
      <c r="W2" s="215"/>
      <c r="X2" s="214"/>
    </row>
    <row r="3" spans="1:24" s="97" customFormat="1" ht="16.5" customHeight="1" x14ac:dyDescent="0.15">
      <c r="A3" s="523"/>
      <c r="B3" s="525"/>
      <c r="C3" s="526" t="s">
        <v>701</v>
      </c>
      <c r="D3" s="512"/>
      <c r="E3" s="512"/>
      <c r="F3" s="211"/>
      <c r="G3" s="513"/>
      <c r="H3" s="211"/>
      <c r="I3" s="211"/>
      <c r="J3" s="514"/>
      <c r="K3" s="514"/>
      <c r="L3" s="211"/>
      <c r="M3" s="211"/>
      <c r="N3" s="527"/>
      <c r="O3" s="528"/>
      <c r="P3" s="211"/>
      <c r="Q3" s="211"/>
      <c r="R3" s="515"/>
      <c r="S3" s="516"/>
      <c r="T3" s="481"/>
      <c r="U3" s="78" t="s">
        <v>452</v>
      </c>
      <c r="V3" s="211"/>
      <c r="W3" s="98"/>
    </row>
    <row r="4" spans="1:24" s="517" customFormat="1" ht="21" customHeight="1" x14ac:dyDescent="0.15">
      <c r="A4" s="210"/>
      <c r="B4" s="639"/>
      <c r="C4" s="639"/>
      <c r="D4" s="639"/>
      <c r="E4" s="640"/>
      <c r="F4" s="484"/>
      <c r="G4" s="136"/>
      <c r="H4" s="136"/>
      <c r="I4" s="136"/>
      <c r="J4" s="136"/>
      <c r="K4" s="136"/>
      <c r="L4" s="136"/>
      <c r="M4" s="136"/>
      <c r="N4" s="135"/>
      <c r="O4" s="134"/>
      <c r="P4" s="133"/>
      <c r="Q4" s="133"/>
      <c r="R4" s="133"/>
      <c r="S4" s="133"/>
      <c r="T4" s="132"/>
      <c r="U4" s="131"/>
      <c r="V4" s="1068" t="s">
        <v>550</v>
      </c>
      <c r="W4" s="192"/>
    </row>
    <row r="5" spans="1:24" s="517" customFormat="1" ht="21" customHeight="1" x14ac:dyDescent="0.15">
      <c r="A5" s="639"/>
      <c r="B5" s="1039" t="s">
        <v>551</v>
      </c>
      <c r="C5" s="1039"/>
      <c r="D5" s="1039"/>
      <c r="E5" s="1040"/>
      <c r="F5" s="124" t="s">
        <v>227</v>
      </c>
      <c r="G5" s="119" t="s">
        <v>501</v>
      </c>
      <c r="H5" s="119" t="s">
        <v>502</v>
      </c>
      <c r="I5" s="119" t="s">
        <v>503</v>
      </c>
      <c r="J5" s="119" t="s">
        <v>504</v>
      </c>
      <c r="K5" s="119" t="s">
        <v>505</v>
      </c>
      <c r="L5" s="119" t="s">
        <v>506</v>
      </c>
      <c r="M5" s="796"/>
      <c r="N5" s="128"/>
      <c r="O5" s="121" t="s">
        <v>507</v>
      </c>
      <c r="P5" s="122" t="s">
        <v>508</v>
      </c>
      <c r="Q5" s="122" t="s">
        <v>509</v>
      </c>
      <c r="R5" s="122" t="s">
        <v>510</v>
      </c>
      <c r="S5" s="127" t="s">
        <v>511</v>
      </c>
      <c r="T5" s="798"/>
      <c r="U5" s="125"/>
      <c r="V5" s="1048"/>
      <c r="W5" s="192"/>
      <c r="X5" s="518" t="s">
        <v>224</v>
      </c>
    </row>
    <row r="6" spans="1:24" s="520" customFormat="1" ht="21.95" customHeight="1" x14ac:dyDescent="0.15">
      <c r="A6" s="639"/>
      <c r="B6" s="639"/>
      <c r="C6" s="639"/>
      <c r="D6" s="639"/>
      <c r="E6" s="640"/>
      <c r="F6" s="124"/>
      <c r="G6" s="119" t="s">
        <v>224</v>
      </c>
      <c r="H6" s="119" t="s">
        <v>224</v>
      </c>
      <c r="I6" s="519" t="s">
        <v>225</v>
      </c>
      <c r="J6" s="119"/>
      <c r="K6" s="119"/>
      <c r="L6" s="119" t="s">
        <v>224</v>
      </c>
      <c r="M6" s="119" t="s">
        <v>223</v>
      </c>
      <c r="N6" s="123" t="s">
        <v>222</v>
      </c>
      <c r="O6" s="121"/>
      <c r="P6" s="122"/>
      <c r="Q6" s="122"/>
      <c r="R6" s="122"/>
      <c r="S6" s="122"/>
      <c r="T6" s="122" t="s">
        <v>512</v>
      </c>
      <c r="U6" s="121" t="s">
        <v>513</v>
      </c>
      <c r="V6" s="1048"/>
      <c r="W6" s="192"/>
      <c r="X6" s="518" t="s">
        <v>224</v>
      </c>
    </row>
    <row r="7" spans="1:24" s="517" customFormat="1" ht="33.75" customHeight="1" x14ac:dyDescent="0.15">
      <c r="A7" s="210"/>
      <c r="B7" s="691"/>
      <c r="C7" s="691"/>
      <c r="D7" s="691"/>
      <c r="E7" s="692"/>
      <c r="F7" s="118" t="s">
        <v>827</v>
      </c>
      <c r="G7" s="118" t="s">
        <v>221</v>
      </c>
      <c r="H7" s="118" t="s">
        <v>522</v>
      </c>
      <c r="I7" s="118" t="s">
        <v>523</v>
      </c>
      <c r="J7" s="118" t="s">
        <v>220</v>
      </c>
      <c r="K7" s="118" t="s">
        <v>514</v>
      </c>
      <c r="L7" s="118" t="s">
        <v>828</v>
      </c>
      <c r="M7" s="118" t="s">
        <v>524</v>
      </c>
      <c r="N7" s="117" t="s">
        <v>525</v>
      </c>
      <c r="O7" s="116" t="s">
        <v>229</v>
      </c>
      <c r="P7" s="116" t="s">
        <v>219</v>
      </c>
      <c r="Q7" s="116" t="s">
        <v>218</v>
      </c>
      <c r="R7" s="115" t="s">
        <v>217</v>
      </c>
      <c r="S7" s="642" t="s">
        <v>526</v>
      </c>
      <c r="T7" s="114"/>
      <c r="U7" s="114"/>
      <c r="V7" s="1049"/>
      <c r="W7" s="192"/>
      <c r="X7" s="518" t="s">
        <v>224</v>
      </c>
    </row>
    <row r="8" spans="1:24" s="643" customFormat="1" ht="21" customHeight="1" x14ac:dyDescent="0.15">
      <c r="A8" s="94"/>
      <c r="B8" s="615" t="s">
        <v>790</v>
      </c>
      <c r="C8" s="615" t="s">
        <v>791</v>
      </c>
      <c r="D8" s="616"/>
      <c r="E8" s="617"/>
      <c r="F8" s="529">
        <v>199542682</v>
      </c>
      <c r="G8" s="529">
        <v>58881876</v>
      </c>
      <c r="H8" s="529">
        <v>51638332</v>
      </c>
      <c r="I8" s="529">
        <v>5017213</v>
      </c>
      <c r="J8" s="529">
        <v>19497557</v>
      </c>
      <c r="K8" s="529">
        <v>39682804</v>
      </c>
      <c r="L8" s="529">
        <v>24824900</v>
      </c>
      <c r="M8" s="529">
        <v>14191244</v>
      </c>
      <c r="N8" s="529">
        <v>10633656</v>
      </c>
      <c r="O8" s="529">
        <v>2335103</v>
      </c>
      <c r="P8" s="529">
        <v>2632677</v>
      </c>
      <c r="Q8" s="529">
        <v>58140</v>
      </c>
      <c r="R8" s="529">
        <v>52465</v>
      </c>
      <c r="S8" s="529">
        <v>14758821</v>
      </c>
      <c r="T8" s="529">
        <v>10683447</v>
      </c>
      <c r="U8" s="618">
        <v>4075374</v>
      </c>
      <c r="V8" s="530" t="s">
        <v>792</v>
      </c>
      <c r="W8" s="53"/>
      <c r="X8" s="693"/>
    </row>
    <row r="9" spans="1:24" s="643" customFormat="1" ht="21" customHeight="1" x14ac:dyDescent="0.15">
      <c r="A9" s="94"/>
      <c r="B9" s="619" t="s">
        <v>235</v>
      </c>
      <c r="C9" s="619" t="s">
        <v>846</v>
      </c>
      <c r="D9" s="620"/>
      <c r="E9" s="621"/>
      <c r="F9" s="529">
        <v>183201314</v>
      </c>
      <c r="G9" s="529">
        <v>53624191</v>
      </c>
      <c r="H9" s="529">
        <v>48057741</v>
      </c>
      <c r="I9" s="529">
        <v>3247658</v>
      </c>
      <c r="J9" s="529">
        <v>17917768</v>
      </c>
      <c r="K9" s="529">
        <v>38012781</v>
      </c>
      <c r="L9" s="529">
        <v>22341175</v>
      </c>
      <c r="M9" s="529">
        <v>13177257</v>
      </c>
      <c r="N9" s="529">
        <v>9163918</v>
      </c>
      <c r="O9" s="529">
        <v>2085210</v>
      </c>
      <c r="P9" s="529">
        <v>2675863</v>
      </c>
      <c r="Q9" s="529">
        <v>53086</v>
      </c>
      <c r="R9" s="529">
        <v>47816</v>
      </c>
      <c r="S9" s="529">
        <v>13453526</v>
      </c>
      <c r="T9" s="529">
        <v>10158847</v>
      </c>
      <c r="U9" s="531">
        <v>3294679</v>
      </c>
      <c r="V9" s="530" t="s">
        <v>793</v>
      </c>
      <c r="W9" s="53"/>
      <c r="X9" s="693"/>
    </row>
    <row r="10" spans="1:24" s="643" customFormat="1" ht="21" customHeight="1" x14ac:dyDescent="0.15">
      <c r="A10" s="94"/>
      <c r="B10" s="619" t="s">
        <v>235</v>
      </c>
      <c r="C10" s="619" t="s">
        <v>847</v>
      </c>
      <c r="D10" s="620"/>
      <c r="E10" s="621"/>
      <c r="F10" s="529">
        <v>189626877</v>
      </c>
      <c r="G10" s="529">
        <v>54241273</v>
      </c>
      <c r="H10" s="529">
        <v>49673183</v>
      </c>
      <c r="I10" s="529">
        <v>3130857</v>
      </c>
      <c r="J10" s="529">
        <v>17889549</v>
      </c>
      <c r="K10" s="529">
        <v>40268758</v>
      </c>
      <c r="L10" s="529">
        <v>24423257</v>
      </c>
      <c r="M10" s="529">
        <v>13692553</v>
      </c>
      <c r="N10" s="529">
        <v>10730704</v>
      </c>
      <c r="O10" s="529">
        <v>2239322</v>
      </c>
      <c r="P10" s="529">
        <v>2644009</v>
      </c>
      <c r="Q10" s="529">
        <v>58550</v>
      </c>
      <c r="R10" s="529">
        <v>51393</v>
      </c>
      <c r="S10" s="529">
        <v>13992821</v>
      </c>
      <c r="T10" s="529">
        <v>10900397</v>
      </c>
      <c r="U10" s="531">
        <v>3092424</v>
      </c>
      <c r="V10" s="530" t="s">
        <v>794</v>
      </c>
      <c r="W10" s="53"/>
      <c r="X10" s="693"/>
    </row>
    <row r="11" spans="1:24" s="643" customFormat="1" ht="21" customHeight="1" x14ac:dyDescent="0.15">
      <c r="A11" s="94"/>
      <c r="B11" s="619" t="s">
        <v>235</v>
      </c>
      <c r="C11" s="619" t="s">
        <v>848</v>
      </c>
      <c r="D11" s="620"/>
      <c r="E11" s="621"/>
      <c r="F11" s="529">
        <v>191612126</v>
      </c>
      <c r="G11" s="529">
        <v>55726202</v>
      </c>
      <c r="H11" s="529">
        <v>43793683</v>
      </c>
      <c r="I11" s="529">
        <v>4363653</v>
      </c>
      <c r="J11" s="529">
        <v>18473570</v>
      </c>
      <c r="K11" s="529">
        <v>41445774</v>
      </c>
      <c r="L11" s="529">
        <v>27809244</v>
      </c>
      <c r="M11" s="529">
        <v>15301701</v>
      </c>
      <c r="N11" s="529">
        <v>12507543</v>
      </c>
      <c r="O11" s="529">
        <v>2173357</v>
      </c>
      <c r="P11" s="529">
        <v>2425622</v>
      </c>
      <c r="Q11" s="529">
        <v>56615</v>
      </c>
      <c r="R11" s="529">
        <v>58695</v>
      </c>
      <c r="S11" s="529">
        <v>16914674</v>
      </c>
      <c r="T11" s="529">
        <v>13918323</v>
      </c>
      <c r="U11" s="531">
        <v>2996351</v>
      </c>
      <c r="V11" s="530" t="s">
        <v>795</v>
      </c>
      <c r="W11" s="53"/>
      <c r="X11" s="693"/>
    </row>
    <row r="12" spans="1:24" s="643" customFormat="1" ht="21" customHeight="1" x14ac:dyDescent="0.15">
      <c r="A12" s="94"/>
      <c r="B12" s="619" t="s">
        <v>235</v>
      </c>
      <c r="C12" s="619" t="s">
        <v>1042</v>
      </c>
      <c r="D12" s="620"/>
      <c r="E12" s="621"/>
      <c r="F12" s="529">
        <v>184737891</v>
      </c>
      <c r="G12" s="529">
        <v>55578101</v>
      </c>
      <c r="H12" s="529">
        <v>41747570</v>
      </c>
      <c r="I12" s="529">
        <v>4877808</v>
      </c>
      <c r="J12" s="529">
        <v>17044743</v>
      </c>
      <c r="K12" s="529">
        <v>41127313</v>
      </c>
      <c r="L12" s="529">
        <v>24362356</v>
      </c>
      <c r="M12" s="529">
        <v>14724781</v>
      </c>
      <c r="N12" s="529">
        <v>9637575</v>
      </c>
      <c r="O12" s="529">
        <v>2086392</v>
      </c>
      <c r="P12" s="529">
        <v>2168662</v>
      </c>
      <c r="Q12" s="529">
        <v>52723</v>
      </c>
      <c r="R12" s="529">
        <v>48812</v>
      </c>
      <c r="S12" s="529">
        <v>16869699</v>
      </c>
      <c r="T12" s="529">
        <v>13948945</v>
      </c>
      <c r="U12" s="531">
        <v>2920754</v>
      </c>
      <c r="V12" s="530" t="s">
        <v>1030</v>
      </c>
      <c r="W12" s="53"/>
      <c r="X12" s="53"/>
    </row>
    <row r="13" spans="1:24" s="643" customFormat="1" ht="19.5" customHeight="1" x14ac:dyDescent="0.15">
      <c r="A13" s="94"/>
      <c r="B13" s="619"/>
      <c r="C13" s="619"/>
      <c r="D13" s="622"/>
      <c r="E13" s="623"/>
      <c r="F13" s="529"/>
      <c r="G13" s="529"/>
      <c r="H13" s="529"/>
      <c r="I13" s="529"/>
      <c r="J13" s="529"/>
      <c r="K13" s="529"/>
      <c r="L13" s="529"/>
      <c r="M13" s="529"/>
      <c r="N13" s="529"/>
      <c r="O13" s="529"/>
      <c r="P13" s="529"/>
      <c r="Q13" s="529"/>
      <c r="R13" s="529"/>
      <c r="S13" s="529"/>
      <c r="T13" s="529"/>
      <c r="U13" s="531"/>
      <c r="V13" s="529"/>
      <c r="W13" s="53"/>
      <c r="X13" s="693"/>
    </row>
    <row r="14" spans="1:24" s="643" customFormat="1" ht="21" customHeight="1" x14ac:dyDescent="0.15">
      <c r="A14" s="94"/>
      <c r="B14" s="619" t="s">
        <v>790</v>
      </c>
      <c r="C14" s="619" t="s">
        <v>1031</v>
      </c>
      <c r="D14" s="624"/>
      <c r="E14" s="625"/>
      <c r="F14" s="529">
        <v>189881163</v>
      </c>
      <c r="G14" s="529">
        <v>55775961</v>
      </c>
      <c r="H14" s="529">
        <v>43850350</v>
      </c>
      <c r="I14" s="529">
        <v>4645740</v>
      </c>
      <c r="J14" s="529">
        <v>17523777</v>
      </c>
      <c r="K14" s="529">
        <v>41251076</v>
      </c>
      <c r="L14" s="529">
        <v>26834259</v>
      </c>
      <c r="M14" s="529">
        <v>15126816</v>
      </c>
      <c r="N14" s="529">
        <v>11707443</v>
      </c>
      <c r="O14" s="529">
        <v>2125067</v>
      </c>
      <c r="P14" s="529">
        <v>2336856</v>
      </c>
      <c r="Q14" s="529">
        <v>54745</v>
      </c>
      <c r="R14" s="529">
        <v>59195</v>
      </c>
      <c r="S14" s="532">
        <v>17139040</v>
      </c>
      <c r="T14" s="532">
        <v>14043569</v>
      </c>
      <c r="U14" s="533">
        <v>3095471</v>
      </c>
      <c r="V14" s="534" t="s">
        <v>796</v>
      </c>
      <c r="W14" s="53"/>
      <c r="X14" s="193" t="s">
        <v>224</v>
      </c>
    </row>
    <row r="15" spans="1:24" s="643" customFormat="1" ht="21" customHeight="1" x14ac:dyDescent="0.15">
      <c r="A15" s="94"/>
      <c r="B15" s="619" t="s">
        <v>235</v>
      </c>
      <c r="C15" s="619" t="s">
        <v>1042</v>
      </c>
      <c r="D15" s="624"/>
      <c r="E15" s="625"/>
      <c r="F15" s="529">
        <v>182294726</v>
      </c>
      <c r="G15" s="529">
        <v>55430164</v>
      </c>
      <c r="H15" s="529">
        <v>40774873</v>
      </c>
      <c r="I15" s="529">
        <v>4910149</v>
      </c>
      <c r="J15" s="529">
        <v>16953059</v>
      </c>
      <c r="K15" s="529">
        <v>40969989</v>
      </c>
      <c r="L15" s="529">
        <v>23256492</v>
      </c>
      <c r="M15" s="529">
        <v>14416948</v>
      </c>
      <c r="N15" s="529">
        <v>8839544</v>
      </c>
      <c r="O15" s="529">
        <v>2061750</v>
      </c>
      <c r="P15" s="529">
        <v>2110495</v>
      </c>
      <c r="Q15" s="529">
        <v>53153</v>
      </c>
      <c r="R15" s="529">
        <v>44908</v>
      </c>
      <c r="S15" s="529">
        <v>16617383</v>
      </c>
      <c r="T15" s="529">
        <v>13768843</v>
      </c>
      <c r="U15" s="531">
        <v>2848540</v>
      </c>
      <c r="V15" s="534" t="s">
        <v>1032</v>
      </c>
      <c r="W15" s="53"/>
      <c r="X15" s="193"/>
    </row>
    <row r="16" spans="1:24" s="643" customFormat="1" ht="19.5" customHeight="1" x14ac:dyDescent="0.15">
      <c r="A16" s="94"/>
      <c r="B16" s="619"/>
      <c r="C16" s="619"/>
      <c r="D16" s="622"/>
      <c r="E16" s="623"/>
      <c r="F16" s="529"/>
      <c r="G16" s="529"/>
      <c r="H16" s="529"/>
      <c r="I16" s="529"/>
      <c r="J16" s="529"/>
      <c r="K16" s="529"/>
      <c r="L16" s="529"/>
      <c r="M16" s="529"/>
      <c r="N16" s="529"/>
      <c r="O16" s="529"/>
      <c r="P16" s="529"/>
      <c r="Q16" s="529"/>
      <c r="R16" s="529"/>
      <c r="S16" s="529"/>
      <c r="T16" s="529"/>
      <c r="U16" s="531"/>
      <c r="V16" s="535"/>
      <c r="W16" s="53"/>
      <c r="X16" s="193"/>
    </row>
    <row r="17" spans="1:24" s="643" customFormat="1" ht="21" customHeight="1" x14ac:dyDescent="0.15">
      <c r="A17" s="94"/>
      <c r="B17" s="619" t="s">
        <v>790</v>
      </c>
      <c r="C17" s="619" t="s">
        <v>800</v>
      </c>
      <c r="D17" s="626" t="s">
        <v>682</v>
      </c>
      <c r="E17" s="625"/>
      <c r="F17" s="529">
        <v>50553633</v>
      </c>
      <c r="G17" s="529">
        <v>13183857</v>
      </c>
      <c r="H17" s="529">
        <v>11240659</v>
      </c>
      <c r="I17" s="529">
        <v>1178950</v>
      </c>
      <c r="J17" s="529">
        <v>7552072</v>
      </c>
      <c r="K17" s="529">
        <v>9891993</v>
      </c>
      <c r="L17" s="529">
        <v>7506102</v>
      </c>
      <c r="M17" s="529">
        <v>4468149</v>
      </c>
      <c r="N17" s="529">
        <v>3037953</v>
      </c>
      <c r="O17" s="529">
        <v>516591</v>
      </c>
      <c r="P17" s="529">
        <v>624278</v>
      </c>
      <c r="Q17" s="529">
        <v>12434</v>
      </c>
      <c r="R17" s="529">
        <v>14797</v>
      </c>
      <c r="S17" s="529">
        <v>5124901</v>
      </c>
      <c r="T17" s="529">
        <v>4400915</v>
      </c>
      <c r="U17" s="531">
        <v>723986</v>
      </c>
      <c r="V17" s="536" t="s">
        <v>801</v>
      </c>
      <c r="W17" s="53"/>
      <c r="X17" s="193"/>
    </row>
    <row r="18" spans="1:24" s="643" customFormat="1" ht="21" customHeight="1" x14ac:dyDescent="0.15">
      <c r="A18" s="94"/>
      <c r="B18" s="619" t="s">
        <v>235</v>
      </c>
      <c r="C18" s="619" t="s">
        <v>235</v>
      </c>
      <c r="D18" s="626" t="s">
        <v>683</v>
      </c>
      <c r="E18" s="625"/>
      <c r="F18" s="529">
        <v>42148319</v>
      </c>
      <c r="G18" s="529">
        <v>13371555</v>
      </c>
      <c r="H18" s="529">
        <v>9735060</v>
      </c>
      <c r="I18" s="529">
        <v>1145639</v>
      </c>
      <c r="J18" s="529">
        <v>2367524</v>
      </c>
      <c r="K18" s="529">
        <v>10036792</v>
      </c>
      <c r="L18" s="529">
        <v>5491749</v>
      </c>
      <c r="M18" s="529">
        <v>3357393</v>
      </c>
      <c r="N18" s="529">
        <v>2134356</v>
      </c>
      <c r="O18" s="529">
        <v>514113</v>
      </c>
      <c r="P18" s="529">
        <v>460080</v>
      </c>
      <c r="Q18" s="529">
        <v>13431</v>
      </c>
      <c r="R18" s="529">
        <v>10185</v>
      </c>
      <c r="S18" s="529">
        <v>3758049</v>
      </c>
      <c r="T18" s="529">
        <v>3104837</v>
      </c>
      <c r="U18" s="531">
        <v>653212</v>
      </c>
      <c r="V18" s="537" t="s">
        <v>797</v>
      </c>
      <c r="W18" s="53"/>
      <c r="X18" s="193"/>
    </row>
    <row r="19" spans="1:24" s="643" customFormat="1" ht="21" customHeight="1" x14ac:dyDescent="0.15">
      <c r="A19" s="94"/>
      <c r="B19" s="619" t="s">
        <v>235</v>
      </c>
      <c r="C19" s="619" t="s">
        <v>235</v>
      </c>
      <c r="D19" s="626" t="s">
        <v>684</v>
      </c>
      <c r="E19" s="625"/>
      <c r="F19" s="529">
        <v>43723592</v>
      </c>
      <c r="G19" s="529">
        <v>14993936</v>
      </c>
      <c r="H19" s="529">
        <v>10246532</v>
      </c>
      <c r="I19" s="529">
        <v>1296628</v>
      </c>
      <c r="J19" s="529">
        <v>1527815</v>
      </c>
      <c r="K19" s="529">
        <v>10482669</v>
      </c>
      <c r="L19" s="529">
        <v>5176012</v>
      </c>
      <c r="M19" s="529">
        <v>3029107</v>
      </c>
      <c r="N19" s="529">
        <v>2146905</v>
      </c>
      <c r="O19" s="529">
        <v>524668</v>
      </c>
      <c r="P19" s="529">
        <v>558778</v>
      </c>
      <c r="Q19" s="529">
        <v>13483</v>
      </c>
      <c r="R19" s="529">
        <v>11814</v>
      </c>
      <c r="S19" s="529">
        <v>3613072</v>
      </c>
      <c r="T19" s="529">
        <v>2831947</v>
      </c>
      <c r="U19" s="531">
        <v>781125</v>
      </c>
      <c r="V19" s="538" t="s">
        <v>798</v>
      </c>
      <c r="W19" s="53"/>
      <c r="X19" s="193" t="s">
        <v>224</v>
      </c>
    </row>
    <row r="20" spans="1:24" s="643" customFormat="1" ht="21" customHeight="1" x14ac:dyDescent="0.15">
      <c r="A20" s="94"/>
      <c r="B20" s="619" t="s">
        <v>235</v>
      </c>
      <c r="C20" s="619" t="s">
        <v>235</v>
      </c>
      <c r="D20" s="626" t="s">
        <v>596</v>
      </c>
      <c r="E20" s="625"/>
      <c r="F20" s="529">
        <v>48312347</v>
      </c>
      <c r="G20" s="529">
        <v>14028753</v>
      </c>
      <c r="H20" s="529">
        <v>10525319</v>
      </c>
      <c r="I20" s="529">
        <v>1256591</v>
      </c>
      <c r="J20" s="529">
        <v>5597332</v>
      </c>
      <c r="K20" s="529">
        <v>10715859</v>
      </c>
      <c r="L20" s="529">
        <v>6188493</v>
      </c>
      <c r="M20" s="529">
        <v>3870132</v>
      </c>
      <c r="N20" s="529">
        <v>2318361</v>
      </c>
      <c r="O20" s="529">
        <v>531020</v>
      </c>
      <c r="P20" s="529">
        <v>525526</v>
      </c>
      <c r="Q20" s="529">
        <v>13375</v>
      </c>
      <c r="R20" s="529">
        <v>12016</v>
      </c>
      <c r="S20" s="529">
        <v>4373677</v>
      </c>
      <c r="T20" s="529">
        <v>3611246</v>
      </c>
      <c r="U20" s="531">
        <v>762431</v>
      </c>
      <c r="V20" s="539" t="s">
        <v>799</v>
      </c>
      <c r="W20" s="53"/>
      <c r="X20" s="193" t="s">
        <v>224</v>
      </c>
    </row>
    <row r="21" spans="1:24" s="643" customFormat="1" ht="21" customHeight="1" x14ac:dyDescent="0.15">
      <c r="A21" s="94"/>
      <c r="B21" s="619" t="s">
        <v>790</v>
      </c>
      <c r="C21" s="619" t="s">
        <v>1033</v>
      </c>
      <c r="D21" s="626" t="s">
        <v>685</v>
      </c>
      <c r="E21" s="625"/>
      <c r="F21" s="529">
        <v>48110468</v>
      </c>
      <c r="G21" s="529">
        <v>13035920</v>
      </c>
      <c r="H21" s="529">
        <v>10267962</v>
      </c>
      <c r="I21" s="529">
        <v>1211291</v>
      </c>
      <c r="J21" s="529">
        <v>7460388</v>
      </c>
      <c r="K21" s="529">
        <v>9734669</v>
      </c>
      <c r="L21" s="529">
        <v>6400238</v>
      </c>
      <c r="M21" s="529">
        <v>4160316</v>
      </c>
      <c r="N21" s="529">
        <v>2239922</v>
      </c>
      <c r="O21" s="529">
        <v>491949</v>
      </c>
      <c r="P21" s="529">
        <v>566111</v>
      </c>
      <c r="Q21" s="529">
        <v>12864</v>
      </c>
      <c r="R21" s="529">
        <v>10893</v>
      </c>
      <c r="S21" s="529">
        <v>4872585</v>
      </c>
      <c r="T21" s="529">
        <v>4220813</v>
      </c>
      <c r="U21" s="531">
        <v>651772</v>
      </c>
      <c r="V21" s="536" t="s">
        <v>1034</v>
      </c>
      <c r="W21" s="53"/>
      <c r="X21" s="193"/>
    </row>
    <row r="22" spans="1:24" s="643" customFormat="1" ht="19.5" customHeight="1" x14ac:dyDescent="0.15">
      <c r="A22" s="94"/>
      <c r="B22" s="619"/>
      <c r="C22" s="619"/>
      <c r="D22" s="622"/>
      <c r="E22" s="623"/>
      <c r="F22" s="540"/>
      <c r="G22" s="540"/>
      <c r="H22" s="540"/>
      <c r="I22" s="540"/>
      <c r="J22" s="540"/>
      <c r="K22" s="540"/>
      <c r="L22" s="540"/>
      <c r="M22" s="540"/>
      <c r="N22" s="540"/>
      <c r="O22" s="540"/>
      <c r="P22" s="540"/>
      <c r="Q22" s="540"/>
      <c r="R22" s="540"/>
      <c r="S22" s="540"/>
      <c r="T22" s="540"/>
      <c r="U22" s="541"/>
      <c r="V22" s="535"/>
      <c r="W22" s="53"/>
      <c r="X22" s="193"/>
    </row>
    <row r="23" spans="1:24" s="643" customFormat="1" ht="21" customHeight="1" x14ac:dyDescent="0.15">
      <c r="A23" s="94"/>
      <c r="B23" s="619" t="s">
        <v>790</v>
      </c>
      <c r="C23" s="619" t="s">
        <v>800</v>
      </c>
      <c r="D23" s="619" t="s">
        <v>667</v>
      </c>
      <c r="E23" s="627"/>
      <c r="F23" s="529">
        <v>17411485</v>
      </c>
      <c r="G23" s="529">
        <v>4339976</v>
      </c>
      <c r="H23" s="529">
        <v>3978960</v>
      </c>
      <c r="I23" s="529">
        <v>378026</v>
      </c>
      <c r="J23" s="529">
        <v>3012799</v>
      </c>
      <c r="K23" s="529">
        <v>3039098</v>
      </c>
      <c r="L23" s="529">
        <v>2662626</v>
      </c>
      <c r="M23" s="529">
        <v>1495274</v>
      </c>
      <c r="N23" s="529">
        <v>1167352</v>
      </c>
      <c r="O23" s="529">
        <v>154424</v>
      </c>
      <c r="P23" s="529">
        <v>189077</v>
      </c>
      <c r="Q23" s="529">
        <v>3674</v>
      </c>
      <c r="R23" s="529">
        <v>6171</v>
      </c>
      <c r="S23" s="532">
        <v>1803942</v>
      </c>
      <c r="T23" s="532">
        <v>1559030</v>
      </c>
      <c r="U23" s="533">
        <v>244912</v>
      </c>
      <c r="V23" s="542" t="s">
        <v>816</v>
      </c>
      <c r="W23" s="53"/>
      <c r="X23" s="193" t="s">
        <v>224</v>
      </c>
    </row>
    <row r="24" spans="1:24" s="643" customFormat="1" ht="21" customHeight="1" x14ac:dyDescent="0.15">
      <c r="A24" s="94"/>
      <c r="B24" s="619" t="s">
        <v>235</v>
      </c>
      <c r="C24" s="619" t="s">
        <v>235</v>
      </c>
      <c r="D24" s="619" t="s">
        <v>668</v>
      </c>
      <c r="E24" s="627"/>
      <c r="F24" s="529">
        <v>16376953</v>
      </c>
      <c r="G24" s="529">
        <v>4192550</v>
      </c>
      <c r="H24" s="529">
        <v>3340494</v>
      </c>
      <c r="I24" s="529">
        <v>364032</v>
      </c>
      <c r="J24" s="529">
        <v>2799073</v>
      </c>
      <c r="K24" s="529">
        <v>3245145</v>
      </c>
      <c r="L24" s="529">
        <v>2435659</v>
      </c>
      <c r="M24" s="529">
        <v>1497680</v>
      </c>
      <c r="N24" s="529">
        <v>937979</v>
      </c>
      <c r="O24" s="529">
        <v>163894</v>
      </c>
      <c r="P24" s="529">
        <v>217244</v>
      </c>
      <c r="Q24" s="529">
        <v>3869</v>
      </c>
      <c r="R24" s="529">
        <v>4970</v>
      </c>
      <c r="S24" s="532">
        <v>1683945</v>
      </c>
      <c r="T24" s="532">
        <v>1473314</v>
      </c>
      <c r="U24" s="533">
        <v>210631</v>
      </c>
      <c r="V24" s="543" t="s">
        <v>802</v>
      </c>
      <c r="W24" s="53"/>
      <c r="X24" s="193"/>
    </row>
    <row r="25" spans="1:24" s="643" customFormat="1" ht="21" customHeight="1" x14ac:dyDescent="0.15">
      <c r="A25" s="94"/>
      <c r="B25" s="619" t="s">
        <v>235</v>
      </c>
      <c r="C25" s="619" t="s">
        <v>235</v>
      </c>
      <c r="D25" s="619" t="s">
        <v>669</v>
      </c>
      <c r="E25" s="627"/>
      <c r="F25" s="529">
        <v>16765195</v>
      </c>
      <c r="G25" s="529">
        <v>4651331</v>
      </c>
      <c r="H25" s="529">
        <v>3921205</v>
      </c>
      <c r="I25" s="529">
        <v>436892</v>
      </c>
      <c r="J25" s="529">
        <v>1740200</v>
      </c>
      <c r="K25" s="529">
        <v>3607750</v>
      </c>
      <c r="L25" s="529">
        <v>2407817</v>
      </c>
      <c r="M25" s="529">
        <v>1475195</v>
      </c>
      <c r="N25" s="529">
        <v>932622</v>
      </c>
      <c r="O25" s="529">
        <v>198273</v>
      </c>
      <c r="P25" s="529">
        <v>217957</v>
      </c>
      <c r="Q25" s="529">
        <v>4891</v>
      </c>
      <c r="R25" s="529">
        <v>3656</v>
      </c>
      <c r="S25" s="532">
        <v>1637014</v>
      </c>
      <c r="T25" s="532">
        <v>1368571</v>
      </c>
      <c r="U25" s="533">
        <v>268443</v>
      </c>
      <c r="V25" s="543" t="s">
        <v>803</v>
      </c>
      <c r="W25" s="53"/>
      <c r="X25" s="193" t="s">
        <v>224</v>
      </c>
    </row>
    <row r="26" spans="1:24" s="643" customFormat="1" ht="21" customHeight="1" x14ac:dyDescent="0.15">
      <c r="A26" s="94"/>
      <c r="B26" s="619" t="s">
        <v>235</v>
      </c>
      <c r="C26" s="619" t="s">
        <v>235</v>
      </c>
      <c r="D26" s="619" t="s">
        <v>670</v>
      </c>
      <c r="E26" s="627"/>
      <c r="F26" s="529">
        <v>14487871</v>
      </c>
      <c r="G26" s="529">
        <v>4391153</v>
      </c>
      <c r="H26" s="529">
        <v>3590625</v>
      </c>
      <c r="I26" s="529">
        <v>351367</v>
      </c>
      <c r="J26" s="529">
        <v>1005010</v>
      </c>
      <c r="K26" s="529">
        <v>3255722</v>
      </c>
      <c r="L26" s="529">
        <v>1893994</v>
      </c>
      <c r="M26" s="529">
        <v>1154380</v>
      </c>
      <c r="N26" s="529">
        <v>739614</v>
      </c>
      <c r="O26" s="529">
        <v>176305</v>
      </c>
      <c r="P26" s="529">
        <v>157944</v>
      </c>
      <c r="Q26" s="529">
        <v>4288</v>
      </c>
      <c r="R26" s="529">
        <v>4152</v>
      </c>
      <c r="S26" s="532">
        <v>1289274</v>
      </c>
      <c r="T26" s="532">
        <v>1101799</v>
      </c>
      <c r="U26" s="533">
        <v>187475</v>
      </c>
      <c r="V26" s="543" t="s">
        <v>804</v>
      </c>
      <c r="W26" s="53"/>
      <c r="X26" s="193"/>
    </row>
    <row r="27" spans="1:24" s="643" customFormat="1" ht="21" customHeight="1" x14ac:dyDescent="0.15">
      <c r="A27" s="94"/>
      <c r="B27" s="619" t="s">
        <v>235</v>
      </c>
      <c r="C27" s="619" t="s">
        <v>235</v>
      </c>
      <c r="D27" s="619" t="s">
        <v>671</v>
      </c>
      <c r="E27" s="627"/>
      <c r="F27" s="529">
        <v>14010977</v>
      </c>
      <c r="G27" s="529">
        <v>4553798</v>
      </c>
      <c r="H27" s="529">
        <v>3150311</v>
      </c>
      <c r="I27" s="529">
        <v>394438</v>
      </c>
      <c r="J27" s="529">
        <v>765433</v>
      </c>
      <c r="K27" s="529">
        <v>3340532</v>
      </c>
      <c r="L27" s="529">
        <v>1806465</v>
      </c>
      <c r="M27" s="529">
        <v>1108801</v>
      </c>
      <c r="N27" s="529">
        <v>697664</v>
      </c>
      <c r="O27" s="529">
        <v>161272</v>
      </c>
      <c r="P27" s="529">
        <v>147222</v>
      </c>
      <c r="Q27" s="529">
        <v>4263</v>
      </c>
      <c r="R27" s="529">
        <v>3159</v>
      </c>
      <c r="S27" s="532">
        <v>1227615</v>
      </c>
      <c r="T27" s="532">
        <v>975814</v>
      </c>
      <c r="U27" s="533">
        <v>251801</v>
      </c>
      <c r="V27" s="543" t="s">
        <v>453</v>
      </c>
      <c r="W27" s="53"/>
      <c r="X27" s="193" t="s">
        <v>224</v>
      </c>
    </row>
    <row r="28" spans="1:24" s="643" customFormat="1" ht="21" customHeight="1" x14ac:dyDescent="0.15">
      <c r="A28" s="94"/>
      <c r="B28" s="619" t="s">
        <v>235</v>
      </c>
      <c r="C28" s="619" t="s">
        <v>235</v>
      </c>
      <c r="D28" s="619" t="s">
        <v>672</v>
      </c>
      <c r="E28" s="627"/>
      <c r="F28" s="529">
        <v>13649471</v>
      </c>
      <c r="G28" s="529">
        <v>4426604</v>
      </c>
      <c r="H28" s="529">
        <v>2994124</v>
      </c>
      <c r="I28" s="529">
        <v>399834</v>
      </c>
      <c r="J28" s="529">
        <v>597081</v>
      </c>
      <c r="K28" s="529">
        <v>3440538</v>
      </c>
      <c r="L28" s="529">
        <v>1791290</v>
      </c>
      <c r="M28" s="529">
        <v>1094212</v>
      </c>
      <c r="N28" s="529">
        <v>697078</v>
      </c>
      <c r="O28" s="529">
        <v>176536</v>
      </c>
      <c r="P28" s="529">
        <v>154914</v>
      </c>
      <c r="Q28" s="529">
        <v>4880</v>
      </c>
      <c r="R28" s="529">
        <v>2874</v>
      </c>
      <c r="S28" s="532">
        <v>1241160</v>
      </c>
      <c r="T28" s="532">
        <v>1027224</v>
      </c>
      <c r="U28" s="533">
        <v>213936</v>
      </c>
      <c r="V28" s="543" t="s">
        <v>806</v>
      </c>
      <c r="W28" s="53"/>
      <c r="X28" s="193"/>
    </row>
    <row r="29" spans="1:24" s="643" customFormat="1" ht="21" customHeight="1" x14ac:dyDescent="0.15">
      <c r="A29" s="94"/>
      <c r="B29" s="619" t="s">
        <v>235</v>
      </c>
      <c r="C29" s="619" t="s">
        <v>235</v>
      </c>
      <c r="D29" s="619" t="s">
        <v>673</v>
      </c>
      <c r="E29" s="627"/>
      <c r="F29" s="529">
        <v>14415751</v>
      </c>
      <c r="G29" s="529">
        <v>5016549</v>
      </c>
      <c r="H29" s="529">
        <v>3214741</v>
      </c>
      <c r="I29" s="529">
        <v>432231</v>
      </c>
      <c r="J29" s="529">
        <v>459215</v>
      </c>
      <c r="K29" s="529">
        <v>3521088</v>
      </c>
      <c r="L29" s="529">
        <v>1771927</v>
      </c>
      <c r="M29" s="529">
        <v>1031491</v>
      </c>
      <c r="N29" s="529">
        <v>740436</v>
      </c>
      <c r="O29" s="529">
        <v>173083</v>
      </c>
      <c r="P29" s="529">
        <v>190565</v>
      </c>
      <c r="Q29" s="529">
        <v>4598</v>
      </c>
      <c r="R29" s="529">
        <v>4518</v>
      </c>
      <c r="S29" s="532">
        <v>1265126</v>
      </c>
      <c r="T29" s="532">
        <v>989523</v>
      </c>
      <c r="U29" s="533">
        <v>275603</v>
      </c>
      <c r="V29" s="543" t="s">
        <v>807</v>
      </c>
      <c r="W29" s="53"/>
      <c r="X29" s="193" t="s">
        <v>224</v>
      </c>
    </row>
    <row r="30" spans="1:24" s="643" customFormat="1" ht="21" customHeight="1" x14ac:dyDescent="0.15">
      <c r="A30" s="94"/>
      <c r="B30" s="619" t="s">
        <v>235</v>
      </c>
      <c r="C30" s="619" t="s">
        <v>235</v>
      </c>
      <c r="D30" s="619" t="s">
        <v>674</v>
      </c>
      <c r="E30" s="627"/>
      <c r="F30" s="529">
        <v>14989814</v>
      </c>
      <c r="G30" s="529">
        <v>5261143</v>
      </c>
      <c r="H30" s="529">
        <v>3691538</v>
      </c>
      <c r="I30" s="529">
        <v>431156</v>
      </c>
      <c r="J30" s="529">
        <v>494454</v>
      </c>
      <c r="K30" s="529">
        <v>3415394</v>
      </c>
      <c r="L30" s="529">
        <v>1696129</v>
      </c>
      <c r="M30" s="529">
        <v>1017340</v>
      </c>
      <c r="N30" s="529">
        <v>678789</v>
      </c>
      <c r="O30" s="529">
        <v>165034</v>
      </c>
      <c r="P30" s="529">
        <v>182022</v>
      </c>
      <c r="Q30" s="529">
        <v>4270</v>
      </c>
      <c r="R30" s="529">
        <v>3456</v>
      </c>
      <c r="S30" s="532">
        <v>1240188</v>
      </c>
      <c r="T30" s="532">
        <v>985127</v>
      </c>
      <c r="U30" s="533">
        <v>255061</v>
      </c>
      <c r="V30" s="543" t="s">
        <v>808</v>
      </c>
      <c r="W30" s="53"/>
      <c r="X30" s="193"/>
    </row>
    <row r="31" spans="1:24" s="643" customFormat="1" ht="21" customHeight="1" x14ac:dyDescent="0.15">
      <c r="A31" s="94"/>
      <c r="B31" s="619" t="s">
        <v>235</v>
      </c>
      <c r="C31" s="619" t="s">
        <v>235</v>
      </c>
      <c r="D31" s="619" t="s">
        <v>675</v>
      </c>
      <c r="E31" s="627"/>
      <c r="F31" s="529">
        <v>14318027</v>
      </c>
      <c r="G31" s="529">
        <v>4716244</v>
      </c>
      <c r="H31" s="529">
        <v>3340253</v>
      </c>
      <c r="I31" s="529">
        <v>433241</v>
      </c>
      <c r="J31" s="529">
        <v>574146</v>
      </c>
      <c r="K31" s="529">
        <v>3546187</v>
      </c>
      <c r="L31" s="529">
        <v>1707956</v>
      </c>
      <c r="M31" s="529">
        <v>980276</v>
      </c>
      <c r="N31" s="529">
        <v>727680</v>
      </c>
      <c r="O31" s="529">
        <v>186551</v>
      </c>
      <c r="P31" s="529">
        <v>186191</v>
      </c>
      <c r="Q31" s="529">
        <v>4615</v>
      </c>
      <c r="R31" s="529">
        <v>3840</v>
      </c>
      <c r="S31" s="532">
        <v>1107758</v>
      </c>
      <c r="T31" s="532">
        <v>857297</v>
      </c>
      <c r="U31" s="533">
        <v>250461</v>
      </c>
      <c r="V31" s="543" t="s">
        <v>809</v>
      </c>
      <c r="W31" s="53"/>
      <c r="X31" s="193" t="s">
        <v>224</v>
      </c>
    </row>
    <row r="32" spans="1:24" s="643" customFormat="1" ht="21" customHeight="1" x14ac:dyDescent="0.15">
      <c r="A32" s="94"/>
      <c r="B32" s="619" t="s">
        <v>235</v>
      </c>
      <c r="C32" s="619" t="s">
        <v>235</v>
      </c>
      <c r="D32" s="628" t="s">
        <v>886</v>
      </c>
      <c r="E32" s="627"/>
      <c r="F32" s="529">
        <v>15022282</v>
      </c>
      <c r="G32" s="529">
        <v>4627714</v>
      </c>
      <c r="H32" s="529">
        <v>3372845</v>
      </c>
      <c r="I32" s="529">
        <v>433206</v>
      </c>
      <c r="J32" s="529">
        <v>1114791</v>
      </c>
      <c r="K32" s="529">
        <v>3595014</v>
      </c>
      <c r="L32" s="529">
        <v>1878712</v>
      </c>
      <c r="M32" s="529">
        <v>1132023</v>
      </c>
      <c r="N32" s="529">
        <v>746689</v>
      </c>
      <c r="O32" s="529">
        <v>178099</v>
      </c>
      <c r="P32" s="529">
        <v>182347</v>
      </c>
      <c r="Q32" s="529">
        <v>4707</v>
      </c>
      <c r="R32" s="529">
        <v>4934</v>
      </c>
      <c r="S32" s="532">
        <v>1248427</v>
      </c>
      <c r="T32" s="532">
        <v>975918</v>
      </c>
      <c r="U32" s="533">
        <v>272509</v>
      </c>
      <c r="V32" s="543" t="s">
        <v>811</v>
      </c>
      <c r="W32" s="53"/>
      <c r="X32" s="193"/>
    </row>
    <row r="33" spans="1:24" s="643" customFormat="1" ht="21" customHeight="1" x14ac:dyDescent="0.15">
      <c r="A33" s="94"/>
      <c r="B33" s="619" t="s">
        <v>235</v>
      </c>
      <c r="C33" s="619" t="s">
        <v>235</v>
      </c>
      <c r="D33" s="628" t="s">
        <v>887</v>
      </c>
      <c r="E33" s="627"/>
      <c r="F33" s="529">
        <v>15577300</v>
      </c>
      <c r="G33" s="529">
        <v>4457054</v>
      </c>
      <c r="H33" s="529">
        <v>3608309</v>
      </c>
      <c r="I33" s="529">
        <v>406100</v>
      </c>
      <c r="J33" s="529">
        <v>1654324</v>
      </c>
      <c r="K33" s="529">
        <v>3514382</v>
      </c>
      <c r="L33" s="529">
        <v>1937131</v>
      </c>
      <c r="M33" s="529">
        <v>1228962</v>
      </c>
      <c r="N33" s="529">
        <v>708169</v>
      </c>
      <c r="O33" s="529">
        <v>176977</v>
      </c>
      <c r="P33" s="529">
        <v>169343</v>
      </c>
      <c r="Q33" s="529">
        <v>4435</v>
      </c>
      <c r="R33" s="529">
        <v>3197</v>
      </c>
      <c r="S33" s="532">
        <v>1451443</v>
      </c>
      <c r="T33" s="532">
        <v>1205732</v>
      </c>
      <c r="U33" s="533">
        <v>245711</v>
      </c>
      <c r="V33" s="543" t="s">
        <v>813</v>
      </c>
      <c r="W33" s="53"/>
      <c r="X33" s="193"/>
    </row>
    <row r="34" spans="1:24" s="643" customFormat="1" ht="21" customHeight="1" x14ac:dyDescent="0.15">
      <c r="A34" s="94"/>
      <c r="B34" s="619" t="s">
        <v>235</v>
      </c>
      <c r="C34" s="619" t="s">
        <v>235</v>
      </c>
      <c r="D34" s="628" t="s">
        <v>888</v>
      </c>
      <c r="E34" s="627"/>
      <c r="F34" s="529">
        <v>17712765</v>
      </c>
      <c r="G34" s="529">
        <v>4943985</v>
      </c>
      <c r="H34" s="529">
        <v>3544165</v>
      </c>
      <c r="I34" s="529">
        <v>417285</v>
      </c>
      <c r="J34" s="529">
        <v>2828217</v>
      </c>
      <c r="K34" s="529">
        <v>3606463</v>
      </c>
      <c r="L34" s="529">
        <v>2372650</v>
      </c>
      <c r="M34" s="529">
        <v>1509147</v>
      </c>
      <c r="N34" s="529">
        <v>863503</v>
      </c>
      <c r="O34" s="529">
        <v>175944</v>
      </c>
      <c r="P34" s="529">
        <v>173836</v>
      </c>
      <c r="Q34" s="529">
        <v>4233</v>
      </c>
      <c r="R34" s="529">
        <v>3885</v>
      </c>
      <c r="S34" s="532">
        <v>1673807</v>
      </c>
      <c r="T34" s="532">
        <v>1429596</v>
      </c>
      <c r="U34" s="533">
        <v>244211</v>
      </c>
      <c r="V34" s="543" t="s">
        <v>815</v>
      </c>
      <c r="W34" s="53"/>
      <c r="X34" s="193" t="s">
        <v>224</v>
      </c>
    </row>
    <row r="35" spans="1:24" s="643" customFormat="1" ht="19.5" customHeight="1" x14ac:dyDescent="0.15">
      <c r="A35" s="94"/>
      <c r="B35" s="619"/>
      <c r="C35" s="619"/>
      <c r="D35" s="619"/>
      <c r="E35" s="627"/>
      <c r="F35" s="529"/>
      <c r="G35" s="540"/>
      <c r="H35" s="540"/>
      <c r="I35" s="540"/>
      <c r="J35" s="529"/>
      <c r="K35" s="529"/>
      <c r="L35" s="529"/>
      <c r="M35" s="529"/>
      <c r="N35" s="529"/>
      <c r="O35" s="529"/>
      <c r="P35" s="529"/>
      <c r="Q35" s="529"/>
      <c r="R35" s="529"/>
      <c r="S35" s="532"/>
      <c r="T35" s="532"/>
      <c r="U35" s="533"/>
      <c r="V35" s="544"/>
      <c r="W35" s="53"/>
      <c r="X35" s="193"/>
    </row>
    <row r="36" spans="1:24" s="643" customFormat="1" ht="21" customHeight="1" x14ac:dyDescent="0.15">
      <c r="A36" s="94"/>
      <c r="B36" s="619" t="s">
        <v>790</v>
      </c>
      <c r="C36" s="619" t="s">
        <v>1033</v>
      </c>
      <c r="D36" s="619" t="s">
        <v>676</v>
      </c>
      <c r="E36" s="627"/>
      <c r="F36" s="529">
        <v>15940779</v>
      </c>
      <c r="G36" s="529">
        <v>4213209</v>
      </c>
      <c r="H36" s="529">
        <v>3464675</v>
      </c>
      <c r="I36" s="529">
        <v>400357</v>
      </c>
      <c r="J36" s="529">
        <v>2731853</v>
      </c>
      <c r="K36" s="529">
        <v>3005744</v>
      </c>
      <c r="L36" s="529">
        <v>2124941</v>
      </c>
      <c r="M36" s="529">
        <v>1362978</v>
      </c>
      <c r="N36" s="529">
        <v>761963</v>
      </c>
      <c r="O36" s="529">
        <v>149271</v>
      </c>
      <c r="P36" s="529">
        <v>169555</v>
      </c>
      <c r="Q36" s="529">
        <v>3905</v>
      </c>
      <c r="R36" s="529">
        <v>4824</v>
      </c>
      <c r="S36" s="532">
        <v>1749896</v>
      </c>
      <c r="T36" s="532">
        <v>1508515</v>
      </c>
      <c r="U36" s="533">
        <v>241381</v>
      </c>
      <c r="V36" s="542" t="s">
        <v>1035</v>
      </c>
      <c r="W36" s="53"/>
      <c r="X36" s="193" t="s">
        <v>224</v>
      </c>
    </row>
    <row r="37" spans="1:24" s="643" customFormat="1" ht="21" customHeight="1" x14ac:dyDescent="0.15">
      <c r="A37" s="94"/>
      <c r="B37" s="619" t="s">
        <v>235</v>
      </c>
      <c r="C37" s="619" t="s">
        <v>235</v>
      </c>
      <c r="D37" s="619" t="s">
        <v>668</v>
      </c>
      <c r="E37" s="627"/>
      <c r="F37" s="529">
        <v>16019084</v>
      </c>
      <c r="G37" s="529">
        <v>4168060</v>
      </c>
      <c r="H37" s="529">
        <v>3606918</v>
      </c>
      <c r="I37" s="529">
        <v>392509</v>
      </c>
      <c r="J37" s="529">
        <v>2476410</v>
      </c>
      <c r="K37" s="529">
        <v>3224820</v>
      </c>
      <c r="L37" s="529">
        <v>2150367</v>
      </c>
      <c r="M37" s="529">
        <v>1392376</v>
      </c>
      <c r="N37" s="529">
        <v>757991</v>
      </c>
      <c r="O37" s="529">
        <v>165431</v>
      </c>
      <c r="P37" s="529">
        <v>196896</v>
      </c>
      <c r="Q37" s="529">
        <v>4349</v>
      </c>
      <c r="R37" s="529">
        <v>3115</v>
      </c>
      <c r="S37" s="532">
        <v>1534326</v>
      </c>
      <c r="T37" s="532">
        <v>1329956</v>
      </c>
      <c r="U37" s="533">
        <v>204370</v>
      </c>
      <c r="V37" s="543" t="s">
        <v>802</v>
      </c>
      <c r="W37" s="53"/>
      <c r="X37" s="193"/>
    </row>
    <row r="38" spans="1:24" s="643" customFormat="1" ht="21" customHeight="1" x14ac:dyDescent="0.15">
      <c r="A38" s="94"/>
      <c r="B38" s="629" t="s">
        <v>235</v>
      </c>
      <c r="C38" s="629" t="s">
        <v>235</v>
      </c>
      <c r="D38" s="630" t="s">
        <v>677</v>
      </c>
      <c r="E38" s="631"/>
      <c r="F38" s="545">
        <v>16150605</v>
      </c>
      <c r="G38" s="546">
        <v>4654651</v>
      </c>
      <c r="H38" s="546">
        <v>3196369</v>
      </c>
      <c r="I38" s="546">
        <v>418425</v>
      </c>
      <c r="J38" s="546">
        <v>2252125</v>
      </c>
      <c r="K38" s="546">
        <v>3504105</v>
      </c>
      <c r="L38" s="546">
        <v>2124930</v>
      </c>
      <c r="M38" s="546">
        <v>1404962</v>
      </c>
      <c r="N38" s="546">
        <v>719968</v>
      </c>
      <c r="O38" s="546">
        <v>177247</v>
      </c>
      <c r="P38" s="546">
        <v>199660</v>
      </c>
      <c r="Q38" s="546">
        <v>4610</v>
      </c>
      <c r="R38" s="546">
        <v>2954</v>
      </c>
      <c r="S38" s="547">
        <v>1588363</v>
      </c>
      <c r="T38" s="547">
        <v>1382342</v>
      </c>
      <c r="U38" s="548">
        <v>206021</v>
      </c>
      <c r="V38" s="549" t="s">
        <v>803</v>
      </c>
      <c r="W38" s="53"/>
      <c r="X38" s="193" t="s">
        <v>224</v>
      </c>
    </row>
    <row r="39" spans="1:24" s="521" customFormat="1" ht="21" customHeight="1" x14ac:dyDescent="0.15">
      <c r="A39" s="639"/>
      <c r="B39" s="99" t="s">
        <v>548</v>
      </c>
      <c r="C39" s="68"/>
      <c r="D39" s="693"/>
      <c r="E39" s="90"/>
      <c r="F39" s="192"/>
      <c r="G39" s="192"/>
      <c r="H39" s="192"/>
      <c r="I39" s="99"/>
      <c r="J39" s="99"/>
      <c r="K39" s="99"/>
      <c r="L39" s="99"/>
      <c r="M39" s="99"/>
      <c r="N39" s="99"/>
      <c r="O39" s="100" t="s">
        <v>609</v>
      </c>
      <c r="P39" s="99"/>
      <c r="Q39" s="99"/>
      <c r="R39" s="99"/>
      <c r="S39" s="99"/>
      <c r="T39" s="99"/>
      <c r="U39" s="99"/>
      <c r="V39" s="191"/>
      <c r="W39" s="639"/>
    </row>
    <row r="40" spans="1:24" ht="21" customHeight="1" x14ac:dyDescent="0.15">
      <c r="B40" s="99" t="s">
        <v>552</v>
      </c>
      <c r="D40" s="306"/>
    </row>
  </sheetData>
  <mergeCells count="2">
    <mergeCell ref="V4:V7"/>
    <mergeCell ref="B5:E5"/>
  </mergeCells>
  <phoneticPr fontId="33"/>
  <pageMargins left="0.59055118110236227" right="0.59055118110236227" top="0.59055118110236227" bottom="0.59055118110236227" header="0.59055118110236227" footer="0.15748031496062992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W225"/>
  <sheetViews>
    <sheetView view="pageBreakPreview" zoomScaleNormal="110" zoomScaleSheetLayoutView="100" workbookViewId="0">
      <selection activeCell="A2" sqref="A2"/>
    </sheetView>
  </sheetViews>
  <sheetFormatPr defaultRowHeight="10.5" x14ac:dyDescent="0.15"/>
  <cols>
    <col min="1" max="1" width="2.875" style="322" customWidth="1"/>
    <col min="2" max="2" width="3.375" style="322" customWidth="1"/>
    <col min="3" max="3" width="6.125" style="322" customWidth="1"/>
    <col min="4" max="4" width="4.5" style="322" customWidth="1"/>
    <col min="5" max="6" width="9.25" style="322" customWidth="1"/>
    <col min="7" max="21" width="8" style="322" customWidth="1"/>
    <col min="22" max="22" width="4.75" style="322" customWidth="1"/>
    <col min="23" max="23" width="20.75" style="322" customWidth="1"/>
    <col min="24" max="24" width="6.625" style="322" customWidth="1"/>
    <col min="25" max="25" width="7.5" style="322" customWidth="1"/>
    <col min="26" max="26" width="2.5" style="322" customWidth="1"/>
    <col min="27" max="27" width="1.125" style="323" customWidth="1"/>
    <col min="28" max="36" width="9" style="322"/>
    <col min="37" max="16384" width="9" style="321"/>
  </cols>
  <sheetData>
    <row r="1" spans="1:205" s="368" customFormat="1" ht="13.5" customHeight="1" x14ac:dyDescent="0.15">
      <c r="A1" s="369"/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71"/>
      <c r="AA1" s="370"/>
      <c r="AB1" s="369"/>
      <c r="AC1" s="369"/>
      <c r="AD1" s="369"/>
      <c r="AE1" s="369"/>
      <c r="AF1" s="369"/>
      <c r="AG1" s="369"/>
      <c r="AH1" s="369"/>
      <c r="AI1" s="369"/>
      <c r="AJ1" s="369"/>
    </row>
    <row r="2" spans="1:205" s="368" customFormat="1" ht="21" customHeight="1" x14ac:dyDescent="0.15">
      <c r="A2" s="366"/>
      <c r="B2" s="366" t="s">
        <v>357</v>
      </c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70"/>
      <c r="AB2" s="369"/>
      <c r="AC2" s="369"/>
    </row>
    <row r="3" spans="1:205" ht="18" customHeight="1" x14ac:dyDescent="0.15">
      <c r="A3" s="322" t="s">
        <v>214</v>
      </c>
      <c r="B3" s="367" t="s">
        <v>702</v>
      </c>
      <c r="C3" s="366"/>
      <c r="J3" s="365"/>
      <c r="U3" s="363" t="s">
        <v>703</v>
      </c>
      <c r="Y3" s="364"/>
      <c r="Z3" s="363"/>
      <c r="AD3" s="321"/>
      <c r="AE3" s="321"/>
      <c r="AF3" s="321"/>
      <c r="AG3" s="321"/>
      <c r="AH3" s="321"/>
      <c r="AI3" s="321"/>
      <c r="AJ3" s="321"/>
      <c r="EY3" s="322"/>
      <c r="EZ3" s="322"/>
      <c r="FA3" s="322"/>
      <c r="FB3" s="322"/>
      <c r="FC3" s="322"/>
      <c r="FD3" s="322"/>
      <c r="FE3" s="322"/>
      <c r="FF3" s="322"/>
      <c r="FG3" s="322"/>
      <c r="FH3" s="322"/>
      <c r="FI3" s="322"/>
      <c r="FJ3" s="322"/>
      <c r="FK3" s="322"/>
      <c r="FL3" s="322"/>
      <c r="FM3" s="322"/>
      <c r="FN3" s="322"/>
      <c r="FO3" s="322"/>
      <c r="FP3" s="322"/>
      <c r="FQ3" s="322"/>
      <c r="FR3" s="322"/>
      <c r="FS3" s="322"/>
      <c r="FT3" s="322"/>
      <c r="FU3" s="322"/>
      <c r="FV3" s="322"/>
      <c r="FW3" s="322"/>
      <c r="FX3" s="322"/>
      <c r="FY3" s="322"/>
      <c r="FZ3" s="322"/>
      <c r="GA3" s="322"/>
      <c r="GB3" s="322"/>
      <c r="GC3" s="322"/>
      <c r="GD3" s="322"/>
      <c r="GE3" s="322"/>
      <c r="GF3" s="322"/>
      <c r="GG3" s="322"/>
      <c r="GH3" s="322"/>
      <c r="GI3" s="322"/>
      <c r="GJ3" s="322"/>
      <c r="GK3" s="322"/>
      <c r="GL3" s="322"/>
      <c r="GM3" s="322"/>
      <c r="GN3" s="322"/>
      <c r="GO3" s="322"/>
      <c r="GP3" s="322"/>
      <c r="GQ3" s="322"/>
      <c r="GR3" s="322"/>
      <c r="GS3" s="322"/>
      <c r="GT3" s="322"/>
      <c r="GU3" s="322"/>
      <c r="GV3" s="322"/>
      <c r="GW3" s="322"/>
    </row>
    <row r="4" spans="1:205" s="26" customFormat="1" ht="20.25" customHeight="1" x14ac:dyDescent="0.15">
      <c r="A4" s="23"/>
      <c r="B4" s="1069" t="s">
        <v>561</v>
      </c>
      <c r="C4" s="1069"/>
      <c r="D4" s="1069"/>
      <c r="E4" s="1069"/>
      <c r="F4" s="550">
        <v>44927</v>
      </c>
      <c r="G4" s="362">
        <v>44927</v>
      </c>
      <c r="H4" s="362">
        <v>44958</v>
      </c>
      <c r="I4" s="362">
        <v>44986</v>
      </c>
      <c r="J4" s="362">
        <v>45017</v>
      </c>
      <c r="K4" s="362">
        <v>45047</v>
      </c>
      <c r="L4" s="362">
        <v>45078</v>
      </c>
      <c r="M4" s="362">
        <v>45108</v>
      </c>
      <c r="N4" s="362">
        <v>45139</v>
      </c>
      <c r="O4" s="362">
        <v>45170</v>
      </c>
      <c r="P4" s="362">
        <v>45200</v>
      </c>
      <c r="Q4" s="362">
        <v>45231</v>
      </c>
      <c r="R4" s="362">
        <v>45261</v>
      </c>
      <c r="S4" s="551">
        <v>45292</v>
      </c>
      <c r="T4" s="362">
        <v>45323</v>
      </c>
      <c r="U4" s="362">
        <v>45352</v>
      </c>
      <c r="V4" s="1071" t="s">
        <v>226</v>
      </c>
      <c r="W4" s="1072"/>
      <c r="X4" s="1072"/>
      <c r="Y4" s="1072"/>
      <c r="Z4" s="356"/>
      <c r="AA4" s="335"/>
      <c r="AB4" s="335"/>
      <c r="EX4" s="361"/>
      <c r="EY4" s="335"/>
      <c r="EZ4" s="335"/>
      <c r="FA4" s="335"/>
      <c r="FB4" s="335"/>
      <c r="FW4" s="361"/>
      <c r="FX4" s="335"/>
      <c r="FY4" s="335"/>
      <c r="FZ4" s="335"/>
      <c r="GA4" s="335"/>
    </row>
    <row r="5" spans="1:205" s="26" customFormat="1" ht="20.25" customHeight="1" x14ac:dyDescent="0.15">
      <c r="A5" s="335"/>
      <c r="B5" s="1070"/>
      <c r="C5" s="1070"/>
      <c r="D5" s="1070"/>
      <c r="E5" s="1070"/>
      <c r="F5" s="360">
        <v>44927</v>
      </c>
      <c r="G5" s="358">
        <v>44927</v>
      </c>
      <c r="H5" s="357">
        <v>44958</v>
      </c>
      <c r="I5" s="357">
        <v>44986</v>
      </c>
      <c r="J5" s="357">
        <v>45017</v>
      </c>
      <c r="K5" s="359">
        <v>45047</v>
      </c>
      <c r="L5" s="357">
        <v>45078</v>
      </c>
      <c r="M5" s="357">
        <v>45108</v>
      </c>
      <c r="N5" s="357">
        <v>45139</v>
      </c>
      <c r="O5" s="357">
        <v>45170</v>
      </c>
      <c r="P5" s="357">
        <v>45200</v>
      </c>
      <c r="Q5" s="357">
        <v>45231</v>
      </c>
      <c r="R5" s="357">
        <v>45261</v>
      </c>
      <c r="S5" s="358">
        <v>45292</v>
      </c>
      <c r="T5" s="357">
        <v>45323</v>
      </c>
      <c r="U5" s="357">
        <v>45352</v>
      </c>
      <c r="V5" s="1073"/>
      <c r="W5" s="1074"/>
      <c r="X5" s="1074"/>
      <c r="Y5" s="1074"/>
      <c r="Z5" s="356"/>
      <c r="AA5" s="335"/>
      <c r="AB5" s="335"/>
      <c r="EX5" s="1075"/>
      <c r="EY5" s="1075"/>
      <c r="EZ5" s="1075"/>
      <c r="FA5" s="335"/>
      <c r="FB5" s="335"/>
      <c r="FC5" s="335"/>
      <c r="FD5" s="335"/>
      <c r="FE5" s="335"/>
      <c r="FF5" s="335"/>
      <c r="FG5" s="335"/>
      <c r="FH5" s="335"/>
      <c r="FI5" s="335"/>
      <c r="FJ5" s="335"/>
      <c r="FK5" s="335"/>
      <c r="FL5" s="335"/>
      <c r="FM5" s="335"/>
      <c r="FN5" s="335"/>
      <c r="FO5" s="335"/>
      <c r="FP5" s="335"/>
      <c r="FQ5" s="335"/>
      <c r="FR5" s="335"/>
      <c r="FS5" s="335"/>
      <c r="FT5" s="335"/>
      <c r="FU5" s="335"/>
      <c r="FW5" s="1075"/>
      <c r="FX5" s="1075"/>
      <c r="FY5" s="1075"/>
      <c r="FZ5" s="335"/>
      <c r="GA5" s="335"/>
      <c r="GB5" s="335"/>
      <c r="GC5" s="335"/>
      <c r="GD5" s="335"/>
      <c r="GE5" s="335"/>
      <c r="GF5" s="335"/>
      <c r="GG5" s="335"/>
      <c r="GH5" s="335"/>
      <c r="GI5" s="335"/>
      <c r="GJ5" s="335"/>
      <c r="GK5" s="335"/>
      <c r="GL5" s="335"/>
      <c r="GM5" s="335"/>
      <c r="GN5" s="335"/>
      <c r="GO5" s="335"/>
      <c r="GP5" s="335"/>
      <c r="GQ5" s="335"/>
      <c r="GR5" s="335"/>
      <c r="GS5" s="335"/>
      <c r="GT5" s="335"/>
    </row>
    <row r="6" spans="1:205" s="26" customFormat="1" ht="20.25" customHeight="1" x14ac:dyDescent="0.15">
      <c r="A6" s="23"/>
      <c r="B6" s="355"/>
      <c r="C6" s="1076" t="s">
        <v>352</v>
      </c>
      <c r="D6" s="1079" t="s">
        <v>704</v>
      </c>
      <c r="E6" s="1080"/>
      <c r="F6" s="347">
        <v>55578101</v>
      </c>
      <c r="G6" s="347">
        <v>4339976</v>
      </c>
      <c r="H6" s="347">
        <v>4192550</v>
      </c>
      <c r="I6" s="347">
        <v>4651331</v>
      </c>
      <c r="J6" s="347">
        <v>4391153</v>
      </c>
      <c r="K6" s="347">
        <v>4553798</v>
      </c>
      <c r="L6" s="347">
        <v>4426604</v>
      </c>
      <c r="M6" s="347">
        <v>5016549</v>
      </c>
      <c r="N6" s="339">
        <v>5261143</v>
      </c>
      <c r="O6" s="347">
        <v>4716244</v>
      </c>
      <c r="P6" s="347">
        <v>4627714</v>
      </c>
      <c r="Q6" s="347">
        <v>4457054</v>
      </c>
      <c r="R6" s="347">
        <v>4943985</v>
      </c>
      <c r="S6" s="347">
        <v>4213209</v>
      </c>
      <c r="T6" s="347">
        <v>4168060</v>
      </c>
      <c r="U6" s="341">
        <v>4654651</v>
      </c>
      <c r="V6" s="1081" t="s">
        <v>705</v>
      </c>
      <c r="W6" s="1082"/>
      <c r="X6" s="342"/>
      <c r="Y6" s="354"/>
      <c r="Z6" s="720"/>
      <c r="AB6" s="335"/>
      <c r="EX6" s="711"/>
      <c r="EY6" s="335"/>
      <c r="EZ6" s="335"/>
      <c r="FA6" s="335"/>
      <c r="FB6" s="335"/>
      <c r="FC6" s="335"/>
      <c r="FD6" s="335"/>
      <c r="FE6" s="335"/>
      <c r="FF6" s="335"/>
      <c r="FG6" s="335"/>
      <c r="FH6" s="335"/>
      <c r="FI6" s="335"/>
      <c r="FJ6" s="335"/>
      <c r="FK6" s="335"/>
      <c r="FL6" s="335"/>
      <c r="FM6" s="335"/>
      <c r="FN6" s="335"/>
      <c r="FO6" s="335"/>
      <c r="FP6" s="335"/>
      <c r="FQ6" s="335"/>
      <c r="FR6" s="335"/>
      <c r="FS6" s="335"/>
      <c r="FT6" s="335"/>
      <c r="FU6" s="335"/>
      <c r="FW6" s="711"/>
      <c r="FX6" s="335"/>
      <c r="FY6" s="335"/>
      <c r="FZ6" s="335"/>
      <c r="GA6" s="335"/>
      <c r="GB6" s="335"/>
      <c r="GC6" s="335"/>
      <c r="GD6" s="335"/>
      <c r="GE6" s="335"/>
      <c r="GF6" s="335"/>
      <c r="GG6" s="335"/>
      <c r="GH6" s="335"/>
      <c r="GI6" s="335"/>
      <c r="GJ6" s="335"/>
      <c r="GK6" s="335"/>
      <c r="GL6" s="335"/>
      <c r="GM6" s="335"/>
      <c r="GN6" s="335"/>
      <c r="GO6" s="335"/>
      <c r="GP6" s="335"/>
      <c r="GQ6" s="335"/>
      <c r="GR6" s="335"/>
      <c r="GS6" s="335"/>
      <c r="GT6" s="335"/>
    </row>
    <row r="7" spans="1:205" s="26" customFormat="1" ht="20.25" customHeight="1" x14ac:dyDescent="0.15">
      <c r="B7" s="699" t="s">
        <v>706</v>
      </c>
      <c r="C7" s="1077"/>
      <c r="D7" s="1083" t="s">
        <v>707</v>
      </c>
      <c r="E7" s="1084"/>
      <c r="F7" s="334">
        <v>5033093</v>
      </c>
      <c r="G7" s="334">
        <v>398056</v>
      </c>
      <c r="H7" s="334">
        <v>372021</v>
      </c>
      <c r="I7" s="334">
        <v>442562</v>
      </c>
      <c r="J7" s="334">
        <v>397457</v>
      </c>
      <c r="K7" s="334">
        <v>420037</v>
      </c>
      <c r="L7" s="334">
        <v>388452</v>
      </c>
      <c r="M7" s="334">
        <v>433243</v>
      </c>
      <c r="N7" s="331">
        <v>473486</v>
      </c>
      <c r="O7" s="334">
        <v>408519</v>
      </c>
      <c r="P7" s="334">
        <v>439490</v>
      </c>
      <c r="Q7" s="334">
        <v>410727</v>
      </c>
      <c r="R7" s="334">
        <v>449043</v>
      </c>
      <c r="S7" s="334">
        <v>336401</v>
      </c>
      <c r="T7" s="334">
        <v>334262</v>
      </c>
      <c r="U7" s="333">
        <v>384963</v>
      </c>
      <c r="V7" s="335" t="s">
        <v>562</v>
      </c>
      <c r="W7" s="335"/>
      <c r="X7" s="1085" t="s">
        <v>708</v>
      </c>
      <c r="Y7" s="336"/>
      <c r="Z7" s="720"/>
      <c r="AA7" s="335"/>
      <c r="AB7" s="335"/>
      <c r="EY7" s="335"/>
      <c r="EZ7" s="335"/>
      <c r="FA7" s="335"/>
      <c r="FB7" s="335"/>
      <c r="FX7" s="335"/>
      <c r="FY7" s="335"/>
      <c r="FZ7" s="335"/>
      <c r="GA7" s="335"/>
    </row>
    <row r="8" spans="1:205" s="26" customFormat="1" ht="20.25" customHeight="1" x14ac:dyDescent="0.15">
      <c r="B8" s="338"/>
      <c r="C8" s="1077"/>
      <c r="D8" s="1083" t="s">
        <v>709</v>
      </c>
      <c r="E8" s="1084"/>
      <c r="F8" s="334">
        <v>50474323</v>
      </c>
      <c r="G8" s="334">
        <v>3937236</v>
      </c>
      <c r="H8" s="334">
        <v>3816301</v>
      </c>
      <c r="I8" s="334">
        <v>4202968</v>
      </c>
      <c r="J8" s="334">
        <v>3986576</v>
      </c>
      <c r="K8" s="334">
        <v>4127490</v>
      </c>
      <c r="L8" s="334">
        <v>4032180</v>
      </c>
      <c r="M8" s="334">
        <v>4577219</v>
      </c>
      <c r="N8" s="331">
        <v>4781784</v>
      </c>
      <c r="O8" s="334">
        <v>4300866</v>
      </c>
      <c r="P8" s="334">
        <v>4181864</v>
      </c>
      <c r="Q8" s="334">
        <v>4040349</v>
      </c>
      <c r="R8" s="334">
        <v>4489490</v>
      </c>
      <c r="S8" s="334">
        <v>3872772</v>
      </c>
      <c r="T8" s="334">
        <v>3829302</v>
      </c>
      <c r="U8" s="333">
        <v>4265220</v>
      </c>
      <c r="V8" s="335" t="s">
        <v>563</v>
      </c>
      <c r="W8" s="335"/>
      <c r="X8" s="1085"/>
      <c r="Y8" s="336"/>
      <c r="Z8" s="720"/>
      <c r="AA8" s="335"/>
      <c r="AB8" s="335"/>
      <c r="EY8" s="335"/>
      <c r="EZ8" s="335"/>
      <c r="FA8" s="335"/>
      <c r="FB8" s="335"/>
      <c r="FX8" s="335"/>
      <c r="FY8" s="335"/>
      <c r="FZ8" s="335"/>
      <c r="GA8" s="335"/>
    </row>
    <row r="9" spans="1:205" s="26" customFormat="1" ht="20.25" customHeight="1" x14ac:dyDescent="0.15">
      <c r="B9" s="703" t="s">
        <v>710</v>
      </c>
      <c r="C9" s="1077"/>
      <c r="D9" s="1083" t="s">
        <v>353</v>
      </c>
      <c r="E9" s="1084"/>
      <c r="F9" s="334">
        <v>70685</v>
      </c>
      <c r="G9" s="334">
        <v>4684</v>
      </c>
      <c r="H9" s="334">
        <v>4228</v>
      </c>
      <c r="I9" s="334">
        <v>5801</v>
      </c>
      <c r="J9" s="334">
        <v>7120</v>
      </c>
      <c r="K9" s="334">
        <v>6271</v>
      </c>
      <c r="L9" s="334">
        <v>5972</v>
      </c>
      <c r="M9" s="334">
        <v>6087</v>
      </c>
      <c r="N9" s="331">
        <v>5873</v>
      </c>
      <c r="O9" s="334">
        <v>6859</v>
      </c>
      <c r="P9" s="334">
        <v>6360</v>
      </c>
      <c r="Q9" s="334">
        <v>5978</v>
      </c>
      <c r="R9" s="334">
        <v>5452</v>
      </c>
      <c r="S9" s="334">
        <v>4036</v>
      </c>
      <c r="T9" s="334">
        <v>4496</v>
      </c>
      <c r="U9" s="333">
        <v>4468</v>
      </c>
      <c r="V9" s="335" t="s">
        <v>711</v>
      </c>
      <c r="W9" s="335"/>
      <c r="X9" s="337"/>
      <c r="Y9" s="1086" t="s">
        <v>712</v>
      </c>
      <c r="Z9" s="720"/>
      <c r="AA9" s="335"/>
      <c r="AB9" s="335"/>
      <c r="EY9" s="335"/>
      <c r="EZ9" s="335"/>
      <c r="FA9" s="335"/>
      <c r="FB9" s="335"/>
      <c r="FX9" s="335"/>
      <c r="FY9" s="335"/>
      <c r="FZ9" s="335"/>
      <c r="GA9" s="335"/>
    </row>
    <row r="10" spans="1:205" s="26" customFormat="1" ht="8.25" customHeight="1" x14ac:dyDescent="0.15">
      <c r="B10" s="703"/>
      <c r="C10" s="1078"/>
      <c r="D10" s="705"/>
      <c r="E10" s="706"/>
      <c r="F10" s="334"/>
      <c r="G10" s="334"/>
      <c r="H10" s="334"/>
      <c r="I10" s="334"/>
      <c r="J10" s="334"/>
      <c r="K10" s="334"/>
      <c r="L10" s="334"/>
      <c r="M10" s="334"/>
      <c r="N10" s="331"/>
      <c r="O10" s="334"/>
      <c r="P10" s="334"/>
      <c r="Q10" s="334"/>
      <c r="R10" s="334"/>
      <c r="S10" s="334"/>
      <c r="T10" s="334"/>
      <c r="U10" s="333"/>
      <c r="V10" s="349"/>
      <c r="W10" s="349"/>
      <c r="X10" s="352"/>
      <c r="Y10" s="1086"/>
      <c r="Z10" s="720"/>
      <c r="AA10" s="335"/>
      <c r="AB10" s="335"/>
      <c r="EY10" s="335"/>
      <c r="EZ10" s="335"/>
      <c r="FA10" s="335"/>
      <c r="FB10" s="335"/>
      <c r="FX10" s="335"/>
      <c r="FY10" s="335"/>
      <c r="FZ10" s="335"/>
      <c r="GA10" s="335"/>
    </row>
    <row r="11" spans="1:205" s="26" customFormat="1" ht="20.25" customHeight="1" x14ac:dyDescent="0.15">
      <c r="B11" s="699" t="s">
        <v>713</v>
      </c>
      <c r="C11" s="353"/>
      <c r="D11" s="1079" t="s">
        <v>704</v>
      </c>
      <c r="E11" s="1080"/>
      <c r="F11" s="701">
        <v>761577</v>
      </c>
      <c r="G11" s="701">
        <v>852701</v>
      </c>
      <c r="H11" s="701">
        <v>838068</v>
      </c>
      <c r="I11" s="701">
        <v>762191</v>
      </c>
      <c r="J11" s="701">
        <v>802665</v>
      </c>
      <c r="K11" s="701">
        <v>816935</v>
      </c>
      <c r="L11" s="701">
        <v>827132</v>
      </c>
      <c r="M11" s="701">
        <v>721034</v>
      </c>
      <c r="N11" s="342">
        <v>767095</v>
      </c>
      <c r="O11" s="701">
        <v>809558</v>
      </c>
      <c r="P11" s="701">
        <v>844426</v>
      </c>
      <c r="Q11" s="701">
        <v>832509</v>
      </c>
      <c r="R11" s="701">
        <v>761577</v>
      </c>
      <c r="S11" s="701">
        <v>835864</v>
      </c>
      <c r="T11" s="701">
        <v>806464</v>
      </c>
      <c r="U11" s="341">
        <v>738497</v>
      </c>
      <c r="V11" s="1081" t="s">
        <v>705</v>
      </c>
      <c r="W11" s="1082"/>
      <c r="X11" s="339"/>
      <c r="Y11" s="351"/>
      <c r="Z11" s="720"/>
      <c r="AA11" s="335"/>
      <c r="AB11" s="335"/>
      <c r="EY11" s="335"/>
      <c r="EZ11" s="335"/>
      <c r="FA11" s="335"/>
      <c r="FB11" s="335"/>
      <c r="FX11" s="335"/>
      <c r="FY11" s="335"/>
      <c r="FZ11" s="335"/>
      <c r="GA11" s="335"/>
    </row>
    <row r="12" spans="1:205" s="26" customFormat="1" ht="20.25" customHeight="1" x14ac:dyDescent="0.15">
      <c r="B12" s="338"/>
      <c r="C12" s="1087" t="s">
        <v>564</v>
      </c>
      <c r="D12" s="1083" t="s">
        <v>356</v>
      </c>
      <c r="E12" s="1084"/>
      <c r="F12" s="334">
        <v>124321</v>
      </c>
      <c r="G12" s="334">
        <v>142312</v>
      </c>
      <c r="H12" s="334">
        <v>137743</v>
      </c>
      <c r="I12" s="334">
        <v>124586</v>
      </c>
      <c r="J12" s="334">
        <v>115136</v>
      </c>
      <c r="K12" s="334">
        <v>120165</v>
      </c>
      <c r="L12" s="334">
        <v>122714</v>
      </c>
      <c r="M12" s="334">
        <v>118264</v>
      </c>
      <c r="N12" s="331">
        <v>113993</v>
      </c>
      <c r="O12" s="334">
        <v>122856</v>
      </c>
      <c r="P12" s="334">
        <v>123236</v>
      </c>
      <c r="Q12" s="334">
        <v>124722</v>
      </c>
      <c r="R12" s="334">
        <v>124321</v>
      </c>
      <c r="S12" s="334">
        <v>134150</v>
      </c>
      <c r="T12" s="334">
        <v>122607</v>
      </c>
      <c r="U12" s="333">
        <v>119600</v>
      </c>
      <c r="V12" s="335" t="s">
        <v>562</v>
      </c>
      <c r="W12" s="335"/>
      <c r="X12" s="1085" t="s">
        <v>714</v>
      </c>
      <c r="Y12" s="336"/>
      <c r="Z12" s="720"/>
      <c r="AA12" s="335"/>
      <c r="AB12" s="335"/>
      <c r="EY12" s="335"/>
      <c r="EZ12" s="335"/>
      <c r="FA12" s="335"/>
      <c r="FB12" s="335"/>
      <c r="FX12" s="335"/>
      <c r="FY12" s="335"/>
      <c r="FZ12" s="335"/>
      <c r="GA12" s="335"/>
    </row>
    <row r="13" spans="1:205" s="26" customFormat="1" ht="20.25" customHeight="1" x14ac:dyDescent="0.15">
      <c r="B13" s="703" t="s">
        <v>565</v>
      </c>
      <c r="C13" s="1088"/>
      <c r="D13" s="1083" t="s">
        <v>355</v>
      </c>
      <c r="E13" s="1084"/>
      <c r="F13" s="334">
        <v>626753</v>
      </c>
      <c r="G13" s="334">
        <v>706255</v>
      </c>
      <c r="H13" s="334">
        <v>694798</v>
      </c>
      <c r="I13" s="334">
        <v>633014</v>
      </c>
      <c r="J13" s="334">
        <v>682773</v>
      </c>
      <c r="K13" s="334">
        <v>691549</v>
      </c>
      <c r="L13" s="334">
        <v>699769</v>
      </c>
      <c r="M13" s="334">
        <v>597716</v>
      </c>
      <c r="N13" s="331">
        <v>648516</v>
      </c>
      <c r="O13" s="334">
        <v>681735</v>
      </c>
      <c r="P13" s="334">
        <v>715877</v>
      </c>
      <c r="Q13" s="334">
        <v>698410</v>
      </c>
      <c r="R13" s="334">
        <v>626753</v>
      </c>
      <c r="S13" s="334">
        <v>689854</v>
      </c>
      <c r="T13" s="334">
        <v>672387</v>
      </c>
      <c r="U13" s="333">
        <v>606820</v>
      </c>
      <c r="V13" s="335" t="s">
        <v>563</v>
      </c>
      <c r="W13" s="335"/>
      <c r="X13" s="1085"/>
      <c r="Y13" s="336"/>
      <c r="Z13" s="720"/>
      <c r="AA13" s="335"/>
      <c r="AB13" s="335"/>
      <c r="EY13" s="335"/>
      <c r="EZ13" s="335"/>
      <c r="FA13" s="335"/>
      <c r="FB13" s="335"/>
      <c r="FX13" s="335"/>
      <c r="FY13" s="335"/>
      <c r="FZ13" s="335"/>
      <c r="GA13" s="335"/>
    </row>
    <row r="14" spans="1:205" s="26" customFormat="1" ht="20.25" customHeight="1" x14ac:dyDescent="0.15">
      <c r="B14" s="338"/>
      <c r="C14" s="335"/>
      <c r="D14" s="1083" t="s">
        <v>353</v>
      </c>
      <c r="E14" s="1084"/>
      <c r="F14" s="334">
        <v>10503</v>
      </c>
      <c r="G14" s="334">
        <v>4134</v>
      </c>
      <c r="H14" s="334">
        <v>5527</v>
      </c>
      <c r="I14" s="334">
        <v>4591</v>
      </c>
      <c r="J14" s="334">
        <v>4756</v>
      </c>
      <c r="K14" s="334">
        <v>5221</v>
      </c>
      <c r="L14" s="334">
        <v>4649</v>
      </c>
      <c r="M14" s="334">
        <v>5054</v>
      </c>
      <c r="N14" s="331">
        <v>4586</v>
      </c>
      <c r="O14" s="334">
        <v>4967</v>
      </c>
      <c r="P14" s="334">
        <v>5313</v>
      </c>
      <c r="Q14" s="334">
        <v>9377</v>
      </c>
      <c r="R14" s="334">
        <v>10503</v>
      </c>
      <c r="S14" s="334">
        <v>11860</v>
      </c>
      <c r="T14" s="334">
        <v>11470</v>
      </c>
      <c r="U14" s="333">
        <v>12077</v>
      </c>
      <c r="V14" s="335" t="s">
        <v>711</v>
      </c>
      <c r="W14" s="335"/>
      <c r="X14" s="337"/>
      <c r="Y14" s="336"/>
      <c r="Z14" s="720"/>
      <c r="AA14" s="335"/>
      <c r="AB14" s="335"/>
      <c r="EY14" s="335"/>
      <c r="EZ14" s="335"/>
      <c r="FA14" s="335"/>
      <c r="FB14" s="335"/>
      <c r="FX14" s="335"/>
      <c r="FY14" s="335"/>
      <c r="FZ14" s="335"/>
      <c r="GA14" s="335"/>
    </row>
    <row r="15" spans="1:205" s="26" customFormat="1" ht="8.25" customHeight="1" x14ac:dyDescent="0.15">
      <c r="B15" s="350"/>
      <c r="C15" s="349"/>
      <c r="D15" s="705"/>
      <c r="E15" s="706"/>
      <c r="F15" s="632"/>
      <c r="G15" s="632"/>
      <c r="H15" s="632"/>
      <c r="I15" s="632"/>
      <c r="J15" s="632"/>
      <c r="K15" s="632"/>
      <c r="L15" s="632"/>
      <c r="M15" s="632"/>
      <c r="N15" s="328"/>
      <c r="O15" s="632"/>
      <c r="P15" s="632"/>
      <c r="Q15" s="632"/>
      <c r="R15" s="632"/>
      <c r="S15" s="632"/>
      <c r="T15" s="632"/>
      <c r="U15" s="330"/>
      <c r="V15" s="349"/>
      <c r="W15" s="349"/>
      <c r="X15" s="352"/>
      <c r="Y15" s="344"/>
      <c r="Z15" s="720"/>
      <c r="AA15" s="335"/>
      <c r="AB15" s="335"/>
      <c r="EY15" s="335"/>
      <c r="EZ15" s="335"/>
      <c r="FA15" s="335"/>
      <c r="FB15" s="335"/>
      <c r="FX15" s="335"/>
      <c r="FY15" s="335"/>
      <c r="FZ15" s="335"/>
      <c r="GA15" s="335"/>
    </row>
    <row r="16" spans="1:205" s="26" customFormat="1" ht="20.25" customHeight="1" x14ac:dyDescent="0.15">
      <c r="B16" s="348"/>
      <c r="C16" s="1089" t="s">
        <v>352</v>
      </c>
      <c r="D16" s="1091" t="s">
        <v>704</v>
      </c>
      <c r="E16" s="1092"/>
      <c r="F16" s="347">
        <v>41747570</v>
      </c>
      <c r="G16" s="347">
        <v>3978960</v>
      </c>
      <c r="H16" s="347">
        <v>3340494</v>
      </c>
      <c r="I16" s="347">
        <v>3921205</v>
      </c>
      <c r="J16" s="347">
        <v>3590625</v>
      </c>
      <c r="K16" s="347">
        <v>3150311</v>
      </c>
      <c r="L16" s="347">
        <v>2994124</v>
      </c>
      <c r="M16" s="347">
        <v>3214741</v>
      </c>
      <c r="N16" s="339">
        <v>3691538</v>
      </c>
      <c r="O16" s="347">
        <v>3340253</v>
      </c>
      <c r="P16" s="347">
        <v>3372845</v>
      </c>
      <c r="Q16" s="347">
        <v>3608309</v>
      </c>
      <c r="R16" s="347">
        <v>3544165</v>
      </c>
      <c r="S16" s="347">
        <v>3464675</v>
      </c>
      <c r="T16" s="347">
        <v>3606918</v>
      </c>
      <c r="U16" s="346">
        <v>3196369</v>
      </c>
      <c r="V16" s="1093" t="s">
        <v>705</v>
      </c>
      <c r="W16" s="1094"/>
      <c r="X16" s="339"/>
      <c r="Y16" s="345"/>
      <c r="Z16" s="720"/>
      <c r="AA16" s="335"/>
      <c r="AB16" s="335"/>
      <c r="EY16" s="335"/>
      <c r="EZ16" s="335"/>
      <c r="FA16" s="335"/>
      <c r="FB16" s="335"/>
      <c r="FX16" s="335"/>
      <c r="FY16" s="335"/>
      <c r="FZ16" s="335"/>
      <c r="GA16" s="335"/>
    </row>
    <row r="17" spans="2:183" s="26" customFormat="1" ht="20.25" customHeight="1" x14ac:dyDescent="0.15">
      <c r="B17" s="699" t="s">
        <v>715</v>
      </c>
      <c r="C17" s="1077"/>
      <c r="D17" s="1083" t="s">
        <v>716</v>
      </c>
      <c r="E17" s="1084"/>
      <c r="F17" s="334">
        <v>41720672</v>
      </c>
      <c r="G17" s="334">
        <v>3973538</v>
      </c>
      <c r="H17" s="334">
        <v>3339335</v>
      </c>
      <c r="I17" s="334">
        <v>3920364</v>
      </c>
      <c r="J17" s="334">
        <v>3587435</v>
      </c>
      <c r="K17" s="334">
        <v>3147916</v>
      </c>
      <c r="L17" s="334">
        <v>2993028</v>
      </c>
      <c r="M17" s="334">
        <v>3213845</v>
      </c>
      <c r="N17" s="331">
        <v>3689241</v>
      </c>
      <c r="O17" s="334">
        <v>3339129</v>
      </c>
      <c r="P17" s="334">
        <v>3369777</v>
      </c>
      <c r="Q17" s="334">
        <v>3606057</v>
      </c>
      <c r="R17" s="334">
        <v>3541007</v>
      </c>
      <c r="S17" s="334">
        <v>3461536</v>
      </c>
      <c r="T17" s="334">
        <v>3603767</v>
      </c>
      <c r="U17" s="333">
        <v>3193467</v>
      </c>
      <c r="V17" s="335" t="s">
        <v>717</v>
      </c>
      <c r="W17" s="335"/>
      <c r="X17" s="337" t="s">
        <v>708</v>
      </c>
      <c r="Y17" s="336"/>
      <c r="Z17" s="720"/>
      <c r="AA17" s="335"/>
      <c r="AB17" s="335"/>
      <c r="EY17" s="335"/>
      <c r="EZ17" s="335"/>
      <c r="FA17" s="335"/>
      <c r="FB17" s="335"/>
      <c r="FX17" s="335"/>
      <c r="FY17" s="335"/>
      <c r="FZ17" s="335"/>
      <c r="GA17" s="335"/>
    </row>
    <row r="18" spans="2:183" s="26" customFormat="1" ht="20.25" customHeight="1" x14ac:dyDescent="0.15">
      <c r="B18" s="699"/>
      <c r="C18" s="1077"/>
      <c r="D18" s="1083" t="s">
        <v>353</v>
      </c>
      <c r="E18" s="1084"/>
      <c r="F18" s="334">
        <v>26898</v>
      </c>
      <c r="G18" s="334">
        <v>5422</v>
      </c>
      <c r="H18" s="334">
        <v>1159</v>
      </c>
      <c r="I18" s="334">
        <v>841</v>
      </c>
      <c r="J18" s="334">
        <v>3190</v>
      </c>
      <c r="K18" s="334">
        <v>2395</v>
      </c>
      <c r="L18" s="334">
        <v>1096</v>
      </c>
      <c r="M18" s="334">
        <v>896</v>
      </c>
      <c r="N18" s="331">
        <v>2297</v>
      </c>
      <c r="O18" s="334">
        <v>1124</v>
      </c>
      <c r="P18" s="334">
        <v>3068</v>
      </c>
      <c r="Q18" s="334">
        <v>2252</v>
      </c>
      <c r="R18" s="334">
        <v>3158</v>
      </c>
      <c r="S18" s="334">
        <v>3139</v>
      </c>
      <c r="T18" s="334">
        <v>3151</v>
      </c>
      <c r="U18" s="333">
        <v>2902</v>
      </c>
      <c r="V18" s="335" t="s">
        <v>711</v>
      </c>
      <c r="W18" s="335"/>
      <c r="X18" s="331"/>
      <c r="Y18" s="1086" t="s">
        <v>718</v>
      </c>
      <c r="Z18" s="720"/>
      <c r="AA18" s="335"/>
      <c r="AB18" s="335"/>
      <c r="EY18" s="335"/>
      <c r="EZ18" s="335"/>
      <c r="FA18" s="335"/>
      <c r="FB18" s="335"/>
      <c r="FX18" s="335"/>
      <c r="FY18" s="335"/>
      <c r="FZ18" s="335"/>
      <c r="GA18" s="335"/>
    </row>
    <row r="19" spans="2:183" s="26" customFormat="1" ht="8.25" customHeight="1" x14ac:dyDescent="0.15">
      <c r="B19" s="1095" t="s">
        <v>719</v>
      </c>
      <c r="C19" s="1090"/>
      <c r="D19" s="705"/>
      <c r="E19" s="706"/>
      <c r="F19" s="334"/>
      <c r="G19" s="334"/>
      <c r="H19" s="334"/>
      <c r="I19" s="334"/>
      <c r="J19" s="334"/>
      <c r="K19" s="334"/>
      <c r="L19" s="334"/>
      <c r="M19" s="334"/>
      <c r="N19" s="331"/>
      <c r="O19" s="334"/>
      <c r="P19" s="334"/>
      <c r="Q19" s="334"/>
      <c r="R19" s="334"/>
      <c r="S19" s="334"/>
      <c r="T19" s="334"/>
      <c r="U19" s="333"/>
      <c r="V19" s="349"/>
      <c r="W19" s="349"/>
      <c r="X19" s="328"/>
      <c r="Y19" s="1086"/>
      <c r="Z19" s="720"/>
      <c r="AA19" s="335"/>
      <c r="AB19" s="335"/>
      <c r="EY19" s="335"/>
      <c r="EZ19" s="335"/>
      <c r="FA19" s="335"/>
      <c r="FB19" s="335"/>
      <c r="FX19" s="335"/>
      <c r="FY19" s="335"/>
      <c r="FZ19" s="335"/>
      <c r="GA19" s="335"/>
    </row>
    <row r="20" spans="2:183" s="26" customFormat="1" ht="20.25" customHeight="1" x14ac:dyDescent="0.15">
      <c r="B20" s="1096"/>
      <c r="C20" s="1097" t="s">
        <v>564</v>
      </c>
      <c r="D20" s="1079" t="s">
        <v>704</v>
      </c>
      <c r="E20" s="1080"/>
      <c r="F20" s="701">
        <v>385866</v>
      </c>
      <c r="G20" s="701">
        <v>463501</v>
      </c>
      <c r="H20" s="701">
        <v>436764</v>
      </c>
      <c r="I20" s="701">
        <v>293836</v>
      </c>
      <c r="J20" s="701">
        <v>461375</v>
      </c>
      <c r="K20" s="701">
        <v>297726</v>
      </c>
      <c r="L20" s="701">
        <v>367865</v>
      </c>
      <c r="M20" s="701">
        <v>353488</v>
      </c>
      <c r="N20" s="342">
        <v>449011</v>
      </c>
      <c r="O20" s="701">
        <v>287659</v>
      </c>
      <c r="P20" s="701">
        <v>479765</v>
      </c>
      <c r="Q20" s="701">
        <v>407368</v>
      </c>
      <c r="R20" s="701">
        <v>385866</v>
      </c>
      <c r="S20" s="701">
        <v>400843</v>
      </c>
      <c r="T20" s="701">
        <v>396961</v>
      </c>
      <c r="U20" s="341">
        <v>404612</v>
      </c>
      <c r="V20" s="1081" t="s">
        <v>705</v>
      </c>
      <c r="W20" s="1082"/>
      <c r="X20" s="339"/>
      <c r="Y20" s="351"/>
      <c r="Z20" s="720"/>
      <c r="AA20" s="335"/>
      <c r="AB20" s="335"/>
      <c r="EY20" s="335"/>
      <c r="EZ20" s="335"/>
      <c r="FA20" s="335"/>
      <c r="FB20" s="335"/>
      <c r="FX20" s="335"/>
      <c r="FY20" s="335"/>
      <c r="FZ20" s="335"/>
      <c r="GA20" s="335"/>
    </row>
    <row r="21" spans="2:183" s="26" customFormat="1" ht="20.25" customHeight="1" x14ac:dyDescent="0.15">
      <c r="B21" s="703" t="s">
        <v>720</v>
      </c>
      <c r="C21" s="1098"/>
      <c r="D21" s="1083" t="s">
        <v>354</v>
      </c>
      <c r="E21" s="1084"/>
      <c r="F21" s="334">
        <v>385729</v>
      </c>
      <c r="G21" s="334">
        <v>463416</v>
      </c>
      <c r="H21" s="334">
        <v>436671</v>
      </c>
      <c r="I21" s="334">
        <v>293721</v>
      </c>
      <c r="J21" s="334">
        <v>461261</v>
      </c>
      <c r="K21" s="334">
        <v>297618</v>
      </c>
      <c r="L21" s="334">
        <v>367719</v>
      </c>
      <c r="M21" s="334">
        <v>353335</v>
      </c>
      <c r="N21" s="331">
        <v>448844</v>
      </c>
      <c r="O21" s="334">
        <v>287557</v>
      </c>
      <c r="P21" s="334">
        <v>479678</v>
      </c>
      <c r="Q21" s="334">
        <v>407258</v>
      </c>
      <c r="R21" s="334">
        <v>385729</v>
      </c>
      <c r="S21" s="334">
        <v>400688</v>
      </c>
      <c r="T21" s="334">
        <v>396801</v>
      </c>
      <c r="U21" s="333">
        <v>404456</v>
      </c>
      <c r="V21" s="335" t="s">
        <v>717</v>
      </c>
      <c r="W21" s="335"/>
      <c r="X21" s="337" t="s">
        <v>714</v>
      </c>
      <c r="Y21" s="336"/>
      <c r="Z21" s="720"/>
      <c r="AA21" s="335"/>
      <c r="AB21" s="335"/>
      <c r="EY21" s="335"/>
      <c r="EZ21" s="335"/>
      <c r="FA21" s="335"/>
      <c r="FB21" s="335"/>
      <c r="FX21" s="335"/>
      <c r="FY21" s="335"/>
      <c r="FZ21" s="335"/>
      <c r="GA21" s="335"/>
    </row>
    <row r="22" spans="2:183" s="26" customFormat="1" ht="20.25" customHeight="1" x14ac:dyDescent="0.15">
      <c r="B22" s="338"/>
      <c r="C22" s="1098"/>
      <c r="D22" s="1083" t="s">
        <v>353</v>
      </c>
      <c r="E22" s="1084"/>
      <c r="F22" s="334">
        <v>137</v>
      </c>
      <c r="G22" s="334">
        <v>85</v>
      </c>
      <c r="H22" s="334">
        <v>93</v>
      </c>
      <c r="I22" s="334">
        <v>115</v>
      </c>
      <c r="J22" s="334">
        <v>114</v>
      </c>
      <c r="K22" s="334">
        <v>108</v>
      </c>
      <c r="L22" s="334">
        <v>146</v>
      </c>
      <c r="M22" s="334">
        <v>153</v>
      </c>
      <c r="N22" s="331">
        <v>167</v>
      </c>
      <c r="O22" s="334">
        <v>102</v>
      </c>
      <c r="P22" s="334">
        <v>87</v>
      </c>
      <c r="Q22" s="334">
        <v>110</v>
      </c>
      <c r="R22" s="334">
        <v>137</v>
      </c>
      <c r="S22" s="334">
        <v>155</v>
      </c>
      <c r="T22" s="334">
        <v>160</v>
      </c>
      <c r="U22" s="333">
        <v>156</v>
      </c>
      <c r="V22" s="335" t="s">
        <v>711</v>
      </c>
      <c r="W22" s="335"/>
      <c r="X22" s="331"/>
      <c r="Y22" s="336"/>
      <c r="Z22" s="720"/>
      <c r="AA22" s="335"/>
      <c r="AB22" s="335"/>
      <c r="EY22" s="335"/>
      <c r="EZ22" s="335"/>
      <c r="FA22" s="335"/>
      <c r="FB22" s="335"/>
      <c r="FX22" s="335"/>
      <c r="FY22" s="335"/>
      <c r="FZ22" s="335"/>
      <c r="GA22" s="335"/>
    </row>
    <row r="23" spans="2:183" s="26" customFormat="1" ht="8.25" customHeight="1" x14ac:dyDescent="0.15">
      <c r="B23" s="350"/>
      <c r="C23" s="704"/>
      <c r="D23" s="705"/>
      <c r="E23" s="706"/>
      <c r="F23" s="632"/>
      <c r="G23" s="632"/>
      <c r="H23" s="632"/>
      <c r="I23" s="632"/>
      <c r="J23" s="632"/>
      <c r="K23" s="632"/>
      <c r="L23" s="632"/>
      <c r="M23" s="632"/>
      <c r="N23" s="328"/>
      <c r="O23" s="632"/>
      <c r="P23" s="632"/>
      <c r="Q23" s="632"/>
      <c r="R23" s="632"/>
      <c r="S23" s="632"/>
      <c r="T23" s="632"/>
      <c r="U23" s="330"/>
      <c r="V23" s="349"/>
      <c r="W23" s="349"/>
      <c r="X23" s="328"/>
      <c r="Y23" s="344"/>
      <c r="Z23" s="720"/>
      <c r="AA23" s="335"/>
      <c r="AB23" s="335"/>
      <c r="EY23" s="335"/>
      <c r="EZ23" s="335"/>
      <c r="FA23" s="335"/>
      <c r="FB23" s="335"/>
      <c r="FX23" s="335"/>
      <c r="FY23" s="335"/>
      <c r="FZ23" s="335"/>
      <c r="GA23" s="335"/>
    </row>
    <row r="24" spans="2:183" s="26" customFormat="1" ht="20.25" customHeight="1" x14ac:dyDescent="0.15">
      <c r="B24" s="348"/>
      <c r="C24" s="1089" t="s">
        <v>352</v>
      </c>
      <c r="D24" s="1091" t="s">
        <v>704</v>
      </c>
      <c r="E24" s="1092"/>
      <c r="F24" s="347">
        <v>2086392</v>
      </c>
      <c r="G24" s="347">
        <v>154424</v>
      </c>
      <c r="H24" s="347">
        <v>163894</v>
      </c>
      <c r="I24" s="347">
        <v>198273</v>
      </c>
      <c r="J24" s="347">
        <v>176305</v>
      </c>
      <c r="K24" s="347">
        <v>161272</v>
      </c>
      <c r="L24" s="347">
        <v>176536</v>
      </c>
      <c r="M24" s="347">
        <v>173083</v>
      </c>
      <c r="N24" s="339">
        <v>165034</v>
      </c>
      <c r="O24" s="347">
        <v>186551</v>
      </c>
      <c r="P24" s="347">
        <v>178099</v>
      </c>
      <c r="Q24" s="347">
        <v>176977</v>
      </c>
      <c r="R24" s="347">
        <v>175944</v>
      </c>
      <c r="S24" s="347">
        <v>149271</v>
      </c>
      <c r="T24" s="347">
        <v>165431</v>
      </c>
      <c r="U24" s="346">
        <v>177247</v>
      </c>
      <c r="V24" s="1093" t="s">
        <v>705</v>
      </c>
      <c r="W24" s="1094"/>
      <c r="X24" s="339"/>
      <c r="Y24" s="345"/>
      <c r="Z24" s="720"/>
      <c r="AA24" s="335"/>
      <c r="AB24" s="335"/>
      <c r="EY24" s="335"/>
      <c r="EZ24" s="335"/>
      <c r="FA24" s="335"/>
      <c r="FB24" s="335"/>
      <c r="FX24" s="335"/>
      <c r="FY24" s="335"/>
      <c r="FZ24" s="335"/>
      <c r="GA24" s="335"/>
    </row>
    <row r="25" spans="2:183" s="26" customFormat="1" ht="20.25" customHeight="1" x14ac:dyDescent="0.15">
      <c r="B25" s="338"/>
      <c r="C25" s="1102"/>
      <c r="D25" s="1083" t="s">
        <v>721</v>
      </c>
      <c r="E25" s="1084"/>
      <c r="F25" s="334">
        <v>362174</v>
      </c>
      <c r="G25" s="334">
        <v>26514</v>
      </c>
      <c r="H25" s="334">
        <v>29069</v>
      </c>
      <c r="I25" s="334">
        <v>37494</v>
      </c>
      <c r="J25" s="334">
        <v>30620</v>
      </c>
      <c r="K25" s="334">
        <v>30545</v>
      </c>
      <c r="L25" s="334">
        <v>31380</v>
      </c>
      <c r="M25" s="334">
        <v>29437</v>
      </c>
      <c r="N25" s="331">
        <v>29116</v>
      </c>
      <c r="O25" s="334">
        <v>34505</v>
      </c>
      <c r="P25" s="334">
        <v>27719</v>
      </c>
      <c r="Q25" s="334">
        <v>28113</v>
      </c>
      <c r="R25" s="334">
        <v>27662</v>
      </c>
      <c r="S25" s="334">
        <v>23952</v>
      </c>
      <c r="T25" s="334">
        <v>27154</v>
      </c>
      <c r="U25" s="333">
        <v>28889</v>
      </c>
      <c r="V25" s="335" t="s">
        <v>566</v>
      </c>
      <c r="W25" s="335"/>
      <c r="X25" s="331"/>
      <c r="Y25" s="336"/>
      <c r="Z25" s="720"/>
      <c r="AA25" s="335"/>
      <c r="AB25" s="335"/>
      <c r="EY25" s="335"/>
      <c r="EZ25" s="335"/>
      <c r="FA25" s="335"/>
      <c r="FB25" s="335"/>
      <c r="FX25" s="335"/>
      <c r="FY25" s="335"/>
      <c r="FZ25" s="335"/>
      <c r="GA25" s="335"/>
    </row>
    <row r="26" spans="2:183" s="26" customFormat="1" ht="20.25" customHeight="1" x14ac:dyDescent="0.15">
      <c r="B26" s="338"/>
      <c r="C26" s="1102"/>
      <c r="D26" s="1099" t="s">
        <v>349</v>
      </c>
      <c r="E26" s="1100"/>
      <c r="F26" s="334">
        <v>195402</v>
      </c>
      <c r="G26" s="334">
        <v>13831</v>
      </c>
      <c r="H26" s="334">
        <v>16190</v>
      </c>
      <c r="I26" s="334">
        <v>22925</v>
      </c>
      <c r="J26" s="334">
        <v>15684</v>
      </c>
      <c r="K26" s="334">
        <v>14507</v>
      </c>
      <c r="L26" s="334">
        <v>16313</v>
      </c>
      <c r="M26" s="334">
        <v>15313</v>
      </c>
      <c r="N26" s="331">
        <v>15590</v>
      </c>
      <c r="O26" s="334">
        <v>18266</v>
      </c>
      <c r="P26" s="334">
        <v>16458</v>
      </c>
      <c r="Q26" s="334">
        <v>15068</v>
      </c>
      <c r="R26" s="334">
        <v>15257</v>
      </c>
      <c r="S26" s="334">
        <v>13199</v>
      </c>
      <c r="T26" s="334">
        <v>16525</v>
      </c>
      <c r="U26" s="333">
        <v>18472</v>
      </c>
      <c r="V26" s="335" t="s">
        <v>722</v>
      </c>
      <c r="W26" s="335"/>
      <c r="X26" s="331"/>
      <c r="Y26" s="336"/>
      <c r="Z26" s="720"/>
      <c r="AA26" s="335"/>
      <c r="AB26" s="335"/>
      <c r="EY26" s="335"/>
      <c r="EZ26" s="335"/>
      <c r="FA26" s="335"/>
      <c r="FB26" s="335"/>
      <c r="FX26" s="335"/>
      <c r="FY26" s="335"/>
      <c r="FZ26" s="335"/>
      <c r="GA26" s="335"/>
    </row>
    <row r="27" spans="2:183" s="26" customFormat="1" ht="20.25" customHeight="1" x14ac:dyDescent="0.15">
      <c r="B27" s="338"/>
      <c r="C27" s="1102"/>
      <c r="D27" s="1083" t="s">
        <v>723</v>
      </c>
      <c r="E27" s="1084"/>
      <c r="F27" s="334">
        <v>216364</v>
      </c>
      <c r="G27" s="334">
        <v>14508</v>
      </c>
      <c r="H27" s="334">
        <v>17086</v>
      </c>
      <c r="I27" s="334">
        <v>21790</v>
      </c>
      <c r="J27" s="334">
        <v>17541</v>
      </c>
      <c r="K27" s="334">
        <v>16553</v>
      </c>
      <c r="L27" s="334">
        <v>18972</v>
      </c>
      <c r="M27" s="334">
        <v>18652</v>
      </c>
      <c r="N27" s="331">
        <v>16659</v>
      </c>
      <c r="O27" s="334">
        <v>19707</v>
      </c>
      <c r="P27" s="334">
        <v>19085</v>
      </c>
      <c r="Q27" s="334">
        <v>18623</v>
      </c>
      <c r="R27" s="334">
        <v>17188</v>
      </c>
      <c r="S27" s="334">
        <v>15322</v>
      </c>
      <c r="T27" s="334">
        <v>17734</v>
      </c>
      <c r="U27" s="333">
        <v>20690</v>
      </c>
      <c r="V27" s="335" t="s">
        <v>567</v>
      </c>
      <c r="W27" s="335"/>
      <c r="X27" s="331"/>
      <c r="Y27" s="336"/>
      <c r="Z27" s="720"/>
      <c r="AA27" s="335"/>
      <c r="AB27" s="335"/>
      <c r="EY27" s="335"/>
      <c r="EZ27" s="335"/>
      <c r="FA27" s="335"/>
      <c r="FB27" s="335"/>
      <c r="FX27" s="335"/>
      <c r="FY27" s="335"/>
      <c r="FZ27" s="335"/>
      <c r="GA27" s="335"/>
    </row>
    <row r="28" spans="2:183" s="26" customFormat="1" ht="20.25" customHeight="1" x14ac:dyDescent="0.15">
      <c r="B28" s="338"/>
      <c r="C28" s="1102"/>
      <c r="D28" s="1083" t="s">
        <v>724</v>
      </c>
      <c r="E28" s="1084"/>
      <c r="F28" s="334">
        <v>109714</v>
      </c>
      <c r="G28" s="334">
        <v>7693</v>
      </c>
      <c r="H28" s="334">
        <v>9257</v>
      </c>
      <c r="I28" s="334">
        <v>11490</v>
      </c>
      <c r="J28" s="334">
        <v>9144</v>
      </c>
      <c r="K28" s="334">
        <v>7783</v>
      </c>
      <c r="L28" s="334">
        <v>9265</v>
      </c>
      <c r="M28" s="334">
        <v>8799</v>
      </c>
      <c r="N28" s="331">
        <v>8785</v>
      </c>
      <c r="O28" s="334">
        <v>8782</v>
      </c>
      <c r="P28" s="334">
        <v>9967</v>
      </c>
      <c r="Q28" s="334">
        <v>9349</v>
      </c>
      <c r="R28" s="334">
        <v>9400</v>
      </c>
      <c r="S28" s="334">
        <v>7734</v>
      </c>
      <c r="T28" s="334">
        <v>8475</v>
      </c>
      <c r="U28" s="333">
        <v>10133</v>
      </c>
      <c r="V28" s="335" t="s">
        <v>725</v>
      </c>
      <c r="W28" s="335"/>
      <c r="X28" s="331"/>
      <c r="Y28" s="336"/>
      <c r="Z28" s="720"/>
      <c r="AA28" s="335"/>
      <c r="AB28" s="335"/>
      <c r="EY28" s="335"/>
      <c r="EZ28" s="335"/>
      <c r="FA28" s="335"/>
      <c r="FB28" s="335"/>
      <c r="FX28" s="335"/>
      <c r="FY28" s="335"/>
      <c r="FZ28" s="335"/>
      <c r="GA28" s="335"/>
    </row>
    <row r="29" spans="2:183" s="26" customFormat="1" ht="20.25" customHeight="1" x14ac:dyDescent="0.15">
      <c r="B29" s="338"/>
      <c r="C29" s="1102"/>
      <c r="D29" s="1083" t="s">
        <v>568</v>
      </c>
      <c r="E29" s="1084"/>
      <c r="F29" s="334">
        <v>290158</v>
      </c>
      <c r="G29" s="334">
        <v>20239</v>
      </c>
      <c r="H29" s="334">
        <v>23744</v>
      </c>
      <c r="I29" s="334">
        <v>29143</v>
      </c>
      <c r="J29" s="334">
        <v>24227</v>
      </c>
      <c r="K29" s="334">
        <v>21889</v>
      </c>
      <c r="L29" s="334">
        <v>25426</v>
      </c>
      <c r="M29" s="334">
        <v>24638</v>
      </c>
      <c r="N29" s="331">
        <v>23462</v>
      </c>
      <c r="O29" s="334">
        <v>25516</v>
      </c>
      <c r="P29" s="334">
        <v>24871</v>
      </c>
      <c r="Q29" s="334">
        <v>24379</v>
      </c>
      <c r="R29" s="334">
        <v>22624</v>
      </c>
      <c r="S29" s="334">
        <v>18977</v>
      </c>
      <c r="T29" s="334">
        <v>22392</v>
      </c>
      <c r="U29" s="333">
        <v>23816</v>
      </c>
      <c r="V29" s="335" t="s">
        <v>726</v>
      </c>
      <c r="W29" s="335"/>
      <c r="X29" s="337" t="s">
        <v>708</v>
      </c>
      <c r="Y29" s="336"/>
      <c r="Z29" s="720"/>
      <c r="AA29" s="335"/>
      <c r="AB29" s="335"/>
      <c r="EY29" s="335"/>
      <c r="EZ29" s="335"/>
      <c r="FA29" s="335"/>
      <c r="FB29" s="335"/>
      <c r="FX29" s="335"/>
      <c r="FY29" s="335"/>
      <c r="FZ29" s="335"/>
      <c r="GA29" s="335"/>
    </row>
    <row r="30" spans="2:183" s="26" customFormat="1" ht="20.25" customHeight="1" x14ac:dyDescent="0.15">
      <c r="B30" s="700" t="s">
        <v>351</v>
      </c>
      <c r="C30" s="1102"/>
      <c r="D30" s="1099" t="s">
        <v>727</v>
      </c>
      <c r="E30" s="1100"/>
      <c r="F30" s="334">
        <v>131816</v>
      </c>
      <c r="G30" s="334">
        <v>9658</v>
      </c>
      <c r="H30" s="334">
        <v>9996</v>
      </c>
      <c r="I30" s="334">
        <v>12387</v>
      </c>
      <c r="J30" s="334">
        <v>10724</v>
      </c>
      <c r="K30" s="334">
        <v>9823</v>
      </c>
      <c r="L30" s="334">
        <v>11552</v>
      </c>
      <c r="M30" s="334">
        <v>11210</v>
      </c>
      <c r="N30" s="331">
        <v>10390</v>
      </c>
      <c r="O30" s="334">
        <v>11417</v>
      </c>
      <c r="P30" s="334">
        <v>11690</v>
      </c>
      <c r="Q30" s="334">
        <v>11097</v>
      </c>
      <c r="R30" s="334">
        <v>11872</v>
      </c>
      <c r="S30" s="334">
        <v>9996</v>
      </c>
      <c r="T30" s="334">
        <v>10538</v>
      </c>
      <c r="U30" s="333">
        <v>10649</v>
      </c>
      <c r="V30" s="26" t="s">
        <v>728</v>
      </c>
      <c r="X30" s="331"/>
      <c r="Y30" s="319"/>
      <c r="Z30" s="720"/>
      <c r="FX30" s="335"/>
      <c r="FY30" s="335"/>
      <c r="FZ30" s="335"/>
      <c r="GA30" s="335"/>
    </row>
    <row r="31" spans="2:183" s="26" customFormat="1" ht="20.25" customHeight="1" x14ac:dyDescent="0.15">
      <c r="B31" s="700"/>
      <c r="C31" s="1102"/>
      <c r="D31" s="1099" t="s">
        <v>729</v>
      </c>
      <c r="E31" s="1100"/>
      <c r="F31" s="334">
        <v>57487</v>
      </c>
      <c r="G31" s="334">
        <v>3890</v>
      </c>
      <c r="H31" s="334">
        <v>3981</v>
      </c>
      <c r="I31" s="334">
        <v>4447</v>
      </c>
      <c r="J31" s="334">
        <v>4829</v>
      </c>
      <c r="K31" s="334">
        <v>6341</v>
      </c>
      <c r="L31" s="334">
        <v>5084</v>
      </c>
      <c r="M31" s="334">
        <v>4420</v>
      </c>
      <c r="N31" s="331">
        <v>4158</v>
      </c>
      <c r="O31" s="334">
        <v>4656</v>
      </c>
      <c r="P31" s="334">
        <v>5470</v>
      </c>
      <c r="Q31" s="334">
        <v>4879</v>
      </c>
      <c r="R31" s="334">
        <v>5332</v>
      </c>
      <c r="S31" s="334">
        <v>3377</v>
      </c>
      <c r="T31" s="334">
        <v>4450</v>
      </c>
      <c r="U31" s="333">
        <v>5116</v>
      </c>
      <c r="V31" s="26" t="s">
        <v>730</v>
      </c>
      <c r="X31" s="331"/>
      <c r="Y31" s="319"/>
      <c r="Z31" s="720"/>
    </row>
    <row r="32" spans="2:183" s="26" customFormat="1" ht="20.25" customHeight="1" x14ac:dyDescent="0.15">
      <c r="B32" s="700"/>
      <c r="C32" s="1102"/>
      <c r="D32" s="1099" t="s">
        <v>347</v>
      </c>
      <c r="E32" s="1100"/>
      <c r="F32" s="334">
        <v>428542</v>
      </c>
      <c r="G32" s="334">
        <v>39803</v>
      </c>
      <c r="H32" s="334">
        <v>37180</v>
      </c>
      <c r="I32" s="334">
        <v>35637</v>
      </c>
      <c r="J32" s="334">
        <v>35467</v>
      </c>
      <c r="K32" s="334">
        <v>28516</v>
      </c>
      <c r="L32" s="334">
        <v>31782</v>
      </c>
      <c r="M32" s="334">
        <v>35656</v>
      </c>
      <c r="N32" s="331">
        <v>31263</v>
      </c>
      <c r="O32" s="334">
        <v>35710</v>
      </c>
      <c r="P32" s="334">
        <v>37865</v>
      </c>
      <c r="Q32" s="334">
        <v>40522</v>
      </c>
      <c r="R32" s="334">
        <v>39141</v>
      </c>
      <c r="S32" s="334">
        <v>35231</v>
      </c>
      <c r="T32" s="334">
        <v>37871</v>
      </c>
      <c r="U32" s="333">
        <v>40496</v>
      </c>
      <c r="V32" s="26" t="s">
        <v>731</v>
      </c>
      <c r="X32" s="331"/>
      <c r="Y32" s="319"/>
      <c r="Z32" s="720"/>
    </row>
    <row r="33" spans="1:36" s="26" customFormat="1" ht="20.25" customHeight="1" x14ac:dyDescent="0.15">
      <c r="B33" s="1052" t="s">
        <v>350</v>
      </c>
      <c r="C33" s="1102"/>
      <c r="D33" s="1099" t="s">
        <v>732</v>
      </c>
      <c r="E33" s="1100"/>
      <c r="F33" s="334">
        <v>294735</v>
      </c>
      <c r="G33" s="334">
        <v>18288</v>
      </c>
      <c r="H33" s="334">
        <v>17391</v>
      </c>
      <c r="I33" s="334">
        <v>22960</v>
      </c>
      <c r="J33" s="334">
        <v>28069</v>
      </c>
      <c r="K33" s="334">
        <v>25315</v>
      </c>
      <c r="L33" s="334">
        <v>26762</v>
      </c>
      <c r="M33" s="334">
        <v>24958</v>
      </c>
      <c r="N33" s="331">
        <v>25611</v>
      </c>
      <c r="O33" s="334">
        <v>27992</v>
      </c>
      <c r="P33" s="334">
        <v>24974</v>
      </c>
      <c r="Q33" s="334">
        <v>24947</v>
      </c>
      <c r="R33" s="334">
        <v>27468</v>
      </c>
      <c r="S33" s="334">
        <v>21483</v>
      </c>
      <c r="T33" s="334">
        <v>20292</v>
      </c>
      <c r="U33" s="333">
        <v>18986</v>
      </c>
      <c r="V33" s="26" t="s">
        <v>733</v>
      </c>
      <c r="X33" s="331"/>
      <c r="Y33" s="319"/>
      <c r="Z33" s="720"/>
    </row>
    <row r="34" spans="1:36" s="26" customFormat="1" ht="8.25" customHeight="1" x14ac:dyDescent="0.15">
      <c r="B34" s="1101"/>
      <c r="C34" s="1103"/>
      <c r="D34" s="344" t="s">
        <v>224</v>
      </c>
      <c r="E34" s="329"/>
      <c r="F34" s="334"/>
      <c r="G34" s="334"/>
      <c r="H34" s="334"/>
      <c r="I34" s="334"/>
      <c r="J34" s="334"/>
      <c r="K34" s="334"/>
      <c r="L34" s="334"/>
      <c r="M34" s="334"/>
      <c r="N34" s="331"/>
      <c r="O34" s="334"/>
      <c r="P34" s="334"/>
      <c r="Q34" s="334"/>
      <c r="R34" s="334"/>
      <c r="S34" s="334"/>
      <c r="T34" s="334"/>
      <c r="U34" s="333"/>
      <c r="V34" s="343"/>
      <c r="W34" s="343"/>
      <c r="X34" s="328"/>
      <c r="Y34" s="254" t="s">
        <v>734</v>
      </c>
      <c r="Z34" s="720"/>
    </row>
    <row r="35" spans="1:36" s="26" customFormat="1" ht="20.25" customHeight="1" x14ac:dyDescent="0.15">
      <c r="B35" s="1101"/>
      <c r="C35" s="335"/>
      <c r="D35" s="1091" t="s">
        <v>704</v>
      </c>
      <c r="E35" s="1092"/>
      <c r="F35" s="701">
        <v>295402</v>
      </c>
      <c r="G35" s="701">
        <v>319084</v>
      </c>
      <c r="H35" s="701">
        <v>319034</v>
      </c>
      <c r="I35" s="701">
        <v>316096</v>
      </c>
      <c r="J35" s="701">
        <v>322015</v>
      </c>
      <c r="K35" s="701">
        <v>322928</v>
      </c>
      <c r="L35" s="701">
        <v>330342</v>
      </c>
      <c r="M35" s="701">
        <v>324388</v>
      </c>
      <c r="N35" s="342">
        <v>307827</v>
      </c>
      <c r="O35" s="701">
        <v>289107</v>
      </c>
      <c r="P35" s="701">
        <v>295400</v>
      </c>
      <c r="Q35" s="701">
        <v>292870</v>
      </c>
      <c r="R35" s="701">
        <v>295402</v>
      </c>
      <c r="S35" s="701">
        <v>287255</v>
      </c>
      <c r="T35" s="701">
        <v>284466</v>
      </c>
      <c r="U35" s="341">
        <v>273402</v>
      </c>
      <c r="V35" s="702" t="s">
        <v>705</v>
      </c>
      <c r="W35" s="340"/>
      <c r="X35" s="339"/>
      <c r="Y35" s="903" t="s">
        <v>1067</v>
      </c>
      <c r="Z35" s="720"/>
    </row>
    <row r="36" spans="1:36" s="26" customFormat="1" ht="20.25" customHeight="1" x14ac:dyDescent="0.15">
      <c r="B36" s="700"/>
      <c r="C36" s="335"/>
      <c r="D36" s="1083" t="s">
        <v>721</v>
      </c>
      <c r="E36" s="1084"/>
      <c r="F36" s="334">
        <v>26191</v>
      </c>
      <c r="G36" s="334">
        <v>30865</v>
      </c>
      <c r="H36" s="334">
        <v>32458</v>
      </c>
      <c r="I36" s="334">
        <v>31780</v>
      </c>
      <c r="J36" s="334">
        <v>32939</v>
      </c>
      <c r="K36" s="334">
        <v>35326</v>
      </c>
      <c r="L36" s="334">
        <v>37067</v>
      </c>
      <c r="M36" s="334">
        <v>38333</v>
      </c>
      <c r="N36" s="331">
        <v>33001</v>
      </c>
      <c r="O36" s="334">
        <v>27510</v>
      </c>
      <c r="P36" s="334">
        <v>25957</v>
      </c>
      <c r="Q36" s="334">
        <v>26162</v>
      </c>
      <c r="R36" s="334">
        <v>26191</v>
      </c>
      <c r="S36" s="334">
        <v>27149</v>
      </c>
      <c r="T36" s="334">
        <v>24579</v>
      </c>
      <c r="U36" s="333">
        <v>25345</v>
      </c>
      <c r="V36" s="335" t="s">
        <v>566</v>
      </c>
      <c r="W36" s="338"/>
      <c r="X36" s="331"/>
      <c r="Y36" s="336"/>
      <c r="Z36" s="720"/>
    </row>
    <row r="37" spans="1:36" s="26" customFormat="1" ht="20.25" customHeight="1" x14ac:dyDescent="0.15">
      <c r="B37" s="338"/>
      <c r="C37" s="335"/>
      <c r="D37" s="1099" t="s">
        <v>349</v>
      </c>
      <c r="E37" s="1100"/>
      <c r="F37" s="334">
        <v>13363</v>
      </c>
      <c r="G37" s="334">
        <v>14399</v>
      </c>
      <c r="H37" s="334">
        <v>15083</v>
      </c>
      <c r="I37" s="334">
        <v>14085</v>
      </c>
      <c r="J37" s="334">
        <v>15765</v>
      </c>
      <c r="K37" s="334">
        <v>15586</v>
      </c>
      <c r="L37" s="334">
        <v>16263</v>
      </c>
      <c r="M37" s="334">
        <v>15471</v>
      </c>
      <c r="N37" s="331">
        <v>14243</v>
      </c>
      <c r="O37" s="334">
        <v>13143</v>
      </c>
      <c r="P37" s="334">
        <v>12483</v>
      </c>
      <c r="Q37" s="334">
        <v>12732</v>
      </c>
      <c r="R37" s="334">
        <v>13363</v>
      </c>
      <c r="S37" s="334">
        <v>13627</v>
      </c>
      <c r="T37" s="334">
        <v>13130</v>
      </c>
      <c r="U37" s="333">
        <v>12434</v>
      </c>
      <c r="V37" s="335" t="s">
        <v>722</v>
      </c>
      <c r="W37" s="338"/>
      <c r="X37" s="331"/>
      <c r="Y37" s="336"/>
      <c r="Z37" s="720"/>
    </row>
    <row r="38" spans="1:36" s="26" customFormat="1" ht="20.25" customHeight="1" x14ac:dyDescent="0.15">
      <c r="B38" s="694" t="s">
        <v>348</v>
      </c>
      <c r="C38" s="335"/>
      <c r="D38" s="1083" t="s">
        <v>723</v>
      </c>
      <c r="E38" s="1084"/>
      <c r="F38" s="334">
        <v>24712</v>
      </c>
      <c r="G38" s="334">
        <v>23794</v>
      </c>
      <c r="H38" s="334">
        <v>24078</v>
      </c>
      <c r="I38" s="334">
        <v>23308</v>
      </c>
      <c r="J38" s="334">
        <v>23439</v>
      </c>
      <c r="K38" s="334">
        <v>23346</v>
      </c>
      <c r="L38" s="334">
        <v>24240</v>
      </c>
      <c r="M38" s="334">
        <v>23823</v>
      </c>
      <c r="N38" s="331">
        <v>22429</v>
      </c>
      <c r="O38" s="334">
        <v>21189</v>
      </c>
      <c r="P38" s="334">
        <v>21744</v>
      </c>
      <c r="Q38" s="334">
        <v>22483</v>
      </c>
      <c r="R38" s="334">
        <v>24712</v>
      </c>
      <c r="S38" s="334">
        <v>26123</v>
      </c>
      <c r="T38" s="334">
        <v>25288</v>
      </c>
      <c r="U38" s="333">
        <v>21066</v>
      </c>
      <c r="V38" s="335" t="s">
        <v>567</v>
      </c>
      <c r="W38" s="338"/>
      <c r="X38" s="331"/>
      <c r="Y38" s="336"/>
      <c r="Z38" s="720"/>
    </row>
    <row r="39" spans="1:36" s="26" customFormat="1" ht="20.25" customHeight="1" x14ac:dyDescent="0.15">
      <c r="B39" s="332"/>
      <c r="C39" s="1087" t="s">
        <v>564</v>
      </c>
      <c r="D39" s="1083" t="s">
        <v>724</v>
      </c>
      <c r="E39" s="1084"/>
      <c r="F39" s="334">
        <v>9046</v>
      </c>
      <c r="G39" s="334">
        <v>13000</v>
      </c>
      <c r="H39" s="334">
        <v>12953</v>
      </c>
      <c r="I39" s="334">
        <v>12164</v>
      </c>
      <c r="J39" s="334">
        <v>12846</v>
      </c>
      <c r="K39" s="334">
        <v>13139</v>
      </c>
      <c r="L39" s="334">
        <v>13069</v>
      </c>
      <c r="M39" s="334">
        <v>12871</v>
      </c>
      <c r="N39" s="331">
        <v>12376</v>
      </c>
      <c r="O39" s="334">
        <v>10869</v>
      </c>
      <c r="P39" s="334">
        <v>9749</v>
      </c>
      <c r="Q39" s="334">
        <v>9224</v>
      </c>
      <c r="R39" s="334">
        <v>9046</v>
      </c>
      <c r="S39" s="334">
        <v>9205</v>
      </c>
      <c r="T39" s="334">
        <v>9362</v>
      </c>
      <c r="U39" s="333">
        <v>9295</v>
      </c>
      <c r="V39" s="335" t="s">
        <v>725</v>
      </c>
      <c r="W39" s="338"/>
      <c r="X39" s="331"/>
      <c r="Y39" s="336"/>
      <c r="Z39" s="720"/>
    </row>
    <row r="40" spans="1:36" s="26" customFormat="1" ht="20.25" customHeight="1" x14ac:dyDescent="0.15">
      <c r="B40" s="332"/>
      <c r="C40" s="1088"/>
      <c r="D40" s="1083" t="s">
        <v>568</v>
      </c>
      <c r="E40" s="1084"/>
      <c r="F40" s="334">
        <v>24440</v>
      </c>
      <c r="G40" s="334">
        <v>25420</v>
      </c>
      <c r="H40" s="334">
        <v>25106</v>
      </c>
      <c r="I40" s="334">
        <v>25399</v>
      </c>
      <c r="J40" s="334">
        <v>25241</v>
      </c>
      <c r="K40" s="334">
        <v>25335</v>
      </c>
      <c r="L40" s="334">
        <v>26358</v>
      </c>
      <c r="M40" s="334">
        <v>26487</v>
      </c>
      <c r="N40" s="331">
        <v>24833</v>
      </c>
      <c r="O40" s="334">
        <v>24147</v>
      </c>
      <c r="P40" s="334">
        <v>23577</v>
      </c>
      <c r="Q40" s="334">
        <v>24078</v>
      </c>
      <c r="R40" s="334">
        <v>24440</v>
      </c>
      <c r="S40" s="334">
        <v>24086</v>
      </c>
      <c r="T40" s="334">
        <v>22934</v>
      </c>
      <c r="U40" s="333">
        <v>21811</v>
      </c>
      <c r="V40" s="335" t="s">
        <v>726</v>
      </c>
      <c r="W40" s="338"/>
      <c r="X40" s="337" t="s">
        <v>714</v>
      </c>
      <c r="Y40" s="336"/>
      <c r="Z40" s="720"/>
    </row>
    <row r="41" spans="1:36" s="26" customFormat="1" ht="20.25" customHeight="1" x14ac:dyDescent="0.15">
      <c r="B41" s="332"/>
      <c r="C41" s="335"/>
      <c r="D41" s="1099" t="s">
        <v>727</v>
      </c>
      <c r="E41" s="1100"/>
      <c r="F41" s="334">
        <v>14923</v>
      </c>
      <c r="G41" s="334">
        <v>15337</v>
      </c>
      <c r="H41" s="334">
        <v>15364</v>
      </c>
      <c r="I41" s="334">
        <v>14334</v>
      </c>
      <c r="J41" s="334">
        <v>14784</v>
      </c>
      <c r="K41" s="334">
        <v>14386</v>
      </c>
      <c r="L41" s="334">
        <v>14156</v>
      </c>
      <c r="M41" s="334">
        <v>13959</v>
      </c>
      <c r="N41" s="331">
        <v>13592</v>
      </c>
      <c r="O41" s="334">
        <v>13690</v>
      </c>
      <c r="P41" s="334">
        <v>14129</v>
      </c>
      <c r="Q41" s="334">
        <v>14859</v>
      </c>
      <c r="R41" s="334">
        <v>14923</v>
      </c>
      <c r="S41" s="334">
        <v>15130</v>
      </c>
      <c r="T41" s="334">
        <v>14023</v>
      </c>
      <c r="U41" s="333">
        <v>13740</v>
      </c>
      <c r="V41" s="26" t="s">
        <v>728</v>
      </c>
      <c r="W41" s="332"/>
      <c r="X41" s="331"/>
      <c r="Y41" s="319"/>
      <c r="Z41" s="720"/>
    </row>
    <row r="42" spans="1:36" s="26" customFormat="1" ht="20.25" customHeight="1" x14ac:dyDescent="0.15">
      <c r="B42" s="332"/>
      <c r="C42" s="335"/>
      <c r="D42" s="1099" t="s">
        <v>729</v>
      </c>
      <c r="E42" s="1100"/>
      <c r="F42" s="334">
        <v>3834</v>
      </c>
      <c r="G42" s="334">
        <v>4308</v>
      </c>
      <c r="H42" s="334">
        <v>4167</v>
      </c>
      <c r="I42" s="334">
        <v>3882</v>
      </c>
      <c r="J42" s="334">
        <v>3269</v>
      </c>
      <c r="K42" s="334">
        <v>2425</v>
      </c>
      <c r="L42" s="334">
        <v>2703</v>
      </c>
      <c r="M42" s="334">
        <v>2686</v>
      </c>
      <c r="N42" s="331">
        <v>2675</v>
      </c>
      <c r="O42" s="334">
        <v>3408</v>
      </c>
      <c r="P42" s="334">
        <v>3423</v>
      </c>
      <c r="Q42" s="334">
        <v>3235</v>
      </c>
      <c r="R42" s="334">
        <v>3834</v>
      </c>
      <c r="S42" s="334">
        <v>3738</v>
      </c>
      <c r="T42" s="334">
        <v>3948</v>
      </c>
      <c r="U42" s="333">
        <v>4121</v>
      </c>
      <c r="V42" s="26" t="s">
        <v>730</v>
      </c>
      <c r="W42" s="332"/>
      <c r="X42" s="331"/>
      <c r="Y42" s="319"/>
      <c r="Z42" s="720"/>
    </row>
    <row r="43" spans="1:36" s="26" customFormat="1" ht="20.25" customHeight="1" x14ac:dyDescent="0.15">
      <c r="B43" s="332"/>
      <c r="C43" s="335"/>
      <c r="D43" s="1099" t="s">
        <v>347</v>
      </c>
      <c r="E43" s="1100"/>
      <c r="F43" s="334">
        <v>103583</v>
      </c>
      <c r="G43" s="334">
        <v>121260</v>
      </c>
      <c r="H43" s="334">
        <v>116334</v>
      </c>
      <c r="I43" s="334">
        <v>119514</v>
      </c>
      <c r="J43" s="334">
        <v>114532</v>
      </c>
      <c r="K43" s="334">
        <v>110470</v>
      </c>
      <c r="L43" s="334">
        <v>121304</v>
      </c>
      <c r="M43" s="334">
        <v>112603</v>
      </c>
      <c r="N43" s="331">
        <v>103969</v>
      </c>
      <c r="O43" s="334">
        <v>97861</v>
      </c>
      <c r="P43" s="334">
        <v>102959</v>
      </c>
      <c r="Q43" s="334">
        <v>103268</v>
      </c>
      <c r="R43" s="334">
        <v>103583</v>
      </c>
      <c r="S43" s="334">
        <v>102581</v>
      </c>
      <c r="T43" s="334">
        <v>100900</v>
      </c>
      <c r="U43" s="333">
        <v>98423</v>
      </c>
      <c r="V43" s="26" t="s">
        <v>731</v>
      </c>
      <c r="W43" s="332"/>
      <c r="X43" s="331"/>
      <c r="Y43" s="319"/>
      <c r="Z43" s="720"/>
    </row>
    <row r="44" spans="1:36" s="26" customFormat="1" ht="20.25" customHeight="1" x14ac:dyDescent="0.15">
      <c r="B44" s="332"/>
      <c r="C44" s="335"/>
      <c r="D44" s="1099" t="s">
        <v>732</v>
      </c>
      <c r="E44" s="1100"/>
      <c r="F44" s="334">
        <v>75310</v>
      </c>
      <c r="G44" s="334">
        <v>70701</v>
      </c>
      <c r="H44" s="334">
        <v>73491</v>
      </c>
      <c r="I44" s="334">
        <v>71630</v>
      </c>
      <c r="J44" s="334">
        <v>79200</v>
      </c>
      <c r="K44" s="334">
        <v>82915</v>
      </c>
      <c r="L44" s="334">
        <v>75182</v>
      </c>
      <c r="M44" s="334">
        <v>78155</v>
      </c>
      <c r="N44" s="331">
        <v>80709</v>
      </c>
      <c r="O44" s="334">
        <v>77290</v>
      </c>
      <c r="P44" s="334">
        <v>81379</v>
      </c>
      <c r="Q44" s="334">
        <v>76829</v>
      </c>
      <c r="R44" s="334">
        <v>75310</v>
      </c>
      <c r="S44" s="334">
        <v>65616</v>
      </c>
      <c r="T44" s="334">
        <v>70302</v>
      </c>
      <c r="U44" s="333">
        <v>67167</v>
      </c>
      <c r="V44" s="26" t="s">
        <v>733</v>
      </c>
      <c r="W44" s="332"/>
      <c r="X44" s="331"/>
      <c r="Y44" s="319"/>
      <c r="Z44" s="720"/>
    </row>
    <row r="45" spans="1:36" s="26" customFormat="1" ht="8.25" customHeight="1" x14ac:dyDescent="0.15">
      <c r="B45" s="329"/>
      <c r="C45" s="352"/>
      <c r="D45" s="697"/>
      <c r="E45" s="698"/>
      <c r="F45" s="328"/>
      <c r="G45" s="328"/>
      <c r="H45" s="32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30"/>
      <c r="V45" s="709"/>
      <c r="W45" s="329"/>
      <c r="X45" s="328"/>
      <c r="Y45" s="709"/>
      <c r="Z45" s="720"/>
    </row>
    <row r="46" spans="1:36" ht="15.95" customHeight="1" x14ac:dyDescent="0.15">
      <c r="A46" s="327"/>
      <c r="B46" s="327"/>
      <c r="C46" s="327"/>
      <c r="D46" s="327"/>
      <c r="E46" s="327"/>
      <c r="F46" s="327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  <c r="W46" s="325"/>
      <c r="X46" s="325"/>
      <c r="Y46" s="325"/>
      <c r="Z46" s="327"/>
      <c r="AA46" s="326"/>
      <c r="AB46" s="321"/>
      <c r="AC46" s="321"/>
      <c r="AD46" s="321"/>
      <c r="AE46" s="321"/>
      <c r="AF46" s="321"/>
      <c r="AG46" s="321"/>
      <c r="AH46" s="321"/>
      <c r="AI46" s="321"/>
      <c r="AJ46" s="321"/>
    </row>
    <row r="47" spans="1:36" ht="15.95" customHeight="1" x14ac:dyDescent="0.15">
      <c r="A47" s="327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27"/>
      <c r="X47" s="327"/>
      <c r="Y47" s="327"/>
      <c r="Z47" s="327"/>
      <c r="AA47" s="326"/>
      <c r="AB47" s="321"/>
      <c r="AC47" s="321"/>
      <c r="AD47" s="321"/>
      <c r="AE47" s="321"/>
      <c r="AF47" s="321"/>
      <c r="AG47" s="321"/>
      <c r="AH47" s="321"/>
      <c r="AI47" s="321"/>
      <c r="AJ47" s="321"/>
    </row>
    <row r="48" spans="1:36" ht="15.95" customHeight="1" x14ac:dyDescent="0.15">
      <c r="A48" s="327"/>
      <c r="B48" s="327"/>
      <c r="C48" s="327"/>
      <c r="D48" s="327"/>
      <c r="E48" s="327"/>
      <c r="F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27"/>
      <c r="X48" s="327"/>
      <c r="Y48" s="327"/>
      <c r="Z48" s="327"/>
      <c r="AA48" s="326"/>
      <c r="AB48" s="321"/>
      <c r="AC48" s="321"/>
      <c r="AD48" s="321"/>
      <c r="AE48" s="321"/>
      <c r="AF48" s="321"/>
      <c r="AG48" s="321"/>
      <c r="AH48" s="321"/>
      <c r="AI48" s="321"/>
      <c r="AJ48" s="321"/>
    </row>
    <row r="49" spans="1:36" ht="15.95" customHeight="1" x14ac:dyDescent="0.15">
      <c r="A49" s="327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27"/>
      <c r="X49" s="327"/>
      <c r="Y49" s="327"/>
      <c r="Z49" s="327"/>
      <c r="AA49" s="326"/>
      <c r="AB49" s="321"/>
      <c r="AC49" s="321"/>
      <c r="AD49" s="321"/>
      <c r="AE49" s="321"/>
      <c r="AF49" s="321"/>
      <c r="AG49" s="321"/>
      <c r="AH49" s="321"/>
      <c r="AI49" s="321"/>
      <c r="AJ49" s="321"/>
    </row>
    <row r="50" spans="1:36" ht="15.95" customHeight="1" x14ac:dyDescent="0.15">
      <c r="A50" s="321"/>
      <c r="B50" s="321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4"/>
      <c r="AB50" s="321"/>
      <c r="AC50" s="321"/>
      <c r="AD50" s="321"/>
      <c r="AE50" s="321"/>
      <c r="AF50" s="321"/>
      <c r="AG50" s="321"/>
      <c r="AH50" s="321"/>
      <c r="AI50" s="321"/>
      <c r="AJ50" s="321"/>
    </row>
    <row r="51" spans="1:36" ht="15.95" customHeight="1" x14ac:dyDescent="0.15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4"/>
      <c r="AB51" s="321"/>
      <c r="AC51" s="321"/>
      <c r="AD51" s="321"/>
      <c r="AE51" s="321"/>
      <c r="AF51" s="321"/>
      <c r="AG51" s="321"/>
      <c r="AH51" s="321"/>
      <c r="AI51" s="321"/>
      <c r="AJ51" s="321"/>
    </row>
    <row r="52" spans="1:36" ht="15.95" customHeight="1" x14ac:dyDescent="0.15">
      <c r="A52" s="321"/>
      <c r="B52" s="321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4"/>
      <c r="AB52" s="321"/>
      <c r="AC52" s="321"/>
      <c r="AD52" s="321"/>
      <c r="AE52" s="321"/>
      <c r="AF52" s="321"/>
      <c r="AG52" s="321"/>
      <c r="AH52" s="321"/>
      <c r="AI52" s="321"/>
      <c r="AJ52" s="321"/>
    </row>
    <row r="53" spans="1:36" ht="15.95" customHeight="1" x14ac:dyDescent="0.15">
      <c r="A53" s="321"/>
      <c r="B53" s="321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4"/>
      <c r="AB53" s="321"/>
      <c r="AC53" s="321"/>
      <c r="AD53" s="321"/>
      <c r="AE53" s="321"/>
      <c r="AF53" s="321"/>
      <c r="AG53" s="321"/>
      <c r="AH53" s="321"/>
      <c r="AI53" s="321"/>
      <c r="AJ53" s="321"/>
    </row>
    <row r="54" spans="1:36" ht="15.95" customHeight="1" x14ac:dyDescent="0.15">
      <c r="A54" s="321"/>
      <c r="B54" s="321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4"/>
      <c r="AB54" s="321"/>
      <c r="AC54" s="321"/>
      <c r="AD54" s="321"/>
      <c r="AE54" s="321"/>
      <c r="AF54" s="321"/>
      <c r="AG54" s="321"/>
      <c r="AH54" s="321"/>
      <c r="AI54" s="321"/>
      <c r="AJ54" s="321"/>
    </row>
    <row r="55" spans="1:36" ht="15.95" customHeight="1" x14ac:dyDescent="0.15">
      <c r="A55" s="321"/>
      <c r="B55" s="321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4"/>
      <c r="AB55" s="321"/>
      <c r="AC55" s="321"/>
      <c r="AD55" s="321"/>
      <c r="AE55" s="321"/>
      <c r="AF55" s="321"/>
      <c r="AG55" s="321"/>
      <c r="AH55" s="321"/>
      <c r="AI55" s="321"/>
      <c r="AJ55" s="321"/>
    </row>
    <row r="56" spans="1:36" ht="15.95" customHeight="1" x14ac:dyDescent="0.15">
      <c r="A56" s="321"/>
      <c r="B56" s="321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4"/>
      <c r="AB56" s="321"/>
      <c r="AC56" s="321"/>
      <c r="AD56" s="321"/>
      <c r="AE56" s="321"/>
      <c r="AF56" s="321"/>
      <c r="AG56" s="321"/>
      <c r="AH56" s="321"/>
      <c r="AI56" s="321"/>
      <c r="AJ56" s="321"/>
    </row>
    <row r="57" spans="1:36" ht="15.95" customHeight="1" x14ac:dyDescent="0.15">
      <c r="A57" s="321"/>
      <c r="B57" s="321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4"/>
      <c r="AB57" s="321"/>
      <c r="AC57" s="321"/>
      <c r="AD57" s="321"/>
      <c r="AE57" s="321"/>
      <c r="AF57" s="321"/>
      <c r="AG57" s="321"/>
      <c r="AH57" s="321"/>
      <c r="AI57" s="321"/>
      <c r="AJ57" s="321"/>
    </row>
    <row r="58" spans="1:36" ht="15.95" customHeight="1" x14ac:dyDescent="0.15">
      <c r="A58" s="321"/>
      <c r="B58" s="321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4"/>
      <c r="AB58" s="321"/>
      <c r="AC58" s="321"/>
      <c r="AD58" s="321"/>
      <c r="AE58" s="321"/>
      <c r="AF58" s="321"/>
      <c r="AG58" s="321"/>
      <c r="AH58" s="321"/>
      <c r="AI58" s="321"/>
      <c r="AJ58" s="321"/>
    </row>
    <row r="59" spans="1:36" ht="15.95" customHeight="1" x14ac:dyDescent="0.15">
      <c r="A59" s="321"/>
      <c r="B59" s="321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4"/>
      <c r="AB59" s="321"/>
      <c r="AC59" s="321"/>
      <c r="AD59" s="321"/>
      <c r="AE59" s="321"/>
      <c r="AF59" s="321"/>
      <c r="AG59" s="321"/>
      <c r="AH59" s="321"/>
      <c r="AI59" s="321"/>
      <c r="AJ59" s="321"/>
    </row>
    <row r="60" spans="1:36" ht="15.95" customHeight="1" x14ac:dyDescent="0.15">
      <c r="A60" s="321"/>
      <c r="B60" s="321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4"/>
      <c r="AB60" s="321"/>
      <c r="AC60" s="321"/>
      <c r="AD60" s="321"/>
      <c r="AE60" s="321"/>
      <c r="AF60" s="321"/>
      <c r="AG60" s="321"/>
      <c r="AH60" s="321"/>
      <c r="AI60" s="321"/>
      <c r="AJ60" s="321"/>
    </row>
    <row r="61" spans="1:36" ht="15.95" customHeight="1" x14ac:dyDescent="0.15">
      <c r="A61" s="321"/>
      <c r="B61" s="321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4"/>
      <c r="AB61" s="321"/>
      <c r="AC61" s="321"/>
      <c r="AD61" s="321"/>
      <c r="AE61" s="321"/>
      <c r="AF61" s="321"/>
      <c r="AG61" s="321"/>
      <c r="AH61" s="321"/>
      <c r="AI61" s="321"/>
      <c r="AJ61" s="321"/>
    </row>
    <row r="62" spans="1:36" ht="15.95" customHeight="1" x14ac:dyDescent="0.15">
      <c r="A62" s="321"/>
      <c r="B62" s="321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4"/>
      <c r="AB62" s="321"/>
      <c r="AC62" s="321"/>
      <c r="AD62" s="321"/>
      <c r="AE62" s="321"/>
      <c r="AF62" s="321"/>
      <c r="AG62" s="321"/>
      <c r="AH62" s="321"/>
      <c r="AI62" s="321"/>
      <c r="AJ62" s="321"/>
    </row>
    <row r="63" spans="1:36" ht="15.95" customHeight="1" x14ac:dyDescent="0.15">
      <c r="A63" s="321"/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4"/>
      <c r="AB63" s="321"/>
      <c r="AC63" s="321"/>
      <c r="AD63" s="321"/>
      <c r="AE63" s="321"/>
      <c r="AF63" s="321"/>
      <c r="AG63" s="321"/>
      <c r="AH63" s="321"/>
      <c r="AI63" s="321"/>
      <c r="AJ63" s="321"/>
    </row>
    <row r="64" spans="1:36" ht="15.95" customHeight="1" x14ac:dyDescent="0.15">
      <c r="A64" s="321"/>
      <c r="B64" s="321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4"/>
      <c r="AB64" s="321"/>
      <c r="AC64" s="321"/>
      <c r="AD64" s="321"/>
      <c r="AE64" s="321"/>
      <c r="AF64" s="321"/>
      <c r="AG64" s="321"/>
      <c r="AH64" s="321"/>
      <c r="AI64" s="321"/>
      <c r="AJ64" s="321"/>
    </row>
    <row r="65" spans="7:27" s="321" customFormat="1" ht="15.95" customHeight="1" x14ac:dyDescent="0.15">
      <c r="G65" s="325"/>
      <c r="AA65" s="324"/>
    </row>
    <row r="66" spans="7:27" s="321" customFormat="1" ht="15.95" customHeight="1" x14ac:dyDescent="0.15">
      <c r="AA66" s="324"/>
    </row>
    <row r="67" spans="7:27" s="321" customFormat="1" ht="15.95" customHeight="1" x14ac:dyDescent="0.15">
      <c r="AA67" s="324"/>
    </row>
    <row r="68" spans="7:27" s="321" customFormat="1" ht="15.95" customHeight="1" x14ac:dyDescent="0.15">
      <c r="AA68" s="324"/>
    </row>
    <row r="69" spans="7:27" s="321" customFormat="1" ht="15.95" customHeight="1" x14ac:dyDescent="0.15">
      <c r="AA69" s="324"/>
    </row>
    <row r="70" spans="7:27" s="321" customFormat="1" ht="15.95" customHeight="1" x14ac:dyDescent="0.15">
      <c r="AA70" s="324"/>
    </row>
    <row r="71" spans="7:27" s="321" customFormat="1" ht="15.95" customHeight="1" x14ac:dyDescent="0.15">
      <c r="AA71" s="324"/>
    </row>
    <row r="72" spans="7:27" s="321" customFormat="1" ht="15.95" customHeight="1" x14ac:dyDescent="0.15">
      <c r="AA72" s="324"/>
    </row>
    <row r="73" spans="7:27" s="321" customFormat="1" ht="15.95" customHeight="1" x14ac:dyDescent="0.15">
      <c r="AA73" s="324"/>
    </row>
    <row r="74" spans="7:27" s="321" customFormat="1" ht="15.95" customHeight="1" x14ac:dyDescent="0.15">
      <c r="AA74" s="324"/>
    </row>
    <row r="75" spans="7:27" s="321" customFormat="1" ht="15.95" customHeight="1" x14ac:dyDescent="0.15">
      <c r="AA75" s="324"/>
    </row>
    <row r="76" spans="7:27" s="321" customFormat="1" ht="15.95" customHeight="1" x14ac:dyDescent="0.15">
      <c r="AA76" s="324"/>
    </row>
    <row r="77" spans="7:27" s="321" customFormat="1" ht="15.95" customHeight="1" x14ac:dyDescent="0.15">
      <c r="AA77" s="324"/>
    </row>
    <row r="78" spans="7:27" s="321" customFormat="1" ht="15.95" customHeight="1" x14ac:dyDescent="0.15">
      <c r="AA78" s="324"/>
    </row>
    <row r="79" spans="7:27" s="321" customFormat="1" ht="15.95" customHeight="1" x14ac:dyDescent="0.15">
      <c r="AA79" s="324"/>
    </row>
    <row r="80" spans="7:27" s="321" customFormat="1" ht="15.95" customHeight="1" x14ac:dyDescent="0.15">
      <c r="AA80" s="324"/>
    </row>
    <row r="81" spans="1:36" ht="15.95" customHeight="1" x14ac:dyDescent="0.15">
      <c r="A81" s="321"/>
      <c r="B81" s="321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4"/>
      <c r="AB81" s="321"/>
      <c r="AC81" s="321"/>
      <c r="AD81" s="321"/>
      <c r="AE81" s="321"/>
      <c r="AF81" s="321"/>
      <c r="AG81" s="321"/>
      <c r="AH81" s="321"/>
      <c r="AI81" s="321"/>
      <c r="AJ81" s="321"/>
    </row>
    <row r="82" spans="1:36" ht="15.95" customHeight="1" x14ac:dyDescent="0.15">
      <c r="A82" s="321"/>
      <c r="B82" s="321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4"/>
      <c r="AB82" s="321"/>
      <c r="AC82" s="321"/>
      <c r="AD82" s="321"/>
      <c r="AE82" s="321"/>
      <c r="AF82" s="321"/>
      <c r="AG82" s="321"/>
      <c r="AH82" s="321"/>
      <c r="AI82" s="321"/>
      <c r="AJ82" s="321"/>
    </row>
    <row r="83" spans="1:36" ht="15.95" customHeight="1" x14ac:dyDescent="0.15">
      <c r="A83" s="321"/>
      <c r="B83" s="321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4"/>
      <c r="AB83" s="321"/>
      <c r="AC83" s="321"/>
      <c r="AD83" s="321"/>
      <c r="AE83" s="321"/>
      <c r="AF83" s="321"/>
      <c r="AG83" s="321"/>
      <c r="AH83" s="321"/>
      <c r="AI83" s="321"/>
      <c r="AJ83" s="321"/>
    </row>
    <row r="84" spans="1:36" ht="15.95" customHeight="1" x14ac:dyDescent="0.15">
      <c r="A84" s="321"/>
      <c r="B84" s="321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4"/>
      <c r="AB84" s="321"/>
      <c r="AC84" s="321"/>
      <c r="AD84" s="321"/>
      <c r="AE84" s="321"/>
      <c r="AF84" s="321"/>
      <c r="AG84" s="321"/>
      <c r="AH84" s="321"/>
      <c r="AI84" s="321"/>
      <c r="AJ84" s="321"/>
    </row>
    <row r="85" spans="1:36" ht="15.95" customHeight="1" x14ac:dyDescent="0.15">
      <c r="A85" s="321"/>
      <c r="B85" s="321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4"/>
      <c r="AB85" s="321"/>
      <c r="AC85" s="321"/>
      <c r="AD85" s="321"/>
      <c r="AE85" s="321"/>
      <c r="AF85" s="321"/>
      <c r="AG85" s="321"/>
      <c r="AH85" s="321"/>
      <c r="AI85" s="321"/>
      <c r="AJ85" s="321"/>
    </row>
    <row r="86" spans="1:36" ht="15.95" customHeight="1" x14ac:dyDescent="0.15"/>
    <row r="87" spans="1:36" ht="15.95" customHeight="1" x14ac:dyDescent="0.15"/>
    <row r="88" spans="1:36" ht="15.95" customHeight="1" x14ac:dyDescent="0.15"/>
    <row r="89" spans="1:36" ht="15.95" customHeight="1" x14ac:dyDescent="0.15"/>
    <row r="90" spans="1:36" ht="15.95" customHeight="1" x14ac:dyDescent="0.15"/>
    <row r="91" spans="1:36" ht="15.95" customHeight="1" x14ac:dyDescent="0.15"/>
    <row r="92" spans="1:36" ht="15.95" customHeight="1" x14ac:dyDescent="0.15"/>
    <row r="93" spans="1:36" ht="15.95" customHeight="1" x14ac:dyDescent="0.15"/>
    <row r="94" spans="1:36" ht="15.95" customHeight="1" x14ac:dyDescent="0.15"/>
    <row r="95" spans="1:36" ht="15.95" customHeight="1" x14ac:dyDescent="0.15"/>
    <row r="96" spans="1:36" ht="15.95" customHeight="1" x14ac:dyDescent="0.15"/>
    <row r="97" ht="15.95" customHeight="1" x14ac:dyDescent="0.15"/>
    <row r="98" ht="15.95" customHeight="1" x14ac:dyDescent="0.15"/>
    <row r="99" ht="15.95" customHeight="1" x14ac:dyDescent="0.15"/>
    <row r="100" ht="15.95" customHeight="1" x14ac:dyDescent="0.15"/>
    <row r="101" ht="15.95" customHeight="1" x14ac:dyDescent="0.15"/>
    <row r="102" ht="15.95" customHeight="1" x14ac:dyDescent="0.15"/>
    <row r="103" ht="15.95" customHeight="1" x14ac:dyDescent="0.15"/>
    <row r="104" ht="15.95" customHeight="1" x14ac:dyDescent="0.15"/>
    <row r="105" ht="15.95" customHeight="1" x14ac:dyDescent="0.15"/>
    <row r="106" ht="15.95" customHeight="1" x14ac:dyDescent="0.15"/>
    <row r="107" ht="15.95" customHeight="1" x14ac:dyDescent="0.15"/>
    <row r="108" ht="15.95" customHeight="1" x14ac:dyDescent="0.15"/>
    <row r="109" ht="15.95" customHeight="1" x14ac:dyDescent="0.15"/>
    <row r="110" ht="15.95" customHeight="1" x14ac:dyDescent="0.15"/>
    <row r="111" ht="15.95" customHeight="1" x14ac:dyDescent="0.15"/>
    <row r="112" ht="15.95" customHeight="1" x14ac:dyDescent="0.15"/>
    <row r="113" ht="15.95" customHeight="1" x14ac:dyDescent="0.15"/>
    <row r="114" ht="15.95" customHeight="1" x14ac:dyDescent="0.15"/>
    <row r="115" ht="15.95" customHeight="1" x14ac:dyDescent="0.15"/>
    <row r="116" ht="15.95" customHeight="1" x14ac:dyDescent="0.15"/>
    <row r="117" ht="15.95" customHeight="1" x14ac:dyDescent="0.15"/>
    <row r="118" ht="15.95" customHeight="1" x14ac:dyDescent="0.15"/>
    <row r="119" ht="15.95" customHeight="1" x14ac:dyDescent="0.15"/>
    <row r="120" ht="15.95" customHeight="1" x14ac:dyDescent="0.15"/>
    <row r="121" ht="15.95" customHeight="1" x14ac:dyDescent="0.15"/>
    <row r="122" ht="15.95" customHeight="1" x14ac:dyDescent="0.15"/>
    <row r="123" ht="15.95" customHeight="1" x14ac:dyDescent="0.15"/>
    <row r="124" ht="15.95" customHeight="1" x14ac:dyDescent="0.15"/>
    <row r="125" ht="15.95" customHeight="1" x14ac:dyDescent="0.15"/>
    <row r="126" ht="15.95" customHeight="1" x14ac:dyDescent="0.15"/>
    <row r="127" ht="15.95" customHeight="1" x14ac:dyDescent="0.15"/>
    <row r="128" ht="15.95" customHeight="1" x14ac:dyDescent="0.15"/>
    <row r="129" ht="15.95" customHeight="1" x14ac:dyDescent="0.15"/>
    <row r="130" ht="15.95" customHeight="1" x14ac:dyDescent="0.15"/>
    <row r="131" ht="15.95" customHeight="1" x14ac:dyDescent="0.15"/>
    <row r="132" ht="15.95" customHeight="1" x14ac:dyDescent="0.15"/>
    <row r="133" ht="15.95" customHeight="1" x14ac:dyDescent="0.15"/>
    <row r="134" ht="15.95" customHeight="1" x14ac:dyDescent="0.15"/>
    <row r="135" ht="15.95" customHeight="1" x14ac:dyDescent="0.15"/>
    <row r="136" ht="15.95" customHeight="1" x14ac:dyDescent="0.15"/>
    <row r="137" ht="15.95" customHeight="1" x14ac:dyDescent="0.15"/>
    <row r="138" ht="15.95" customHeight="1" x14ac:dyDescent="0.15"/>
    <row r="139" ht="15.95" customHeight="1" x14ac:dyDescent="0.15"/>
    <row r="140" ht="15.95" customHeight="1" x14ac:dyDescent="0.15"/>
    <row r="141" ht="15.95" customHeight="1" x14ac:dyDescent="0.15"/>
    <row r="142" ht="15.95" customHeight="1" x14ac:dyDescent="0.15"/>
    <row r="143" ht="15.95" customHeight="1" x14ac:dyDescent="0.15"/>
    <row r="144" ht="15.95" customHeight="1" x14ac:dyDescent="0.15"/>
    <row r="145" ht="15.95" customHeight="1" x14ac:dyDescent="0.15"/>
    <row r="146" ht="15.95" customHeight="1" x14ac:dyDescent="0.15"/>
    <row r="147" ht="15.95" customHeight="1" x14ac:dyDescent="0.15"/>
    <row r="148" ht="15.95" customHeight="1" x14ac:dyDescent="0.15"/>
    <row r="149" ht="15.95" customHeight="1" x14ac:dyDescent="0.15"/>
    <row r="150" ht="15.95" customHeight="1" x14ac:dyDescent="0.15"/>
    <row r="151" ht="15.95" customHeight="1" x14ac:dyDescent="0.15"/>
    <row r="152" ht="15.95" customHeight="1" x14ac:dyDescent="0.15"/>
    <row r="153" ht="15.95" customHeight="1" x14ac:dyDescent="0.15"/>
    <row r="154" ht="15.95" customHeight="1" x14ac:dyDescent="0.15"/>
    <row r="155" ht="15.95" customHeight="1" x14ac:dyDescent="0.15"/>
    <row r="156" ht="15.95" customHeight="1" x14ac:dyDescent="0.15"/>
    <row r="157" ht="15.95" customHeight="1" x14ac:dyDescent="0.15"/>
    <row r="158" ht="15.95" customHeight="1" x14ac:dyDescent="0.15"/>
    <row r="159" ht="15.95" customHeight="1" x14ac:dyDescent="0.15"/>
    <row r="160" ht="15.95" customHeight="1" x14ac:dyDescent="0.15"/>
    <row r="161" ht="15.95" customHeight="1" x14ac:dyDescent="0.15"/>
    <row r="162" ht="15.95" customHeight="1" x14ac:dyDescent="0.15"/>
    <row r="163" ht="15.95" customHeight="1" x14ac:dyDescent="0.15"/>
    <row r="164" ht="15.95" customHeight="1" x14ac:dyDescent="0.15"/>
    <row r="165" ht="15.95" customHeight="1" x14ac:dyDescent="0.15"/>
    <row r="166" ht="15.95" customHeight="1" x14ac:dyDescent="0.15"/>
    <row r="167" ht="15.95" customHeight="1" x14ac:dyDescent="0.15"/>
    <row r="168" ht="15.95" customHeight="1" x14ac:dyDescent="0.15"/>
    <row r="169" ht="15.95" customHeight="1" x14ac:dyDescent="0.15"/>
    <row r="170" ht="15.95" customHeight="1" x14ac:dyDescent="0.15"/>
    <row r="171" ht="15.95" customHeight="1" x14ac:dyDescent="0.15"/>
    <row r="172" ht="15.95" customHeight="1" x14ac:dyDescent="0.15"/>
    <row r="173" ht="15.95" customHeight="1" x14ac:dyDescent="0.15"/>
    <row r="174" ht="15.95" customHeight="1" x14ac:dyDescent="0.15"/>
    <row r="175" ht="15.95" customHeight="1" x14ac:dyDescent="0.15"/>
    <row r="176" ht="15.95" customHeight="1" x14ac:dyDescent="0.15"/>
    <row r="177" ht="15.95" customHeight="1" x14ac:dyDescent="0.15"/>
    <row r="178" ht="15.95" customHeight="1" x14ac:dyDescent="0.15"/>
    <row r="179" ht="15.95" customHeight="1" x14ac:dyDescent="0.15"/>
    <row r="180" ht="15.95" customHeight="1" x14ac:dyDescent="0.15"/>
    <row r="181" ht="15.95" customHeight="1" x14ac:dyDescent="0.15"/>
    <row r="182" ht="15.95" customHeight="1" x14ac:dyDescent="0.15"/>
    <row r="183" ht="15.95" customHeight="1" x14ac:dyDescent="0.15"/>
    <row r="184" ht="15.95" customHeight="1" x14ac:dyDescent="0.15"/>
    <row r="185" ht="15.95" customHeight="1" x14ac:dyDescent="0.15"/>
    <row r="186" ht="15.95" customHeight="1" x14ac:dyDescent="0.15"/>
    <row r="187" ht="15.95" customHeight="1" x14ac:dyDescent="0.15"/>
    <row r="188" ht="15.95" customHeight="1" x14ac:dyDescent="0.15"/>
    <row r="189" ht="15.95" customHeight="1" x14ac:dyDescent="0.15"/>
    <row r="190" ht="15.95" customHeight="1" x14ac:dyDescent="0.15"/>
    <row r="191" ht="15.95" customHeight="1" x14ac:dyDescent="0.15"/>
    <row r="192" ht="15.95" customHeight="1" x14ac:dyDescent="0.15"/>
    <row r="193" ht="15.95" customHeight="1" x14ac:dyDescent="0.15"/>
    <row r="194" ht="15.95" customHeight="1" x14ac:dyDescent="0.15"/>
    <row r="195" ht="15.95" customHeight="1" x14ac:dyDescent="0.15"/>
    <row r="196" ht="15.95" customHeight="1" x14ac:dyDescent="0.15"/>
    <row r="197" ht="15.95" customHeight="1" x14ac:dyDescent="0.15"/>
    <row r="198" ht="15.95" customHeight="1" x14ac:dyDescent="0.15"/>
    <row r="199" ht="15.95" customHeight="1" x14ac:dyDescent="0.15"/>
    <row r="200" ht="15.95" customHeight="1" x14ac:dyDescent="0.15"/>
    <row r="201" ht="15.95" customHeight="1" x14ac:dyDescent="0.15"/>
    <row r="202" ht="15.95" customHeight="1" x14ac:dyDescent="0.15"/>
    <row r="203" ht="15.95" customHeight="1" x14ac:dyDescent="0.15"/>
    <row r="204" ht="15.95" customHeight="1" x14ac:dyDescent="0.15"/>
    <row r="205" ht="15.95" customHeight="1" x14ac:dyDescent="0.15"/>
    <row r="206" ht="15.95" customHeight="1" x14ac:dyDescent="0.15"/>
    <row r="207" ht="15.95" customHeight="1" x14ac:dyDescent="0.15"/>
    <row r="208" ht="15.95" customHeight="1" x14ac:dyDescent="0.15"/>
    <row r="209" ht="15.95" customHeight="1" x14ac:dyDescent="0.15"/>
    <row r="210" ht="15.95" customHeight="1" x14ac:dyDescent="0.15"/>
    <row r="211" ht="15.95" customHeight="1" x14ac:dyDescent="0.15"/>
    <row r="212" ht="15.95" customHeight="1" x14ac:dyDescent="0.15"/>
    <row r="213" ht="15.95" customHeight="1" x14ac:dyDescent="0.15"/>
    <row r="214" ht="15.95" customHeight="1" x14ac:dyDescent="0.15"/>
    <row r="215" ht="15.95" customHeight="1" x14ac:dyDescent="0.15"/>
    <row r="216" ht="15.95" customHeight="1" x14ac:dyDescent="0.15"/>
    <row r="217" ht="15.95" customHeight="1" x14ac:dyDescent="0.15"/>
    <row r="218" ht="15.95" customHeight="1" x14ac:dyDescent="0.15"/>
    <row r="219" ht="15.95" customHeight="1" x14ac:dyDescent="0.15"/>
    <row r="220" ht="15.95" customHeight="1" x14ac:dyDescent="0.15"/>
    <row r="221" ht="15.95" customHeight="1" x14ac:dyDescent="0.15"/>
    <row r="222" ht="15.95" customHeight="1" x14ac:dyDescent="0.15"/>
    <row r="223" ht="15.95" customHeight="1" x14ac:dyDescent="0.15"/>
    <row r="224" ht="15.95" customHeight="1" x14ac:dyDescent="0.15"/>
    <row r="225" ht="15.95" customHeight="1" x14ac:dyDescent="0.15"/>
  </sheetData>
  <mergeCells count="55">
    <mergeCell ref="D44:E44"/>
    <mergeCell ref="D38:E38"/>
    <mergeCell ref="C39:C40"/>
    <mergeCell ref="D39:E39"/>
    <mergeCell ref="D40:E40"/>
    <mergeCell ref="D41:E41"/>
    <mergeCell ref="D42:E42"/>
    <mergeCell ref="B33:B35"/>
    <mergeCell ref="D33:E33"/>
    <mergeCell ref="D35:E35"/>
    <mergeCell ref="D36:E36"/>
    <mergeCell ref="D43:E43"/>
    <mergeCell ref="D37:E37"/>
    <mergeCell ref="C24:C34"/>
    <mergeCell ref="D24:E24"/>
    <mergeCell ref="D29:E29"/>
    <mergeCell ref="D30:E30"/>
    <mergeCell ref="D31:E31"/>
    <mergeCell ref="D32:E32"/>
    <mergeCell ref="V24:W24"/>
    <mergeCell ref="D25:E25"/>
    <mergeCell ref="D26:E26"/>
    <mergeCell ref="D27:E27"/>
    <mergeCell ref="D28:E28"/>
    <mergeCell ref="Y18:Y19"/>
    <mergeCell ref="B19:B20"/>
    <mergeCell ref="C20:C22"/>
    <mergeCell ref="D20:E20"/>
    <mergeCell ref="V20:W20"/>
    <mergeCell ref="D21:E21"/>
    <mergeCell ref="D22:E22"/>
    <mergeCell ref="D14:E14"/>
    <mergeCell ref="C16:C19"/>
    <mergeCell ref="D16:E16"/>
    <mergeCell ref="V16:W16"/>
    <mergeCell ref="D17:E17"/>
    <mergeCell ref="D18:E18"/>
    <mergeCell ref="D11:E11"/>
    <mergeCell ref="V11:W11"/>
    <mergeCell ref="C12:C13"/>
    <mergeCell ref="D12:E12"/>
    <mergeCell ref="X12:X13"/>
    <mergeCell ref="D13:E13"/>
    <mergeCell ref="B4:E5"/>
    <mergeCell ref="V4:Y5"/>
    <mergeCell ref="EX5:EZ5"/>
    <mergeCell ref="FW5:FY5"/>
    <mergeCell ref="C6:C10"/>
    <mergeCell ref="D6:E6"/>
    <mergeCell ref="V6:W6"/>
    <mergeCell ref="D7:E7"/>
    <mergeCell ref="X7:X8"/>
    <mergeCell ref="D8:E8"/>
    <mergeCell ref="D9:E9"/>
    <mergeCell ref="Y9:Y10"/>
  </mergeCells>
  <phoneticPr fontId="33"/>
  <pageMargins left="0.39370078740157483" right="0.19685039370078741" top="0.78740157480314965" bottom="0.39370078740157483" header="0.59055118110236227" footer="0.19685039370078741"/>
  <pageSetup paperSize="9" orientation="portrait" r:id="rId1"/>
  <headerFooter alignWithMargins="0"/>
  <colBreaks count="1" manualBreakCount="1">
    <brk id="14" min="1" max="44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Q63"/>
  <sheetViews>
    <sheetView view="pageBreakPreview" zoomScaleNormal="110" zoomScaleSheetLayoutView="100" workbookViewId="0"/>
  </sheetViews>
  <sheetFormatPr defaultRowHeight="16.5" customHeight="1" x14ac:dyDescent="0.15"/>
  <cols>
    <col min="1" max="1" width="5.625" style="904" customWidth="1"/>
    <col min="2" max="2" width="15.75" style="904" customWidth="1"/>
    <col min="3" max="15" width="12.625" style="904" customWidth="1"/>
    <col min="16" max="16384" width="9" style="904"/>
  </cols>
  <sheetData>
    <row r="1" spans="2:17" ht="16.5" customHeight="1" x14ac:dyDescent="0.15">
      <c r="B1" s="141"/>
      <c r="C1" s="141"/>
      <c r="D1" s="373" t="s">
        <v>422</v>
      </c>
      <c r="E1" s="373" t="s">
        <v>421</v>
      </c>
      <c r="F1" s="373" t="s">
        <v>420</v>
      </c>
      <c r="G1" s="373" t="s">
        <v>419</v>
      </c>
      <c r="H1" s="141"/>
      <c r="I1" s="141"/>
      <c r="J1" s="373" t="s">
        <v>735</v>
      </c>
      <c r="K1" s="141"/>
      <c r="L1" s="141"/>
      <c r="M1" s="141"/>
      <c r="N1" s="141"/>
      <c r="O1" s="141"/>
      <c r="P1" s="141"/>
      <c r="Q1" s="141"/>
    </row>
    <row r="2" spans="2:17" ht="16.5" customHeight="1" x14ac:dyDescent="0.15">
      <c r="B2" s="387" t="s">
        <v>418</v>
      </c>
      <c r="C2" s="21"/>
      <c r="D2" s="141"/>
      <c r="E2" s="574"/>
      <c r="F2" s="574"/>
      <c r="G2" s="574"/>
      <c r="H2" s="24" t="s">
        <v>93</v>
      </c>
      <c r="I2" s="574"/>
      <c r="J2" s="141"/>
      <c r="K2" s="141"/>
      <c r="L2" s="141"/>
      <c r="M2" s="141"/>
      <c r="N2" s="575"/>
      <c r="O2" s="23" t="s">
        <v>417</v>
      </c>
      <c r="P2" s="141"/>
      <c r="Q2" s="141"/>
    </row>
    <row r="3" spans="2:17" ht="19.5" customHeight="1" x14ac:dyDescent="0.15">
      <c r="B3" s="1122" t="s">
        <v>406</v>
      </c>
      <c r="C3" s="465" t="s">
        <v>416</v>
      </c>
      <c r="D3" s="466"/>
      <c r="E3" s="466"/>
      <c r="F3" s="466"/>
      <c r="G3" s="1125" t="s">
        <v>415</v>
      </c>
      <c r="H3" s="1116"/>
      <c r="I3" s="1116"/>
      <c r="J3" s="1126"/>
      <c r="K3" s="1115" t="s">
        <v>414</v>
      </c>
      <c r="L3" s="1069"/>
      <c r="M3" s="1116"/>
      <c r="N3" s="465" t="s">
        <v>413</v>
      </c>
      <c r="O3" s="464"/>
      <c r="P3" s="1104" t="s">
        <v>454</v>
      </c>
      <c r="Q3" s="463"/>
    </row>
    <row r="4" spans="2:17" ht="19.5" customHeight="1" x14ac:dyDescent="0.15">
      <c r="B4" s="1123"/>
      <c r="C4" s="318"/>
      <c r="D4" s="643"/>
      <c r="E4" s="693" t="s">
        <v>412</v>
      </c>
      <c r="F4" s="1107" t="s">
        <v>436</v>
      </c>
      <c r="G4" s="318"/>
      <c r="H4" s="643"/>
      <c r="I4" s="693" t="s">
        <v>412</v>
      </c>
      <c r="J4" s="1109" t="s">
        <v>436</v>
      </c>
      <c r="K4" s="1107" t="s">
        <v>411</v>
      </c>
      <c r="L4" s="1112" t="s">
        <v>437</v>
      </c>
      <c r="M4" s="1107" t="s">
        <v>438</v>
      </c>
      <c r="N4" s="1112" t="s">
        <v>439</v>
      </c>
      <c r="O4" s="1107" t="s">
        <v>438</v>
      </c>
      <c r="P4" s="1105"/>
      <c r="Q4" s="463"/>
    </row>
    <row r="5" spans="2:17" ht="35.25" customHeight="1" x14ac:dyDescent="0.15">
      <c r="B5" s="1124"/>
      <c r="C5" s="446" t="s">
        <v>411</v>
      </c>
      <c r="D5" s="446" t="s">
        <v>410</v>
      </c>
      <c r="E5" s="462" t="s">
        <v>437</v>
      </c>
      <c r="F5" s="1108"/>
      <c r="G5" s="446" t="s">
        <v>411</v>
      </c>
      <c r="H5" s="446" t="s">
        <v>410</v>
      </c>
      <c r="I5" s="462" t="s">
        <v>437</v>
      </c>
      <c r="J5" s="1110"/>
      <c r="K5" s="1111"/>
      <c r="L5" s="1113"/>
      <c r="M5" s="1108"/>
      <c r="N5" s="1114"/>
      <c r="O5" s="1108"/>
      <c r="P5" s="1106"/>
      <c r="Q5" s="461"/>
    </row>
    <row r="6" spans="2:17" ht="16.5" customHeight="1" x14ac:dyDescent="0.15">
      <c r="B6" s="475"/>
      <c r="C6" s="460"/>
      <c r="D6" s="459"/>
      <c r="E6" s="459"/>
      <c r="F6" s="459"/>
      <c r="G6" s="459"/>
      <c r="H6" s="459"/>
      <c r="I6" s="459"/>
      <c r="J6" s="459"/>
      <c r="K6" s="459"/>
      <c r="L6" s="459"/>
      <c r="M6" s="459"/>
      <c r="N6" s="459"/>
      <c r="O6" s="458"/>
      <c r="P6" s="319"/>
      <c r="Q6" s="386"/>
    </row>
    <row r="7" spans="2:17" ht="16.5" customHeight="1" x14ac:dyDescent="0.15">
      <c r="B7" s="470" t="s">
        <v>1068</v>
      </c>
      <c r="C7" s="456">
        <v>1236</v>
      </c>
      <c r="D7" s="455">
        <v>1566</v>
      </c>
      <c r="E7" s="455">
        <v>2740</v>
      </c>
      <c r="F7" s="455">
        <v>88</v>
      </c>
      <c r="G7" s="455">
        <v>4332</v>
      </c>
      <c r="H7" s="455">
        <v>143</v>
      </c>
      <c r="I7" s="455">
        <v>4258</v>
      </c>
      <c r="J7" s="455">
        <v>137</v>
      </c>
      <c r="K7" s="455">
        <v>225</v>
      </c>
      <c r="L7" s="455">
        <v>214</v>
      </c>
      <c r="M7" s="455">
        <v>7</v>
      </c>
      <c r="N7" s="455">
        <v>7212</v>
      </c>
      <c r="O7" s="454">
        <v>232</v>
      </c>
      <c r="P7" s="245">
        <v>44927</v>
      </c>
      <c r="Q7" s="386"/>
    </row>
    <row r="8" spans="2:17" ht="16.5" customHeight="1" x14ac:dyDescent="0.15">
      <c r="B8" s="470" t="s">
        <v>736</v>
      </c>
      <c r="C8" s="456">
        <v>1097</v>
      </c>
      <c r="D8" s="455">
        <v>1419</v>
      </c>
      <c r="E8" s="455">
        <v>2461</v>
      </c>
      <c r="F8" s="455">
        <v>79</v>
      </c>
      <c r="G8" s="455">
        <v>4332</v>
      </c>
      <c r="H8" s="455">
        <v>143</v>
      </c>
      <c r="I8" s="455">
        <v>4259</v>
      </c>
      <c r="J8" s="455">
        <v>137</v>
      </c>
      <c r="K8" s="455">
        <v>258</v>
      </c>
      <c r="L8" s="455">
        <v>245</v>
      </c>
      <c r="M8" s="455">
        <v>8</v>
      </c>
      <c r="N8" s="455">
        <v>6965</v>
      </c>
      <c r="O8" s="454">
        <v>224</v>
      </c>
      <c r="P8" s="233" t="s">
        <v>73</v>
      </c>
      <c r="Q8" s="386"/>
    </row>
    <row r="9" spans="2:17" ht="16.5" customHeight="1" x14ac:dyDescent="0.15">
      <c r="B9" s="470" t="s">
        <v>737</v>
      </c>
      <c r="C9" s="552">
        <v>1183</v>
      </c>
      <c r="D9" s="553">
        <v>1347</v>
      </c>
      <c r="E9" s="455">
        <v>2471</v>
      </c>
      <c r="F9" s="553">
        <v>80</v>
      </c>
      <c r="G9" s="553">
        <v>4332</v>
      </c>
      <c r="H9" s="553">
        <v>143</v>
      </c>
      <c r="I9" s="553">
        <v>4259</v>
      </c>
      <c r="J9" s="553">
        <v>137</v>
      </c>
      <c r="K9" s="553">
        <v>224</v>
      </c>
      <c r="L9" s="553">
        <v>213</v>
      </c>
      <c r="M9" s="553">
        <v>7</v>
      </c>
      <c r="N9" s="553">
        <v>6943</v>
      </c>
      <c r="O9" s="554">
        <v>224</v>
      </c>
      <c r="P9" s="233" t="s">
        <v>74</v>
      </c>
      <c r="Q9" s="386"/>
    </row>
    <row r="10" spans="2:17" ht="16.5" customHeight="1" x14ac:dyDescent="0.15">
      <c r="B10" s="470" t="s">
        <v>738</v>
      </c>
      <c r="C10" s="456">
        <v>1272</v>
      </c>
      <c r="D10" s="455">
        <v>1459</v>
      </c>
      <c r="E10" s="455">
        <v>2666</v>
      </c>
      <c r="F10" s="455">
        <v>86</v>
      </c>
      <c r="G10" s="455">
        <v>4333</v>
      </c>
      <c r="H10" s="455">
        <v>143</v>
      </c>
      <c r="I10" s="455">
        <v>4259</v>
      </c>
      <c r="J10" s="455">
        <v>138</v>
      </c>
      <c r="K10" s="455">
        <v>225</v>
      </c>
      <c r="L10" s="455">
        <v>213</v>
      </c>
      <c r="M10" s="457">
        <v>7</v>
      </c>
      <c r="N10" s="455">
        <v>7139</v>
      </c>
      <c r="O10" s="454">
        <v>231</v>
      </c>
      <c r="P10" s="233" t="s">
        <v>75</v>
      </c>
      <c r="Q10" s="386"/>
    </row>
    <row r="11" spans="2:17" ht="16.5" customHeight="1" x14ac:dyDescent="0.15">
      <c r="B11" s="470" t="s">
        <v>739</v>
      </c>
      <c r="C11" s="456">
        <v>1192</v>
      </c>
      <c r="D11" s="455">
        <v>1498</v>
      </c>
      <c r="E11" s="455">
        <v>2631</v>
      </c>
      <c r="F11" s="455">
        <v>85</v>
      </c>
      <c r="G11" s="455">
        <v>4332</v>
      </c>
      <c r="H11" s="455">
        <v>143</v>
      </c>
      <c r="I11" s="455">
        <v>4258</v>
      </c>
      <c r="J11" s="455">
        <v>138</v>
      </c>
      <c r="K11" s="455">
        <v>272</v>
      </c>
      <c r="L11" s="455">
        <v>258</v>
      </c>
      <c r="M11" s="455">
        <v>8</v>
      </c>
      <c r="N11" s="455">
        <v>7147</v>
      </c>
      <c r="O11" s="454">
        <v>232</v>
      </c>
      <c r="P11" s="233" t="s">
        <v>455</v>
      </c>
      <c r="Q11" s="386"/>
    </row>
    <row r="12" spans="2:17" ht="16.5" customHeight="1" x14ac:dyDescent="0.15">
      <c r="B12" s="470" t="s">
        <v>740</v>
      </c>
      <c r="C12" s="456">
        <v>1293</v>
      </c>
      <c r="D12" s="455">
        <v>1489</v>
      </c>
      <c r="E12" s="455">
        <v>2717</v>
      </c>
      <c r="F12" s="455">
        <v>88</v>
      </c>
      <c r="G12" s="455">
        <v>4321</v>
      </c>
      <c r="H12" s="455">
        <v>143</v>
      </c>
      <c r="I12" s="455">
        <v>4248</v>
      </c>
      <c r="J12" s="455">
        <v>138</v>
      </c>
      <c r="K12" s="455">
        <v>272</v>
      </c>
      <c r="L12" s="455">
        <v>258</v>
      </c>
      <c r="M12" s="455">
        <v>8</v>
      </c>
      <c r="N12" s="455">
        <v>7223</v>
      </c>
      <c r="O12" s="454">
        <v>234</v>
      </c>
      <c r="P12" s="233" t="s">
        <v>89</v>
      </c>
      <c r="Q12" s="386"/>
    </row>
    <row r="13" spans="2:17" ht="16.5" customHeight="1" x14ac:dyDescent="0.15">
      <c r="B13" s="470" t="s">
        <v>741</v>
      </c>
      <c r="C13" s="456">
        <v>1410</v>
      </c>
      <c r="D13" s="455">
        <v>1511</v>
      </c>
      <c r="E13" s="455">
        <v>2850</v>
      </c>
      <c r="F13" s="455">
        <v>92</v>
      </c>
      <c r="G13" s="455">
        <v>4270</v>
      </c>
      <c r="H13" s="455">
        <v>143</v>
      </c>
      <c r="I13" s="455">
        <v>4200</v>
      </c>
      <c r="J13" s="455">
        <v>136</v>
      </c>
      <c r="K13" s="455">
        <v>272</v>
      </c>
      <c r="L13" s="455">
        <v>258</v>
      </c>
      <c r="M13" s="455">
        <v>8</v>
      </c>
      <c r="N13" s="455">
        <v>7307</v>
      </c>
      <c r="O13" s="454">
        <v>237</v>
      </c>
      <c r="P13" s="233" t="s">
        <v>90</v>
      </c>
      <c r="Q13" s="386"/>
    </row>
    <row r="14" spans="2:17" ht="16.5" customHeight="1" x14ac:dyDescent="0.15">
      <c r="B14" s="470" t="s">
        <v>742</v>
      </c>
      <c r="C14" s="456">
        <v>1216</v>
      </c>
      <c r="D14" s="455">
        <v>1694</v>
      </c>
      <c r="E14" s="455">
        <v>2850</v>
      </c>
      <c r="F14" s="455">
        <v>93</v>
      </c>
      <c r="G14" s="455">
        <v>4270</v>
      </c>
      <c r="H14" s="455">
        <v>143</v>
      </c>
      <c r="I14" s="455">
        <v>4199</v>
      </c>
      <c r="J14" s="455">
        <v>136</v>
      </c>
      <c r="K14" s="455">
        <v>240</v>
      </c>
      <c r="L14" s="455">
        <v>228</v>
      </c>
      <c r="M14" s="455">
        <v>7</v>
      </c>
      <c r="N14" s="455">
        <v>7277</v>
      </c>
      <c r="O14" s="454">
        <v>236</v>
      </c>
      <c r="P14" s="233" t="s">
        <v>91</v>
      </c>
      <c r="Q14" s="386"/>
    </row>
    <row r="15" spans="2:17" ht="16.5" customHeight="1" x14ac:dyDescent="0.15">
      <c r="B15" s="470" t="s">
        <v>743</v>
      </c>
      <c r="C15" s="456">
        <v>1266</v>
      </c>
      <c r="D15" s="455">
        <v>1682</v>
      </c>
      <c r="E15" s="455">
        <v>2885</v>
      </c>
      <c r="F15" s="455">
        <v>94</v>
      </c>
      <c r="G15" s="455">
        <v>4270</v>
      </c>
      <c r="H15" s="455">
        <v>143</v>
      </c>
      <c r="I15" s="455">
        <v>4200</v>
      </c>
      <c r="J15" s="455">
        <v>137</v>
      </c>
      <c r="K15" s="455">
        <v>273</v>
      </c>
      <c r="L15" s="455">
        <v>260</v>
      </c>
      <c r="M15" s="455">
        <v>9</v>
      </c>
      <c r="N15" s="455">
        <v>7344</v>
      </c>
      <c r="O15" s="454">
        <v>239</v>
      </c>
      <c r="P15" s="233" t="s">
        <v>92</v>
      </c>
      <c r="Q15" s="386"/>
    </row>
    <row r="16" spans="2:17" ht="16.5" customHeight="1" x14ac:dyDescent="0.15">
      <c r="B16" s="470" t="s">
        <v>744</v>
      </c>
      <c r="C16" s="456">
        <v>1271</v>
      </c>
      <c r="D16" s="455">
        <v>1708</v>
      </c>
      <c r="E16" s="455">
        <v>2915</v>
      </c>
      <c r="F16" s="455">
        <v>95</v>
      </c>
      <c r="G16" s="455">
        <v>4271</v>
      </c>
      <c r="H16" s="455">
        <v>143</v>
      </c>
      <c r="I16" s="455">
        <v>4201</v>
      </c>
      <c r="J16" s="455">
        <v>137</v>
      </c>
      <c r="K16" s="455">
        <v>274</v>
      </c>
      <c r="L16" s="455">
        <v>260</v>
      </c>
      <c r="M16" s="455">
        <v>9</v>
      </c>
      <c r="N16" s="455">
        <v>7376</v>
      </c>
      <c r="O16" s="454">
        <v>241</v>
      </c>
      <c r="P16" s="233" t="s">
        <v>76</v>
      </c>
      <c r="Q16" s="386"/>
    </row>
    <row r="17" spans="2:16" ht="16.5" customHeight="1" x14ac:dyDescent="0.15">
      <c r="B17" s="470" t="s">
        <v>745</v>
      </c>
      <c r="C17" s="456">
        <v>1251</v>
      </c>
      <c r="D17" s="455">
        <v>1651</v>
      </c>
      <c r="E17" s="455">
        <v>2839</v>
      </c>
      <c r="F17" s="455">
        <v>93</v>
      </c>
      <c r="G17" s="455">
        <v>4274</v>
      </c>
      <c r="H17" s="455">
        <v>143</v>
      </c>
      <c r="I17" s="455">
        <v>4203</v>
      </c>
      <c r="J17" s="455">
        <v>138</v>
      </c>
      <c r="K17" s="455">
        <v>274</v>
      </c>
      <c r="L17" s="455">
        <v>260</v>
      </c>
      <c r="M17" s="455">
        <v>9</v>
      </c>
      <c r="N17" s="455">
        <v>7302</v>
      </c>
      <c r="O17" s="454">
        <v>240</v>
      </c>
      <c r="P17" s="233" t="s">
        <v>77</v>
      </c>
    </row>
    <row r="18" spans="2:16" ht="16.5" customHeight="1" x14ac:dyDescent="0.15">
      <c r="B18" s="470" t="s">
        <v>746</v>
      </c>
      <c r="C18" s="456">
        <v>1266</v>
      </c>
      <c r="D18" s="455">
        <v>1575</v>
      </c>
      <c r="E18" s="455">
        <v>2777</v>
      </c>
      <c r="F18" s="455">
        <v>92</v>
      </c>
      <c r="G18" s="455">
        <v>4263</v>
      </c>
      <c r="H18" s="455">
        <v>143</v>
      </c>
      <c r="I18" s="455">
        <v>4193</v>
      </c>
      <c r="J18" s="455">
        <v>138</v>
      </c>
      <c r="K18" s="455">
        <v>274</v>
      </c>
      <c r="L18" s="455">
        <v>260</v>
      </c>
      <c r="M18" s="455">
        <v>9</v>
      </c>
      <c r="N18" s="455">
        <v>7230</v>
      </c>
      <c r="O18" s="454">
        <v>238</v>
      </c>
      <c r="P18" s="233" t="s">
        <v>78</v>
      </c>
    </row>
    <row r="19" spans="2:16" ht="16.5" customHeight="1" x14ac:dyDescent="0.15">
      <c r="B19" s="470" t="s">
        <v>1069</v>
      </c>
      <c r="C19" s="576">
        <v>1206</v>
      </c>
      <c r="D19" s="455">
        <v>1630</v>
      </c>
      <c r="E19" s="455">
        <v>2776</v>
      </c>
      <c r="F19" s="455">
        <v>92</v>
      </c>
      <c r="G19" s="455">
        <v>4253</v>
      </c>
      <c r="H19" s="455">
        <v>143</v>
      </c>
      <c r="I19" s="455">
        <v>4183</v>
      </c>
      <c r="J19" s="455">
        <v>139</v>
      </c>
      <c r="K19" s="455">
        <v>274</v>
      </c>
      <c r="L19" s="455">
        <v>260</v>
      </c>
      <c r="M19" s="455">
        <v>9</v>
      </c>
      <c r="N19" s="455">
        <v>7220</v>
      </c>
      <c r="O19" s="454">
        <v>239</v>
      </c>
      <c r="P19" s="245">
        <v>45292</v>
      </c>
    </row>
    <row r="20" spans="2:16" ht="16.5" customHeight="1" x14ac:dyDescent="0.15">
      <c r="B20" s="470" t="s">
        <v>736</v>
      </c>
      <c r="C20" s="456">
        <v>1176</v>
      </c>
      <c r="D20" s="455">
        <v>1503</v>
      </c>
      <c r="E20" s="455">
        <v>2621</v>
      </c>
      <c r="F20" s="577">
        <v>88</v>
      </c>
      <c r="G20" s="455">
        <v>4253</v>
      </c>
      <c r="H20" s="455">
        <v>143</v>
      </c>
      <c r="I20" s="455">
        <v>4183</v>
      </c>
      <c r="J20" s="455">
        <v>141</v>
      </c>
      <c r="K20" s="455">
        <v>274</v>
      </c>
      <c r="L20" s="455">
        <v>260</v>
      </c>
      <c r="M20" s="455">
        <v>9</v>
      </c>
      <c r="N20" s="455">
        <v>7064</v>
      </c>
      <c r="O20" s="454">
        <v>237</v>
      </c>
      <c r="P20" s="233" t="s">
        <v>73</v>
      </c>
    </row>
    <row r="21" spans="2:16" ht="16.5" customHeight="1" x14ac:dyDescent="0.15">
      <c r="B21" s="471" t="s">
        <v>737</v>
      </c>
      <c r="C21" s="453">
        <v>1165</v>
      </c>
      <c r="D21" s="451">
        <v>1390</v>
      </c>
      <c r="E21" s="452">
        <v>2497</v>
      </c>
      <c r="F21" s="451">
        <v>85</v>
      </c>
      <c r="G21" s="451">
        <v>4253</v>
      </c>
      <c r="H21" s="451">
        <v>143</v>
      </c>
      <c r="I21" s="451">
        <v>4183</v>
      </c>
      <c r="J21" s="451">
        <v>142</v>
      </c>
      <c r="K21" s="451">
        <v>262</v>
      </c>
      <c r="L21" s="451">
        <v>249</v>
      </c>
      <c r="M21" s="451">
        <v>8</v>
      </c>
      <c r="N21" s="451">
        <v>6930</v>
      </c>
      <c r="O21" s="450">
        <v>235</v>
      </c>
      <c r="P21" s="434" t="s">
        <v>74</v>
      </c>
    </row>
    <row r="22" spans="2:16" ht="16.5" customHeight="1" x14ac:dyDescent="0.15">
      <c r="B22" s="26" t="s">
        <v>409</v>
      </c>
      <c r="C22" s="26"/>
      <c r="D22" s="26"/>
      <c r="E22" s="26"/>
      <c r="F22" s="26"/>
      <c r="G22" s="386"/>
      <c r="H22" s="723"/>
      <c r="I22" s="723" t="s">
        <v>456</v>
      </c>
      <c r="J22" s="26"/>
      <c r="K22" s="26"/>
      <c r="L22" s="26"/>
      <c r="M22" s="26"/>
      <c r="N22" s="26"/>
      <c r="O22" s="26"/>
      <c r="P22" s="26"/>
    </row>
    <row r="23" spans="2:16" ht="16.5" customHeight="1" x14ac:dyDescent="0.15">
      <c r="B23" s="26" t="s">
        <v>408</v>
      </c>
      <c r="C23" s="26"/>
      <c r="D23" s="26"/>
      <c r="E23" s="26"/>
      <c r="F23" s="26"/>
      <c r="G23" s="386"/>
      <c r="H23" s="26"/>
      <c r="I23" s="26" t="s">
        <v>457</v>
      </c>
      <c r="J23" s="26"/>
      <c r="K23" s="26"/>
      <c r="L23" s="26"/>
      <c r="M23" s="26"/>
      <c r="N23" s="26"/>
      <c r="O23" s="26"/>
      <c r="P23" s="26"/>
    </row>
    <row r="24" spans="2:16" ht="16.5" customHeight="1" x14ac:dyDescent="0.15">
      <c r="B24" s="449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</row>
    <row r="25" spans="2:16" ht="16.5" customHeight="1" x14ac:dyDescent="0.15">
      <c r="B25" s="387" t="s">
        <v>407</v>
      </c>
      <c r="C25" s="141"/>
      <c r="D25" s="141"/>
      <c r="E25" s="141"/>
      <c r="F25" s="141"/>
      <c r="G25" s="141"/>
      <c r="H25" s="24" t="s">
        <v>93</v>
      </c>
      <c r="I25" s="141"/>
      <c r="J25" s="141"/>
      <c r="K25" s="141"/>
      <c r="L25" s="141"/>
      <c r="M25" s="141"/>
      <c r="N25" s="141"/>
      <c r="O25" s="141"/>
      <c r="P25" s="141"/>
    </row>
    <row r="26" spans="2:16" ht="22.5" customHeight="1" x14ac:dyDescent="0.15">
      <c r="B26" s="1117" t="s">
        <v>406</v>
      </c>
      <c r="C26" s="1119" t="s">
        <v>405</v>
      </c>
      <c r="D26" s="1120"/>
      <c r="E26" s="716" t="s">
        <v>458</v>
      </c>
      <c r="F26" s="447" t="s">
        <v>404</v>
      </c>
      <c r="G26" s="447" t="s">
        <v>403</v>
      </c>
      <c r="H26" s="718" t="s">
        <v>402</v>
      </c>
      <c r="I26" s="712" t="s">
        <v>401</v>
      </c>
      <c r="J26" s="1104" t="s">
        <v>459</v>
      </c>
      <c r="K26" s="448"/>
      <c r="L26" s="448"/>
      <c r="M26" s="448"/>
      <c r="N26" s="386"/>
      <c r="O26" s="386"/>
      <c r="P26" s="26"/>
    </row>
    <row r="27" spans="2:16" ht="28.5" customHeight="1" x14ac:dyDescent="0.15">
      <c r="B27" s="1118"/>
      <c r="C27" s="717" t="s">
        <v>611</v>
      </c>
      <c r="D27" s="447" t="s">
        <v>747</v>
      </c>
      <c r="E27" s="446" t="s">
        <v>611</v>
      </c>
      <c r="F27" s="717" t="s">
        <v>611</v>
      </c>
      <c r="G27" s="717" t="s">
        <v>611</v>
      </c>
      <c r="H27" s="717" t="s">
        <v>612</v>
      </c>
      <c r="I27" s="446" t="s">
        <v>612</v>
      </c>
      <c r="J27" s="1121"/>
      <c r="K27" s="445"/>
      <c r="L27" s="445"/>
      <c r="M27" s="445"/>
      <c r="N27" s="386"/>
      <c r="O27" s="386"/>
      <c r="P27" s="26"/>
    </row>
    <row r="28" spans="2:16" ht="16.5" customHeight="1" x14ac:dyDescent="0.15">
      <c r="B28" s="475"/>
      <c r="C28" s="444"/>
      <c r="D28" s="26"/>
      <c r="E28" s="26"/>
      <c r="F28" s="443"/>
      <c r="G28" s="443"/>
      <c r="H28" s="443"/>
      <c r="I28" s="443"/>
      <c r="J28" s="319"/>
      <c r="K28" s="26"/>
      <c r="L28" s="26"/>
      <c r="M28" s="26"/>
      <c r="N28" s="386"/>
      <c r="O28" s="386"/>
      <c r="P28" s="26"/>
    </row>
    <row r="29" spans="2:16" ht="16.5" customHeight="1" x14ac:dyDescent="0.15">
      <c r="B29" s="470" t="s">
        <v>1068</v>
      </c>
      <c r="C29" s="441">
        <v>73339</v>
      </c>
      <c r="D29" s="440">
        <v>88.27</v>
      </c>
      <c r="E29" s="42">
        <v>62983</v>
      </c>
      <c r="F29" s="439" t="s">
        <v>1029</v>
      </c>
      <c r="G29" s="439">
        <v>108667</v>
      </c>
      <c r="H29" s="439">
        <v>84806</v>
      </c>
      <c r="I29" s="442">
        <v>127295</v>
      </c>
      <c r="J29" s="245">
        <v>44927</v>
      </c>
      <c r="K29" s="555"/>
      <c r="L29" s="905"/>
      <c r="M29" s="356"/>
      <c r="N29" s="356"/>
      <c r="O29" s="356"/>
      <c r="P29" s="356"/>
    </row>
    <row r="30" spans="2:16" ht="16.5" customHeight="1" x14ac:dyDescent="0.15">
      <c r="B30" s="470" t="s">
        <v>736</v>
      </c>
      <c r="C30" s="441">
        <v>72067</v>
      </c>
      <c r="D30" s="440">
        <v>87.9</v>
      </c>
      <c r="E30" s="408">
        <v>62625</v>
      </c>
      <c r="F30" s="439" t="s">
        <v>1029</v>
      </c>
      <c r="G30" s="439">
        <v>104725</v>
      </c>
      <c r="H30" s="439">
        <v>91571</v>
      </c>
      <c r="I30" s="439">
        <v>118219</v>
      </c>
      <c r="J30" s="233" t="s">
        <v>73</v>
      </c>
      <c r="K30" s="555"/>
      <c r="L30" s="905"/>
      <c r="M30" s="356"/>
      <c r="N30" s="439"/>
      <c r="O30" s="439"/>
      <c r="P30" s="356"/>
    </row>
    <row r="31" spans="2:16" ht="16.5" customHeight="1" x14ac:dyDescent="0.15">
      <c r="B31" s="470" t="s">
        <v>737</v>
      </c>
      <c r="C31" s="441">
        <v>72488</v>
      </c>
      <c r="D31" s="556">
        <v>85.43</v>
      </c>
      <c r="E31" s="408">
        <v>67424</v>
      </c>
      <c r="F31" s="439" t="s">
        <v>1029</v>
      </c>
      <c r="G31" s="439">
        <v>100457</v>
      </c>
      <c r="H31" s="439">
        <v>93594</v>
      </c>
      <c r="I31" s="442">
        <v>102839</v>
      </c>
      <c r="J31" s="233" t="s">
        <v>74</v>
      </c>
      <c r="K31" s="555"/>
      <c r="L31" s="905"/>
      <c r="M31" s="356"/>
      <c r="N31" s="356"/>
      <c r="O31" s="439"/>
      <c r="P31" s="356"/>
    </row>
    <row r="32" spans="2:16" ht="16.5" customHeight="1" x14ac:dyDescent="0.15">
      <c r="B32" s="470" t="s">
        <v>738</v>
      </c>
      <c r="C32" s="441">
        <v>69431</v>
      </c>
      <c r="D32" s="440">
        <v>83.51</v>
      </c>
      <c r="E32" s="408">
        <v>66468</v>
      </c>
      <c r="F32" s="439" t="s">
        <v>1029</v>
      </c>
      <c r="G32" s="439">
        <v>107114</v>
      </c>
      <c r="H32" s="439">
        <v>84560</v>
      </c>
      <c r="I32" s="442">
        <v>91979</v>
      </c>
      <c r="J32" s="233" t="s">
        <v>75</v>
      </c>
      <c r="K32" s="555"/>
      <c r="L32" s="905"/>
      <c r="M32" s="356"/>
      <c r="N32" s="439"/>
      <c r="O32" s="439"/>
      <c r="P32" s="356"/>
    </row>
    <row r="33" spans="2:16" ht="16.5" customHeight="1" x14ac:dyDescent="0.15">
      <c r="B33" s="470" t="s">
        <v>739</v>
      </c>
      <c r="C33" s="439">
        <v>73623</v>
      </c>
      <c r="D33" s="440">
        <v>86.47</v>
      </c>
      <c r="E33" s="42">
        <v>66268</v>
      </c>
      <c r="F33" s="439" t="s">
        <v>1029</v>
      </c>
      <c r="G33" s="439" t="s">
        <v>1029</v>
      </c>
      <c r="H33" s="439">
        <v>80322</v>
      </c>
      <c r="I33" s="439">
        <v>89241</v>
      </c>
      <c r="J33" s="233" t="s">
        <v>455</v>
      </c>
      <c r="K33" s="555"/>
      <c r="L33" s="905"/>
      <c r="M33" s="356"/>
      <c r="N33" s="356"/>
      <c r="O33" s="356"/>
      <c r="P33" s="356"/>
    </row>
    <row r="34" spans="2:16" ht="16.5" customHeight="1" x14ac:dyDescent="0.15">
      <c r="B34" s="470" t="s">
        <v>740</v>
      </c>
      <c r="C34" s="439">
        <v>72086</v>
      </c>
      <c r="D34" s="440">
        <v>82.29</v>
      </c>
      <c r="E34" s="42">
        <v>63453</v>
      </c>
      <c r="F34" s="439" t="s">
        <v>1029</v>
      </c>
      <c r="G34" s="439">
        <v>105651</v>
      </c>
      <c r="H34" s="439">
        <v>77048</v>
      </c>
      <c r="I34" s="439">
        <v>86740</v>
      </c>
      <c r="J34" s="233" t="s">
        <v>89</v>
      </c>
      <c r="K34" s="555"/>
      <c r="L34" s="905"/>
      <c r="M34" s="356"/>
      <c r="N34" s="356"/>
      <c r="O34" s="439"/>
      <c r="P34" s="356"/>
    </row>
    <row r="35" spans="2:16" ht="16.5" customHeight="1" x14ac:dyDescent="0.15">
      <c r="B35" s="470" t="s">
        <v>741</v>
      </c>
      <c r="C35" s="439">
        <v>72112</v>
      </c>
      <c r="D35" s="440">
        <v>80.540000000000006</v>
      </c>
      <c r="E35" s="42">
        <v>59396</v>
      </c>
      <c r="F35" s="439">
        <v>94117</v>
      </c>
      <c r="G35" s="439">
        <v>106164</v>
      </c>
      <c r="H35" s="439">
        <v>72143</v>
      </c>
      <c r="I35" s="439">
        <v>88467</v>
      </c>
      <c r="J35" s="233" t="s">
        <v>90</v>
      </c>
      <c r="K35" s="555"/>
      <c r="L35" s="905"/>
      <c r="M35" s="356"/>
      <c r="N35" s="356"/>
      <c r="O35" s="356"/>
      <c r="P35" s="356"/>
    </row>
    <row r="36" spans="2:16" ht="16.5" customHeight="1" x14ac:dyDescent="0.15">
      <c r="B36" s="470" t="s">
        <v>742</v>
      </c>
      <c r="C36" s="439">
        <v>73569</v>
      </c>
      <c r="D36" s="440">
        <v>82.16</v>
      </c>
      <c r="E36" s="42">
        <v>59083</v>
      </c>
      <c r="F36" s="439" t="s">
        <v>1029</v>
      </c>
      <c r="G36" s="439">
        <v>123053</v>
      </c>
      <c r="H36" s="439">
        <v>75257</v>
      </c>
      <c r="I36" s="439">
        <v>88257</v>
      </c>
      <c r="J36" s="233" t="s">
        <v>91</v>
      </c>
      <c r="K36" s="555"/>
      <c r="L36" s="905"/>
      <c r="M36" s="356"/>
      <c r="N36" s="356"/>
      <c r="O36" s="439"/>
      <c r="P36" s="356"/>
    </row>
    <row r="37" spans="2:16" ht="16.5" customHeight="1" x14ac:dyDescent="0.15">
      <c r="B37" s="470" t="s">
        <v>743</v>
      </c>
      <c r="C37" s="439">
        <v>79754</v>
      </c>
      <c r="D37" s="440">
        <v>86.56</v>
      </c>
      <c r="E37" s="42">
        <v>66225</v>
      </c>
      <c r="F37" s="439" t="s">
        <v>1029</v>
      </c>
      <c r="G37" s="439">
        <v>114463</v>
      </c>
      <c r="H37" s="439">
        <v>88861</v>
      </c>
      <c r="I37" s="439">
        <v>87700</v>
      </c>
      <c r="J37" s="233" t="s">
        <v>92</v>
      </c>
      <c r="K37" s="555"/>
      <c r="L37" s="905"/>
      <c r="M37" s="356"/>
      <c r="N37" s="356"/>
      <c r="O37" s="439"/>
      <c r="P37" s="356"/>
    </row>
    <row r="38" spans="2:16" ht="16.5" customHeight="1" x14ac:dyDescent="0.15">
      <c r="B38" s="470" t="s">
        <v>744</v>
      </c>
      <c r="C38" s="439">
        <v>86859</v>
      </c>
      <c r="D38" s="440">
        <v>92.76</v>
      </c>
      <c r="E38" s="42">
        <v>72213</v>
      </c>
      <c r="F38" s="439" t="s">
        <v>1029</v>
      </c>
      <c r="G38" s="439">
        <v>123398</v>
      </c>
      <c r="H38" s="439">
        <v>93662</v>
      </c>
      <c r="I38" s="439">
        <v>91871</v>
      </c>
      <c r="J38" s="233" t="s">
        <v>76</v>
      </c>
      <c r="K38" s="555"/>
      <c r="L38" s="905"/>
      <c r="M38" s="356"/>
      <c r="N38" s="356"/>
      <c r="O38" s="356"/>
      <c r="P38" s="356"/>
    </row>
    <row r="39" spans="2:16" ht="16.5" customHeight="1" x14ac:dyDescent="0.15">
      <c r="B39" s="470" t="s">
        <v>745</v>
      </c>
      <c r="C39" s="439">
        <v>88790</v>
      </c>
      <c r="D39" s="440">
        <v>93.9</v>
      </c>
      <c r="E39" s="42">
        <v>72282</v>
      </c>
      <c r="F39" s="439">
        <v>115874</v>
      </c>
      <c r="G39" s="439">
        <v>125616</v>
      </c>
      <c r="H39" s="439">
        <v>94269</v>
      </c>
      <c r="I39" s="439">
        <v>92941</v>
      </c>
      <c r="J39" s="233" t="s">
        <v>450</v>
      </c>
      <c r="K39" s="555"/>
      <c r="L39" s="905"/>
      <c r="M39" s="356"/>
      <c r="N39" s="356"/>
      <c r="O39" s="439"/>
      <c r="P39" s="356"/>
    </row>
    <row r="40" spans="2:16" ht="16.5" customHeight="1" x14ac:dyDescent="0.15">
      <c r="B40" s="470" t="s">
        <v>746</v>
      </c>
      <c r="C40" s="439">
        <v>83554</v>
      </c>
      <c r="D40" s="440">
        <v>90.3</v>
      </c>
      <c r="E40" s="42">
        <v>68238</v>
      </c>
      <c r="F40" s="439" t="s">
        <v>1029</v>
      </c>
      <c r="G40" s="439">
        <v>111244</v>
      </c>
      <c r="H40" s="439">
        <v>93286</v>
      </c>
      <c r="I40" s="439">
        <v>101068</v>
      </c>
      <c r="J40" s="233" t="s">
        <v>78</v>
      </c>
      <c r="K40" s="555"/>
      <c r="L40" s="905"/>
      <c r="M40" s="356"/>
      <c r="N40" s="356"/>
      <c r="O40" s="439"/>
      <c r="P40" s="356"/>
    </row>
    <row r="41" spans="2:16" ht="16.5" customHeight="1" x14ac:dyDescent="0.15">
      <c r="B41" s="470" t="s">
        <v>1069</v>
      </c>
      <c r="C41" s="441">
        <v>77710</v>
      </c>
      <c r="D41" s="440">
        <v>85.78</v>
      </c>
      <c r="E41" s="42">
        <v>68481</v>
      </c>
      <c r="F41" s="439" t="s">
        <v>1029</v>
      </c>
      <c r="G41" s="439">
        <v>111525</v>
      </c>
      <c r="H41" s="439">
        <v>87115</v>
      </c>
      <c r="I41" s="442">
        <v>101874</v>
      </c>
      <c r="J41" s="245">
        <v>45292</v>
      </c>
      <c r="K41" s="555"/>
      <c r="L41" s="905"/>
      <c r="M41" s="356"/>
      <c r="N41" s="439"/>
      <c r="O41" s="356"/>
      <c r="P41" s="356"/>
    </row>
    <row r="42" spans="2:16" ht="16.5" customHeight="1" x14ac:dyDescent="0.15">
      <c r="B42" s="470" t="s">
        <v>736</v>
      </c>
      <c r="C42" s="441">
        <v>78002</v>
      </c>
      <c r="D42" s="440">
        <v>83.71</v>
      </c>
      <c r="E42" s="408">
        <v>70191</v>
      </c>
      <c r="F42" s="439" t="s">
        <v>1029</v>
      </c>
      <c r="G42" s="439">
        <v>110522</v>
      </c>
      <c r="H42" s="439">
        <v>94355</v>
      </c>
      <c r="I42" s="439">
        <v>99140</v>
      </c>
      <c r="J42" s="233" t="s">
        <v>73</v>
      </c>
      <c r="K42" s="555"/>
      <c r="L42" s="905"/>
      <c r="M42" s="356"/>
      <c r="N42" s="356"/>
      <c r="O42" s="356"/>
      <c r="P42" s="356"/>
    </row>
    <row r="43" spans="2:16" ht="16.5" customHeight="1" x14ac:dyDescent="0.15">
      <c r="B43" s="471" t="s">
        <v>737</v>
      </c>
      <c r="C43" s="438">
        <v>78091</v>
      </c>
      <c r="D43" s="437">
        <v>83.08</v>
      </c>
      <c r="E43" s="436">
        <v>72976</v>
      </c>
      <c r="F43" s="435" t="s">
        <v>1029</v>
      </c>
      <c r="G43" s="435">
        <v>116004</v>
      </c>
      <c r="H43" s="435">
        <v>94203</v>
      </c>
      <c r="I43" s="435">
        <v>95760</v>
      </c>
      <c r="J43" s="434" t="s">
        <v>74</v>
      </c>
      <c r="L43" s="905"/>
      <c r="M43" s="433"/>
      <c r="N43" s="386"/>
      <c r="O43" s="386"/>
      <c r="P43" s="26"/>
    </row>
    <row r="44" spans="2:16" ht="16.5" customHeight="1" x14ac:dyDescent="0.15">
      <c r="B44" s="26" t="s">
        <v>400</v>
      </c>
      <c r="C44" s="26"/>
      <c r="D44" s="26"/>
      <c r="E44" s="26"/>
      <c r="F44" s="26"/>
      <c r="G44" s="386"/>
      <c r="H44" s="26"/>
      <c r="I44" s="26" t="s">
        <v>460</v>
      </c>
      <c r="J44" s="26"/>
      <c r="K44" s="26"/>
      <c r="L44" s="26"/>
      <c r="M44" s="26"/>
      <c r="N44" s="26"/>
      <c r="O44" s="26"/>
      <c r="P44" s="26"/>
    </row>
    <row r="45" spans="2:16" ht="16.5" customHeight="1" x14ac:dyDescent="0.15">
      <c r="B45" s="26" t="s">
        <v>433</v>
      </c>
      <c r="C45" s="26"/>
      <c r="D45" s="26"/>
      <c r="E45" s="26"/>
      <c r="F45" s="26"/>
      <c r="G45" s="386"/>
      <c r="H45" s="723"/>
      <c r="I45" s="723" t="s">
        <v>461</v>
      </c>
      <c r="J45" s="26"/>
      <c r="K45" s="26"/>
      <c r="L45" s="26"/>
      <c r="M45" s="26"/>
      <c r="N45" s="26"/>
      <c r="O45" s="26"/>
      <c r="P45" s="26"/>
    </row>
    <row r="46" spans="2:16" ht="16.5" customHeight="1" x14ac:dyDescent="0.15">
      <c r="B46" s="723" t="s">
        <v>399</v>
      </c>
      <c r="C46" s="141"/>
      <c r="D46" s="141"/>
      <c r="E46" s="141"/>
      <c r="F46" s="141"/>
      <c r="G46" s="141"/>
      <c r="H46" s="723"/>
      <c r="I46" s="723" t="s">
        <v>462</v>
      </c>
      <c r="J46" s="141"/>
      <c r="K46" s="141"/>
      <c r="L46" s="141"/>
      <c r="M46" s="141"/>
      <c r="N46" s="141"/>
      <c r="O46" s="141"/>
      <c r="P46" s="141"/>
    </row>
    <row r="47" spans="2:16" ht="16.5" customHeight="1" x14ac:dyDescent="0.15">
      <c r="B47" s="723" t="s">
        <v>398</v>
      </c>
      <c r="C47" s="141"/>
      <c r="D47" s="141"/>
      <c r="E47" s="141"/>
      <c r="F47" s="141"/>
      <c r="G47" s="141"/>
      <c r="H47" s="723"/>
      <c r="I47" s="723" t="s">
        <v>463</v>
      </c>
      <c r="J47" s="141"/>
      <c r="K47" s="141"/>
      <c r="L47" s="141"/>
      <c r="M47" s="141"/>
      <c r="N47" s="141"/>
      <c r="O47" s="141"/>
      <c r="P47" s="141"/>
    </row>
    <row r="48" spans="2:16" ht="16.5" customHeight="1" x14ac:dyDescent="0.15">
      <c r="B48" s="723" t="s">
        <v>397</v>
      </c>
      <c r="C48" s="141"/>
      <c r="D48" s="141"/>
      <c r="E48" s="141"/>
      <c r="F48" s="141"/>
      <c r="G48" s="141"/>
      <c r="H48" s="723"/>
      <c r="I48" s="723" t="s">
        <v>464</v>
      </c>
      <c r="J48" s="141"/>
      <c r="K48" s="141"/>
      <c r="L48" s="141"/>
      <c r="M48" s="141"/>
      <c r="N48" s="141"/>
      <c r="O48" s="141"/>
      <c r="P48" s="141"/>
    </row>
    <row r="49" spans="3:9" ht="16.5" customHeight="1" x14ac:dyDescent="0.15">
      <c r="C49" s="906"/>
      <c r="D49" s="907"/>
      <c r="E49" s="906"/>
      <c r="F49" s="906"/>
      <c r="G49" s="906"/>
      <c r="H49" s="906"/>
      <c r="I49" s="906"/>
    </row>
    <row r="50" spans="3:9" ht="16.5" customHeight="1" x14ac:dyDescent="0.15">
      <c r="C50" s="906"/>
      <c r="D50" s="907"/>
      <c r="E50" s="906"/>
      <c r="F50" s="906"/>
      <c r="G50" s="906"/>
      <c r="H50" s="906"/>
    </row>
    <row r="51" spans="3:9" ht="16.5" customHeight="1" x14ac:dyDescent="0.15">
      <c r="C51" s="906"/>
      <c r="D51" s="907"/>
      <c r="E51" s="906"/>
      <c r="F51" s="906"/>
      <c r="G51" s="906"/>
      <c r="H51" s="906"/>
    </row>
    <row r="52" spans="3:9" ht="16.5" customHeight="1" x14ac:dyDescent="0.15">
      <c r="C52" s="906"/>
      <c r="D52" s="907"/>
      <c r="E52" s="906"/>
      <c r="F52" s="906"/>
      <c r="G52" s="906"/>
      <c r="H52" s="906"/>
    </row>
    <row r="53" spans="3:9" ht="16.5" customHeight="1" x14ac:dyDescent="0.15">
      <c r="C53" s="906"/>
      <c r="D53" s="907"/>
      <c r="E53" s="906"/>
      <c r="F53" s="906"/>
      <c r="G53" s="906"/>
      <c r="H53" s="906"/>
    </row>
    <row r="54" spans="3:9" ht="16.5" customHeight="1" x14ac:dyDescent="0.15">
      <c r="C54" s="906"/>
      <c r="D54" s="907"/>
      <c r="E54" s="906"/>
      <c r="F54" s="906"/>
      <c r="G54" s="906"/>
      <c r="H54" s="906"/>
    </row>
    <row r="55" spans="3:9" ht="16.5" customHeight="1" x14ac:dyDescent="0.15">
      <c r="C55" s="906"/>
      <c r="D55" s="907"/>
      <c r="E55" s="906"/>
      <c r="F55" s="906"/>
      <c r="G55" s="906"/>
      <c r="H55" s="906"/>
    </row>
    <row r="56" spans="3:9" ht="16.5" customHeight="1" x14ac:dyDescent="0.15">
      <c r="C56" s="906"/>
      <c r="D56" s="907"/>
      <c r="E56" s="906"/>
      <c r="F56" s="906"/>
      <c r="G56" s="906"/>
      <c r="H56" s="906"/>
    </row>
    <row r="57" spans="3:9" ht="16.5" customHeight="1" x14ac:dyDescent="0.15">
      <c r="C57" s="906"/>
      <c r="D57" s="907"/>
      <c r="E57" s="906"/>
      <c r="F57" s="906"/>
      <c r="G57" s="906"/>
      <c r="H57" s="906"/>
    </row>
    <row r="58" spans="3:9" ht="16.5" customHeight="1" x14ac:dyDescent="0.15">
      <c r="C58" s="906"/>
      <c r="D58" s="907"/>
      <c r="E58" s="906"/>
      <c r="F58" s="906"/>
      <c r="G58" s="906"/>
      <c r="H58" s="906"/>
    </row>
    <row r="59" spans="3:9" ht="16.5" customHeight="1" x14ac:dyDescent="0.15">
      <c r="C59" s="906"/>
      <c r="D59" s="907"/>
      <c r="E59" s="906"/>
      <c r="F59" s="906"/>
      <c r="G59" s="906"/>
      <c r="H59" s="906"/>
    </row>
    <row r="60" spans="3:9" ht="16.5" customHeight="1" x14ac:dyDescent="0.15">
      <c r="C60" s="906"/>
      <c r="D60" s="907"/>
      <c r="E60" s="906"/>
      <c r="F60" s="906"/>
      <c r="G60" s="906"/>
      <c r="H60" s="906"/>
    </row>
    <row r="61" spans="3:9" ht="16.5" customHeight="1" x14ac:dyDescent="0.15">
      <c r="C61" s="906"/>
      <c r="D61" s="907"/>
      <c r="E61" s="906"/>
      <c r="F61" s="906"/>
      <c r="G61" s="906"/>
      <c r="H61" s="906"/>
    </row>
    <row r="62" spans="3:9" ht="16.5" customHeight="1" x14ac:dyDescent="0.15">
      <c r="C62" s="906"/>
      <c r="D62" s="907"/>
      <c r="E62" s="906"/>
      <c r="F62" s="906"/>
      <c r="G62" s="906"/>
      <c r="H62" s="906"/>
    </row>
    <row r="63" spans="3:9" ht="16.5" customHeight="1" x14ac:dyDescent="0.15">
      <c r="C63" s="906"/>
      <c r="D63" s="907"/>
      <c r="E63" s="906"/>
      <c r="F63" s="906"/>
      <c r="G63" s="906"/>
      <c r="H63" s="906"/>
    </row>
  </sheetData>
  <mergeCells count="14">
    <mergeCell ref="B26:B27"/>
    <mergeCell ref="C26:D26"/>
    <mergeCell ref="J26:J27"/>
    <mergeCell ref="B3:B5"/>
    <mergeCell ref="G3:J3"/>
    <mergeCell ref="P3:P5"/>
    <mergeCell ref="F4:F5"/>
    <mergeCell ref="J4:J5"/>
    <mergeCell ref="K4:K5"/>
    <mergeCell ref="L4:L5"/>
    <mergeCell ref="M4:M5"/>
    <mergeCell ref="N4:N5"/>
    <mergeCell ref="O4:O5"/>
    <mergeCell ref="K3:M3"/>
  </mergeCells>
  <phoneticPr fontId="33"/>
  <pageMargins left="0.59055118110236227" right="0.59055118110236227" top="0.59055118110236227" bottom="0.59055118110236227" header="0.31496062992125984" footer="0.31496062992125984"/>
  <pageSetup paperSize="9" scale="92" fitToWidth="2" orientation="portrait" r:id="rId1"/>
  <colBreaks count="1" manualBreakCount="1">
    <brk id="8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79"/>
  <sheetViews>
    <sheetView view="pageBreakPreview" zoomScale="110" zoomScaleNormal="100" zoomScaleSheetLayoutView="110" workbookViewId="0"/>
  </sheetViews>
  <sheetFormatPr defaultRowHeight="13.5" x14ac:dyDescent="0.15"/>
  <cols>
    <col min="1" max="1" width="12.125" style="141" customWidth="1"/>
    <col min="2" max="2" width="9.5" style="141" bestFit="1" customWidth="1"/>
    <col min="3" max="4" width="9.625" style="141" customWidth="1"/>
    <col min="5" max="5" width="5.625" style="141" customWidth="1"/>
    <col min="6" max="6" width="9.375" style="141" customWidth="1"/>
    <col min="7" max="8" width="9.625" style="141" customWidth="1"/>
    <col min="9" max="10" width="6" style="141" customWidth="1"/>
    <col min="11" max="11" width="8.5" style="141" customWidth="1"/>
    <col min="12" max="12" width="13.625" style="141" customWidth="1"/>
    <col min="13" max="13" width="10.375" style="141" customWidth="1"/>
    <col min="14" max="14" width="13.5" style="141" customWidth="1"/>
    <col min="15" max="18" width="10.375" style="141" customWidth="1"/>
    <col min="19" max="19" width="11.25" style="141" bestFit="1" customWidth="1"/>
    <col min="20" max="16384" width="9" style="141"/>
  </cols>
  <sheetData>
    <row r="1" spans="1:15" s="386" customFormat="1" ht="20.100000000000001" customHeight="1" x14ac:dyDescent="0.15">
      <c r="A1" s="387" t="s">
        <v>1070</v>
      </c>
    </row>
    <row r="2" spans="1:15" s="386" customFormat="1" ht="20.100000000000001" customHeight="1" x14ac:dyDescent="0.15">
      <c r="A2" s="387" t="s">
        <v>1125</v>
      </c>
    </row>
    <row r="3" spans="1:15" s="386" customFormat="1" ht="20.100000000000001" customHeight="1" x14ac:dyDescent="0.15">
      <c r="A3" s="387" t="s">
        <v>748</v>
      </c>
    </row>
    <row r="4" spans="1:15" s="373" customFormat="1" ht="38.25" customHeight="1" x14ac:dyDescent="0.15">
      <c r="A4" s="1069" t="s">
        <v>382</v>
      </c>
      <c r="B4" s="1128" t="s">
        <v>1071</v>
      </c>
      <c r="C4" s="1129"/>
      <c r="D4" s="1129"/>
      <c r="E4" s="1130"/>
      <c r="F4" s="908" t="s">
        <v>381</v>
      </c>
      <c r="G4" s="909"/>
      <c r="H4" s="909"/>
      <c r="I4" s="1131" t="s">
        <v>380</v>
      </c>
      <c r="J4" s="1131" t="s">
        <v>465</v>
      </c>
      <c r="K4" s="1133" t="s">
        <v>569</v>
      </c>
    </row>
    <row r="5" spans="1:15" s="373" customFormat="1" ht="28.9" customHeight="1" x14ac:dyDescent="0.15">
      <c r="A5" s="1051"/>
      <c r="B5" s="403" t="s">
        <v>379</v>
      </c>
      <c r="C5" s="910" t="s">
        <v>466</v>
      </c>
      <c r="D5" s="910" t="s">
        <v>467</v>
      </c>
      <c r="E5" s="911" t="s">
        <v>378</v>
      </c>
      <c r="F5" s="402" t="s">
        <v>195</v>
      </c>
      <c r="G5" s="912" t="s">
        <v>377</v>
      </c>
      <c r="H5" s="912" t="s">
        <v>376</v>
      </c>
      <c r="I5" s="1132"/>
      <c r="J5" s="1132"/>
      <c r="K5" s="1134"/>
    </row>
    <row r="6" spans="1:15" s="373" customFormat="1" ht="31.5" x14ac:dyDescent="0.15">
      <c r="A6" s="1070"/>
      <c r="B6" s="913" t="s">
        <v>468</v>
      </c>
      <c r="C6" s="914" t="s">
        <v>470</v>
      </c>
      <c r="D6" s="914" t="s">
        <v>471</v>
      </c>
      <c r="E6" s="915" t="s">
        <v>469</v>
      </c>
      <c r="F6" s="913" t="s">
        <v>468</v>
      </c>
      <c r="G6" s="914" t="s">
        <v>470</v>
      </c>
      <c r="H6" s="914" t="s">
        <v>471</v>
      </c>
      <c r="I6" s="915" t="s">
        <v>627</v>
      </c>
      <c r="J6" s="915" t="s">
        <v>472</v>
      </c>
      <c r="K6" s="1135"/>
    </row>
    <row r="7" spans="1:15" s="373" customFormat="1" ht="21" customHeight="1" x14ac:dyDescent="0.15">
      <c r="A7" s="378" t="s">
        <v>1072</v>
      </c>
      <c r="B7" s="393">
        <v>175488885</v>
      </c>
      <c r="C7" s="393">
        <v>122776302</v>
      </c>
      <c r="D7" s="393">
        <v>52712583</v>
      </c>
      <c r="E7" s="391">
        <v>30</v>
      </c>
      <c r="F7" s="393">
        <v>73679149</v>
      </c>
      <c r="G7" s="393">
        <v>51399120</v>
      </c>
      <c r="H7" s="393">
        <v>22280029</v>
      </c>
      <c r="I7" s="398">
        <v>36.47</v>
      </c>
      <c r="J7" s="398">
        <v>1.43</v>
      </c>
      <c r="K7" s="381" t="s">
        <v>570</v>
      </c>
      <c r="L7" s="376"/>
    </row>
    <row r="8" spans="1:15" s="373" customFormat="1" ht="21" customHeight="1" x14ac:dyDescent="0.15">
      <c r="A8" s="378" t="s">
        <v>1073</v>
      </c>
      <c r="B8" s="377">
        <v>143879667</v>
      </c>
      <c r="C8" s="393">
        <v>105584434</v>
      </c>
      <c r="D8" s="377">
        <v>38295233</v>
      </c>
      <c r="E8" s="391">
        <v>26.6</v>
      </c>
      <c r="F8" s="377">
        <v>42393838</v>
      </c>
      <c r="G8" s="393">
        <v>30547267</v>
      </c>
      <c r="H8" s="377">
        <v>11846571</v>
      </c>
      <c r="I8" s="398">
        <v>36.299999999999997</v>
      </c>
      <c r="J8" s="398">
        <v>1.48</v>
      </c>
      <c r="K8" s="381" t="s">
        <v>628</v>
      </c>
      <c r="L8" s="376"/>
    </row>
    <row r="9" spans="1:15" s="373" customFormat="1" ht="21" customHeight="1" x14ac:dyDescent="0.15">
      <c r="A9" s="378" t="s">
        <v>1074</v>
      </c>
      <c r="B9" s="377">
        <v>144662684</v>
      </c>
      <c r="C9" s="393">
        <v>93325278</v>
      </c>
      <c r="D9" s="377">
        <v>51337406</v>
      </c>
      <c r="E9" s="391">
        <v>35.5</v>
      </c>
      <c r="F9" s="377">
        <v>63924816</v>
      </c>
      <c r="G9" s="393">
        <v>40909759</v>
      </c>
      <c r="H9" s="377">
        <v>23015057</v>
      </c>
      <c r="I9" s="398">
        <v>35.97</v>
      </c>
      <c r="J9" s="398">
        <v>1.48</v>
      </c>
      <c r="K9" s="381" t="s">
        <v>749</v>
      </c>
      <c r="L9" s="376"/>
      <c r="M9" s="390"/>
      <c r="N9" s="376"/>
    </row>
    <row r="10" spans="1:15" s="373" customFormat="1" ht="21" customHeight="1" x14ac:dyDescent="0.15">
      <c r="A10" s="378" t="s">
        <v>1075</v>
      </c>
      <c r="B10" s="377">
        <v>158641580</v>
      </c>
      <c r="C10" s="393">
        <v>102115639</v>
      </c>
      <c r="D10" s="377">
        <v>56525941</v>
      </c>
      <c r="E10" s="391">
        <v>35.6</v>
      </c>
      <c r="F10" s="377">
        <v>102426336</v>
      </c>
      <c r="G10" s="393">
        <v>65384913</v>
      </c>
      <c r="H10" s="377">
        <v>37041423</v>
      </c>
      <c r="I10" s="398">
        <v>35.979999999999997</v>
      </c>
      <c r="J10" s="398">
        <v>1.5</v>
      </c>
      <c r="K10" s="381" t="s">
        <v>889</v>
      </c>
      <c r="L10" s="376"/>
      <c r="M10" s="390"/>
      <c r="N10" s="376"/>
    </row>
    <row r="11" spans="1:15" s="373" customFormat="1" ht="21" customHeight="1" x14ac:dyDescent="0.15">
      <c r="A11" s="378" t="s">
        <v>1076</v>
      </c>
      <c r="B11" s="377">
        <v>147661066</v>
      </c>
      <c r="C11" s="393">
        <v>98602712</v>
      </c>
      <c r="D11" s="377">
        <v>49058354</v>
      </c>
      <c r="E11" s="391">
        <v>33.200000000000003</v>
      </c>
      <c r="F11" s="377">
        <v>80429451</v>
      </c>
      <c r="G11" s="393">
        <v>53581011</v>
      </c>
      <c r="H11" s="377">
        <v>26848440</v>
      </c>
      <c r="I11" s="398">
        <v>36.64</v>
      </c>
      <c r="J11" s="398">
        <v>1.43</v>
      </c>
      <c r="K11" s="381" t="s">
        <v>1077</v>
      </c>
      <c r="L11" s="376"/>
      <c r="M11" s="390"/>
      <c r="N11" s="376"/>
    </row>
    <row r="12" spans="1:15" s="373" customFormat="1" ht="21" customHeight="1" x14ac:dyDescent="0.15">
      <c r="A12" s="385"/>
      <c r="B12" s="393"/>
      <c r="C12" s="393"/>
      <c r="D12" s="393"/>
      <c r="E12" s="401"/>
      <c r="F12" s="393"/>
      <c r="G12" s="393"/>
      <c r="H12" s="393"/>
      <c r="I12" s="398"/>
      <c r="J12" s="398"/>
      <c r="K12" s="382"/>
      <c r="L12" s="376"/>
      <c r="M12" s="321"/>
    </row>
    <row r="13" spans="1:15" s="373" customFormat="1" ht="21" customHeight="1" x14ac:dyDescent="0.15">
      <c r="A13" s="378" t="s">
        <v>1078</v>
      </c>
      <c r="B13" s="377">
        <v>156562747</v>
      </c>
      <c r="C13" s="393">
        <v>101858184</v>
      </c>
      <c r="D13" s="377">
        <v>54704563</v>
      </c>
      <c r="E13" s="391">
        <v>34.9</v>
      </c>
      <c r="F13" s="377">
        <v>100951636</v>
      </c>
      <c r="G13" s="393">
        <v>65074707</v>
      </c>
      <c r="H13" s="377">
        <v>35876929</v>
      </c>
      <c r="I13" s="398">
        <v>36.14</v>
      </c>
      <c r="J13" s="398">
        <v>1.5</v>
      </c>
      <c r="K13" s="381" t="s">
        <v>890</v>
      </c>
      <c r="L13" s="376"/>
      <c r="M13" s="321"/>
    </row>
    <row r="14" spans="1:15" s="373" customFormat="1" ht="21" customHeight="1" x14ac:dyDescent="0.15">
      <c r="A14" s="384" t="s">
        <v>1076</v>
      </c>
      <c r="B14" s="377">
        <v>144801793</v>
      </c>
      <c r="C14" s="393">
        <v>95673450</v>
      </c>
      <c r="D14" s="377">
        <v>49128343</v>
      </c>
      <c r="E14" s="391">
        <v>33.9</v>
      </c>
      <c r="F14" s="377">
        <v>78265810</v>
      </c>
      <c r="G14" s="393">
        <v>51651236</v>
      </c>
      <c r="H14" s="377">
        <v>26614574</v>
      </c>
      <c r="I14" s="398">
        <v>36.83</v>
      </c>
      <c r="J14" s="398">
        <v>1.4</v>
      </c>
      <c r="K14" s="381" t="s">
        <v>1079</v>
      </c>
      <c r="L14" s="376"/>
      <c r="M14" s="397"/>
      <c r="N14" s="376"/>
    </row>
    <row r="15" spans="1:15" s="373" customFormat="1" ht="21" customHeight="1" x14ac:dyDescent="0.15">
      <c r="A15" s="383"/>
      <c r="B15" s="393"/>
      <c r="C15" s="393"/>
      <c r="D15" s="393"/>
      <c r="E15" s="391"/>
      <c r="F15" s="393"/>
      <c r="G15" s="393"/>
      <c r="H15" s="393"/>
      <c r="I15" s="398"/>
      <c r="J15" s="392"/>
      <c r="K15" s="319"/>
      <c r="L15" s="376"/>
      <c r="M15" s="400"/>
      <c r="O15" s="399"/>
    </row>
    <row r="16" spans="1:15" s="373" customFormat="1" ht="21" customHeight="1" x14ac:dyDescent="0.15">
      <c r="A16" s="378" t="s">
        <v>1080</v>
      </c>
      <c r="B16" s="393">
        <v>37920597</v>
      </c>
      <c r="C16" s="393">
        <v>26031734</v>
      </c>
      <c r="D16" s="393">
        <v>11888863</v>
      </c>
      <c r="E16" s="391">
        <v>31.4</v>
      </c>
      <c r="F16" s="393">
        <v>20648900</v>
      </c>
      <c r="G16" s="393">
        <v>14125263</v>
      </c>
      <c r="H16" s="393">
        <v>6523637</v>
      </c>
      <c r="I16" s="398">
        <v>36.5</v>
      </c>
      <c r="J16" s="398">
        <v>1.48</v>
      </c>
      <c r="K16" s="381" t="s">
        <v>1081</v>
      </c>
      <c r="L16" s="376"/>
      <c r="M16" s="397"/>
      <c r="N16" s="376"/>
    </row>
    <row r="17" spans="1:15" s="373" customFormat="1" ht="21" customHeight="1" x14ac:dyDescent="0.15">
      <c r="A17" s="378" t="s">
        <v>370</v>
      </c>
      <c r="B17" s="377">
        <v>36629786</v>
      </c>
      <c r="C17" s="377">
        <v>23923432</v>
      </c>
      <c r="D17" s="377">
        <v>12706354</v>
      </c>
      <c r="E17" s="391">
        <v>34.700000000000003</v>
      </c>
      <c r="F17" s="377">
        <v>19261161</v>
      </c>
      <c r="G17" s="377">
        <v>12546567</v>
      </c>
      <c r="H17" s="377">
        <v>6714594</v>
      </c>
      <c r="I17" s="398">
        <v>36.76</v>
      </c>
      <c r="J17" s="398">
        <v>1.43</v>
      </c>
      <c r="K17" s="382" t="s">
        <v>473</v>
      </c>
      <c r="L17" s="376"/>
      <c r="M17" s="397"/>
      <c r="N17" s="376"/>
    </row>
    <row r="18" spans="1:15" s="373" customFormat="1" ht="21" customHeight="1" x14ac:dyDescent="0.15">
      <c r="A18" s="378" t="s">
        <v>629</v>
      </c>
      <c r="B18" s="377">
        <v>36272360</v>
      </c>
      <c r="C18" s="377">
        <v>24647623</v>
      </c>
      <c r="D18" s="377">
        <v>11624737</v>
      </c>
      <c r="E18" s="391">
        <v>32</v>
      </c>
      <c r="F18" s="377">
        <v>19204454</v>
      </c>
      <c r="G18" s="377">
        <v>13039386</v>
      </c>
      <c r="H18" s="377">
        <v>6165068</v>
      </c>
      <c r="I18" s="398">
        <v>36.659999999999997</v>
      </c>
      <c r="J18" s="398">
        <v>1.41</v>
      </c>
      <c r="K18" s="382" t="s">
        <v>474</v>
      </c>
      <c r="L18" s="376"/>
      <c r="M18" s="397"/>
      <c r="N18" s="376"/>
    </row>
    <row r="19" spans="1:15" s="373" customFormat="1" ht="21" customHeight="1" x14ac:dyDescent="0.15">
      <c r="A19" s="378" t="s">
        <v>369</v>
      </c>
      <c r="B19" s="377">
        <v>36838323</v>
      </c>
      <c r="C19" s="377">
        <v>23999923</v>
      </c>
      <c r="D19" s="377">
        <v>12838400</v>
      </c>
      <c r="E19" s="391">
        <v>34.9</v>
      </c>
      <c r="F19" s="377">
        <v>21314936</v>
      </c>
      <c r="G19" s="377">
        <v>13869795</v>
      </c>
      <c r="H19" s="377">
        <v>7445141</v>
      </c>
      <c r="I19" s="398">
        <v>36.659999999999997</v>
      </c>
      <c r="J19" s="398">
        <v>1.41</v>
      </c>
      <c r="K19" s="382" t="s">
        <v>475</v>
      </c>
      <c r="L19" s="376"/>
      <c r="M19" s="397"/>
      <c r="N19" s="376"/>
    </row>
    <row r="20" spans="1:15" s="373" customFormat="1" ht="21" customHeight="1" x14ac:dyDescent="0.15">
      <c r="A20" s="378" t="s">
        <v>1082</v>
      </c>
      <c r="B20" s="393">
        <v>35061324</v>
      </c>
      <c r="C20" s="393">
        <v>23102472</v>
      </c>
      <c r="D20" s="393">
        <v>11958852</v>
      </c>
      <c r="E20" s="391">
        <v>34.1</v>
      </c>
      <c r="F20" s="377">
        <v>18485259</v>
      </c>
      <c r="G20" s="393">
        <v>12195488</v>
      </c>
      <c r="H20" s="393">
        <v>6289771</v>
      </c>
      <c r="I20" s="392">
        <v>37.270000000000003</v>
      </c>
      <c r="J20" s="392">
        <v>1.36</v>
      </c>
      <c r="K20" s="381" t="s">
        <v>1083</v>
      </c>
      <c r="L20" s="376"/>
      <c r="M20" s="397"/>
      <c r="N20" s="376"/>
    </row>
    <row r="21" spans="1:15" s="373" customFormat="1" ht="21" customHeight="1" x14ac:dyDescent="0.15">
      <c r="A21" s="380"/>
      <c r="B21" s="393"/>
      <c r="C21" s="393"/>
      <c r="D21" s="393"/>
      <c r="E21" s="391"/>
      <c r="F21" s="393"/>
      <c r="G21" s="393"/>
      <c r="H21" s="393"/>
      <c r="I21" s="392"/>
      <c r="J21" s="392"/>
      <c r="K21" s="319"/>
      <c r="L21" s="376"/>
      <c r="M21" s="321"/>
    </row>
    <row r="22" spans="1:15" s="373" customFormat="1" ht="21" customHeight="1" x14ac:dyDescent="0.15">
      <c r="A22" s="378" t="s">
        <v>1084</v>
      </c>
      <c r="B22" s="393">
        <v>13423041</v>
      </c>
      <c r="C22" s="393">
        <v>9739824</v>
      </c>
      <c r="D22" s="393">
        <v>3683217</v>
      </c>
      <c r="E22" s="391">
        <v>27.4</v>
      </c>
      <c r="F22" s="393">
        <v>7353162</v>
      </c>
      <c r="G22" s="393">
        <v>5312278</v>
      </c>
      <c r="H22" s="393">
        <v>2040884</v>
      </c>
      <c r="I22" s="392">
        <v>36.42</v>
      </c>
      <c r="J22" s="392">
        <v>1.48</v>
      </c>
      <c r="K22" s="379" t="s">
        <v>892</v>
      </c>
      <c r="L22" s="376"/>
      <c r="M22" s="390"/>
      <c r="N22" s="396"/>
      <c r="O22" s="396"/>
    </row>
    <row r="23" spans="1:15" s="373" customFormat="1" ht="21" customHeight="1" x14ac:dyDescent="0.15">
      <c r="A23" s="378" t="s">
        <v>360</v>
      </c>
      <c r="B23" s="393">
        <v>12141784</v>
      </c>
      <c r="C23" s="393">
        <v>7676217</v>
      </c>
      <c r="D23" s="393">
        <v>4465567</v>
      </c>
      <c r="E23" s="391">
        <v>36.799999999999997</v>
      </c>
      <c r="F23" s="393">
        <v>6689423</v>
      </c>
      <c r="G23" s="393">
        <v>4222790</v>
      </c>
      <c r="H23" s="393">
        <v>2466633</v>
      </c>
      <c r="I23" s="392">
        <v>36.69</v>
      </c>
      <c r="J23" s="392">
        <v>1.48</v>
      </c>
      <c r="K23" s="270" t="s">
        <v>802</v>
      </c>
      <c r="L23" s="376"/>
      <c r="M23" s="390"/>
      <c r="N23" s="396"/>
      <c r="O23" s="396"/>
    </row>
    <row r="24" spans="1:15" s="373" customFormat="1" ht="21" customHeight="1" x14ac:dyDescent="0.15">
      <c r="A24" s="378" t="s">
        <v>359</v>
      </c>
      <c r="B24" s="393">
        <v>12355772</v>
      </c>
      <c r="C24" s="393">
        <v>8615693</v>
      </c>
      <c r="D24" s="393">
        <v>3740079</v>
      </c>
      <c r="E24" s="391">
        <v>30.3</v>
      </c>
      <c r="F24" s="393">
        <v>6606315</v>
      </c>
      <c r="G24" s="393">
        <v>4590195</v>
      </c>
      <c r="H24" s="393">
        <v>2016120</v>
      </c>
      <c r="I24" s="392">
        <v>36.39</v>
      </c>
      <c r="J24" s="392">
        <v>1.49</v>
      </c>
      <c r="K24" s="270" t="s">
        <v>803</v>
      </c>
      <c r="L24" s="376"/>
      <c r="M24" s="390"/>
      <c r="N24" s="396"/>
      <c r="O24" s="396"/>
    </row>
    <row r="25" spans="1:15" s="373" customFormat="1" ht="21" customHeight="1" x14ac:dyDescent="0.15">
      <c r="A25" s="378" t="s">
        <v>368</v>
      </c>
      <c r="B25" s="393">
        <v>13692802</v>
      </c>
      <c r="C25" s="393">
        <v>8305592</v>
      </c>
      <c r="D25" s="393">
        <v>5387210</v>
      </c>
      <c r="E25" s="391">
        <v>39.299999999999997</v>
      </c>
      <c r="F25" s="393">
        <v>7197840</v>
      </c>
      <c r="G25" s="393">
        <v>4355388</v>
      </c>
      <c r="H25" s="393">
        <v>2842452</v>
      </c>
      <c r="I25" s="392">
        <v>37.1</v>
      </c>
      <c r="J25" s="392">
        <v>1.39</v>
      </c>
      <c r="K25" s="270" t="s">
        <v>804</v>
      </c>
      <c r="L25" s="376"/>
      <c r="M25" s="390"/>
      <c r="N25" s="376"/>
    </row>
    <row r="26" spans="1:15" s="373" customFormat="1" ht="21" customHeight="1" x14ac:dyDescent="0.15">
      <c r="A26" s="378" t="s">
        <v>630</v>
      </c>
      <c r="B26" s="377">
        <v>12061908</v>
      </c>
      <c r="C26" s="393">
        <v>7748905</v>
      </c>
      <c r="D26" s="377">
        <v>4313003</v>
      </c>
      <c r="E26" s="391">
        <v>35.799999999999997</v>
      </c>
      <c r="F26" s="377">
        <v>6529526</v>
      </c>
      <c r="G26" s="393">
        <v>4190311</v>
      </c>
      <c r="H26" s="377">
        <v>2339215</v>
      </c>
      <c r="I26" s="395">
        <v>36.44</v>
      </c>
      <c r="J26" s="392">
        <v>1.46</v>
      </c>
      <c r="K26" s="270" t="s">
        <v>453</v>
      </c>
      <c r="L26" s="376"/>
      <c r="M26" s="390"/>
      <c r="N26" s="376"/>
    </row>
    <row r="27" spans="1:15" s="373" customFormat="1" ht="21" customHeight="1" x14ac:dyDescent="0.15">
      <c r="A27" s="378" t="s">
        <v>367</v>
      </c>
      <c r="B27" s="393">
        <v>10875076</v>
      </c>
      <c r="C27" s="393">
        <v>7868935</v>
      </c>
      <c r="D27" s="393">
        <v>3006141</v>
      </c>
      <c r="E27" s="391">
        <v>27.6</v>
      </c>
      <c r="F27" s="393">
        <v>5533795</v>
      </c>
      <c r="G27" s="393">
        <v>4000868</v>
      </c>
      <c r="H27" s="393">
        <v>1532927</v>
      </c>
      <c r="I27" s="392">
        <v>36.68</v>
      </c>
      <c r="J27" s="392">
        <v>1.44</v>
      </c>
      <c r="K27" s="270" t="s">
        <v>806</v>
      </c>
      <c r="L27" s="376"/>
      <c r="M27" s="390"/>
      <c r="N27" s="376"/>
    </row>
    <row r="28" spans="1:15" s="373" customFormat="1" ht="21" customHeight="1" x14ac:dyDescent="0.15">
      <c r="A28" s="378" t="s">
        <v>366</v>
      </c>
      <c r="B28" s="393">
        <v>11525824</v>
      </c>
      <c r="C28" s="393">
        <v>7924997</v>
      </c>
      <c r="D28" s="393">
        <v>3600827</v>
      </c>
      <c r="E28" s="391">
        <v>31.2</v>
      </c>
      <c r="F28" s="393">
        <v>5845358</v>
      </c>
      <c r="G28" s="393">
        <v>4029864</v>
      </c>
      <c r="H28" s="393">
        <v>1815494</v>
      </c>
      <c r="I28" s="392">
        <v>36.36</v>
      </c>
      <c r="J28" s="392">
        <v>1.49</v>
      </c>
      <c r="K28" s="270" t="s">
        <v>807</v>
      </c>
      <c r="L28" s="376"/>
      <c r="M28" s="390"/>
      <c r="N28" s="376"/>
    </row>
    <row r="29" spans="1:15" s="373" customFormat="1" ht="21" customHeight="1" x14ac:dyDescent="0.15">
      <c r="A29" s="378" t="s">
        <v>365</v>
      </c>
      <c r="B29" s="393">
        <v>12310235</v>
      </c>
      <c r="C29" s="393">
        <v>8541791</v>
      </c>
      <c r="D29" s="393">
        <v>3768444</v>
      </c>
      <c r="E29" s="391">
        <v>30.6</v>
      </c>
      <c r="F29" s="393">
        <v>6429444</v>
      </c>
      <c r="G29" s="393">
        <v>4456795</v>
      </c>
      <c r="H29" s="393">
        <v>1972649</v>
      </c>
      <c r="I29" s="392">
        <v>36.67</v>
      </c>
      <c r="J29" s="392">
        <v>1.37</v>
      </c>
      <c r="K29" s="270" t="s">
        <v>808</v>
      </c>
      <c r="L29" s="376"/>
      <c r="M29" s="390"/>
      <c r="N29" s="376"/>
    </row>
    <row r="30" spans="1:15" s="373" customFormat="1" ht="21" customHeight="1" x14ac:dyDescent="0.15">
      <c r="A30" s="378" t="s">
        <v>364</v>
      </c>
      <c r="B30" s="393">
        <v>12436301</v>
      </c>
      <c r="C30" s="393">
        <v>8180835</v>
      </c>
      <c r="D30" s="393">
        <v>4255466</v>
      </c>
      <c r="E30" s="391">
        <v>34.200000000000003</v>
      </c>
      <c r="F30" s="393">
        <v>6929652</v>
      </c>
      <c r="G30" s="393">
        <v>4552727</v>
      </c>
      <c r="H30" s="393">
        <v>2376925</v>
      </c>
      <c r="I30" s="392">
        <v>36.92</v>
      </c>
      <c r="J30" s="392">
        <v>1.37</v>
      </c>
      <c r="K30" s="270" t="s">
        <v>809</v>
      </c>
      <c r="L30" s="376"/>
      <c r="M30" s="390"/>
      <c r="N30" s="376"/>
    </row>
    <row r="31" spans="1:15" s="373" customFormat="1" ht="21" customHeight="1" x14ac:dyDescent="0.15">
      <c r="A31" s="378" t="s">
        <v>363</v>
      </c>
      <c r="B31" s="393">
        <v>11374575</v>
      </c>
      <c r="C31" s="393">
        <v>7158997</v>
      </c>
      <c r="D31" s="393">
        <v>4215578</v>
      </c>
      <c r="E31" s="391">
        <v>37.1</v>
      </c>
      <c r="F31" s="393">
        <v>6780594</v>
      </c>
      <c r="G31" s="393">
        <v>4226004</v>
      </c>
      <c r="H31" s="393">
        <v>2554590</v>
      </c>
      <c r="I31" s="392">
        <v>37</v>
      </c>
      <c r="J31" s="392">
        <v>1.34</v>
      </c>
      <c r="K31" s="270" t="s">
        <v>811</v>
      </c>
      <c r="L31" s="376"/>
      <c r="M31" s="390"/>
      <c r="N31" s="376"/>
    </row>
    <row r="32" spans="1:15" s="373" customFormat="1" ht="21" customHeight="1" x14ac:dyDescent="0.15">
      <c r="A32" s="378" t="s">
        <v>362</v>
      </c>
      <c r="B32" s="393">
        <v>12364197</v>
      </c>
      <c r="C32" s="393">
        <v>8757760</v>
      </c>
      <c r="D32" s="393">
        <v>3606437</v>
      </c>
      <c r="E32" s="391">
        <v>29.2</v>
      </c>
      <c r="F32" s="393">
        <v>7219636</v>
      </c>
      <c r="G32" s="393">
        <v>5090191</v>
      </c>
      <c r="H32" s="393">
        <v>2129445</v>
      </c>
      <c r="I32" s="392">
        <v>36.58</v>
      </c>
      <c r="J32" s="392">
        <v>1.45</v>
      </c>
      <c r="K32" s="270" t="s">
        <v>813</v>
      </c>
      <c r="L32" s="376"/>
      <c r="M32" s="390"/>
      <c r="N32" s="376"/>
    </row>
    <row r="33" spans="1:21" s="373" customFormat="1" ht="21" customHeight="1" x14ac:dyDescent="0.15">
      <c r="A33" s="378" t="s">
        <v>361</v>
      </c>
      <c r="B33" s="394">
        <v>13099551</v>
      </c>
      <c r="C33" s="393">
        <v>8083166</v>
      </c>
      <c r="D33" s="393">
        <v>5016385</v>
      </c>
      <c r="E33" s="391">
        <v>38.299999999999997</v>
      </c>
      <c r="F33" s="393">
        <v>7314706</v>
      </c>
      <c r="G33" s="393">
        <v>4553600</v>
      </c>
      <c r="H33" s="393">
        <v>2761106</v>
      </c>
      <c r="I33" s="392">
        <v>36.450000000000003</v>
      </c>
      <c r="J33" s="392">
        <v>1.43</v>
      </c>
      <c r="K33" s="270" t="s">
        <v>815</v>
      </c>
      <c r="L33" s="376"/>
      <c r="M33" s="390"/>
      <c r="N33" s="376"/>
    </row>
    <row r="34" spans="1:21" s="373" customFormat="1" ht="21" customHeight="1" x14ac:dyDescent="0.15">
      <c r="A34" s="378" t="s">
        <v>1085</v>
      </c>
      <c r="B34" s="394">
        <v>11974244</v>
      </c>
      <c r="C34" s="393">
        <v>7754127</v>
      </c>
      <c r="D34" s="393">
        <v>4220117</v>
      </c>
      <c r="E34" s="391">
        <v>35.200000000000003</v>
      </c>
      <c r="F34" s="393">
        <v>6407790</v>
      </c>
      <c r="G34" s="393">
        <v>4161997</v>
      </c>
      <c r="H34" s="393">
        <v>2245793</v>
      </c>
      <c r="I34" s="392">
        <v>37.11</v>
      </c>
      <c r="J34" s="392">
        <v>1.38</v>
      </c>
      <c r="K34" s="379" t="s">
        <v>1086</v>
      </c>
      <c r="L34" s="376"/>
      <c r="M34" s="390"/>
      <c r="N34" s="376"/>
    </row>
    <row r="35" spans="1:21" s="373" customFormat="1" ht="21" customHeight="1" x14ac:dyDescent="0.15">
      <c r="A35" s="378" t="s">
        <v>360</v>
      </c>
      <c r="B35" s="394">
        <v>11278671</v>
      </c>
      <c r="C35" s="393">
        <v>7099635</v>
      </c>
      <c r="D35" s="393">
        <v>4179036</v>
      </c>
      <c r="E35" s="391">
        <v>37.1</v>
      </c>
      <c r="F35" s="393">
        <v>5907775</v>
      </c>
      <c r="G35" s="393">
        <v>3732340</v>
      </c>
      <c r="H35" s="393">
        <v>2175435</v>
      </c>
      <c r="I35" s="392">
        <v>37.28</v>
      </c>
      <c r="J35" s="392">
        <v>1.35</v>
      </c>
      <c r="K35" s="270" t="s">
        <v>802</v>
      </c>
      <c r="L35" s="376"/>
      <c r="M35" s="390"/>
      <c r="N35" s="376"/>
    </row>
    <row r="36" spans="1:21" s="373" customFormat="1" ht="21" customHeight="1" x14ac:dyDescent="0.15">
      <c r="A36" s="916" t="s">
        <v>359</v>
      </c>
      <c r="B36" s="917">
        <v>11808409</v>
      </c>
      <c r="C36" s="918">
        <v>8248710</v>
      </c>
      <c r="D36" s="918">
        <v>3559699</v>
      </c>
      <c r="E36" s="391">
        <v>30.1</v>
      </c>
      <c r="F36" s="918">
        <v>6169694</v>
      </c>
      <c r="G36" s="918">
        <v>4301151</v>
      </c>
      <c r="H36" s="918">
        <v>1868543</v>
      </c>
      <c r="I36" s="919">
        <v>37.42</v>
      </c>
      <c r="J36" s="919">
        <v>1.34</v>
      </c>
      <c r="K36" s="920" t="s">
        <v>476</v>
      </c>
      <c r="L36" s="376"/>
      <c r="M36" s="390"/>
      <c r="N36" s="376"/>
    </row>
    <row r="37" spans="1:21" ht="15.75" customHeight="1" x14ac:dyDescent="0.15">
      <c r="A37" s="921" t="s">
        <v>358</v>
      </c>
      <c r="B37" s="922"/>
      <c r="C37" s="922"/>
      <c r="D37" s="922"/>
      <c r="E37" s="922"/>
      <c r="F37" s="922"/>
      <c r="G37" s="922"/>
      <c r="H37" s="922"/>
      <c r="I37" s="922"/>
      <c r="J37" s="922"/>
      <c r="K37" s="389"/>
    </row>
    <row r="38" spans="1:21" ht="15.75" customHeight="1" x14ac:dyDescent="0.15">
      <c r="A38" s="723" t="s">
        <v>893</v>
      </c>
      <c r="B38" s="388"/>
      <c r="C38" s="388"/>
      <c r="D38" s="388"/>
      <c r="E38" s="388"/>
      <c r="F38" s="388"/>
      <c r="G38" s="388"/>
      <c r="H38" s="388"/>
      <c r="I38" s="388"/>
      <c r="J38" s="388"/>
      <c r="K38" s="388"/>
    </row>
    <row r="39" spans="1:21" ht="14.25" x14ac:dyDescent="0.15">
      <c r="K39" s="388"/>
    </row>
    <row r="41" spans="1:21" ht="39.950000000000003" customHeight="1" x14ac:dyDescent="0.15"/>
    <row r="42" spans="1:21" s="373" customFormat="1" ht="20.100000000000001" customHeight="1" x14ac:dyDescent="0.15">
      <c r="L42" s="387" t="s">
        <v>1127</v>
      </c>
      <c r="M42" s="386"/>
      <c r="N42" s="386"/>
      <c r="O42" s="386"/>
      <c r="P42" s="386"/>
      <c r="Q42" s="386"/>
      <c r="R42" s="20" t="s">
        <v>375</v>
      </c>
      <c r="S42" s="923"/>
    </row>
    <row r="43" spans="1:21" s="373" customFormat="1" ht="66" customHeight="1" x14ac:dyDescent="0.15">
      <c r="L43" s="1069" t="s">
        <v>571</v>
      </c>
      <c r="M43" s="924" t="s">
        <v>572</v>
      </c>
      <c r="N43" s="925" t="s">
        <v>374</v>
      </c>
      <c r="O43" s="926" t="s">
        <v>631</v>
      </c>
      <c r="P43" s="927" t="s">
        <v>477</v>
      </c>
      <c r="Q43" s="928" t="s">
        <v>478</v>
      </c>
      <c r="R43" s="911" t="s">
        <v>479</v>
      </c>
      <c r="S43" s="1104" t="s">
        <v>573</v>
      </c>
    </row>
    <row r="44" spans="1:21" s="373" customFormat="1" ht="32.1" customHeight="1" x14ac:dyDescent="0.15">
      <c r="L44" s="1070"/>
      <c r="M44" s="929" t="s">
        <v>54</v>
      </c>
      <c r="N44" s="930" t="s">
        <v>373</v>
      </c>
      <c r="O44" s="930" t="s">
        <v>372</v>
      </c>
      <c r="P44" s="915" t="s">
        <v>480</v>
      </c>
      <c r="Q44" s="915" t="s">
        <v>371</v>
      </c>
      <c r="R44" s="915" t="s">
        <v>481</v>
      </c>
      <c r="S44" s="1127"/>
    </row>
    <row r="45" spans="1:21" s="373" customFormat="1" ht="20.25" customHeight="1" x14ac:dyDescent="0.15">
      <c r="L45" s="378" t="s">
        <v>1072</v>
      </c>
      <c r="M45" s="377">
        <v>175488885</v>
      </c>
      <c r="N45" s="377">
        <v>4063698</v>
      </c>
      <c r="O45" s="377">
        <v>1238908</v>
      </c>
      <c r="P45" s="377">
        <v>7189789</v>
      </c>
      <c r="Q45" s="377">
        <v>154269884</v>
      </c>
      <c r="R45" s="377">
        <v>8726606</v>
      </c>
      <c r="S45" s="381" t="s">
        <v>570</v>
      </c>
      <c r="U45" s="376"/>
    </row>
    <row r="46" spans="1:21" s="373" customFormat="1" ht="20.25" customHeight="1" x14ac:dyDescent="0.15">
      <c r="L46" s="378" t="s">
        <v>1073</v>
      </c>
      <c r="M46" s="377">
        <v>143879667</v>
      </c>
      <c r="N46" s="377">
        <v>940992</v>
      </c>
      <c r="O46" s="377">
        <v>919745</v>
      </c>
      <c r="P46" s="377">
        <v>3927179</v>
      </c>
      <c r="Q46" s="377">
        <v>130335045</v>
      </c>
      <c r="R46" s="377">
        <v>7756706</v>
      </c>
      <c r="S46" s="381" t="s">
        <v>628</v>
      </c>
      <c r="U46" s="376"/>
    </row>
    <row r="47" spans="1:21" s="373" customFormat="1" ht="20.25" customHeight="1" x14ac:dyDescent="0.15">
      <c r="L47" s="378" t="s">
        <v>1074</v>
      </c>
      <c r="M47" s="377">
        <v>144662684</v>
      </c>
      <c r="N47" s="377">
        <v>631863</v>
      </c>
      <c r="O47" s="377">
        <v>466094</v>
      </c>
      <c r="P47" s="377">
        <v>3323962</v>
      </c>
      <c r="Q47" s="377">
        <v>133913027</v>
      </c>
      <c r="R47" s="377">
        <v>6327738</v>
      </c>
      <c r="S47" s="381" t="s">
        <v>749</v>
      </c>
      <c r="U47" s="376"/>
    </row>
    <row r="48" spans="1:21" s="373" customFormat="1" ht="20.25" customHeight="1" x14ac:dyDescent="0.15">
      <c r="L48" s="378" t="s">
        <v>1075</v>
      </c>
      <c r="M48" s="377">
        <v>158641580</v>
      </c>
      <c r="N48" s="377">
        <v>427809</v>
      </c>
      <c r="O48" s="377">
        <v>1793766</v>
      </c>
      <c r="P48" s="377">
        <v>3686105</v>
      </c>
      <c r="Q48" s="377">
        <v>146335498</v>
      </c>
      <c r="R48" s="377">
        <v>6398402</v>
      </c>
      <c r="S48" s="381" t="s">
        <v>889</v>
      </c>
      <c r="U48" s="376"/>
    </row>
    <row r="49" spans="12:21" s="373" customFormat="1" ht="20.25" customHeight="1" x14ac:dyDescent="0.15">
      <c r="L49" s="378" t="s">
        <v>1076</v>
      </c>
      <c r="M49" s="377">
        <v>147661066</v>
      </c>
      <c r="N49" s="377">
        <v>872048</v>
      </c>
      <c r="O49" s="377">
        <v>197571</v>
      </c>
      <c r="P49" s="377">
        <v>1977955</v>
      </c>
      <c r="Q49" s="377">
        <v>137624529</v>
      </c>
      <c r="R49" s="377">
        <v>6988963</v>
      </c>
      <c r="S49" s="381" t="s">
        <v>1077</v>
      </c>
      <c r="T49" s="376"/>
      <c r="U49" s="376"/>
    </row>
    <row r="50" spans="12:21" s="373" customFormat="1" ht="20.25" customHeight="1" x14ac:dyDescent="0.15">
      <c r="L50" s="385"/>
      <c r="M50" s="377"/>
      <c r="N50" s="377"/>
      <c r="O50" s="377"/>
      <c r="P50" s="377"/>
      <c r="Q50" s="377"/>
      <c r="R50" s="377"/>
      <c r="S50" s="382"/>
      <c r="T50" s="376"/>
      <c r="U50" s="376"/>
    </row>
    <row r="51" spans="12:21" s="373" customFormat="1" ht="20.25" customHeight="1" x14ac:dyDescent="0.15">
      <c r="L51" s="378" t="s">
        <v>1078</v>
      </c>
      <c r="M51" s="377">
        <v>156562747</v>
      </c>
      <c r="N51" s="377">
        <v>374866</v>
      </c>
      <c r="O51" s="377">
        <v>1500943</v>
      </c>
      <c r="P51" s="377">
        <v>2997623</v>
      </c>
      <c r="Q51" s="377">
        <v>144716615</v>
      </c>
      <c r="R51" s="377">
        <v>6972700</v>
      </c>
      <c r="S51" s="381" t="s">
        <v>890</v>
      </c>
      <c r="U51" s="376"/>
    </row>
    <row r="52" spans="12:21" s="373" customFormat="1" ht="20.25" customHeight="1" x14ac:dyDescent="0.15">
      <c r="L52" s="384" t="s">
        <v>1076</v>
      </c>
      <c r="M52" s="377">
        <v>144801793</v>
      </c>
      <c r="N52" s="377">
        <v>1971697</v>
      </c>
      <c r="O52" s="377">
        <v>177470</v>
      </c>
      <c r="P52" s="377">
        <v>1369760</v>
      </c>
      <c r="Q52" s="377">
        <v>134004955</v>
      </c>
      <c r="R52" s="377">
        <v>7277911</v>
      </c>
      <c r="S52" s="381" t="s">
        <v>1079</v>
      </c>
      <c r="T52" s="376"/>
      <c r="U52" s="376"/>
    </row>
    <row r="53" spans="12:21" s="373" customFormat="1" ht="20.25" customHeight="1" x14ac:dyDescent="0.15">
      <c r="L53" s="383"/>
      <c r="M53" s="377"/>
      <c r="N53" s="377"/>
      <c r="O53" s="377"/>
      <c r="P53" s="377"/>
      <c r="Q53" s="377"/>
      <c r="R53" s="377"/>
      <c r="S53" s="319"/>
      <c r="U53" s="376"/>
    </row>
    <row r="54" spans="12:21" s="373" customFormat="1" ht="20.25" customHeight="1" x14ac:dyDescent="0.15">
      <c r="L54" s="378" t="s">
        <v>1080</v>
      </c>
      <c r="M54" s="377">
        <v>37920597</v>
      </c>
      <c r="N54" s="377">
        <v>176619</v>
      </c>
      <c r="O54" s="377">
        <v>20101</v>
      </c>
      <c r="P54" s="377">
        <v>685342</v>
      </c>
      <c r="Q54" s="377">
        <v>35291201</v>
      </c>
      <c r="R54" s="377">
        <v>1747334</v>
      </c>
      <c r="S54" s="381" t="s">
        <v>891</v>
      </c>
      <c r="T54" s="376"/>
      <c r="U54" s="376"/>
    </row>
    <row r="55" spans="12:21" s="373" customFormat="1" ht="20.25" customHeight="1" x14ac:dyDescent="0.15">
      <c r="L55" s="378" t="s">
        <v>370</v>
      </c>
      <c r="M55" s="377">
        <v>36629786</v>
      </c>
      <c r="N55" s="377" t="s">
        <v>1029</v>
      </c>
      <c r="O55" s="377">
        <v>97526</v>
      </c>
      <c r="P55" s="377">
        <v>449572</v>
      </c>
      <c r="Q55" s="377">
        <v>34242642</v>
      </c>
      <c r="R55" s="377">
        <v>1840046</v>
      </c>
      <c r="S55" s="382" t="s">
        <v>473</v>
      </c>
      <c r="T55" s="376"/>
      <c r="U55" s="376"/>
    </row>
    <row r="56" spans="12:21" s="373" customFormat="1" ht="20.25" customHeight="1" x14ac:dyDescent="0.15">
      <c r="L56" s="378" t="s">
        <v>629</v>
      </c>
      <c r="M56" s="377">
        <v>36272360</v>
      </c>
      <c r="N56" s="377">
        <v>199914</v>
      </c>
      <c r="O56" s="377" t="s">
        <v>1029</v>
      </c>
      <c r="P56" s="377">
        <v>427136</v>
      </c>
      <c r="Q56" s="377">
        <v>33972623</v>
      </c>
      <c r="R56" s="377">
        <v>1672687</v>
      </c>
      <c r="S56" s="382" t="s">
        <v>474</v>
      </c>
      <c r="T56" s="376"/>
      <c r="U56" s="376"/>
    </row>
    <row r="57" spans="12:21" s="373" customFormat="1" ht="20.25" customHeight="1" x14ac:dyDescent="0.15">
      <c r="L57" s="378" t="s">
        <v>369</v>
      </c>
      <c r="M57" s="377">
        <v>36838323</v>
      </c>
      <c r="N57" s="377">
        <v>495515</v>
      </c>
      <c r="O57" s="377">
        <v>79944</v>
      </c>
      <c r="P57" s="377">
        <v>415905</v>
      </c>
      <c r="Q57" s="377">
        <v>34118063</v>
      </c>
      <c r="R57" s="377">
        <v>1728896</v>
      </c>
      <c r="S57" s="382" t="s">
        <v>475</v>
      </c>
      <c r="T57" s="376"/>
      <c r="U57" s="376"/>
    </row>
    <row r="58" spans="12:21" s="373" customFormat="1" ht="20.25" customHeight="1" x14ac:dyDescent="0.15">
      <c r="L58" s="378" t="s">
        <v>1082</v>
      </c>
      <c r="M58" s="377">
        <v>35061324</v>
      </c>
      <c r="N58" s="377">
        <v>1276268</v>
      </c>
      <c r="O58" s="377" t="s">
        <v>1029</v>
      </c>
      <c r="P58" s="377">
        <v>77147</v>
      </c>
      <c r="Q58" s="377">
        <v>31671627</v>
      </c>
      <c r="R58" s="377">
        <v>2036282</v>
      </c>
      <c r="S58" s="381" t="s">
        <v>1083</v>
      </c>
      <c r="T58" s="376"/>
      <c r="U58" s="376"/>
    </row>
    <row r="59" spans="12:21" s="373" customFormat="1" ht="20.25" customHeight="1" x14ac:dyDescent="0.15">
      <c r="L59" s="380"/>
      <c r="M59" s="377"/>
      <c r="N59" s="377"/>
      <c r="O59" s="377"/>
      <c r="P59" s="377"/>
      <c r="Q59" s="17"/>
      <c r="R59" s="377"/>
      <c r="S59" s="319"/>
      <c r="U59" s="376"/>
    </row>
    <row r="60" spans="12:21" s="373" customFormat="1" ht="20.25" customHeight="1" x14ac:dyDescent="0.15">
      <c r="L60" s="378" t="s">
        <v>1084</v>
      </c>
      <c r="M60" s="377">
        <v>13423041</v>
      </c>
      <c r="N60" s="377">
        <v>39778</v>
      </c>
      <c r="O60" s="377">
        <v>16406</v>
      </c>
      <c r="P60" s="377">
        <v>225958</v>
      </c>
      <c r="Q60" s="377">
        <v>12589844</v>
      </c>
      <c r="R60" s="377">
        <v>551055</v>
      </c>
      <c r="S60" s="379" t="s">
        <v>892</v>
      </c>
      <c r="T60" s="376"/>
      <c r="U60" s="376"/>
    </row>
    <row r="61" spans="12:21" s="373" customFormat="1" ht="20.25" customHeight="1" x14ac:dyDescent="0.15">
      <c r="L61" s="378" t="s">
        <v>360</v>
      </c>
      <c r="M61" s="377">
        <v>12141784</v>
      </c>
      <c r="N61" s="377">
        <v>85037</v>
      </c>
      <c r="O61" s="377">
        <v>3695</v>
      </c>
      <c r="P61" s="377">
        <v>153838</v>
      </c>
      <c r="Q61" s="377">
        <v>11368831</v>
      </c>
      <c r="R61" s="377">
        <v>530383</v>
      </c>
      <c r="S61" s="270" t="s">
        <v>802</v>
      </c>
      <c r="T61" s="376"/>
      <c r="U61" s="376"/>
    </row>
    <row r="62" spans="12:21" s="373" customFormat="1" ht="20.25" customHeight="1" x14ac:dyDescent="0.15">
      <c r="L62" s="378" t="s">
        <v>359</v>
      </c>
      <c r="M62" s="377">
        <v>12355772</v>
      </c>
      <c r="N62" s="377">
        <v>51804</v>
      </c>
      <c r="O62" s="377" t="s">
        <v>1029</v>
      </c>
      <c r="P62" s="377">
        <v>305546</v>
      </c>
      <c r="Q62" s="377">
        <v>11332526</v>
      </c>
      <c r="R62" s="377">
        <v>665896</v>
      </c>
      <c r="S62" s="270" t="s">
        <v>803</v>
      </c>
      <c r="T62" s="376"/>
      <c r="U62" s="376"/>
    </row>
    <row r="63" spans="12:21" s="373" customFormat="1" ht="20.25" customHeight="1" x14ac:dyDescent="0.15">
      <c r="L63" s="378" t="s">
        <v>368</v>
      </c>
      <c r="M63" s="377">
        <v>13692802</v>
      </c>
      <c r="N63" s="377" t="s">
        <v>1029</v>
      </c>
      <c r="O63" s="377">
        <v>97526</v>
      </c>
      <c r="P63" s="377">
        <v>271661</v>
      </c>
      <c r="Q63" s="377">
        <v>12552665</v>
      </c>
      <c r="R63" s="377">
        <v>770950</v>
      </c>
      <c r="S63" s="270" t="s">
        <v>804</v>
      </c>
      <c r="T63" s="376"/>
      <c r="U63" s="376"/>
    </row>
    <row r="64" spans="12:21" s="373" customFormat="1" ht="20.25" customHeight="1" x14ac:dyDescent="0.15">
      <c r="L64" s="378" t="s">
        <v>630</v>
      </c>
      <c r="M64" s="377">
        <v>12061908</v>
      </c>
      <c r="N64" s="377" t="s">
        <v>1029</v>
      </c>
      <c r="O64" s="377" t="s">
        <v>1029</v>
      </c>
      <c r="P64" s="377">
        <v>97695</v>
      </c>
      <c r="Q64" s="377">
        <v>11440077</v>
      </c>
      <c r="R64" s="377">
        <v>524136</v>
      </c>
      <c r="S64" s="270" t="s">
        <v>453</v>
      </c>
      <c r="T64" s="376"/>
      <c r="U64" s="376"/>
    </row>
    <row r="65" spans="3:21" s="373" customFormat="1" ht="20.25" customHeight="1" x14ac:dyDescent="0.15">
      <c r="L65" s="378" t="s">
        <v>367</v>
      </c>
      <c r="M65" s="377">
        <v>10875076</v>
      </c>
      <c r="N65" s="377" t="s">
        <v>1029</v>
      </c>
      <c r="O65" s="377" t="s">
        <v>1029</v>
      </c>
      <c r="P65" s="377">
        <v>80216</v>
      </c>
      <c r="Q65" s="377">
        <v>10249900</v>
      </c>
      <c r="R65" s="377">
        <v>544960</v>
      </c>
      <c r="S65" s="270" t="s">
        <v>806</v>
      </c>
      <c r="T65" s="376"/>
      <c r="U65" s="376"/>
    </row>
    <row r="66" spans="3:21" s="373" customFormat="1" ht="20.25" customHeight="1" x14ac:dyDescent="0.15">
      <c r="L66" s="378" t="s">
        <v>366</v>
      </c>
      <c r="M66" s="377">
        <v>11525824</v>
      </c>
      <c r="N66" s="377">
        <v>21576</v>
      </c>
      <c r="O66" s="377" t="s">
        <v>1029</v>
      </c>
      <c r="P66" s="377">
        <v>395603</v>
      </c>
      <c r="Q66" s="377">
        <v>10720782</v>
      </c>
      <c r="R66" s="377">
        <v>387863</v>
      </c>
      <c r="S66" s="270" t="s">
        <v>807</v>
      </c>
      <c r="T66" s="376"/>
      <c r="U66" s="376"/>
    </row>
    <row r="67" spans="3:21" s="373" customFormat="1" ht="20.25" customHeight="1" x14ac:dyDescent="0.15">
      <c r="L67" s="378" t="s">
        <v>365</v>
      </c>
      <c r="M67" s="377">
        <v>12310235</v>
      </c>
      <c r="N67" s="377">
        <v>110649</v>
      </c>
      <c r="O67" s="377" t="s">
        <v>1029</v>
      </c>
      <c r="P67" s="377">
        <v>23216</v>
      </c>
      <c r="Q67" s="377">
        <v>11494174</v>
      </c>
      <c r="R67" s="377">
        <v>682196</v>
      </c>
      <c r="S67" s="270" t="s">
        <v>808</v>
      </c>
      <c r="T67" s="376"/>
      <c r="U67" s="376"/>
    </row>
    <row r="68" spans="3:21" s="373" customFormat="1" ht="20.25" customHeight="1" x14ac:dyDescent="0.15">
      <c r="L68" s="378" t="s">
        <v>364</v>
      </c>
      <c r="M68" s="377">
        <v>12436301</v>
      </c>
      <c r="N68" s="377">
        <v>67689</v>
      </c>
      <c r="O68" s="377" t="s">
        <v>1029</v>
      </c>
      <c r="P68" s="377">
        <v>8317</v>
      </c>
      <c r="Q68" s="377">
        <v>11757667</v>
      </c>
      <c r="R68" s="377">
        <v>602628</v>
      </c>
      <c r="S68" s="270" t="s">
        <v>809</v>
      </c>
      <c r="T68" s="376"/>
      <c r="U68" s="376"/>
    </row>
    <row r="69" spans="3:21" s="373" customFormat="1" ht="20.25" customHeight="1" x14ac:dyDescent="0.15">
      <c r="L69" s="378" t="s">
        <v>363</v>
      </c>
      <c r="M69" s="377">
        <v>11374575</v>
      </c>
      <c r="N69" s="377" t="s">
        <v>1029</v>
      </c>
      <c r="O69" s="377">
        <v>79944</v>
      </c>
      <c r="P69" s="377">
        <v>148984</v>
      </c>
      <c r="Q69" s="377">
        <v>10567192</v>
      </c>
      <c r="R69" s="377">
        <v>578455</v>
      </c>
      <c r="S69" s="270" t="s">
        <v>811</v>
      </c>
      <c r="T69" s="376"/>
      <c r="U69" s="376"/>
    </row>
    <row r="70" spans="3:21" s="373" customFormat="1" ht="20.25" customHeight="1" x14ac:dyDescent="0.15">
      <c r="L70" s="378" t="s">
        <v>362</v>
      </c>
      <c r="M70" s="377">
        <v>12364197</v>
      </c>
      <c r="N70" s="377">
        <v>324881</v>
      </c>
      <c r="O70" s="377" t="s">
        <v>1029</v>
      </c>
      <c r="P70" s="377">
        <v>64940</v>
      </c>
      <c r="Q70" s="377">
        <v>11336362</v>
      </c>
      <c r="R70" s="377">
        <v>638014</v>
      </c>
      <c r="S70" s="270" t="s">
        <v>813</v>
      </c>
      <c r="T70" s="376"/>
      <c r="U70" s="376"/>
    </row>
    <row r="71" spans="3:21" s="373" customFormat="1" ht="20.25" customHeight="1" x14ac:dyDescent="0.15">
      <c r="L71" s="378" t="s">
        <v>361</v>
      </c>
      <c r="M71" s="377">
        <v>13099551</v>
      </c>
      <c r="N71" s="377">
        <v>170634</v>
      </c>
      <c r="O71" s="377" t="s">
        <v>1029</v>
      </c>
      <c r="P71" s="377">
        <v>201981</v>
      </c>
      <c r="Q71" s="377">
        <v>12214509</v>
      </c>
      <c r="R71" s="377">
        <v>512427</v>
      </c>
      <c r="S71" s="270" t="s">
        <v>815</v>
      </c>
      <c r="T71" s="376"/>
      <c r="U71" s="376"/>
    </row>
    <row r="72" spans="3:21" s="373" customFormat="1" ht="20.25" customHeight="1" x14ac:dyDescent="0.15">
      <c r="L72" s="378" t="s">
        <v>1085</v>
      </c>
      <c r="M72" s="377">
        <v>11974244</v>
      </c>
      <c r="N72" s="377">
        <v>346085</v>
      </c>
      <c r="O72" s="377" t="s">
        <v>1029</v>
      </c>
      <c r="P72" s="377">
        <v>42827</v>
      </c>
      <c r="Q72" s="377">
        <v>10943465</v>
      </c>
      <c r="R72" s="377">
        <v>641867</v>
      </c>
      <c r="S72" s="379" t="s">
        <v>1086</v>
      </c>
      <c r="T72" s="376"/>
      <c r="U72" s="376"/>
    </row>
    <row r="73" spans="3:21" s="373" customFormat="1" ht="20.25" customHeight="1" x14ac:dyDescent="0.15">
      <c r="L73" s="378" t="s">
        <v>360</v>
      </c>
      <c r="M73" s="377">
        <v>11278671</v>
      </c>
      <c r="N73" s="377">
        <v>304658</v>
      </c>
      <c r="O73" s="377" t="s">
        <v>1029</v>
      </c>
      <c r="P73" s="377" t="s">
        <v>1029</v>
      </c>
      <c r="Q73" s="377">
        <v>10256183</v>
      </c>
      <c r="R73" s="377">
        <v>717830</v>
      </c>
      <c r="S73" s="270" t="s">
        <v>802</v>
      </c>
      <c r="T73" s="376"/>
      <c r="U73" s="376"/>
    </row>
    <row r="74" spans="3:21" s="373" customFormat="1" ht="20.25" customHeight="1" x14ac:dyDescent="0.15">
      <c r="L74" s="916" t="s">
        <v>359</v>
      </c>
      <c r="M74" s="931">
        <v>11808409</v>
      </c>
      <c r="N74" s="931">
        <v>625525</v>
      </c>
      <c r="O74" s="931" t="s">
        <v>1029</v>
      </c>
      <c r="P74" s="931">
        <v>34320</v>
      </c>
      <c r="Q74" s="931">
        <v>10471979</v>
      </c>
      <c r="R74" s="931">
        <v>676585</v>
      </c>
      <c r="S74" s="920" t="s">
        <v>476</v>
      </c>
      <c r="T74" s="376"/>
      <c r="U74" s="376"/>
    </row>
    <row r="75" spans="3:21" s="373" customFormat="1" ht="18" customHeight="1" x14ac:dyDescent="0.15">
      <c r="L75" s="921" t="s">
        <v>358</v>
      </c>
    </row>
    <row r="76" spans="3:21" s="373" customFormat="1" ht="18" customHeight="1" x14ac:dyDescent="0.15">
      <c r="L76" s="723" t="s">
        <v>893</v>
      </c>
      <c r="M76" s="375"/>
      <c r="N76" s="374"/>
      <c r="P76" s="374"/>
      <c r="Q76" s="374"/>
    </row>
    <row r="77" spans="3:21" x14ac:dyDescent="0.15">
      <c r="C77" s="372"/>
      <c r="D77" s="372"/>
      <c r="E77" s="372"/>
      <c r="F77" s="372"/>
      <c r="G77" s="372"/>
      <c r="H77" s="372"/>
      <c r="I77" s="372"/>
    </row>
    <row r="78" spans="3:21" x14ac:dyDescent="0.15">
      <c r="C78" s="372"/>
      <c r="E78" s="372"/>
      <c r="F78" s="372"/>
      <c r="G78" s="372"/>
      <c r="H78" s="372"/>
      <c r="I78" s="372"/>
    </row>
    <row r="79" spans="3:21" x14ac:dyDescent="0.15">
      <c r="C79" s="372"/>
    </row>
  </sheetData>
  <mergeCells count="7">
    <mergeCell ref="S43:S44"/>
    <mergeCell ref="A4:A6"/>
    <mergeCell ref="B4:E4"/>
    <mergeCell ref="I4:I5"/>
    <mergeCell ref="J4:J5"/>
    <mergeCell ref="K4:K6"/>
    <mergeCell ref="L43:L44"/>
  </mergeCells>
  <phoneticPr fontId="33"/>
  <pageMargins left="0.59055118110236227" right="0.59055118110236227" top="0.59055118110236227" bottom="0.59055118110236227" header="0.51181102362204722" footer="0.51181102362204722"/>
  <pageSetup paperSize="9" scale="96" orientation="portrait" r:id="rId1"/>
  <headerFooter alignWithMargins="0"/>
  <rowBreaks count="1" manualBreakCount="1">
    <brk id="3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54"/>
  <sheetViews>
    <sheetView view="pageBreakPreview" zoomScale="110" zoomScaleNormal="100" zoomScaleSheetLayoutView="110" workbookViewId="0"/>
  </sheetViews>
  <sheetFormatPr defaultColWidth="8.875" defaultRowHeight="12" x14ac:dyDescent="0.15"/>
  <cols>
    <col min="1" max="1" width="8.875" style="21" customWidth="1"/>
    <col min="2" max="2" width="13.25" style="21" customWidth="1"/>
    <col min="3" max="3" width="9.25" style="21" customWidth="1"/>
    <col min="4" max="4" width="5.625" style="21" customWidth="1"/>
    <col min="5" max="6" width="9.625" style="21" customWidth="1"/>
    <col min="7" max="7" width="7.125" style="21" customWidth="1"/>
    <col min="8" max="9" width="5.625" style="21" customWidth="1"/>
    <col min="10" max="10" width="1" style="21" customWidth="1"/>
    <col min="11" max="11" width="16.25" style="21" customWidth="1"/>
    <col min="12" max="12" width="4.125" style="21" customWidth="1"/>
    <col min="13" max="13" width="8.875" style="21" customWidth="1"/>
    <col min="14" max="14" width="19.75" style="21" bestFit="1" customWidth="1"/>
    <col min="15" max="15" width="9.25" style="21" bestFit="1" customWidth="1"/>
    <col min="16" max="16" width="11.625" style="21" bestFit="1" customWidth="1"/>
    <col min="17" max="17" width="11.5" style="21" bestFit="1" customWidth="1"/>
    <col min="18" max="18" width="14.25" style="21" bestFit="1" customWidth="1"/>
    <col min="19" max="19" width="14.5" style="21" bestFit="1" customWidth="1"/>
    <col min="20" max="20" width="9.375" style="21" bestFit="1" customWidth="1"/>
    <col min="21" max="21" width="11.625" style="21" bestFit="1" customWidth="1"/>
    <col min="22" max="23" width="8.875" style="21" customWidth="1"/>
    <col min="24" max="24" width="14.625" style="21" customWidth="1"/>
    <col min="25" max="16384" width="8.875" style="21"/>
  </cols>
  <sheetData>
    <row r="1" spans="1:14" s="386" customFormat="1" ht="20.100000000000001" customHeight="1" x14ac:dyDescent="0.15">
      <c r="A1" s="387" t="s">
        <v>1087</v>
      </c>
      <c r="B1" s="21"/>
      <c r="C1" s="186"/>
      <c r="D1" s="186"/>
      <c r="E1" s="186"/>
      <c r="F1" s="186"/>
    </row>
    <row r="2" spans="1:14" s="386" customFormat="1" ht="20.100000000000001" customHeight="1" x14ac:dyDescent="0.15">
      <c r="A2" s="387" t="s">
        <v>1088</v>
      </c>
      <c r="B2" s="21"/>
      <c r="C2" s="186"/>
      <c r="D2" s="186"/>
      <c r="E2" s="186"/>
      <c r="F2" s="186"/>
    </row>
    <row r="3" spans="1:14" s="373" customFormat="1" ht="28.15" customHeight="1" x14ac:dyDescent="0.15">
      <c r="A3" s="707"/>
      <c r="B3" s="209" t="s">
        <v>390</v>
      </c>
      <c r="C3" s="1140" t="s">
        <v>1089</v>
      </c>
      <c r="D3" s="1141"/>
      <c r="E3" s="1141"/>
      <c r="F3" s="1141"/>
      <c r="G3" s="1142"/>
      <c r="H3" s="912" t="s">
        <v>574</v>
      </c>
      <c r="I3" s="912" t="s">
        <v>750</v>
      </c>
      <c r="J3" s="1143" t="s">
        <v>751</v>
      </c>
      <c r="K3" s="1144"/>
    </row>
    <row r="4" spans="1:14" s="373" customFormat="1" ht="28.15" customHeight="1" x14ac:dyDescent="0.15">
      <c r="A4" s="720"/>
      <c r="B4" s="694"/>
      <c r="C4" s="429" t="s">
        <v>55</v>
      </c>
      <c r="D4" s="932" t="s">
        <v>613</v>
      </c>
      <c r="E4" s="933" t="s">
        <v>752</v>
      </c>
      <c r="F4" s="933" t="s">
        <v>467</v>
      </c>
      <c r="G4" s="934" t="s">
        <v>753</v>
      </c>
      <c r="H4" s="431" t="s">
        <v>575</v>
      </c>
      <c r="I4" s="430" t="s">
        <v>754</v>
      </c>
      <c r="J4" s="1145"/>
      <c r="K4" s="1146"/>
    </row>
    <row r="5" spans="1:14" s="373" customFormat="1" ht="28.15" customHeight="1" x14ac:dyDescent="0.15">
      <c r="A5" s="645" t="s">
        <v>391</v>
      </c>
      <c r="B5" s="719"/>
      <c r="C5" s="429" t="s">
        <v>54</v>
      </c>
      <c r="D5" s="428" t="s">
        <v>576</v>
      </c>
      <c r="E5" s="427" t="s">
        <v>470</v>
      </c>
      <c r="F5" s="426" t="s">
        <v>471</v>
      </c>
      <c r="G5" s="425" t="s">
        <v>577</v>
      </c>
      <c r="H5" s="424" t="s">
        <v>894</v>
      </c>
      <c r="I5" s="424" t="s">
        <v>755</v>
      </c>
      <c r="J5" s="1147"/>
      <c r="K5" s="1148"/>
    </row>
    <row r="6" spans="1:14" s="373" customFormat="1" ht="9.75" customHeight="1" x14ac:dyDescent="0.15">
      <c r="A6" s="707"/>
      <c r="B6" s="713"/>
      <c r="C6" s="935"/>
      <c r="D6" s="936"/>
      <c r="E6" s="937"/>
      <c r="F6" s="938"/>
      <c r="G6" s="939"/>
      <c r="H6" s="939"/>
      <c r="I6" s="939"/>
      <c r="J6" s="415"/>
      <c r="K6" s="26"/>
    </row>
    <row r="7" spans="1:14" s="373" customFormat="1" ht="20.25" customHeight="1" x14ac:dyDescent="0.15">
      <c r="A7" s="423" t="s">
        <v>396</v>
      </c>
      <c r="B7" s="414"/>
      <c r="C7" s="377">
        <v>147661066</v>
      </c>
      <c r="D7" s="422">
        <v>100</v>
      </c>
      <c r="E7" s="377">
        <v>98602712</v>
      </c>
      <c r="F7" s="377">
        <v>49058354</v>
      </c>
      <c r="G7" s="432">
        <v>33.22</v>
      </c>
      <c r="H7" s="419">
        <v>36.64</v>
      </c>
      <c r="I7" s="419">
        <v>1.43</v>
      </c>
      <c r="J7" s="413" t="s">
        <v>54</v>
      </c>
      <c r="K7" s="26"/>
      <c r="M7" s="376"/>
      <c r="N7" s="376"/>
    </row>
    <row r="8" spans="1:14" s="373" customFormat="1" ht="18" customHeight="1" x14ac:dyDescent="0.15">
      <c r="A8" s="1136"/>
      <c r="B8" s="1137"/>
      <c r="C8" s="377"/>
      <c r="D8" s="422"/>
      <c r="E8" s="377"/>
      <c r="F8" s="377"/>
      <c r="G8" s="432"/>
      <c r="H8" s="419"/>
      <c r="I8" s="419"/>
      <c r="J8" s="413"/>
      <c r="K8" s="26"/>
      <c r="N8" s="376"/>
    </row>
    <row r="9" spans="1:14" s="373" customFormat="1" ht="18" customHeight="1" x14ac:dyDescent="0.15">
      <c r="A9" s="1136" t="s">
        <v>423</v>
      </c>
      <c r="B9" s="1137"/>
      <c r="C9" s="377">
        <v>546392</v>
      </c>
      <c r="D9" s="422">
        <v>0.37</v>
      </c>
      <c r="E9" s="377" t="s">
        <v>387</v>
      </c>
      <c r="F9" s="377" t="s">
        <v>387</v>
      </c>
      <c r="G9" s="432" t="s">
        <v>387</v>
      </c>
      <c r="H9" s="419">
        <v>29.15</v>
      </c>
      <c r="I9" s="419">
        <v>2.72</v>
      </c>
      <c r="J9" s="413"/>
      <c r="K9" s="26" t="s">
        <v>424</v>
      </c>
      <c r="N9" s="376"/>
    </row>
    <row r="10" spans="1:14" s="373" customFormat="1" ht="18" customHeight="1" x14ac:dyDescent="0.15">
      <c r="A10" s="1136" t="s">
        <v>28</v>
      </c>
      <c r="B10" s="1137"/>
      <c r="C10" s="377">
        <v>59661688</v>
      </c>
      <c r="D10" s="422">
        <v>40.4</v>
      </c>
      <c r="E10" s="377">
        <v>54052449</v>
      </c>
      <c r="F10" s="377">
        <v>5609239</v>
      </c>
      <c r="G10" s="432">
        <v>9.4</v>
      </c>
      <c r="H10" s="419">
        <v>35.799999999999997</v>
      </c>
      <c r="I10" s="419">
        <v>1.65</v>
      </c>
      <c r="J10" s="413"/>
      <c r="K10" s="26" t="s">
        <v>33</v>
      </c>
      <c r="N10" s="376"/>
    </row>
    <row r="11" spans="1:14" s="373" customFormat="1" ht="18" customHeight="1" x14ac:dyDescent="0.15">
      <c r="A11" s="1136" t="s">
        <v>29</v>
      </c>
      <c r="B11" s="1137"/>
      <c r="C11" s="377">
        <v>12970854</v>
      </c>
      <c r="D11" s="422">
        <v>8.7799999999999994</v>
      </c>
      <c r="E11" s="377">
        <v>11956900</v>
      </c>
      <c r="F11" s="377">
        <v>1013954</v>
      </c>
      <c r="G11" s="432">
        <v>7.81</v>
      </c>
      <c r="H11" s="419">
        <v>33.15</v>
      </c>
      <c r="I11" s="419">
        <v>2.33</v>
      </c>
      <c r="J11" s="413"/>
      <c r="K11" s="26" t="s">
        <v>34</v>
      </c>
      <c r="N11" s="376"/>
    </row>
    <row r="12" spans="1:14" s="373" customFormat="1" ht="18" customHeight="1" x14ac:dyDescent="0.15">
      <c r="A12" s="1136" t="s">
        <v>30</v>
      </c>
      <c r="B12" s="1137"/>
      <c r="C12" s="377">
        <v>7358833</v>
      </c>
      <c r="D12" s="422">
        <v>4.9800000000000004</v>
      </c>
      <c r="E12" s="377">
        <v>3665245</v>
      </c>
      <c r="F12" s="377">
        <v>3693588</v>
      </c>
      <c r="G12" s="432">
        <v>50.19</v>
      </c>
      <c r="H12" s="419">
        <v>35.74</v>
      </c>
      <c r="I12" s="419">
        <v>1.67</v>
      </c>
      <c r="J12" s="413"/>
      <c r="K12" s="26" t="s">
        <v>35</v>
      </c>
      <c r="N12" s="376"/>
    </row>
    <row r="13" spans="1:14" s="373" customFormat="1" ht="18" customHeight="1" x14ac:dyDescent="0.15">
      <c r="A13" s="1136" t="s">
        <v>31</v>
      </c>
      <c r="B13" s="1137"/>
      <c r="C13" s="377">
        <v>1749174</v>
      </c>
      <c r="D13" s="422">
        <v>1.18</v>
      </c>
      <c r="E13" s="377" t="s">
        <v>387</v>
      </c>
      <c r="F13" s="377" t="s">
        <v>387</v>
      </c>
      <c r="G13" s="432" t="s">
        <v>387</v>
      </c>
      <c r="H13" s="419">
        <v>33.9</v>
      </c>
      <c r="I13" s="419">
        <v>1.2</v>
      </c>
      <c r="J13" s="413"/>
      <c r="K13" s="26" t="s">
        <v>36</v>
      </c>
      <c r="N13" s="376"/>
    </row>
    <row r="14" spans="1:14" s="373" customFormat="1" ht="18" customHeight="1" x14ac:dyDescent="0.15">
      <c r="A14" s="1136" t="s">
        <v>57</v>
      </c>
      <c r="B14" s="1137"/>
      <c r="C14" s="377">
        <v>57535001</v>
      </c>
      <c r="D14" s="422">
        <v>38.96</v>
      </c>
      <c r="E14" s="377">
        <v>27419018</v>
      </c>
      <c r="F14" s="377">
        <v>30115983</v>
      </c>
      <c r="G14" s="432">
        <v>52.34</v>
      </c>
      <c r="H14" s="419">
        <v>39.17</v>
      </c>
      <c r="I14" s="419">
        <v>1.02</v>
      </c>
      <c r="J14" s="413"/>
      <c r="K14" s="26" t="s">
        <v>63</v>
      </c>
      <c r="N14" s="376"/>
    </row>
    <row r="15" spans="1:14" s="373" customFormat="1" ht="18" customHeight="1" x14ac:dyDescent="0.15">
      <c r="A15" s="1136" t="s">
        <v>71</v>
      </c>
      <c r="B15" s="1137"/>
      <c r="C15" s="377">
        <v>3102976</v>
      </c>
      <c r="D15" s="422">
        <v>2.1</v>
      </c>
      <c r="E15" s="377" t="s">
        <v>1029</v>
      </c>
      <c r="F15" s="377">
        <v>3102976</v>
      </c>
      <c r="G15" s="432">
        <v>100</v>
      </c>
      <c r="H15" s="419">
        <v>40.270000000000003</v>
      </c>
      <c r="I15" s="419">
        <v>0.6</v>
      </c>
      <c r="J15" s="413"/>
      <c r="K15" s="26" t="s">
        <v>62</v>
      </c>
      <c r="N15" s="376"/>
    </row>
    <row r="16" spans="1:14" s="373" customFormat="1" ht="18" customHeight="1" x14ac:dyDescent="0.15">
      <c r="A16" s="1136" t="s">
        <v>14</v>
      </c>
      <c r="B16" s="1137"/>
      <c r="C16" s="377">
        <v>2111663</v>
      </c>
      <c r="D16" s="422">
        <v>1.43</v>
      </c>
      <c r="E16" s="377" t="s">
        <v>1029</v>
      </c>
      <c r="F16" s="377">
        <v>2111663</v>
      </c>
      <c r="G16" s="432">
        <v>100</v>
      </c>
      <c r="H16" s="419">
        <v>17.71</v>
      </c>
      <c r="I16" s="419">
        <v>2.09</v>
      </c>
      <c r="J16" s="413"/>
      <c r="K16" s="26" t="s">
        <v>23</v>
      </c>
      <c r="N16" s="376"/>
    </row>
    <row r="17" spans="1:14" s="373" customFormat="1" ht="18" customHeight="1" x14ac:dyDescent="0.15">
      <c r="A17" s="1136" t="s">
        <v>58</v>
      </c>
      <c r="B17" s="1137"/>
      <c r="C17" s="377">
        <v>620923</v>
      </c>
      <c r="D17" s="422">
        <v>0.42</v>
      </c>
      <c r="E17" s="377" t="s">
        <v>387</v>
      </c>
      <c r="F17" s="377" t="s">
        <v>387</v>
      </c>
      <c r="G17" s="432" t="s">
        <v>387</v>
      </c>
      <c r="H17" s="419">
        <v>39.840000000000003</v>
      </c>
      <c r="I17" s="419">
        <v>0.09</v>
      </c>
      <c r="J17" s="413"/>
      <c r="K17" s="26" t="s">
        <v>52</v>
      </c>
      <c r="N17" s="376"/>
    </row>
    <row r="18" spans="1:14" ht="18" customHeight="1" x14ac:dyDescent="0.15">
      <c r="A18" s="1138" t="s">
        <v>386</v>
      </c>
      <c r="B18" s="1139"/>
      <c r="C18" s="931">
        <v>2003562</v>
      </c>
      <c r="D18" s="940">
        <v>1.35</v>
      </c>
      <c r="E18" s="931">
        <v>776861</v>
      </c>
      <c r="F18" s="931">
        <v>1226701</v>
      </c>
      <c r="G18" s="941">
        <v>61.22</v>
      </c>
      <c r="H18" s="942">
        <v>32.78</v>
      </c>
      <c r="I18" s="942">
        <v>1.1499999999999999</v>
      </c>
      <c r="J18" s="943"/>
      <c r="K18" s="710" t="s">
        <v>385</v>
      </c>
      <c r="M18" s="376"/>
      <c r="N18" s="376"/>
    </row>
    <row r="19" spans="1:14" s="373" customFormat="1" ht="18" customHeight="1" x14ac:dyDescent="0.15">
      <c r="A19" s="723" t="s">
        <v>384</v>
      </c>
      <c r="B19" s="409"/>
      <c r="C19" s="408"/>
      <c r="D19" s="408"/>
      <c r="E19" s="26"/>
      <c r="F19" s="26"/>
      <c r="G19" s="406"/>
      <c r="H19" s="405"/>
      <c r="I19" s="405"/>
      <c r="J19" s="404"/>
      <c r="K19" s="26"/>
      <c r="M19" s="376"/>
    </row>
    <row r="20" spans="1:14" s="373" customFormat="1" ht="18" customHeight="1" x14ac:dyDescent="0.15">
      <c r="A20" s="723" t="s">
        <v>395</v>
      </c>
      <c r="B20" s="409"/>
      <c r="C20" s="408"/>
      <c r="D20" s="408"/>
      <c r="E20" s="26"/>
      <c r="F20" s="26"/>
      <c r="G20" s="406"/>
      <c r="H20" s="405"/>
      <c r="I20" s="405"/>
      <c r="J20" s="404"/>
      <c r="K20" s="26"/>
      <c r="M20" s="376"/>
    </row>
    <row r="21" spans="1:14" s="373" customFormat="1" ht="18" customHeight="1" x14ac:dyDescent="0.15">
      <c r="A21" s="723" t="s">
        <v>1090</v>
      </c>
      <c r="B21" s="409"/>
      <c r="C21" s="408"/>
      <c r="D21" s="408"/>
      <c r="E21" s="26"/>
      <c r="F21" s="26"/>
      <c r="G21" s="406"/>
      <c r="H21" s="405"/>
      <c r="I21" s="405"/>
      <c r="J21" s="404"/>
      <c r="K21" s="26"/>
      <c r="M21" s="376"/>
    </row>
    <row r="22" spans="1:14" s="373" customFormat="1" ht="18" customHeight="1" x14ac:dyDescent="0.15">
      <c r="A22" s="723" t="s">
        <v>1091</v>
      </c>
      <c r="B22" s="321"/>
      <c r="C22" s="321"/>
      <c r="D22" s="321"/>
      <c r="E22" s="321"/>
      <c r="F22" s="321"/>
      <c r="G22" s="406"/>
      <c r="H22" s="405"/>
      <c r="I22" s="405"/>
      <c r="J22" s="404"/>
      <c r="K22" s="26"/>
      <c r="M22" s="376"/>
    </row>
    <row r="23" spans="1:14" s="373" customFormat="1" ht="18" customHeight="1" x14ac:dyDescent="0.15">
      <c r="A23" s="723" t="s">
        <v>896</v>
      </c>
      <c r="B23" s="321"/>
      <c r="C23" s="321"/>
      <c r="D23" s="321"/>
      <c r="E23" s="321"/>
      <c r="F23" s="321"/>
      <c r="G23" s="406"/>
      <c r="H23" s="405"/>
      <c r="I23" s="405"/>
      <c r="J23" s="404"/>
      <c r="K23" s="26"/>
      <c r="M23" s="376"/>
    </row>
    <row r="24" spans="1:14" s="373" customFormat="1" ht="18" customHeight="1" x14ac:dyDescent="0.15">
      <c r="A24" s="723" t="s">
        <v>895</v>
      </c>
      <c r="B24" s="321"/>
      <c r="C24" s="321"/>
      <c r="D24" s="321"/>
      <c r="E24" s="321"/>
      <c r="F24" s="321"/>
      <c r="G24" s="406"/>
      <c r="H24" s="405"/>
      <c r="I24" s="405"/>
      <c r="J24" s="404"/>
      <c r="K24" s="26"/>
      <c r="M24" s="376"/>
    </row>
    <row r="25" spans="1:14" s="373" customFormat="1" ht="18" customHeight="1" x14ac:dyDescent="0.15">
      <c r="A25" s="723" t="s">
        <v>1092</v>
      </c>
      <c r="B25" s="407"/>
      <c r="C25" s="407"/>
      <c r="D25" s="407"/>
      <c r="E25" s="407"/>
      <c r="F25" s="407"/>
      <c r="G25" s="406"/>
      <c r="H25" s="405"/>
      <c r="I25" s="405"/>
      <c r="J25" s="404"/>
      <c r="K25" s="26"/>
      <c r="M25" s="376"/>
    </row>
    <row r="26" spans="1:14" s="373" customFormat="1" ht="18" customHeight="1" x14ac:dyDescent="0.15">
      <c r="A26" s="407" t="s">
        <v>756</v>
      </c>
      <c r="B26" s="407"/>
      <c r="C26" s="407"/>
      <c r="D26" s="407"/>
      <c r="E26" s="407"/>
      <c r="F26" s="407"/>
      <c r="G26" s="407"/>
      <c r="H26" s="407"/>
      <c r="I26" s="407"/>
      <c r="J26" s="404"/>
      <c r="K26" s="26"/>
      <c r="M26" s="376"/>
    </row>
    <row r="27" spans="1:14" s="373" customFormat="1" ht="20.25" customHeight="1" x14ac:dyDescent="0.15">
      <c r="A27" s="321"/>
      <c r="B27" s="321"/>
      <c r="C27" s="321"/>
      <c r="D27" s="321"/>
      <c r="E27" s="321"/>
      <c r="F27" s="321"/>
      <c r="G27" s="321"/>
      <c r="H27" s="321"/>
      <c r="I27" s="321"/>
      <c r="J27" s="321"/>
      <c r="K27" s="321"/>
    </row>
    <row r="28" spans="1:14" s="386" customFormat="1" ht="19.5" customHeight="1" x14ac:dyDescent="0.15">
      <c r="A28" s="387" t="s">
        <v>1093</v>
      </c>
      <c r="B28" s="21"/>
      <c r="C28" s="368"/>
      <c r="D28" s="368"/>
      <c r="E28" s="368"/>
      <c r="F28" s="368"/>
      <c r="G28" s="368"/>
      <c r="H28" s="368"/>
      <c r="I28" s="368"/>
      <c r="J28" s="368"/>
      <c r="K28" s="368"/>
    </row>
    <row r="29" spans="1:14" s="386" customFormat="1" ht="19.5" customHeight="1" x14ac:dyDescent="0.15">
      <c r="A29" s="387" t="s">
        <v>1124</v>
      </c>
      <c r="B29" s="21"/>
      <c r="C29" s="368"/>
      <c r="D29" s="368"/>
      <c r="E29" s="368"/>
      <c r="F29" s="368"/>
      <c r="G29" s="368"/>
      <c r="H29" s="368"/>
      <c r="I29" s="368"/>
      <c r="J29" s="368"/>
      <c r="K29" s="368"/>
    </row>
    <row r="30" spans="1:14" s="373" customFormat="1" ht="27.75" customHeight="1" x14ac:dyDescent="0.15">
      <c r="A30" s="707"/>
      <c r="B30" s="209" t="s">
        <v>390</v>
      </c>
      <c r="C30" s="1140" t="s">
        <v>1089</v>
      </c>
      <c r="D30" s="1141"/>
      <c r="E30" s="1141"/>
      <c r="F30" s="1141"/>
      <c r="G30" s="1142"/>
      <c r="H30" s="912" t="s">
        <v>574</v>
      </c>
      <c r="I30" s="912" t="s">
        <v>750</v>
      </c>
      <c r="J30" s="1143" t="s">
        <v>751</v>
      </c>
      <c r="K30" s="1144"/>
    </row>
    <row r="31" spans="1:14" s="373" customFormat="1" ht="27.75" customHeight="1" x14ac:dyDescent="0.15">
      <c r="A31" s="720"/>
      <c r="B31" s="694"/>
      <c r="C31" s="429" t="s">
        <v>55</v>
      </c>
      <c r="D31" s="932" t="s">
        <v>613</v>
      </c>
      <c r="E31" s="933" t="s">
        <v>752</v>
      </c>
      <c r="F31" s="933" t="s">
        <v>467</v>
      </c>
      <c r="G31" s="934" t="s">
        <v>753</v>
      </c>
      <c r="H31" s="431" t="s">
        <v>575</v>
      </c>
      <c r="I31" s="430" t="s">
        <v>754</v>
      </c>
      <c r="J31" s="1145"/>
      <c r="K31" s="1146"/>
    </row>
    <row r="32" spans="1:14" s="373" customFormat="1" ht="27.75" customHeight="1" x14ac:dyDescent="0.15">
      <c r="A32" s="645" t="s">
        <v>391</v>
      </c>
      <c r="B32" s="719"/>
      <c r="C32" s="429" t="s">
        <v>54</v>
      </c>
      <c r="D32" s="428" t="s">
        <v>576</v>
      </c>
      <c r="E32" s="427" t="s">
        <v>470</v>
      </c>
      <c r="F32" s="426" t="s">
        <v>471</v>
      </c>
      <c r="G32" s="425" t="s">
        <v>577</v>
      </c>
      <c r="H32" s="424" t="s">
        <v>1126</v>
      </c>
      <c r="I32" s="424" t="s">
        <v>755</v>
      </c>
      <c r="J32" s="1147"/>
      <c r="K32" s="1148"/>
    </row>
    <row r="33" spans="1:14" s="373" customFormat="1" ht="9.75" customHeight="1" x14ac:dyDescent="0.15">
      <c r="A33" s="707"/>
      <c r="B33" s="713"/>
      <c r="C33" s="935"/>
      <c r="D33" s="936"/>
      <c r="E33" s="937"/>
      <c r="F33" s="938"/>
      <c r="G33" s="939"/>
      <c r="H33" s="939"/>
      <c r="I33" s="939"/>
      <c r="J33" s="415"/>
      <c r="K33" s="26"/>
    </row>
    <row r="34" spans="1:14" s="373" customFormat="1" ht="20.25" customHeight="1" x14ac:dyDescent="0.15">
      <c r="A34" s="423" t="s">
        <v>396</v>
      </c>
      <c r="B34" s="414"/>
      <c r="C34" s="377">
        <v>144801793</v>
      </c>
      <c r="D34" s="422">
        <v>100</v>
      </c>
      <c r="E34" s="377">
        <v>95673450</v>
      </c>
      <c r="F34" s="377">
        <v>49128343</v>
      </c>
      <c r="G34" s="422">
        <v>33.92</v>
      </c>
      <c r="H34" s="419">
        <v>36.83</v>
      </c>
      <c r="I34" s="419">
        <v>1.4</v>
      </c>
      <c r="J34" s="413" t="s">
        <v>54</v>
      </c>
      <c r="K34" s="26"/>
      <c r="M34" s="376"/>
      <c r="N34" s="376"/>
    </row>
    <row r="35" spans="1:14" s="373" customFormat="1" ht="18" customHeight="1" x14ac:dyDescent="0.15">
      <c r="A35" s="1149"/>
      <c r="B35" s="1150"/>
      <c r="C35" s="377"/>
      <c r="D35" s="422"/>
      <c r="E35" s="377"/>
      <c r="F35" s="377"/>
      <c r="G35" s="422"/>
      <c r="H35" s="419"/>
      <c r="I35" s="419"/>
      <c r="J35" s="404"/>
      <c r="K35" s="412"/>
      <c r="M35" s="376"/>
      <c r="N35" s="376"/>
    </row>
    <row r="36" spans="1:14" s="373" customFormat="1" ht="18" customHeight="1" x14ac:dyDescent="0.15">
      <c r="A36" s="1149" t="s">
        <v>773</v>
      </c>
      <c r="B36" s="1150"/>
      <c r="C36" s="377">
        <v>347509</v>
      </c>
      <c r="D36" s="422">
        <v>0.23</v>
      </c>
      <c r="E36" s="377" t="s">
        <v>1029</v>
      </c>
      <c r="F36" s="377">
        <v>347509</v>
      </c>
      <c r="G36" s="422">
        <v>100</v>
      </c>
      <c r="H36" s="419">
        <v>38.17</v>
      </c>
      <c r="I36" s="419">
        <v>0.06</v>
      </c>
      <c r="J36" s="404"/>
      <c r="K36" s="412" t="s">
        <v>38</v>
      </c>
      <c r="M36" s="376"/>
      <c r="N36" s="376"/>
    </row>
    <row r="37" spans="1:14" s="373" customFormat="1" ht="18" customHeight="1" x14ac:dyDescent="0.15">
      <c r="A37" s="1149" t="s">
        <v>28</v>
      </c>
      <c r="B37" s="1150"/>
      <c r="C37" s="377">
        <v>57049359</v>
      </c>
      <c r="D37" s="422">
        <v>39.39</v>
      </c>
      <c r="E37" s="377">
        <v>51941841</v>
      </c>
      <c r="F37" s="377">
        <v>5107518</v>
      </c>
      <c r="G37" s="422">
        <v>8.9499999999999993</v>
      </c>
      <c r="H37" s="419">
        <v>35.840000000000003</v>
      </c>
      <c r="I37" s="419">
        <v>1.64</v>
      </c>
      <c r="J37" s="404"/>
      <c r="K37" s="412" t="s">
        <v>33</v>
      </c>
      <c r="M37" s="376"/>
      <c r="N37" s="376"/>
    </row>
    <row r="38" spans="1:14" s="373" customFormat="1" ht="18" customHeight="1" x14ac:dyDescent="0.15">
      <c r="A38" s="1149" t="s">
        <v>29</v>
      </c>
      <c r="B38" s="1150"/>
      <c r="C38" s="377">
        <v>11818381</v>
      </c>
      <c r="D38" s="422">
        <v>8.16</v>
      </c>
      <c r="E38" s="377">
        <v>11221282</v>
      </c>
      <c r="F38" s="377">
        <v>597099</v>
      </c>
      <c r="G38" s="422">
        <v>5.05</v>
      </c>
      <c r="H38" s="419">
        <v>33.17</v>
      </c>
      <c r="I38" s="419">
        <v>2.33</v>
      </c>
      <c r="J38" s="404"/>
      <c r="K38" s="412" t="s">
        <v>34</v>
      </c>
      <c r="M38" s="376"/>
      <c r="N38" s="376"/>
    </row>
    <row r="39" spans="1:14" s="373" customFormat="1" ht="18" customHeight="1" x14ac:dyDescent="0.15">
      <c r="A39" s="1149" t="s">
        <v>30</v>
      </c>
      <c r="B39" s="1150"/>
      <c r="C39" s="377">
        <v>6467293</v>
      </c>
      <c r="D39" s="422">
        <v>4.46</v>
      </c>
      <c r="E39" s="377">
        <v>3372688</v>
      </c>
      <c r="F39" s="377">
        <v>3094605</v>
      </c>
      <c r="G39" s="422">
        <v>47.85</v>
      </c>
      <c r="H39" s="419">
        <v>36.65</v>
      </c>
      <c r="I39" s="419">
        <v>1.62</v>
      </c>
      <c r="J39" s="404"/>
      <c r="K39" s="412" t="s">
        <v>35</v>
      </c>
      <c r="M39" s="376"/>
      <c r="N39" s="376"/>
    </row>
    <row r="40" spans="1:14" s="373" customFormat="1" ht="18" customHeight="1" x14ac:dyDescent="0.15">
      <c r="A40" s="1149" t="s">
        <v>31</v>
      </c>
      <c r="B40" s="1150"/>
      <c r="C40" s="377">
        <v>1590180</v>
      </c>
      <c r="D40" s="422">
        <v>1.0900000000000001</v>
      </c>
      <c r="E40" s="377" t="s">
        <v>387</v>
      </c>
      <c r="F40" s="377" t="s">
        <v>387</v>
      </c>
      <c r="G40" s="422" t="s">
        <v>387</v>
      </c>
      <c r="H40" s="419">
        <v>33.89</v>
      </c>
      <c r="I40" s="419">
        <v>1.18</v>
      </c>
      <c r="J40" s="404"/>
      <c r="K40" s="412" t="s">
        <v>36</v>
      </c>
      <c r="M40" s="376"/>
      <c r="N40" s="376"/>
    </row>
    <row r="41" spans="1:14" s="373" customFormat="1" ht="18" customHeight="1" x14ac:dyDescent="0.15">
      <c r="A41" s="1149" t="s">
        <v>57</v>
      </c>
      <c r="B41" s="1150"/>
      <c r="C41" s="377">
        <v>59221947</v>
      </c>
      <c r="D41" s="422">
        <v>40.89</v>
      </c>
      <c r="E41" s="377">
        <v>27729214</v>
      </c>
      <c r="F41" s="377">
        <v>31492733</v>
      </c>
      <c r="G41" s="422">
        <v>53.17</v>
      </c>
      <c r="H41" s="419">
        <v>39.22</v>
      </c>
      <c r="I41" s="419">
        <v>1.01</v>
      </c>
      <c r="J41" s="404"/>
      <c r="K41" s="412" t="s">
        <v>63</v>
      </c>
      <c r="M41" s="376"/>
      <c r="N41" s="376"/>
    </row>
    <row r="42" spans="1:14" s="373" customFormat="1" ht="18" customHeight="1" x14ac:dyDescent="0.15">
      <c r="A42" s="1149" t="s">
        <v>71</v>
      </c>
      <c r="B42" s="1150"/>
      <c r="C42" s="377">
        <v>3656826</v>
      </c>
      <c r="D42" s="422">
        <v>2.52</v>
      </c>
      <c r="E42" s="377" t="s">
        <v>1029</v>
      </c>
      <c r="F42" s="377">
        <v>3656826</v>
      </c>
      <c r="G42" s="422">
        <v>100</v>
      </c>
      <c r="H42" s="419">
        <v>41.41</v>
      </c>
      <c r="I42" s="419">
        <v>0.46</v>
      </c>
      <c r="J42" s="404"/>
      <c r="K42" s="412" t="s">
        <v>62</v>
      </c>
      <c r="M42" s="376"/>
      <c r="N42" s="376"/>
    </row>
    <row r="43" spans="1:14" s="373" customFormat="1" ht="18" customHeight="1" x14ac:dyDescent="0.15">
      <c r="A43" s="1149" t="s">
        <v>14</v>
      </c>
      <c r="B43" s="1150"/>
      <c r="C43" s="377">
        <v>2217505</v>
      </c>
      <c r="D43" s="422">
        <v>1.53</v>
      </c>
      <c r="E43" s="377" t="s">
        <v>1029</v>
      </c>
      <c r="F43" s="377">
        <v>2217505</v>
      </c>
      <c r="G43" s="422">
        <v>100</v>
      </c>
      <c r="H43" s="419">
        <v>17.72</v>
      </c>
      <c r="I43" s="419">
        <v>2.1</v>
      </c>
      <c r="J43" s="404"/>
      <c r="K43" s="412" t="s">
        <v>23</v>
      </c>
      <c r="M43" s="376"/>
      <c r="N43" s="376"/>
    </row>
    <row r="44" spans="1:14" s="373" customFormat="1" ht="18" customHeight="1" x14ac:dyDescent="0.15">
      <c r="A44" s="1149" t="s">
        <v>58</v>
      </c>
      <c r="B44" s="1150"/>
      <c r="C44" s="377">
        <v>661105</v>
      </c>
      <c r="D44" s="422">
        <v>0.45</v>
      </c>
      <c r="E44" s="377" t="s">
        <v>387</v>
      </c>
      <c r="F44" s="377" t="s">
        <v>387</v>
      </c>
      <c r="G44" s="422" t="s">
        <v>387</v>
      </c>
      <c r="H44" s="419">
        <v>38.590000000000003</v>
      </c>
      <c r="I44" s="419">
        <v>0.09</v>
      </c>
      <c r="J44" s="404"/>
      <c r="K44" s="412" t="s">
        <v>52</v>
      </c>
      <c r="M44" s="376"/>
      <c r="N44" s="376"/>
    </row>
    <row r="45" spans="1:14" ht="18" customHeight="1" x14ac:dyDescent="0.15">
      <c r="A45" s="1138" t="s">
        <v>386</v>
      </c>
      <c r="B45" s="1139"/>
      <c r="C45" s="931">
        <v>1771688</v>
      </c>
      <c r="D45" s="940">
        <v>1.22</v>
      </c>
      <c r="E45" s="931">
        <v>789144</v>
      </c>
      <c r="F45" s="931">
        <v>982544</v>
      </c>
      <c r="G45" s="940">
        <v>55.45</v>
      </c>
      <c r="H45" s="942">
        <v>30.16</v>
      </c>
      <c r="I45" s="942">
        <v>1.82</v>
      </c>
      <c r="J45" s="943"/>
      <c r="K45" s="710" t="s">
        <v>385</v>
      </c>
    </row>
    <row r="46" spans="1:14" ht="18" customHeight="1" x14ac:dyDescent="0.15">
      <c r="A46" s="723" t="s">
        <v>384</v>
      </c>
      <c r="B46" s="409"/>
      <c r="C46" s="408"/>
      <c r="D46" s="408"/>
      <c r="E46" s="26"/>
      <c r="F46" s="26"/>
      <c r="G46" s="406"/>
      <c r="H46" s="405"/>
      <c r="I46" s="405"/>
      <c r="J46" s="404"/>
      <c r="K46" s="26"/>
    </row>
    <row r="47" spans="1:14" ht="18" customHeight="1" x14ac:dyDescent="0.15">
      <c r="A47" s="723" t="s">
        <v>395</v>
      </c>
      <c r="B47" s="409"/>
      <c r="C47" s="408"/>
      <c r="D47" s="408"/>
      <c r="E47" s="26"/>
      <c r="F47" s="26"/>
      <c r="G47" s="406"/>
      <c r="H47" s="405"/>
      <c r="I47" s="405"/>
      <c r="J47" s="404"/>
      <c r="K47" s="26"/>
    </row>
    <row r="48" spans="1:14" ht="18" customHeight="1" x14ac:dyDescent="0.15">
      <c r="A48" s="723" t="s">
        <v>1094</v>
      </c>
      <c r="B48" s="409"/>
      <c r="C48" s="408"/>
      <c r="D48" s="408"/>
      <c r="E48" s="26"/>
      <c r="F48" s="26"/>
      <c r="G48" s="406"/>
      <c r="H48" s="405"/>
      <c r="I48" s="405"/>
      <c r="J48" s="404"/>
      <c r="K48" s="26"/>
    </row>
    <row r="49" spans="1:18" ht="18" customHeight="1" x14ac:dyDescent="0.15">
      <c r="A49" s="723" t="s">
        <v>1095</v>
      </c>
      <c r="B49" s="321"/>
      <c r="C49" s="321"/>
      <c r="D49" s="321"/>
      <c r="E49" s="321"/>
      <c r="F49" s="321"/>
      <c r="G49" s="406"/>
      <c r="H49" s="405"/>
      <c r="I49" s="405"/>
      <c r="J49" s="404"/>
      <c r="K49" s="26"/>
    </row>
    <row r="50" spans="1:18" ht="18" customHeight="1" x14ac:dyDescent="0.15">
      <c r="A50" s="723" t="s">
        <v>896</v>
      </c>
      <c r="B50" s="321"/>
      <c r="C50" s="321"/>
      <c r="D50" s="321"/>
      <c r="E50" s="321"/>
      <c r="F50" s="321"/>
      <c r="G50" s="406"/>
      <c r="H50" s="405"/>
      <c r="I50" s="405"/>
      <c r="J50" s="404"/>
      <c r="K50" s="26"/>
    </row>
    <row r="51" spans="1:18" ht="18" customHeight="1" x14ac:dyDescent="0.15">
      <c r="A51" s="723" t="s">
        <v>895</v>
      </c>
      <c r="B51" s="321"/>
      <c r="C51" s="321"/>
      <c r="D51" s="321"/>
      <c r="E51" s="321"/>
      <c r="F51" s="321"/>
      <c r="G51" s="406"/>
      <c r="H51" s="405"/>
      <c r="I51" s="405"/>
      <c r="J51" s="404"/>
      <c r="K51" s="26"/>
    </row>
    <row r="52" spans="1:18" ht="18" customHeight="1" x14ac:dyDescent="0.15">
      <c r="A52" s="723" t="s">
        <v>1096</v>
      </c>
      <c r="B52" s="407"/>
      <c r="C52" s="407"/>
      <c r="D52" s="407"/>
      <c r="E52" s="407"/>
      <c r="F52" s="407"/>
      <c r="G52" s="406"/>
      <c r="H52" s="405"/>
      <c r="I52" s="405"/>
      <c r="J52" s="404"/>
      <c r="K52" s="26"/>
      <c r="L52" s="722"/>
      <c r="M52" s="722"/>
      <c r="N52" s="722"/>
      <c r="O52" s="722"/>
      <c r="P52" s="722"/>
      <c r="Q52" s="722"/>
      <c r="R52" s="722"/>
    </row>
    <row r="53" spans="1:18" ht="18" customHeight="1" x14ac:dyDescent="0.15">
      <c r="A53" s="407" t="s">
        <v>757</v>
      </c>
      <c r="B53" s="407"/>
      <c r="C53" s="407"/>
      <c r="D53" s="407"/>
      <c r="E53" s="407"/>
      <c r="F53" s="407"/>
    </row>
    <row r="54" spans="1:18" ht="14.25" x14ac:dyDescent="0.15">
      <c r="E54" s="375"/>
    </row>
  </sheetData>
  <mergeCells count="26">
    <mergeCell ref="A45:B45"/>
    <mergeCell ref="A38:B38"/>
    <mergeCell ref="A39:B39"/>
    <mergeCell ref="A40:B40"/>
    <mergeCell ref="A41:B41"/>
    <mergeCell ref="A42:B42"/>
    <mergeCell ref="A43:B43"/>
    <mergeCell ref="C30:G30"/>
    <mergeCell ref="J30:K32"/>
    <mergeCell ref="A35:B35"/>
    <mergeCell ref="A36:B36"/>
    <mergeCell ref="A44:B44"/>
    <mergeCell ref="A37:B37"/>
    <mergeCell ref="A17:B17"/>
    <mergeCell ref="A18:B18"/>
    <mergeCell ref="A11:B11"/>
    <mergeCell ref="C3:G3"/>
    <mergeCell ref="J3:K5"/>
    <mergeCell ref="A8:B8"/>
    <mergeCell ref="A9:B9"/>
    <mergeCell ref="A10:B10"/>
    <mergeCell ref="A12:B12"/>
    <mergeCell ref="A13:B13"/>
    <mergeCell ref="A14:B14"/>
    <mergeCell ref="A15:B15"/>
    <mergeCell ref="A16:B16"/>
  </mergeCells>
  <phoneticPr fontId="33"/>
  <pageMargins left="0.59055118110236227" right="0.59055118110236227" top="0.59055118110236227" bottom="0.59055118110236227" header="0.51181102362204722" footer="0.51181102362204722"/>
  <pageSetup paperSize="9" orientation="portrait" r:id="rId1"/>
  <headerFooter alignWithMargins="0"/>
  <rowBreaks count="1" manualBreakCount="1">
    <brk id="26" max="11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52"/>
  <sheetViews>
    <sheetView view="pageBreakPreview" zoomScale="110" zoomScaleNormal="25" zoomScaleSheetLayoutView="110" workbookViewId="0"/>
  </sheetViews>
  <sheetFormatPr defaultColWidth="8.875" defaultRowHeight="12" x14ac:dyDescent="0.15"/>
  <cols>
    <col min="1" max="1" width="20.25" style="21" customWidth="1"/>
    <col min="2" max="2" width="13.625" style="21" customWidth="1"/>
    <col min="3" max="4" width="14.625" style="21" customWidth="1"/>
    <col min="5" max="5" width="0.875" style="21" customWidth="1"/>
    <col min="6" max="6" width="27.625" style="21" customWidth="1"/>
    <col min="7" max="7" width="4.125" style="21" customWidth="1"/>
    <col min="8" max="8" width="11.625" style="21" customWidth="1"/>
    <col min="9" max="9" width="11.5" style="21" bestFit="1" customWidth="1"/>
    <col min="10" max="10" width="14.25" style="21" bestFit="1" customWidth="1"/>
    <col min="11" max="11" width="14.5" style="21" bestFit="1" customWidth="1"/>
    <col min="12" max="12" width="9.375" style="21" bestFit="1" customWidth="1"/>
    <col min="13" max="13" width="11.625" style="21" bestFit="1" customWidth="1"/>
    <col min="14" max="15" width="8.875" style="21" customWidth="1"/>
    <col min="16" max="16" width="14.625" style="21" customWidth="1"/>
    <col min="17" max="16384" width="8.875" style="21"/>
  </cols>
  <sheetData>
    <row r="1" spans="1:8" s="386" customFormat="1" ht="15" customHeight="1" x14ac:dyDescent="0.15">
      <c r="A1" s="387" t="s">
        <v>981</v>
      </c>
    </row>
    <row r="2" spans="1:8" s="373" customFormat="1" ht="12.95" customHeight="1" x14ac:dyDescent="0.15">
      <c r="A2" s="209" t="s">
        <v>390</v>
      </c>
      <c r="B2" s="1151" t="s">
        <v>758</v>
      </c>
      <c r="C2" s="1152"/>
      <c r="D2" s="1153"/>
      <c r="E2" s="1154" t="s">
        <v>760</v>
      </c>
      <c r="F2" s="1069"/>
    </row>
    <row r="3" spans="1:8" s="373" customFormat="1" ht="12.95" customHeight="1" x14ac:dyDescent="0.15">
      <c r="A3" s="694"/>
      <c r="B3" s="417" t="s">
        <v>195</v>
      </c>
      <c r="C3" s="944" t="s">
        <v>377</v>
      </c>
      <c r="D3" s="944" t="s">
        <v>376</v>
      </c>
      <c r="E3" s="1028"/>
      <c r="F3" s="1051"/>
    </row>
    <row r="4" spans="1:8" s="373" customFormat="1" ht="12.95" customHeight="1" x14ac:dyDescent="0.15">
      <c r="A4" s="416" t="s">
        <v>391</v>
      </c>
      <c r="B4" s="913" t="s">
        <v>759</v>
      </c>
      <c r="C4" s="930" t="s">
        <v>470</v>
      </c>
      <c r="D4" s="930" t="s">
        <v>471</v>
      </c>
      <c r="E4" s="1155"/>
      <c r="F4" s="1070"/>
    </row>
    <row r="5" spans="1:8" s="373" customFormat="1" ht="12.95" customHeight="1" x14ac:dyDescent="0.15">
      <c r="A5" s="713"/>
      <c r="B5" s="939"/>
      <c r="C5" s="939"/>
      <c r="D5" s="939"/>
      <c r="E5" s="415"/>
      <c r="F5" s="26"/>
    </row>
    <row r="6" spans="1:8" s="373" customFormat="1" ht="12.95" customHeight="1" x14ac:dyDescent="0.15">
      <c r="A6" s="414" t="s">
        <v>388</v>
      </c>
      <c r="B6" s="377">
        <v>80429451</v>
      </c>
      <c r="C6" s="377">
        <v>53581011</v>
      </c>
      <c r="D6" s="377">
        <v>26848440</v>
      </c>
      <c r="E6" s="413" t="s">
        <v>54</v>
      </c>
      <c r="F6" s="26"/>
      <c r="H6" s="376"/>
    </row>
    <row r="7" spans="1:8" s="373" customFormat="1" ht="12.95" customHeight="1" x14ac:dyDescent="0.15">
      <c r="A7" s="721"/>
      <c r="B7" s="377"/>
      <c r="C7" s="377"/>
      <c r="D7" s="377"/>
      <c r="E7" s="404"/>
      <c r="F7" s="412"/>
      <c r="H7" s="376"/>
    </row>
    <row r="8" spans="1:8" s="373" customFormat="1" ht="12.95" customHeight="1" x14ac:dyDescent="0.15">
      <c r="A8" s="721" t="s">
        <v>423</v>
      </c>
      <c r="B8" s="377">
        <v>296113</v>
      </c>
      <c r="C8" s="377" t="s">
        <v>387</v>
      </c>
      <c r="D8" s="377" t="s">
        <v>387</v>
      </c>
      <c r="E8" s="404"/>
      <c r="F8" s="412" t="s">
        <v>424</v>
      </c>
      <c r="H8" s="376"/>
    </row>
    <row r="9" spans="1:8" s="373" customFormat="1" ht="12.95" customHeight="1" x14ac:dyDescent="0.15">
      <c r="A9" s="721" t="s">
        <v>28</v>
      </c>
      <c r="B9" s="377">
        <v>32679558</v>
      </c>
      <c r="C9" s="377">
        <v>29589008</v>
      </c>
      <c r="D9" s="377">
        <v>3090550</v>
      </c>
      <c r="E9" s="404"/>
      <c r="F9" s="412" t="s">
        <v>33</v>
      </c>
      <c r="H9" s="376"/>
    </row>
    <row r="10" spans="1:8" s="373" customFormat="1" ht="12.95" customHeight="1" x14ac:dyDescent="0.15">
      <c r="A10" s="721" t="s">
        <v>29</v>
      </c>
      <c r="B10" s="377">
        <v>7004400</v>
      </c>
      <c r="C10" s="377">
        <v>6464013</v>
      </c>
      <c r="D10" s="377">
        <v>540387</v>
      </c>
      <c r="E10" s="404"/>
      <c r="F10" s="412" t="s">
        <v>34</v>
      </c>
      <c r="H10" s="376"/>
    </row>
    <row r="11" spans="1:8" s="373" customFormat="1" ht="12.95" customHeight="1" x14ac:dyDescent="0.15">
      <c r="A11" s="721" t="s">
        <v>30</v>
      </c>
      <c r="B11" s="377">
        <v>3967142</v>
      </c>
      <c r="C11" s="377">
        <v>1964830</v>
      </c>
      <c r="D11" s="377">
        <v>2002312</v>
      </c>
      <c r="E11" s="404"/>
      <c r="F11" s="412" t="s">
        <v>35</v>
      </c>
      <c r="H11" s="376"/>
    </row>
    <row r="12" spans="1:8" s="373" customFormat="1" ht="12.95" customHeight="1" x14ac:dyDescent="0.15">
      <c r="A12" s="721" t="s">
        <v>31</v>
      </c>
      <c r="B12" s="377">
        <v>941213</v>
      </c>
      <c r="C12" s="377" t="s">
        <v>387</v>
      </c>
      <c r="D12" s="377" t="s">
        <v>387</v>
      </c>
      <c r="E12" s="404"/>
      <c r="F12" s="412" t="s">
        <v>36</v>
      </c>
      <c r="H12" s="376"/>
    </row>
    <row r="13" spans="1:8" s="373" customFormat="1" ht="12.95" customHeight="1" x14ac:dyDescent="0.15">
      <c r="A13" s="721" t="s">
        <v>57</v>
      </c>
      <c r="B13" s="377">
        <v>31234830</v>
      </c>
      <c r="C13" s="377">
        <v>14741368</v>
      </c>
      <c r="D13" s="377">
        <v>16493462</v>
      </c>
      <c r="E13" s="404"/>
      <c r="F13" s="412" t="s">
        <v>63</v>
      </c>
      <c r="H13" s="376"/>
    </row>
    <row r="14" spans="1:8" s="373" customFormat="1" ht="12.95" customHeight="1" x14ac:dyDescent="0.15">
      <c r="A14" s="721" t="s">
        <v>71</v>
      </c>
      <c r="B14" s="377">
        <v>1732086</v>
      </c>
      <c r="C14" s="377" t="s">
        <v>1029</v>
      </c>
      <c r="D14" s="377">
        <v>1732086</v>
      </c>
      <c r="E14" s="404"/>
      <c r="F14" s="412" t="s">
        <v>62</v>
      </c>
      <c r="H14" s="376"/>
    </row>
    <row r="15" spans="1:8" s="373" customFormat="1" ht="12.95" customHeight="1" x14ac:dyDescent="0.15">
      <c r="A15" s="721" t="s">
        <v>14</v>
      </c>
      <c r="B15" s="377">
        <v>1086408</v>
      </c>
      <c r="C15" s="377" t="s">
        <v>1029</v>
      </c>
      <c r="D15" s="377">
        <v>1086408</v>
      </c>
      <c r="E15" s="404"/>
      <c r="F15" s="412" t="s">
        <v>23</v>
      </c>
      <c r="H15" s="376"/>
    </row>
    <row r="16" spans="1:8" s="373" customFormat="1" ht="12.95" customHeight="1" x14ac:dyDescent="0.15">
      <c r="A16" s="721" t="s">
        <v>58</v>
      </c>
      <c r="B16" s="377">
        <v>382328</v>
      </c>
      <c r="C16" s="377" t="s">
        <v>387</v>
      </c>
      <c r="D16" s="377" t="s">
        <v>387</v>
      </c>
      <c r="E16" s="404"/>
      <c r="F16" s="412" t="s">
        <v>52</v>
      </c>
      <c r="H16" s="376"/>
    </row>
    <row r="17" spans="1:11" s="373" customFormat="1" ht="12.95" customHeight="1" x14ac:dyDescent="0.15">
      <c r="A17" s="945" t="s">
        <v>386</v>
      </c>
      <c r="B17" s="931">
        <v>1105373</v>
      </c>
      <c r="C17" s="931">
        <v>418200</v>
      </c>
      <c r="D17" s="931">
        <v>687173</v>
      </c>
      <c r="E17" s="709"/>
      <c r="F17" s="710" t="s">
        <v>385</v>
      </c>
      <c r="H17" s="376"/>
    </row>
    <row r="18" spans="1:11" s="373" customFormat="1" ht="12.95" customHeight="1" x14ac:dyDescent="0.15">
      <c r="A18" s="723" t="s">
        <v>384</v>
      </c>
      <c r="B18" s="409"/>
      <c r="C18" s="408"/>
      <c r="D18" s="408"/>
      <c r="E18" s="26"/>
      <c r="F18" s="26"/>
    </row>
    <row r="19" spans="1:11" s="373" customFormat="1" ht="12.95" customHeight="1" x14ac:dyDescent="0.15">
      <c r="A19" s="723" t="s">
        <v>383</v>
      </c>
      <c r="B19" s="409"/>
      <c r="C19" s="408"/>
      <c r="D19" s="408"/>
      <c r="E19" s="26"/>
      <c r="F19" s="26"/>
    </row>
    <row r="20" spans="1:11" s="373" customFormat="1" ht="12.95" customHeight="1" x14ac:dyDescent="0.15">
      <c r="A20" s="723" t="s">
        <v>1090</v>
      </c>
      <c r="B20" s="409"/>
      <c r="C20" s="408"/>
      <c r="D20" s="408"/>
      <c r="E20" s="26"/>
      <c r="F20" s="26"/>
      <c r="G20" s="406"/>
      <c r="H20" s="405"/>
      <c r="I20" s="405"/>
      <c r="J20" s="404"/>
      <c r="K20" s="26"/>
    </row>
    <row r="21" spans="1:11" s="373" customFormat="1" ht="12.95" customHeight="1" x14ac:dyDescent="0.15">
      <c r="A21" s="723" t="s">
        <v>1091</v>
      </c>
      <c r="B21" s="321"/>
      <c r="C21" s="321"/>
      <c r="D21" s="321"/>
      <c r="E21" s="321"/>
      <c r="F21" s="321"/>
      <c r="G21" s="406"/>
      <c r="H21" s="405"/>
      <c r="I21" s="405"/>
      <c r="J21" s="404"/>
      <c r="K21" s="26"/>
    </row>
    <row r="22" spans="1:11" s="373" customFormat="1" ht="12.95" customHeight="1" x14ac:dyDescent="0.15">
      <c r="A22" s="723" t="s">
        <v>896</v>
      </c>
      <c r="B22" s="321"/>
      <c r="C22" s="321"/>
      <c r="D22" s="321"/>
      <c r="E22" s="321"/>
      <c r="F22" s="321"/>
      <c r="H22" s="376"/>
    </row>
    <row r="23" spans="1:11" s="373" customFormat="1" ht="12.95" customHeight="1" x14ac:dyDescent="0.15">
      <c r="A23" s="723" t="s">
        <v>897</v>
      </c>
      <c r="B23" s="321"/>
      <c r="C23" s="321"/>
      <c r="D23" s="321"/>
      <c r="E23" s="321"/>
      <c r="F23" s="321"/>
      <c r="H23" s="376"/>
    </row>
    <row r="24" spans="1:11" s="373" customFormat="1" ht="12.95" customHeight="1" x14ac:dyDescent="0.15">
      <c r="A24" s="723" t="s">
        <v>1092</v>
      </c>
      <c r="B24" s="407"/>
      <c r="C24" s="407"/>
      <c r="D24" s="407"/>
      <c r="E24" s="407"/>
      <c r="F24" s="407"/>
      <c r="G24" s="406"/>
      <c r="H24" s="405"/>
      <c r="I24" s="405"/>
      <c r="J24" s="404"/>
      <c r="K24" s="26"/>
    </row>
    <row r="25" spans="1:11" s="373" customFormat="1" ht="12.95" customHeight="1" x14ac:dyDescent="0.15">
      <c r="A25" s="407" t="s">
        <v>756</v>
      </c>
      <c r="B25" s="407"/>
      <c r="C25" s="407"/>
      <c r="D25" s="407"/>
      <c r="E25" s="407"/>
      <c r="F25" s="407"/>
      <c r="G25" s="407"/>
      <c r="H25" s="407"/>
      <c r="I25" s="407"/>
      <c r="J25" s="404"/>
      <c r="K25" s="26"/>
    </row>
    <row r="26" spans="1:11" s="373" customFormat="1" ht="12.95" customHeight="1" x14ac:dyDescent="0.15">
      <c r="A26" s="418"/>
      <c r="B26" s="418"/>
      <c r="C26" s="418"/>
      <c r="D26" s="418"/>
      <c r="E26" s="418"/>
      <c r="F26" s="418"/>
      <c r="H26" s="376"/>
    </row>
    <row r="27" spans="1:11" s="386" customFormat="1" ht="12.95" customHeight="1" x14ac:dyDescent="0.15">
      <c r="A27" s="387" t="s">
        <v>1097</v>
      </c>
      <c r="B27" s="368"/>
      <c r="C27" s="368"/>
      <c r="D27" s="368"/>
      <c r="E27" s="368"/>
      <c r="F27" s="368"/>
      <c r="H27" s="376"/>
    </row>
    <row r="28" spans="1:11" s="373" customFormat="1" ht="12.95" customHeight="1" x14ac:dyDescent="0.15">
      <c r="A28" s="209" t="s">
        <v>390</v>
      </c>
      <c r="B28" s="1151" t="s">
        <v>758</v>
      </c>
      <c r="C28" s="1152"/>
      <c r="D28" s="1153"/>
      <c r="E28" s="1154" t="s">
        <v>760</v>
      </c>
      <c r="F28" s="1069"/>
      <c r="H28" s="376"/>
    </row>
    <row r="29" spans="1:11" s="373" customFormat="1" ht="12.95" customHeight="1" x14ac:dyDescent="0.15">
      <c r="A29" s="694"/>
      <c r="B29" s="417" t="s">
        <v>195</v>
      </c>
      <c r="C29" s="944" t="s">
        <v>377</v>
      </c>
      <c r="D29" s="944" t="s">
        <v>376</v>
      </c>
      <c r="E29" s="1028"/>
      <c r="F29" s="1051"/>
      <c r="H29" s="376"/>
    </row>
    <row r="30" spans="1:11" s="373" customFormat="1" ht="12.95" customHeight="1" x14ac:dyDescent="0.15">
      <c r="A30" s="416" t="s">
        <v>389</v>
      </c>
      <c r="B30" s="913" t="s">
        <v>759</v>
      </c>
      <c r="C30" s="930" t="s">
        <v>470</v>
      </c>
      <c r="D30" s="930" t="s">
        <v>471</v>
      </c>
      <c r="E30" s="1155"/>
      <c r="F30" s="1070"/>
    </row>
    <row r="31" spans="1:11" s="373" customFormat="1" ht="12.95" customHeight="1" x14ac:dyDescent="0.15">
      <c r="A31" s="713"/>
      <c r="B31" s="939"/>
      <c r="C31" s="939"/>
      <c r="D31" s="939"/>
      <c r="E31" s="415"/>
      <c r="F31" s="26"/>
    </row>
    <row r="32" spans="1:11" s="373" customFormat="1" ht="12.95" customHeight="1" x14ac:dyDescent="0.15">
      <c r="A32" s="414" t="s">
        <v>388</v>
      </c>
      <c r="B32" s="377">
        <v>78265810</v>
      </c>
      <c r="C32" s="377">
        <v>51651236</v>
      </c>
      <c r="D32" s="377">
        <v>26614574</v>
      </c>
      <c r="E32" s="413" t="s">
        <v>54</v>
      </c>
      <c r="F32" s="26"/>
      <c r="H32" s="376"/>
    </row>
    <row r="33" spans="1:11" s="373" customFormat="1" ht="12.95" customHeight="1" x14ac:dyDescent="0.15">
      <c r="A33" s="721"/>
      <c r="B33" s="377"/>
      <c r="C33" s="377"/>
      <c r="D33" s="377"/>
      <c r="E33" s="404"/>
      <c r="F33" s="412"/>
      <c r="H33" s="376"/>
    </row>
    <row r="34" spans="1:11" s="373" customFormat="1" ht="12.95" customHeight="1" x14ac:dyDescent="0.15">
      <c r="A34" s="721" t="s">
        <v>773</v>
      </c>
      <c r="B34" s="377">
        <v>206164</v>
      </c>
      <c r="C34" s="377" t="s">
        <v>1029</v>
      </c>
      <c r="D34" s="377">
        <v>206164</v>
      </c>
      <c r="E34" s="404"/>
      <c r="F34" s="412" t="s">
        <v>38</v>
      </c>
      <c r="H34" s="376"/>
    </row>
    <row r="35" spans="1:11" s="373" customFormat="1" ht="12.95" customHeight="1" x14ac:dyDescent="0.15">
      <c r="A35" s="721" t="s">
        <v>28</v>
      </c>
      <c r="B35" s="377">
        <v>31074704</v>
      </c>
      <c r="C35" s="377">
        <v>28288893</v>
      </c>
      <c r="D35" s="377">
        <v>2785811</v>
      </c>
      <c r="E35" s="404"/>
      <c r="F35" s="412" t="s">
        <v>33</v>
      </c>
      <c r="H35" s="376"/>
    </row>
    <row r="36" spans="1:11" s="373" customFormat="1" ht="12.95" customHeight="1" x14ac:dyDescent="0.15">
      <c r="A36" s="721" t="s">
        <v>29</v>
      </c>
      <c r="B36" s="377">
        <v>6362829</v>
      </c>
      <c r="C36" s="377">
        <v>6041414</v>
      </c>
      <c r="D36" s="377">
        <v>321415</v>
      </c>
      <c r="E36" s="404"/>
      <c r="F36" s="412" t="s">
        <v>34</v>
      </c>
      <c r="H36" s="376"/>
    </row>
    <row r="37" spans="1:11" s="373" customFormat="1" ht="12.95" customHeight="1" x14ac:dyDescent="0.15">
      <c r="A37" s="721" t="s">
        <v>30</v>
      </c>
      <c r="B37" s="377">
        <v>3462457</v>
      </c>
      <c r="C37" s="377">
        <v>1790446</v>
      </c>
      <c r="D37" s="377">
        <v>1672011</v>
      </c>
      <c r="E37" s="404"/>
      <c r="F37" s="412" t="s">
        <v>35</v>
      </c>
      <c r="H37" s="376"/>
    </row>
    <row r="38" spans="1:11" s="373" customFormat="1" ht="12.95" customHeight="1" x14ac:dyDescent="0.15">
      <c r="A38" s="721" t="s">
        <v>31</v>
      </c>
      <c r="B38" s="377">
        <v>852246</v>
      </c>
      <c r="C38" s="377" t="s">
        <v>387</v>
      </c>
      <c r="D38" s="377" t="s">
        <v>387</v>
      </c>
      <c r="E38" s="404"/>
      <c r="F38" s="412" t="s">
        <v>36</v>
      </c>
      <c r="H38" s="376"/>
    </row>
    <row r="39" spans="1:11" s="373" customFormat="1" ht="12.95" customHeight="1" x14ac:dyDescent="0.15">
      <c r="A39" s="721" t="s">
        <v>57</v>
      </c>
      <c r="B39" s="377">
        <v>31792800</v>
      </c>
      <c r="C39" s="377">
        <v>14759716</v>
      </c>
      <c r="D39" s="377">
        <v>17033084</v>
      </c>
      <c r="E39" s="404"/>
      <c r="F39" s="412" t="s">
        <v>63</v>
      </c>
      <c r="H39" s="376"/>
    </row>
    <row r="40" spans="1:11" s="373" customFormat="1" ht="12.95" customHeight="1" x14ac:dyDescent="0.15">
      <c r="A40" s="721" t="s">
        <v>71</v>
      </c>
      <c r="B40" s="377">
        <v>2015807</v>
      </c>
      <c r="C40" s="377" t="s">
        <v>1029</v>
      </c>
      <c r="D40" s="377">
        <v>2015807</v>
      </c>
      <c r="E40" s="404"/>
      <c r="F40" s="412" t="s">
        <v>62</v>
      </c>
      <c r="H40" s="376"/>
    </row>
    <row r="41" spans="1:11" s="373" customFormat="1" ht="12.95" customHeight="1" x14ac:dyDescent="0.15">
      <c r="A41" s="721" t="s">
        <v>14</v>
      </c>
      <c r="B41" s="377">
        <v>1133219</v>
      </c>
      <c r="C41" s="377" t="s">
        <v>1029</v>
      </c>
      <c r="D41" s="377">
        <v>1133219</v>
      </c>
      <c r="E41" s="404"/>
      <c r="F41" s="412" t="s">
        <v>23</v>
      </c>
      <c r="H41" s="376"/>
    </row>
    <row r="42" spans="1:11" s="373" customFormat="1" ht="12.95" customHeight="1" x14ac:dyDescent="0.15">
      <c r="A42" s="721" t="s">
        <v>58</v>
      </c>
      <c r="B42" s="377">
        <v>405404</v>
      </c>
      <c r="C42" s="377" t="s">
        <v>387</v>
      </c>
      <c r="D42" s="377" t="s">
        <v>387</v>
      </c>
      <c r="E42" s="404"/>
      <c r="F42" s="412" t="s">
        <v>52</v>
      </c>
      <c r="H42" s="376"/>
    </row>
    <row r="43" spans="1:11" ht="12.95" customHeight="1" x14ac:dyDescent="0.15">
      <c r="A43" s="945" t="s">
        <v>386</v>
      </c>
      <c r="B43" s="931">
        <v>960180</v>
      </c>
      <c r="C43" s="931">
        <v>427640</v>
      </c>
      <c r="D43" s="931">
        <v>532540</v>
      </c>
      <c r="E43" s="946"/>
      <c r="F43" s="710" t="s">
        <v>385</v>
      </c>
      <c r="H43" s="411"/>
    </row>
    <row r="44" spans="1:11" ht="12.95" customHeight="1" x14ac:dyDescent="0.15">
      <c r="A44" s="723" t="s">
        <v>384</v>
      </c>
      <c r="B44" s="111"/>
      <c r="C44" s="408"/>
      <c r="D44" s="408"/>
      <c r="E44" s="410"/>
      <c r="F44" s="26"/>
    </row>
    <row r="45" spans="1:11" ht="12.95" customHeight="1" x14ac:dyDescent="0.15">
      <c r="A45" s="723" t="s">
        <v>383</v>
      </c>
      <c r="B45" s="111"/>
      <c r="C45" s="408"/>
      <c r="D45" s="408"/>
      <c r="E45" s="410"/>
      <c r="F45" s="26"/>
    </row>
    <row r="46" spans="1:11" ht="12.95" customHeight="1" x14ac:dyDescent="0.15">
      <c r="A46" s="723" t="s">
        <v>1094</v>
      </c>
      <c r="B46" s="409"/>
      <c r="C46" s="408"/>
      <c r="D46" s="408"/>
      <c r="E46" s="26"/>
      <c r="F46" s="26"/>
      <c r="G46" s="406"/>
      <c r="H46" s="405"/>
      <c r="I46" s="405"/>
      <c r="J46" s="404"/>
      <c r="K46" s="26"/>
    </row>
    <row r="47" spans="1:11" ht="12.95" customHeight="1" x14ac:dyDescent="0.15">
      <c r="A47" s="723" t="s">
        <v>1095</v>
      </c>
      <c r="B47" s="321"/>
      <c r="C47" s="321"/>
      <c r="D47" s="321"/>
      <c r="E47" s="321"/>
      <c r="F47" s="321"/>
      <c r="G47" s="406"/>
      <c r="H47" s="405"/>
      <c r="I47" s="405"/>
      <c r="J47" s="404"/>
      <c r="K47" s="26"/>
    </row>
    <row r="48" spans="1:11" ht="12.95" customHeight="1" x14ac:dyDescent="0.15">
      <c r="A48" s="723" t="s">
        <v>896</v>
      </c>
    </row>
    <row r="49" spans="1:11" ht="12.95" customHeight="1" x14ac:dyDescent="0.15">
      <c r="A49" s="723" t="s">
        <v>897</v>
      </c>
    </row>
    <row r="50" spans="1:11" ht="12.95" customHeight="1" x14ac:dyDescent="0.15">
      <c r="A50" s="723" t="s">
        <v>1096</v>
      </c>
      <c r="B50" s="407"/>
      <c r="C50" s="407"/>
      <c r="D50" s="407"/>
      <c r="E50" s="407"/>
      <c r="F50" s="407"/>
      <c r="G50" s="406"/>
      <c r="H50" s="405"/>
      <c r="I50" s="405"/>
      <c r="J50" s="404"/>
      <c r="K50" s="26"/>
    </row>
    <row r="51" spans="1:11" ht="12.95" customHeight="1" x14ac:dyDescent="0.15">
      <c r="A51" s="407" t="s">
        <v>756</v>
      </c>
      <c r="B51" s="407"/>
      <c r="C51" s="407"/>
      <c r="D51" s="407"/>
      <c r="E51" s="407"/>
      <c r="F51" s="407"/>
      <c r="G51" s="406"/>
      <c r="H51" s="405"/>
      <c r="I51" s="405"/>
      <c r="J51" s="404"/>
      <c r="K51" s="26"/>
    </row>
    <row r="52" spans="1:11" ht="12.95" customHeight="1" x14ac:dyDescent="0.15">
      <c r="A52" s="1156"/>
      <c r="B52" s="1156"/>
      <c r="C52" s="1156"/>
      <c r="D52" s="1156"/>
      <c r="E52" s="1156"/>
      <c r="F52" s="1156"/>
    </row>
  </sheetData>
  <mergeCells count="5">
    <mergeCell ref="B2:D2"/>
    <mergeCell ref="E2:F4"/>
    <mergeCell ref="B28:D28"/>
    <mergeCell ref="E28:F30"/>
    <mergeCell ref="A52:F52"/>
  </mergeCells>
  <phoneticPr fontId="33"/>
  <pageMargins left="0.59055118110236227" right="0.59055118110236227" top="0.59055118110236227" bottom="0.59055118110236227" header="0.51181102362204722" footer="0.51181102362204722"/>
  <pageSetup paperSize="9" scale="96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53"/>
  <sheetViews>
    <sheetView view="pageBreakPreview" zoomScale="110" zoomScaleNormal="25" zoomScaleSheetLayoutView="110" workbookViewId="0"/>
  </sheetViews>
  <sheetFormatPr defaultColWidth="8.875" defaultRowHeight="12" x14ac:dyDescent="0.15"/>
  <cols>
    <col min="1" max="1" width="20.25" style="21" customWidth="1"/>
    <col min="2" max="2" width="13.625" style="21" customWidth="1"/>
    <col min="3" max="3" width="10" style="21" customWidth="1"/>
    <col min="4" max="5" width="9.875" style="21" customWidth="1"/>
    <col min="6" max="6" width="0.875" style="21" customWidth="1"/>
    <col min="7" max="7" width="25.75" style="21" customWidth="1"/>
    <col min="8" max="8" width="4.125" style="21" customWidth="1"/>
    <col min="9" max="9" width="11.625" style="21" customWidth="1"/>
    <col min="10" max="10" width="19.75" style="21" bestFit="1" customWidth="1"/>
    <col min="11" max="11" width="9.25" style="21" bestFit="1" customWidth="1"/>
    <col min="12" max="12" width="11.625" style="21" bestFit="1" customWidth="1"/>
    <col min="13" max="13" width="11.5" style="21" bestFit="1" customWidth="1"/>
    <col min="14" max="14" width="14.25" style="21" bestFit="1" customWidth="1"/>
    <col min="15" max="15" width="14.5" style="21" bestFit="1" customWidth="1"/>
    <col min="16" max="16" width="9.375" style="21" bestFit="1" customWidth="1"/>
    <col min="17" max="17" width="11.625" style="21" bestFit="1" customWidth="1"/>
    <col min="18" max="19" width="8.875" style="21" customWidth="1"/>
    <col min="20" max="20" width="14.625" style="21" customWidth="1"/>
    <col min="21" max="16384" width="8.875" style="21"/>
  </cols>
  <sheetData>
    <row r="1" spans="1:10" s="386" customFormat="1" ht="15" customHeight="1" x14ac:dyDescent="0.15">
      <c r="A1" s="387" t="s">
        <v>1098</v>
      </c>
    </row>
    <row r="2" spans="1:10" s="386" customFormat="1" ht="15" customHeight="1" x14ac:dyDescent="0.15">
      <c r="A2" s="387" t="s">
        <v>1099</v>
      </c>
    </row>
    <row r="3" spans="1:10" s="373" customFormat="1" ht="12.95" customHeight="1" x14ac:dyDescent="0.15">
      <c r="A3" s="209" t="s">
        <v>390</v>
      </c>
      <c r="B3" s="911" t="s">
        <v>394</v>
      </c>
      <c r="C3" s="911" t="s">
        <v>761</v>
      </c>
      <c r="D3" s="911" t="s">
        <v>393</v>
      </c>
      <c r="E3" s="911" t="s">
        <v>392</v>
      </c>
      <c r="F3" s="1154" t="s">
        <v>760</v>
      </c>
      <c r="G3" s="1157"/>
    </row>
    <row r="4" spans="1:10" s="373" customFormat="1" ht="12.95" customHeight="1" x14ac:dyDescent="0.15">
      <c r="A4" s="693"/>
      <c r="B4" s="417" t="s">
        <v>762</v>
      </c>
      <c r="C4" s="417"/>
      <c r="D4" s="421" t="s">
        <v>614</v>
      </c>
      <c r="E4" s="417" t="s">
        <v>615</v>
      </c>
      <c r="F4" s="1158"/>
      <c r="G4" s="1159"/>
    </row>
    <row r="5" spans="1:10" s="373" customFormat="1" ht="12.95" customHeight="1" x14ac:dyDescent="0.15">
      <c r="A5" s="693"/>
      <c r="B5" s="947" t="s">
        <v>578</v>
      </c>
      <c r="C5" s="948" t="s">
        <v>579</v>
      </c>
      <c r="D5" s="948" t="s">
        <v>763</v>
      </c>
      <c r="E5" s="948" t="s">
        <v>763</v>
      </c>
      <c r="F5" s="1158"/>
      <c r="G5" s="1159"/>
    </row>
    <row r="6" spans="1:10" s="373" customFormat="1" ht="12.95" customHeight="1" x14ac:dyDescent="0.15">
      <c r="A6" s="949" t="s">
        <v>391</v>
      </c>
      <c r="B6" s="930" t="s">
        <v>764</v>
      </c>
      <c r="C6" s="277" t="s">
        <v>765</v>
      </c>
      <c r="D6" s="277" t="s">
        <v>580</v>
      </c>
      <c r="E6" s="277" t="s">
        <v>580</v>
      </c>
      <c r="F6" s="1160"/>
      <c r="G6" s="1161"/>
    </row>
    <row r="7" spans="1:10" s="373" customFormat="1" ht="12.95" customHeight="1" x14ac:dyDescent="0.15">
      <c r="A7" s="713"/>
      <c r="B7" s="939"/>
      <c r="C7" s="939"/>
      <c r="D7" s="939"/>
      <c r="E7" s="939"/>
      <c r="F7" s="415"/>
      <c r="G7" s="26"/>
    </row>
    <row r="8" spans="1:10" s="373" customFormat="1" ht="12.95" customHeight="1" x14ac:dyDescent="0.15">
      <c r="A8" s="414" t="s">
        <v>388</v>
      </c>
      <c r="B8" s="377">
        <v>931721280</v>
      </c>
      <c r="C8" s="419">
        <v>84.48</v>
      </c>
      <c r="D8" s="377">
        <v>1689790</v>
      </c>
      <c r="E8" s="377">
        <v>22971.9</v>
      </c>
      <c r="F8" s="413" t="s">
        <v>54</v>
      </c>
      <c r="G8" s="26"/>
      <c r="I8" s="376"/>
      <c r="J8" s="376"/>
    </row>
    <row r="9" spans="1:10" s="373" customFormat="1" ht="12.95" customHeight="1" x14ac:dyDescent="0.15">
      <c r="A9" s="721"/>
      <c r="B9" s="377"/>
      <c r="C9" s="419"/>
      <c r="D9" s="377"/>
      <c r="E9" s="377"/>
      <c r="F9" s="404"/>
      <c r="G9" s="26"/>
      <c r="I9" s="376"/>
      <c r="J9" s="376"/>
    </row>
    <row r="10" spans="1:10" s="373" customFormat="1" ht="12.95" customHeight="1" x14ac:dyDescent="0.15">
      <c r="A10" s="721" t="s">
        <v>423</v>
      </c>
      <c r="B10" s="377">
        <v>3445293</v>
      </c>
      <c r="C10" s="419">
        <v>84.03</v>
      </c>
      <c r="D10" s="377">
        <v>6448</v>
      </c>
      <c r="E10" s="377">
        <v>154.9</v>
      </c>
      <c r="F10" s="404"/>
      <c r="G10" s="26" t="s">
        <v>424</v>
      </c>
      <c r="I10" s="376"/>
      <c r="J10" s="376"/>
    </row>
    <row r="11" spans="1:10" s="373" customFormat="1" ht="12.95" customHeight="1" x14ac:dyDescent="0.15">
      <c r="A11" s="721" t="s">
        <v>28</v>
      </c>
      <c r="B11" s="377">
        <v>376261341</v>
      </c>
      <c r="C11" s="419">
        <v>85.08</v>
      </c>
      <c r="D11" s="377">
        <v>661075</v>
      </c>
      <c r="E11" s="377">
        <v>8212.7000000000007</v>
      </c>
      <c r="F11" s="404"/>
      <c r="G11" s="26" t="s">
        <v>33</v>
      </c>
      <c r="I11" s="376"/>
      <c r="J11" s="376"/>
    </row>
    <row r="12" spans="1:10" s="373" customFormat="1" ht="12.95" customHeight="1" x14ac:dyDescent="0.15">
      <c r="A12" s="721" t="s">
        <v>29</v>
      </c>
      <c r="B12" s="377">
        <v>81818528</v>
      </c>
      <c r="C12" s="419">
        <v>83.94</v>
      </c>
      <c r="D12" s="377">
        <v>135581</v>
      </c>
      <c r="E12" s="377">
        <v>806.1</v>
      </c>
      <c r="F12" s="404"/>
      <c r="G12" s="26" t="s">
        <v>34</v>
      </c>
      <c r="I12" s="376"/>
      <c r="J12" s="376"/>
    </row>
    <row r="13" spans="1:10" s="373" customFormat="1" ht="12.95" customHeight="1" x14ac:dyDescent="0.15">
      <c r="A13" s="721" t="s">
        <v>30</v>
      </c>
      <c r="B13" s="377">
        <v>46461670</v>
      </c>
      <c r="C13" s="419">
        <v>83.62</v>
      </c>
      <c r="D13" s="377">
        <v>80117</v>
      </c>
      <c r="E13" s="377">
        <v>2029.9</v>
      </c>
      <c r="F13" s="404"/>
      <c r="G13" s="26" t="s">
        <v>35</v>
      </c>
      <c r="I13" s="376"/>
      <c r="J13" s="376"/>
    </row>
    <row r="14" spans="1:10" s="373" customFormat="1" ht="12.95" customHeight="1" x14ac:dyDescent="0.15">
      <c r="A14" s="721" t="s">
        <v>31</v>
      </c>
      <c r="B14" s="377">
        <v>11039354</v>
      </c>
      <c r="C14" s="419">
        <v>83.67</v>
      </c>
      <c r="D14" s="377">
        <v>17318</v>
      </c>
      <c r="E14" s="377">
        <v>273.89999999999998</v>
      </c>
      <c r="F14" s="404"/>
      <c r="G14" s="26" t="s">
        <v>36</v>
      </c>
      <c r="I14" s="376"/>
      <c r="J14" s="376"/>
    </row>
    <row r="15" spans="1:10" s="373" customFormat="1" ht="12.95" customHeight="1" x14ac:dyDescent="0.15">
      <c r="A15" s="721" t="s">
        <v>57</v>
      </c>
      <c r="B15" s="377">
        <v>363424043</v>
      </c>
      <c r="C15" s="419">
        <v>84.21</v>
      </c>
      <c r="D15" s="377">
        <v>620727</v>
      </c>
      <c r="E15" s="377">
        <v>10416.5</v>
      </c>
      <c r="F15" s="404"/>
      <c r="G15" s="26" t="s">
        <v>63</v>
      </c>
      <c r="I15" s="376"/>
      <c r="J15" s="376"/>
    </row>
    <row r="16" spans="1:10" s="373" customFormat="1" ht="12.95" customHeight="1" x14ac:dyDescent="0.15">
      <c r="A16" s="721" t="s">
        <v>71</v>
      </c>
      <c r="B16" s="377">
        <v>19558513</v>
      </c>
      <c r="C16" s="419">
        <v>84.79</v>
      </c>
      <c r="D16" s="377">
        <v>72856</v>
      </c>
      <c r="E16" s="377">
        <v>505.9</v>
      </c>
      <c r="F16" s="404"/>
      <c r="G16" s="26" t="s">
        <v>62</v>
      </c>
      <c r="I16" s="376"/>
      <c r="J16" s="376"/>
    </row>
    <row r="17" spans="1:11" s="373" customFormat="1" ht="12.95" customHeight="1" x14ac:dyDescent="0.15">
      <c r="A17" s="721" t="s">
        <v>14</v>
      </c>
      <c r="B17" s="377">
        <v>13140246</v>
      </c>
      <c r="C17" s="419">
        <v>79.739999999999995</v>
      </c>
      <c r="D17" s="377">
        <v>37726</v>
      </c>
      <c r="E17" s="377">
        <v>11.8</v>
      </c>
      <c r="F17" s="404"/>
      <c r="G17" s="26" t="s">
        <v>23</v>
      </c>
      <c r="I17" s="376"/>
      <c r="J17" s="376"/>
    </row>
    <row r="18" spans="1:11" s="373" customFormat="1" ht="12.95" customHeight="1" x14ac:dyDescent="0.15">
      <c r="A18" s="721" t="s">
        <v>58</v>
      </c>
      <c r="B18" s="377">
        <v>3913704</v>
      </c>
      <c r="C18" s="419">
        <v>92.26</v>
      </c>
      <c r="D18" s="377">
        <v>19534</v>
      </c>
      <c r="E18" s="377">
        <v>159.69999999999999</v>
      </c>
      <c r="F18" s="404"/>
      <c r="G18" s="26" t="s">
        <v>52</v>
      </c>
      <c r="I18" s="376"/>
      <c r="J18" s="376"/>
    </row>
    <row r="19" spans="1:11" s="373" customFormat="1" ht="12.95" customHeight="1" x14ac:dyDescent="0.15">
      <c r="A19" s="945" t="s">
        <v>386</v>
      </c>
      <c r="B19" s="931">
        <v>12658588</v>
      </c>
      <c r="C19" s="942">
        <v>84.26</v>
      </c>
      <c r="D19" s="931">
        <v>38408</v>
      </c>
      <c r="E19" s="931">
        <v>400.5</v>
      </c>
      <c r="F19" s="709"/>
      <c r="G19" s="710" t="s">
        <v>385</v>
      </c>
      <c r="I19" s="376"/>
      <c r="J19" s="376"/>
    </row>
    <row r="20" spans="1:11" s="373" customFormat="1" ht="12.95" customHeight="1" x14ac:dyDescent="0.15">
      <c r="A20" s="723" t="s">
        <v>384</v>
      </c>
      <c r="B20" s="409"/>
      <c r="C20" s="408"/>
      <c r="D20" s="408"/>
      <c r="E20" s="408"/>
      <c r="F20" s="26"/>
      <c r="G20" s="26"/>
    </row>
    <row r="21" spans="1:11" s="373" customFormat="1" ht="12.95" customHeight="1" x14ac:dyDescent="0.15">
      <c r="A21" s="723" t="s">
        <v>1100</v>
      </c>
      <c r="B21" s="409"/>
      <c r="C21" s="408"/>
      <c r="D21" s="408"/>
      <c r="E21" s="26"/>
      <c r="F21" s="26"/>
      <c r="G21" s="406"/>
      <c r="H21" s="405"/>
      <c r="I21" s="405"/>
      <c r="J21" s="404"/>
      <c r="K21" s="26"/>
    </row>
    <row r="22" spans="1:11" s="373" customFormat="1" ht="12.95" customHeight="1" x14ac:dyDescent="0.15">
      <c r="A22" s="723" t="s">
        <v>1091</v>
      </c>
      <c r="B22" s="321"/>
      <c r="C22" s="321"/>
      <c r="D22" s="321"/>
      <c r="E22" s="321"/>
      <c r="F22" s="321"/>
      <c r="G22" s="406"/>
      <c r="H22" s="405"/>
      <c r="I22" s="405"/>
      <c r="J22" s="404"/>
      <c r="K22" s="26"/>
    </row>
    <row r="23" spans="1:11" s="373" customFormat="1" ht="12.95" customHeight="1" x14ac:dyDescent="0.15">
      <c r="A23" s="723" t="s">
        <v>896</v>
      </c>
      <c r="B23" s="321"/>
      <c r="C23" s="321"/>
      <c r="D23" s="321"/>
      <c r="E23" s="321"/>
      <c r="F23" s="321"/>
      <c r="G23" s="321"/>
      <c r="I23" s="376"/>
      <c r="J23" s="420"/>
    </row>
    <row r="24" spans="1:11" s="373" customFormat="1" ht="12.95" customHeight="1" x14ac:dyDescent="0.15">
      <c r="A24" s="723" t="s">
        <v>1101</v>
      </c>
      <c r="B24" s="407"/>
      <c r="C24" s="407"/>
      <c r="D24" s="407"/>
      <c r="E24" s="407"/>
      <c r="F24" s="407"/>
      <c r="G24" s="406"/>
      <c r="H24" s="405"/>
      <c r="I24" s="405"/>
      <c r="J24" s="404"/>
      <c r="K24" s="26"/>
    </row>
    <row r="25" spans="1:11" s="373" customFormat="1" ht="12.95" customHeight="1" x14ac:dyDescent="0.15">
      <c r="A25" s="407" t="s">
        <v>756</v>
      </c>
      <c r="B25" s="407"/>
      <c r="C25" s="407"/>
      <c r="D25" s="407"/>
      <c r="E25" s="407"/>
      <c r="F25" s="407"/>
      <c r="G25" s="406"/>
      <c r="H25" s="405"/>
      <c r="I25" s="405"/>
      <c r="J25" s="404"/>
      <c r="K25" s="26"/>
    </row>
    <row r="26" spans="1:11" s="373" customFormat="1" ht="12.95" customHeight="1" x14ac:dyDescent="0.15">
      <c r="A26" s="1162"/>
      <c r="B26" s="1162"/>
      <c r="C26" s="1162"/>
      <c r="D26" s="1162"/>
      <c r="E26" s="1162"/>
      <c r="F26" s="1162"/>
      <c r="G26" s="1162"/>
      <c r="I26" s="376"/>
    </row>
    <row r="27" spans="1:11" s="373" customFormat="1" ht="12.95" customHeight="1" x14ac:dyDescent="0.15">
      <c r="A27" s="418"/>
      <c r="B27" s="418"/>
      <c r="C27" s="418"/>
      <c r="D27" s="418"/>
      <c r="E27" s="418"/>
      <c r="F27" s="418"/>
      <c r="G27" s="418"/>
      <c r="I27" s="376"/>
    </row>
    <row r="28" spans="1:11" s="386" customFormat="1" ht="12.95" customHeight="1" x14ac:dyDescent="0.15">
      <c r="A28" s="387" t="s">
        <v>1102</v>
      </c>
      <c r="I28" s="376"/>
    </row>
    <row r="29" spans="1:11" s="386" customFormat="1" ht="12.95" customHeight="1" x14ac:dyDescent="0.15">
      <c r="A29" s="387" t="s">
        <v>1103</v>
      </c>
      <c r="I29" s="376"/>
    </row>
    <row r="30" spans="1:11" s="373" customFormat="1" ht="12.95" customHeight="1" x14ac:dyDescent="0.15">
      <c r="A30" s="209" t="s">
        <v>390</v>
      </c>
      <c r="B30" s="911" t="s">
        <v>394</v>
      </c>
      <c r="C30" s="911" t="s">
        <v>761</v>
      </c>
      <c r="D30" s="911" t="s">
        <v>393</v>
      </c>
      <c r="E30" s="911" t="s">
        <v>392</v>
      </c>
      <c r="F30" s="1154" t="s">
        <v>760</v>
      </c>
      <c r="G30" s="1157"/>
      <c r="I30" s="376"/>
    </row>
    <row r="31" spans="1:11" s="373" customFormat="1" ht="12.95" customHeight="1" x14ac:dyDescent="0.15">
      <c r="A31" s="208"/>
      <c r="B31" s="417" t="s">
        <v>762</v>
      </c>
      <c r="C31" s="417"/>
      <c r="D31" s="421" t="s">
        <v>614</v>
      </c>
      <c r="E31" s="417" t="s">
        <v>615</v>
      </c>
      <c r="F31" s="1158"/>
      <c r="G31" s="1159"/>
      <c r="I31" s="376"/>
    </row>
    <row r="32" spans="1:11" s="373" customFormat="1" ht="12.95" customHeight="1" x14ac:dyDescent="0.15">
      <c r="A32" s="694"/>
      <c r="B32" s="947" t="s">
        <v>578</v>
      </c>
      <c r="C32" s="948" t="s">
        <v>579</v>
      </c>
      <c r="D32" s="948" t="s">
        <v>763</v>
      </c>
      <c r="E32" s="948" t="s">
        <v>763</v>
      </c>
      <c r="F32" s="1158"/>
      <c r="G32" s="1159"/>
      <c r="I32" s="376"/>
    </row>
    <row r="33" spans="1:11" s="373" customFormat="1" ht="12.95" customHeight="1" x14ac:dyDescent="0.15">
      <c r="A33" s="416" t="s">
        <v>389</v>
      </c>
      <c r="B33" s="930" t="s">
        <v>764</v>
      </c>
      <c r="C33" s="277" t="s">
        <v>765</v>
      </c>
      <c r="D33" s="277" t="s">
        <v>580</v>
      </c>
      <c r="E33" s="277" t="s">
        <v>580</v>
      </c>
      <c r="F33" s="1160"/>
      <c r="G33" s="1161"/>
      <c r="J33" s="420"/>
    </row>
    <row r="34" spans="1:11" s="373" customFormat="1" ht="12.95" customHeight="1" x14ac:dyDescent="0.15">
      <c r="A34" s="713"/>
      <c r="B34" s="939"/>
      <c r="C34" s="939"/>
      <c r="D34" s="939"/>
      <c r="E34" s="939"/>
      <c r="F34" s="415"/>
      <c r="G34" s="26"/>
      <c r="J34" s="420"/>
    </row>
    <row r="35" spans="1:11" s="373" customFormat="1" ht="12.95" customHeight="1" x14ac:dyDescent="0.15">
      <c r="A35" s="414" t="s">
        <v>388</v>
      </c>
      <c r="B35" s="377">
        <v>913785424</v>
      </c>
      <c r="C35" s="419">
        <v>83.86</v>
      </c>
      <c r="D35" s="377">
        <v>1608514</v>
      </c>
      <c r="E35" s="377">
        <v>22993.9</v>
      </c>
      <c r="F35" s="413" t="s">
        <v>54</v>
      </c>
      <c r="G35" s="26"/>
      <c r="I35" s="376"/>
      <c r="J35" s="376"/>
    </row>
    <row r="36" spans="1:11" s="373" customFormat="1" ht="12.95" customHeight="1" x14ac:dyDescent="0.15">
      <c r="A36" s="721"/>
      <c r="B36" s="377"/>
      <c r="C36" s="419"/>
      <c r="D36" s="377"/>
      <c r="E36" s="377"/>
      <c r="F36" s="404"/>
      <c r="G36" s="26"/>
      <c r="I36" s="376"/>
      <c r="J36" s="376"/>
    </row>
    <row r="37" spans="1:11" s="373" customFormat="1" ht="12.95" customHeight="1" x14ac:dyDescent="0.15">
      <c r="A37" s="721" t="s">
        <v>773</v>
      </c>
      <c r="B37" s="377">
        <v>2200879</v>
      </c>
      <c r="C37" s="419">
        <v>90.17</v>
      </c>
      <c r="D37" s="377">
        <v>7613</v>
      </c>
      <c r="E37" s="377">
        <v>104.1</v>
      </c>
      <c r="F37" s="404"/>
      <c r="G37" s="26" t="s">
        <v>38</v>
      </c>
      <c r="I37" s="376"/>
      <c r="J37" s="376"/>
    </row>
    <row r="38" spans="1:11" s="373" customFormat="1" ht="12.95" customHeight="1" x14ac:dyDescent="0.15">
      <c r="A38" s="721" t="s">
        <v>28</v>
      </c>
      <c r="B38" s="377">
        <v>359798025</v>
      </c>
      <c r="C38" s="419">
        <v>84.67</v>
      </c>
      <c r="D38" s="377">
        <v>603401</v>
      </c>
      <c r="E38" s="377">
        <v>7652.6</v>
      </c>
      <c r="F38" s="404"/>
      <c r="G38" s="26" t="s">
        <v>33</v>
      </c>
      <c r="I38" s="376"/>
      <c r="J38" s="376"/>
    </row>
    <row r="39" spans="1:11" s="373" customFormat="1" ht="12.95" customHeight="1" x14ac:dyDescent="0.15">
      <c r="A39" s="721" t="s">
        <v>29</v>
      </c>
      <c r="B39" s="377">
        <v>74566622</v>
      </c>
      <c r="C39" s="419">
        <v>83.75</v>
      </c>
      <c r="D39" s="377">
        <v>116967</v>
      </c>
      <c r="E39" s="377">
        <v>766.5</v>
      </c>
      <c r="F39" s="404"/>
      <c r="G39" s="26" t="s">
        <v>34</v>
      </c>
      <c r="I39" s="376"/>
      <c r="J39" s="376"/>
    </row>
    <row r="40" spans="1:11" s="373" customFormat="1" ht="12.95" customHeight="1" x14ac:dyDescent="0.15">
      <c r="A40" s="721" t="s">
        <v>30</v>
      </c>
      <c r="B40" s="377">
        <v>40825961</v>
      </c>
      <c r="C40" s="419">
        <v>83.09</v>
      </c>
      <c r="D40" s="377">
        <v>68568</v>
      </c>
      <c r="E40" s="377">
        <v>1779.7</v>
      </c>
      <c r="F40" s="404"/>
      <c r="G40" s="26" t="s">
        <v>35</v>
      </c>
      <c r="I40" s="376"/>
      <c r="J40" s="376"/>
    </row>
    <row r="41" spans="1:11" s="373" customFormat="1" ht="12.95" customHeight="1" x14ac:dyDescent="0.15">
      <c r="A41" s="721" t="s">
        <v>31</v>
      </c>
      <c r="B41" s="377">
        <v>10032073</v>
      </c>
      <c r="C41" s="419">
        <v>83.29</v>
      </c>
      <c r="D41" s="377">
        <v>16430</v>
      </c>
      <c r="E41" s="377">
        <v>284.39999999999998</v>
      </c>
      <c r="F41" s="404"/>
      <c r="G41" s="26" t="s">
        <v>36</v>
      </c>
      <c r="I41" s="376"/>
      <c r="J41" s="376"/>
    </row>
    <row r="42" spans="1:11" s="373" customFormat="1" ht="12.95" customHeight="1" x14ac:dyDescent="0.15">
      <c r="A42" s="721" t="s">
        <v>57</v>
      </c>
      <c r="B42" s="377">
        <v>374141487</v>
      </c>
      <c r="C42" s="419">
        <v>83.28</v>
      </c>
      <c r="D42" s="377">
        <v>623813</v>
      </c>
      <c r="E42" s="377">
        <v>11206</v>
      </c>
      <c r="F42" s="404"/>
      <c r="G42" s="26" t="s">
        <v>63</v>
      </c>
      <c r="I42" s="376"/>
      <c r="J42" s="376"/>
    </row>
    <row r="43" spans="1:11" s="373" customFormat="1" ht="12.95" customHeight="1" x14ac:dyDescent="0.15">
      <c r="A43" s="721" t="s">
        <v>71</v>
      </c>
      <c r="B43" s="377">
        <v>23065442</v>
      </c>
      <c r="C43" s="419">
        <v>83.7</v>
      </c>
      <c r="D43" s="377">
        <v>84511</v>
      </c>
      <c r="E43" s="377">
        <v>627.1</v>
      </c>
      <c r="F43" s="404"/>
      <c r="G43" s="26" t="s">
        <v>62</v>
      </c>
      <c r="I43" s="376"/>
      <c r="J43" s="376"/>
    </row>
    <row r="44" spans="1:11" s="373" customFormat="1" ht="12.95" customHeight="1" x14ac:dyDescent="0.15">
      <c r="A44" s="721" t="s">
        <v>14</v>
      </c>
      <c r="B44" s="377">
        <v>13801629</v>
      </c>
      <c r="C44" s="419">
        <v>79.180000000000007</v>
      </c>
      <c r="D44" s="377">
        <v>39434</v>
      </c>
      <c r="E44" s="377">
        <v>12.5</v>
      </c>
      <c r="F44" s="404"/>
      <c r="G44" s="26" t="s">
        <v>23</v>
      </c>
      <c r="I44" s="376"/>
      <c r="J44" s="376"/>
    </row>
    <row r="45" spans="1:11" s="373" customFormat="1" ht="12.95" customHeight="1" x14ac:dyDescent="0.15">
      <c r="A45" s="721" t="s">
        <v>58</v>
      </c>
      <c r="B45" s="377">
        <v>4166645</v>
      </c>
      <c r="C45" s="419">
        <v>91.95</v>
      </c>
      <c r="D45" s="377">
        <v>20540</v>
      </c>
      <c r="E45" s="377">
        <v>166.2</v>
      </c>
      <c r="F45" s="404"/>
      <c r="G45" s="26" t="s">
        <v>52</v>
      </c>
      <c r="I45" s="376"/>
      <c r="J45" s="376"/>
    </row>
    <row r="46" spans="1:11" ht="12.95" customHeight="1" x14ac:dyDescent="0.15">
      <c r="A46" s="945" t="s">
        <v>386</v>
      </c>
      <c r="B46" s="931">
        <v>11186661</v>
      </c>
      <c r="C46" s="942">
        <v>83.36</v>
      </c>
      <c r="D46" s="931">
        <v>27237</v>
      </c>
      <c r="E46" s="931">
        <v>394.8</v>
      </c>
      <c r="F46" s="709"/>
      <c r="G46" s="710" t="s">
        <v>385</v>
      </c>
      <c r="I46" s="411"/>
      <c r="J46" s="376"/>
    </row>
    <row r="47" spans="1:11" ht="12.95" customHeight="1" x14ac:dyDescent="0.15">
      <c r="A47" s="723" t="s">
        <v>384</v>
      </c>
      <c r="B47" s="111"/>
      <c r="C47" s="408"/>
      <c r="D47" s="408"/>
      <c r="E47" s="408"/>
      <c r="F47" s="410"/>
      <c r="G47" s="26"/>
    </row>
    <row r="48" spans="1:11" ht="12.95" customHeight="1" x14ac:dyDescent="0.15">
      <c r="A48" s="723" t="s">
        <v>1104</v>
      </c>
      <c r="B48" s="409"/>
      <c r="C48" s="408"/>
      <c r="D48" s="408"/>
      <c r="E48" s="26"/>
      <c r="F48" s="26"/>
      <c r="G48" s="406"/>
      <c r="H48" s="405"/>
      <c r="I48" s="405"/>
      <c r="J48" s="404"/>
      <c r="K48" s="26"/>
    </row>
    <row r="49" spans="1:11" ht="12.95" customHeight="1" x14ac:dyDescent="0.15">
      <c r="A49" s="723" t="s">
        <v>1095</v>
      </c>
      <c r="B49" s="321"/>
      <c r="C49" s="321"/>
      <c r="D49" s="321"/>
      <c r="E49" s="321"/>
      <c r="F49" s="321"/>
      <c r="G49" s="406"/>
      <c r="H49" s="405"/>
      <c r="I49" s="405"/>
      <c r="J49" s="404"/>
      <c r="K49" s="26"/>
    </row>
    <row r="50" spans="1:11" ht="12.95" customHeight="1" x14ac:dyDescent="0.15">
      <c r="A50" s="723" t="s">
        <v>896</v>
      </c>
    </row>
    <row r="51" spans="1:11" ht="12.95" customHeight="1" x14ac:dyDescent="0.15">
      <c r="A51" s="723" t="s">
        <v>1105</v>
      </c>
      <c r="B51" s="407"/>
      <c r="C51" s="407"/>
      <c r="D51" s="407"/>
      <c r="E51" s="407"/>
      <c r="F51" s="407"/>
      <c r="G51" s="406"/>
      <c r="H51" s="405"/>
      <c r="I51" s="405"/>
      <c r="J51" s="404"/>
      <c r="K51" s="26"/>
    </row>
    <row r="52" spans="1:11" ht="12.95" customHeight="1" x14ac:dyDescent="0.15">
      <c r="A52" s="407" t="s">
        <v>756</v>
      </c>
      <c r="B52" s="407"/>
      <c r="C52" s="407"/>
      <c r="D52" s="407"/>
      <c r="E52" s="407"/>
      <c r="F52" s="407"/>
      <c r="G52" s="406"/>
      <c r="H52" s="405"/>
      <c r="I52" s="405"/>
      <c r="J52" s="404"/>
      <c r="K52" s="26"/>
    </row>
    <row r="53" spans="1:11" ht="12.95" customHeight="1" x14ac:dyDescent="0.15">
      <c r="A53" s="1156" t="s">
        <v>766</v>
      </c>
      <c r="B53" s="1156"/>
      <c r="C53" s="1156"/>
      <c r="D53" s="1156"/>
      <c r="E53" s="1156"/>
      <c r="F53" s="1156"/>
      <c r="G53" s="1156"/>
    </row>
  </sheetData>
  <mergeCells count="4">
    <mergeCell ref="F3:G6"/>
    <mergeCell ref="A26:G26"/>
    <mergeCell ref="F30:G33"/>
    <mergeCell ref="A53:G53"/>
  </mergeCells>
  <phoneticPr fontId="33"/>
  <pageMargins left="0.59055118110236227" right="0.59055118110236227" top="0.59055118110236227" bottom="0.59055118110236227" header="0.51181102362204722" footer="0.51181102362204722"/>
  <pageSetup paperSize="9" scale="96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29"/>
  <sheetViews>
    <sheetView view="pageBreakPreview" zoomScaleNormal="100" zoomScaleSheetLayoutView="100" workbookViewId="0"/>
  </sheetViews>
  <sheetFormatPr defaultRowHeight="13.5" x14ac:dyDescent="0.15"/>
  <cols>
    <col min="1" max="9" width="10.625" style="904" customWidth="1"/>
    <col min="10" max="17" width="12.625" style="904" customWidth="1"/>
    <col min="18" max="16384" width="9" style="904"/>
  </cols>
  <sheetData>
    <row r="1" spans="1:10" ht="19.5" customHeight="1" x14ac:dyDescent="0.15">
      <c r="A1" s="950" t="s">
        <v>973</v>
      </c>
      <c r="B1" s="950"/>
      <c r="C1" s="950"/>
      <c r="D1" s="950"/>
      <c r="E1" s="950"/>
      <c r="F1" s="950"/>
      <c r="G1" s="950"/>
      <c r="H1" s="950"/>
    </row>
    <row r="2" spans="1:10" ht="19.5" customHeight="1" x14ac:dyDescent="0.15">
      <c r="A2" s="950" t="s">
        <v>898</v>
      </c>
      <c r="B2" s="950"/>
      <c r="C2" s="950"/>
      <c r="D2" s="950"/>
      <c r="E2" s="950"/>
      <c r="F2" s="950"/>
      <c r="G2" s="950"/>
      <c r="H2" s="950"/>
      <c r="I2" s="951"/>
    </row>
    <row r="3" spans="1:10" ht="16.5" customHeight="1" x14ac:dyDescent="0.15">
      <c r="A3" s="952"/>
      <c r="B3" s="952"/>
      <c r="C3" s="952"/>
      <c r="D3" s="952"/>
      <c r="E3" s="952"/>
      <c r="F3" s="952"/>
      <c r="G3" s="953"/>
      <c r="H3" s="954" t="s">
        <v>899</v>
      </c>
      <c r="I3" s="955"/>
    </row>
    <row r="4" spans="1:10" s="957" customFormat="1" ht="18" customHeight="1" x14ac:dyDescent="0.15">
      <c r="A4" s="1163" t="s">
        <v>900</v>
      </c>
      <c r="B4" s="956" t="s">
        <v>901</v>
      </c>
      <c r="C4" s="1166" t="s">
        <v>902</v>
      </c>
      <c r="D4" s="1167"/>
      <c r="E4" s="1168"/>
      <c r="F4" s="1169" t="s">
        <v>903</v>
      </c>
      <c r="G4" s="1167"/>
      <c r="H4" s="1168"/>
      <c r="I4" s="1170" t="s">
        <v>904</v>
      </c>
    </row>
    <row r="5" spans="1:10" s="957" customFormat="1" ht="18" customHeight="1" x14ac:dyDescent="0.15">
      <c r="A5" s="1164"/>
      <c r="B5" s="958" t="s">
        <v>905</v>
      </c>
      <c r="C5" s="959" t="s">
        <v>906</v>
      </c>
      <c r="D5" s="960" t="s">
        <v>907</v>
      </c>
      <c r="E5" s="961" t="s">
        <v>908</v>
      </c>
      <c r="F5" s="961" t="s">
        <v>909</v>
      </c>
      <c r="G5" s="962" t="s">
        <v>910</v>
      </c>
      <c r="H5" s="963" t="s">
        <v>911</v>
      </c>
      <c r="I5" s="1171"/>
    </row>
    <row r="6" spans="1:10" s="957" customFormat="1" ht="18" customHeight="1" x14ac:dyDescent="0.15">
      <c r="A6" s="1164"/>
      <c r="B6" s="958"/>
      <c r="C6" s="958"/>
      <c r="D6" s="962"/>
      <c r="E6" s="958" t="s">
        <v>912</v>
      </c>
      <c r="F6" s="958" t="s">
        <v>913</v>
      </c>
      <c r="G6" s="962" t="s">
        <v>914</v>
      </c>
      <c r="H6" s="963"/>
      <c r="I6" s="1171"/>
    </row>
    <row r="7" spans="1:10" s="957" customFormat="1" ht="39.950000000000003" customHeight="1" x14ac:dyDescent="0.15">
      <c r="A7" s="1165"/>
      <c r="B7" s="964" t="s">
        <v>915</v>
      </c>
      <c r="C7" s="965" t="s">
        <v>916</v>
      </c>
      <c r="D7" s="966" t="s">
        <v>917</v>
      </c>
      <c r="E7" s="966" t="s">
        <v>918</v>
      </c>
      <c r="F7" s="966" t="s">
        <v>919</v>
      </c>
      <c r="G7" s="967" t="s">
        <v>920</v>
      </c>
      <c r="H7" s="968" t="s">
        <v>921</v>
      </c>
      <c r="I7" s="1172"/>
    </row>
    <row r="8" spans="1:10" ht="18" customHeight="1" x14ac:dyDescent="0.15">
      <c r="A8" s="969" t="s">
        <v>1106</v>
      </c>
      <c r="B8" s="970">
        <v>66150779</v>
      </c>
      <c r="C8" s="971">
        <v>37238552</v>
      </c>
      <c r="D8" s="970">
        <v>24370834</v>
      </c>
      <c r="E8" s="970">
        <v>3424710</v>
      </c>
      <c r="F8" s="970">
        <v>3127268</v>
      </c>
      <c r="G8" s="972">
        <v>2640254</v>
      </c>
      <c r="H8" s="973">
        <v>5767522</v>
      </c>
      <c r="I8" s="974" t="s">
        <v>1107</v>
      </c>
    </row>
    <row r="9" spans="1:10" ht="18" customHeight="1" x14ac:dyDescent="0.15">
      <c r="A9" s="975"/>
      <c r="B9" s="976"/>
      <c r="C9" s="977"/>
      <c r="D9" s="976"/>
      <c r="E9" s="976"/>
      <c r="F9" s="976"/>
      <c r="G9" s="978"/>
      <c r="H9" s="979"/>
      <c r="I9" s="980"/>
    </row>
    <row r="10" spans="1:10" ht="18" customHeight="1" x14ac:dyDescent="0.15">
      <c r="A10" s="633" t="s">
        <v>1108</v>
      </c>
      <c r="B10" s="981">
        <v>6823495</v>
      </c>
      <c r="C10" s="982">
        <v>3760394</v>
      </c>
      <c r="D10" s="981">
        <v>2775952</v>
      </c>
      <c r="E10" s="981">
        <v>330985</v>
      </c>
      <c r="F10" s="981">
        <v>2919372</v>
      </c>
      <c r="G10" s="983">
        <v>2335388</v>
      </c>
      <c r="H10" s="984">
        <v>5254760</v>
      </c>
      <c r="I10" s="379" t="s">
        <v>1109</v>
      </c>
      <c r="J10" s="985"/>
    </row>
    <row r="11" spans="1:10" ht="18" customHeight="1" x14ac:dyDescent="0.15">
      <c r="A11" s="633" t="s">
        <v>922</v>
      </c>
      <c r="B11" s="981">
        <v>6401564</v>
      </c>
      <c r="C11" s="982">
        <v>3365038</v>
      </c>
      <c r="D11" s="981">
        <v>2544573</v>
      </c>
      <c r="E11" s="981">
        <v>304049</v>
      </c>
      <c r="F11" s="981">
        <v>2882548</v>
      </c>
      <c r="G11" s="983">
        <v>2490720</v>
      </c>
      <c r="H11" s="984">
        <v>5373268</v>
      </c>
      <c r="I11" s="270" t="s">
        <v>442</v>
      </c>
      <c r="J11" s="985"/>
    </row>
    <row r="12" spans="1:10" ht="18" customHeight="1" x14ac:dyDescent="0.15">
      <c r="A12" s="633" t="s">
        <v>923</v>
      </c>
      <c r="B12" s="981">
        <v>5723355</v>
      </c>
      <c r="C12" s="982">
        <v>2987840</v>
      </c>
      <c r="D12" s="981">
        <v>2151680</v>
      </c>
      <c r="E12" s="981">
        <v>274763</v>
      </c>
      <c r="F12" s="981">
        <v>2818778</v>
      </c>
      <c r="G12" s="983">
        <v>2649264</v>
      </c>
      <c r="H12" s="984">
        <v>5468042</v>
      </c>
      <c r="I12" s="270" t="s">
        <v>443</v>
      </c>
      <c r="J12" s="985"/>
    </row>
    <row r="13" spans="1:10" ht="18" customHeight="1" x14ac:dyDescent="0.15">
      <c r="A13" s="633" t="s">
        <v>924</v>
      </c>
      <c r="B13" s="981">
        <v>4529779</v>
      </c>
      <c r="C13" s="982">
        <v>2476016</v>
      </c>
      <c r="D13" s="981">
        <v>1786176</v>
      </c>
      <c r="E13" s="981">
        <v>219986</v>
      </c>
      <c r="F13" s="981">
        <v>2791366</v>
      </c>
      <c r="G13" s="983">
        <v>2584023</v>
      </c>
      <c r="H13" s="984">
        <v>5375389</v>
      </c>
      <c r="I13" s="270" t="s">
        <v>444</v>
      </c>
      <c r="J13" s="985"/>
    </row>
    <row r="14" spans="1:10" ht="18" customHeight="1" x14ac:dyDescent="0.15">
      <c r="A14" s="633" t="s">
        <v>925</v>
      </c>
      <c r="B14" s="981">
        <v>4614030</v>
      </c>
      <c r="C14" s="982">
        <v>2391362</v>
      </c>
      <c r="D14" s="981">
        <v>1665766</v>
      </c>
      <c r="E14" s="981">
        <v>275039</v>
      </c>
      <c r="F14" s="981">
        <v>2887840</v>
      </c>
      <c r="G14" s="983">
        <v>2706500</v>
      </c>
      <c r="H14" s="984">
        <v>5594340</v>
      </c>
      <c r="I14" s="270" t="s">
        <v>453</v>
      </c>
      <c r="J14" s="985"/>
    </row>
    <row r="15" spans="1:10" ht="18" customHeight="1" x14ac:dyDescent="0.15">
      <c r="A15" s="633" t="s">
        <v>926</v>
      </c>
      <c r="B15" s="981">
        <v>4529773</v>
      </c>
      <c r="C15" s="982">
        <v>2823226</v>
      </c>
      <c r="D15" s="981">
        <v>1696273</v>
      </c>
      <c r="E15" s="981">
        <v>290189</v>
      </c>
      <c r="F15" s="981">
        <v>2543006</v>
      </c>
      <c r="G15" s="983">
        <v>2615101</v>
      </c>
      <c r="H15" s="984">
        <v>5158107</v>
      </c>
      <c r="I15" s="270" t="s">
        <v>445</v>
      </c>
      <c r="J15" s="985"/>
    </row>
    <row r="16" spans="1:10" ht="18" customHeight="1" x14ac:dyDescent="0.15">
      <c r="A16" s="633" t="s">
        <v>927</v>
      </c>
      <c r="B16" s="981">
        <v>5089578</v>
      </c>
      <c r="C16" s="982">
        <v>3341996</v>
      </c>
      <c r="D16" s="981">
        <v>1884600</v>
      </c>
      <c r="E16" s="981">
        <v>234758</v>
      </c>
      <c r="F16" s="981">
        <v>2287541</v>
      </c>
      <c r="G16" s="983">
        <v>2415718</v>
      </c>
      <c r="H16" s="984">
        <v>4703259</v>
      </c>
      <c r="I16" s="270" t="s">
        <v>446</v>
      </c>
      <c r="J16" s="985"/>
    </row>
    <row r="17" spans="1:10" ht="18" customHeight="1" x14ac:dyDescent="0.15">
      <c r="A17" s="633" t="s">
        <v>928</v>
      </c>
      <c r="B17" s="981">
        <v>5673185</v>
      </c>
      <c r="C17" s="982">
        <v>3662961</v>
      </c>
      <c r="D17" s="981">
        <v>1838231</v>
      </c>
      <c r="E17" s="981">
        <v>386330</v>
      </c>
      <c r="F17" s="981">
        <v>2217499</v>
      </c>
      <c r="G17" s="983">
        <v>2170446</v>
      </c>
      <c r="H17" s="984">
        <v>4387945</v>
      </c>
      <c r="I17" s="270" t="s">
        <v>447</v>
      </c>
      <c r="J17" s="985"/>
    </row>
    <row r="18" spans="1:10" ht="18" customHeight="1" x14ac:dyDescent="0.15">
      <c r="A18" s="633" t="s">
        <v>929</v>
      </c>
      <c r="B18" s="981">
        <v>5526355</v>
      </c>
      <c r="C18" s="982">
        <v>3462163</v>
      </c>
      <c r="D18" s="981">
        <v>1802596</v>
      </c>
      <c r="E18" s="981">
        <v>351116</v>
      </c>
      <c r="F18" s="981">
        <v>1967213</v>
      </c>
      <c r="G18" s="983">
        <v>2396787</v>
      </c>
      <c r="H18" s="984">
        <v>4364000</v>
      </c>
      <c r="I18" s="270" t="s">
        <v>448</v>
      </c>
      <c r="J18" s="985"/>
    </row>
    <row r="19" spans="1:10" ht="18" customHeight="1" x14ac:dyDescent="0.15">
      <c r="A19" s="633" t="s">
        <v>930</v>
      </c>
      <c r="B19" s="981">
        <v>5413404</v>
      </c>
      <c r="C19" s="982">
        <v>2589980</v>
      </c>
      <c r="D19" s="981">
        <v>1726651</v>
      </c>
      <c r="E19" s="981">
        <v>129100</v>
      </c>
      <c r="F19" s="981">
        <v>2660190</v>
      </c>
      <c r="G19" s="983">
        <v>2697439</v>
      </c>
      <c r="H19" s="984">
        <v>5357629</v>
      </c>
      <c r="I19" s="270" t="s">
        <v>449</v>
      </c>
      <c r="J19" s="985"/>
    </row>
    <row r="20" spans="1:10" ht="18" customHeight="1" x14ac:dyDescent="0.15">
      <c r="A20" s="633" t="s">
        <v>931</v>
      </c>
      <c r="B20" s="981">
        <v>5330398</v>
      </c>
      <c r="C20" s="982">
        <v>2964534</v>
      </c>
      <c r="D20" s="981">
        <v>2001905</v>
      </c>
      <c r="E20" s="981">
        <v>180876</v>
      </c>
      <c r="F20" s="981">
        <v>2629726</v>
      </c>
      <c r="G20" s="983">
        <v>2834944</v>
      </c>
      <c r="H20" s="984">
        <v>5464670</v>
      </c>
      <c r="I20" s="270" t="s">
        <v>450</v>
      </c>
      <c r="J20" s="985"/>
    </row>
    <row r="21" spans="1:10" ht="18" customHeight="1" x14ac:dyDescent="0.15">
      <c r="A21" s="986" t="s">
        <v>932</v>
      </c>
      <c r="B21" s="987">
        <v>6495863</v>
      </c>
      <c r="C21" s="988">
        <v>3413042</v>
      </c>
      <c r="D21" s="987">
        <v>2496431</v>
      </c>
      <c r="E21" s="987">
        <v>447519</v>
      </c>
      <c r="F21" s="987">
        <v>3127268</v>
      </c>
      <c r="G21" s="989">
        <v>2640254</v>
      </c>
      <c r="H21" s="990">
        <v>5767522</v>
      </c>
      <c r="I21" s="920" t="s">
        <v>451</v>
      </c>
      <c r="J21" s="985"/>
    </row>
    <row r="22" spans="1:10" s="992" customFormat="1" ht="16.5" customHeight="1" x14ac:dyDescent="0.15">
      <c r="A22" s="991" t="s">
        <v>933</v>
      </c>
      <c r="B22" s="969"/>
      <c r="C22" s="969"/>
      <c r="D22" s="969"/>
      <c r="E22" s="969"/>
      <c r="F22" s="991"/>
      <c r="G22" s="969"/>
      <c r="H22" s="969"/>
      <c r="I22" s="969"/>
    </row>
    <row r="23" spans="1:10" s="992" customFormat="1" ht="16.5" customHeight="1" x14ac:dyDescent="0.15">
      <c r="A23" s="975" t="s">
        <v>934</v>
      </c>
      <c r="B23" s="975"/>
      <c r="C23" s="975"/>
      <c r="D23" s="975"/>
      <c r="E23" s="975"/>
      <c r="F23" s="975"/>
      <c r="G23" s="975"/>
      <c r="H23" s="975"/>
      <c r="I23" s="975"/>
    </row>
    <row r="24" spans="1:10" s="992" customFormat="1" ht="16.5" customHeight="1" x14ac:dyDescent="0.15">
      <c r="A24" s="975" t="s">
        <v>935</v>
      </c>
      <c r="B24" s="975"/>
      <c r="C24" s="975"/>
      <c r="D24" s="975"/>
      <c r="E24" s="975"/>
      <c r="F24" s="975"/>
      <c r="G24" s="975"/>
      <c r="H24" s="975"/>
      <c r="I24" s="975"/>
    </row>
    <row r="25" spans="1:10" s="992" customFormat="1" ht="16.5" customHeight="1" x14ac:dyDescent="0.15">
      <c r="A25" s="975" t="s">
        <v>936</v>
      </c>
      <c r="B25" s="975"/>
      <c r="C25" s="975"/>
      <c r="D25" s="975"/>
      <c r="E25" s="975"/>
      <c r="F25" s="975"/>
      <c r="G25" s="975"/>
      <c r="H25" s="975"/>
      <c r="I25" s="975"/>
    </row>
    <row r="26" spans="1:10" s="992" customFormat="1" ht="16.5" customHeight="1" x14ac:dyDescent="0.15">
      <c r="A26" s="595" t="s">
        <v>937</v>
      </c>
      <c r="B26" s="975"/>
      <c r="C26" s="975"/>
      <c r="D26" s="975"/>
      <c r="E26" s="975"/>
      <c r="F26" s="975"/>
      <c r="G26" s="975"/>
      <c r="H26" s="975"/>
      <c r="I26" s="975"/>
    </row>
    <row r="27" spans="1:10" s="992" customFormat="1" ht="16.5" customHeight="1" x14ac:dyDescent="0.15">
      <c r="A27" s="975" t="s">
        <v>938</v>
      </c>
      <c r="B27" s="975"/>
      <c r="C27" s="975"/>
      <c r="D27" s="975"/>
      <c r="E27" s="975"/>
      <c r="F27" s="975"/>
      <c r="G27" s="975"/>
      <c r="H27" s="975"/>
      <c r="I27" s="975"/>
    </row>
    <row r="28" spans="1:10" s="992" customFormat="1" ht="16.5" customHeight="1" x14ac:dyDescent="0.15">
      <c r="A28" s="975" t="s">
        <v>939</v>
      </c>
      <c r="B28" s="975"/>
      <c r="C28" s="975"/>
      <c r="D28" s="975"/>
      <c r="E28" s="975"/>
      <c r="F28" s="975"/>
      <c r="G28" s="975"/>
      <c r="H28" s="975"/>
      <c r="I28" s="975"/>
    </row>
    <row r="29" spans="1:10" s="992" customFormat="1" ht="16.5" customHeight="1" x14ac:dyDescent="0.15">
      <c r="A29" s="975" t="s">
        <v>940</v>
      </c>
      <c r="B29" s="975"/>
      <c r="C29" s="975"/>
      <c r="D29" s="975"/>
      <c r="E29" s="975"/>
      <c r="F29" s="975"/>
      <c r="G29" s="975"/>
      <c r="H29" s="975"/>
      <c r="I29" s="975"/>
    </row>
  </sheetData>
  <mergeCells count="4">
    <mergeCell ref="A4:A7"/>
    <mergeCell ref="C4:E4"/>
    <mergeCell ref="F4:H4"/>
    <mergeCell ref="I4:I7"/>
  </mergeCells>
  <phoneticPr fontId="33"/>
  <printOptions horizontalCentered="1"/>
  <pageMargins left="0.59055118110236227" right="0.59055118110236227" top="0.59055118110236227" bottom="0.59055118110236227" header="0.59055118110236227" footer="0.31496062992125984"/>
  <pageSetup paperSize="9" scale="96" orientation="portrait" r:id="rId1"/>
  <headerFooter differentFirs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V61"/>
  <sheetViews>
    <sheetView view="pageBreakPreview" zoomScaleNormal="100" zoomScaleSheetLayoutView="100" workbookViewId="0"/>
  </sheetViews>
  <sheetFormatPr defaultRowHeight="13.5" x14ac:dyDescent="0.15"/>
  <cols>
    <col min="1" max="1" width="8.625" style="904" customWidth="1"/>
    <col min="2" max="8" width="10.625" style="904" customWidth="1"/>
    <col min="9" max="9" width="8.625" style="904" customWidth="1"/>
    <col min="10" max="12" width="12.625" style="904" customWidth="1"/>
    <col min="13" max="21" width="12.75" style="904" customWidth="1"/>
    <col min="22" max="22" width="12.5" style="904" customWidth="1"/>
    <col min="23" max="16384" width="9" style="904"/>
  </cols>
  <sheetData>
    <row r="1" spans="1:12" ht="19.5" customHeight="1" x14ac:dyDescent="0.15">
      <c r="A1" s="993"/>
      <c r="B1" s="993"/>
      <c r="C1" s="993"/>
      <c r="D1" s="993"/>
      <c r="E1" s="993"/>
      <c r="F1" s="993"/>
    </row>
    <row r="2" spans="1:12" ht="19.5" customHeight="1" x14ac:dyDescent="0.15">
      <c r="A2" s="994" t="s">
        <v>941</v>
      </c>
      <c r="B2" s="995"/>
      <c r="C2" s="995"/>
      <c r="D2" s="995"/>
      <c r="E2" s="995"/>
      <c r="F2" s="995"/>
      <c r="G2" s="996"/>
      <c r="H2" s="996"/>
      <c r="I2" s="996"/>
    </row>
    <row r="3" spans="1:12" ht="15.6" customHeight="1" x14ac:dyDescent="0.15">
      <c r="A3" s="997"/>
      <c r="B3" s="997"/>
      <c r="C3" s="954"/>
      <c r="D3" s="954"/>
      <c r="E3" s="954"/>
      <c r="F3" s="954"/>
      <c r="G3" s="997"/>
      <c r="H3" s="954" t="s">
        <v>899</v>
      </c>
      <c r="I3" s="997"/>
      <c r="J3" s="998"/>
      <c r="K3" s="999"/>
      <c r="L3" s="998"/>
    </row>
    <row r="4" spans="1:12" ht="15.6" customHeight="1" x14ac:dyDescent="0.15">
      <c r="A4" s="1163" t="s">
        <v>900</v>
      </c>
      <c r="B4" s="1000" t="s">
        <v>942</v>
      </c>
      <c r="C4" s="1000" t="s">
        <v>1110</v>
      </c>
      <c r="D4" s="1000" t="s">
        <v>943</v>
      </c>
      <c r="E4" s="1000" t="s">
        <v>59</v>
      </c>
      <c r="F4" s="1000" t="s">
        <v>11</v>
      </c>
      <c r="G4" s="1000" t="s">
        <v>56</v>
      </c>
      <c r="H4" s="1000" t="s">
        <v>30</v>
      </c>
      <c r="I4" s="1170" t="s">
        <v>904</v>
      </c>
      <c r="J4" s="1001"/>
      <c r="K4" s="1002"/>
    </row>
    <row r="5" spans="1:12" ht="15.6" customHeight="1" x14ac:dyDescent="0.15">
      <c r="A5" s="1164"/>
      <c r="B5" s="1173" t="s">
        <v>944</v>
      </c>
      <c r="C5" s="1173" t="s">
        <v>1111</v>
      </c>
      <c r="D5" s="1173" t="s">
        <v>945</v>
      </c>
      <c r="E5" s="1173" t="s">
        <v>18</v>
      </c>
      <c r="F5" s="1173" t="s">
        <v>19</v>
      </c>
      <c r="G5" s="1173" t="s">
        <v>20</v>
      </c>
      <c r="H5" s="1173" t="s">
        <v>35</v>
      </c>
      <c r="I5" s="1171"/>
      <c r="J5" s="1001"/>
      <c r="K5" s="1177"/>
    </row>
    <row r="6" spans="1:12" ht="15.6" customHeight="1" x14ac:dyDescent="0.15">
      <c r="A6" s="1165"/>
      <c r="B6" s="1174"/>
      <c r="C6" s="1174"/>
      <c r="D6" s="1174"/>
      <c r="E6" s="1173"/>
      <c r="F6" s="1173"/>
      <c r="G6" s="1173"/>
      <c r="H6" s="1173"/>
      <c r="I6" s="1172"/>
      <c r="J6" s="1002"/>
      <c r="K6" s="1177"/>
    </row>
    <row r="7" spans="1:12" ht="9.9499999999999993" customHeight="1" x14ac:dyDescent="0.15">
      <c r="A7" s="1003"/>
      <c r="B7" s="1004"/>
      <c r="C7" s="1004"/>
      <c r="D7" s="1004"/>
      <c r="E7" s="1004"/>
      <c r="F7" s="1004"/>
      <c r="G7" s="1004"/>
      <c r="H7" s="1004"/>
      <c r="I7" s="1005"/>
      <c r="J7" s="1006"/>
      <c r="K7" s="1006"/>
    </row>
    <row r="8" spans="1:12" ht="15.6" customHeight="1" x14ac:dyDescent="0.15">
      <c r="A8" s="1007" t="s">
        <v>1106</v>
      </c>
      <c r="B8" s="1008">
        <v>66150779</v>
      </c>
      <c r="C8" s="1008">
        <v>130</v>
      </c>
      <c r="D8" s="1008">
        <v>239800</v>
      </c>
      <c r="E8" s="1008">
        <v>10333288</v>
      </c>
      <c r="F8" s="1008">
        <v>2494282</v>
      </c>
      <c r="G8" s="1008">
        <v>3036924</v>
      </c>
      <c r="H8" s="1008">
        <v>2934268</v>
      </c>
      <c r="I8" s="1009" t="s">
        <v>1107</v>
      </c>
      <c r="J8" s="1006"/>
      <c r="K8" s="1006"/>
    </row>
    <row r="9" spans="1:12" ht="9.9499999999999993" customHeight="1" x14ac:dyDescent="0.15">
      <c r="A9" s="1007"/>
      <c r="B9" s="1008"/>
      <c r="C9" s="1008"/>
      <c r="D9" s="1008"/>
      <c r="E9" s="1008"/>
      <c r="F9" s="1008"/>
      <c r="G9" s="1008"/>
      <c r="H9" s="1008"/>
      <c r="I9" s="1009"/>
      <c r="J9" s="1006"/>
      <c r="K9" s="1006"/>
    </row>
    <row r="10" spans="1:12" ht="15.6" customHeight="1" x14ac:dyDescent="0.15">
      <c r="A10" s="1010" t="s">
        <v>1108</v>
      </c>
      <c r="B10" s="1008">
        <v>6823495</v>
      </c>
      <c r="C10" s="1011" t="s">
        <v>1029</v>
      </c>
      <c r="D10" s="1011" t="s">
        <v>1029</v>
      </c>
      <c r="E10" s="1011">
        <v>1080788</v>
      </c>
      <c r="F10" s="1011">
        <v>386727</v>
      </c>
      <c r="G10" s="1008">
        <v>413279</v>
      </c>
      <c r="H10" s="1008">
        <v>411649</v>
      </c>
      <c r="I10" s="1012" t="s">
        <v>1112</v>
      </c>
      <c r="J10" s="1006"/>
      <c r="K10" s="1006"/>
    </row>
    <row r="11" spans="1:12" ht="15.6" customHeight="1" x14ac:dyDescent="0.15">
      <c r="A11" s="1010" t="s">
        <v>922</v>
      </c>
      <c r="B11" s="1008">
        <v>6401564</v>
      </c>
      <c r="C11" s="1011" t="s">
        <v>1029</v>
      </c>
      <c r="D11" s="1011" t="s">
        <v>1029</v>
      </c>
      <c r="E11" s="1011">
        <v>1105547</v>
      </c>
      <c r="F11" s="1011">
        <v>327385</v>
      </c>
      <c r="G11" s="1008">
        <v>366649</v>
      </c>
      <c r="H11" s="1008">
        <v>380987</v>
      </c>
      <c r="I11" s="1012" t="s">
        <v>442</v>
      </c>
      <c r="J11" s="1006"/>
      <c r="K11" s="1006"/>
    </row>
    <row r="12" spans="1:12" ht="15.6" customHeight="1" x14ac:dyDescent="0.15">
      <c r="A12" s="1010" t="s">
        <v>947</v>
      </c>
      <c r="B12" s="1008">
        <v>5723355</v>
      </c>
      <c r="C12" s="1011" t="s">
        <v>1029</v>
      </c>
      <c r="D12" s="1011">
        <v>57047</v>
      </c>
      <c r="E12" s="1011">
        <v>1053125</v>
      </c>
      <c r="F12" s="1011">
        <v>260519</v>
      </c>
      <c r="G12" s="1008">
        <v>231595</v>
      </c>
      <c r="H12" s="1008">
        <v>214437</v>
      </c>
      <c r="I12" s="1012" t="s">
        <v>443</v>
      </c>
      <c r="J12" s="1006"/>
      <c r="K12" s="1006"/>
    </row>
    <row r="13" spans="1:12" ht="15.6" customHeight="1" x14ac:dyDescent="0.15">
      <c r="A13" s="1010" t="s">
        <v>948</v>
      </c>
      <c r="B13" s="1008">
        <v>4529779</v>
      </c>
      <c r="C13" s="1011" t="s">
        <v>1029</v>
      </c>
      <c r="D13" s="1011" t="s">
        <v>1029</v>
      </c>
      <c r="E13" s="1011">
        <v>666627</v>
      </c>
      <c r="F13" s="1011">
        <v>202579</v>
      </c>
      <c r="G13" s="1008">
        <v>303839</v>
      </c>
      <c r="H13" s="1008">
        <v>74479</v>
      </c>
      <c r="I13" s="1012" t="s">
        <v>444</v>
      </c>
      <c r="J13" s="1006"/>
      <c r="K13" s="1006"/>
    </row>
    <row r="14" spans="1:12" ht="15.6" customHeight="1" x14ac:dyDescent="0.15">
      <c r="A14" s="1010" t="s">
        <v>949</v>
      </c>
      <c r="B14" s="1008">
        <v>4614030</v>
      </c>
      <c r="C14" s="1011">
        <v>130</v>
      </c>
      <c r="D14" s="1011" t="s">
        <v>1029</v>
      </c>
      <c r="E14" s="1011">
        <v>925953</v>
      </c>
      <c r="F14" s="1011">
        <v>198506</v>
      </c>
      <c r="G14" s="1008">
        <v>55505</v>
      </c>
      <c r="H14" s="1008">
        <v>89759</v>
      </c>
      <c r="I14" s="1012" t="s">
        <v>453</v>
      </c>
      <c r="J14" s="1006"/>
      <c r="K14" s="1006"/>
    </row>
    <row r="15" spans="1:12" ht="15.6" customHeight="1" x14ac:dyDescent="0.15">
      <c r="A15" s="1010" t="s">
        <v>950</v>
      </c>
      <c r="B15" s="1008">
        <v>4529773</v>
      </c>
      <c r="C15" s="1011" t="s">
        <v>1029</v>
      </c>
      <c r="D15" s="1011" t="s">
        <v>1029</v>
      </c>
      <c r="E15" s="1011">
        <v>735918</v>
      </c>
      <c r="F15" s="1011">
        <v>64196</v>
      </c>
      <c r="G15" s="1008">
        <v>118822</v>
      </c>
      <c r="H15" s="1008">
        <v>255797</v>
      </c>
      <c r="I15" s="1012" t="s">
        <v>445</v>
      </c>
      <c r="J15" s="1006"/>
      <c r="K15" s="1006"/>
    </row>
    <row r="16" spans="1:12" ht="15.6" customHeight="1" x14ac:dyDescent="0.15">
      <c r="A16" s="1010" t="s">
        <v>951</v>
      </c>
      <c r="B16" s="1008">
        <v>5089578</v>
      </c>
      <c r="C16" s="1011" t="s">
        <v>1029</v>
      </c>
      <c r="D16" s="1011" t="s">
        <v>1029</v>
      </c>
      <c r="E16" s="1011">
        <v>578545</v>
      </c>
      <c r="F16" s="1011">
        <v>325056</v>
      </c>
      <c r="G16" s="1008">
        <v>285423</v>
      </c>
      <c r="H16" s="1008">
        <v>261492</v>
      </c>
      <c r="I16" s="1012" t="s">
        <v>446</v>
      </c>
      <c r="J16" s="1006"/>
      <c r="K16" s="1006"/>
    </row>
    <row r="17" spans="1:22" ht="15.6" customHeight="1" x14ac:dyDescent="0.15">
      <c r="A17" s="1010" t="s">
        <v>952</v>
      </c>
      <c r="B17" s="1008">
        <v>5673185</v>
      </c>
      <c r="C17" s="1011" t="s">
        <v>1029</v>
      </c>
      <c r="D17" s="1011" t="s">
        <v>1029</v>
      </c>
      <c r="E17" s="1011">
        <v>725667</v>
      </c>
      <c r="F17" s="1011">
        <v>196184</v>
      </c>
      <c r="G17" s="1008">
        <v>325152</v>
      </c>
      <c r="H17" s="1008">
        <v>327862</v>
      </c>
      <c r="I17" s="1012" t="s">
        <v>447</v>
      </c>
      <c r="J17" s="1006"/>
      <c r="K17" s="1006"/>
    </row>
    <row r="18" spans="1:22" ht="15.6" customHeight="1" x14ac:dyDescent="0.15">
      <c r="A18" s="1010" t="s">
        <v>953</v>
      </c>
      <c r="B18" s="1008">
        <v>5526355</v>
      </c>
      <c r="C18" s="1011" t="s">
        <v>1029</v>
      </c>
      <c r="D18" s="1011" t="s">
        <v>1029</v>
      </c>
      <c r="E18" s="1011">
        <v>794564</v>
      </c>
      <c r="F18" s="1011">
        <v>67656</v>
      </c>
      <c r="G18" s="1008">
        <v>236337</v>
      </c>
      <c r="H18" s="1008">
        <v>63591</v>
      </c>
      <c r="I18" s="1012" t="s">
        <v>448</v>
      </c>
      <c r="J18" s="1006"/>
      <c r="K18" s="1006"/>
    </row>
    <row r="19" spans="1:22" ht="15.6" customHeight="1" x14ac:dyDescent="0.15">
      <c r="A19" s="1010" t="s">
        <v>954</v>
      </c>
      <c r="B19" s="1008">
        <v>5413404</v>
      </c>
      <c r="C19" s="1011" t="s">
        <v>1029</v>
      </c>
      <c r="D19" s="1011">
        <v>58114</v>
      </c>
      <c r="E19" s="1011">
        <v>694949</v>
      </c>
      <c r="F19" s="1011">
        <v>262052</v>
      </c>
      <c r="G19" s="1008">
        <v>179113</v>
      </c>
      <c r="H19" s="1008">
        <v>235075</v>
      </c>
      <c r="I19" s="1012" t="s">
        <v>449</v>
      </c>
      <c r="J19" s="1006"/>
      <c r="K19" s="1006"/>
    </row>
    <row r="20" spans="1:22" ht="15.6" customHeight="1" x14ac:dyDescent="0.15">
      <c r="A20" s="1010" t="s">
        <v>955</v>
      </c>
      <c r="B20" s="1008">
        <v>5330398</v>
      </c>
      <c r="C20" s="1011" t="s">
        <v>1029</v>
      </c>
      <c r="D20" s="1011">
        <v>56019</v>
      </c>
      <c r="E20" s="1011">
        <v>733580</v>
      </c>
      <c r="F20" s="1011">
        <v>135474</v>
      </c>
      <c r="G20" s="1008">
        <v>231616</v>
      </c>
      <c r="H20" s="1008">
        <v>366438</v>
      </c>
      <c r="I20" s="1012" t="s">
        <v>450</v>
      </c>
      <c r="J20" s="1006"/>
      <c r="K20" s="1006"/>
    </row>
    <row r="21" spans="1:22" ht="15.6" customHeight="1" x14ac:dyDescent="0.15">
      <c r="A21" s="1013" t="s">
        <v>956</v>
      </c>
      <c r="B21" s="1014">
        <v>6495863</v>
      </c>
      <c r="C21" s="1015" t="s">
        <v>1029</v>
      </c>
      <c r="D21" s="1015">
        <v>68620</v>
      </c>
      <c r="E21" s="1015">
        <v>1238025</v>
      </c>
      <c r="F21" s="1015">
        <v>67948</v>
      </c>
      <c r="G21" s="1014">
        <v>289594</v>
      </c>
      <c r="H21" s="1014">
        <v>252702</v>
      </c>
      <c r="I21" s="1016" t="s">
        <v>451</v>
      </c>
      <c r="J21" s="1006"/>
      <c r="K21" s="1006"/>
    </row>
    <row r="22" spans="1:22" ht="9.9499999999999993" customHeight="1" x14ac:dyDescent="0.15">
      <c r="A22" s="1017"/>
      <c r="B22" s="1018"/>
      <c r="C22" s="1019"/>
      <c r="D22" s="1019"/>
      <c r="E22" s="1019"/>
      <c r="F22" s="1019"/>
      <c r="G22" s="1018"/>
      <c r="H22" s="1018"/>
      <c r="I22" s="1018"/>
      <c r="J22" s="1020"/>
      <c r="K22" s="1020"/>
      <c r="L22" s="1020"/>
      <c r="M22" s="1021"/>
      <c r="N22" s="1021"/>
      <c r="O22" s="1021"/>
      <c r="P22" s="1021"/>
      <c r="Q22" s="1021"/>
      <c r="R22" s="1021"/>
      <c r="S22" s="1021"/>
      <c r="T22" s="1021"/>
      <c r="U22" s="1021"/>
      <c r="V22" s="634"/>
    </row>
    <row r="23" spans="1:22" ht="15.6" customHeight="1" x14ac:dyDescent="0.15">
      <c r="A23" s="1163" t="s">
        <v>900</v>
      </c>
      <c r="B23" s="1000" t="s">
        <v>31</v>
      </c>
      <c r="C23" s="1022" t="s">
        <v>57</v>
      </c>
      <c r="D23" s="1000" t="s">
        <v>32</v>
      </c>
      <c r="E23" s="1022" t="s">
        <v>1113</v>
      </c>
      <c r="F23" s="1022" t="s">
        <v>957</v>
      </c>
      <c r="G23" s="1022" t="s">
        <v>958</v>
      </c>
      <c r="H23" s="1000" t="s">
        <v>959</v>
      </c>
      <c r="I23" s="1170" t="s">
        <v>904</v>
      </c>
      <c r="J23" s="1001"/>
      <c r="K23" s="1002"/>
      <c r="L23" s="998"/>
      <c r="M23" s="1021"/>
      <c r="N23" s="1021"/>
      <c r="O23" s="1021"/>
      <c r="P23" s="1021"/>
      <c r="Q23" s="1021"/>
      <c r="R23" s="1021"/>
      <c r="S23" s="1021"/>
      <c r="T23" s="1021"/>
      <c r="U23" s="1021"/>
      <c r="V23" s="634"/>
    </row>
    <row r="24" spans="1:22" ht="15.6" customHeight="1" x14ac:dyDescent="0.15">
      <c r="A24" s="1164"/>
      <c r="B24" s="1173" t="s">
        <v>36</v>
      </c>
      <c r="C24" s="1175" t="s">
        <v>960</v>
      </c>
      <c r="D24" s="1173" t="s">
        <v>64</v>
      </c>
      <c r="E24" s="1175" t="s">
        <v>1114</v>
      </c>
      <c r="F24" s="1175" t="s">
        <v>961</v>
      </c>
      <c r="G24" s="1175" t="s">
        <v>962</v>
      </c>
      <c r="H24" s="1173" t="s">
        <v>963</v>
      </c>
      <c r="I24" s="1171"/>
      <c r="J24" s="1001"/>
      <c r="K24" s="1177"/>
      <c r="L24" s="998"/>
      <c r="M24" s="1021"/>
      <c r="N24" s="1021"/>
      <c r="O24" s="1021"/>
      <c r="P24" s="1021"/>
      <c r="Q24" s="1021"/>
      <c r="R24" s="1021"/>
      <c r="S24" s="1021"/>
      <c r="T24" s="1021"/>
      <c r="U24" s="1021"/>
      <c r="V24" s="634"/>
    </row>
    <row r="25" spans="1:22" ht="15.6" customHeight="1" x14ac:dyDescent="0.15">
      <c r="A25" s="1165"/>
      <c r="B25" s="1173"/>
      <c r="C25" s="1176"/>
      <c r="D25" s="1173"/>
      <c r="E25" s="1176"/>
      <c r="F25" s="1176"/>
      <c r="G25" s="1176"/>
      <c r="H25" s="1174"/>
      <c r="I25" s="1172"/>
      <c r="J25" s="1002"/>
      <c r="K25" s="1177"/>
      <c r="L25" s="1023"/>
      <c r="M25" s="1021"/>
      <c r="N25" s="1021"/>
      <c r="O25" s="1021"/>
      <c r="P25" s="1021"/>
      <c r="Q25" s="1021"/>
      <c r="R25" s="1021"/>
      <c r="S25" s="1021"/>
      <c r="T25" s="1021"/>
      <c r="U25" s="1021"/>
      <c r="V25" s="634"/>
    </row>
    <row r="26" spans="1:22" ht="9.9499999999999993" customHeight="1" x14ac:dyDescent="0.15">
      <c r="A26" s="1024"/>
      <c r="B26" s="970"/>
      <c r="C26" s="970"/>
      <c r="D26" s="970"/>
      <c r="E26" s="970"/>
      <c r="F26" s="970"/>
      <c r="G26" s="970"/>
      <c r="H26" s="970"/>
      <c r="I26" s="974"/>
      <c r="J26" s="1020"/>
      <c r="K26" s="1020"/>
      <c r="L26" s="998"/>
      <c r="M26" s="1021"/>
      <c r="N26" s="1021"/>
      <c r="O26" s="1021"/>
      <c r="P26" s="1021"/>
      <c r="Q26" s="1021"/>
      <c r="R26" s="1021"/>
      <c r="S26" s="1021"/>
      <c r="T26" s="1021"/>
      <c r="U26" s="1021"/>
      <c r="V26" s="634"/>
    </row>
    <row r="27" spans="1:22" ht="15.6" customHeight="1" x14ac:dyDescent="0.15">
      <c r="A27" s="1007" t="s">
        <v>1106</v>
      </c>
      <c r="B27" s="1008">
        <v>2182147</v>
      </c>
      <c r="C27" s="1008">
        <v>841953</v>
      </c>
      <c r="D27" s="1008">
        <v>6133326</v>
      </c>
      <c r="E27" s="1008">
        <v>66607</v>
      </c>
      <c r="F27" s="1008">
        <v>5524951</v>
      </c>
      <c r="G27" s="1008">
        <v>62761</v>
      </c>
      <c r="H27" s="1008">
        <v>254510</v>
      </c>
      <c r="I27" s="1009" t="s">
        <v>1107</v>
      </c>
      <c r="J27" s="1020"/>
      <c r="K27" s="1020"/>
      <c r="L27" s="998"/>
      <c r="M27" s="1021"/>
      <c r="N27" s="1021"/>
      <c r="O27" s="1021"/>
      <c r="P27" s="1021"/>
      <c r="Q27" s="1021"/>
      <c r="R27" s="1021"/>
      <c r="S27" s="1021"/>
      <c r="T27" s="1021"/>
      <c r="U27" s="1021"/>
      <c r="V27" s="634"/>
    </row>
    <row r="28" spans="1:22" ht="9.9499999999999993" customHeight="1" x14ac:dyDescent="0.15">
      <c r="A28" s="1007"/>
      <c r="B28" s="1008"/>
      <c r="C28" s="1008"/>
      <c r="D28" s="1008"/>
      <c r="E28" s="1008"/>
      <c r="F28" s="1008"/>
      <c r="G28" s="1008"/>
      <c r="H28" s="1008"/>
      <c r="I28" s="1009"/>
      <c r="J28" s="1020"/>
      <c r="K28" s="1020"/>
      <c r="L28" s="998"/>
      <c r="M28" s="1021"/>
      <c r="N28" s="1021"/>
      <c r="O28" s="1021"/>
      <c r="P28" s="1021"/>
      <c r="Q28" s="1021"/>
      <c r="R28" s="1021"/>
      <c r="S28" s="1021"/>
      <c r="T28" s="1021"/>
      <c r="U28" s="1021"/>
      <c r="V28" s="634"/>
    </row>
    <row r="29" spans="1:22" ht="15.6" customHeight="1" x14ac:dyDescent="0.15">
      <c r="A29" s="1010" t="s">
        <v>1108</v>
      </c>
      <c r="B29" s="1008">
        <v>315546</v>
      </c>
      <c r="C29" s="1008">
        <v>59434</v>
      </c>
      <c r="D29" s="1008">
        <v>704103</v>
      </c>
      <c r="E29" s="1008" t="s">
        <v>1029</v>
      </c>
      <c r="F29" s="1008">
        <v>502246</v>
      </c>
      <c r="G29" s="1008" t="s">
        <v>1029</v>
      </c>
      <c r="H29" s="1008">
        <v>54070</v>
      </c>
      <c r="I29" s="1012" t="s">
        <v>1112</v>
      </c>
      <c r="J29" s="1020"/>
      <c r="K29" s="1020"/>
      <c r="L29" s="633"/>
      <c r="M29" s="1021"/>
      <c r="N29" s="1021"/>
      <c r="O29" s="1021"/>
      <c r="P29" s="1021"/>
      <c r="Q29" s="1021"/>
      <c r="R29" s="1021"/>
      <c r="S29" s="1021"/>
      <c r="T29" s="1021"/>
      <c r="U29" s="1021"/>
      <c r="V29" s="634"/>
    </row>
    <row r="30" spans="1:22" ht="15.6" customHeight="1" x14ac:dyDescent="0.15">
      <c r="A30" s="1010" t="s">
        <v>946</v>
      </c>
      <c r="B30" s="1008">
        <v>123027</v>
      </c>
      <c r="C30" s="1008" t="s">
        <v>1029</v>
      </c>
      <c r="D30" s="1008">
        <v>522381</v>
      </c>
      <c r="E30" s="1008" t="s">
        <v>1029</v>
      </c>
      <c r="F30" s="1008">
        <v>334200</v>
      </c>
      <c r="G30" s="1008" t="s">
        <v>1029</v>
      </c>
      <c r="H30" s="1008">
        <v>71676</v>
      </c>
      <c r="I30" s="1012" t="s">
        <v>442</v>
      </c>
      <c r="J30" s="1020"/>
      <c r="K30" s="1020"/>
      <c r="L30" s="633"/>
      <c r="M30" s="1021"/>
      <c r="N30" s="1021"/>
      <c r="O30" s="1021"/>
      <c r="P30" s="1021"/>
      <c r="Q30" s="1021"/>
      <c r="R30" s="1021"/>
      <c r="S30" s="1021"/>
      <c r="T30" s="1021"/>
      <c r="U30" s="1021"/>
      <c r="V30" s="634"/>
    </row>
    <row r="31" spans="1:22" ht="15.6" customHeight="1" x14ac:dyDescent="0.15">
      <c r="A31" s="1010" t="s">
        <v>947</v>
      </c>
      <c r="B31" s="1008">
        <v>323573</v>
      </c>
      <c r="C31" s="1008">
        <v>121597</v>
      </c>
      <c r="D31" s="1008">
        <v>424972</v>
      </c>
      <c r="E31" s="1008" t="s">
        <v>1029</v>
      </c>
      <c r="F31" s="1008">
        <v>267553</v>
      </c>
      <c r="G31" s="1008">
        <v>62761</v>
      </c>
      <c r="H31" s="1008" t="s">
        <v>1029</v>
      </c>
      <c r="I31" s="1012" t="s">
        <v>443</v>
      </c>
      <c r="J31" s="1020"/>
      <c r="K31" s="1020"/>
      <c r="L31" s="633"/>
      <c r="M31" s="1021"/>
      <c r="N31" s="1021"/>
      <c r="O31" s="1021"/>
      <c r="P31" s="1021"/>
      <c r="Q31" s="1021"/>
      <c r="R31" s="1021"/>
      <c r="S31" s="1021"/>
      <c r="T31" s="1021"/>
      <c r="U31" s="1021"/>
      <c r="V31" s="634"/>
    </row>
    <row r="32" spans="1:22" ht="15.6" customHeight="1" x14ac:dyDescent="0.15">
      <c r="A32" s="1010" t="s">
        <v>948</v>
      </c>
      <c r="B32" s="1008">
        <v>125998</v>
      </c>
      <c r="C32" s="1008" t="s">
        <v>1029</v>
      </c>
      <c r="D32" s="1008">
        <v>353543</v>
      </c>
      <c r="E32" s="1008" t="s">
        <v>1029</v>
      </c>
      <c r="F32" s="1008">
        <v>315056</v>
      </c>
      <c r="G32" s="1008" t="s">
        <v>1029</v>
      </c>
      <c r="H32" s="1008" t="s">
        <v>1029</v>
      </c>
      <c r="I32" s="1012" t="s">
        <v>444</v>
      </c>
      <c r="J32" s="1020"/>
      <c r="K32" s="1020"/>
      <c r="L32" s="633"/>
      <c r="M32" s="1021"/>
      <c r="N32" s="1021"/>
      <c r="O32" s="1021"/>
      <c r="P32" s="1021"/>
      <c r="Q32" s="1021"/>
      <c r="R32" s="1021"/>
      <c r="S32" s="1021"/>
      <c r="T32" s="1021"/>
      <c r="U32" s="1021"/>
      <c r="V32" s="634"/>
    </row>
    <row r="33" spans="1:22" ht="15.6" customHeight="1" x14ac:dyDescent="0.15">
      <c r="A33" s="1010" t="s">
        <v>949</v>
      </c>
      <c r="B33" s="1008">
        <v>58649</v>
      </c>
      <c r="C33" s="1008" t="s">
        <v>1029</v>
      </c>
      <c r="D33" s="1008">
        <v>610105</v>
      </c>
      <c r="E33" s="1008" t="s">
        <v>1029</v>
      </c>
      <c r="F33" s="1008">
        <v>182122</v>
      </c>
      <c r="G33" s="1008" t="s">
        <v>1029</v>
      </c>
      <c r="H33" s="1008" t="s">
        <v>1029</v>
      </c>
      <c r="I33" s="1012" t="s">
        <v>453</v>
      </c>
      <c r="J33" s="1020"/>
      <c r="K33" s="1020"/>
      <c r="L33" s="633"/>
      <c r="M33" s="1021"/>
      <c r="N33" s="1021"/>
      <c r="O33" s="1021"/>
      <c r="P33" s="1021"/>
      <c r="Q33" s="1021"/>
      <c r="R33" s="1021"/>
      <c r="S33" s="1021"/>
      <c r="T33" s="1021"/>
      <c r="U33" s="1021"/>
      <c r="V33" s="634"/>
    </row>
    <row r="34" spans="1:22" ht="15.6" customHeight="1" x14ac:dyDescent="0.15">
      <c r="A34" s="1010" t="s">
        <v>950</v>
      </c>
      <c r="B34" s="1008">
        <v>124856</v>
      </c>
      <c r="C34" s="1008">
        <v>60881</v>
      </c>
      <c r="D34" s="1008">
        <v>485448</v>
      </c>
      <c r="E34" s="1008" t="s">
        <v>1029</v>
      </c>
      <c r="F34" s="1008">
        <v>517632</v>
      </c>
      <c r="G34" s="1008" t="s">
        <v>1029</v>
      </c>
      <c r="H34" s="1008" t="s">
        <v>1029</v>
      </c>
      <c r="I34" s="1012" t="s">
        <v>445</v>
      </c>
      <c r="J34" s="1020"/>
      <c r="K34" s="1020"/>
      <c r="L34" s="633"/>
      <c r="M34" s="1021"/>
      <c r="N34" s="1021"/>
      <c r="O34" s="1021"/>
      <c r="P34" s="1021"/>
      <c r="Q34" s="1021"/>
      <c r="R34" s="1021"/>
      <c r="S34" s="1021"/>
      <c r="T34" s="1021"/>
      <c r="U34" s="1021"/>
      <c r="V34" s="634"/>
    </row>
    <row r="35" spans="1:22" ht="15.6" customHeight="1" x14ac:dyDescent="0.15">
      <c r="A35" s="1010" t="s">
        <v>951</v>
      </c>
      <c r="B35" s="1008">
        <v>58143</v>
      </c>
      <c r="C35" s="1008">
        <v>59243</v>
      </c>
      <c r="D35" s="1008">
        <v>260707</v>
      </c>
      <c r="E35" s="1008" t="s">
        <v>1029</v>
      </c>
      <c r="F35" s="1008">
        <v>647577</v>
      </c>
      <c r="G35" s="1008" t="s">
        <v>1029</v>
      </c>
      <c r="H35" s="1008" t="s">
        <v>1029</v>
      </c>
      <c r="I35" s="1012" t="s">
        <v>446</v>
      </c>
      <c r="J35" s="1020"/>
      <c r="K35" s="1020"/>
      <c r="L35" s="633"/>
      <c r="M35" s="1021"/>
      <c r="N35" s="1021"/>
      <c r="O35" s="1021"/>
      <c r="P35" s="1021"/>
      <c r="Q35" s="1021"/>
      <c r="R35" s="1021"/>
      <c r="S35" s="1021"/>
      <c r="T35" s="1021"/>
      <c r="U35" s="1021"/>
      <c r="V35" s="634"/>
    </row>
    <row r="36" spans="1:22" ht="15.6" customHeight="1" x14ac:dyDescent="0.15">
      <c r="A36" s="1010" t="s">
        <v>952</v>
      </c>
      <c r="B36" s="1008">
        <v>312797</v>
      </c>
      <c r="C36" s="1008">
        <v>59515</v>
      </c>
      <c r="D36" s="1008">
        <v>392276</v>
      </c>
      <c r="E36" s="1008" t="s">
        <v>1029</v>
      </c>
      <c r="F36" s="1008">
        <v>647991</v>
      </c>
      <c r="G36" s="1008" t="s">
        <v>1029</v>
      </c>
      <c r="H36" s="1008">
        <v>128764</v>
      </c>
      <c r="I36" s="1012" t="s">
        <v>447</v>
      </c>
      <c r="J36" s="1020"/>
      <c r="K36" s="1020"/>
      <c r="L36" s="633"/>
      <c r="M36" s="1021"/>
      <c r="N36" s="1021"/>
      <c r="O36" s="1021"/>
      <c r="P36" s="1021"/>
      <c r="Q36" s="1021"/>
      <c r="R36" s="1021"/>
      <c r="S36" s="1021"/>
      <c r="T36" s="1021"/>
      <c r="U36" s="1021"/>
      <c r="V36" s="634"/>
    </row>
    <row r="37" spans="1:22" ht="15.6" customHeight="1" x14ac:dyDescent="0.15">
      <c r="A37" s="1010" t="s">
        <v>953</v>
      </c>
      <c r="B37" s="1008">
        <v>193115</v>
      </c>
      <c r="C37" s="1008">
        <v>180388</v>
      </c>
      <c r="D37" s="1008">
        <v>386167</v>
      </c>
      <c r="E37" s="1008" t="s">
        <v>1029</v>
      </c>
      <c r="F37" s="1008">
        <v>707277</v>
      </c>
      <c r="G37" s="1008" t="s">
        <v>1029</v>
      </c>
      <c r="H37" s="1008" t="s">
        <v>1029</v>
      </c>
      <c r="I37" s="1012" t="s">
        <v>448</v>
      </c>
      <c r="J37" s="1020"/>
      <c r="K37" s="1020"/>
      <c r="L37" s="633"/>
      <c r="M37" s="1021"/>
      <c r="N37" s="1021"/>
      <c r="O37" s="1021"/>
      <c r="P37" s="1021"/>
      <c r="Q37" s="1021"/>
      <c r="R37" s="1021"/>
      <c r="S37" s="1021"/>
      <c r="T37" s="1021"/>
      <c r="U37" s="1021"/>
      <c r="V37" s="634"/>
    </row>
    <row r="38" spans="1:22" ht="15.6" customHeight="1" x14ac:dyDescent="0.15">
      <c r="A38" s="1010" t="s">
        <v>954</v>
      </c>
      <c r="B38" s="1008">
        <v>126468</v>
      </c>
      <c r="C38" s="1008">
        <v>59295</v>
      </c>
      <c r="D38" s="1008">
        <v>505930</v>
      </c>
      <c r="E38" s="1008">
        <v>66607</v>
      </c>
      <c r="F38" s="1008">
        <v>567895</v>
      </c>
      <c r="G38" s="1008" t="s">
        <v>1029</v>
      </c>
      <c r="H38" s="1008" t="s">
        <v>1029</v>
      </c>
      <c r="I38" s="1012" t="s">
        <v>449</v>
      </c>
      <c r="J38" s="1020"/>
      <c r="K38" s="1020"/>
      <c r="L38" s="633"/>
      <c r="M38" s="1021"/>
      <c r="N38" s="1021"/>
      <c r="O38" s="1021"/>
      <c r="P38" s="1021"/>
      <c r="Q38" s="1021"/>
      <c r="R38" s="1021"/>
      <c r="S38" s="1021"/>
      <c r="T38" s="1021"/>
      <c r="U38" s="1021"/>
      <c r="V38" s="634"/>
    </row>
    <row r="39" spans="1:22" ht="15.6" customHeight="1" x14ac:dyDescent="0.15">
      <c r="A39" s="1010" t="s">
        <v>955</v>
      </c>
      <c r="B39" s="1008">
        <v>218908</v>
      </c>
      <c r="C39" s="1008">
        <v>182031</v>
      </c>
      <c r="D39" s="1008">
        <v>655113</v>
      </c>
      <c r="E39" s="1008" t="s">
        <v>1029</v>
      </c>
      <c r="F39" s="1008">
        <v>444609</v>
      </c>
      <c r="G39" s="1008" t="s">
        <v>1029</v>
      </c>
      <c r="H39" s="1008" t="s">
        <v>1029</v>
      </c>
      <c r="I39" s="1012" t="s">
        <v>450</v>
      </c>
      <c r="J39" s="1020"/>
      <c r="K39" s="1020"/>
      <c r="L39" s="633"/>
      <c r="M39" s="1021"/>
      <c r="N39" s="1021"/>
      <c r="O39" s="1021"/>
      <c r="P39" s="1021"/>
      <c r="Q39" s="1021"/>
      <c r="R39" s="1021"/>
      <c r="S39" s="1021"/>
      <c r="T39" s="1021"/>
      <c r="U39" s="1021"/>
      <c r="V39" s="634"/>
    </row>
    <row r="40" spans="1:22" ht="15.6" customHeight="1" x14ac:dyDescent="0.15">
      <c r="A40" s="1013" t="s">
        <v>956</v>
      </c>
      <c r="B40" s="1014">
        <v>201067</v>
      </c>
      <c r="C40" s="1014">
        <v>59569</v>
      </c>
      <c r="D40" s="1014">
        <v>832581</v>
      </c>
      <c r="E40" s="1014" t="s">
        <v>1029</v>
      </c>
      <c r="F40" s="1008">
        <v>390793</v>
      </c>
      <c r="G40" s="1014" t="s">
        <v>1029</v>
      </c>
      <c r="H40" s="1014" t="s">
        <v>1029</v>
      </c>
      <c r="I40" s="1016" t="s">
        <v>451</v>
      </c>
      <c r="J40" s="1020"/>
      <c r="K40" s="1020"/>
      <c r="L40" s="633"/>
      <c r="M40" s="1021"/>
      <c r="N40" s="1021"/>
      <c r="O40" s="1021"/>
      <c r="P40" s="1021"/>
      <c r="Q40" s="1021"/>
      <c r="R40" s="1021"/>
      <c r="S40" s="1021"/>
      <c r="T40" s="1021"/>
      <c r="U40" s="1021"/>
      <c r="V40" s="634"/>
    </row>
    <row r="41" spans="1:22" ht="9.9499999999999993" customHeight="1" x14ac:dyDescent="0.15">
      <c r="A41" s="1017"/>
      <c r="B41" s="1018"/>
      <c r="C41" s="1019"/>
      <c r="D41" s="1019"/>
      <c r="E41" s="1019"/>
      <c r="F41" s="1019"/>
      <c r="G41" s="1018"/>
      <c r="H41" s="1018"/>
      <c r="I41" s="1025"/>
      <c r="J41" s="1020"/>
      <c r="K41" s="1020"/>
      <c r="L41" s="1020"/>
      <c r="M41" s="1021"/>
      <c r="N41" s="1021"/>
      <c r="O41" s="1021"/>
      <c r="P41" s="1021"/>
      <c r="Q41" s="1021"/>
      <c r="R41" s="1021"/>
      <c r="S41" s="1021"/>
      <c r="T41" s="1021"/>
      <c r="U41" s="1021"/>
      <c r="V41" s="634"/>
    </row>
    <row r="42" spans="1:22" ht="15.6" customHeight="1" x14ac:dyDescent="0.15">
      <c r="A42" s="1163" t="s">
        <v>900</v>
      </c>
      <c r="B42" s="1000" t="s">
        <v>106</v>
      </c>
      <c r="C42" s="1000" t="s">
        <v>964</v>
      </c>
      <c r="D42" s="1000" t="s">
        <v>965</v>
      </c>
      <c r="E42" s="1000" t="s">
        <v>966</v>
      </c>
      <c r="F42" s="1000" t="s">
        <v>1115</v>
      </c>
      <c r="G42" s="1022" t="s">
        <v>58</v>
      </c>
      <c r="H42" s="1022" t="s">
        <v>967</v>
      </c>
      <c r="I42" s="1170" t="s">
        <v>904</v>
      </c>
      <c r="J42" s="1001"/>
      <c r="K42" s="1001"/>
      <c r="L42" s="998"/>
    </row>
    <row r="43" spans="1:22" ht="15.6" customHeight="1" x14ac:dyDescent="0.15">
      <c r="A43" s="1164"/>
      <c r="B43" s="1173" t="s">
        <v>109</v>
      </c>
      <c r="C43" s="1173" t="s">
        <v>968</v>
      </c>
      <c r="D43" s="1173" t="s">
        <v>969</v>
      </c>
      <c r="E43" s="1173" t="s">
        <v>970</v>
      </c>
      <c r="F43" s="1173" t="s">
        <v>1116</v>
      </c>
      <c r="G43" s="1173" t="s">
        <v>52</v>
      </c>
      <c r="H43" s="1175" t="s">
        <v>971</v>
      </c>
      <c r="I43" s="1171"/>
      <c r="J43" s="1177"/>
      <c r="K43" s="1178"/>
      <c r="L43" s="998"/>
    </row>
    <row r="44" spans="1:22" ht="15.6" customHeight="1" x14ac:dyDescent="0.15">
      <c r="A44" s="1165"/>
      <c r="B44" s="1173"/>
      <c r="C44" s="1174"/>
      <c r="D44" s="1174"/>
      <c r="E44" s="1174"/>
      <c r="F44" s="1173"/>
      <c r="G44" s="1173"/>
      <c r="H44" s="1176"/>
      <c r="I44" s="1172"/>
      <c r="J44" s="1177"/>
      <c r="K44" s="1178"/>
      <c r="L44" s="1023"/>
    </row>
    <row r="45" spans="1:22" ht="9.9499999999999993" customHeight="1" x14ac:dyDescent="0.15">
      <c r="A45" s="1003"/>
      <c r="B45" s="1004"/>
      <c r="C45" s="1004"/>
      <c r="D45" s="1004"/>
      <c r="E45" s="1004"/>
      <c r="F45" s="1004"/>
      <c r="G45" s="1004"/>
      <c r="H45" s="1004"/>
      <c r="I45" s="1005"/>
      <c r="J45" s="1020"/>
      <c r="K45" s="1020"/>
      <c r="L45" s="998"/>
    </row>
    <row r="46" spans="1:22" ht="15.6" customHeight="1" x14ac:dyDescent="0.15">
      <c r="A46" s="1007" t="s">
        <v>1106</v>
      </c>
      <c r="B46" s="1008">
        <v>58538</v>
      </c>
      <c r="C46" s="1008">
        <v>135016</v>
      </c>
      <c r="D46" s="1008">
        <v>253391</v>
      </c>
      <c r="E46" s="1008">
        <v>128271</v>
      </c>
      <c r="F46" s="1008">
        <v>131506</v>
      </c>
      <c r="G46" s="1008">
        <v>27518832</v>
      </c>
      <c r="H46" s="1008">
        <v>3820278</v>
      </c>
      <c r="I46" s="1009" t="s">
        <v>1107</v>
      </c>
      <c r="J46" s="1020"/>
      <c r="K46" s="1020"/>
      <c r="L46" s="998"/>
    </row>
    <row r="47" spans="1:22" ht="9.9499999999999993" customHeight="1" x14ac:dyDescent="0.15">
      <c r="A47" s="1007"/>
      <c r="B47" s="1008"/>
      <c r="C47" s="1008"/>
      <c r="D47" s="1008"/>
      <c r="E47" s="1008"/>
      <c r="F47" s="1008"/>
      <c r="G47" s="1008"/>
      <c r="H47" s="1008"/>
      <c r="I47" s="1009"/>
      <c r="J47" s="1020"/>
      <c r="K47" s="1020"/>
      <c r="L47" s="998"/>
    </row>
    <row r="48" spans="1:22" ht="15.6" customHeight="1" x14ac:dyDescent="0.15">
      <c r="A48" s="1010" t="s">
        <v>1108</v>
      </c>
      <c r="B48" s="1008" t="s">
        <v>1029</v>
      </c>
      <c r="C48" s="1008">
        <v>67730</v>
      </c>
      <c r="D48" s="1008" t="s">
        <v>1029</v>
      </c>
      <c r="E48" s="1008">
        <v>62561</v>
      </c>
      <c r="F48" s="1008" t="s">
        <v>1029</v>
      </c>
      <c r="G48" s="1008">
        <v>2342893</v>
      </c>
      <c r="H48" s="1008">
        <v>422469</v>
      </c>
      <c r="I48" s="1012" t="s">
        <v>1112</v>
      </c>
      <c r="J48" s="1020"/>
      <c r="K48" s="1020"/>
      <c r="L48" s="633"/>
    </row>
    <row r="49" spans="1:12" ht="15.6" customHeight="1" x14ac:dyDescent="0.15">
      <c r="A49" s="1010" t="s">
        <v>946</v>
      </c>
      <c r="B49" s="1008" t="s">
        <v>1029</v>
      </c>
      <c r="C49" s="1008" t="s">
        <v>1029</v>
      </c>
      <c r="D49" s="1008" t="s">
        <v>1029</v>
      </c>
      <c r="E49" s="1008" t="s">
        <v>1029</v>
      </c>
      <c r="F49" s="1008" t="s">
        <v>1029</v>
      </c>
      <c r="G49" s="1008">
        <v>2905292</v>
      </c>
      <c r="H49" s="1008">
        <v>264420</v>
      </c>
      <c r="I49" s="1012" t="s">
        <v>442</v>
      </c>
      <c r="J49" s="1020"/>
      <c r="K49" s="1020"/>
      <c r="L49" s="633"/>
    </row>
    <row r="50" spans="1:12" ht="15.6" customHeight="1" x14ac:dyDescent="0.15">
      <c r="A50" s="1010" t="s">
        <v>947</v>
      </c>
      <c r="B50" s="1008" t="s">
        <v>1029</v>
      </c>
      <c r="C50" s="1008" t="s">
        <v>1029</v>
      </c>
      <c r="D50" s="1008" t="s">
        <v>1029</v>
      </c>
      <c r="E50" s="1008" t="s">
        <v>1029</v>
      </c>
      <c r="F50" s="1008" t="s">
        <v>1029</v>
      </c>
      <c r="G50" s="1008">
        <v>2395383</v>
      </c>
      <c r="H50" s="1008">
        <v>310793</v>
      </c>
      <c r="I50" s="1012" t="s">
        <v>443</v>
      </c>
      <c r="J50" s="1020"/>
      <c r="K50" s="1020"/>
      <c r="L50" s="633"/>
    </row>
    <row r="51" spans="1:12" ht="15.6" customHeight="1" x14ac:dyDescent="0.15">
      <c r="A51" s="1010" t="s">
        <v>948</v>
      </c>
      <c r="B51" s="1008" t="s">
        <v>1029</v>
      </c>
      <c r="C51" s="1008">
        <v>67286</v>
      </c>
      <c r="D51" s="1008" t="s">
        <v>1029</v>
      </c>
      <c r="E51" s="1008" t="s">
        <v>1029</v>
      </c>
      <c r="F51" s="1008" t="s">
        <v>1029</v>
      </c>
      <c r="G51" s="1008">
        <v>2053723</v>
      </c>
      <c r="H51" s="1008">
        <v>366649</v>
      </c>
      <c r="I51" s="1012" t="s">
        <v>444</v>
      </c>
      <c r="J51" s="1020"/>
      <c r="K51" s="1020"/>
      <c r="L51" s="633"/>
    </row>
    <row r="52" spans="1:12" ht="15.6" customHeight="1" x14ac:dyDescent="0.15">
      <c r="A52" s="1010" t="s">
        <v>949</v>
      </c>
      <c r="B52" s="1008" t="s">
        <v>1029</v>
      </c>
      <c r="C52" s="1008" t="s">
        <v>1029</v>
      </c>
      <c r="D52" s="1008" t="s">
        <v>1029</v>
      </c>
      <c r="E52" s="1008" t="s">
        <v>1029</v>
      </c>
      <c r="F52" s="1008">
        <v>64967</v>
      </c>
      <c r="G52" s="1008">
        <v>2209621</v>
      </c>
      <c r="H52" s="1008">
        <v>218713</v>
      </c>
      <c r="I52" s="1012" t="s">
        <v>453</v>
      </c>
      <c r="J52" s="1020"/>
      <c r="K52" s="1020"/>
      <c r="L52" s="633"/>
    </row>
    <row r="53" spans="1:12" ht="15.6" customHeight="1" x14ac:dyDescent="0.15">
      <c r="A53" s="1010" t="s">
        <v>950</v>
      </c>
      <c r="B53" s="1008" t="s">
        <v>1029</v>
      </c>
      <c r="C53" s="1008" t="s">
        <v>1029</v>
      </c>
      <c r="D53" s="1008" t="s">
        <v>1029</v>
      </c>
      <c r="E53" s="1008" t="s">
        <v>1029</v>
      </c>
      <c r="F53" s="1008" t="s">
        <v>1029</v>
      </c>
      <c r="G53" s="1008">
        <v>1793996</v>
      </c>
      <c r="H53" s="1008">
        <v>372227</v>
      </c>
      <c r="I53" s="1012" t="s">
        <v>445</v>
      </c>
      <c r="J53" s="1020"/>
      <c r="K53" s="1020"/>
      <c r="L53" s="633"/>
    </row>
    <row r="54" spans="1:12" ht="15.6" customHeight="1" x14ac:dyDescent="0.15">
      <c r="A54" s="1010" t="s">
        <v>951</v>
      </c>
      <c r="B54" s="1008" t="s">
        <v>1029</v>
      </c>
      <c r="C54" s="1008" t="s">
        <v>1029</v>
      </c>
      <c r="D54" s="1008" t="s">
        <v>1029</v>
      </c>
      <c r="E54" s="1008" t="s">
        <v>1029</v>
      </c>
      <c r="F54" s="1008" t="s">
        <v>1029</v>
      </c>
      <c r="G54" s="1008">
        <v>2319025</v>
      </c>
      <c r="H54" s="1008">
        <v>294367</v>
      </c>
      <c r="I54" s="1012" t="s">
        <v>446</v>
      </c>
      <c r="J54" s="1020"/>
      <c r="K54" s="1020"/>
      <c r="L54" s="633"/>
    </row>
    <row r="55" spans="1:12" ht="15.6" customHeight="1" x14ac:dyDescent="0.15">
      <c r="A55" s="1010" t="s">
        <v>952</v>
      </c>
      <c r="B55" s="1008" t="s">
        <v>1029</v>
      </c>
      <c r="C55" s="1008" t="s">
        <v>1029</v>
      </c>
      <c r="D55" s="1008" t="s">
        <v>1029</v>
      </c>
      <c r="E55" s="1008" t="s">
        <v>1029</v>
      </c>
      <c r="F55" s="1008" t="s">
        <v>1029</v>
      </c>
      <c r="G55" s="1008">
        <v>2266222</v>
      </c>
      <c r="H55" s="1008">
        <v>290755</v>
      </c>
      <c r="I55" s="1012" t="s">
        <v>447</v>
      </c>
      <c r="J55" s="1020"/>
      <c r="K55" s="1020"/>
      <c r="L55" s="633"/>
    </row>
    <row r="56" spans="1:12" ht="15.6" customHeight="1" x14ac:dyDescent="0.15">
      <c r="A56" s="1010" t="s">
        <v>953</v>
      </c>
      <c r="B56" s="1008" t="s">
        <v>1029</v>
      </c>
      <c r="C56" s="1008" t="s">
        <v>1029</v>
      </c>
      <c r="D56" s="1008" t="s">
        <v>1029</v>
      </c>
      <c r="E56" s="1008" t="s">
        <v>1029</v>
      </c>
      <c r="F56" s="1008">
        <v>66539</v>
      </c>
      <c r="G56" s="1008">
        <v>2329138</v>
      </c>
      <c r="H56" s="1008">
        <v>501583</v>
      </c>
      <c r="I56" s="1012" t="s">
        <v>448</v>
      </c>
      <c r="J56" s="1020"/>
      <c r="K56" s="1020"/>
      <c r="L56" s="633"/>
    </row>
    <row r="57" spans="1:12" ht="15.6" customHeight="1" x14ac:dyDescent="0.15">
      <c r="A57" s="1010" t="s">
        <v>954</v>
      </c>
      <c r="B57" s="1008" t="s">
        <v>1029</v>
      </c>
      <c r="C57" s="1008" t="s">
        <v>1029</v>
      </c>
      <c r="D57" s="1008">
        <v>121618</v>
      </c>
      <c r="E57" s="1008" t="s">
        <v>1029</v>
      </c>
      <c r="F57" s="1008" t="s">
        <v>1029</v>
      </c>
      <c r="G57" s="1008">
        <v>2397701</v>
      </c>
      <c r="H57" s="1008">
        <v>138587</v>
      </c>
      <c r="I57" s="1012" t="s">
        <v>449</v>
      </c>
      <c r="J57" s="1020"/>
      <c r="K57" s="1020"/>
      <c r="L57" s="633"/>
    </row>
    <row r="58" spans="1:12" ht="15.6" customHeight="1" x14ac:dyDescent="0.15">
      <c r="A58" s="1010" t="s">
        <v>955</v>
      </c>
      <c r="B58" s="1008">
        <v>58538</v>
      </c>
      <c r="C58" s="1008" t="s">
        <v>1029</v>
      </c>
      <c r="D58" s="1008">
        <v>131773</v>
      </c>
      <c r="E58" s="1008" t="s">
        <v>1029</v>
      </c>
      <c r="F58" s="1008" t="s">
        <v>1029</v>
      </c>
      <c r="G58" s="1008">
        <v>1829973</v>
      </c>
      <c r="H58" s="1008">
        <v>286326</v>
      </c>
      <c r="I58" s="1012" t="s">
        <v>450</v>
      </c>
      <c r="J58" s="1020"/>
      <c r="K58" s="1020"/>
      <c r="L58" s="633"/>
    </row>
    <row r="59" spans="1:12" ht="15.6" customHeight="1" x14ac:dyDescent="0.15">
      <c r="A59" s="1013" t="s">
        <v>956</v>
      </c>
      <c r="B59" s="1014" t="s">
        <v>1029</v>
      </c>
      <c r="C59" s="1014" t="s">
        <v>1029</v>
      </c>
      <c r="D59" s="1014" t="s">
        <v>1029</v>
      </c>
      <c r="E59" s="1014">
        <v>65710</v>
      </c>
      <c r="F59" s="1008" t="s">
        <v>1029</v>
      </c>
      <c r="G59" s="1014">
        <v>2675865</v>
      </c>
      <c r="H59" s="1014">
        <v>353389</v>
      </c>
      <c r="I59" s="1016" t="s">
        <v>451</v>
      </c>
      <c r="J59" s="1020"/>
      <c r="K59" s="1020"/>
      <c r="L59" s="633"/>
    </row>
    <row r="60" spans="1:12" ht="15.6" customHeight="1" x14ac:dyDescent="0.15">
      <c r="A60" s="991" t="s">
        <v>972</v>
      </c>
      <c r="B60" s="1026"/>
      <c r="C60" s="1026"/>
      <c r="D60" s="1026"/>
      <c r="E60" s="1026"/>
      <c r="F60" s="1026"/>
      <c r="G60" s="1026"/>
      <c r="H60" s="1026"/>
      <c r="I60" s="998"/>
      <c r="J60" s="998"/>
      <c r="K60" s="998"/>
      <c r="L60" s="998"/>
    </row>
    <row r="61" spans="1:12" ht="15.6" customHeight="1" x14ac:dyDescent="0.15">
      <c r="A61" s="998" t="s">
        <v>1117</v>
      </c>
      <c r="B61" s="998"/>
      <c r="C61" s="998"/>
      <c r="D61" s="998"/>
      <c r="E61" s="998"/>
      <c r="F61" s="998"/>
      <c r="G61" s="998"/>
      <c r="H61" s="998"/>
      <c r="I61" s="998"/>
      <c r="J61" s="998"/>
      <c r="K61" s="998"/>
      <c r="L61" s="998"/>
    </row>
  </sheetData>
  <mergeCells count="31">
    <mergeCell ref="A42:A44"/>
    <mergeCell ref="I42:I44"/>
    <mergeCell ref="B43:B44"/>
    <mergeCell ref="C43:C44"/>
    <mergeCell ref="D43:D44"/>
    <mergeCell ref="E43:E44"/>
    <mergeCell ref="F43:F44"/>
    <mergeCell ref="G43:G44"/>
    <mergeCell ref="H43:H44"/>
    <mergeCell ref="J43:J44"/>
    <mergeCell ref="K43:K44"/>
    <mergeCell ref="K24:K25"/>
    <mergeCell ref="F5:F6"/>
    <mergeCell ref="G5:G6"/>
    <mergeCell ref="H5:H6"/>
    <mergeCell ref="K5:K6"/>
    <mergeCell ref="A4:A6"/>
    <mergeCell ref="I4:I6"/>
    <mergeCell ref="B5:B6"/>
    <mergeCell ref="A23:A25"/>
    <mergeCell ref="I23:I25"/>
    <mergeCell ref="B24:B25"/>
    <mergeCell ref="C24:C25"/>
    <mergeCell ref="D24:D25"/>
    <mergeCell ref="E24:E25"/>
    <mergeCell ref="F24:F25"/>
    <mergeCell ref="G24:G25"/>
    <mergeCell ref="H24:H25"/>
    <mergeCell ref="C5:C6"/>
    <mergeCell ref="D5:D6"/>
    <mergeCell ref="E5:E6"/>
  </mergeCells>
  <phoneticPr fontId="33"/>
  <printOptions horizontalCentered="1"/>
  <pageMargins left="0.19685039370078741" right="0.19685039370078741" top="0.59055118110236227" bottom="0.59055118110236227" header="0.59055118110236227" footer="0.31496062992125984"/>
  <pageSetup paperSize="9" scale="91" orientation="portrait" r:id="rId1"/>
  <headerFooter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22</vt:i4>
      </vt:variant>
    </vt:vector>
  </HeadingPairs>
  <TitlesOfParts>
    <vt:vector size="46" baseType="lpstr">
      <vt:lpstr>●目次(Contents)●</vt:lpstr>
      <vt:lpstr>１（１）原油地域別、国別輸入</vt:lpstr>
      <vt:lpstr>１（２）原油油種別輸入</vt:lpstr>
      <vt:lpstr>１（３）非精製用出荷内訳</vt:lpstr>
      <vt:lpstr>１（４）原油処理及び原油在庫</vt:lpstr>
      <vt:lpstr>２（１）①石油製品需給総括暦年</vt:lpstr>
      <vt:lpstr>２（１）②石油製品需給総括年度</vt:lpstr>
      <vt:lpstr>２（２）①製造業者・輸入業者受払暦年</vt:lpstr>
      <vt:lpstr>２（２）②製造業者・輸入業者受払年度</vt:lpstr>
      <vt:lpstr>２（３）石油製品月別国内向販売</vt:lpstr>
      <vt:lpstr>２（４）①石油製品月別輸入</vt:lpstr>
      <vt:lpstr>２（４）②石油製品国・地域別月別輸入</vt:lpstr>
      <vt:lpstr>２（４）③石油製品月別輸出</vt:lpstr>
      <vt:lpstr>２（４）④石油製品国・地域別月別輸出</vt:lpstr>
      <vt:lpstr>２（５）石油製品月別業態別在庫</vt:lpstr>
      <vt:lpstr>２（６）製造業者・輸入業者月別消費者、販売業者向販売</vt:lpstr>
      <vt:lpstr>２（７）品種別、月別消費者・販売業者向販売及び在庫内訳</vt:lpstr>
      <vt:lpstr>参考資料１、２備蓄量推移、輸入価格推移</vt:lpstr>
      <vt:lpstr>参考資料３（１）（２）</vt:lpstr>
      <vt:lpstr>参考資料３（３）（４）</vt:lpstr>
      <vt:lpstr>参考資料３（５）（６）</vt:lpstr>
      <vt:lpstr>参考資料３（７）（８）</vt:lpstr>
      <vt:lpstr>参考資料４（１）液化天然ガス（ＬＮＧ）輸入量、消費量、在庫量</vt:lpstr>
      <vt:lpstr>参考資料４（２）液化天然ガス（ＬＮＧ）国別、月別輸入量</vt:lpstr>
      <vt:lpstr>'●目次(Contents)●'!Print_Area</vt:lpstr>
      <vt:lpstr>'１（１）原油地域別、国別輸入'!Print_Area</vt:lpstr>
      <vt:lpstr>'１（２）原油油種別輸入'!Print_Area</vt:lpstr>
      <vt:lpstr>'１（３）非精製用出荷内訳'!Print_Area</vt:lpstr>
      <vt:lpstr>'１（４）原油処理及び原油在庫'!Print_Area</vt:lpstr>
      <vt:lpstr>'２（１）①石油製品需給総括暦年'!Print_Area</vt:lpstr>
      <vt:lpstr>'２（１）②石油製品需給総括年度'!Print_Area</vt:lpstr>
      <vt:lpstr>'２（２）①製造業者・輸入業者受払暦年'!Print_Area</vt:lpstr>
      <vt:lpstr>'２（２）②製造業者・輸入業者受払年度'!Print_Area</vt:lpstr>
      <vt:lpstr>'２（３）石油製品月別国内向販売'!Print_Area</vt:lpstr>
      <vt:lpstr>'２（４）②石油製品国・地域別月別輸入'!Print_Area</vt:lpstr>
      <vt:lpstr>'２（４）③石油製品月別輸出'!Print_Area</vt:lpstr>
      <vt:lpstr>'２（４）④石油製品国・地域別月別輸出'!Print_Area</vt:lpstr>
      <vt:lpstr>'２（５）石油製品月別業態別在庫'!Print_Area</vt:lpstr>
      <vt:lpstr>'２（６）製造業者・輸入業者月別消費者、販売業者向販売'!Print_Area</vt:lpstr>
      <vt:lpstr>'２（７）品種別、月別消費者・販売業者向販売及び在庫内訳'!Print_Area</vt:lpstr>
      <vt:lpstr>'参考資料１、２備蓄量推移、輸入価格推移'!Print_Area</vt:lpstr>
      <vt:lpstr>'参考資料３（１）（２）'!Print_Area</vt:lpstr>
      <vt:lpstr>'参考資料３（３）（４）'!Print_Area</vt:lpstr>
      <vt:lpstr>'参考資料３（５）（６）'!Print_Area</vt:lpstr>
      <vt:lpstr>'参考資料３（７）（８）'!Print_Area</vt:lpstr>
      <vt:lpstr>'参考資料４（２）液化天然ガス（ＬＮＧ）国別、月別輸入量'!Print_Area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2024-06-18T07:25:05Z</dcterms:modified>
</cp:coreProperties>
</file>