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13_ncr:1_{90E6FC94-0B2C-4909-8AF4-DD2DC714763A}" xr6:coauthVersionLast="47" xr6:coauthVersionMax="47" xr10:uidLastSave="{00000000-0000-0000-0000-000000000000}"/>
  <bookViews>
    <workbookView xWindow="-27825" yWindow="1155" windowWidth="21600" windowHeight="11385" tabRatio="745" xr2:uid="{00000000-000D-0000-FFFF-FFFF00000000}"/>
  </bookViews>
  <sheets>
    <sheet name="●目次(Contents)●" sheetId="65" r:id="rId1"/>
    <sheet name="１（１）原油地域別、国別輸入" sheetId="335" r:id="rId2"/>
    <sheet name="１（２）原油油種別輸入" sheetId="336" r:id="rId3"/>
    <sheet name="１（３）非精製用出荷内訳" sheetId="337" r:id="rId4"/>
    <sheet name="１（４）原油処理及び原油在庫" sheetId="338" r:id="rId5"/>
    <sheet name="２（１）①石油製品需給総括暦年" sheetId="339" r:id="rId6"/>
    <sheet name="２（１）②石油製品需給総括年度" sheetId="340" r:id="rId7"/>
    <sheet name="２（２）①製造業者・輸入業者受払暦年" sheetId="341" r:id="rId8"/>
    <sheet name="２（２）②製造業者・輸入業者受払年度" sheetId="342" r:id="rId9"/>
    <sheet name="２（３）石油製品月別国内向販売" sheetId="343" r:id="rId10"/>
    <sheet name="２（４）①石油製品月別輸入" sheetId="344" r:id="rId11"/>
    <sheet name="２（４）②石油製品国・地域別月別輸入" sheetId="345" r:id="rId12"/>
    <sheet name="２（４）③石油製品月別輸出" sheetId="346" r:id="rId13"/>
    <sheet name="２（４）④石油製品国・地域別月別輸出" sheetId="347" r:id="rId14"/>
    <sheet name="２（５）石油製品月別業態別在庫" sheetId="348" r:id="rId15"/>
    <sheet name="２（６）製造業者・輸入業者月別消費者、販売業者向販売" sheetId="349" r:id="rId16"/>
    <sheet name="２（７）品種別、月別消費者・販売業者向販売及び在庫内訳" sheetId="350" r:id="rId17"/>
    <sheet name="参考資料１、２備蓄量推移、輸入価格推移" sheetId="351" r:id="rId18"/>
    <sheet name="参考資料３（１）（２）" sheetId="361" r:id="rId19"/>
    <sheet name="参考資料３（３）（４）" sheetId="360" r:id="rId20"/>
    <sheet name="参考資料３（５）（６）" sheetId="362" r:id="rId21"/>
    <sheet name="参考資料３（７）（８）" sheetId="363" r:id="rId22"/>
    <sheet name="参考資料４（１）液化天然ガス（ＬＮＧ）輸入量、消費量、在庫量" sheetId="358" r:id="rId23"/>
    <sheet name="参考資料４（２）液化天然ガス（ＬＮＧ）国別、月別輸入量" sheetId="359" r:id="rId24"/>
  </sheets>
  <definedNames>
    <definedName name="_10__123Graph_Aｸﾞﾗﾌ_3" localSheetId="1" hidden="1">#REF!</definedName>
    <definedName name="_10__123Graph_Aｸﾞﾗﾌ_3" localSheetId="2" hidden="1">#REF!</definedName>
    <definedName name="_10__123Graph_Aｸﾞﾗﾌ_3" localSheetId="3" hidden="1">#REF!</definedName>
    <definedName name="_10__123Graph_Aｸﾞﾗﾌ_3" localSheetId="4" hidden="1">#REF!</definedName>
    <definedName name="_10__123Graph_Aｸﾞﾗﾌ_3" localSheetId="5" hidden="1">#REF!</definedName>
    <definedName name="_10__123Graph_Aｸﾞﾗﾌ_3" localSheetId="6" hidden="1">#REF!</definedName>
    <definedName name="_10__123Graph_Aｸﾞﾗﾌ_3" localSheetId="7" hidden="1">#REF!</definedName>
    <definedName name="_10__123Graph_Aｸﾞﾗﾌ_3" localSheetId="8" hidden="1">#REF!</definedName>
    <definedName name="_10__123Graph_Aｸﾞﾗﾌ_3" localSheetId="9" hidden="1">#REF!</definedName>
    <definedName name="_10__123Graph_Aｸﾞﾗﾌ_3" localSheetId="10" hidden="1">#REF!</definedName>
    <definedName name="_10__123Graph_Aｸﾞﾗﾌ_3" localSheetId="11" hidden="1">#REF!</definedName>
    <definedName name="_10__123Graph_Aｸﾞﾗﾌ_3" localSheetId="12" hidden="1">#REF!</definedName>
    <definedName name="_10__123Graph_Aｸﾞﾗﾌ_3" localSheetId="13" hidden="1">#REF!</definedName>
    <definedName name="_10__123Graph_Aｸﾞﾗﾌ_3" localSheetId="14" hidden="1">#REF!</definedName>
    <definedName name="_10__123Graph_Aｸﾞﾗﾌ_3" localSheetId="15" hidden="1">#REF!</definedName>
    <definedName name="_10__123Graph_Aｸﾞﾗﾌ_3" localSheetId="16" hidden="1">#REF!</definedName>
    <definedName name="_10__123Graph_Aｸﾞﾗﾌ_3" localSheetId="18" hidden="1">#REF!</definedName>
    <definedName name="_10__123Graph_Aｸﾞﾗﾌ_3" localSheetId="19" hidden="1">#REF!</definedName>
    <definedName name="_10__123Graph_Aｸﾞﾗﾌ_3" localSheetId="20" hidden="1">#REF!</definedName>
    <definedName name="_10__123Graph_Aｸﾞﾗﾌ_3" localSheetId="21" hidden="1">#REF!</definedName>
    <definedName name="_10__123Graph_Aｸﾞﾗﾌ_3" hidden="1">#REF!</definedName>
    <definedName name="_15__123Graph_Bｸﾞﾗﾌ_1" localSheetId="1" hidden="1">#REF!</definedName>
    <definedName name="_15__123Graph_Bｸﾞﾗﾌ_1" localSheetId="2" hidden="1">#REF!</definedName>
    <definedName name="_15__123Graph_Bｸﾞﾗﾌ_1" localSheetId="3" hidden="1">#REF!</definedName>
    <definedName name="_15__123Graph_Bｸﾞﾗﾌ_1" localSheetId="4" hidden="1">#REF!</definedName>
    <definedName name="_15__123Graph_Bｸﾞﾗﾌ_1" localSheetId="5" hidden="1">#REF!</definedName>
    <definedName name="_15__123Graph_Bｸﾞﾗﾌ_1" localSheetId="6" hidden="1">#REF!</definedName>
    <definedName name="_15__123Graph_Bｸﾞﾗﾌ_1" localSheetId="7" hidden="1">#REF!</definedName>
    <definedName name="_15__123Graph_Bｸﾞﾗﾌ_1" localSheetId="8" hidden="1">#REF!</definedName>
    <definedName name="_15__123Graph_Bｸﾞﾗﾌ_1" localSheetId="9" hidden="1">#REF!</definedName>
    <definedName name="_15__123Graph_Bｸﾞﾗﾌ_1" localSheetId="10" hidden="1">#REF!</definedName>
    <definedName name="_15__123Graph_Bｸﾞﾗﾌ_1" localSheetId="11" hidden="1">#REF!</definedName>
    <definedName name="_15__123Graph_Bｸﾞﾗﾌ_1" localSheetId="12" hidden="1">#REF!</definedName>
    <definedName name="_15__123Graph_Bｸﾞﾗﾌ_1" localSheetId="13" hidden="1">#REF!</definedName>
    <definedName name="_15__123Graph_Bｸﾞﾗﾌ_1" localSheetId="14" hidden="1">#REF!</definedName>
    <definedName name="_15__123Graph_Bｸﾞﾗﾌ_1" localSheetId="15" hidden="1">#REF!</definedName>
    <definedName name="_15__123Graph_Bｸﾞﾗﾌ_1" localSheetId="16" hidden="1">#REF!</definedName>
    <definedName name="_15__123Graph_Bｸﾞﾗﾌ_1" localSheetId="18" hidden="1">#REF!</definedName>
    <definedName name="_15__123Graph_Bｸﾞﾗﾌ_1" localSheetId="19" hidden="1">#REF!</definedName>
    <definedName name="_15__123Graph_Bｸﾞﾗﾌ_1" localSheetId="20" hidden="1">#REF!</definedName>
    <definedName name="_15__123Graph_Bｸﾞﾗﾌ_1" localSheetId="21" hidden="1">#REF!</definedName>
    <definedName name="_15__123Graph_Bｸﾞﾗﾌ_1" hidden="1">#REF!</definedName>
    <definedName name="_２_供給者区分別原油月別輸入___Crude_Oil_Import_by_Month_and_Supplier">#REF!</definedName>
    <definedName name="_20__123Graph_Bｸﾞﾗﾌ_2" localSheetId="1" hidden="1">#REF!</definedName>
    <definedName name="_20__123Graph_Bｸﾞﾗﾌ_2" localSheetId="2" hidden="1">#REF!</definedName>
    <definedName name="_20__123Graph_Bｸﾞﾗﾌ_2" localSheetId="3" hidden="1">#REF!</definedName>
    <definedName name="_20__123Graph_Bｸﾞﾗﾌ_2" localSheetId="4" hidden="1">#REF!</definedName>
    <definedName name="_20__123Graph_Bｸﾞﾗﾌ_2" localSheetId="5" hidden="1">#REF!</definedName>
    <definedName name="_20__123Graph_Bｸﾞﾗﾌ_2" localSheetId="6" hidden="1">#REF!</definedName>
    <definedName name="_20__123Graph_Bｸﾞﾗﾌ_2" localSheetId="7" hidden="1">#REF!</definedName>
    <definedName name="_20__123Graph_Bｸﾞﾗﾌ_2" localSheetId="8" hidden="1">#REF!</definedName>
    <definedName name="_20__123Graph_Bｸﾞﾗﾌ_2" localSheetId="9" hidden="1">#REF!</definedName>
    <definedName name="_20__123Graph_Bｸﾞﾗﾌ_2" localSheetId="10" hidden="1">#REF!</definedName>
    <definedName name="_20__123Graph_Bｸﾞﾗﾌ_2" localSheetId="11" hidden="1">#REF!</definedName>
    <definedName name="_20__123Graph_Bｸﾞﾗﾌ_2" localSheetId="12" hidden="1">#REF!</definedName>
    <definedName name="_20__123Graph_Bｸﾞﾗﾌ_2" localSheetId="13" hidden="1">#REF!</definedName>
    <definedName name="_20__123Graph_Bｸﾞﾗﾌ_2" localSheetId="14" hidden="1">#REF!</definedName>
    <definedName name="_20__123Graph_Bｸﾞﾗﾌ_2" localSheetId="15" hidden="1">#REF!</definedName>
    <definedName name="_20__123Graph_Bｸﾞﾗﾌ_2" localSheetId="16" hidden="1">#REF!</definedName>
    <definedName name="_20__123Graph_Bｸﾞﾗﾌ_2" localSheetId="18" hidden="1">#REF!</definedName>
    <definedName name="_20__123Graph_Bｸﾞﾗﾌ_2" localSheetId="19" hidden="1">#REF!</definedName>
    <definedName name="_20__123Graph_Bｸﾞﾗﾌ_2" localSheetId="20" hidden="1">#REF!</definedName>
    <definedName name="_20__123Graph_Bｸﾞﾗﾌ_2" localSheetId="21" hidden="1">#REF!</definedName>
    <definedName name="_20__123Graph_Bｸﾞﾗﾌ_2" hidden="1">#REF!</definedName>
    <definedName name="_25__123Graph_Bｸﾞﾗﾌ_3" localSheetId="13" hidden="1">#REF!</definedName>
    <definedName name="_25__123Graph_Bｸﾞﾗﾌ_3" hidden="1">#REF!</definedName>
    <definedName name="_３．石油輸入価格推移___Customs_Clearance_Prices_of_Crude_Oil_and_Petroleum_Products_CIF">#REF!</definedName>
    <definedName name="_30__123Graph_Cｸﾞﾗﾌ_1" localSheetId="13" hidden="1">#REF!</definedName>
    <definedName name="_30__123Graph_Cｸﾞﾗﾌ_1" hidden="1">#REF!</definedName>
    <definedName name="_35__123Graph_Cｸﾞﾗﾌ_2" localSheetId="13" hidden="1">#REF!</definedName>
    <definedName name="_35__123Graph_Cｸﾞﾗﾌ_2" hidden="1">#REF!</definedName>
    <definedName name="_４_国別_契約期間別原油輸入_平均ＡＰＩ及び平均硫黄分_平成23年度">#REF!</definedName>
    <definedName name="_40__123Graph_Dｸﾞﾗﾌ_1" localSheetId="13" hidden="1">#REF!</definedName>
    <definedName name="_40__123Graph_Dｸﾞﾗﾌ_1" hidden="1">#REF!</definedName>
    <definedName name="_45__123Graph_Dｸﾞﾗﾌ_2" localSheetId="13" hidden="1">#REF!</definedName>
    <definedName name="_45__123Graph_Dｸﾞﾗﾌ_2" hidden="1">#REF!</definedName>
    <definedName name="_5__123Graph_Aｸﾞﾗﾌ_1" localSheetId="13" hidden="1">#REF!</definedName>
    <definedName name="_5__123Graph_Aｸﾞﾗﾌ_1" hidden="1">#REF!</definedName>
    <definedName name="_50__123Graph_Eｸﾞﾗﾌ_2" localSheetId="13" hidden="1">#REF!</definedName>
    <definedName name="_50__123Graph_Eｸﾞﾗﾌ_2" hidden="1">#REF!</definedName>
    <definedName name="_55__123Graph_Xｸﾞﾗﾌ_3" localSheetId="13" hidden="1">#REF!</definedName>
    <definedName name="_55__123Graph_Xｸﾞﾗﾌ_3" hidden="1">#REF!</definedName>
    <definedName name="_6__労務___Labor">#REF!</definedName>
    <definedName name="_６_国別_契約期間別ＣＩＦ総額_平成23年度____Imported_Crude_Oil_value_CIF__by_Country_and_Contract_Ｆ.Y.2011">#REF!</definedName>
    <definedName name="_８_国別船積数量_FOB_運賃総額及び保険料総額_平成23年度">#REF!</definedName>
    <definedName name="aaa" hidden="1">#REF!</definedName>
    <definedName name="_xlnm.Print_Area" localSheetId="0">'●目次(Contents)●'!$A$1:$Z$40</definedName>
    <definedName name="_xlnm.Print_Area" localSheetId="1">'１（１）原油地域別、国別輸入'!$A$1:$R$106</definedName>
    <definedName name="_xlnm.Print_Area" localSheetId="2">'１（２）原油油種別輸入'!$A$1:$R$317</definedName>
    <definedName name="_xlnm.Print_Area" localSheetId="3">'１（３）非精製用出荷内訳'!$A$2:$R$110</definedName>
    <definedName name="_xlnm.Print_Area" localSheetId="4">'１（４）原油処理及び原油在庫'!$A$1:$U$79</definedName>
    <definedName name="_xlnm.Print_Area" localSheetId="5">'２（１）①石油製品需給総括暦年'!$A$1:$T$48</definedName>
    <definedName name="_xlnm.Print_Area" localSheetId="6">'２（１）②石油製品需給総括年度'!$A$1:$T$48</definedName>
    <definedName name="_xlnm.Print_Area" localSheetId="7">'２（２）①製造業者・輸入業者受払暦年'!$A$1:$T$45</definedName>
    <definedName name="_xlnm.Print_Area" localSheetId="8">'２（２）②製造業者・輸入業者受払年度'!$A$1:$T$44</definedName>
    <definedName name="_xlnm.Print_Area" localSheetId="9">'２（３）石油製品月別国内向販売'!$A$1:$W$42</definedName>
    <definedName name="_xlnm.Print_Area" localSheetId="11">'２（４）②石油製品国・地域別月別輸入'!$A$1:$W$430</definedName>
    <definedName name="_xlnm.Print_Area" localSheetId="12">'２（４）③石油製品月別輸出'!$A$1:$W$40</definedName>
    <definedName name="_xlnm.Print_Area" localSheetId="13">'２（４）④石油製品国・地域別月別輸出'!$A$1:$W$610</definedName>
    <definedName name="_xlnm.Print_Area" localSheetId="14">'２（５）石油製品月別業態別在庫'!$A$4:$V$60</definedName>
    <definedName name="_xlnm.Print_Area" localSheetId="15">'２（６）製造業者・輸入業者月別消費者、販売業者向販売'!$A$1:$W$40</definedName>
    <definedName name="_xlnm.Print_Area" localSheetId="16">'２（７）品種別、月別消費者・販売業者向販売及び在庫内訳'!$A$2:$Z$42</definedName>
    <definedName name="_xlnm.Print_Area" localSheetId="17">'参考資料１、２備蓄量推移、輸入価格推移'!$A$1:$P$48</definedName>
    <definedName name="_xlnm.Print_Area" localSheetId="18">'参考資料３（１）（２）'!$A$1:$K$38,'参考資料３（１）（２）'!$L$41:$S$76</definedName>
    <definedName name="_xlnm.Print_Area" localSheetId="19">'参考資料３（３）（４）'!$A$1:$K$27,'参考資料３（３）（４）'!$A$29:$K$54</definedName>
    <definedName name="_xlnm.Print_Area" localSheetId="20">'参考資料３（５）（６）'!$A$1:$F$52</definedName>
    <definedName name="_xlnm.Print_Area" localSheetId="21">'参考資料３（７）（８）'!$A$1:$G$53</definedName>
    <definedName name="_xlnm.Print_Area" localSheetId="23">'参考資料４（２）液化天然ガス（ＬＮＧ）国別、月別輸入量'!$A$1:$I$61</definedName>
    <definedName name="けんめい" localSheetId="1">#REF!</definedName>
    <definedName name="けんめい" localSheetId="2">#REF!</definedName>
    <definedName name="けんめい" localSheetId="3">#REF!</definedName>
    <definedName name="けんめい" localSheetId="4">#REF!</definedName>
    <definedName name="けんめい" localSheetId="5">#REF!</definedName>
    <definedName name="けんめい" localSheetId="6">#REF!</definedName>
    <definedName name="けんめい" localSheetId="7">#REF!</definedName>
    <definedName name="けんめい" localSheetId="8">#REF!</definedName>
    <definedName name="けんめい" localSheetId="9">#REF!</definedName>
    <definedName name="けんめい" localSheetId="11">#REF!</definedName>
    <definedName name="けんめい" localSheetId="12">#REF!</definedName>
    <definedName name="けんめい" localSheetId="13">#REF!</definedName>
    <definedName name="けんめい" localSheetId="14">#REF!</definedName>
    <definedName name="けんめい" localSheetId="15">#REF!</definedName>
    <definedName name="けんめい" localSheetId="16">#REF!</definedName>
    <definedName name="けんめい" localSheetId="18">#REF!</definedName>
    <definedName name="けんめい" localSheetId="19">#REF!</definedName>
    <definedName name="けんめい" localSheetId="20">#REF!</definedName>
    <definedName name="けんめい" localSheetId="21">#REF!</definedName>
    <definedName name="けんめい">#REF!</definedName>
    <definedName name="県名" localSheetId="1">#REF!</definedName>
    <definedName name="県名" localSheetId="2">#REF!</definedName>
    <definedName name="県名" localSheetId="3">#REF!</definedName>
    <definedName name="県名" localSheetId="4">#REF!</definedName>
    <definedName name="県名" localSheetId="5">#REF!</definedName>
    <definedName name="県名" localSheetId="6">#REF!</definedName>
    <definedName name="県名" localSheetId="7">#REF!</definedName>
    <definedName name="県名" localSheetId="8">#REF!</definedName>
    <definedName name="県名" localSheetId="9">#REF!</definedName>
    <definedName name="県名" localSheetId="11">#REF!</definedName>
    <definedName name="県名" localSheetId="12">#REF!</definedName>
    <definedName name="県名" localSheetId="13">#REF!</definedName>
    <definedName name="県名" localSheetId="14">#REF!</definedName>
    <definedName name="県名" localSheetId="15">#REF!</definedName>
    <definedName name="県名" localSheetId="16">#REF!</definedName>
    <definedName name="県名" localSheetId="18">#REF!</definedName>
    <definedName name="県名" localSheetId="19">#REF!</definedName>
    <definedName name="県名" localSheetId="20">#REF!</definedName>
    <definedName name="県名" localSheetId="21">#REF!</definedName>
    <definedName name="県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359" l="1"/>
  <c r="F46" i="359"/>
  <c r="E46" i="359"/>
  <c r="D46" i="359"/>
  <c r="C46" i="359"/>
  <c r="B46" i="359"/>
  <c r="H27" i="359"/>
  <c r="G27" i="359"/>
  <c r="F27" i="359"/>
  <c r="E27" i="359"/>
  <c r="D27" i="359"/>
  <c r="C27" i="359"/>
  <c r="B27" i="359"/>
  <c r="H8" i="359"/>
  <c r="G8" i="359"/>
  <c r="F8" i="359"/>
  <c r="E8" i="359"/>
  <c r="D8" i="359"/>
  <c r="C8" i="359"/>
  <c r="B8" i="359"/>
  <c r="M80" i="337" l="1"/>
  <c r="L80" i="337"/>
  <c r="I80" i="337"/>
  <c r="G80" i="337"/>
  <c r="D80" i="337"/>
  <c r="C80" i="337"/>
  <c r="B80" i="337"/>
  <c r="O44" i="337"/>
  <c r="M44" i="337"/>
  <c r="J44" i="337"/>
  <c r="I44" i="337"/>
  <c r="H44" i="337"/>
  <c r="E44" i="337"/>
  <c r="D44" i="337"/>
  <c r="B44" i="337"/>
  <c r="P8" i="337"/>
  <c r="N8" i="337"/>
  <c r="M8" i="337"/>
  <c r="L8" i="337"/>
  <c r="K8" i="337"/>
  <c r="I8" i="337"/>
  <c r="H8" i="337"/>
  <c r="E8" i="337"/>
  <c r="C287" i="336"/>
  <c r="B287" i="336"/>
  <c r="Q252" i="336"/>
  <c r="P252" i="336"/>
  <c r="O252" i="336"/>
  <c r="N252" i="336"/>
  <c r="M252" i="336"/>
  <c r="L252" i="336"/>
  <c r="K252" i="336"/>
  <c r="J252" i="336"/>
  <c r="I252" i="336"/>
  <c r="F252" i="336"/>
  <c r="E252" i="336"/>
  <c r="D252" i="336"/>
  <c r="C252" i="336"/>
  <c r="Q217" i="336"/>
  <c r="P217" i="336"/>
  <c r="O217" i="336"/>
  <c r="N217" i="336"/>
  <c r="M217" i="336"/>
  <c r="K217" i="336"/>
  <c r="I217" i="336"/>
  <c r="H217" i="336"/>
  <c r="F217" i="336"/>
  <c r="E217" i="336"/>
  <c r="C217" i="336"/>
  <c r="B217" i="336"/>
  <c r="Q182" i="336"/>
  <c r="N182" i="336"/>
  <c r="M182" i="336"/>
  <c r="L182" i="336"/>
  <c r="K182" i="336"/>
  <c r="J182" i="336"/>
  <c r="I182" i="336"/>
  <c r="H182" i="336"/>
  <c r="G182" i="336"/>
  <c r="F182" i="336"/>
  <c r="D182" i="336"/>
  <c r="B182" i="336"/>
  <c r="Q147" i="336"/>
  <c r="P147" i="336"/>
  <c r="O147" i="336"/>
  <c r="M147" i="336"/>
  <c r="K147" i="336"/>
  <c r="J147" i="336"/>
  <c r="I147" i="336"/>
  <c r="H147" i="336"/>
  <c r="G147" i="336"/>
  <c r="F147" i="336"/>
  <c r="E147" i="336"/>
  <c r="D147" i="336"/>
  <c r="B147" i="336"/>
  <c r="Q112" i="336"/>
  <c r="O112" i="336"/>
  <c r="N112" i="336"/>
  <c r="M112" i="336"/>
  <c r="L112" i="336"/>
  <c r="K112" i="336"/>
  <c r="J112" i="336"/>
  <c r="H112" i="336"/>
  <c r="G112" i="336"/>
  <c r="F112" i="336"/>
  <c r="D112" i="336"/>
  <c r="C112" i="336"/>
  <c r="B112" i="336"/>
  <c r="Q77" i="336"/>
  <c r="P77" i="336"/>
  <c r="N77" i="336"/>
  <c r="M77" i="336"/>
  <c r="L77" i="336"/>
  <c r="J77" i="336"/>
  <c r="I77" i="336"/>
  <c r="H77" i="336"/>
  <c r="G77" i="336"/>
  <c r="F77" i="336"/>
  <c r="C77" i="336"/>
  <c r="B77" i="336"/>
  <c r="Q42" i="336"/>
  <c r="P42" i="336"/>
  <c r="O42" i="336"/>
  <c r="M42" i="336"/>
  <c r="L42" i="336"/>
  <c r="J42" i="336"/>
  <c r="I42" i="336"/>
  <c r="H42" i="336"/>
  <c r="G42" i="336"/>
  <c r="F42" i="336"/>
  <c r="E42" i="336"/>
  <c r="D42" i="336"/>
  <c r="C42" i="336"/>
  <c r="B42" i="336"/>
  <c r="Q7" i="336"/>
  <c r="P7" i="336"/>
  <c r="O7" i="336"/>
  <c r="M7" i="336"/>
  <c r="L7" i="336"/>
  <c r="K7" i="336"/>
  <c r="J7" i="336"/>
  <c r="I7" i="336"/>
  <c r="H7" i="336"/>
  <c r="G7" i="336"/>
  <c r="D7" i="336"/>
</calcChain>
</file>

<file path=xl/sharedStrings.xml><?xml version="1.0" encoding="utf-8"?>
<sst xmlns="http://schemas.openxmlformats.org/spreadsheetml/2006/main" count="17374" uniqueCount="1162">
  <si>
    <t>（１）石油製品需給総括 / Supply and Demand Summary of Petroleum Products</t>
    <phoneticPr fontId="12"/>
  </si>
  <si>
    <t>①月別輸入 / Import by Month</t>
    <phoneticPr fontId="12"/>
  </si>
  <si>
    <t>③月別輸出 / Export by Month</t>
    <phoneticPr fontId="12"/>
  </si>
  <si>
    <t>（４）石油製品の輸出入 / Import and Export of Ｐetroleum Products</t>
    <phoneticPr fontId="12"/>
  </si>
  <si>
    <t>（２）石油製品製造業者 ・ 輸入業者受払 / Receipt and Shipment of Petroleum Products by Manufacturers and Importers</t>
    <phoneticPr fontId="12"/>
  </si>
  <si>
    <t>（２）原油油種別輸入 / Import by Kind of Crude Oil</t>
    <phoneticPr fontId="12"/>
  </si>
  <si>
    <t>※下線のある文字をクリックすると、統計表にジャンプします。</t>
    <rPh sb="1" eb="3">
      <t>カセン</t>
    </rPh>
    <rPh sb="6" eb="8">
      <t>モジ</t>
    </rPh>
    <rPh sb="17" eb="20">
      <t>トウケイヒョウ</t>
    </rPh>
    <phoneticPr fontId="12"/>
  </si>
  <si>
    <t>石　　油 / Ｐｅｔｒｏｌｅｕｍ</t>
    <phoneticPr fontId="12"/>
  </si>
  <si>
    <t>１．原油 / Crude Oil</t>
    <phoneticPr fontId="12"/>
  </si>
  <si>
    <t>（１）原油地域別、国別輸入 / Import of Crude Oil by Area and Country</t>
    <phoneticPr fontId="12"/>
  </si>
  <si>
    <t>２．石油製品 / Petroleum Products</t>
    <rPh sb="4" eb="6">
      <t>セイヒン</t>
    </rPh>
    <phoneticPr fontId="12"/>
  </si>
  <si>
    <t>２．石油輸入価格推移 / Customs Clearance Prices of Crude Oil and Petroleum Products(CIF)</t>
    <phoneticPr fontId="12"/>
  </si>
  <si>
    <t>ブルネイ</t>
  </si>
  <si>
    <t>イラン</t>
  </si>
  <si>
    <t>イラク</t>
  </si>
  <si>
    <t>エクアドル</t>
  </si>
  <si>
    <t>スーダン</t>
  </si>
  <si>
    <t>ガボン</t>
  </si>
  <si>
    <t>アンゴラ</t>
  </si>
  <si>
    <t>Malaysia</t>
  </si>
  <si>
    <t>Brunei</t>
  </si>
  <si>
    <t>Indonesia</t>
  </si>
  <si>
    <t>Iran</t>
  </si>
  <si>
    <t>Iraq</t>
  </si>
  <si>
    <t>Ecuador</t>
  </si>
  <si>
    <t>Africa</t>
  </si>
  <si>
    <t>Sudan</t>
  </si>
  <si>
    <t>Gabon</t>
  </si>
  <si>
    <t>Angola</t>
  </si>
  <si>
    <t>サウジアラビア</t>
  </si>
  <si>
    <t>クウェート</t>
  </si>
  <si>
    <t>カタール</t>
  </si>
  <si>
    <t>オマーン</t>
  </si>
  <si>
    <t>イエメン</t>
  </si>
  <si>
    <t>ロシア</t>
  </si>
  <si>
    <t>Saudi Arabia</t>
  </si>
  <si>
    <t>Kuwait</t>
  </si>
  <si>
    <t>Qatar</t>
  </si>
  <si>
    <t>Oman</t>
  </si>
  <si>
    <t>（２）原油油種別輸入 / Import by Kind of Crude Oil</t>
    <rPh sb="3" eb="5">
      <t>ゲンユ</t>
    </rPh>
    <phoneticPr fontId="12"/>
  </si>
  <si>
    <t>Viet Nam</t>
  </si>
  <si>
    <t>ｲﾝﾄﾞﾈｼｱ計</t>
  </si>
  <si>
    <t>ｼﾝﾀ</t>
  </si>
  <si>
    <t>ｼﾞｭﾘｰ</t>
  </si>
  <si>
    <t>ｽﾏﾄﾗ･ﾗｲﾄ</t>
  </si>
  <si>
    <t>ｳｲﾄﾞﾘｰ</t>
  </si>
  <si>
    <t>ｶｼﾞ･ｾﾓｶﾞ</t>
  </si>
  <si>
    <t>Middle East</t>
  </si>
  <si>
    <t>ｲﾗﾆｱﾝ･ﾍﾋﾞｰ</t>
  </si>
  <si>
    <t>ﾊﾞｽﾗ･ﾗｲﾄ</t>
  </si>
  <si>
    <t>ｻｳｼﾞｱﾗﾋﾞｱ計</t>
  </si>
  <si>
    <t>ｱﾗﾋﾞｱﾝ･ﾗｲﾄ</t>
  </si>
  <si>
    <t>ｱﾗﾋﾞｱﾝ･ﾍﾋﾞｰ</t>
  </si>
  <si>
    <t>ｱﾙ･ｼｬﾋｰﾝ</t>
  </si>
  <si>
    <t>ﾅｲﾙ</t>
  </si>
  <si>
    <t>Oceania</t>
  </si>
  <si>
    <t>Australia</t>
  </si>
  <si>
    <t>ﾗｲﾄ･ｾﾘｱ</t>
  </si>
  <si>
    <t>Total</t>
  </si>
  <si>
    <t>合計</t>
  </si>
  <si>
    <t>インドネシア</t>
  </si>
  <si>
    <t>アラブ首長国連邦</t>
  </si>
  <si>
    <t>オーストラリア</t>
  </si>
  <si>
    <t>マレーシア</t>
  </si>
  <si>
    <t>（３）非精製用出荷内訳 / Shipment of Crude Oil for Non-Refining</t>
    <phoneticPr fontId="12"/>
  </si>
  <si>
    <t>１．石油備蓄量推移 / Changes in Oil Stock</t>
    <phoneticPr fontId="12"/>
  </si>
  <si>
    <t>United States of America</t>
  </si>
  <si>
    <t>United Arab Emirates</t>
  </si>
  <si>
    <t>Russia</t>
  </si>
  <si>
    <t>メキシコ</t>
  </si>
  <si>
    <t>Mexico</t>
  </si>
  <si>
    <t>コロンビア</t>
  </si>
  <si>
    <t>Colombia</t>
  </si>
  <si>
    <t>カザフスタン</t>
  </si>
  <si>
    <t>Kazakhstan</t>
  </si>
  <si>
    <t>アメリカ合衆国</t>
  </si>
  <si>
    <t>(単位：kl/Unit：kl)</t>
  </si>
  <si>
    <t>Feb.</t>
  </si>
  <si>
    <t>Mar.</t>
  </si>
  <si>
    <t>Apr.</t>
  </si>
  <si>
    <t>Oct.</t>
  </si>
  <si>
    <t>Nov.</t>
  </si>
  <si>
    <t>Dec.</t>
  </si>
  <si>
    <t>Year,_x000D_
Quarter_x000D_
&amp; Month</t>
  </si>
  <si>
    <t>東・中央アジア_x000D_
計</t>
  </si>
  <si>
    <t>南方計</t>
  </si>
  <si>
    <t>中東計</t>
  </si>
  <si>
    <t>East and Central Asia</t>
  </si>
  <si>
    <t>South East Asia</t>
  </si>
  <si>
    <t xml:space="preserve">Q2  </t>
  </si>
  <si>
    <t xml:space="preserve">Q3  </t>
  </si>
  <si>
    <t xml:space="preserve">Q4  </t>
  </si>
  <si>
    <t xml:space="preserve">May </t>
  </si>
  <si>
    <t>Jun.</t>
  </si>
  <si>
    <t>Jul.</t>
  </si>
  <si>
    <t>Aug.</t>
  </si>
  <si>
    <t>Sep.</t>
  </si>
  <si>
    <t>→</t>
  </si>
  <si>
    <t>中東（つづき）</t>
  </si>
  <si>
    <t>中立地帯</t>
  </si>
  <si>
    <t>欧州計</t>
  </si>
  <si>
    <t>英国</t>
  </si>
  <si>
    <t>北米計</t>
  </si>
  <si>
    <t>中南米計</t>
  </si>
  <si>
    <t>Neutral Zone</t>
  </si>
  <si>
    <t>Yemen</t>
  </si>
  <si>
    <t>Europe</t>
  </si>
  <si>
    <t>United Kingdom</t>
  </si>
  <si>
    <t>North America</t>
  </si>
  <si>
    <t>Central and_x000D_
South_x000D_
America</t>
  </si>
  <si>
    <t>アフリカ計</t>
  </si>
  <si>
    <t>アルジェリア</t>
  </si>
  <si>
    <t>リビア</t>
  </si>
  <si>
    <t>大洋州計</t>
  </si>
  <si>
    <t>Algeria</t>
  </si>
  <si>
    <t>Libya</t>
  </si>
  <si>
    <t>大洋州（つづき）</t>
  </si>
  <si>
    <t>パプア_x000D_
ニューギニア</t>
  </si>
  <si>
    <t>Papua_x000D_
New Guinea</t>
  </si>
  <si>
    <t>東･中央ｱｼﾞｱ計</t>
  </si>
  <si>
    <t>ﾍﾞﾄﾅﾑ計</t>
  </si>
  <si>
    <t>ﾊﾞｯｸ･ﾎ</t>
  </si>
  <si>
    <t>ﾀﾞｲﾌﾝ</t>
  </si>
  <si>
    <t>ﾙﾋﾞｰ</t>
  </si>
  <si>
    <t>ｽﾂﾃﾞﾝ</t>
  </si>
  <si>
    <t>ﾁﾑ･ｻｵ</t>
  </si>
  <si>
    <t>南方（つづき）</t>
  </si>
  <si>
    <t>ﾏﾚｰｼｱ計</t>
  </si>
  <si>
    <t>ﾀﾋﾟｽ･ﾌﾞﾚﾝﾄﾞ</t>
  </si>
  <si>
    <t>ﾀﾋﾟｽ･ﾄｯﾌﾟ</t>
  </si>
  <si>
    <t>ﾃﾞｭﾗﾝ</t>
  </si>
  <si>
    <t>ｱﾝｼｰ</t>
  </si>
  <si>
    <t>ﾍﾟﾅﾗ･ﾌﾞﾚﾝﾄﾞ</t>
  </si>
  <si>
    <t>ｾﾊﾟﾄ</t>
  </si>
  <si>
    <t>ﾌﾞﾙﾈｲ計</t>
  </si>
  <si>
    <t>ﾍﾞﾙﾀﾑ</t>
  </si>
  <si>
    <t>ｷﾄﾞｩﾛﾝ</t>
  </si>
  <si>
    <t>ﾁｬﾝﾋﾟｵﾝ</t>
  </si>
  <si>
    <t>ｲﾝﾄﾞﾈｼｱ（つづき）</t>
  </si>
  <si>
    <t>ｲﾗﾝ計</t>
  </si>
  <si>
    <t>ｲﾗｸ計</t>
  </si>
  <si>
    <t>ｲﾗﾆｱﾝ･ﾗｲﾄ</t>
  </si>
  <si>
    <t>ｿﾙｰｼｭ</t>
  </si>
  <si>
    <t>ﾊﾞｽﾗ･ﾍﾋﾞｰ</t>
  </si>
  <si>
    <t>ｸｳｪｰﾄ計</t>
  </si>
  <si>
    <t>ｸｳｪｰﾄ</t>
  </si>
  <si>
    <t>ｶﾀｰﾙ計</t>
  </si>
  <si>
    <t>ｵﾏｰﾝ計</t>
  </si>
  <si>
    <t>ｱﾗﾌﾞ首長国_x000D_
連邦計</t>
  </si>
  <si>
    <t>ｶﾀｰﾙ</t>
  </si>
  <si>
    <t>ｶﾀｰﾙ･ﾏﾘｰﾝ</t>
  </si>
  <si>
    <t>ｱﾙ･ﾗﾔﾝ</t>
  </si>
  <si>
    <t>ｵﾏｰﾝ</t>
  </si>
  <si>
    <t>United_x000D_
Arab Emirates</t>
  </si>
  <si>
    <t>ﾏｰﾊﾞﾝ</t>
  </si>
  <si>
    <t>ｳﾑｼｬｲﾌ</t>
  </si>
  <si>
    <t>英国_x000D_
United Kingdom</t>
  </si>
  <si>
    <t>ﾃﾞｭﾊﾞｲ</t>
  </si>
  <si>
    <t>ｱｯﾊﾟｰ･ｻﾞｸﾑ</t>
  </si>
  <si>
    <t>ﾀﾞｽ</t>
  </si>
  <si>
    <t>ﾌｫｰﾃｨｽﾞ</t>
  </si>
  <si>
    <t>ﾛｼｱ計</t>
  </si>
  <si>
    <t>ｱﾒﾘｶ合衆国計</t>
  </si>
  <si>
    <t>ﾒｷｼｺ計</t>
  </si>
  <si>
    <t>ｿｺｰﾙ</t>
  </si>
  <si>
    <t>ｴｽﾎﾟ･ﾌﾞﾚﾝﾄﾞ</t>
  </si>
  <si>
    <t>ｻﾊﾘﾝ･ﾌﾞﾚﾝﾄﾞ</t>
  </si>
  <si>
    <t>North_x000D_
America</t>
  </si>
  <si>
    <t>ｲｽﾑｽ</t>
  </si>
  <si>
    <t>ｴｸｱﾄﾞﾙ計</t>
  </si>
  <si>
    <t>ｱﾌﾘｶ計</t>
  </si>
  <si>
    <t>ｱﾙｼﾞｪﾘｱ_x000D_
Algeria</t>
  </si>
  <si>
    <t>ﾏﾔ</t>
  </si>
  <si>
    <t>ｶｽﾃｨﾗ･ﾌﾞﾚﾝﾄﾞ</t>
  </si>
  <si>
    <t>ｵﾘｴﾝﾃ</t>
  </si>
  <si>
    <t>ﾅﾎﾟ</t>
  </si>
  <si>
    <t>ｻﾊﾗ･ﾌﾞﾚﾝﾄﾞ</t>
  </si>
  <si>
    <t>ｱﾌﾘｶ（つづき）</t>
  </si>
  <si>
    <t>ｶﾞﾎﾞﾝ計</t>
  </si>
  <si>
    <t>ﾗﾋﾞ･ﾗｲﾄ</t>
  </si>
  <si>
    <t>ｱﾝｺﾞﾗ計</t>
  </si>
  <si>
    <t>ｵｰｽﾄﾗﾘｱ計</t>
  </si>
  <si>
    <t>ﾜﾝﾄﾞｩｰ</t>
  </si>
  <si>
    <t>ｽﾀｸﾞ</t>
  </si>
  <si>
    <t>ｴﾝﾌｨｰﾙﾄﾞ</t>
  </si>
  <si>
    <t>年・期・月</t>
  </si>
  <si>
    <t>④国・地域別月別輸出 / Monthly Export by Area and Country</t>
    <rPh sb="1" eb="2">
      <t>クニ</t>
    </rPh>
    <rPh sb="3" eb="5">
      <t>チイキ</t>
    </rPh>
    <rPh sb="5" eb="6">
      <t>ベツ</t>
    </rPh>
    <phoneticPr fontId="12"/>
  </si>
  <si>
    <t>②国・地域別月別輸入 / Monthly Import by Area and Country</t>
    <rPh sb="1" eb="2">
      <t>クニ</t>
    </rPh>
    <rPh sb="3" eb="5">
      <t>チイキ</t>
    </rPh>
    <rPh sb="5" eb="6">
      <t>ベツ</t>
    </rPh>
    <phoneticPr fontId="12"/>
  </si>
  <si>
    <t>ｲｰｸﾞﾙ･ﾌｫｰﾄﾞ</t>
  </si>
  <si>
    <t>ｳｪｽﾄ･ﾌﾞｯｶ</t>
  </si>
  <si>
    <t>ｹﾀﾊﾟﾝ</t>
  </si>
  <si>
    <t>（３）非精製用出荷内訳 / Shipment of Crude Oil for Non-Refining</t>
    <rPh sb="9" eb="11">
      <t>ウチワケ</t>
    </rPh>
    <phoneticPr fontId="12"/>
  </si>
  <si>
    <t>電力用計</t>
  </si>
  <si>
    <t>Electric Power</t>
  </si>
  <si>
    <t>電力用（つづき）</t>
  </si>
  <si>
    <t>石油化学用計</t>
  </si>
  <si>
    <t>Petro Chemical</t>
  </si>
  <si>
    <t>その他用計</t>
  </si>
  <si>
    <t>ｱﾗﾌﾞ首長国連邦_x000D_
United Arab Emirates</t>
  </si>
  <si>
    <t>Other Industries</t>
  </si>
  <si>
    <t>ｲﾝﾄﾞﾈｼｱ_x000D_
Indonesia</t>
  </si>
  <si>
    <t>Lubricant Manufacturers</t>
  </si>
  <si>
    <t>計</t>
    <rPh sb="0" eb="1">
      <t>ケイ</t>
    </rPh>
    <phoneticPr fontId="12"/>
  </si>
  <si>
    <t>計</t>
  </si>
  <si>
    <t>採油業者</t>
    <rPh sb="0" eb="2">
      <t>サイユ</t>
    </rPh>
    <rPh sb="2" eb="4">
      <t>ギョウシャ</t>
    </rPh>
    <phoneticPr fontId="12"/>
  </si>
  <si>
    <t>その他業者</t>
  </si>
  <si>
    <t>潤滑油業者</t>
  </si>
  <si>
    <t>精製業者</t>
  </si>
  <si>
    <t>合計</t>
    <rPh sb="0" eb="2">
      <t>ゴウケイ</t>
    </rPh>
    <phoneticPr fontId="12"/>
  </si>
  <si>
    <t>（単位：kl／Unit：kl）</t>
    <rPh sb="1" eb="3">
      <t>タンイ</t>
    </rPh>
    <phoneticPr fontId="10"/>
  </si>
  <si>
    <t>②原油在庫 / Inventory of Crude Oil</t>
    <rPh sb="1" eb="3">
      <t>ゲンユ</t>
    </rPh>
    <rPh sb="3" eb="5">
      <t>ザイコ</t>
    </rPh>
    <phoneticPr fontId="12"/>
  </si>
  <si>
    <t>Refiners</t>
  </si>
  <si>
    <t xml:space="preserve">①原油処理 / Crude Oil Processing </t>
    <rPh sb="1" eb="3">
      <t>ゲンユ</t>
    </rPh>
    <rPh sb="3" eb="5">
      <t>ショリ</t>
    </rPh>
    <phoneticPr fontId="12"/>
  </si>
  <si>
    <t xml:space="preserve">（４）原油処理及び原油在庫 / Crude Oil Processing and Inventory </t>
    <rPh sb="3" eb="5">
      <t>ゲンユ</t>
    </rPh>
    <rPh sb="5" eb="7">
      <t>ショリ</t>
    </rPh>
    <rPh sb="7" eb="8">
      <t>オヨ</t>
    </rPh>
    <rPh sb="9" eb="11">
      <t>ゲンユ</t>
    </rPh>
    <rPh sb="11" eb="13">
      <t>ザイコ</t>
    </rPh>
    <phoneticPr fontId="12"/>
  </si>
  <si>
    <t>注 1： 国内向販売＝(年初在庫＋受入) - (年末在庫＋国内向販売以外の各払出項目)</t>
    <rPh sb="7" eb="8">
      <t>ム</t>
    </rPh>
    <rPh sb="31" eb="32">
      <t>ム</t>
    </rPh>
    <phoneticPr fontId="10"/>
  </si>
  <si>
    <t>Manufacturers and Importers</t>
  </si>
  <si>
    <t>年末在庫計</t>
  </si>
  <si>
    <t>Other Shipments</t>
  </si>
  <si>
    <t>Own Consumption</t>
  </si>
  <si>
    <t>Exports</t>
  </si>
  <si>
    <t>Domestic Sales</t>
  </si>
  <si>
    <t>国内向販売</t>
    <rPh sb="2" eb="3">
      <t>ム</t>
    </rPh>
    <rPh sb="3" eb="5">
      <t>ハンバイ</t>
    </rPh>
    <phoneticPr fontId="49"/>
  </si>
  <si>
    <t>払出合計</t>
  </si>
  <si>
    <t>Other Receipts</t>
  </si>
  <si>
    <t>Imports</t>
  </si>
  <si>
    <t>Production Division</t>
  </si>
  <si>
    <t>受入合計</t>
  </si>
  <si>
    <t xml:space="preserve"> </t>
  </si>
  <si>
    <t>Inventory at Start of Year</t>
  </si>
  <si>
    <t>年初在庫計</t>
  </si>
  <si>
    <t>Paraffin Wax</t>
  </si>
  <si>
    <t>Grease</t>
  </si>
  <si>
    <t>Asphalt</t>
  </si>
  <si>
    <t>Kerosene</t>
  </si>
  <si>
    <t>Gasoline</t>
  </si>
  <si>
    <t>Ｂ・Ｃ重油</t>
    <rPh sb="3" eb="5">
      <t>ジュウユ</t>
    </rPh>
    <phoneticPr fontId="10"/>
  </si>
  <si>
    <t>Ａ重油</t>
    <rPh sb="1" eb="3">
      <t>ジュウユ</t>
    </rPh>
    <phoneticPr fontId="10"/>
  </si>
  <si>
    <t>　</t>
  </si>
  <si>
    <t>燃料油</t>
  </si>
  <si>
    <t>Category</t>
  </si>
  <si>
    <t>燃料油計</t>
    <rPh sb="3" eb="4">
      <t>ケイ</t>
    </rPh>
    <phoneticPr fontId="10"/>
  </si>
  <si>
    <t>２．石油製品 / Petroleum Products</t>
    <rPh sb="4" eb="6">
      <t>セイヒン</t>
    </rPh>
    <phoneticPr fontId="10"/>
  </si>
  <si>
    <t>Lubricating Oil</t>
  </si>
  <si>
    <t>Inventory at End of Year</t>
  </si>
  <si>
    <t>製造業者・輸入業者への販売・融通　</t>
    <rPh sb="7" eb="9">
      <t>ギョウシャ</t>
    </rPh>
    <phoneticPr fontId="20"/>
  </si>
  <si>
    <t>消費者･販売業者向販売</t>
    <rPh sb="0" eb="3">
      <t>ショウヒシャ</t>
    </rPh>
    <rPh sb="4" eb="6">
      <t>ハンバイ</t>
    </rPh>
    <rPh sb="6" eb="8">
      <t>ギョウシャ</t>
    </rPh>
    <rPh sb="8" eb="9">
      <t>ム</t>
    </rPh>
    <rPh sb="9" eb="11">
      <t>ハンバイ</t>
    </rPh>
    <phoneticPr fontId="20"/>
  </si>
  <si>
    <t>Return from Petrochemical Industry</t>
  </si>
  <si>
    <t>製造業者・輸入業者よりの購入・融通　</t>
    <rPh sb="7" eb="9">
      <t>ギョウシャ</t>
    </rPh>
    <rPh sb="12" eb="14">
      <t>コウニュウ</t>
    </rPh>
    <phoneticPr fontId="20"/>
  </si>
  <si>
    <t/>
  </si>
  <si>
    <t>平成</t>
  </si>
  <si>
    <t>オースト_x000D_
ラリア_x000D_
Australia</t>
  </si>
  <si>
    <t>ナイジェ_x000D_
リア_x000D_
Nigeria</t>
  </si>
  <si>
    <t>エジプト_x000D_
Egypt</t>
  </si>
  <si>
    <t>アルジェ_x000D_
リア_x000D_
Algeria</t>
  </si>
  <si>
    <t>ブラジル_x000D_
Brazil</t>
  </si>
  <si>
    <t>大洋州</t>
  </si>
  <si>
    <t>アフリカ</t>
  </si>
  <si>
    <t>ペルー_x000D_
Peru</t>
  </si>
  <si>
    <t>アメリカ_x000D_
合衆国_x000D_
United States of America</t>
  </si>
  <si>
    <t>ロシア_x000D_
Russia</t>
  </si>
  <si>
    <t>スペイン_x000D_
Spain</t>
  </si>
  <si>
    <t>フランス_x000D_
France</t>
  </si>
  <si>
    <t>ベルギー_x000D_
Belgium</t>
  </si>
  <si>
    <t>ノルウェー_x000D_
Norway</t>
  </si>
  <si>
    <t>オマーン_x000D_
Oman</t>
  </si>
  <si>
    <t>カタール_x000D_
Qatar</t>
  </si>
  <si>
    <t>インド_x000D_
ネシア_x000D_
Indonesia</t>
  </si>
  <si>
    <t>ブルネイ_x000D_
Brunei</t>
  </si>
  <si>
    <t>マレーシア_x000D_
Malaysia</t>
  </si>
  <si>
    <t>シンガ_x000D_
ポール_x000D_
Singapore</t>
  </si>
  <si>
    <t>大韓民国_x000D_
Republic of Korea</t>
  </si>
  <si>
    <t>南アメリカ</t>
  </si>
  <si>
    <t>北アメリカ</t>
  </si>
  <si>
    <t>ヨーロッパ</t>
  </si>
  <si>
    <t>アジア（つづき）</t>
  </si>
  <si>
    <t>アルゼン_x000D_
チン_x000D_
Argentina</t>
  </si>
  <si>
    <t>クウェート_x000D_
Kuwait</t>
  </si>
  <si>
    <t>サウジ_x000D_
アラビア_x000D_
Saudi Arabia</t>
  </si>
  <si>
    <t>バーレーン_x000D_
Bahrain</t>
  </si>
  <si>
    <t>アジア</t>
  </si>
  <si>
    <t>パナマ_x000D_
Panama</t>
  </si>
  <si>
    <t>B.B Total</t>
  </si>
  <si>
    <t>ブタン合計</t>
  </si>
  <si>
    <t>プロパン_x000D_
合計</t>
  </si>
  <si>
    <t>液化石油ガス（つづき）</t>
  </si>
  <si>
    <t>台湾_x000D_
Taiwan</t>
  </si>
  <si>
    <t>Liquefied Petroleum Gas Total</t>
  </si>
  <si>
    <t>カナダ_x000D_
Canada</t>
  </si>
  <si>
    <t>トルコ_x000D_
Turkey</t>
  </si>
  <si>
    <t>ドイツ_x000D_
Germany</t>
  </si>
  <si>
    <t>タイ_x000D_
Thailand</t>
  </si>
  <si>
    <t>香港_x000D_
Hong Kong</t>
  </si>
  <si>
    <t>Grease Total</t>
  </si>
  <si>
    <t>グリース_x000D_
合計</t>
  </si>
  <si>
    <t>イタリア_x000D_
Italy</t>
  </si>
  <si>
    <t>インド_x000D_
India</t>
  </si>
  <si>
    <t>Asphalt Total</t>
  </si>
  <si>
    <t>アスファルト_x000D_
合計</t>
  </si>
  <si>
    <t>潤滑油（つづき）</t>
  </si>
  <si>
    <t>スウェー_x000D_
デン_x000D_
Sweden</t>
  </si>
  <si>
    <t>Lubricating Oil Total</t>
  </si>
  <si>
    <t>潤滑油_x000D_
合計</t>
  </si>
  <si>
    <t>Fuel Oil A Total</t>
  </si>
  <si>
    <t>Gas Oil Total</t>
  </si>
  <si>
    <t>Ａ重油合計</t>
  </si>
  <si>
    <t>軽油合計</t>
  </si>
  <si>
    <t>Kerosene Total</t>
  </si>
  <si>
    <t>Jet Fuel Total</t>
  </si>
  <si>
    <t>アフリカ（つづき）</t>
  </si>
  <si>
    <t>灯油合計</t>
  </si>
  <si>
    <t>ナフサ（つづき）</t>
  </si>
  <si>
    <t>メキシコ_x000D_
Mexico</t>
  </si>
  <si>
    <t>ウクライナ_x000D_
Ukraine</t>
  </si>
  <si>
    <t>ギリシャ_x000D_
Greece</t>
  </si>
  <si>
    <t>デンマーク_x000D_
Denmark</t>
  </si>
  <si>
    <t>バングラ_x000D_
デシュ_x000D_
Bangladesh</t>
  </si>
  <si>
    <t>スリランカ_x000D_
Sri Lanka</t>
  </si>
  <si>
    <t>パキスタン_x000D_
Pakistan</t>
  </si>
  <si>
    <t>フィリピン_x000D_
Philippines</t>
  </si>
  <si>
    <t>ポーランド_x000D_
Poland</t>
  </si>
  <si>
    <t>Naphtha Total</t>
  </si>
  <si>
    <t>Gasoline Total</t>
  </si>
  <si>
    <t>ナフサ合計</t>
  </si>
  <si>
    <t>ガソリン_x000D_
合計</t>
  </si>
  <si>
    <t>燃料油（つづき）</t>
  </si>
  <si>
    <t>燃料油_x000D_
合計</t>
  </si>
  <si>
    <t xml:space="preserve">   ②国・地域別月別輸入 / Monthly Import by Area and Country</t>
    <rPh sb="9" eb="11">
      <t>ツキベツ</t>
    </rPh>
    <rPh sb="11" eb="13">
      <t>ユニュウ</t>
    </rPh>
    <phoneticPr fontId="12"/>
  </si>
  <si>
    <t>年・期・月</t>
    <rPh sb="0" eb="1">
      <t>ネン</t>
    </rPh>
    <rPh sb="2" eb="3">
      <t>キ</t>
    </rPh>
    <rPh sb="4" eb="5">
      <t>ツキ</t>
    </rPh>
    <phoneticPr fontId="10"/>
  </si>
  <si>
    <t>ボンド_x000D_
Bonded Oil</t>
  </si>
  <si>
    <t>The U.S.Armed Forces &amp; Bonded Oil</t>
  </si>
  <si>
    <t>フィジー_x000D_
Fiji</t>
  </si>
  <si>
    <t>ケニア_x000D_
Kenya</t>
  </si>
  <si>
    <t>チリ_x000D_
Chile</t>
  </si>
  <si>
    <t>エクアドル_x000D_
Ecuador</t>
  </si>
  <si>
    <t>コロンビア_x000D_
Colombia</t>
  </si>
  <si>
    <t>ドミニカ_x000D_
Dominica</t>
  </si>
  <si>
    <t>パラフィン（つづき）</t>
  </si>
  <si>
    <t>グアテマラ_x000D_
Guatemala</t>
  </si>
  <si>
    <t>ハンガリー_x000D_
Hungary</t>
  </si>
  <si>
    <t>ベトナム_x000D_
Viet Nam</t>
  </si>
  <si>
    <t>グリース（つづき）</t>
  </si>
  <si>
    <t>モルドバ_x000D_
Moldova</t>
  </si>
  <si>
    <t>フィンランド_x000D_
Finland</t>
  </si>
  <si>
    <t>ジョージア_x000D_
Georgia</t>
  </si>
  <si>
    <t>レバノン_x000D_
Lebanon</t>
  </si>
  <si>
    <t>イスラエル_x000D_
Israel</t>
  </si>
  <si>
    <t>ミャンマー_x000D_
Myanmar</t>
  </si>
  <si>
    <t>モンゴル_x000D_
Mongolia</t>
  </si>
  <si>
    <t>米軍_x000D_
The U.S.Armed Forces</t>
  </si>
  <si>
    <t>パラオ_x000D_
Palau</t>
  </si>
  <si>
    <t>グアム（米）_x000D_
Guam (USA)</t>
  </si>
  <si>
    <t>ニューカレドニア（仏）_x000D_
New Caledonia (France)</t>
  </si>
  <si>
    <t>軽油（つづき）</t>
  </si>
  <si>
    <t>ジェット燃料油（つづき）</t>
  </si>
  <si>
    <t>ガソリン（つづき）</t>
  </si>
  <si>
    <t xml:space="preserve">注 1： M &amp; I =製造・輸入業者 </t>
    <rPh sb="12" eb="14">
      <t>セイゾウ</t>
    </rPh>
    <rPh sb="15" eb="17">
      <t>ユニュウ</t>
    </rPh>
    <rPh sb="17" eb="19">
      <t>ギョウシャ</t>
    </rPh>
    <phoneticPr fontId="47"/>
  </si>
  <si>
    <t>M &amp; I</t>
  </si>
  <si>
    <t>製造・輸入業者</t>
  </si>
  <si>
    <t>製油所</t>
  </si>
  <si>
    <t>1月</t>
  </si>
  <si>
    <t>（５）石油製品月別業態別在庫 / Monthly Inventory of Petroleum Products by Type of Business</t>
    <rPh sb="11" eb="12">
      <t>ベツ</t>
    </rPh>
    <phoneticPr fontId="10"/>
  </si>
  <si>
    <t xml:space="preserve">    表番→年報P114-115（業態別在庫）　(様式改善案 ： 石油製品　+　液化石油ガス)</t>
    <rPh sb="18" eb="20">
      <t>ギョウタイ</t>
    </rPh>
    <rPh sb="20" eb="21">
      <t>ベツ</t>
    </rPh>
    <rPh sb="21" eb="23">
      <t>ザイコ</t>
    </rPh>
    <rPh sb="26" eb="28">
      <t>ヨウシキ</t>
    </rPh>
    <rPh sb="28" eb="30">
      <t>カイゼン</t>
    </rPh>
    <rPh sb="30" eb="31">
      <t>アン</t>
    </rPh>
    <rPh sb="34" eb="36">
      <t>セキユ</t>
    </rPh>
    <rPh sb="36" eb="38">
      <t>セイヒン</t>
    </rPh>
    <phoneticPr fontId="10"/>
  </si>
  <si>
    <t>その他特定用途向け</t>
  </si>
  <si>
    <t>油</t>
    <rPh sb="0" eb="1">
      <t>ユ</t>
    </rPh>
    <phoneticPr fontId="74"/>
  </si>
  <si>
    <t>ディーゼルエンジン油</t>
  </si>
  <si>
    <t>滑</t>
    <rPh sb="0" eb="1">
      <t>ヌメ</t>
    </rPh>
    <phoneticPr fontId="74"/>
  </si>
  <si>
    <t>潤</t>
    <rPh sb="0" eb="1">
      <t>ジュン</t>
    </rPh>
    <phoneticPr fontId="74"/>
  </si>
  <si>
    <t>消費者　　　・販売　　業者向　　販売</t>
    <rPh sb="0" eb="3">
      <t>ショウヒシャ</t>
    </rPh>
    <rPh sb="7" eb="9">
      <t>ハンバイ</t>
    </rPh>
    <rPh sb="11" eb="13">
      <t>ギョウシャ</t>
    </rPh>
    <rPh sb="13" eb="14">
      <t>ム</t>
    </rPh>
    <rPh sb="16" eb="18">
      <t>ハンバイ</t>
    </rPh>
    <phoneticPr fontId="74"/>
  </si>
  <si>
    <t>そ　の　他　</t>
    <rPh sb="4" eb="5">
      <t>タ</t>
    </rPh>
    <phoneticPr fontId="74"/>
  </si>
  <si>
    <t>石油化学用</t>
  </si>
  <si>
    <t>自動車用並級</t>
  </si>
  <si>
    <t>自動車用高級</t>
  </si>
  <si>
    <r>
      <t>（７）製造業者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輸入業者品種別、月別消費者</t>
    </r>
    <r>
      <rPr>
        <sz val="8"/>
        <rFont val="ＭＳ Ｐゴシック"/>
        <family val="3"/>
        <charset val="128"/>
      </rPr>
      <t>・</t>
    </r>
    <r>
      <rPr>
        <sz val="10"/>
        <rFont val="ＭＳ Ｐゴシック"/>
        <family val="3"/>
        <charset val="128"/>
      </rPr>
      <t>販売業者向販売及び在庫内訳 /</t>
    </r>
    <rPh sb="22" eb="23">
      <t>ハン</t>
    </rPh>
    <rPh sb="23" eb="24">
      <t>バイ</t>
    </rPh>
    <rPh sb="24" eb="25">
      <t>ギョウ</t>
    </rPh>
    <rPh sb="25" eb="26">
      <t>モノ</t>
    </rPh>
    <rPh sb="26" eb="27">
      <t>ムカイ</t>
    </rPh>
    <phoneticPr fontId="74"/>
  </si>
  <si>
    <t>注：出典は資源エネルギー庁「石油輸入調査」。</t>
    <rPh sb="0" eb="1">
      <t>チュウ</t>
    </rPh>
    <rPh sb="2" eb="4">
      <t>シュッテン</t>
    </rPh>
    <rPh sb="5" eb="7">
      <t>シゲン</t>
    </rPh>
    <rPh sb="12" eb="13">
      <t>チョウ</t>
    </rPh>
    <rPh sb="14" eb="16">
      <t>セキユ</t>
    </rPh>
    <rPh sb="16" eb="18">
      <t>ユニュウ</t>
    </rPh>
    <rPh sb="18" eb="20">
      <t>チョウサ</t>
    </rPh>
    <phoneticPr fontId="12"/>
  </si>
  <si>
    <t xml:space="preserve">         3</t>
  </si>
  <si>
    <t xml:space="preserve">         2</t>
  </si>
  <si>
    <t xml:space="preserve">        12</t>
  </si>
  <si>
    <t xml:space="preserve">        11</t>
  </si>
  <si>
    <t xml:space="preserve">        10</t>
  </si>
  <si>
    <t xml:space="preserve">         9</t>
  </si>
  <si>
    <t xml:space="preserve">         8</t>
  </si>
  <si>
    <t xml:space="preserve">         7</t>
  </si>
  <si>
    <t xml:space="preserve">         6</t>
  </si>
  <si>
    <t xml:space="preserve">         4</t>
  </si>
  <si>
    <t xml:space="preserve">        10～12</t>
  </si>
  <si>
    <t xml:space="preserve">         4～ 6</t>
  </si>
  <si>
    <t>Oil Producer Country's Government</t>
  </si>
  <si>
    <t>American Independence</t>
  </si>
  <si>
    <t>Majors</t>
  </si>
  <si>
    <t>メジャーズ</t>
  </si>
  <si>
    <t>（単位：kl／Unit：kl）</t>
    <rPh sb="1" eb="3">
      <t>タンイ</t>
    </rPh>
    <phoneticPr fontId="12"/>
  </si>
  <si>
    <t>スポット契約</t>
    <rPh sb="4" eb="6">
      <t>ケイヤク</t>
    </rPh>
    <phoneticPr fontId="12"/>
  </si>
  <si>
    <t>長期契約</t>
    <rPh sb="0" eb="2">
      <t>チョウキ</t>
    </rPh>
    <rPh sb="2" eb="4">
      <t>ケイヤク</t>
    </rPh>
    <phoneticPr fontId="12"/>
  </si>
  <si>
    <t xml:space="preserve">スポット比率   </t>
  </si>
  <si>
    <t xml:space="preserve">合計             </t>
  </si>
  <si>
    <t>平均　　API度</t>
    <rPh sb="7" eb="8">
      <t>ド</t>
    </rPh>
    <phoneticPr fontId="12"/>
  </si>
  <si>
    <r>
      <t>CIF総額（千ドル）                                        Value（CIF）(10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＄）</t>
    </r>
    <rPh sb="3" eb="5">
      <t>ソウガク</t>
    </rPh>
    <rPh sb="6" eb="7">
      <t>セン</t>
    </rPh>
    <phoneticPr fontId="12"/>
  </si>
  <si>
    <t>年・期・月</t>
    <rPh sb="0" eb="1">
      <t>ネン</t>
    </rPh>
    <rPh sb="2" eb="3">
      <t>キ</t>
    </rPh>
    <rPh sb="4" eb="5">
      <t>ツキ</t>
    </rPh>
    <phoneticPr fontId="12"/>
  </si>
  <si>
    <t>注2：2社以下の集計金額に係る箇所は、秘匿措置（X）を講じている。</t>
    <rPh sb="0" eb="1">
      <t>チュウ</t>
    </rPh>
    <rPh sb="4" eb="7">
      <t>シャイカ</t>
    </rPh>
    <rPh sb="8" eb="10">
      <t>シュウケイ</t>
    </rPh>
    <rPh sb="10" eb="12">
      <t>キンガク</t>
    </rPh>
    <rPh sb="13" eb="14">
      <t>カカ</t>
    </rPh>
    <rPh sb="15" eb="17">
      <t>カショ</t>
    </rPh>
    <rPh sb="19" eb="21">
      <t>ヒトク</t>
    </rPh>
    <rPh sb="21" eb="23">
      <t>ソチ</t>
    </rPh>
    <rPh sb="27" eb="28">
      <t>コウ</t>
    </rPh>
    <phoneticPr fontId="12"/>
  </si>
  <si>
    <t>注1：出典は資源エネルギー庁「石油輸入調査」。</t>
    <rPh sb="0" eb="1">
      <t>チュウ</t>
    </rPh>
    <rPh sb="3" eb="5">
      <t>シュッテン</t>
    </rPh>
    <rPh sb="6" eb="8">
      <t>シゲン</t>
    </rPh>
    <rPh sb="13" eb="14">
      <t>チョウ</t>
    </rPh>
    <rPh sb="15" eb="17">
      <t>セキユ</t>
    </rPh>
    <rPh sb="17" eb="19">
      <t>ユニュウ</t>
    </rPh>
    <rPh sb="19" eb="21">
      <t>チョウサ</t>
    </rPh>
    <phoneticPr fontId="12"/>
  </si>
  <si>
    <t>Others</t>
  </si>
  <si>
    <t>その他</t>
  </si>
  <si>
    <t>X</t>
  </si>
  <si>
    <t>合　　　　計</t>
    <rPh sb="0" eb="1">
      <t>ゴウ</t>
    </rPh>
    <rPh sb="5" eb="6">
      <t>ケイ</t>
    </rPh>
    <phoneticPr fontId="12"/>
  </si>
  <si>
    <t>国名</t>
    <rPh sb="0" eb="1">
      <t>クニ</t>
    </rPh>
    <rPh sb="1" eb="2">
      <t>ナ</t>
    </rPh>
    <phoneticPr fontId="12"/>
  </si>
  <si>
    <t>区分</t>
    <rPh sb="0" eb="2">
      <t>クブン</t>
    </rPh>
    <phoneticPr fontId="12"/>
  </si>
  <si>
    <t>国名</t>
    <rPh sb="0" eb="1">
      <t>クニ</t>
    </rPh>
    <rPh sb="1" eb="2">
      <t>メイ</t>
    </rPh>
    <phoneticPr fontId="12"/>
  </si>
  <si>
    <t>保険料総額</t>
    <rPh sb="0" eb="3">
      <t>ホケンリョウ</t>
    </rPh>
    <rPh sb="3" eb="5">
      <t>ソウガク</t>
    </rPh>
    <phoneticPr fontId="12"/>
  </si>
  <si>
    <t>運賃総額</t>
    <rPh sb="0" eb="2">
      <t>ウンチン</t>
    </rPh>
    <rPh sb="2" eb="4">
      <t>ソウガク</t>
    </rPh>
    <phoneticPr fontId="12"/>
  </si>
  <si>
    <t>船積数量</t>
    <rPh sb="0" eb="1">
      <t>フネ</t>
    </rPh>
    <rPh sb="1" eb="2">
      <t>ツミ</t>
    </rPh>
    <rPh sb="2" eb="4">
      <t>スウリョウ</t>
    </rPh>
    <phoneticPr fontId="12"/>
  </si>
  <si>
    <t>注2：2社以下の集計数量に係る箇所は、秘匿措置（X）を講じている。</t>
    <rPh sb="0" eb="1">
      <t>チュウ</t>
    </rPh>
    <rPh sb="4" eb="7">
      <t>シャイカ</t>
    </rPh>
    <rPh sb="8" eb="10">
      <t>シュウケイ</t>
    </rPh>
    <rPh sb="10" eb="12">
      <t>スウリョウ</t>
    </rPh>
    <rPh sb="13" eb="14">
      <t>カカ</t>
    </rPh>
    <rPh sb="15" eb="17">
      <t>カショ</t>
    </rPh>
    <rPh sb="19" eb="21">
      <t>ヒトク</t>
    </rPh>
    <rPh sb="21" eb="23">
      <t>ソチ</t>
    </rPh>
    <rPh sb="27" eb="28">
      <t>コウ</t>
    </rPh>
    <phoneticPr fontId="12"/>
  </si>
  <si>
    <t>合　　　　計</t>
  </si>
  <si>
    <t>注5：C重油は低硫黄C重油の輸入価格。</t>
    <rPh sb="0" eb="1">
      <t>チュウ</t>
    </rPh>
    <rPh sb="4" eb="6">
      <t>ジュウユ</t>
    </rPh>
    <rPh sb="7" eb="10">
      <t>テイイオウ</t>
    </rPh>
    <rPh sb="11" eb="13">
      <t>ジュウユ</t>
    </rPh>
    <rPh sb="14" eb="16">
      <t>ユニュウ</t>
    </rPh>
    <rPh sb="16" eb="18">
      <t>カカク</t>
    </rPh>
    <phoneticPr fontId="12"/>
  </si>
  <si>
    <t>注4：A重油は農林漁業用の輸入価格。</t>
    <rPh sb="0" eb="1">
      <t>チュウ</t>
    </rPh>
    <rPh sb="4" eb="6">
      <t>ジュウユ</t>
    </rPh>
    <rPh sb="7" eb="9">
      <t>ノウリン</t>
    </rPh>
    <rPh sb="9" eb="12">
      <t>ギョギョウヨウ</t>
    </rPh>
    <rPh sb="13" eb="15">
      <t>ユニュウ</t>
    </rPh>
    <rPh sb="15" eb="17">
      <t>カカク</t>
    </rPh>
    <phoneticPr fontId="12"/>
  </si>
  <si>
    <t>注3：ナフサは石化用ナフサの輸入価格。</t>
    <rPh sb="0" eb="1">
      <t>チュウ</t>
    </rPh>
    <rPh sb="7" eb="9">
      <t>セッカ</t>
    </rPh>
    <rPh sb="9" eb="10">
      <t>ヨウ</t>
    </rPh>
    <rPh sb="14" eb="16">
      <t>ユニュウ</t>
    </rPh>
    <rPh sb="16" eb="18">
      <t>カカク</t>
    </rPh>
    <phoneticPr fontId="12"/>
  </si>
  <si>
    <t>注1：出典は財務省貿易統計。</t>
    <rPh sb="0" eb="1">
      <t>チュウ</t>
    </rPh>
    <rPh sb="3" eb="5">
      <t>シュッテン</t>
    </rPh>
    <rPh sb="6" eb="9">
      <t>ザイムショウ</t>
    </rPh>
    <rPh sb="9" eb="11">
      <t>ボウエキ</t>
    </rPh>
    <rPh sb="11" eb="13">
      <t>トウケイ</t>
    </rPh>
    <phoneticPr fontId="12"/>
  </si>
  <si>
    <t>液化天然ガス   　　　　　　　　　　　　　　LNG</t>
    <rPh sb="0" eb="2">
      <t>エキカ</t>
    </rPh>
    <rPh sb="2" eb="4">
      <t>テンネン</t>
    </rPh>
    <phoneticPr fontId="12"/>
  </si>
  <si>
    <t>液化石油ガス   　　　　　　　　　　　　　　LPG</t>
    <rPh sb="0" eb="2">
      <t>エキカ</t>
    </rPh>
    <rPh sb="2" eb="4">
      <t>セキユ</t>
    </rPh>
    <phoneticPr fontId="12"/>
  </si>
  <si>
    <t>Ｃ重油   　　　　　　　　　　 Fuel Oil C</t>
    <rPh sb="1" eb="3">
      <t>ジュウユ</t>
    </rPh>
    <phoneticPr fontId="12"/>
  </si>
  <si>
    <t>Ａ重油　　　　　　　　　　　 Fuel Oil A</t>
    <rPh sb="1" eb="3">
      <t>ジュウユ</t>
    </rPh>
    <phoneticPr fontId="12"/>
  </si>
  <si>
    <t>原油     　　　　　　　　　　　　　　　　　　　　　　　　　　　　　　　　　　Crude Oil</t>
    <rPh sb="0" eb="2">
      <t>ゲンユ</t>
    </rPh>
    <phoneticPr fontId="12"/>
  </si>
  <si>
    <t>年  月</t>
    <rPh sb="0" eb="1">
      <t>ネン</t>
    </rPh>
    <rPh sb="3" eb="4">
      <t>ツキ</t>
    </rPh>
    <phoneticPr fontId="12"/>
  </si>
  <si>
    <t>２．石油輸入価格推移 / Customs Clearance Prices of Crude Oil and Petroleum Products(CIF)</t>
    <rPh sb="2" eb="3">
      <t>イシ</t>
    </rPh>
    <rPh sb="3" eb="4">
      <t>ユ</t>
    </rPh>
    <rPh sb="4" eb="5">
      <t>ユ</t>
    </rPh>
    <rPh sb="5" eb="6">
      <t>イリ</t>
    </rPh>
    <rPh sb="6" eb="7">
      <t>アタイ</t>
    </rPh>
    <rPh sb="7" eb="8">
      <t>カク</t>
    </rPh>
    <rPh sb="8" eb="10">
      <t>スイイ</t>
    </rPh>
    <phoneticPr fontId="12"/>
  </si>
  <si>
    <t>注2：資源エネルギー庁調べ。</t>
    <rPh sb="0" eb="1">
      <t>チュウ</t>
    </rPh>
    <rPh sb="3" eb="5">
      <t>シゲン</t>
    </rPh>
    <rPh sb="5" eb="11">
      <t>エネルギーチョウ</t>
    </rPh>
    <rPh sb="11" eb="12">
      <t>シラ</t>
    </rPh>
    <phoneticPr fontId="12"/>
  </si>
  <si>
    <t>注1：原油の製品換算は原油量に0.95を乗じたものである。</t>
    <rPh sb="0" eb="1">
      <t>チュウ</t>
    </rPh>
    <rPh sb="3" eb="5">
      <t>ゲンユ</t>
    </rPh>
    <rPh sb="6" eb="8">
      <t>セイヒン</t>
    </rPh>
    <rPh sb="8" eb="10">
      <t>カンサン</t>
    </rPh>
    <rPh sb="11" eb="13">
      <t>ゲンユ</t>
    </rPh>
    <rPh sb="13" eb="14">
      <t>リョウ</t>
    </rPh>
    <rPh sb="20" eb="21">
      <t>ジョウ</t>
    </rPh>
    <phoneticPr fontId="12"/>
  </si>
  <si>
    <t>製品
 Products</t>
    <rPh sb="0" eb="2">
      <t>セイヒン</t>
    </rPh>
    <phoneticPr fontId="12"/>
  </si>
  <si>
    <t>原油
Crude  Oil</t>
    <rPh sb="0" eb="2">
      <t>ゲンユ</t>
    </rPh>
    <phoneticPr fontId="12"/>
  </si>
  <si>
    <t>計   Total</t>
    <rPh sb="0" eb="1">
      <t>ケイ</t>
    </rPh>
    <phoneticPr fontId="12"/>
  </si>
  <si>
    <t>合計   Total</t>
    <rPh sb="0" eb="2">
      <t>ゴウケイ</t>
    </rPh>
    <phoneticPr fontId="12"/>
  </si>
  <si>
    <t>産油国共同備蓄     Joint oil storage projects</t>
    <rPh sb="0" eb="3">
      <t>サンユコク</t>
    </rPh>
    <rPh sb="3" eb="5">
      <t>キョウドウ</t>
    </rPh>
    <rPh sb="5" eb="7">
      <t>ビチク</t>
    </rPh>
    <phoneticPr fontId="12"/>
  </si>
  <si>
    <t>国家備蓄          Government</t>
    <rPh sb="0" eb="2">
      <t>コッカ</t>
    </rPh>
    <rPh sb="2" eb="4">
      <t>ビチク</t>
    </rPh>
    <phoneticPr fontId="12"/>
  </si>
  <si>
    <t>民間備蓄   Private</t>
    <rPh sb="0" eb="2">
      <t>ミンカン</t>
    </rPh>
    <rPh sb="2" eb="4">
      <t>ビチク</t>
    </rPh>
    <phoneticPr fontId="12"/>
  </si>
  <si>
    <t>(単位：万kl/Unit:10 thousand kl)</t>
    <rPh sb="1" eb="3">
      <t>タンイ</t>
    </rPh>
    <rPh sb="4" eb="5">
      <t>マン</t>
    </rPh>
    <phoneticPr fontId="12"/>
  </si>
  <si>
    <t>１．石油備蓄量推移 / Changes in Oil Stock</t>
    <rPh sb="2" eb="3">
      <t>イシ</t>
    </rPh>
    <rPh sb="3" eb="4">
      <t>ユ</t>
    </rPh>
    <rPh sb="4" eb="6">
      <t>ビチク</t>
    </rPh>
    <rPh sb="6" eb="7">
      <t>リョウ</t>
    </rPh>
    <rPh sb="7" eb="8">
      <t>スイ</t>
    </rPh>
    <rPh sb="8" eb="9">
      <t>ウツリ</t>
    </rPh>
    <phoneticPr fontId="12"/>
  </si>
  <si>
    <t>料</t>
    <rPh sb="0" eb="1">
      <t>リョウ</t>
    </rPh>
    <phoneticPr fontId="12"/>
  </si>
  <si>
    <t>資</t>
    <rPh sb="0" eb="1">
      <t>シ</t>
    </rPh>
    <phoneticPr fontId="12"/>
  </si>
  <si>
    <t>考</t>
    <rPh sb="0" eb="1">
      <t>コウ</t>
    </rPh>
    <phoneticPr fontId="12"/>
  </si>
  <si>
    <t>参</t>
    <rPh sb="0" eb="1">
      <t>サン</t>
    </rPh>
    <phoneticPr fontId="12"/>
  </si>
  <si>
    <t>バーレーン</t>
  </si>
  <si>
    <t>Bahrain</t>
  </si>
  <si>
    <t>モザンビーク</t>
  </si>
  <si>
    <t>Mozambique</t>
  </si>
  <si>
    <t>ﾊﾞｰﾚｰﾝ_x000D_
Bahrain</t>
  </si>
  <si>
    <t>ﾑﾊﾞﾗｽ･ｸﾙｰﾄﾞ</t>
  </si>
  <si>
    <t>WTIﾐｯﾄﾞﾗﾝﾄﾞ</t>
  </si>
  <si>
    <t>ﾏｰｽﾞ</t>
  </si>
  <si>
    <t>ﾊﾞｯｹﾝ</t>
  </si>
  <si>
    <t>ﾓｻﾞﾝﾋﾞｰｸ_x000D_
Mozambique</t>
  </si>
  <si>
    <t>ガボン_x000D_
Gabon</t>
  </si>
  <si>
    <t>マーシャル_x000D_
Marshall</t>
  </si>
  <si>
    <t>注2：原油（ドル／バレル）は石油連盟「石油資料月報」による。</t>
    <rPh sb="0" eb="1">
      <t>チュウ</t>
    </rPh>
    <rPh sb="3" eb="5">
      <t>ゲンユ</t>
    </rPh>
    <rPh sb="14" eb="16">
      <t>セキユ</t>
    </rPh>
    <rPh sb="16" eb="18">
      <t>レンメイ</t>
    </rPh>
    <rPh sb="19" eb="21">
      <t>セキユ</t>
    </rPh>
    <rPh sb="21" eb="23">
      <t>シリョウ</t>
    </rPh>
    <rPh sb="23" eb="25">
      <t>ゲッポウ</t>
    </rPh>
    <phoneticPr fontId="12"/>
  </si>
  <si>
    <t>→</t>
    <phoneticPr fontId="12"/>
  </si>
  <si>
    <t>(単位：kl/Unit：kl)</t>
    <phoneticPr fontId="12"/>
  </si>
  <si>
    <t>備蓄日数
 Days</t>
    <rPh sb="0" eb="2">
      <t>ビチク</t>
    </rPh>
    <rPh sb="2" eb="4">
      <t>ニッスウ</t>
    </rPh>
    <phoneticPr fontId="12"/>
  </si>
  <si>
    <t>製品換算
Products Equivalent</t>
    <rPh sb="0" eb="2">
      <t>セイヒン</t>
    </rPh>
    <rPh sb="2" eb="4">
      <t>カンサン</t>
    </rPh>
    <phoneticPr fontId="12"/>
  </si>
  <si>
    <t>備蓄日数
Days</t>
    <rPh sb="0" eb="2">
      <t>ビチク</t>
    </rPh>
    <rPh sb="2" eb="4">
      <t>ニッスウ</t>
    </rPh>
    <phoneticPr fontId="12"/>
  </si>
  <si>
    <t>製品換算 
Products Equivalent</t>
    <rPh sb="0" eb="2">
      <t>セイヒン</t>
    </rPh>
    <rPh sb="2" eb="4">
      <t>カンサン</t>
    </rPh>
    <phoneticPr fontId="12"/>
  </si>
  <si>
    <t>C.Y. 2018</t>
  </si>
  <si>
    <t>タンザニア</t>
  </si>
  <si>
    <t>Tanzania</t>
  </si>
  <si>
    <t>ﾐﾘ･ﾗｲﾄ</t>
  </si>
  <si>
    <t>ｳﾑﾙﾙ</t>
  </si>
  <si>
    <t>ﾎﾜｲﾄ･ｸﾘﾌ</t>
  </si>
  <si>
    <t>ﾀﾝｻﾞﾆｱ_x000D_
Tanzania</t>
  </si>
  <si>
    <t>ｸﾛﾌﾞ</t>
  </si>
  <si>
    <t>ｵﾛﾑﾍﾞﾝﾄﾞ</t>
  </si>
  <si>
    <t>Feb.</t>
    <phoneticPr fontId="33"/>
  </si>
  <si>
    <t>Mar.</t>
    <phoneticPr fontId="33"/>
  </si>
  <si>
    <t>Apr.</t>
    <phoneticPr fontId="33"/>
  </si>
  <si>
    <t>Jun.</t>
    <phoneticPr fontId="33"/>
  </si>
  <si>
    <t>Jul.</t>
    <phoneticPr fontId="33"/>
  </si>
  <si>
    <t>Aug.</t>
    <phoneticPr fontId="33"/>
  </si>
  <si>
    <t>Sep.</t>
    <phoneticPr fontId="33"/>
  </si>
  <si>
    <t>Oct.</t>
    <phoneticPr fontId="33"/>
  </si>
  <si>
    <t>Nov.</t>
    <phoneticPr fontId="33"/>
  </si>
  <si>
    <t>Dec.</t>
    <phoneticPr fontId="33"/>
  </si>
  <si>
    <t>（単位：kl、アスファルト以降：ｔ/Unit:kl,  from Asphalt onward is ton)</t>
    <rPh sb="13" eb="15">
      <t>イコウ</t>
    </rPh>
    <phoneticPr fontId="10"/>
  </si>
  <si>
    <t xml:space="preserve">May </t>
    <phoneticPr fontId="12"/>
  </si>
  <si>
    <t>オーストリア_x000D_
Austria</t>
  </si>
  <si>
    <t>ボリビア_x000D_
Bolivia</t>
  </si>
  <si>
    <t>Year                &amp; Month</t>
  </si>
  <si>
    <t>May</t>
  </si>
  <si>
    <t>Note1: Products Equivalent = Crude Oil * 0.95</t>
  </si>
  <si>
    <t>Note2: The source is Agency for Natural Resources and Energy.</t>
  </si>
  <si>
    <t>ナフサ   　　　　　　　　　　　　　　　　　　　　　　　　　　　　　　　　　　　　　　　　　Naphtha</t>
  </si>
  <si>
    <t>Year                                  &amp; Month</t>
  </si>
  <si>
    <t>Note1: The source is Ministry of Finance.</t>
  </si>
  <si>
    <t>Note2: Numeric Value of $/barrel by Petroleum Association of Japan.</t>
  </si>
  <si>
    <t>Note3: The import price of naphtha is for petrochemistry.</t>
  </si>
  <si>
    <t>Note4: The import price of fuel oil A is for agriculture,forestry and fishery.</t>
  </si>
  <si>
    <t>Note5: The import price of fuel oil C shows the price of  low sulfur spec.</t>
  </si>
  <si>
    <t>平均　　硫黄分</t>
    <phoneticPr fontId="12"/>
  </si>
  <si>
    <t xml:space="preserve">長期契約   </t>
    <phoneticPr fontId="12"/>
  </si>
  <si>
    <t>スポット契約</t>
    <phoneticPr fontId="12"/>
  </si>
  <si>
    <t>Total</t>
    <phoneticPr fontId="12"/>
  </si>
  <si>
    <t>Spot Ratio
(%)</t>
    <phoneticPr fontId="12"/>
  </si>
  <si>
    <t>Term Contract</t>
    <phoneticPr fontId="12"/>
  </si>
  <si>
    <t>Spot Contract</t>
    <phoneticPr fontId="12"/>
  </si>
  <si>
    <t>Average Sulfur
（ｗｔ%）</t>
    <phoneticPr fontId="12"/>
  </si>
  <si>
    <t>C.Y.     2018</t>
    <phoneticPr fontId="12"/>
  </si>
  <si>
    <t>Q2</t>
    <phoneticPr fontId="12"/>
  </si>
  <si>
    <t>Q3</t>
    <phoneticPr fontId="12"/>
  </si>
  <si>
    <t>Q4</t>
    <phoneticPr fontId="12"/>
  </si>
  <si>
    <t>Mar.</t>
    <phoneticPr fontId="12"/>
  </si>
  <si>
    <t xml:space="preserve">米系以外の　    独立会社   </t>
    <phoneticPr fontId="12"/>
  </si>
  <si>
    <t>産油国政府</t>
    <phoneticPr fontId="12"/>
  </si>
  <si>
    <t xml:space="preserve">邦系石油
開発会社       </t>
    <phoneticPr fontId="12"/>
  </si>
  <si>
    <t>Non American Independence</t>
    <phoneticPr fontId="12"/>
  </si>
  <si>
    <t>Japanese
 Oil Developer</t>
    <phoneticPr fontId="12"/>
  </si>
  <si>
    <t>参考資料 / Ｒｅｆｅｒｅｎｃｅ</t>
    <rPh sb="0" eb="2">
      <t>サンコウ</t>
    </rPh>
    <rPh sb="2" eb="4">
      <t>シリョウ</t>
    </rPh>
    <phoneticPr fontId="12"/>
  </si>
  <si>
    <t>（５）石油製品月別業態別在庫 / Monthly Inventory of Petroleum Products by Type of Business</t>
    <phoneticPr fontId="12"/>
  </si>
  <si>
    <t>（２）原油供給者区分別、月別輸入 /Import of Crude Oil  by Month and Supplier</t>
    <rPh sb="3" eb="5">
      <t>ゲンユ</t>
    </rPh>
    <phoneticPr fontId="12"/>
  </si>
  <si>
    <t>C.Y. 2019</t>
  </si>
  <si>
    <t>カナダ</t>
  </si>
  <si>
    <t>Canada</t>
  </si>
  <si>
    <t>カメルーン</t>
  </si>
  <si>
    <t>Cameroon</t>
  </si>
  <si>
    <t>ﾏﾚｰｼｱ（つづき）</t>
  </si>
  <si>
    <t>ｶﾅﾀﾞ_x000D_
Canada</t>
  </si>
  <si>
    <t>ｺｰﾙﾄﾞ･ﾚｲｸ</t>
  </si>
  <si>
    <t>ﾘﾋﾞｱ計</t>
  </si>
  <si>
    <t>ｶﾒﾙｰﾝ_x000D_
Cameroon</t>
  </si>
  <si>
    <t>ｱﾑﾅ</t>
  </si>
  <si>
    <t>ﾌﾞ･ｱﾃｨﾌﾙ</t>
  </si>
  <si>
    <t>ｴﾎﾞﾒ</t>
  </si>
  <si>
    <t>ｵｸﾞｴﾝｼﾞｮ</t>
  </si>
  <si>
    <t>石油化学用（つづき）</t>
  </si>
  <si>
    <t>（１）石油製品需給総括 / Supply and Demand Summary of Petroleum Products</t>
    <phoneticPr fontId="10"/>
  </si>
  <si>
    <t>区　分</t>
    <phoneticPr fontId="10"/>
  </si>
  <si>
    <t>ガソリン</t>
    <phoneticPr fontId="10"/>
  </si>
  <si>
    <t>ナフサ</t>
    <phoneticPr fontId="10"/>
  </si>
  <si>
    <t>ジェット</t>
    <phoneticPr fontId="10"/>
  </si>
  <si>
    <t>灯油</t>
    <phoneticPr fontId="10"/>
  </si>
  <si>
    <t>軽油</t>
    <phoneticPr fontId="10"/>
  </si>
  <si>
    <t>重油</t>
    <phoneticPr fontId="10"/>
  </si>
  <si>
    <t>潤滑油</t>
    <phoneticPr fontId="20"/>
  </si>
  <si>
    <t>アスファルト</t>
    <phoneticPr fontId="20"/>
  </si>
  <si>
    <t>グリース</t>
    <phoneticPr fontId="20"/>
  </si>
  <si>
    <t>パラフィン</t>
    <phoneticPr fontId="20"/>
  </si>
  <si>
    <t>　液化石油ガス</t>
    <phoneticPr fontId="10"/>
  </si>
  <si>
    <t>P・P, P・B</t>
    <phoneticPr fontId="20"/>
  </si>
  <si>
    <t>B・B</t>
    <phoneticPr fontId="10"/>
  </si>
  <si>
    <t>Gas Oil</t>
    <phoneticPr fontId="10"/>
  </si>
  <si>
    <t>Lubricating
 Oil</t>
    <phoneticPr fontId="10"/>
  </si>
  <si>
    <t>Increase in Quantity by Conversion to Another Product</t>
    <phoneticPr fontId="10"/>
  </si>
  <si>
    <t>Return from Petrochemical Industry</t>
    <phoneticPr fontId="10"/>
  </si>
  <si>
    <t>その他の受入量</t>
    <phoneticPr fontId="10"/>
  </si>
  <si>
    <t>Decrease in Quantity by Conversion to Another Product</t>
    <phoneticPr fontId="10"/>
  </si>
  <si>
    <t xml:space="preserve">Note 1 : Domestic Sales = (Inventory at Start of Year + Total Receipts ) - ( Inventory at  End of Year + Total Shipments except Domestic Sales )  </t>
    <phoneticPr fontId="10"/>
  </si>
  <si>
    <t xml:space="preserve">Note 2 : P・P is Propane・Propylene; P・B is Propane・Butane ; B・B is Butane・Butylene. </t>
    <phoneticPr fontId="10"/>
  </si>
  <si>
    <t>Naphtha</t>
    <phoneticPr fontId="10"/>
  </si>
  <si>
    <t>Jet Fuel</t>
    <phoneticPr fontId="10"/>
  </si>
  <si>
    <t>Fuel Oil A</t>
    <phoneticPr fontId="10"/>
  </si>
  <si>
    <t>Fuel Oil              B･C</t>
    <phoneticPr fontId="10"/>
  </si>
  <si>
    <t>LPG</t>
    <phoneticPr fontId="10"/>
  </si>
  <si>
    <t>製油所在庫</t>
    <phoneticPr fontId="10"/>
  </si>
  <si>
    <t>Total Receipts</t>
    <phoneticPr fontId="10"/>
  </si>
  <si>
    <t>輸入</t>
    <phoneticPr fontId="10"/>
  </si>
  <si>
    <t>Total Shipments</t>
    <phoneticPr fontId="10"/>
  </si>
  <si>
    <t>輸出</t>
    <phoneticPr fontId="10"/>
  </si>
  <si>
    <t>自家消費</t>
    <phoneticPr fontId="10"/>
  </si>
  <si>
    <t>その他の払出量</t>
    <phoneticPr fontId="10"/>
  </si>
  <si>
    <t xml:space="preserve">Inventory at End of Year </t>
    <phoneticPr fontId="10"/>
  </si>
  <si>
    <t>注 2： Ｐ・Ｐ＝プロパン・プロピレン、Ｐ・Ｂ＝プロパン・ブタン、プロピレン・ブチレン等プロパン、プロピレンを主成分とするもの。</t>
    <phoneticPr fontId="47"/>
  </si>
  <si>
    <t>　　　  Ｂ・Ｂ＝ブタン・ブチレンを主成分とするもの。</t>
    <phoneticPr fontId="47"/>
  </si>
  <si>
    <t xml:space="preserve">      Receipt and Shipment of Petroleum Products by Manufacturers and Importers</t>
    <phoneticPr fontId="20"/>
  </si>
  <si>
    <t>Lubricating
 Oil</t>
    <phoneticPr fontId="20"/>
  </si>
  <si>
    <t>輸出</t>
    <phoneticPr fontId="20"/>
  </si>
  <si>
    <t>Decrease in Quantity by Conversion to Another Product</t>
    <phoneticPr fontId="20"/>
  </si>
  <si>
    <t xml:space="preserve">自家消費  </t>
    <phoneticPr fontId="20"/>
  </si>
  <si>
    <t>年末在庫</t>
    <phoneticPr fontId="20"/>
  </si>
  <si>
    <t>　液化石油ガス</t>
    <phoneticPr fontId="20"/>
  </si>
  <si>
    <t>Fuel Oil
 B･C</t>
    <phoneticPr fontId="10"/>
  </si>
  <si>
    <t>年初在庫　　　</t>
    <phoneticPr fontId="20"/>
  </si>
  <si>
    <t>Increase in Quantity by Conversion to Another Product</t>
    <phoneticPr fontId="20"/>
  </si>
  <si>
    <t>Other Received</t>
    <phoneticPr fontId="20"/>
  </si>
  <si>
    <t>Sales to Consumers, Wholesalers and Retailers</t>
    <phoneticPr fontId="20"/>
  </si>
  <si>
    <t xml:space="preserve">Sales or Loans to Manufacturers and Importers </t>
    <phoneticPr fontId="20"/>
  </si>
  <si>
    <t>注： Ｐ・Ｐ＝プロパン・プロピレン、Ｐ・Ｂ＝プロパン・ブタン、プロピレン・ブチレン等プロパン、プロピレンを主成分とするもの。</t>
    <phoneticPr fontId="47"/>
  </si>
  <si>
    <t xml:space="preserve">Note : P・P is Propane・Propylene; P・B is Propane・Butane ; B・B is Butane・Butylene. </t>
    <phoneticPr fontId="10"/>
  </si>
  <si>
    <t xml:space="preserve">Year,           Quarter                             &amp; Month 
</t>
    <phoneticPr fontId="10"/>
  </si>
  <si>
    <t>年・期・月</t>
    <phoneticPr fontId="10"/>
  </si>
  <si>
    <t>　　  Ｂ・Ｂ＝ブタン・ブチレンを主成分とするもの。</t>
    <phoneticPr fontId="47"/>
  </si>
  <si>
    <t>　液化石油ガス</t>
    <phoneticPr fontId="63"/>
  </si>
  <si>
    <t>バヌアツ_x000D_
Vanuatu</t>
  </si>
  <si>
    <t>ソロモン_x000D_
Solomon Islands</t>
  </si>
  <si>
    <t>アゼルバイジャン_x000D_
Azerbaijan</t>
  </si>
  <si>
    <t>ラトビア_x000D_
Latvia</t>
  </si>
  <si>
    <t>ジャマイカ_x000D_
Jamaica</t>
  </si>
  <si>
    <t>アスファルト（つづき）</t>
  </si>
  <si>
    <t>パラグアイ_x000D_
Paraguay</t>
  </si>
  <si>
    <t>区　分</t>
    <phoneticPr fontId="74"/>
  </si>
  <si>
    <t xml:space="preserve">    Premium Gasoline </t>
    <phoneticPr fontId="74"/>
  </si>
  <si>
    <t xml:space="preserve">    Regular Gasoline </t>
    <phoneticPr fontId="74"/>
  </si>
  <si>
    <t>末在庫</t>
    <phoneticPr fontId="74"/>
  </si>
  <si>
    <t>ン</t>
    <phoneticPr fontId="74"/>
  </si>
  <si>
    <t xml:space="preserve">    Gasoline Engine Oil</t>
    <phoneticPr fontId="74"/>
  </si>
  <si>
    <t xml:space="preserve">    Other Lubricating Oil for Automobile</t>
    <phoneticPr fontId="74"/>
  </si>
  <si>
    <t>機　　　械　　　油</t>
    <phoneticPr fontId="74"/>
  </si>
  <si>
    <t>-</t>
  </si>
  <si>
    <t>Year，                       Quarter 
&amp; Month</t>
    <phoneticPr fontId="12"/>
  </si>
  <si>
    <t>C.Y.     2019</t>
    <phoneticPr fontId="12"/>
  </si>
  <si>
    <t>年・期・月</t>
    <phoneticPr fontId="12"/>
  </si>
  <si>
    <t xml:space="preserve"> 合計     </t>
    <phoneticPr fontId="12"/>
  </si>
  <si>
    <t>Year,                       Quarter 
&amp; Month</t>
    <phoneticPr fontId="12"/>
  </si>
  <si>
    <t>平均     API度</t>
    <phoneticPr fontId="12"/>
  </si>
  <si>
    <t>Avg. API gravity</t>
    <phoneticPr fontId="12"/>
  </si>
  <si>
    <t>Share（％）</t>
    <phoneticPr fontId="12"/>
  </si>
  <si>
    <t>Spot    Ratio (%)</t>
    <phoneticPr fontId="12"/>
  </si>
  <si>
    <t>Countrｙ</t>
    <phoneticPr fontId="12"/>
  </si>
  <si>
    <t>(バレル)</t>
    <phoneticPr fontId="12"/>
  </si>
  <si>
    <t>(ﾄﾞﾙ/バレル)</t>
    <phoneticPr fontId="12"/>
  </si>
  <si>
    <r>
      <t>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2"/>
  </si>
  <si>
    <t>（６）石油製品製造業者・輸入業者月別消費者･販売業者向販売 / Monthly Sales to Consumers, Wholesalers and Retailers of Petroleum Products by Manufacturers and Importers</t>
    <phoneticPr fontId="12"/>
  </si>
  <si>
    <t>（７）製造業者・輸入業者品種別、月別消費者・販売業者向販売及び在庫内訳 /Monthly Inventory and Sales to Consumers, Wholesalers and Retailers by Manufacturers and Importers</t>
    <phoneticPr fontId="12"/>
  </si>
  <si>
    <t>（４）原油処理及び原油在庫 / Crude Oil Processing and Inventory</t>
    <phoneticPr fontId="12"/>
  </si>
  <si>
    <t>１．原  油 /  Crude Oil</t>
    <phoneticPr fontId="12"/>
  </si>
  <si>
    <t>　（１）原油地域別、国別輸入 / Import of Crude Oil by Area and Country</t>
    <phoneticPr fontId="12"/>
  </si>
  <si>
    <t>タイ</t>
  </si>
  <si>
    <t>Thailand</t>
  </si>
  <si>
    <t>C.Y. 2020</t>
  </si>
  <si>
    <t>ﾀｲ_x000D_
Thailand</t>
  </si>
  <si>
    <t>ﾗﾌﾞｱﾝ･ﾗｲﾄ</t>
  </si>
  <si>
    <t>中立地帯_x000D_
Neutral Zone</t>
  </si>
  <si>
    <t>ｶﾌｼﾞ</t>
  </si>
  <si>
    <t>ｲｴﾒﾝ_x000D_
Yemen</t>
  </si>
  <si>
    <t>ｽｰﾀﾞﾝ_x000D_
Sudan</t>
  </si>
  <si>
    <t>ｶﾞﾎﾞﾝ_x000D_
Gabon</t>
  </si>
  <si>
    <t xml:space="preserve">Year,
Quarter
&amp; Month     </t>
    <phoneticPr fontId="12"/>
  </si>
  <si>
    <t>10～12</t>
    <phoneticPr fontId="10"/>
  </si>
  <si>
    <t xml:space="preserve">（２）石油製品製造業者 ・ 輸入業者受払 / </t>
    <phoneticPr fontId="20"/>
  </si>
  <si>
    <t>輸入</t>
    <phoneticPr fontId="20"/>
  </si>
  <si>
    <t xml:space="preserve">Purchase or Loans from Manufacturers and Importers </t>
    <phoneticPr fontId="20"/>
  </si>
  <si>
    <t>Purchase from Wholesalers and Retailers</t>
    <phoneticPr fontId="20"/>
  </si>
  <si>
    <t>その他の受入量</t>
    <phoneticPr fontId="20"/>
  </si>
  <si>
    <t>その他の払出量</t>
    <phoneticPr fontId="20"/>
  </si>
  <si>
    <t>製造業者・輸入業者よりの購入・融通</t>
    <phoneticPr fontId="20"/>
  </si>
  <si>
    <t>（４）石油製品の輸出入 / Import and Export of Ｐetroleum Products</t>
    <phoneticPr fontId="63"/>
  </si>
  <si>
    <t xml:space="preserve">   ①月別輸入 / Import by Month</t>
    <phoneticPr fontId="63"/>
  </si>
  <si>
    <t>　</t>
    <phoneticPr fontId="12"/>
  </si>
  <si>
    <t>イラク_x000D_
Iraq</t>
  </si>
  <si>
    <t>ブルガリア_x000D_
Bulgaria</t>
  </si>
  <si>
    <t>エストニア_x000D_
Estonia</t>
  </si>
  <si>
    <t xml:space="preserve">    Note : P・P is Propane・Propylene; P・B is Propane・Butane ; B・B is Butane・Butylene. </t>
    <phoneticPr fontId="10"/>
  </si>
  <si>
    <t xml:space="preserve">   ④国・地域別月別輸出 / Monthly Export by Area and Country</t>
    <phoneticPr fontId="12"/>
  </si>
  <si>
    <t xml:space="preserve">  (円/kl)  (yen/kl)</t>
    <rPh sb="3" eb="4">
      <t>エン</t>
    </rPh>
    <phoneticPr fontId="12"/>
  </si>
  <si>
    <t xml:space="preserve">  (円/t)  (yen/ton)</t>
    <rPh sb="3" eb="4">
      <t>エン</t>
    </rPh>
    <phoneticPr fontId="12"/>
  </si>
  <si>
    <t>構成比</t>
    <phoneticPr fontId="32"/>
  </si>
  <si>
    <t>Freight</t>
    <phoneticPr fontId="12"/>
  </si>
  <si>
    <t>Insurance</t>
    <phoneticPr fontId="12"/>
  </si>
  <si>
    <t>日本_x000D_
Japan</t>
  </si>
  <si>
    <t>国産</t>
  </si>
  <si>
    <t xml:space="preserve">Year                             &amp; Month 
</t>
    <phoneticPr fontId="10"/>
  </si>
  <si>
    <t>4月</t>
    <phoneticPr fontId="10"/>
  </si>
  <si>
    <t>5月</t>
    <phoneticPr fontId="10"/>
  </si>
  <si>
    <t>7月</t>
    <phoneticPr fontId="10"/>
  </si>
  <si>
    <t>8月</t>
    <phoneticPr fontId="10"/>
  </si>
  <si>
    <t>10月</t>
    <phoneticPr fontId="10"/>
  </si>
  <si>
    <t>11月</t>
    <phoneticPr fontId="10"/>
  </si>
  <si>
    <t>12月</t>
    <phoneticPr fontId="10"/>
  </si>
  <si>
    <t xml:space="preserve">    Note 1 : M &amp; I = Manufacturers and Importers </t>
    <phoneticPr fontId="10"/>
  </si>
  <si>
    <t>（１）原油契約期間別、月別輸入、ＣＩＦ総額、平均API度及び平均硫黄分 /</t>
    <rPh sb="3" eb="5">
      <t>ゲンユ</t>
    </rPh>
    <rPh sb="5" eb="7">
      <t>ケイヤク</t>
    </rPh>
    <rPh sb="7" eb="10">
      <t>キカンベツ</t>
    </rPh>
    <rPh sb="11" eb="13">
      <t>ツキベツ</t>
    </rPh>
    <rPh sb="13" eb="15">
      <t>ユニュウ</t>
    </rPh>
    <rPh sb="19" eb="21">
      <t>ソウガク</t>
    </rPh>
    <phoneticPr fontId="12"/>
  </si>
  <si>
    <t>Avg. API gravity
（60℉）</t>
    <phoneticPr fontId="12"/>
  </si>
  <si>
    <t>C.Y.     2020</t>
    <phoneticPr fontId="12"/>
  </si>
  <si>
    <t xml:space="preserve">         7～ 9</t>
  </si>
  <si>
    <t xml:space="preserve">         5</t>
  </si>
  <si>
    <t>米系独立会社</t>
  </si>
  <si>
    <t>３．原油契約期間別、供給者区分別、国別輸入 / Import of Crude Oil by Contract,Supplier and Country</t>
    <rPh sb="2" eb="4">
      <t>ゲンユ</t>
    </rPh>
    <phoneticPr fontId="12"/>
  </si>
  <si>
    <t>（１）原油契約期間別、月別輸入、ＣＩＦ総額、平均ＡＰＩ度及び平均硫黄分 / Import of Crude Oil, Value（CIF）,Average API gravity and Average Sulfur by Month and Contract</t>
    <rPh sb="3" eb="5">
      <t>ゲンユ</t>
    </rPh>
    <rPh sb="27" eb="28">
      <t>ド</t>
    </rPh>
    <phoneticPr fontId="12"/>
  </si>
  <si>
    <t>令和  1</t>
    <rPh sb="0" eb="2">
      <t>レイワ</t>
    </rPh>
    <phoneticPr fontId="33"/>
  </si>
  <si>
    <t>　　　2</t>
    <phoneticPr fontId="33"/>
  </si>
  <si>
    <t xml:space="preserve">　　　3 </t>
    <phoneticPr fontId="33"/>
  </si>
  <si>
    <t>C.Y. 2021</t>
  </si>
  <si>
    <t>F.Y. 2021</t>
  </si>
  <si>
    <t xml:space="preserve">           4～ 6</t>
    <phoneticPr fontId="33"/>
  </si>
  <si>
    <t xml:space="preserve">           7～ 9</t>
    <phoneticPr fontId="33"/>
  </si>
  <si>
    <t xml:space="preserve">          10～12　 </t>
    <phoneticPr fontId="33"/>
  </si>
  <si>
    <t>Q1  2022</t>
  </si>
  <si>
    <t xml:space="preserve">             2</t>
    <phoneticPr fontId="33"/>
  </si>
  <si>
    <t xml:space="preserve">             3</t>
    <phoneticPr fontId="33"/>
  </si>
  <si>
    <t xml:space="preserve">             4</t>
    <phoneticPr fontId="33"/>
  </si>
  <si>
    <t xml:space="preserve">             5</t>
    <phoneticPr fontId="33"/>
  </si>
  <si>
    <t xml:space="preserve">             6</t>
    <phoneticPr fontId="33"/>
  </si>
  <si>
    <t xml:space="preserve">             7</t>
    <phoneticPr fontId="33"/>
  </si>
  <si>
    <t xml:space="preserve">             8</t>
    <phoneticPr fontId="33"/>
  </si>
  <si>
    <t xml:space="preserve">             9</t>
    <phoneticPr fontId="33"/>
  </si>
  <si>
    <t xml:space="preserve">            10</t>
    <phoneticPr fontId="33"/>
  </si>
  <si>
    <t xml:space="preserve">            11</t>
    <phoneticPr fontId="33"/>
  </si>
  <si>
    <t xml:space="preserve">            12</t>
    <phoneticPr fontId="33"/>
  </si>
  <si>
    <t>Jan. 2022</t>
  </si>
  <si>
    <t xml:space="preserve">             2</t>
  </si>
  <si>
    <t xml:space="preserve">             3</t>
  </si>
  <si>
    <t>ブラジル</t>
  </si>
  <si>
    <t>Brazil</t>
  </si>
  <si>
    <t>ﾀﾝﾛﾝ</t>
  </si>
  <si>
    <t>ﾗﾗﾝ</t>
  </si>
  <si>
    <t>中南米（つづき）</t>
  </si>
  <si>
    <t>ﾌﾞﾗｼﾞﾙ計</t>
  </si>
  <si>
    <t>ﾌﾞｰｼﾞｵｽ</t>
  </si>
  <si>
    <t>ﾄｩﾋﾟ</t>
  </si>
  <si>
    <t>ﾋﾟﾚﾆｰｽﾞ</t>
  </si>
  <si>
    <t>ｻｳｼﾞｱﾗﾋﾞｱ_x000D_
Saudi Arabia</t>
  </si>
  <si>
    <t>輸入</t>
    <phoneticPr fontId="12"/>
  </si>
  <si>
    <t>国産</t>
    <phoneticPr fontId="12"/>
  </si>
  <si>
    <r>
      <t>Other</t>
    </r>
    <r>
      <rPr>
        <sz val="7.5"/>
        <color indexed="8"/>
        <rFont val="ＭＳ Ｐ明朝"/>
        <family val="1"/>
        <charset val="128"/>
      </rPr>
      <t xml:space="preserve"> </t>
    </r>
    <r>
      <rPr>
        <sz val="7.1"/>
        <color indexed="8"/>
        <rFont val="ＭＳ Ｐ明朝"/>
        <family val="1"/>
        <charset val="128"/>
      </rPr>
      <t>Establishments</t>
    </r>
    <phoneticPr fontId="12"/>
  </si>
  <si>
    <t>Imported
Crude Oil</t>
    <phoneticPr fontId="12"/>
  </si>
  <si>
    <t>Domestic
Crude Oil</t>
    <phoneticPr fontId="10"/>
  </si>
  <si>
    <t xml:space="preserve">  1月</t>
    <phoneticPr fontId="10"/>
  </si>
  <si>
    <t xml:space="preserve">  2</t>
    <phoneticPr fontId="12"/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</si>
  <si>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</si>
  <si>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</si>
  <si>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</si>
  <si>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</si>
  <si>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</si>
  <si>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</si>
  <si>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</si>
  <si>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</t>
    <phoneticPr fontId="12"/>
  </si>
  <si>
    <t>Jan. 2022</t>
    <phoneticPr fontId="33"/>
  </si>
  <si>
    <t xml:space="preserve">  3</t>
    <phoneticPr fontId="12"/>
  </si>
  <si>
    <t>基地・油槽所</t>
    <phoneticPr fontId="12"/>
  </si>
  <si>
    <t>Oil drilling
 enterprises</t>
    <phoneticPr fontId="12"/>
  </si>
  <si>
    <t>Refiners</t>
    <phoneticPr fontId="12"/>
  </si>
  <si>
    <t>（単位：kl、アスファルト以降：ｔ/Unit: kl, from Asphalt onward is ton)</t>
    <rPh sb="13" eb="15">
      <t>イコウ</t>
    </rPh>
    <phoneticPr fontId="12"/>
  </si>
  <si>
    <t xml:space="preserve">  1～ 3月</t>
    <phoneticPr fontId="12"/>
  </si>
  <si>
    <t xml:space="preserve">  4～ 6</t>
    <phoneticPr fontId="10"/>
  </si>
  <si>
    <r>
      <t xml:space="preserve">  7～ 9</t>
    </r>
    <r>
      <rPr>
        <sz val="11"/>
        <color theme="1"/>
        <rFont val="ＭＳ Ｐゴシック"/>
        <family val="3"/>
        <charset val="128"/>
        <scheme val="minor"/>
      </rPr>
      <t/>
    </r>
    <phoneticPr fontId="10"/>
  </si>
  <si>
    <t xml:space="preserve">  1～ 3</t>
    <phoneticPr fontId="12"/>
  </si>
  <si>
    <t>（単位：kl、アスファルト以降：ｔ/Unit:kl,  from Asphalt onward is ton)</t>
    <rPh sb="13" eb="15">
      <t>イコウ</t>
    </rPh>
    <phoneticPr fontId="63"/>
  </si>
  <si>
    <t>注1 ： （　　）はボンド扱い輸入製品で外数である。</t>
    <phoneticPr fontId="63"/>
  </si>
  <si>
    <t xml:space="preserve">    Note1 : The amount of parenthesis is that for bonded imports and not included in amounts just below.</t>
    <phoneticPr fontId="63"/>
  </si>
  <si>
    <t>注2 ： Ｐ・Ｐ＝プロパン・プロピレン、Ｐ・Ｂ＝プロパン・ブタン、プロピレン・ブチレン等プロパン、プロピレンを主成分とするもの。</t>
    <phoneticPr fontId="47"/>
  </si>
  <si>
    <t xml:space="preserve">    Note2 : P・P is Propane・Propylene; P・B is Propane・Butane ; B・B is Butane・Butylene. </t>
    <phoneticPr fontId="10"/>
  </si>
  <si>
    <t>マルタ_x000D_
Malta</t>
  </si>
  <si>
    <t xml:space="preserve">   ③月別輸出 / Export by Month</t>
    <phoneticPr fontId="10"/>
  </si>
  <si>
    <t xml:space="preserve"> 液化石油ガス</t>
    <phoneticPr fontId="10"/>
  </si>
  <si>
    <t>2月</t>
    <phoneticPr fontId="10"/>
  </si>
  <si>
    <t>3月</t>
    <phoneticPr fontId="10"/>
  </si>
  <si>
    <t>Refiners</t>
    <phoneticPr fontId="10"/>
  </si>
  <si>
    <t>6月</t>
    <phoneticPr fontId="10"/>
  </si>
  <si>
    <t>9月</t>
    <phoneticPr fontId="10"/>
  </si>
  <si>
    <r>
      <t>Total</t>
    </r>
    <r>
      <rPr>
        <sz val="8"/>
        <rFont val="ＭＳ Ｐ明朝"/>
        <family val="1"/>
        <charset val="128"/>
      </rPr>
      <t xml:space="preserve">   Jan.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</si>
  <si>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Feb.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</si>
  <si>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Mar. 2022</t>
    </r>
    <phoneticPr fontId="10"/>
  </si>
  <si>
    <t xml:space="preserve">    Note 2 : P・P is Propane・Propylene; P・B is Propane・Butane ; B・B is Butane・Butylene. </t>
    <phoneticPr fontId="10"/>
  </si>
  <si>
    <t xml:space="preserve">（６）石油製品製造業者・輸入業者月別消費者･販売業者向販売 / </t>
    <phoneticPr fontId="10"/>
  </si>
  <si>
    <t xml:space="preserve">Monthly Sales to Consumers, Wholesalers and Retailers of Petroleum Products by Manufacturers and Importers    </t>
    <phoneticPr fontId="10"/>
  </si>
  <si>
    <t xml:space="preserve">      Monthly Inventory and Sales to Consumers, Wholesalers and Retailers by Manufacturers and Importers </t>
    <phoneticPr fontId="74"/>
  </si>
  <si>
    <t xml:space="preserve">  (単位：kl/Unit:kl)</t>
    <phoneticPr fontId="74"/>
  </si>
  <si>
    <t>計</t>
    <phoneticPr fontId="74"/>
  </si>
  <si>
    <t>Total</t>
    <phoneticPr fontId="74"/>
  </si>
  <si>
    <t>ガ</t>
    <phoneticPr fontId="74"/>
  </si>
  <si>
    <t>自動車用高級</t>
    <phoneticPr fontId="74"/>
  </si>
  <si>
    <t>Sale</t>
    <phoneticPr fontId="74"/>
  </si>
  <si>
    <t>自動車用並級</t>
    <phoneticPr fontId="74"/>
  </si>
  <si>
    <t>ソ</t>
    <phoneticPr fontId="74"/>
  </si>
  <si>
    <t xml:space="preserve">    Others </t>
    <phoneticPr fontId="74"/>
  </si>
  <si>
    <t>Gasoline</t>
    <phoneticPr fontId="74"/>
  </si>
  <si>
    <t>リ</t>
    <phoneticPr fontId="74"/>
  </si>
  <si>
    <t>Inventory</t>
    <phoneticPr fontId="74"/>
  </si>
  <si>
    <t>ナ</t>
    <phoneticPr fontId="74"/>
  </si>
  <si>
    <t>石油化学用</t>
    <phoneticPr fontId="74"/>
  </si>
  <si>
    <t xml:space="preserve">    Petrochemical Use</t>
    <phoneticPr fontId="74"/>
  </si>
  <si>
    <t>Naphtha</t>
    <phoneticPr fontId="74"/>
  </si>
  <si>
    <t>フ</t>
    <phoneticPr fontId="74"/>
  </si>
  <si>
    <t>サ</t>
    <phoneticPr fontId="74"/>
  </si>
  <si>
    <t>ガソリンエンジン油</t>
    <phoneticPr fontId="74"/>
  </si>
  <si>
    <t xml:space="preserve">    Diesel Engine Oil</t>
    <phoneticPr fontId="74"/>
  </si>
  <si>
    <t>そ の 他 車 両 用</t>
    <phoneticPr fontId="74"/>
  </si>
  <si>
    <t>船舶エ ン ジ ン油</t>
    <phoneticPr fontId="74"/>
  </si>
  <si>
    <t xml:space="preserve">    Marine Diesel Engine Oil</t>
    <phoneticPr fontId="74"/>
  </si>
  <si>
    <t xml:space="preserve">    Mechanical Oil</t>
    <phoneticPr fontId="74"/>
  </si>
  <si>
    <t>金　属　加　工　油</t>
    <phoneticPr fontId="74"/>
  </si>
  <si>
    <t xml:space="preserve">    Metal Working Oil</t>
    <phoneticPr fontId="74"/>
  </si>
  <si>
    <t>電　気　絶　縁　油</t>
    <phoneticPr fontId="74"/>
  </si>
  <si>
    <t xml:space="preserve">    Electrical Insulating Oil</t>
    <phoneticPr fontId="74"/>
  </si>
  <si>
    <t xml:space="preserve">    Other Specific Lubricating Oil</t>
    <phoneticPr fontId="74"/>
  </si>
  <si>
    <t>そ　 　 の　  　他</t>
    <phoneticPr fontId="74"/>
  </si>
  <si>
    <t xml:space="preserve">    Other Lubricating Oil</t>
    <phoneticPr fontId="74"/>
  </si>
  <si>
    <t>Lubricating</t>
    <phoneticPr fontId="74"/>
  </si>
  <si>
    <t xml:space="preserve">  Oil</t>
    <phoneticPr fontId="74"/>
  </si>
  <si>
    <t>Ｒｅｆｅｒｅｎｃｅ</t>
    <phoneticPr fontId="33"/>
  </si>
  <si>
    <t xml:space="preserve">           2</t>
    <phoneticPr fontId="33"/>
  </si>
  <si>
    <t xml:space="preserve">           3</t>
    <phoneticPr fontId="33"/>
  </si>
  <si>
    <t xml:space="preserve">           4</t>
    <phoneticPr fontId="33"/>
  </si>
  <si>
    <t>　　　　   5</t>
    <phoneticPr fontId="33"/>
  </si>
  <si>
    <t xml:space="preserve">           6</t>
    <phoneticPr fontId="33"/>
  </si>
  <si>
    <t xml:space="preserve">           7</t>
    <phoneticPr fontId="33"/>
  </si>
  <si>
    <t xml:space="preserve">           8</t>
    <phoneticPr fontId="33"/>
  </si>
  <si>
    <t xml:space="preserve">           9</t>
    <phoneticPr fontId="33"/>
  </si>
  <si>
    <t xml:space="preserve">          10</t>
    <phoneticPr fontId="33"/>
  </si>
  <si>
    <t xml:space="preserve">          11</t>
    <phoneticPr fontId="33"/>
  </si>
  <si>
    <t xml:space="preserve">          12</t>
    <phoneticPr fontId="33"/>
  </si>
  <si>
    <t xml:space="preserve"> (ﾄﾞﾙ/ﾊﾞﾚﾙ)                ($/barrel)</t>
    <phoneticPr fontId="33"/>
  </si>
  <si>
    <t>　　　 Import of Crude Oil, Value（CIF）,Average API gravity and Average Sulfur by Month and Contract</t>
    <phoneticPr fontId="12"/>
  </si>
  <si>
    <t>輸入量(kl)                                                                      Crude Oil Import  ( kl )</t>
    <phoneticPr fontId="12"/>
  </si>
  <si>
    <t>Spot Contract</t>
  </si>
  <si>
    <t>C.Y.     2021</t>
    <phoneticPr fontId="12"/>
  </si>
  <si>
    <t>F.Y.     2021</t>
    <phoneticPr fontId="12"/>
  </si>
  <si>
    <t>Q1      2022</t>
    <phoneticPr fontId="12"/>
  </si>
  <si>
    <t>Jan.    2022</t>
    <phoneticPr fontId="12"/>
  </si>
  <si>
    <t>（２）原油供給者区分別、月別輸入 /Import of Crude Oil by Month and Supplier</t>
    <phoneticPr fontId="12"/>
  </si>
  <si>
    <t xml:space="preserve">輸入量(kl)  Crude Oil Import (kl) </t>
    <phoneticPr fontId="12"/>
  </si>
  <si>
    <t>平均    硫黄分</t>
    <phoneticPr fontId="12"/>
  </si>
  <si>
    <t xml:space="preserve">Country </t>
    <phoneticPr fontId="12"/>
  </si>
  <si>
    <t>長期契約</t>
    <phoneticPr fontId="12"/>
  </si>
  <si>
    <t>スポット比率</t>
    <phoneticPr fontId="12"/>
  </si>
  <si>
    <t>Avg.　　　　Sulfur</t>
    <phoneticPr fontId="12"/>
  </si>
  <si>
    <t>（ｗｔ%）</t>
    <phoneticPr fontId="12"/>
  </si>
  <si>
    <t xml:space="preserve">            The number of companies that imported it from these countries is two or less.</t>
    <phoneticPr fontId="12"/>
  </si>
  <si>
    <t xml:space="preserve">             The number of companies that imported it from these countries is two or less.</t>
    <phoneticPr fontId="12"/>
  </si>
  <si>
    <r>
      <t>CIF総額（千ドル）　（10</t>
    </r>
    <r>
      <rPr>
        <vertAlign val="superscript"/>
        <sz val="8"/>
        <rFont val="ＭＳ Ｐ明朝"/>
        <family val="1"/>
        <charset val="128"/>
      </rPr>
      <t>3</t>
    </r>
    <r>
      <rPr>
        <sz val="8"/>
        <rFont val="ＭＳ Ｐ明朝"/>
        <family val="1"/>
        <charset val="128"/>
      </rPr>
      <t>$）</t>
    </r>
    <phoneticPr fontId="12"/>
  </si>
  <si>
    <t>Total Value</t>
    <phoneticPr fontId="12"/>
  </si>
  <si>
    <t>Country</t>
    <phoneticPr fontId="12"/>
  </si>
  <si>
    <t>FOB</t>
    <phoneticPr fontId="12"/>
  </si>
  <si>
    <t>Shipped Quantity</t>
    <phoneticPr fontId="12"/>
  </si>
  <si>
    <t>(千ドル)</t>
    <phoneticPr fontId="32"/>
  </si>
  <si>
    <t>（barrel)</t>
    <phoneticPr fontId="12"/>
  </si>
  <si>
    <t>（$/barrel）</t>
    <phoneticPr fontId="12"/>
  </si>
  <si>
    <t xml:space="preserve">　　　　　 </t>
    <phoneticPr fontId="12"/>
  </si>
  <si>
    <t>令和4年資源・エネルギー統計年報</t>
    <rPh sb="0" eb="2">
      <t>レイワ</t>
    </rPh>
    <rPh sb="4" eb="6">
      <t>シゲン</t>
    </rPh>
    <rPh sb="12" eb="14">
      <t>トウケイ</t>
    </rPh>
    <rPh sb="14" eb="16">
      <t>ネンポウ</t>
    </rPh>
    <phoneticPr fontId="12"/>
  </si>
  <si>
    <t>　①令和4年 / (C.Y.2022)</t>
    <rPh sb="2" eb="4">
      <t>レイワ</t>
    </rPh>
    <phoneticPr fontId="12"/>
  </si>
  <si>
    <t>　②令和4年度 / (F.Y.2022)</t>
    <rPh sb="2" eb="4">
      <t>レイワ</t>
    </rPh>
    <phoneticPr fontId="12"/>
  </si>
  <si>
    <t>　①令和4年 / (C.Y.2022)</t>
    <phoneticPr fontId="12"/>
  </si>
  <si>
    <t>（３）原油国別、契約期間別輸入、平均ＡＰＩ度及び平均硫黄分（令和4年） /Import of Crude Oil, Average API gravity and Average Sulfur by Country and Contract(C.Y.2022)</t>
    <rPh sb="3" eb="5">
      <t>ゲンユ</t>
    </rPh>
    <rPh sb="21" eb="22">
      <t>ド</t>
    </rPh>
    <phoneticPr fontId="12"/>
  </si>
  <si>
    <t>　　　 Import of Crude Oil, Average API gravity and Average Sulfur by Country and Contract(F.Y.2022)</t>
    <phoneticPr fontId="12"/>
  </si>
  <si>
    <t>（４）原油国別、契約期間別輸入、平均ＡＰＩ度及び平均硫黄分（令和4年度） / Import of Crude Oil, Average API gravity and Average Sulfur by Country and Contract(F.Y.2022)</t>
    <rPh sb="21" eb="22">
      <t>ド</t>
    </rPh>
    <phoneticPr fontId="12"/>
  </si>
  <si>
    <t>（５）原油国別、契約期間別、ＣＩＦ総額（令和4年） / Import of Crude Oil Value(CIF) by Country and Contract(C.Y.2022)</t>
    <phoneticPr fontId="12"/>
  </si>
  <si>
    <t>（７）原油国別船積数量、FOB、運賃総額及び保険料総額（令和4年） / Import of Crude Oil, Shipped Quantity,FOB,Freight and Insurance by Country (C.Y.2022)</t>
    <rPh sb="3" eb="5">
      <t>ゲンユ</t>
    </rPh>
    <phoneticPr fontId="12"/>
  </si>
  <si>
    <t>（６）原油国別、契約期間別、ＣＩＦ総額（令和4年度） / Import of  Crude Oil Value(CIF) by Country and Contract(Ｆ.Y.2022)</t>
    <phoneticPr fontId="12"/>
  </si>
  <si>
    <t>　②令和4年度 / (F.Y.2022)</t>
    <phoneticPr fontId="12"/>
  </si>
  <si>
    <t>（８）原油国別船積数量、FOB、運賃総額及び保険料総額（令和4年度） /Import of Crude Oil, Shipped Quantity,FOB,Freight and Insurance by Country (F.Y.2022)</t>
    <rPh sb="3" eb="5">
      <t>ゲンユ</t>
    </rPh>
    <phoneticPr fontId="12"/>
  </si>
  <si>
    <t>４．液化天然ガス（ＬＮＧ）輸入量、消費量、在庫量 / LNG Import,Consumption and Inventory</t>
    <rPh sb="2" eb="4">
      <t>エキカ</t>
    </rPh>
    <rPh sb="4" eb="6">
      <t>テンネン</t>
    </rPh>
    <rPh sb="13" eb="15">
      <t>ユニュウ</t>
    </rPh>
    <rPh sb="15" eb="16">
      <t>リョウ</t>
    </rPh>
    <rPh sb="17" eb="20">
      <t>ショウヒリョウ</t>
    </rPh>
    <rPh sb="21" eb="23">
      <t>ザイコ</t>
    </rPh>
    <rPh sb="23" eb="24">
      <t>リョウ</t>
    </rPh>
    <phoneticPr fontId="12"/>
  </si>
  <si>
    <t>（１）液化天然ガス（ＬＮＧ）輸入量、消費量、在庫量 / LNG Import,Consumption and Inventory</t>
    <rPh sb="3" eb="5">
      <t>エキカ</t>
    </rPh>
    <rPh sb="5" eb="7">
      <t>テンネン</t>
    </rPh>
    <rPh sb="14" eb="16">
      <t>ユニュウ</t>
    </rPh>
    <rPh sb="16" eb="17">
      <t>リョウ</t>
    </rPh>
    <rPh sb="18" eb="21">
      <t>ショウヒリョウ</t>
    </rPh>
    <rPh sb="22" eb="24">
      <t>ザイコ</t>
    </rPh>
    <rPh sb="24" eb="25">
      <t>リョウ</t>
    </rPh>
    <phoneticPr fontId="12"/>
  </si>
  <si>
    <t>　①原油処理 / Crude Oil Processing</t>
    <rPh sb="2" eb="4">
      <t>ゲンユ</t>
    </rPh>
    <rPh sb="4" eb="6">
      <t>ショリ</t>
    </rPh>
    <phoneticPr fontId="12"/>
  </si>
  <si>
    <t>　②原油在庫 / Inventory of Crude Oil</t>
    <rPh sb="2" eb="4">
      <t>ゲンユ</t>
    </rPh>
    <rPh sb="4" eb="6">
      <t>ザイコ</t>
    </rPh>
    <phoneticPr fontId="12"/>
  </si>
  <si>
    <t>（３）石油製品月別国内向販売 / Domestic Sales of Petroleum Products by Month</t>
    <phoneticPr fontId="12"/>
  </si>
  <si>
    <t>（２）液化天然ガス（ＬＮＧ）国別、月別輸入量 / LNG Monthly Import by Country</t>
    <rPh sb="3" eb="5">
      <t>エキカ</t>
    </rPh>
    <rPh sb="5" eb="7">
      <t>テンネン</t>
    </rPh>
    <rPh sb="14" eb="16">
      <t>クニベツ</t>
    </rPh>
    <rPh sb="17" eb="19">
      <t>ツキベツ</t>
    </rPh>
    <rPh sb="19" eb="21">
      <t>ユニュウ</t>
    </rPh>
    <rPh sb="21" eb="22">
      <t>リョウ</t>
    </rPh>
    <phoneticPr fontId="12"/>
  </si>
  <si>
    <t>ベトナム</t>
  </si>
  <si>
    <t>平成 30 年</t>
    <phoneticPr fontId="33"/>
  </si>
  <si>
    <t xml:space="preserve">- </t>
  </si>
  <si>
    <t xml:space="preserve">　　　4 </t>
    <phoneticPr fontId="33"/>
  </si>
  <si>
    <t>C.Y. 2022</t>
  </si>
  <si>
    <t>令和  3 年度</t>
    <phoneticPr fontId="33"/>
  </si>
  <si>
    <t xml:space="preserve">      4　　 </t>
    <phoneticPr fontId="33"/>
  </si>
  <si>
    <t>F.Y. 2022</t>
  </si>
  <si>
    <t>令和  4 年 1～ 3 月</t>
    <rPh sb="0" eb="2">
      <t>レイワ</t>
    </rPh>
    <rPh sb="6" eb="7">
      <t>ネン</t>
    </rPh>
    <rPh sb="13" eb="14">
      <t>ツキ</t>
    </rPh>
    <phoneticPr fontId="33"/>
  </si>
  <si>
    <t>令和  5 年 1～ 3</t>
    <phoneticPr fontId="33"/>
  </si>
  <si>
    <t>Q1  2023</t>
  </si>
  <si>
    <t xml:space="preserve">令和  4 年   1 月　 </t>
    <phoneticPr fontId="33"/>
  </si>
  <si>
    <t xml:space="preserve">令和  5 年   1　 </t>
    <phoneticPr fontId="33"/>
  </si>
  <si>
    <t>Jan. 2023</t>
  </si>
  <si>
    <t>アラブ首長国
連邦</t>
    <phoneticPr fontId="87"/>
  </si>
  <si>
    <t>ｶｻﾞﾌｽﾀﾝ_x000D_
Kazakhstan</t>
  </si>
  <si>
    <t>ｼｰﾋﾟｰｼｰ･
ﾌﾞﾚﾝﾄﾞ</t>
  </si>
  <si>
    <t>ﾀｲﾗﾝﾄﾞ･
ﾌｭｰｴﾙ･ｵｲﾙ</t>
  </si>
  <si>
    <t>ﾏﾚｰｼｱ･
ｽﾄﾚｰﾄ･ﾗﾝ･
ﾌｭｰｴﾙ･ｵｲﾙ</t>
  </si>
  <si>
    <t>ﾌﾞﾚﾝﾃﾞﾄﾞ･
ﾌｭｰｴﾙ･ｵｲﾙ</t>
  </si>
  <si>
    <t>ﾌｫﾛｰｻﾞﾝ･
ﾌﾞﾚﾝﾄﾞ</t>
  </si>
  <si>
    <t>ｻｳｽ･ﾊﾟｰｽ･
ｺﾝﾃﾞﾝｾｰﾄ</t>
  </si>
  <si>
    <t>ﾊﾞﾉｺ･
ｱﾗﾌﾞ･ﾐﾃﾞｨｱﾑ</t>
  </si>
  <si>
    <t>ｻｳｼﾞｱﾗﾋﾞｱ（つづき）</t>
  </si>
  <si>
    <t>ｱﾗﾋﾞｱﾝ･
ﾐﾃﾞｨｱﾑ</t>
  </si>
  <si>
    <t>ｱﾗﾋﾞｱﾝ･
ｴｷｽﾄﾗ･ﾗｲﾄ</t>
  </si>
  <si>
    <t>ｱﾗﾋﾞｱﾝ･
ｽｰﾊﾟｰ･ﾗｲﾄ</t>
  </si>
  <si>
    <t>ｸｳｪｰﾄ･
ｽｰﾊﾟｰ･ﾗｲﾄ･
ｸﾙｰﾄﾞ</t>
  </si>
  <si>
    <t>ﾛｰｻﾙﾌｧｰ･
ｺﾝﾃﾞﾝｾｰﾄ</t>
  </si>
  <si>
    <t>ﾃﾞｵﾄﾞﾗｲｽﾞﾄﾞ･
ﾌｨｰﾙﾄﾞ･
ｺﾝﾃﾞﾝｾｰﾄ</t>
  </si>
  <si>
    <t>ｵﾏｰﾝ（つづき）</t>
  </si>
  <si>
    <r>
      <t xml:space="preserve">英国
</t>
    </r>
    <r>
      <rPr>
        <sz val="6"/>
        <rFont val="ＭＳ Ｐ明朝"/>
        <family val="1"/>
        <charset val="128"/>
      </rPr>
      <t>United 
Kingdom</t>
    </r>
    <phoneticPr fontId="87"/>
  </si>
  <si>
    <t>ｼｬﾙｼﾞｬ･
ｺﾝﾃﾞﾝｾｰﾄ</t>
  </si>
  <si>
    <t>ｼｬﾌﾞﾜ･ﾌﾞﾚﾝﾄﾞ･ｸﾙｰﾄﾞ･ｵｲﾙ</t>
  </si>
  <si>
    <t>Russia</t>
    <phoneticPr fontId="87"/>
  </si>
  <si>
    <t>欧州（つづき）</t>
  </si>
  <si>
    <t>ﾛｼｱ（つづき）</t>
  </si>
  <si>
    <t>ﾔﾏｰﾙ･
ｺﾝﾃﾞﾝｾｰﾄ</t>
  </si>
  <si>
    <t>ｻｻﾞﾝ･
ｸﾞﾘｰﾝ･ｷｬﾆｵﾝ</t>
  </si>
  <si>
    <t>WTI-ﾄﾞﾒｽﾃｨｯｸ･
ｽｲｰﾄ･ﾌﾞﾚﾝﾄﾞ</t>
  </si>
  <si>
    <t>WTL(ｳｴｽﾄ･
ﾃｷｻｽ･ﾗｲﾄ)
ｸﾙｰﾄﾞ</t>
  </si>
  <si>
    <t>ﾕﾃｨｶ･
ｺﾝﾃﾞﾝｾｰﾄ</t>
  </si>
  <si>
    <t>ﾒｷｼｺ（つづき）</t>
  </si>
  <si>
    <t>ｺﾛﾝﾋﾞｱ_x000D_
Colombia</t>
  </si>
  <si>
    <t>ｿﾝｺﾞ･ｿﾝｺﾞ･
ｺﾝﾃﾞﾝｾｰﾄ</t>
  </si>
  <si>
    <t>ﾃﾏﾈ･
ｺﾝﾃﾞﾝｾｰﾄ</t>
  </si>
  <si>
    <t>ﾉｰｽｳｴｽﾄ･
ｼｪﾙﾌ･
ｺﾝﾃﾞﾝｾｰﾄ</t>
  </si>
  <si>
    <t>ﾊﾞﾕ･ｳﾝﾀﾞﾝ･
ｺﾝﾃﾞﾝｾｰﾄ</t>
  </si>
  <si>
    <t>ｳﾞｧﾝ･ｺﾞｯﾎ･
ﾌﾞﾚﾝﾄﾞ</t>
  </si>
  <si>
    <t>ﾌﾟﾙｰﾄ･
ｺﾝﾃﾞﾝｾｰﾄ</t>
  </si>
  <si>
    <t>ｳｨｰﾄｽﾄｰﾝ･
ｺﾝﾃﾞﾝｾｰﾄ</t>
  </si>
  <si>
    <t>ｵｰｽﾄﾗﾘｱ
（つづき）</t>
    <phoneticPr fontId="87"/>
  </si>
  <si>
    <t>ﾊﾟﾌﾟｱﾆｭｰｷﾞﾆｱ
Papua 
New Guinea</t>
    <phoneticPr fontId="87"/>
  </si>
  <si>
    <t>ｲｸｼｽ･ﾌｨｰﾙﾄﾞ･
ｺﾝﾃﾞﾝｾｰﾄ</t>
  </si>
  <si>
    <t>ﾊﾟﾌﾟｱ･
ｽﾄﾚｰﾄ･ﾗﾝ･
ﾌｭｰｴﾙ･ｵｲﾙ</t>
  </si>
  <si>
    <t>ﾓｻﾞﾝﾋﾞｰｸ
Mozambique</t>
    <phoneticPr fontId="87"/>
  </si>
  <si>
    <t>ﾗﾋﾞ･ｴｷｽﾎﾟｰﾄ･
ﾌﾞﾚﾝﾄﾞ</t>
    <phoneticPr fontId="87"/>
  </si>
  <si>
    <t>ｳﾞｧﾝ･ｺﾞｯﾎ･
ﾌﾞﾚﾝﾄﾞ</t>
    <phoneticPr fontId="87"/>
  </si>
  <si>
    <t>ｼｬﾙｼﾞｬ･
ｺﾝﾃﾞﾝｾｰﾄ</t>
    <phoneticPr fontId="87"/>
  </si>
  <si>
    <t>ﾃﾏﾈ･
ｺﾝﾃﾞﾝｾｰﾄ</t>
    <phoneticPr fontId="87"/>
  </si>
  <si>
    <t>ｵｰｽﾄﾗﾘｱ（つづき）</t>
  </si>
  <si>
    <t>ﾉｰｽｳｴｽﾄ･
ｼｪﾙﾌ･ｺﾝﾃﾞﾝｾｰﾄ</t>
    <phoneticPr fontId="87"/>
  </si>
  <si>
    <t>ﾌﾟﾙｰﾄ･
ｺﾝﾃﾞﾝｾｰﾄ</t>
    <phoneticPr fontId="87"/>
  </si>
  <si>
    <t>ｳｨｰﾄｽﾄｰﾝ･
ｺﾝﾃﾞﾝｾｰﾄ</t>
    <phoneticPr fontId="87"/>
  </si>
  <si>
    <t>30年</t>
  </si>
  <si>
    <t>C.Y. 2018</t>
    <phoneticPr fontId="87"/>
  </si>
  <si>
    <t>令和</t>
  </si>
  <si>
    <t>1年</t>
  </si>
  <si>
    <t>C.Y. 2019</t>
    <phoneticPr fontId="87"/>
  </si>
  <si>
    <t>C.Y. 2020</t>
    <phoneticPr fontId="87"/>
  </si>
  <si>
    <t>C.Y. 2021</t>
    <phoneticPr fontId="87"/>
  </si>
  <si>
    <t>C.Y. 2022</t>
    <phoneticPr fontId="87"/>
  </si>
  <si>
    <t>3年度</t>
  </si>
  <si>
    <t>F.Y. 2021</t>
    <phoneticPr fontId="87"/>
  </si>
  <si>
    <t>F.Y. 2022</t>
    <phoneticPr fontId="87"/>
  </si>
  <si>
    <t>4年</t>
  </si>
  <si>
    <t>Q1  2022</t>
    <phoneticPr fontId="87"/>
  </si>
  <si>
    <t xml:space="preserve">Q2  </t>
    <phoneticPr fontId="87"/>
  </si>
  <si>
    <t xml:space="preserve">Q3  </t>
    <phoneticPr fontId="87"/>
  </si>
  <si>
    <t xml:space="preserve">Q4  </t>
    <phoneticPr fontId="87"/>
  </si>
  <si>
    <t>5年</t>
  </si>
  <si>
    <t>Q1  2023</t>
    <phoneticPr fontId="87"/>
  </si>
  <si>
    <t>Jan. 2022</t>
    <phoneticPr fontId="87"/>
  </si>
  <si>
    <t>Feb.</t>
    <phoneticPr fontId="87"/>
  </si>
  <si>
    <t>Mar.</t>
    <phoneticPr fontId="87"/>
  </si>
  <si>
    <t>Apr.</t>
    <phoneticPr fontId="87"/>
  </si>
  <si>
    <t>May</t>
    <phoneticPr fontId="87"/>
  </si>
  <si>
    <t>Jun.</t>
    <phoneticPr fontId="87"/>
  </si>
  <si>
    <t>Jul.</t>
    <phoneticPr fontId="87"/>
  </si>
  <si>
    <t>Aug.</t>
    <phoneticPr fontId="87"/>
  </si>
  <si>
    <t>Sep.</t>
    <phoneticPr fontId="87"/>
  </si>
  <si>
    <r>
      <t xml:space="preserve"> </t>
    </r>
    <r>
      <rPr>
        <sz val="8"/>
        <rFont val="ＭＳ Ｐ明朝"/>
        <family val="1"/>
        <charset val="128"/>
      </rPr>
      <t>10</t>
    </r>
    <phoneticPr fontId="12"/>
  </si>
  <si>
    <t>Oct.</t>
    <phoneticPr fontId="87"/>
  </si>
  <si>
    <r>
      <t xml:space="preserve"> </t>
    </r>
    <r>
      <rPr>
        <sz val="8"/>
        <rFont val="ＭＳ Ｐ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</si>
  <si>
    <t>Nov.</t>
    <phoneticPr fontId="87"/>
  </si>
  <si>
    <r>
      <t xml:space="preserve"> </t>
    </r>
    <r>
      <rPr>
        <sz val="8"/>
        <rFont val="ＭＳ Ｐ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</si>
  <si>
    <t>Dec.</t>
    <phoneticPr fontId="87"/>
  </si>
  <si>
    <t xml:space="preserve">  1月</t>
    <phoneticPr fontId="12"/>
  </si>
  <si>
    <t>Jan. 2023</t>
    <phoneticPr fontId="87"/>
  </si>
  <si>
    <t>Oil stockpiling 
bases</t>
    <phoneticPr fontId="87"/>
  </si>
  <si>
    <t xml:space="preserve">  1～ 3月</t>
  </si>
  <si>
    <t xml:space="preserve">  4～ 6</t>
  </si>
  <si>
    <t xml:space="preserve">  7～ 9</t>
  </si>
  <si>
    <t>10～12</t>
  </si>
  <si>
    <t xml:space="preserve">  1月</t>
  </si>
  <si>
    <t xml:space="preserve">  2</t>
  </si>
  <si>
    <t xml:space="preserve"> 10</t>
  </si>
  <si>
    <t xml:space="preserve"> 11</t>
  </si>
  <si>
    <t xml:space="preserve"> 12</t>
  </si>
  <si>
    <t>　①令和4年 / (C.Y.2022)</t>
    <phoneticPr fontId="10"/>
  </si>
  <si>
    <t>Total of Main Petroleum Products</t>
    <phoneticPr fontId="10"/>
  </si>
  <si>
    <t xml:space="preserve">Total
 Fuel Oil </t>
    <phoneticPr fontId="10"/>
  </si>
  <si>
    <t>製造・輸入業者在庫</t>
    <phoneticPr fontId="10"/>
  </si>
  <si>
    <t>生産</t>
    <phoneticPr fontId="10"/>
  </si>
  <si>
    <t>品種振替による増量</t>
    <phoneticPr fontId="10"/>
  </si>
  <si>
    <t>石油化学よりの返還</t>
    <rPh sb="7" eb="9">
      <t>ヘンカン</t>
    </rPh>
    <phoneticPr fontId="10"/>
  </si>
  <si>
    <t>品種振替による減量</t>
    <rPh sb="7" eb="8">
      <t>ゲン</t>
    </rPh>
    <phoneticPr fontId="49"/>
  </si>
  <si>
    <t>Note 3: The aggregation method for Lubricating Oil has been revised from April 2022.</t>
    <phoneticPr fontId="10"/>
  </si>
  <si>
    <t>注 3： 令和４年４月分から潤滑油の集計方法の改訂を行いました。</t>
    <phoneticPr fontId="12"/>
  </si>
  <si>
    <t>　②令和4年度 / (F.Y.2022)</t>
    <phoneticPr fontId="10"/>
  </si>
  <si>
    <t>石油化学よりの受入</t>
  </si>
  <si>
    <t>注 3： 令和４年４月分から潤滑油の集計方法の改訂を行いました。</t>
  </si>
  <si>
    <t>生産部門よりの受入</t>
    <phoneticPr fontId="20"/>
  </si>
  <si>
    <t>販売業者よりの購入</t>
    <phoneticPr fontId="20"/>
  </si>
  <si>
    <t>品種振替による増量</t>
    <phoneticPr fontId="20"/>
  </si>
  <si>
    <t xml:space="preserve">品種振替による減量  </t>
    <phoneticPr fontId="20"/>
  </si>
  <si>
    <t xml:space="preserve">（３）石油製品月別国内向販売 / Domestic Sales of Petroleum Products by Month </t>
    <phoneticPr fontId="10"/>
  </si>
  <si>
    <t>注 1： Ｐ・Ｐ＝プロパン・プロピレン、Ｐ・Ｂ＝プロパン・ブタン、プロピレン・ブチレン等プロパン、プロピレンを主成分とするもの。</t>
    <phoneticPr fontId="47"/>
  </si>
  <si>
    <t xml:space="preserve">Note 1 : P・P is Propane・Propylene; P・B is Propane・Butane ; B・B is Butane・Butylene. </t>
    <phoneticPr fontId="10"/>
  </si>
  <si>
    <t>　　　   Ｂ・Ｂ＝ブタン・ブチレンを主成分とするもの。</t>
    <phoneticPr fontId="47"/>
  </si>
  <si>
    <t>Note 2: The aggregation method for Lubricating Oil has been revised from April 2022.</t>
    <phoneticPr fontId="10"/>
  </si>
  <si>
    <t>注 2： 令和４年４月分から潤滑油の集計方法の改訂を行いました。</t>
    <phoneticPr fontId="12"/>
  </si>
  <si>
    <t>1</t>
    <phoneticPr fontId="87"/>
  </si>
  <si>
    <t>2</t>
  </si>
  <si>
    <t>3</t>
  </si>
  <si>
    <t>4</t>
  </si>
  <si>
    <t>（単位：ｋｌ，アスファルト以降：ｔ／Ｕｎｉｔ：ｋｌ，from Asphalt onward is ton）</t>
    <phoneticPr fontId="12"/>
  </si>
  <si>
    <t>Total of_x000D_
Main_x000D_
Petroleum_x000D_
Products</t>
  </si>
  <si>
    <t>Asia</t>
    <phoneticPr fontId="87"/>
  </si>
  <si>
    <t>中華人民
共和国
People's Republic of China</t>
    <phoneticPr fontId="87"/>
  </si>
  <si>
    <t>アラブ首長国
連邦
United Arab
Emirates</t>
    <phoneticPr fontId="87"/>
  </si>
  <si>
    <t>デンマーク
Denmark</t>
    <phoneticPr fontId="87"/>
  </si>
  <si>
    <r>
      <rPr>
        <sz val="8"/>
        <rFont val="ＭＳ Ｐ明朝"/>
        <family val="1"/>
        <charset val="128"/>
      </rPr>
      <t>オランダ</t>
    </r>
    <r>
      <rPr>
        <sz val="7"/>
        <rFont val="ＭＳ Ｐ明朝"/>
        <family val="1"/>
        <charset val="128"/>
      </rPr>
      <t xml:space="preserve">
Netherlands</t>
    </r>
    <phoneticPr fontId="87"/>
  </si>
  <si>
    <t>North America</t>
    <phoneticPr fontId="87"/>
  </si>
  <si>
    <t>アメリカ
合衆国
United States of America</t>
    <phoneticPr fontId="87"/>
  </si>
  <si>
    <t>South America</t>
    <phoneticPr fontId="87"/>
  </si>
  <si>
    <t>Africa</t>
    <phoneticPr fontId="87"/>
  </si>
  <si>
    <t>（単位：ｋｌ，アスファルト以降：ｔ／Ｕｎｉｔ：ｋｌ，from Asphalt onward is ton）</t>
  </si>
  <si>
    <t>南アフリカ
共和国
South Africa</t>
    <phoneticPr fontId="87"/>
  </si>
  <si>
    <t>Oceania</t>
    <phoneticPr fontId="87"/>
  </si>
  <si>
    <r>
      <t xml:space="preserve">パプア
ニュー
ギニア
</t>
    </r>
    <r>
      <rPr>
        <sz val="7.5"/>
        <rFont val="ＭＳ Ｐ明朝"/>
        <family val="1"/>
        <charset val="128"/>
      </rPr>
      <t>Papua 
New Guinea</t>
    </r>
    <phoneticPr fontId="87"/>
  </si>
  <si>
    <t>ヨーロッパ（つづき）</t>
  </si>
  <si>
    <t>ジェット燃料油
合計</t>
    <phoneticPr fontId="87"/>
  </si>
  <si>
    <t>Ｂ・Ｃ重油
合計</t>
    <phoneticPr fontId="87"/>
  </si>
  <si>
    <t>Fuel Oil B･C 
Total</t>
    <phoneticPr fontId="87"/>
  </si>
  <si>
    <t>パラフィン
合計</t>
    <phoneticPr fontId="87"/>
  </si>
  <si>
    <t>Paraffin Wax
 Total</t>
    <phoneticPr fontId="87"/>
  </si>
  <si>
    <t>液化石油ガス
合計</t>
    <phoneticPr fontId="87"/>
  </si>
  <si>
    <r>
      <t xml:space="preserve">東ティ
モール
</t>
    </r>
    <r>
      <rPr>
        <sz val="7"/>
        <rFont val="ＭＳ Ｐ明朝"/>
        <family val="1"/>
        <charset val="128"/>
      </rPr>
      <t>Timor-Leste</t>
    </r>
    <phoneticPr fontId="87"/>
  </si>
  <si>
    <t>バーレーン
Bahrain</t>
    <phoneticPr fontId="87"/>
  </si>
  <si>
    <t>プロパン
合計</t>
    <phoneticPr fontId="87"/>
  </si>
  <si>
    <t>P.P and P.B
 Total</t>
    <phoneticPr fontId="87"/>
  </si>
  <si>
    <t>北アメリカ（つづき）</t>
  </si>
  <si>
    <t>プエルトリコ（米）_x000D_
Puerto Rico (USA)</t>
  </si>
  <si>
    <r>
      <rPr>
        <sz val="8"/>
        <rFont val="ＭＳ Ｐ明朝"/>
        <family val="1"/>
        <charset val="128"/>
      </rPr>
      <t>モザン
ビーク</t>
    </r>
    <r>
      <rPr>
        <sz val="7"/>
        <rFont val="ＭＳ Ｐ明朝"/>
        <family val="1"/>
        <charset val="128"/>
      </rPr>
      <t xml:space="preserve">
Mozambique</t>
    </r>
    <phoneticPr fontId="87"/>
  </si>
  <si>
    <t>英領インド洋
地域
British Indian Ocean Territories</t>
    <phoneticPr fontId="87"/>
  </si>
  <si>
    <t>ニュージー
ランド
New Zealand</t>
    <phoneticPr fontId="87"/>
  </si>
  <si>
    <t>米軍及び
ボンド</t>
    <phoneticPr fontId="87"/>
  </si>
  <si>
    <t>カナダ
Canada</t>
    <phoneticPr fontId="87"/>
  </si>
  <si>
    <t>プエルトリコ（米）
Puerto Rico (USA)</t>
    <phoneticPr fontId="87"/>
  </si>
  <si>
    <t>Ａ重油（つづき）</t>
  </si>
  <si>
    <t>Fuel Oil B･C
 Total</t>
    <phoneticPr fontId="87"/>
  </si>
  <si>
    <r>
      <rPr>
        <sz val="7.5"/>
        <rFont val="ＭＳ Ｐ明朝"/>
        <family val="1"/>
        <charset val="128"/>
      </rPr>
      <t>カザフスタン</t>
    </r>
    <r>
      <rPr>
        <sz val="8"/>
        <rFont val="ＭＳ Ｐ明朝"/>
        <family val="1"/>
        <charset val="128"/>
      </rPr>
      <t xml:space="preserve">
Kazakhstan</t>
    </r>
    <phoneticPr fontId="87"/>
  </si>
  <si>
    <t>キルギス_x000D_
Kyrgyz</t>
  </si>
  <si>
    <r>
      <t xml:space="preserve">トルクメニ
スタン
</t>
    </r>
    <r>
      <rPr>
        <sz val="6.5"/>
        <rFont val="ＭＳ Ｐ明朝"/>
        <family val="1"/>
        <charset val="128"/>
      </rPr>
      <t>Turkmenistan</t>
    </r>
    <phoneticPr fontId="87"/>
  </si>
  <si>
    <r>
      <rPr>
        <sz val="7"/>
        <rFont val="ＭＳ Ｐ明朝"/>
        <family val="1"/>
        <charset val="128"/>
      </rPr>
      <t>アイルランド</t>
    </r>
    <r>
      <rPr>
        <sz val="8"/>
        <rFont val="ＭＳ Ｐ明朝"/>
        <family val="1"/>
        <charset val="128"/>
      </rPr>
      <t xml:space="preserve">
Ireland</t>
    </r>
    <phoneticPr fontId="87"/>
  </si>
  <si>
    <t>ドミニカ
共和国
Dominican Republic</t>
    <phoneticPr fontId="87"/>
  </si>
  <si>
    <t>ベネズエラ_x000D_
Venezuela</t>
  </si>
  <si>
    <t>令和4年</t>
  </si>
  <si>
    <r>
      <t>Total</t>
    </r>
    <r>
      <rPr>
        <sz val="8"/>
        <rFont val="ＭＳ Ｐ明朝"/>
        <family val="1"/>
        <charset val="128"/>
      </rPr>
      <t xml:space="preserve">   Apr.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</si>
  <si>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May 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</si>
  <si>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Jun.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</si>
  <si>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Jul.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</si>
  <si>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Aug.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</si>
  <si>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Sep.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</si>
  <si>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Oct.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</si>
  <si>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Nov. 2022</t>
    </r>
    <phoneticPr fontId="10"/>
  </si>
  <si>
    <r>
      <t>Total</t>
    </r>
    <r>
      <rPr>
        <sz val="8"/>
        <rFont val="ＭＳ Ｐ明朝"/>
        <family val="1"/>
        <charset val="128"/>
      </rPr>
      <t xml:space="preserve">   Dec. 2022</t>
    </r>
    <phoneticPr fontId="10"/>
  </si>
  <si>
    <t>令和5年</t>
  </si>
  <si>
    <r>
      <t>Total</t>
    </r>
    <r>
      <rPr>
        <sz val="8"/>
        <rFont val="ＭＳ Ｐ明朝"/>
        <family val="1"/>
        <charset val="128"/>
      </rPr>
      <t xml:space="preserve">   Jan. 2023</t>
    </r>
    <phoneticPr fontId="10"/>
  </si>
  <si>
    <r>
      <t>Total</t>
    </r>
    <r>
      <rPr>
        <sz val="8"/>
        <rFont val="ＭＳ Ｐ明朝"/>
        <family val="1"/>
        <charset val="128"/>
      </rPr>
      <t xml:space="preserve">   Feb. 2023</t>
    </r>
    <phoneticPr fontId="10"/>
  </si>
  <si>
    <r>
      <t>Total</t>
    </r>
    <r>
      <rPr>
        <sz val="8"/>
        <rFont val="ＭＳ Ｐ明朝"/>
        <family val="1"/>
        <charset val="128"/>
      </rPr>
      <t xml:space="preserve">   Mar. 2023</t>
    </r>
    <phoneticPr fontId="10"/>
  </si>
  <si>
    <r>
      <t xml:space="preserve"> </t>
    </r>
    <r>
      <rPr>
        <sz val="8"/>
        <color theme="1"/>
        <rFont val="ＭＳ Ｐ明朝"/>
        <family val="1"/>
        <charset val="128"/>
      </rPr>
      <t>10</t>
    </r>
    <phoneticPr fontId="12"/>
  </si>
  <si>
    <r>
      <t xml:space="preserve"> </t>
    </r>
    <r>
      <rPr>
        <sz val="8"/>
        <color theme="1"/>
        <rFont val="ＭＳ Ｐ明朝"/>
        <family val="1"/>
        <charset val="128"/>
      </rPr>
      <t>11</t>
    </r>
    <r>
      <rPr>
        <sz val="11"/>
        <color theme="1"/>
        <rFont val="ＭＳ Ｐゴシック"/>
        <family val="3"/>
        <charset val="128"/>
        <scheme val="minor"/>
      </rPr>
      <t/>
    </r>
  </si>
  <si>
    <r>
      <t xml:space="preserve"> </t>
    </r>
    <r>
      <rPr>
        <sz val="8"/>
        <color theme="1"/>
        <rFont val="ＭＳ Ｐ明朝"/>
        <family val="1"/>
        <charset val="128"/>
      </rPr>
      <t>12</t>
    </r>
    <r>
      <rPr>
        <sz val="11"/>
        <color theme="1"/>
        <rFont val="ＭＳ Ｐゴシック"/>
        <family val="3"/>
        <charset val="128"/>
        <scheme val="minor"/>
      </rPr>
      <t/>
    </r>
  </si>
  <si>
    <t>令和  5年  1</t>
    <phoneticPr fontId="33"/>
  </si>
  <si>
    <t xml:space="preserve">令和 4年   1月　 </t>
    <rPh sb="0" eb="2">
      <t>レイワ</t>
    </rPh>
    <phoneticPr fontId="33"/>
  </si>
  <si>
    <t>Spot Contract</t>
    <phoneticPr fontId="87"/>
  </si>
  <si>
    <t>平成30年</t>
  </si>
  <si>
    <t>令和 1</t>
    <phoneticPr fontId="87"/>
  </si>
  <si>
    <t xml:space="preserve">     2</t>
    <phoneticPr fontId="87"/>
  </si>
  <si>
    <t xml:space="preserve">     3 </t>
    <phoneticPr fontId="87"/>
  </si>
  <si>
    <t xml:space="preserve">     4 </t>
    <phoneticPr fontId="87"/>
  </si>
  <si>
    <t>C.Y.     2022</t>
    <phoneticPr fontId="12"/>
  </si>
  <si>
    <t>令和3年度</t>
  </si>
  <si>
    <t xml:space="preserve">    4 </t>
    <phoneticPr fontId="87"/>
  </si>
  <si>
    <t>F.Y.     2022</t>
    <phoneticPr fontId="12"/>
  </si>
  <si>
    <t>令和 4年 1～ 3月</t>
    <rPh sb="0" eb="1">
      <t>レイワ</t>
    </rPh>
    <phoneticPr fontId="33"/>
  </si>
  <si>
    <t>Q1     2022</t>
    <phoneticPr fontId="12"/>
  </si>
  <si>
    <t>令和 5年 1～ 3</t>
    <phoneticPr fontId="33"/>
  </si>
  <si>
    <t>Q1      2023</t>
    <phoneticPr fontId="12"/>
  </si>
  <si>
    <t>令和4年  1月</t>
    <rPh sb="7" eb="8">
      <t>ツキ</t>
    </rPh>
    <phoneticPr fontId="87"/>
  </si>
  <si>
    <t>令和5年  1</t>
    <phoneticPr fontId="87"/>
  </si>
  <si>
    <t>Jan.    2023</t>
    <phoneticPr fontId="12"/>
  </si>
  <si>
    <t>Note：The source is “The oil import survey”by Agency for Natural Resources and Energy.</t>
    <phoneticPr fontId="12"/>
  </si>
  <si>
    <t xml:space="preserve">（３）原油国別、契約期間別輸入、平均API度及び平均硫黄分（令和4年） / </t>
    <rPh sb="3" eb="5">
      <t>ゲンユ</t>
    </rPh>
    <rPh sb="30" eb="32">
      <t>レイワ</t>
    </rPh>
    <phoneticPr fontId="12"/>
  </si>
  <si>
    <t>　　　 Import of Crude Oil, Average API gravity and Average Sulfur by Country and Contract(C.Y.2022)</t>
    <phoneticPr fontId="12"/>
  </si>
  <si>
    <t>（60℉）</t>
    <phoneticPr fontId="87"/>
  </si>
  <si>
    <t>バーレーン</t>
    <phoneticPr fontId="87"/>
  </si>
  <si>
    <t>注3：「その他」は、輸入実績が2社以下の国。令和4年の内訳は、カザフスタン、ベトナム、タイ、マレーシア、ブルネイ、インドネシア、中立地帯、</t>
    <phoneticPr fontId="63"/>
  </si>
  <si>
    <t>　　　　オマーン、メキシコ、アルジェリア、スーダン、アンゴラ、パプアニューギニア。</t>
    <phoneticPr fontId="12"/>
  </si>
  <si>
    <t>'Note1：The source is “The oil import survey”by Agency for Natural Resources and Energy.</t>
    <phoneticPr fontId="12"/>
  </si>
  <si>
    <t>Note2：As for sign of “X”,the number of companies means two or less.Therefore,import volume does not describe the kind of the contract clearly.</t>
    <phoneticPr fontId="12"/>
  </si>
  <si>
    <t xml:space="preserve">Note3：Others include Kazakhstan,Viet Nam,Thailand,Malaysia,Brunei,Indonesia,Neutral Zone,Oman,Mexico,Algeria,Sudan,Angola </t>
    <phoneticPr fontId="12"/>
  </si>
  <si>
    <t xml:space="preserve">            and Papua New Guinea.</t>
    <phoneticPr fontId="12"/>
  </si>
  <si>
    <t xml:space="preserve">（４）原油国別、契約期間別輸入、平均ＡＰＩ度及び平均硫黄分（令和4年度） / </t>
    <rPh sb="3" eb="5">
      <t>ゲンユ</t>
    </rPh>
    <rPh sb="30" eb="32">
      <t>レイワ</t>
    </rPh>
    <phoneticPr fontId="12"/>
  </si>
  <si>
    <t>注3：「その他」は、輸入実績が2社以下の国。令和4年度の内訳は、ベトナム、タイ、マレーシア、ブルネイ、インドネシア、中立地帯、オマーン、ロシア、</t>
    <phoneticPr fontId="63"/>
  </si>
  <si>
    <t>　　　　メキシコ、アルジェリア、アンゴラ、パプアニューギニア。</t>
    <phoneticPr fontId="12"/>
  </si>
  <si>
    <t>Note1：The source is “The oil import survey”by Agency for Natural Resources and Energy.</t>
    <phoneticPr fontId="12"/>
  </si>
  <si>
    <t>Note3：Others include Viet Nam,Thailand,Malaysia,Brunei,Indonesia,Neutral Zone,Oman,Russia,Mexico,Algeria,Angola and Papua New Guinea.</t>
    <phoneticPr fontId="12"/>
  </si>
  <si>
    <t>（５）原油国別、契約期間別、ＣＩＦ総額（令和4年） / Import of Crude Oil Value(CIF) by Country and Contract(C.Y.2022)</t>
    <rPh sb="3" eb="5">
      <t>ゲンユ</t>
    </rPh>
    <rPh sb="20" eb="22">
      <t>レイワ</t>
    </rPh>
    <phoneticPr fontId="12"/>
  </si>
  <si>
    <t>Note2：As for sign of “X”,the number of companies means two or less.Therefore,import value does not describe the kind of the contract clearly.</t>
    <phoneticPr fontId="12"/>
  </si>
  <si>
    <t>Note3：Others include Kazakhstan,Viet Nam,Thailand,Malaysia,Brunei,Indonesia,Neutral Zone,Oman,Mexico,Algeria,Sudan,Angola</t>
    <phoneticPr fontId="12"/>
  </si>
  <si>
    <t>（６）原油国別、契約期間別、ＣＩＦ総額（令和4年度） / Import of Crude Oil Value(CIF) by Country and Contract(F.Y.2022)</t>
    <rPh sb="3" eb="5">
      <t>ゲンユ</t>
    </rPh>
    <rPh sb="20" eb="22">
      <t>レイワ</t>
    </rPh>
    <phoneticPr fontId="12"/>
  </si>
  <si>
    <t xml:space="preserve">（７）原油国別船積数量、FOB、運賃総額及び保険料総額（令和4年） / </t>
    <rPh sb="3" eb="5">
      <t>ゲンユ</t>
    </rPh>
    <rPh sb="28" eb="30">
      <t>レイワ</t>
    </rPh>
    <phoneticPr fontId="12"/>
  </si>
  <si>
    <t>　　　 Import of Crude Oil, Shipped Quantity,FOB,Freight and Insurance by Country (C.Y.2022)</t>
    <phoneticPr fontId="12"/>
  </si>
  <si>
    <t>注2：「その他」は、輸入実績が2社以下の国。令和4年の内訳は、カザフスタン、ベトナム、タイ、マレーシア、ブルネイ、インドネシア、中立地帯、</t>
    <phoneticPr fontId="63"/>
  </si>
  <si>
    <t>Note2：Others include Kazakhstan,Viet Nam,Thailand,Malaysia,Brunei,Indonesia,Neutral Zone,Oman,Mexico,Algeria,Sudan,Angola</t>
    <phoneticPr fontId="12"/>
  </si>
  <si>
    <t xml:space="preserve">（８）原油国別船積数量、FOB、運賃総額及び保険料総額（令和4年度） / </t>
    <rPh sb="3" eb="5">
      <t>ゲンユ</t>
    </rPh>
    <rPh sb="28" eb="30">
      <t>レイワ</t>
    </rPh>
    <phoneticPr fontId="12"/>
  </si>
  <si>
    <t>　　　  Import of Crude Oil, Shipped Quantity,FOB,Freight and Insurance by Country (F.Y.2022)</t>
    <phoneticPr fontId="12"/>
  </si>
  <si>
    <t>注2：「その他」は、輸入実績が2社以下の国。令和4年度の内訳は、ベトナム、タイ、マレーシア、ブルネイ、インドネシア、中立地帯、オマーン、ロシア、</t>
    <phoneticPr fontId="63"/>
  </si>
  <si>
    <t>Note2：Others include Viet Nam,Thailand,Malaysia,Brunei,Indonesia,Neutral Zone,Oman,Russia,Mexico,Algeria,Angola and Papua New Guinea.</t>
    <phoneticPr fontId="12"/>
  </si>
  <si>
    <t>（１）液化天然ガス（ＬＮＧ）輸入量、消費量、在庫量 / LNG Import,Consumption and Inventory</t>
    <rPh sb="3" eb="5">
      <t>エキカ</t>
    </rPh>
    <rPh sb="5" eb="7">
      <t>テンネン</t>
    </rPh>
    <rPh sb="18" eb="21">
      <t>ショウヒリョウ</t>
    </rPh>
    <phoneticPr fontId="33"/>
  </si>
  <si>
    <t>（単位：t／Unit:ton）</t>
    <rPh sb="1" eb="3">
      <t>タンイ</t>
    </rPh>
    <phoneticPr fontId="33"/>
  </si>
  <si>
    <t>年・月</t>
    <rPh sb="0" eb="1">
      <t>ネン</t>
    </rPh>
    <rPh sb="2" eb="3">
      <t>ツキ</t>
    </rPh>
    <phoneticPr fontId="33"/>
  </si>
  <si>
    <t>輸入量（Import）</t>
    <rPh sb="0" eb="1">
      <t>ユ</t>
    </rPh>
    <rPh sb="1" eb="2">
      <t>ニュウ</t>
    </rPh>
    <rPh sb="2" eb="3">
      <t>リョウ</t>
    </rPh>
    <phoneticPr fontId="33"/>
  </si>
  <si>
    <t>消費量（Consumption）</t>
    <rPh sb="0" eb="1">
      <t>ショウ</t>
    </rPh>
    <rPh sb="1" eb="2">
      <t>ヒ</t>
    </rPh>
    <rPh sb="2" eb="3">
      <t>リョウ</t>
    </rPh>
    <phoneticPr fontId="33"/>
  </si>
  <si>
    <t>在庫量（Inventory）</t>
    <rPh sb="0" eb="1">
      <t>ザイ</t>
    </rPh>
    <rPh sb="1" eb="2">
      <t>コ</t>
    </rPh>
    <rPh sb="2" eb="3">
      <t>リョウ</t>
    </rPh>
    <phoneticPr fontId="33"/>
  </si>
  <si>
    <t>Year 
&amp; Month</t>
    <phoneticPr fontId="33"/>
  </si>
  <si>
    <t>輸入量　※１</t>
    <rPh sb="0" eb="3">
      <t>ユニュウリョウ</t>
    </rPh>
    <phoneticPr fontId="33"/>
  </si>
  <si>
    <t>火力発電用　※２</t>
    <rPh sb="0" eb="2">
      <t>カリョク</t>
    </rPh>
    <rPh sb="2" eb="4">
      <t>ハツデン</t>
    </rPh>
    <rPh sb="4" eb="5">
      <t>ヨウ</t>
    </rPh>
    <phoneticPr fontId="33"/>
  </si>
  <si>
    <t>都市ガス事業用　※３</t>
    <rPh sb="0" eb="2">
      <t>トシ</t>
    </rPh>
    <rPh sb="4" eb="6">
      <t>ジギョウ</t>
    </rPh>
    <rPh sb="6" eb="7">
      <t>ヨウ</t>
    </rPh>
    <phoneticPr fontId="33"/>
  </si>
  <si>
    <t>液売り　※３</t>
    <rPh sb="0" eb="2">
      <t>エキウ</t>
    </rPh>
    <phoneticPr fontId="33"/>
  </si>
  <si>
    <t>月末貯蔵量　※２</t>
    <rPh sb="0" eb="2">
      <t>ゲツマツ</t>
    </rPh>
    <rPh sb="2" eb="5">
      <t>チョゾウリョウ</t>
    </rPh>
    <phoneticPr fontId="33"/>
  </si>
  <si>
    <t>月末在庫量　※３</t>
    <rPh sb="2" eb="4">
      <t>ザイコ</t>
    </rPh>
    <phoneticPr fontId="33"/>
  </si>
  <si>
    <t>貯蔵・在庫量合計</t>
    <rPh sb="0" eb="2">
      <t>チョゾウ</t>
    </rPh>
    <rPh sb="3" eb="5">
      <t>ザイコ</t>
    </rPh>
    <rPh sb="5" eb="6">
      <t>リョウ</t>
    </rPh>
    <rPh sb="6" eb="8">
      <t>ゴウケイ</t>
    </rPh>
    <phoneticPr fontId="33"/>
  </si>
  <si>
    <t>ガス事業用以外</t>
    <rPh sb="2" eb="4">
      <t>ジギョウ</t>
    </rPh>
    <rPh sb="4" eb="5">
      <t>ヨウ</t>
    </rPh>
    <rPh sb="5" eb="7">
      <t>イガイ</t>
    </rPh>
    <phoneticPr fontId="33"/>
  </si>
  <si>
    <t>電力用</t>
    <rPh sb="0" eb="3">
      <t>デンリョクヨウ</t>
    </rPh>
    <phoneticPr fontId="33"/>
  </si>
  <si>
    <t>都市ガス用</t>
    <rPh sb="0" eb="2">
      <t>トシ</t>
    </rPh>
    <rPh sb="4" eb="5">
      <t>ヨウ</t>
    </rPh>
    <phoneticPr fontId="33"/>
  </si>
  <si>
    <t>Import</t>
  </si>
  <si>
    <t>Thermal Power Generation</t>
    <phoneticPr fontId="33"/>
  </si>
  <si>
    <t>Gas Production</t>
    <phoneticPr fontId="33"/>
  </si>
  <si>
    <t>Sales in liquids</t>
  </si>
  <si>
    <t xml:space="preserve"> Inventory
Thermal Power Generation</t>
    <phoneticPr fontId="33"/>
  </si>
  <si>
    <t xml:space="preserve"> Inventory
City Gas</t>
  </si>
  <si>
    <t>Inventory
Total</t>
  </si>
  <si>
    <t>令和４年</t>
    <rPh sb="0" eb="2">
      <t>レイワ</t>
    </rPh>
    <rPh sb="3" eb="4">
      <t>ネン</t>
    </rPh>
    <phoneticPr fontId="33"/>
  </si>
  <si>
    <t>令和４年  1 月</t>
    <phoneticPr fontId="33"/>
  </si>
  <si>
    <t xml:space="preserve">    　    　 2</t>
    <phoneticPr fontId="33"/>
  </si>
  <si>
    <t xml:space="preserve">    　    　 3</t>
    <phoneticPr fontId="33"/>
  </si>
  <si>
    <t xml:space="preserve">    　    　 4</t>
    <phoneticPr fontId="33"/>
  </si>
  <si>
    <t xml:space="preserve">    　    　 5</t>
    <phoneticPr fontId="33"/>
  </si>
  <si>
    <t xml:space="preserve">    　    　 6</t>
    <phoneticPr fontId="33"/>
  </si>
  <si>
    <t xml:space="preserve">    　    　 7</t>
    <phoneticPr fontId="33"/>
  </si>
  <si>
    <t xml:space="preserve">    　    　 8</t>
    <phoneticPr fontId="33"/>
  </si>
  <si>
    <t xml:space="preserve">    　    　 9</t>
    <phoneticPr fontId="33"/>
  </si>
  <si>
    <t xml:space="preserve">    　    　10</t>
    <phoneticPr fontId="33"/>
  </si>
  <si>
    <t xml:space="preserve">    　    　11</t>
    <phoneticPr fontId="33"/>
  </si>
  <si>
    <t xml:space="preserve">    　    　12</t>
    <phoneticPr fontId="33"/>
  </si>
  <si>
    <t>注１：※１の出典は財務省「普通貿易統計」。</t>
    <rPh sb="0" eb="1">
      <t>チュウ</t>
    </rPh>
    <rPh sb="6" eb="8">
      <t>シュッテン</t>
    </rPh>
    <rPh sb="9" eb="12">
      <t>ザイムショウ</t>
    </rPh>
    <phoneticPr fontId="33"/>
  </si>
  <si>
    <t>注２：※２の出典は資源エネルギー庁「電力調査統計」。</t>
    <rPh sb="9" eb="11">
      <t>シゲン</t>
    </rPh>
    <rPh sb="16" eb="17">
      <t>チョウ</t>
    </rPh>
    <rPh sb="18" eb="20">
      <t>デンリョク</t>
    </rPh>
    <rPh sb="20" eb="22">
      <t>チョウサ</t>
    </rPh>
    <rPh sb="22" eb="24">
      <t>トウケイ</t>
    </rPh>
    <phoneticPr fontId="33"/>
  </si>
  <si>
    <t>注３：※３の出典は資源エネルギー庁「ガス事業生産動態統計」。</t>
    <rPh sb="20" eb="22">
      <t>ジギョウ</t>
    </rPh>
    <rPh sb="22" eb="24">
      <t>セイサン</t>
    </rPh>
    <rPh sb="24" eb="26">
      <t>ドウタイ</t>
    </rPh>
    <rPh sb="26" eb="28">
      <t>トウケイ</t>
    </rPh>
    <phoneticPr fontId="33"/>
  </si>
  <si>
    <t>注４：注１から注３のすべての統計表が公表された年次分を掲載。</t>
    <rPh sb="0" eb="1">
      <t>チュウ</t>
    </rPh>
    <rPh sb="3" eb="4">
      <t>チュウ</t>
    </rPh>
    <rPh sb="7" eb="8">
      <t>チュウ</t>
    </rPh>
    <rPh sb="14" eb="17">
      <t>トウケイヒョウ</t>
    </rPh>
    <rPh sb="18" eb="20">
      <t>コウヒョウ</t>
    </rPh>
    <rPh sb="23" eb="25">
      <t>ネンジ</t>
    </rPh>
    <rPh sb="25" eb="26">
      <t>ブン</t>
    </rPh>
    <rPh sb="27" eb="29">
      <t>ケイサイ</t>
    </rPh>
    <phoneticPr fontId="33"/>
  </si>
  <si>
    <t>Note1 : ※1 The source is "Trade Statistics of Japan"by Ministry of Finance.</t>
    <phoneticPr fontId="33"/>
  </si>
  <si>
    <t>Note2 : ※2 The source is "Electric Power Investigation Statistics"by Agency for Natural Resources and Energy.</t>
    <phoneticPr fontId="33"/>
  </si>
  <si>
    <t>Note3 : ※3 The source is "Current Survey of Production Concerning Gas Industry"by Agency for Natural Resources and Energy.</t>
    <phoneticPr fontId="33"/>
  </si>
  <si>
    <t>Note4 : All statistical tables are for the year in which they were published.</t>
    <phoneticPr fontId="33"/>
  </si>
  <si>
    <t>（２）液化天然ガス（ＬＮＧ）国別、月別輸入量 / LNG Monthly Import by Country</t>
    <rPh sb="3" eb="5">
      <t>エキカ</t>
    </rPh>
    <rPh sb="5" eb="7">
      <t>テンネン</t>
    </rPh>
    <rPh sb="14" eb="16">
      <t>クニベツ</t>
    </rPh>
    <rPh sb="17" eb="19">
      <t>ツキベツ</t>
    </rPh>
    <rPh sb="19" eb="22">
      <t>ユニュウリョウ</t>
    </rPh>
    <phoneticPr fontId="33"/>
  </si>
  <si>
    <t>合計</t>
    <rPh sb="0" eb="2">
      <t>ゴウケイ</t>
    </rPh>
    <phoneticPr fontId="33"/>
  </si>
  <si>
    <t>中華人民共和国</t>
  </si>
  <si>
    <t>シンガポール</t>
  </si>
  <si>
    <t>Total</t>
    <phoneticPr fontId="33"/>
  </si>
  <si>
    <t>People's Republic
 of China</t>
    <phoneticPr fontId="33"/>
  </si>
  <si>
    <t>Singapore</t>
  </si>
  <si>
    <t>C.Y. 2022</t>
    <phoneticPr fontId="33"/>
  </si>
  <si>
    <t>Jan. 2022</t>
    <phoneticPr fontId="12"/>
  </si>
  <si>
    <t xml:space="preserve">    　    　 2</t>
  </si>
  <si>
    <t xml:space="preserve">    　    　 3</t>
  </si>
  <si>
    <t xml:space="preserve">    　    　 4</t>
  </si>
  <si>
    <t xml:space="preserve">    　    　 5</t>
  </si>
  <si>
    <t xml:space="preserve">    　    　 6</t>
  </si>
  <si>
    <t xml:space="preserve">    　    　 7</t>
  </si>
  <si>
    <t xml:space="preserve">    　    　 8</t>
  </si>
  <si>
    <t xml:space="preserve">    　    　 9</t>
  </si>
  <si>
    <t xml:space="preserve">    　    　10</t>
  </si>
  <si>
    <t xml:space="preserve">    　    　11</t>
  </si>
  <si>
    <t xml:space="preserve">    　    　12</t>
  </si>
  <si>
    <t>アメリカ合衆国</t>
    <phoneticPr fontId="33"/>
  </si>
  <si>
    <t>トリニダード・トバゴ</t>
  </si>
  <si>
    <t>ペルー</t>
  </si>
  <si>
    <t>United Arab
 Emirates</t>
    <phoneticPr fontId="33"/>
  </si>
  <si>
    <t>United States 
of America</t>
    <phoneticPr fontId="33"/>
  </si>
  <si>
    <t>Trinidad and
 Tobago</t>
    <phoneticPr fontId="33"/>
  </si>
  <si>
    <t>Peru</t>
  </si>
  <si>
    <t>エジプト</t>
  </si>
  <si>
    <t>ナイジェリア</t>
  </si>
  <si>
    <t>赤道ギニア</t>
  </si>
  <si>
    <t>パプアニューギニア</t>
  </si>
  <si>
    <t>Egypt</t>
  </si>
  <si>
    <t>Nigeria</t>
  </si>
  <si>
    <t>EQ Guinea</t>
    <phoneticPr fontId="33"/>
  </si>
  <si>
    <t>Papua New Guinea</t>
  </si>
  <si>
    <t>注：出典は「普通貿易統計」。</t>
    <rPh sb="0" eb="1">
      <t>チュウ</t>
    </rPh>
    <rPh sb="2" eb="4">
      <t>シュッテン</t>
    </rPh>
    <phoneticPr fontId="33"/>
  </si>
  <si>
    <t>Note : ※1 The source is "Trade Statistics of Japan"by Ministry of Finance.</t>
    <phoneticPr fontId="33"/>
  </si>
  <si>
    <t>４．液化天然ガス（ＬＮＧ）輸入量、消費量、在庫量 / LNG Import,Consumption and Inventory</t>
    <rPh sb="2" eb="4">
      <t>エキカ</t>
    </rPh>
    <rPh sb="4" eb="6">
      <t>テンネン</t>
    </rPh>
    <rPh sb="13" eb="16">
      <t>ユニュウリョウ</t>
    </rPh>
    <rPh sb="17" eb="20">
      <t>ショウヒリョウ</t>
    </rPh>
    <rPh sb="21" eb="23">
      <t>ザイコ</t>
    </rPh>
    <rPh sb="23" eb="24">
      <t>リョウ</t>
    </rPh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</si>
</sst>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6" formatCode="&quot;¥&quot;#,##0;[Red]&quot;¥&quot;\-#,##0"/>
    <numFmt numFmtId="176" formatCode="mmm\."/>
    <numFmt numFmtId="177" formatCode="#,##0;&quot;▲ &quot;#,##0;#.##0;* @"/>
    <numFmt numFmtId="178" formatCode="mmm\.\ yyyy"/>
    <numFmt numFmtId="179" formatCode="&quot;Q1&quot;\ \ yyyy"/>
    <numFmt numFmtId="180" formatCode="&quot;Q4&quot;\ \ "/>
    <numFmt numFmtId="181" formatCode="&quot;Q3&quot;\ \ "/>
    <numFmt numFmtId="182" formatCode="&quot;Q2&quot;\ \ "/>
    <numFmt numFmtId="183" formatCode="&quot;F.Y.&quot;\ yyyy"/>
    <numFmt numFmtId="184" formatCode="&quot;C.Y.&quot;\ yyyy"/>
    <numFmt numFmtId="185" formatCode="#,##0;[Red]#,##0"/>
    <numFmt numFmtId="186" formatCode="\(#,##0\)"/>
    <numFmt numFmtId="187" formatCode="&quot;r&quot;\ #,##0;&quot;*&quot;&quot;*&quot;\ \ \ \ \ \ \ \ \ \ \ \ \ &quot;▲ &quot;#,##0"/>
    <numFmt numFmtId="188" formatCode="0_);[Red]\(0\)"/>
    <numFmt numFmtId="189" formatCode="mmm"/>
    <numFmt numFmtId="190" formatCode="m&quot;月&quot;"/>
    <numFmt numFmtId="191" formatCode="ggge&quot;年&quot;"/>
    <numFmt numFmtId="192" formatCode="#,##0,"/>
    <numFmt numFmtId="193" formatCode="0.00_ "/>
    <numFmt numFmtId="194" formatCode="#,##0_ ;[Red]\-#,##0\ "/>
    <numFmt numFmtId="195" formatCode="0.0_ "/>
    <numFmt numFmtId="196" formatCode="0.00;[Red]0.00"/>
    <numFmt numFmtId="197" formatCode="0.0;[Red]0.0"/>
    <numFmt numFmtId="198" formatCode="0.00000_ "/>
    <numFmt numFmtId="199" formatCode="#,##0.0;[Red]\-#,##0.0"/>
    <numFmt numFmtId="200" formatCode="#,##0;&quot;▲&quot;#.##0;#.##0;* @"/>
    <numFmt numFmtId="201" formatCode="#,##0.00;&quot;▲&quot;#.##000;#.##000;* @"/>
    <numFmt numFmtId="202" formatCode="#,##0_ "/>
    <numFmt numFmtId="203" formatCode="&quot;r&quot;\ \ \ #,##0;&quot;*&quot;&quot;*&quot;\ \ \ \ \ \ \ \ \ \ \ \ \ &quot;▲ &quot;#,##0"/>
    <numFmt numFmtId="204" formatCode="e&quot;年&quot;m&quot;月&quot;"/>
    <numFmt numFmtId="205" formatCode="0.00_);[Red]\(0.00\)"/>
  </numFmts>
  <fonts count="100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Arial"/>
      <family val="2"/>
    </font>
    <font>
      <sz val="6"/>
      <name val="ＭＳ Ｐゴシック"/>
      <family val="3"/>
      <charset val="128"/>
    </font>
    <font>
      <sz val="20"/>
      <name val="ＭＳ 明朝"/>
      <family val="1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20"/>
      <name val="ＭＳ ゴシック"/>
      <family val="3"/>
      <charset val="128"/>
    </font>
    <font>
      <sz val="8"/>
      <name val="ＭＳ Ｐ明朝"/>
      <family val="1"/>
      <charset val="128"/>
    </font>
    <font>
      <sz val="8"/>
      <name val="ＭＳ 明朝"/>
      <family val="1"/>
      <charset val="128"/>
    </font>
    <font>
      <sz val="7"/>
      <name val="ＭＳ Ｐ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u/>
      <sz val="9"/>
      <color theme="10"/>
      <name val="ＭＳ Ｐゴシック"/>
      <family val="3"/>
      <charset val="128"/>
    </font>
    <font>
      <sz val="11"/>
      <color theme="8" tint="-0.249977111117893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u/>
      <sz val="12"/>
      <color theme="10"/>
      <name val="ＭＳ Ｐゴシック"/>
      <family val="3"/>
      <charset val="128"/>
    </font>
    <font>
      <u/>
      <sz val="12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b/>
      <sz val="26"/>
      <color rgb="FF130AC2"/>
      <name val="ＭＳ Ｐゴシック"/>
      <family val="3"/>
      <charset val="128"/>
      <scheme val="minor"/>
    </font>
    <font>
      <sz val="11"/>
      <color rgb="FF130AC2"/>
      <name val="ＭＳ Ｐゴシック"/>
      <family val="3"/>
      <charset val="128"/>
      <scheme val="minor"/>
    </font>
    <font>
      <b/>
      <sz val="12"/>
      <color rgb="FF00B0F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0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7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7.5"/>
      <color indexed="8"/>
      <name val="ＭＳ Ｐ明朝"/>
      <family val="1"/>
      <charset val="128"/>
    </font>
    <font>
      <sz val="7.1"/>
      <color indexed="8"/>
      <name val="ＭＳ Ｐ明朝"/>
      <family val="1"/>
      <charset val="128"/>
    </font>
    <font>
      <sz val="14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7"/>
      <color indexed="8"/>
      <name val="ＭＳ Ｐゴシック"/>
      <family val="3"/>
      <charset val="128"/>
    </font>
    <font>
      <sz val="4"/>
      <color indexed="8"/>
      <name val="ＭＳ Ｐ明朝"/>
      <family val="1"/>
      <charset val="128"/>
    </font>
    <font>
      <b/>
      <sz val="14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8"/>
      <name val="ＭＳ Ｐ明朝"/>
      <family val="1"/>
      <charset val="128"/>
    </font>
    <font>
      <sz val="6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7.8"/>
      <name val="ＭＳ Ｐ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0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8"/>
      <color rgb="FFC00000"/>
      <name val="ＭＳ Ｐ明朝"/>
      <family val="1"/>
      <charset val="128"/>
    </font>
    <font>
      <sz val="9"/>
      <name val="ｺﾞｼｯｸ"/>
      <family val="3"/>
      <charset val="128"/>
    </font>
    <font>
      <b/>
      <sz val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b/>
      <sz val="16"/>
      <color indexed="8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vertAlign val="superscript"/>
      <sz val="8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color indexed="8"/>
      <name val="ＭＳ Ｐゴシック"/>
      <family val="3"/>
      <charset val="128"/>
    </font>
    <font>
      <b/>
      <sz val="18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8"/>
      <color indexed="8"/>
      <name val="ＭＳ Ｐ明朝"/>
      <family val="1"/>
      <charset val="128"/>
    </font>
    <font>
      <sz val="9"/>
      <color indexed="8"/>
      <name val="ＭＳ Ｐゴシック"/>
      <family val="3"/>
      <charset val="128"/>
    </font>
    <font>
      <sz val="8"/>
      <color theme="1"/>
      <name val="ＭＳ Ｐ明朝"/>
      <family val="1"/>
      <charset val="128"/>
    </font>
    <font>
      <sz val="6.5"/>
      <name val="ＭＳ Ｐ明朝"/>
      <family val="1"/>
      <charset val="128"/>
    </font>
    <font>
      <sz val="6"/>
      <name val="ＭＳ Ｐゴシック"/>
      <family val="2"/>
      <charset val="128"/>
    </font>
    <font>
      <sz val="7.5"/>
      <name val="ＭＳ Ｐ明朝"/>
      <family val="1"/>
      <charset val="128"/>
    </font>
    <font>
      <sz val="20"/>
      <color rgb="FF000000"/>
      <name val="ＭＳ 明朝"/>
      <family val="1"/>
      <charset val="128"/>
    </font>
    <font>
      <sz val="4"/>
      <name val="ＭＳ Ｐ明朝"/>
      <family val="1"/>
      <charset val="128"/>
    </font>
    <font>
      <sz val="8"/>
      <color rgb="FFFF0000"/>
      <name val="ＭＳ Ｐ明朝"/>
      <family val="1"/>
      <charset val="128"/>
    </font>
    <font>
      <i/>
      <sz val="10"/>
      <name val="ＭＳ ゴシック"/>
      <family val="3"/>
      <charset val="128"/>
    </font>
    <font>
      <sz val="4"/>
      <color theme="1"/>
      <name val="ＭＳ Ｐ明朝"/>
      <family val="1"/>
      <charset val="128"/>
    </font>
    <font>
      <sz val="10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26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11" fillId="0" borderId="0"/>
    <xf numFmtId="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6" fontId="8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9" fillId="0" borderId="0"/>
    <xf numFmtId="0" fontId="20" fillId="0" borderId="0"/>
    <xf numFmtId="0" fontId="10" fillId="0" borderId="0"/>
    <xf numFmtId="37" fontId="10" fillId="0" borderId="0"/>
    <xf numFmtId="0" fontId="9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53">
    <xf numFmtId="0" fontId="0" fillId="0" borderId="0" xfId="0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1" applyFont="1" applyFill="1" applyAlignment="1" applyProtection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38" fontId="13" fillId="0" borderId="0" xfId="2" applyFont="1" applyFill="1" applyAlignment="1"/>
    <xf numFmtId="38" fontId="13" fillId="0" borderId="0" xfId="2" applyFont="1" applyFill="1" applyBorder="1" applyAlignment="1"/>
    <xf numFmtId="38" fontId="18" fillId="0" borderId="0" xfId="2" applyFont="1" applyFill="1" applyAlignment="1"/>
    <xf numFmtId="38" fontId="17" fillId="0" borderId="3" xfId="2" applyFont="1" applyFill="1" applyBorder="1" applyAlignment="1">
      <alignment horizontal="center" vertical="center" wrapText="1"/>
    </xf>
    <xf numFmtId="38" fontId="17" fillId="0" borderId="0" xfId="2" applyFont="1" applyFill="1" applyBorder="1" applyAlignment="1">
      <alignment horizontal="center" vertical="center" wrapText="1"/>
    </xf>
    <xf numFmtId="38" fontId="17" fillId="0" borderId="7" xfId="2" applyFont="1" applyFill="1" applyBorder="1" applyAlignment="1">
      <alignment horizontal="center" vertical="center" wrapText="1"/>
    </xf>
    <xf numFmtId="38" fontId="17" fillId="0" borderId="11" xfId="2" applyFont="1" applyFill="1" applyBorder="1" applyAlignment="1">
      <alignment horizontal="center" vertical="center" wrapText="1"/>
    </xf>
    <xf numFmtId="38" fontId="17" fillId="0" borderId="10" xfId="2" applyFont="1" applyFill="1" applyBorder="1" applyAlignment="1">
      <alignment horizontal="center" vertical="center" wrapText="1"/>
    </xf>
    <xf numFmtId="38" fontId="17" fillId="0" borderId="0" xfId="2" applyFont="1" applyFill="1" applyBorder="1" applyAlignment="1"/>
    <xf numFmtId="38" fontId="17" fillId="0" borderId="2" xfId="2" applyFont="1" applyFill="1" applyBorder="1" applyAlignment="1">
      <alignment horizontal="center" vertical="center" wrapText="1"/>
    </xf>
    <xf numFmtId="38" fontId="17" fillId="0" borderId="0" xfId="2" applyFont="1" applyFill="1" applyAlignment="1"/>
    <xf numFmtId="0" fontId="26" fillId="0" borderId="0" xfId="1" applyFont="1" applyFill="1" applyBorder="1" applyAlignment="1" applyProtection="1">
      <alignment vertical="center"/>
    </xf>
    <xf numFmtId="0" fontId="26" fillId="0" borderId="0" xfId="1" quotePrefix="1" applyFont="1" applyFill="1" applyAlignment="1" applyProtection="1">
      <alignment vertical="center"/>
    </xf>
    <xf numFmtId="0" fontId="17" fillId="0" borderId="1" xfId="5" applyFont="1" applyBorder="1" applyAlignment="1">
      <alignment horizontal="right"/>
    </xf>
    <xf numFmtId="0" fontId="14" fillId="0" borderId="0" xfId="5" applyFont="1"/>
    <xf numFmtId="0" fontId="13" fillId="0" borderId="0" xfId="5" applyFont="1"/>
    <xf numFmtId="0" fontId="16" fillId="0" borderId="1" xfId="5" applyFont="1" applyBorder="1"/>
    <xf numFmtId="0" fontId="13" fillId="0" borderId="1" xfId="5" applyFont="1" applyBorder="1"/>
    <xf numFmtId="0" fontId="13" fillId="0" borderId="1" xfId="5" applyFont="1" applyBorder="1" applyAlignment="1">
      <alignment horizontal="center" vertical="center"/>
    </xf>
    <xf numFmtId="0" fontId="17" fillId="0" borderId="0" xfId="5" applyFont="1" applyAlignment="1">
      <alignment horizontal="right"/>
    </xf>
    <xf numFmtId="0" fontId="17" fillId="0" borderId="10" xfId="5" applyFont="1" applyBorder="1" applyAlignment="1">
      <alignment horizontal="center" vertical="center" wrapText="1"/>
    </xf>
    <xf numFmtId="0" fontId="13" fillId="0" borderId="0" xfId="5" applyFont="1" applyAlignment="1">
      <alignment horizontal="center" vertical="center"/>
    </xf>
    <xf numFmtId="38" fontId="17" fillId="0" borderId="8" xfId="2" applyFont="1" applyFill="1" applyBorder="1" applyAlignment="1">
      <alignment horizontal="center" vertical="center" wrapText="1"/>
    </xf>
    <xf numFmtId="38" fontId="17" fillId="0" borderId="9" xfId="2" applyFont="1" applyFill="1" applyBorder="1" applyAlignment="1">
      <alignment horizontal="center" vertical="center" wrapText="1"/>
    </xf>
    <xf numFmtId="38" fontId="17" fillId="0" borderId="5" xfId="2" applyFont="1" applyFill="1" applyBorder="1" applyAlignment="1"/>
    <xf numFmtId="0" fontId="17" fillId="0" borderId="3" xfId="5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 wrapText="1"/>
    </xf>
    <xf numFmtId="0" fontId="17" fillId="0" borderId="7" xfId="5" applyFont="1" applyBorder="1" applyAlignment="1">
      <alignment horizontal="center" vertical="center" wrapText="1"/>
    </xf>
    <xf numFmtId="38" fontId="17" fillId="0" borderId="5" xfId="2" applyFont="1" applyFill="1" applyBorder="1" applyAlignment="1">
      <alignment horizontal="left" vertical="center"/>
    </xf>
    <xf numFmtId="0" fontId="17" fillId="0" borderId="6" xfId="5" applyFont="1" applyBorder="1"/>
    <xf numFmtId="0" fontId="17" fillId="0" borderId="3" xfId="5" applyFont="1" applyBorder="1"/>
    <xf numFmtId="0" fontId="17" fillId="0" borderId="5" xfId="5" applyFont="1" applyBorder="1"/>
    <xf numFmtId="0" fontId="17" fillId="0" borderId="2" xfId="5" applyFont="1" applyBorder="1"/>
    <xf numFmtId="0" fontId="17" fillId="0" borderId="0" xfId="5" applyFont="1"/>
    <xf numFmtId="0" fontId="17" fillId="0" borderId="8" xfId="5" applyFont="1" applyBorder="1" applyAlignment="1">
      <alignment horizontal="center" vertical="center" wrapText="1"/>
    </xf>
    <xf numFmtId="0" fontId="19" fillId="0" borderId="7" xfId="5" applyFont="1" applyBorder="1" applyAlignment="1">
      <alignment horizontal="center" vertical="center" wrapText="1"/>
    </xf>
    <xf numFmtId="0" fontId="17" fillId="0" borderId="0" xfId="5" applyFont="1" applyAlignment="1">
      <alignment horizontal="center" vertical="center" wrapText="1"/>
    </xf>
    <xf numFmtId="37" fontId="17" fillId="0" borderId="5" xfId="5" applyNumberFormat="1" applyFont="1" applyBorder="1" applyAlignment="1">
      <alignment horizontal="right"/>
    </xf>
    <xf numFmtId="37" fontId="17" fillId="0" borderId="2" xfId="5" applyNumberFormat="1" applyFont="1" applyBorder="1" applyAlignment="1">
      <alignment horizontal="right"/>
    </xf>
    <xf numFmtId="37" fontId="17" fillId="0" borderId="5" xfId="5" applyNumberFormat="1" applyFont="1" applyBorder="1" applyAlignment="1">
      <alignment horizontal="left"/>
    </xf>
    <xf numFmtId="37" fontId="17" fillId="0" borderId="0" xfId="5" applyNumberFormat="1" applyFont="1" applyAlignment="1">
      <alignment horizontal="right"/>
    </xf>
    <xf numFmtId="37" fontId="17" fillId="0" borderId="4" xfId="5" applyNumberFormat="1" applyFont="1" applyBorder="1" applyAlignment="1">
      <alignment horizontal="right"/>
    </xf>
    <xf numFmtId="37" fontId="17" fillId="0" borderId="4" xfId="5" applyNumberFormat="1" applyFont="1" applyBorder="1" applyAlignment="1">
      <alignment horizontal="left"/>
    </xf>
    <xf numFmtId="37" fontId="17" fillId="0" borderId="4" xfId="5" quotePrefix="1" applyNumberFormat="1" applyFont="1" applyBorder="1" applyAlignment="1">
      <alignment horizontal="left"/>
    </xf>
    <xf numFmtId="37" fontId="17" fillId="0" borderId="11" xfId="5" applyNumberFormat="1" applyFont="1" applyBorder="1" applyAlignment="1">
      <alignment horizontal="right"/>
    </xf>
    <xf numFmtId="37" fontId="17" fillId="0" borderId="1" xfId="5" applyNumberFormat="1" applyFont="1" applyBorder="1" applyAlignment="1">
      <alignment horizontal="right"/>
    </xf>
    <xf numFmtId="37" fontId="17" fillId="0" borderId="11" xfId="5" applyNumberFormat="1" applyFont="1" applyBorder="1" applyAlignment="1">
      <alignment horizontal="left"/>
    </xf>
    <xf numFmtId="0" fontId="17" fillId="0" borderId="5" xfId="5" applyFont="1" applyBorder="1" applyAlignment="1">
      <alignment horizontal="left"/>
    </xf>
    <xf numFmtId="37" fontId="17" fillId="0" borderId="6" xfId="5" applyNumberFormat="1" applyFont="1" applyBorder="1" applyAlignment="1">
      <alignment horizontal="right"/>
    </xf>
    <xf numFmtId="37" fontId="17" fillId="0" borderId="8" xfId="5" applyNumberFormat="1" applyFont="1" applyBorder="1" applyAlignment="1">
      <alignment horizontal="right"/>
    </xf>
    <xf numFmtId="37" fontId="17" fillId="0" borderId="9" xfId="5" applyNumberFormat="1" applyFont="1" applyBorder="1" applyAlignment="1">
      <alignment horizontal="right"/>
    </xf>
    <xf numFmtId="38" fontId="17" fillId="0" borderId="6" xfId="2" applyFont="1" applyFill="1" applyBorder="1" applyAlignment="1"/>
    <xf numFmtId="38" fontId="17" fillId="0" borderId="3" xfId="2" applyFont="1" applyFill="1" applyBorder="1" applyAlignment="1"/>
    <xf numFmtId="38" fontId="17" fillId="0" borderId="2" xfId="2" applyFont="1" applyFill="1" applyBorder="1" applyAlignment="1"/>
    <xf numFmtId="38" fontId="17" fillId="0" borderId="0" xfId="2" applyFont="1" applyFill="1" applyAlignment="1">
      <alignment horizontal="center" vertical="center" wrapText="1"/>
    </xf>
    <xf numFmtId="37" fontId="17" fillId="0" borderId="5" xfId="2" applyNumberFormat="1" applyFont="1" applyFill="1" applyBorder="1" applyAlignment="1">
      <alignment horizontal="right"/>
    </xf>
    <xf numFmtId="37" fontId="17" fillId="0" borderId="2" xfId="2" applyNumberFormat="1" applyFont="1" applyFill="1" applyBorder="1" applyAlignment="1">
      <alignment horizontal="right"/>
    </xf>
    <xf numFmtId="37" fontId="17" fillId="0" borderId="5" xfId="2" applyNumberFormat="1" applyFont="1" applyFill="1" applyBorder="1" applyAlignment="1">
      <alignment horizontal="left"/>
    </xf>
    <xf numFmtId="37" fontId="17" fillId="0" borderId="0" xfId="2" applyNumberFormat="1" applyFont="1" applyFill="1" applyBorder="1" applyAlignment="1">
      <alignment horizontal="right"/>
    </xf>
    <xf numFmtId="37" fontId="17" fillId="0" borderId="0" xfId="2" applyNumberFormat="1" applyFont="1" applyFill="1" applyAlignment="1">
      <alignment horizontal="right"/>
    </xf>
    <xf numFmtId="37" fontId="17" fillId="0" borderId="4" xfId="2" applyNumberFormat="1" applyFont="1" applyFill="1" applyBorder="1" applyAlignment="1">
      <alignment horizontal="right"/>
    </xf>
    <xf numFmtId="37" fontId="17" fillId="0" borderId="4" xfId="2" applyNumberFormat="1" applyFont="1" applyFill="1" applyBorder="1" applyAlignment="1">
      <alignment horizontal="left"/>
    </xf>
    <xf numFmtId="37" fontId="17" fillId="0" borderId="4" xfId="2" quotePrefix="1" applyNumberFormat="1" applyFont="1" applyFill="1" applyBorder="1" applyAlignment="1">
      <alignment horizontal="left"/>
    </xf>
    <xf numFmtId="37" fontId="17" fillId="0" borderId="11" xfId="2" applyNumberFormat="1" applyFont="1" applyFill="1" applyBorder="1" applyAlignment="1">
      <alignment horizontal="right"/>
    </xf>
    <xf numFmtId="37" fontId="17" fillId="0" borderId="1" xfId="2" applyNumberFormat="1" applyFont="1" applyFill="1" applyBorder="1" applyAlignment="1">
      <alignment horizontal="right"/>
    </xf>
    <xf numFmtId="37" fontId="17" fillId="0" borderId="11" xfId="2" applyNumberFormat="1" applyFont="1" applyFill="1" applyBorder="1" applyAlignment="1">
      <alignment horizontal="left"/>
    </xf>
    <xf numFmtId="38" fontId="13" fillId="0" borderId="0" xfId="2" applyFont="1" applyFill="1" applyAlignment="1">
      <alignment horizontal="center" vertical="center"/>
    </xf>
    <xf numFmtId="38" fontId="17" fillId="0" borderId="5" xfId="2" applyFont="1" applyFill="1" applyBorder="1" applyAlignment="1">
      <alignment horizontal="left"/>
    </xf>
    <xf numFmtId="38" fontId="17" fillId="0" borderId="0" xfId="2" applyFont="1" applyFill="1" applyAlignment="1">
      <alignment horizontal="right"/>
    </xf>
    <xf numFmtId="38" fontId="17" fillId="0" borderId="6" xfId="2" applyFont="1" applyFill="1" applyBorder="1" applyAlignment="1">
      <alignment horizontal="center" vertical="center" wrapText="1"/>
    </xf>
    <xf numFmtId="0" fontId="13" fillId="0" borderId="0" xfId="5" applyFont="1" applyAlignment="1">
      <alignment vertical="center"/>
    </xf>
    <xf numFmtId="0" fontId="15" fillId="0" borderId="0" xfId="5" applyFont="1" applyAlignment="1">
      <alignment vertical="center"/>
    </xf>
    <xf numFmtId="0" fontId="17" fillId="0" borderId="6" xfId="5" applyFont="1" applyBorder="1" applyAlignment="1">
      <alignment vertical="center"/>
    </xf>
    <xf numFmtId="0" fontId="17" fillId="0" borderId="3" xfId="5" applyFont="1" applyBorder="1" applyAlignment="1">
      <alignment vertical="center"/>
    </xf>
    <xf numFmtId="0" fontId="17" fillId="0" borderId="5" xfId="5" applyFont="1" applyBorder="1" applyAlignment="1">
      <alignment vertical="center"/>
    </xf>
    <xf numFmtId="0" fontId="17" fillId="0" borderId="2" xfId="5" applyFont="1" applyBorder="1" applyAlignment="1">
      <alignment vertical="center"/>
    </xf>
    <xf numFmtId="0" fontId="17" fillId="0" borderId="0" xfId="5" applyFont="1" applyAlignment="1">
      <alignment vertical="center"/>
    </xf>
    <xf numFmtId="0" fontId="17" fillId="0" borderId="2" xfId="5" applyFont="1" applyBorder="1" applyAlignment="1">
      <alignment horizontal="center" vertical="center" wrapText="1"/>
    </xf>
    <xf numFmtId="0" fontId="17" fillId="0" borderId="6" xfId="5" applyFont="1" applyBorder="1" applyAlignment="1">
      <alignment horizontal="center" vertical="center" wrapText="1"/>
    </xf>
    <xf numFmtId="37" fontId="17" fillId="0" borderId="5" xfId="5" applyNumberFormat="1" applyFont="1" applyBorder="1" applyAlignment="1">
      <alignment horizontal="right" vertical="center"/>
    </xf>
    <xf numFmtId="37" fontId="17" fillId="0" borderId="2" xfId="5" applyNumberFormat="1" applyFont="1" applyBorder="1" applyAlignment="1">
      <alignment horizontal="right" vertical="center"/>
    </xf>
    <xf numFmtId="37" fontId="17" fillId="0" borderId="5" xfId="5" applyNumberFormat="1" applyFont="1" applyBorder="1" applyAlignment="1">
      <alignment horizontal="left" vertical="center"/>
    </xf>
    <xf numFmtId="37" fontId="17" fillId="0" borderId="0" xfId="5" applyNumberFormat="1" applyFont="1" applyAlignment="1">
      <alignment horizontal="right" vertical="center"/>
    </xf>
    <xf numFmtId="37" fontId="17" fillId="0" borderId="4" xfId="5" applyNumberFormat="1" applyFont="1" applyBorder="1" applyAlignment="1">
      <alignment horizontal="right" vertical="center"/>
    </xf>
    <xf numFmtId="37" fontId="17" fillId="0" borderId="4" xfId="5" applyNumberFormat="1" applyFont="1" applyBorder="1" applyAlignment="1">
      <alignment horizontal="left" vertical="center"/>
    </xf>
    <xf numFmtId="37" fontId="17" fillId="0" borderId="4" xfId="5" quotePrefix="1" applyNumberFormat="1" applyFont="1" applyBorder="1" applyAlignment="1">
      <alignment horizontal="left" vertical="center"/>
    </xf>
    <xf numFmtId="37" fontId="17" fillId="0" borderId="11" xfId="5" applyNumberFormat="1" applyFont="1" applyBorder="1" applyAlignment="1">
      <alignment horizontal="right" vertical="center"/>
    </xf>
    <xf numFmtId="37" fontId="17" fillId="0" borderId="1" xfId="5" applyNumberFormat="1" applyFont="1" applyBorder="1" applyAlignment="1">
      <alignment horizontal="right" vertical="center"/>
    </xf>
    <xf numFmtId="37" fontId="17" fillId="0" borderId="11" xfId="5" applyNumberFormat="1" applyFont="1" applyBorder="1" applyAlignment="1">
      <alignment horizontal="left" vertical="center"/>
    </xf>
    <xf numFmtId="0" fontId="17" fillId="0" borderId="5" xfId="5" applyFont="1" applyBorder="1" applyAlignment="1">
      <alignment horizontal="left" vertical="center"/>
    </xf>
    <xf numFmtId="0" fontId="19" fillId="0" borderId="3" xfId="5" applyFont="1" applyBorder="1" applyAlignment="1">
      <alignment horizontal="center" vertical="center" wrapText="1"/>
    </xf>
    <xf numFmtId="37" fontId="17" fillId="0" borderId="6" xfId="5" applyNumberFormat="1" applyFont="1" applyBorder="1" applyAlignment="1">
      <alignment horizontal="right" vertical="center"/>
    </xf>
    <xf numFmtId="37" fontId="17" fillId="0" borderId="8" xfId="5" applyNumberFormat="1" applyFont="1" applyBorder="1" applyAlignment="1">
      <alignment horizontal="right" vertical="center"/>
    </xf>
    <xf numFmtId="37" fontId="17" fillId="0" borderId="9" xfId="5" applyNumberFormat="1" applyFont="1" applyBorder="1" applyAlignment="1">
      <alignment horizontal="right" vertical="center"/>
    </xf>
    <xf numFmtId="0" fontId="8" fillId="0" borderId="0" xfId="5" applyFont="1" applyAlignment="1">
      <alignment vertical="center"/>
    </xf>
    <xf numFmtId="0" fontId="35" fillId="0" borderId="0" xfId="5" applyFont="1" applyAlignment="1">
      <alignment vertical="center"/>
    </xf>
    <xf numFmtId="0" fontId="36" fillId="0" borderId="0" xfId="5" applyFont="1" applyAlignment="1">
      <alignment vertical="center"/>
    </xf>
    <xf numFmtId="0" fontId="36" fillId="0" borderId="2" xfId="5" applyFont="1" applyBorder="1" applyAlignment="1">
      <alignment vertical="center"/>
    </xf>
    <xf numFmtId="0" fontId="17" fillId="0" borderId="0" xfId="5" applyFont="1" applyAlignment="1">
      <alignment horizontal="right" vertical="center"/>
    </xf>
    <xf numFmtId="176" fontId="17" fillId="0" borderId="11" xfId="5" applyNumberFormat="1" applyFont="1" applyBorder="1" applyAlignment="1">
      <alignment horizontal="left" vertical="center"/>
    </xf>
    <xf numFmtId="177" fontId="17" fillId="0" borderId="9" xfId="5" applyNumberFormat="1" applyFont="1" applyBorder="1" applyAlignment="1">
      <alignment horizontal="right" vertical="center"/>
    </xf>
    <xf numFmtId="177" fontId="17" fillId="0" borderId="1" xfId="5" applyNumberFormat="1" applyFont="1" applyBorder="1" applyAlignment="1">
      <alignment horizontal="right" vertical="center"/>
    </xf>
    <xf numFmtId="177" fontId="17" fillId="0" borderId="11" xfId="5" applyNumberFormat="1" applyFont="1" applyBorder="1" applyAlignment="1">
      <alignment horizontal="right" vertical="center"/>
    </xf>
    <xf numFmtId="176" fontId="17" fillId="0" borderId="4" xfId="5" applyNumberFormat="1" applyFont="1" applyBorder="1" applyAlignment="1">
      <alignment horizontal="left" vertical="center"/>
    </xf>
    <xf numFmtId="177" fontId="17" fillId="0" borderId="8" xfId="5" applyNumberFormat="1" applyFont="1" applyBorder="1" applyAlignment="1">
      <alignment horizontal="right" vertical="center"/>
    </xf>
    <xf numFmtId="177" fontId="17" fillId="0" borderId="0" xfId="5" applyNumberFormat="1" applyFont="1" applyAlignment="1">
      <alignment horizontal="right" vertical="center"/>
    </xf>
    <xf numFmtId="38" fontId="17" fillId="0" borderId="0" xfId="2" applyFont="1" applyFill="1" applyAlignment="1">
      <alignment horizontal="right" vertical="center"/>
    </xf>
    <xf numFmtId="177" fontId="17" fillId="0" borderId="4" xfId="5" applyNumberFormat="1" applyFont="1" applyBorder="1" applyAlignment="1">
      <alignment horizontal="right" vertical="center"/>
    </xf>
    <xf numFmtId="178" fontId="17" fillId="0" borderId="4" xfId="5" applyNumberFormat="1" applyFont="1" applyBorder="1" applyAlignment="1">
      <alignment horizontal="left" vertical="center"/>
    </xf>
    <xf numFmtId="0" fontId="17" fillId="0" borderId="4" xfId="5" applyFont="1" applyBorder="1" applyAlignment="1">
      <alignment horizontal="left" vertical="center"/>
    </xf>
    <xf numFmtId="179" fontId="17" fillId="0" borderId="4" xfId="5" applyNumberFormat="1" applyFont="1" applyBorder="1" applyAlignment="1">
      <alignment horizontal="left" vertical="center"/>
    </xf>
    <xf numFmtId="180" fontId="17" fillId="0" borderId="4" xfId="5" applyNumberFormat="1" applyFont="1" applyBorder="1" applyAlignment="1">
      <alignment horizontal="left" vertical="center"/>
    </xf>
    <xf numFmtId="181" fontId="17" fillId="0" borderId="4" xfId="5" applyNumberFormat="1" applyFont="1" applyBorder="1" applyAlignment="1">
      <alignment horizontal="left" vertical="center"/>
    </xf>
    <xf numFmtId="182" fontId="17" fillId="0" borderId="4" xfId="5" applyNumberFormat="1" applyFont="1" applyBorder="1" applyAlignment="1">
      <alignment horizontal="left" vertical="center"/>
    </xf>
    <xf numFmtId="183" fontId="17" fillId="0" borderId="4" xfId="5" applyNumberFormat="1" applyFont="1" applyBorder="1" applyAlignment="1">
      <alignment horizontal="left" vertical="center"/>
    </xf>
    <xf numFmtId="184" fontId="17" fillId="0" borderId="4" xfId="5" applyNumberFormat="1" applyFont="1" applyBorder="1" applyAlignment="1">
      <alignment horizontal="left" vertical="center"/>
    </xf>
    <xf numFmtId="0" fontId="37" fillId="0" borderId="0" xfId="5" applyFont="1" applyAlignment="1">
      <alignment vertical="center"/>
    </xf>
    <xf numFmtId="0" fontId="37" fillId="0" borderId="11" xfId="5" applyFont="1" applyBorder="1" applyAlignment="1">
      <alignment vertical="center"/>
    </xf>
    <xf numFmtId="0" fontId="37" fillId="0" borderId="11" xfId="5" applyFont="1" applyBorder="1" applyAlignment="1">
      <alignment horizontal="center" vertical="center" wrapText="1"/>
    </xf>
    <xf numFmtId="0" fontId="37" fillId="0" borderId="4" xfId="5" applyFont="1" applyBorder="1" applyAlignment="1">
      <alignment horizontal="center" vertical="center" wrapText="1"/>
    </xf>
    <xf numFmtId="0" fontId="37" fillId="0" borderId="3" xfId="5" applyFont="1" applyBorder="1" applyAlignment="1">
      <alignment horizontal="center" vertical="center"/>
    </xf>
    <xf numFmtId="0" fontId="37" fillId="0" borderId="4" xfId="5" applyFont="1" applyBorder="1" applyAlignment="1">
      <alignment horizontal="center" vertical="center"/>
    </xf>
    <xf numFmtId="0" fontId="37" fillId="0" borderId="7" xfId="5" applyFont="1" applyBorder="1" applyAlignment="1">
      <alignment horizontal="center" vertical="center"/>
    </xf>
    <xf numFmtId="0" fontId="9" fillId="0" borderId="8" xfId="5" applyBorder="1" applyAlignment="1">
      <alignment vertical="center" wrapText="1"/>
    </xf>
    <xf numFmtId="0" fontId="9" fillId="0" borderId="0" xfId="5" applyAlignment="1">
      <alignment vertical="center" wrapText="1"/>
    </xf>
    <xf numFmtId="49" fontId="37" fillId="0" borderId="1" xfId="14" applyNumberFormat="1" applyFont="1" applyBorder="1" applyAlignment="1">
      <alignment horizontal="center" vertical="center"/>
    </xf>
    <xf numFmtId="0" fontId="37" fillId="0" borderId="9" xfId="5" applyFont="1" applyBorder="1" applyAlignment="1">
      <alignment vertical="center"/>
    </xf>
    <xf numFmtId="0" fontId="37" fillId="0" borderId="1" xfId="5" applyFont="1" applyBorder="1" applyAlignment="1">
      <alignment vertical="center"/>
    </xf>
    <xf numFmtId="0" fontId="37" fillId="0" borderId="9" xfId="5" applyFont="1" applyBorder="1" applyAlignment="1">
      <alignment horizontal="left" vertical="center"/>
    </xf>
    <xf numFmtId="0" fontId="37" fillId="0" borderId="7" xfId="5" applyFont="1" applyBorder="1" applyAlignment="1">
      <alignment horizontal="centerContinuous" vertical="center"/>
    </xf>
    <xf numFmtId="0" fontId="37" fillId="0" borderId="0" xfId="5" applyFont="1" applyAlignment="1">
      <alignment horizontal="left" vertical="center"/>
    </xf>
    <xf numFmtId="0" fontId="9" fillId="0" borderId="2" xfId="5" applyBorder="1" applyAlignment="1">
      <alignment vertical="center" wrapText="1"/>
    </xf>
    <xf numFmtId="0" fontId="37" fillId="0" borderId="5" xfId="5" applyFont="1" applyBorder="1" applyAlignment="1">
      <alignment horizontal="center" vertical="center"/>
    </xf>
    <xf numFmtId="0" fontId="37" fillId="0" borderId="6" xfId="5" applyFont="1" applyBorder="1" applyAlignment="1">
      <alignment horizontal="centerContinuous" vertical="center"/>
    </xf>
    <xf numFmtId="0" fontId="37" fillId="0" borderId="2" xfId="5" applyFont="1" applyBorder="1" applyAlignment="1">
      <alignment horizontal="centerContinuous" vertical="center"/>
    </xf>
    <xf numFmtId="0" fontId="37" fillId="0" borderId="6" xfId="5" applyFont="1" applyBorder="1" applyAlignment="1">
      <alignment horizontal="left" vertical="center"/>
    </xf>
    <xf numFmtId="0" fontId="37" fillId="0" borderId="3" xfId="5" applyFont="1" applyBorder="1" applyAlignment="1">
      <alignment horizontal="centerContinuous" vertical="center"/>
    </xf>
    <xf numFmtId="0" fontId="17" fillId="0" borderId="2" xfId="5" applyFont="1" applyBorder="1" applyAlignment="1">
      <alignment vertical="center" wrapText="1"/>
    </xf>
    <xf numFmtId="0" fontId="40" fillId="0" borderId="0" xfId="5" applyFont="1" applyAlignment="1">
      <alignment vertical="center"/>
    </xf>
    <xf numFmtId="0" fontId="40" fillId="0" borderId="1" xfId="5" applyFont="1" applyBorder="1" applyAlignment="1">
      <alignment vertical="center"/>
    </xf>
    <xf numFmtId="0" fontId="37" fillId="0" borderId="1" xfId="5" applyFont="1" applyBorder="1" applyAlignment="1">
      <alignment horizontal="right" vertical="center"/>
    </xf>
    <xf numFmtId="0" fontId="41" fillId="0" borderId="1" xfId="5" applyFont="1" applyBorder="1" applyAlignment="1">
      <alignment horizontal="left" vertical="center" indent="1"/>
    </xf>
    <xf numFmtId="0" fontId="42" fillId="0" borderId="0" xfId="5" applyFont="1" applyAlignment="1">
      <alignment vertical="center"/>
    </xf>
    <xf numFmtId="185" fontId="42" fillId="0" borderId="0" xfId="14" applyNumberFormat="1" applyFont="1" applyAlignment="1">
      <alignment horizontal="right" vertical="center"/>
    </xf>
    <xf numFmtId="49" fontId="42" fillId="0" borderId="0" xfId="5" applyNumberFormat="1" applyFont="1" applyAlignment="1">
      <alignment horizontal="right" vertical="center"/>
    </xf>
    <xf numFmtId="49" fontId="43" fillId="0" borderId="0" xfId="5" applyNumberFormat="1" applyFont="1" applyAlignment="1">
      <alignment horizontal="left" vertical="center"/>
    </xf>
    <xf numFmtId="176" fontId="17" fillId="0" borderId="0" xfId="5" applyNumberFormat="1" applyFont="1" applyAlignment="1">
      <alignment horizontal="left" vertical="center"/>
    </xf>
    <xf numFmtId="177" fontId="37" fillId="0" borderId="0" xfId="14" applyNumberFormat="1" applyFont="1" applyAlignment="1">
      <alignment horizontal="right" vertical="center"/>
    </xf>
    <xf numFmtId="49" fontId="37" fillId="0" borderId="0" xfId="5" applyNumberFormat="1" applyFont="1" applyAlignment="1">
      <alignment horizontal="right" vertical="center"/>
    </xf>
    <xf numFmtId="177" fontId="17" fillId="0" borderId="1" xfId="14" applyNumberFormat="1" applyFont="1" applyBorder="1" applyAlignment="1">
      <alignment horizontal="right" vertical="center"/>
    </xf>
    <xf numFmtId="177" fontId="17" fillId="0" borderId="11" xfId="14" applyNumberFormat="1" applyFont="1" applyBorder="1" applyAlignment="1">
      <alignment horizontal="right" vertical="center"/>
    </xf>
    <xf numFmtId="177" fontId="17" fillId="0" borderId="0" xfId="14" applyNumberFormat="1" applyFont="1" applyAlignment="1">
      <alignment horizontal="right" vertical="center"/>
    </xf>
    <xf numFmtId="177" fontId="17" fillId="0" borderId="4" xfId="14" applyNumberFormat="1" applyFont="1" applyBorder="1" applyAlignment="1">
      <alignment horizontal="right" vertical="center"/>
    </xf>
    <xf numFmtId="177" fontId="37" fillId="0" borderId="0" xfId="5" applyNumberFormat="1" applyFont="1" applyAlignment="1">
      <alignment horizontal="right" vertical="center"/>
    </xf>
    <xf numFmtId="177" fontId="17" fillId="0" borderId="8" xfId="14" applyNumberFormat="1" applyFont="1" applyBorder="1" applyAlignment="1">
      <alignment horizontal="right" vertical="center"/>
    </xf>
    <xf numFmtId="49" fontId="37" fillId="0" borderId="0" xfId="5" applyNumberFormat="1" applyFont="1" applyAlignment="1">
      <alignment horizontal="left" vertical="center"/>
    </xf>
    <xf numFmtId="177" fontId="17" fillId="0" borderId="0" xfId="2" applyNumberFormat="1" applyFont="1" applyFill="1" applyBorder="1" applyAlignment="1">
      <alignment vertical="center"/>
    </xf>
    <xf numFmtId="0" fontId="37" fillId="0" borderId="1" xfId="5" applyFont="1" applyBorder="1" applyAlignment="1">
      <alignment horizontal="left" vertical="center"/>
    </xf>
    <xf numFmtId="0" fontId="37" fillId="0" borderId="4" xfId="5" applyFont="1" applyBorder="1" applyAlignment="1">
      <alignment horizontal="centerContinuous" vertical="center"/>
    </xf>
    <xf numFmtId="0" fontId="37" fillId="0" borderId="0" xfId="5" applyFont="1" applyAlignment="1">
      <alignment horizontal="right" vertical="center"/>
    </xf>
    <xf numFmtId="0" fontId="44" fillId="0" borderId="0" xfId="5" applyFont="1" applyAlignment="1">
      <alignment vertical="center"/>
    </xf>
    <xf numFmtId="0" fontId="41" fillId="0" borderId="1" xfId="5" applyFont="1" applyBorder="1" applyAlignment="1">
      <alignment vertical="center"/>
    </xf>
    <xf numFmtId="0" fontId="41" fillId="0" borderId="0" xfId="5" applyFont="1" applyAlignment="1">
      <alignment vertical="center"/>
    </xf>
    <xf numFmtId="0" fontId="8" fillId="0" borderId="0" xfId="5" applyFont="1"/>
    <xf numFmtId="0" fontId="8" fillId="0" borderId="0" xfId="5" applyFont="1" applyAlignment="1">
      <alignment horizontal="left"/>
    </xf>
    <xf numFmtId="0" fontId="37" fillId="0" borderId="0" xfId="5" applyFont="1"/>
    <xf numFmtId="38" fontId="37" fillId="0" borderId="0" xfId="15" applyNumberFormat="1" applyFont="1"/>
    <xf numFmtId="38" fontId="17" fillId="0" borderId="9" xfId="2" applyFont="1" applyFill="1" applyBorder="1" applyAlignment="1" applyProtection="1">
      <alignment vertical="center" wrapText="1"/>
    </xf>
    <xf numFmtId="38" fontId="17" fillId="0" borderId="1" xfId="2" applyFont="1" applyFill="1" applyBorder="1" applyAlignment="1" applyProtection="1">
      <alignment vertical="center" wrapText="1"/>
    </xf>
    <xf numFmtId="38" fontId="17" fillId="0" borderId="11" xfId="2" applyFont="1" applyFill="1" applyBorder="1" applyAlignment="1" applyProtection="1">
      <alignment vertical="center" wrapText="1"/>
    </xf>
    <xf numFmtId="38" fontId="17" fillId="0" borderId="8" xfId="2" applyFont="1" applyFill="1" applyBorder="1" applyAlignment="1" applyProtection="1">
      <alignment horizontal="right" vertical="center" wrapText="1"/>
    </xf>
    <xf numFmtId="38" fontId="17" fillId="0" borderId="0" xfId="2" applyFont="1" applyFill="1" applyBorder="1" applyAlignment="1" applyProtection="1">
      <alignment horizontal="right" vertical="center" wrapText="1"/>
    </xf>
    <xf numFmtId="38" fontId="17" fillId="0" borderId="14" xfId="2" applyFont="1" applyFill="1" applyBorder="1" applyAlignment="1" applyProtection="1">
      <alignment horizontal="right" vertical="center" wrapText="1"/>
    </xf>
    <xf numFmtId="38" fontId="48" fillId="0" borderId="8" xfId="2" applyFont="1" applyFill="1" applyBorder="1" applyAlignment="1" applyProtection="1">
      <alignment horizontal="right" vertical="center" wrapText="1"/>
    </xf>
    <xf numFmtId="38" fontId="48" fillId="0" borderId="0" xfId="2" applyFont="1" applyFill="1" applyBorder="1" applyAlignment="1" applyProtection="1">
      <alignment horizontal="right" vertical="center" wrapText="1"/>
    </xf>
    <xf numFmtId="38" fontId="48" fillId="0" borderId="14" xfId="2" applyFont="1" applyFill="1" applyBorder="1" applyAlignment="1" applyProtection="1">
      <alignment horizontal="right" vertical="center" wrapText="1"/>
    </xf>
    <xf numFmtId="38" fontId="17" fillId="0" borderId="8" xfId="2" applyFont="1" applyFill="1" applyBorder="1" applyAlignment="1">
      <alignment vertical="center"/>
    </xf>
    <xf numFmtId="38" fontId="17" fillId="0" borderId="0" xfId="2" applyFont="1" applyFill="1" applyBorder="1" applyAlignment="1">
      <alignment vertical="center"/>
    </xf>
    <xf numFmtId="38" fontId="17" fillId="0" borderId="8" xfId="2" applyFont="1" applyFill="1" applyBorder="1" applyAlignment="1">
      <alignment horizontal="right" vertical="center" wrapText="1"/>
    </xf>
    <xf numFmtId="38" fontId="17" fillId="0" borderId="0" xfId="2" applyFont="1" applyFill="1" applyBorder="1" applyAlignment="1">
      <alignment horizontal="right" vertical="center" wrapText="1"/>
    </xf>
    <xf numFmtId="0" fontId="37" fillId="0" borderId="10" xfId="5" applyFont="1" applyBorder="1" applyAlignment="1">
      <alignment vertical="center"/>
    </xf>
    <xf numFmtId="38" fontId="17" fillId="0" borderId="18" xfId="15" applyNumberFormat="1" applyFont="1" applyBorder="1" applyAlignment="1">
      <alignment horizontal="center" vertical="center" wrapText="1"/>
    </xf>
    <xf numFmtId="38" fontId="17" fillId="0" borderId="19" xfId="15" applyNumberFormat="1" applyFont="1" applyBorder="1" applyAlignment="1">
      <alignment horizontal="center" vertical="center" wrapText="1"/>
    </xf>
    <xf numFmtId="38" fontId="37" fillId="0" borderId="20" xfId="15" applyNumberFormat="1" applyFont="1" applyBorder="1" applyAlignment="1">
      <alignment horizontal="center" vertical="center" wrapText="1"/>
    </xf>
    <xf numFmtId="38" fontId="37" fillId="0" borderId="21" xfId="15" applyNumberFormat="1" applyFont="1" applyBorder="1" applyAlignment="1">
      <alignment horizontal="center" vertical="center" wrapText="1"/>
    </xf>
    <xf numFmtId="38" fontId="37" fillId="0" borderId="14" xfId="15" applyNumberFormat="1" applyFont="1" applyBorder="1" applyAlignment="1">
      <alignment horizontal="center" vertical="center" wrapText="1"/>
    </xf>
    <xf numFmtId="38" fontId="17" fillId="0" borderId="0" xfId="15" applyNumberFormat="1" applyFont="1" applyAlignment="1">
      <alignment horizontal="center" vertical="center" wrapText="1"/>
    </xf>
    <xf numFmtId="38" fontId="17" fillId="0" borderId="23" xfId="15" applyNumberFormat="1" applyFont="1" applyBorder="1" applyAlignment="1">
      <alignment horizontal="center" vertical="center" wrapText="1"/>
    </xf>
    <xf numFmtId="38" fontId="17" fillId="0" borderId="14" xfId="15" applyNumberFormat="1" applyFont="1" applyBorder="1" applyAlignment="1">
      <alignment horizontal="center" vertical="center" wrapText="1"/>
    </xf>
    <xf numFmtId="38" fontId="37" fillId="0" borderId="24" xfId="15" applyNumberFormat="1" applyFont="1" applyBorder="1" applyAlignment="1">
      <alignment horizontal="center" vertical="center" wrapText="1"/>
    </xf>
    <xf numFmtId="38" fontId="37" fillId="0" borderId="0" xfId="15" applyNumberFormat="1" applyFont="1" applyAlignment="1">
      <alignment horizontal="center" vertical="center" wrapText="1"/>
    </xf>
    <xf numFmtId="0" fontId="17" fillId="0" borderId="25" xfId="5" applyFont="1" applyBorder="1" applyAlignment="1">
      <alignment vertical="center"/>
    </xf>
    <xf numFmtId="0" fontId="17" fillId="0" borderId="26" xfId="5" applyFont="1" applyBorder="1" applyAlignment="1">
      <alignment vertical="center"/>
    </xf>
    <xf numFmtId="38" fontId="17" fillId="0" borderId="14" xfId="15" applyNumberFormat="1" applyFont="1" applyBorder="1" applyAlignment="1">
      <alignment horizontal="left" vertical="center"/>
    </xf>
    <xf numFmtId="38" fontId="37" fillId="0" borderId="25" xfId="15" applyNumberFormat="1" applyFont="1" applyBorder="1" applyAlignment="1">
      <alignment horizontal="center" vertical="center" wrapText="1"/>
    </xf>
    <xf numFmtId="38" fontId="37" fillId="0" borderId="26" xfId="15" applyNumberFormat="1" applyFont="1" applyBorder="1" applyAlignment="1">
      <alignment horizontal="center" vertical="center" wrapText="1"/>
    </xf>
    <xf numFmtId="38" fontId="17" fillId="0" borderId="0" xfId="15" applyNumberFormat="1" applyFont="1" applyAlignment="1">
      <alignment vertical="center" wrapText="1"/>
    </xf>
    <xf numFmtId="0" fontId="17" fillId="0" borderId="15" xfId="5" applyFont="1" applyBorder="1" applyAlignment="1">
      <alignment horizontal="left" vertical="center"/>
    </xf>
    <xf numFmtId="38" fontId="17" fillId="0" borderId="0" xfId="15" applyNumberFormat="1" applyFont="1" applyAlignment="1">
      <alignment horizontal="left" vertical="center"/>
    </xf>
    <xf numFmtId="38" fontId="17" fillId="0" borderId="14" xfId="15" applyNumberFormat="1" applyFont="1" applyBorder="1" applyAlignment="1">
      <alignment vertical="center" wrapText="1"/>
    </xf>
    <xf numFmtId="38" fontId="17" fillId="0" borderId="23" xfId="15" applyNumberFormat="1" applyFont="1" applyBorder="1" applyAlignment="1">
      <alignment vertical="center" wrapText="1"/>
    </xf>
    <xf numFmtId="38" fontId="37" fillId="0" borderId="27" xfId="15" applyNumberFormat="1" applyFont="1" applyBorder="1" applyAlignment="1">
      <alignment vertical="center" wrapText="1"/>
    </xf>
    <xf numFmtId="38" fontId="37" fillId="0" borderId="28" xfId="15" applyNumberFormat="1" applyFont="1" applyBorder="1" applyAlignment="1">
      <alignment vertical="center" wrapText="1"/>
    </xf>
    <xf numFmtId="22" fontId="14" fillId="0" borderId="1" xfId="5" applyNumberFormat="1" applyFont="1" applyBorder="1" applyAlignment="1">
      <alignment vertical="center"/>
    </xf>
    <xf numFmtId="0" fontId="14" fillId="0" borderId="1" xfId="5" applyFont="1" applyBorder="1" applyAlignment="1">
      <alignment vertical="center"/>
    </xf>
    <xf numFmtId="38" fontId="17" fillId="0" borderId="0" xfId="15" applyNumberFormat="1" applyFont="1" applyAlignment="1">
      <alignment horizontal="right" vertical="center"/>
    </xf>
    <xf numFmtId="3" fontId="17" fillId="0" borderId="0" xfId="15" applyNumberFormat="1" applyFont="1" applyAlignment="1">
      <alignment horizontal="right" vertical="center" wrapText="1"/>
    </xf>
    <xf numFmtId="38" fontId="17" fillId="0" borderId="14" xfId="15" applyNumberFormat="1" applyFont="1" applyBorder="1" applyAlignment="1">
      <alignment horizontal="right" vertical="center"/>
    </xf>
    <xf numFmtId="38" fontId="17" fillId="0" borderId="2" xfId="2" applyFont="1" applyFill="1" applyBorder="1" applyAlignment="1" applyProtection="1">
      <alignment horizontal="right" vertical="center" wrapText="1"/>
    </xf>
    <xf numFmtId="38" fontId="17" fillId="0" borderId="16" xfId="2" applyFont="1" applyFill="1" applyBorder="1" applyAlignment="1" applyProtection="1">
      <alignment horizontal="right" vertical="center" wrapText="1"/>
    </xf>
    <xf numFmtId="0" fontId="9" fillId="0" borderId="0" xfId="5"/>
    <xf numFmtId="0" fontId="9" fillId="0" borderId="0" xfId="5" applyAlignment="1">
      <alignment horizontal="left"/>
    </xf>
    <xf numFmtId="0" fontId="51" fillId="0" borderId="0" xfId="5" applyFont="1"/>
    <xf numFmtId="0" fontId="9" fillId="0" borderId="0" xfId="5" applyAlignment="1">
      <alignment vertical="center"/>
    </xf>
    <xf numFmtId="38" fontId="20" fillId="0" borderId="0" xfId="15" applyNumberFormat="1" applyFont="1" applyAlignment="1">
      <alignment vertical="center"/>
    </xf>
    <xf numFmtId="38" fontId="17" fillId="0" borderId="0" xfId="15" applyNumberFormat="1" applyFont="1" applyAlignment="1">
      <alignment horizontal="left" vertical="center" wrapText="1"/>
    </xf>
    <xf numFmtId="38" fontId="17" fillId="0" borderId="0" xfId="15" applyNumberFormat="1" applyFont="1" applyAlignment="1">
      <alignment vertical="center"/>
    </xf>
    <xf numFmtId="38" fontId="20" fillId="0" borderId="0" xfId="15" applyNumberFormat="1" applyFont="1"/>
    <xf numFmtId="38" fontId="17" fillId="0" borderId="0" xfId="15" applyNumberFormat="1" applyFont="1" applyAlignment="1">
      <alignment horizontal="right" wrapText="1"/>
    </xf>
    <xf numFmtId="38" fontId="17" fillId="0" borderId="9" xfId="15" applyNumberFormat="1" applyFont="1" applyBorder="1" applyAlignment="1">
      <alignment wrapText="1"/>
    </xf>
    <xf numFmtId="38" fontId="17" fillId="0" borderId="1" xfId="15" applyNumberFormat="1" applyFont="1" applyBorder="1" applyAlignment="1">
      <alignment wrapText="1"/>
    </xf>
    <xf numFmtId="38" fontId="17" fillId="0" borderId="9" xfId="15" applyNumberFormat="1" applyFont="1" applyBorder="1" applyAlignment="1">
      <alignment horizontal="left" wrapText="1"/>
    </xf>
    <xf numFmtId="38" fontId="17" fillId="0" borderId="0" xfId="15" applyNumberFormat="1" applyFont="1" applyAlignment="1">
      <alignment horizontal="right"/>
    </xf>
    <xf numFmtId="3" fontId="17" fillId="0" borderId="8" xfId="15" applyNumberFormat="1" applyFont="1" applyBorder="1" applyAlignment="1">
      <alignment horizontal="right" vertical="center" wrapText="1"/>
    </xf>
    <xf numFmtId="38" fontId="17" fillId="0" borderId="8" xfId="15" applyNumberFormat="1" applyFont="1" applyBorder="1" applyAlignment="1">
      <alignment horizontal="left" vertical="center" wrapText="1"/>
    </xf>
    <xf numFmtId="3" fontId="17" fillId="0" borderId="14" xfId="15" applyNumberFormat="1" applyFont="1" applyBorder="1" applyAlignment="1">
      <alignment horizontal="right" vertical="center" wrapText="1"/>
    </xf>
    <xf numFmtId="38" fontId="17" fillId="0" borderId="15" xfId="15" applyNumberFormat="1" applyFont="1" applyBorder="1" applyAlignment="1">
      <alignment horizontal="left" vertical="center" wrapText="1"/>
    </xf>
    <xf numFmtId="38" fontId="17" fillId="0" borderId="15" xfId="15" applyNumberFormat="1" applyFont="1" applyBorder="1" applyAlignment="1">
      <alignment horizontal="left" vertical="center" wrapText="1" indent="1"/>
    </xf>
    <xf numFmtId="3" fontId="48" fillId="0" borderId="0" xfId="15" applyNumberFormat="1" applyFont="1" applyAlignment="1">
      <alignment horizontal="right" vertical="center" wrapText="1"/>
    </xf>
    <xf numFmtId="3" fontId="48" fillId="0" borderId="14" xfId="15" applyNumberFormat="1" applyFont="1" applyBorder="1" applyAlignment="1">
      <alignment horizontal="right" vertical="center" wrapText="1"/>
    </xf>
    <xf numFmtId="38" fontId="48" fillId="0" borderId="15" xfId="15" applyNumberFormat="1" applyFont="1" applyBorder="1" applyAlignment="1">
      <alignment horizontal="left" vertical="center" wrapText="1"/>
    </xf>
    <xf numFmtId="38" fontId="52" fillId="0" borderId="15" xfId="15" applyNumberFormat="1" applyFont="1" applyBorder="1" applyAlignment="1">
      <alignment horizontal="left" vertical="center" wrapText="1" indent="1"/>
    </xf>
    <xf numFmtId="38" fontId="17" fillId="0" borderId="0" xfId="15" applyNumberFormat="1" applyFont="1" applyAlignment="1">
      <alignment horizontal="right" vertical="center" wrapText="1"/>
    </xf>
    <xf numFmtId="38" fontId="17" fillId="0" borderId="29" xfId="15" applyNumberFormat="1" applyFont="1" applyBorder="1" applyAlignment="1">
      <alignment horizontal="right" vertical="center" wrapText="1"/>
    </xf>
    <xf numFmtId="38" fontId="17" fillId="0" borderId="30" xfId="15" applyNumberFormat="1" applyFont="1" applyBorder="1" applyAlignment="1">
      <alignment horizontal="right" vertical="center" wrapText="1"/>
    </xf>
    <xf numFmtId="38" fontId="17" fillId="0" borderId="25" xfId="15" applyNumberFormat="1" applyFont="1" applyBorder="1" applyAlignment="1">
      <alignment horizontal="center" vertical="center" wrapText="1"/>
    </xf>
    <xf numFmtId="38" fontId="17" fillId="0" borderId="0" xfId="15" applyNumberFormat="1" applyFont="1" applyAlignment="1">
      <alignment horizontal="center" vertical="center"/>
    </xf>
    <xf numFmtId="38" fontId="17" fillId="0" borderId="15" xfId="15" applyNumberFormat="1" applyFont="1" applyBorder="1" applyAlignment="1">
      <alignment horizontal="center" vertical="center" wrapText="1"/>
    </xf>
    <xf numFmtId="38" fontId="17" fillId="0" borderId="15" xfId="15" applyNumberFormat="1" applyFont="1" applyBorder="1" applyAlignment="1">
      <alignment vertical="center" wrapText="1"/>
    </xf>
    <xf numFmtId="38" fontId="14" fillId="0" borderId="0" xfId="15" applyNumberFormat="1" applyFont="1" applyAlignment="1">
      <alignment horizontal="left" wrapText="1"/>
    </xf>
    <xf numFmtId="0" fontId="51" fillId="0" borderId="1" xfId="5" applyFont="1" applyBorder="1"/>
    <xf numFmtId="0" fontId="9" fillId="0" borderId="1" xfId="5" applyBorder="1"/>
    <xf numFmtId="0" fontId="14" fillId="0" borderId="1" xfId="5" applyFont="1" applyBorder="1"/>
    <xf numFmtId="38" fontId="14" fillId="0" borderId="1" xfId="15" applyNumberFormat="1" applyFont="1" applyBorder="1" applyAlignment="1">
      <alignment wrapText="1"/>
    </xf>
    <xf numFmtId="38" fontId="14" fillId="0" borderId="1" xfId="15" applyNumberFormat="1" applyFont="1" applyBorder="1" applyAlignment="1">
      <alignment horizontal="center" wrapText="1"/>
    </xf>
    <xf numFmtId="38" fontId="14" fillId="0" borderId="0" xfId="15" applyNumberFormat="1" applyFont="1"/>
    <xf numFmtId="0" fontId="53" fillId="0" borderId="0" xfId="5" applyFont="1" applyAlignment="1">
      <alignment horizontal="left"/>
    </xf>
    <xf numFmtId="38" fontId="54" fillId="0" borderId="0" xfId="15" applyNumberFormat="1" applyFont="1" applyAlignment="1">
      <alignment horizontal="left" wrapText="1"/>
    </xf>
    <xf numFmtId="38" fontId="55" fillId="0" borderId="0" xfId="15" applyNumberFormat="1" applyFont="1" applyAlignment="1">
      <alignment horizontal="left"/>
    </xf>
    <xf numFmtId="38" fontId="55" fillId="0" borderId="0" xfId="15" applyNumberFormat="1" applyFont="1" applyAlignment="1">
      <alignment horizontal="left" wrapText="1"/>
    </xf>
    <xf numFmtId="38" fontId="14" fillId="0" borderId="0" xfId="15" applyNumberFormat="1" applyFont="1" applyAlignment="1">
      <alignment horizontal="left"/>
    </xf>
    <xf numFmtId="0" fontId="54" fillId="0" borderId="0" xfId="5" applyFont="1" applyAlignment="1">
      <alignment horizontal="left"/>
    </xf>
    <xf numFmtId="38" fontId="54" fillId="0" borderId="0" xfId="15" applyNumberFormat="1" applyFont="1" applyAlignment="1">
      <alignment horizontal="left"/>
    </xf>
    <xf numFmtId="37" fontId="54" fillId="0" borderId="0" xfId="15" applyFont="1" applyAlignment="1">
      <alignment horizontal="left"/>
    </xf>
    <xf numFmtId="37" fontId="14" fillId="0" borderId="0" xfId="15" applyFont="1" applyAlignment="1">
      <alignment horizontal="left"/>
    </xf>
    <xf numFmtId="0" fontId="53" fillId="0" borderId="0" xfId="5" applyFont="1"/>
    <xf numFmtId="0" fontId="55" fillId="0" borderId="0" xfId="5" applyFont="1" applyAlignment="1">
      <alignment horizontal="right"/>
    </xf>
    <xf numFmtId="0" fontId="54" fillId="0" borderId="0" xfId="5" applyFont="1"/>
    <xf numFmtId="38" fontId="56" fillId="0" borderId="0" xfId="15" applyNumberFormat="1" applyFont="1" applyAlignment="1">
      <alignment horizontal="left"/>
    </xf>
    <xf numFmtId="38" fontId="57" fillId="0" borderId="0" xfId="15" applyNumberFormat="1" applyFont="1" applyAlignment="1">
      <alignment horizontal="left"/>
    </xf>
    <xf numFmtId="37" fontId="57" fillId="0" borderId="0" xfId="15" applyFont="1" applyAlignment="1">
      <alignment horizontal="left"/>
    </xf>
    <xf numFmtId="37" fontId="56" fillId="0" borderId="0" xfId="15" applyFont="1" applyAlignment="1">
      <alignment horizontal="left"/>
    </xf>
    <xf numFmtId="0" fontId="58" fillId="0" borderId="0" xfId="5" applyFont="1" applyAlignment="1">
      <alignment vertical="center"/>
    </xf>
    <xf numFmtId="0" fontId="37" fillId="0" borderId="0" xfId="5" applyFont="1" applyAlignment="1">
      <alignment horizontal="left"/>
    </xf>
    <xf numFmtId="17" fontId="17" fillId="0" borderId="0" xfId="5" applyNumberFormat="1" applyFont="1" applyAlignment="1">
      <alignment horizontal="left" vertical="center"/>
    </xf>
    <xf numFmtId="38" fontId="17" fillId="0" borderId="9" xfId="2" applyFont="1" applyFill="1" applyBorder="1" applyAlignment="1">
      <alignment vertical="center"/>
    </xf>
    <xf numFmtId="38" fontId="17" fillId="0" borderId="1" xfId="2" applyFont="1" applyFill="1" applyBorder="1" applyAlignment="1">
      <alignment vertical="center"/>
    </xf>
    <xf numFmtId="38" fontId="17" fillId="0" borderId="1" xfId="2" applyFont="1" applyFill="1" applyBorder="1" applyAlignment="1">
      <alignment horizontal="right" vertical="center"/>
    </xf>
    <xf numFmtId="38" fontId="17" fillId="0" borderId="11" xfId="2" applyFont="1" applyFill="1" applyBorder="1" applyAlignment="1">
      <alignment horizontal="right" vertical="center"/>
    </xf>
    <xf numFmtId="49" fontId="17" fillId="0" borderId="9" xfId="5" applyNumberFormat="1" applyFont="1" applyBorder="1" applyAlignment="1">
      <alignment horizontal="right" vertical="center"/>
    </xf>
    <xf numFmtId="38" fontId="17" fillId="0" borderId="0" xfId="2" applyFont="1" applyFill="1" applyBorder="1" applyAlignment="1">
      <alignment horizontal="right" vertical="center"/>
    </xf>
    <xf numFmtId="49" fontId="17" fillId="0" borderId="8" xfId="5" applyNumberFormat="1" applyFont="1" applyBorder="1" applyAlignment="1">
      <alignment horizontal="right" vertical="center"/>
    </xf>
    <xf numFmtId="49" fontId="17" fillId="0" borderId="0" xfId="5" applyNumberFormat="1" applyFont="1" applyAlignment="1">
      <alignment horizontal="left" vertical="center"/>
    </xf>
    <xf numFmtId="185" fontId="17" fillId="0" borderId="4" xfId="14" applyNumberFormat="1" applyFont="1" applyBorder="1" applyAlignment="1">
      <alignment vertical="center"/>
    </xf>
    <xf numFmtId="38" fontId="17" fillId="0" borderId="0" xfId="2" applyFont="1" applyFill="1" applyAlignment="1">
      <alignment vertical="center"/>
    </xf>
    <xf numFmtId="0" fontId="17" fillId="0" borderId="8" xfId="5" applyFont="1" applyBorder="1" applyAlignment="1">
      <alignment vertical="center"/>
    </xf>
    <xf numFmtId="38" fontId="17" fillId="0" borderId="8" xfId="2" applyFont="1" applyFill="1" applyBorder="1" applyAlignment="1">
      <alignment horizontal="right" vertical="center"/>
    </xf>
    <xf numFmtId="0" fontId="17" fillId="0" borderId="8" xfId="5" applyFont="1" applyBorder="1" applyAlignment="1">
      <alignment horizontal="distributed" vertical="center"/>
    </xf>
    <xf numFmtId="3" fontId="17" fillId="0" borderId="0" xfId="2" applyNumberFormat="1" applyFont="1" applyFill="1" applyBorder="1" applyAlignment="1">
      <alignment horizontal="right" vertical="center"/>
    </xf>
    <xf numFmtId="0" fontId="17" fillId="0" borderId="8" xfId="5" applyFont="1" applyBorder="1" applyAlignment="1">
      <alignment horizontal="right" vertical="center"/>
    </xf>
    <xf numFmtId="0" fontId="17" fillId="0" borderId="0" xfId="5" applyFont="1" applyAlignment="1">
      <alignment horizontal="left" vertical="center"/>
    </xf>
    <xf numFmtId="0" fontId="17" fillId="0" borderId="6" xfId="5" applyFont="1" applyBorder="1" applyAlignment="1">
      <alignment horizontal="right" vertical="center"/>
    </xf>
    <xf numFmtId="0" fontId="37" fillId="0" borderId="0" xfId="5" applyFont="1" applyAlignment="1">
      <alignment horizontal="center"/>
    </xf>
    <xf numFmtId="0" fontId="8" fillId="0" borderId="1" xfId="5" applyFont="1" applyBorder="1"/>
    <xf numFmtId="0" fontId="41" fillId="0" borderId="1" xfId="5" applyFont="1" applyBorder="1" applyAlignment="1">
      <alignment horizontal="left" vertical="center"/>
    </xf>
    <xf numFmtId="0" fontId="61" fillId="0" borderId="0" xfId="5" applyFont="1" applyAlignment="1">
      <alignment vertical="center"/>
    </xf>
    <xf numFmtId="0" fontId="61" fillId="0" borderId="0" xfId="5" applyFont="1" applyAlignment="1">
      <alignment horizontal="right" vertical="center"/>
    </xf>
    <xf numFmtId="37" fontId="61" fillId="0" borderId="0" xfId="15" applyFont="1" applyAlignment="1">
      <alignment horizontal="left" vertical="center"/>
    </xf>
    <xf numFmtId="0" fontId="61" fillId="0" borderId="0" xfId="5" applyFont="1" applyAlignment="1">
      <alignment horizontal="center" vertical="center"/>
    </xf>
    <xf numFmtId="37" fontId="61" fillId="0" borderId="0" xfId="15" applyFont="1" applyAlignment="1">
      <alignment vertical="center"/>
    </xf>
    <xf numFmtId="0" fontId="61" fillId="0" borderId="0" xfId="5" applyFont="1"/>
    <xf numFmtId="0" fontId="62" fillId="0" borderId="0" xfId="5" applyFont="1"/>
    <xf numFmtId="0" fontId="19" fillId="0" borderId="0" xfId="5" applyFont="1" applyAlignment="1">
      <alignment vertical="center"/>
    </xf>
    <xf numFmtId="38" fontId="17" fillId="0" borderId="0" xfId="5" applyNumberFormat="1" applyFont="1" applyAlignment="1">
      <alignment vertical="center"/>
    </xf>
    <xf numFmtId="0" fontId="19" fillId="0" borderId="0" xfId="5" applyFont="1"/>
    <xf numFmtId="38" fontId="48" fillId="0" borderId="0" xfId="2" applyFont="1" applyFill="1" applyBorder="1" applyAlignment="1">
      <alignment vertical="center"/>
    </xf>
    <xf numFmtId="0" fontId="17" fillId="0" borderId="0" xfId="5" applyFont="1" applyAlignment="1">
      <alignment vertical="top"/>
    </xf>
    <xf numFmtId="0" fontId="17" fillId="0" borderId="0" xfId="5" applyFont="1" applyAlignment="1">
      <alignment horizontal="right" vertical="top"/>
    </xf>
    <xf numFmtId="176" fontId="17" fillId="0" borderId="11" xfId="5" applyNumberFormat="1" applyFont="1" applyBorder="1" applyAlignment="1">
      <alignment horizontal="left" vertical="top"/>
    </xf>
    <xf numFmtId="3" fontId="17" fillId="0" borderId="9" xfId="2" applyNumberFormat="1" applyFont="1" applyFill="1" applyBorder="1" applyAlignment="1">
      <alignment vertical="top"/>
    </xf>
    <xf numFmtId="3" fontId="17" fillId="0" borderId="1" xfId="2" applyNumberFormat="1" applyFont="1" applyFill="1" applyBorder="1" applyAlignment="1">
      <alignment vertical="top"/>
    </xf>
    <xf numFmtId="3" fontId="17" fillId="0" borderId="1" xfId="2" applyNumberFormat="1" applyFont="1" applyFill="1" applyBorder="1" applyAlignment="1">
      <alignment horizontal="right" vertical="top"/>
    </xf>
    <xf numFmtId="3" fontId="17" fillId="0" borderId="1" xfId="5" applyNumberFormat="1" applyFont="1" applyBorder="1" applyAlignment="1">
      <alignment horizontal="right" vertical="top" wrapText="1"/>
    </xf>
    <xf numFmtId="3" fontId="17" fillId="0" borderId="1" xfId="5" applyNumberFormat="1" applyFont="1" applyBorder="1" applyAlignment="1">
      <alignment horizontal="right" vertical="top"/>
    </xf>
    <xf numFmtId="3" fontId="17" fillId="0" borderId="11" xfId="2" applyNumberFormat="1" applyFont="1" applyFill="1" applyBorder="1" applyAlignment="1">
      <alignment horizontal="right" vertical="top"/>
    </xf>
    <xf numFmtId="176" fontId="17" fillId="0" borderId="4" xfId="5" applyNumberFormat="1" applyFont="1" applyBorder="1" applyAlignment="1">
      <alignment horizontal="left"/>
    </xf>
    <xf numFmtId="3" fontId="17" fillId="0" borderId="8" xfId="5" applyNumberFormat="1" applyFont="1" applyBorder="1"/>
    <xf numFmtId="3" fontId="17" fillId="0" borderId="0" xfId="5" applyNumberFormat="1" applyFont="1"/>
    <xf numFmtId="3" fontId="17" fillId="0" borderId="0" xfId="5" applyNumberFormat="1" applyFont="1" applyAlignment="1">
      <alignment horizontal="center"/>
    </xf>
    <xf numFmtId="186" fontId="17" fillId="0" borderId="0" xfId="5" applyNumberFormat="1" applyFont="1" applyAlignment="1">
      <alignment horizontal="right"/>
    </xf>
    <xf numFmtId="186" fontId="17" fillId="0" borderId="4" xfId="5" applyNumberFormat="1" applyFont="1" applyBorder="1" applyAlignment="1">
      <alignment horizontal="right"/>
    </xf>
    <xf numFmtId="176" fontId="17" fillId="0" borderId="4" xfId="5" applyNumberFormat="1" applyFont="1" applyBorder="1" applyAlignment="1">
      <alignment horizontal="left" vertical="top"/>
    </xf>
    <xf numFmtId="3" fontId="17" fillId="0" borderId="8" xfId="2" applyNumberFormat="1" applyFont="1" applyFill="1" applyBorder="1" applyAlignment="1">
      <alignment vertical="top"/>
    </xf>
    <xf numFmtId="3" fontId="17" fillId="0" borderId="0" xfId="2" applyNumberFormat="1" applyFont="1" applyFill="1" applyBorder="1" applyAlignment="1">
      <alignment vertical="top"/>
    </xf>
    <xf numFmtId="3" fontId="17" fillId="0" borderId="0" xfId="5" applyNumberFormat="1" applyFont="1" applyAlignment="1">
      <alignment horizontal="right" vertical="top" wrapText="1"/>
    </xf>
    <xf numFmtId="3" fontId="17" fillId="0" borderId="0" xfId="5" applyNumberFormat="1" applyFont="1" applyAlignment="1">
      <alignment horizontal="right" vertical="top"/>
    </xf>
    <xf numFmtId="3" fontId="17" fillId="0" borderId="4" xfId="5" applyNumberFormat="1" applyFont="1" applyBorder="1" applyAlignment="1">
      <alignment horizontal="right" vertical="top" wrapText="1"/>
    </xf>
    <xf numFmtId="178" fontId="17" fillId="0" borderId="4" xfId="5" applyNumberFormat="1" applyFont="1" applyBorder="1" applyAlignment="1">
      <alignment horizontal="left"/>
    </xf>
    <xf numFmtId="3" fontId="17" fillId="0" borderId="0" xfId="5" applyNumberFormat="1" applyFont="1" applyAlignment="1">
      <alignment horizontal="right" wrapText="1"/>
    </xf>
    <xf numFmtId="178" fontId="17" fillId="0" borderId="4" xfId="5" applyNumberFormat="1" applyFont="1" applyBorder="1" applyAlignment="1">
      <alignment horizontal="left" vertical="top"/>
    </xf>
    <xf numFmtId="185" fontId="17" fillId="0" borderId="4" xfId="14" applyNumberFormat="1" applyFont="1" applyBorder="1"/>
    <xf numFmtId="3" fontId="17" fillId="0" borderId="0" xfId="5" applyNumberFormat="1" applyFont="1" applyAlignment="1">
      <alignment horizontal="right"/>
    </xf>
    <xf numFmtId="3" fontId="17" fillId="0" borderId="4" xfId="5" applyNumberFormat="1" applyFont="1" applyBorder="1" applyAlignment="1">
      <alignment horizontal="right" wrapText="1"/>
    </xf>
    <xf numFmtId="186" fontId="17" fillId="0" borderId="8" xfId="5" applyNumberFormat="1" applyFont="1" applyBorder="1" applyAlignment="1">
      <alignment horizontal="right"/>
    </xf>
    <xf numFmtId="3" fontId="17" fillId="0" borderId="8" xfId="2" applyNumberFormat="1" applyFont="1" applyFill="1" applyBorder="1" applyAlignment="1"/>
    <xf numFmtId="3" fontId="17" fillId="0" borderId="0" xfId="2" applyNumberFormat="1" applyFont="1" applyFill="1" applyBorder="1" applyAlignment="1"/>
    <xf numFmtId="0" fontId="17" fillId="0" borderId="4" xfId="5" applyFont="1" applyBorder="1" applyAlignment="1">
      <alignment horizontal="left"/>
    </xf>
    <xf numFmtId="186" fontId="17" fillId="0" borderId="0" xfId="5" applyNumberFormat="1" applyFont="1" applyAlignment="1">
      <alignment horizontal="right" wrapText="1"/>
    </xf>
    <xf numFmtId="3" fontId="17" fillId="0" borderId="0" xfId="2" applyNumberFormat="1" applyFont="1" applyFill="1" applyBorder="1" applyAlignment="1">
      <alignment horizontal="right"/>
    </xf>
    <xf numFmtId="3" fontId="17" fillId="0" borderId="4" xfId="2" applyNumberFormat="1" applyFont="1" applyFill="1" applyBorder="1" applyAlignment="1">
      <alignment horizontal="right"/>
    </xf>
    <xf numFmtId="179" fontId="17" fillId="0" borderId="4" xfId="5" applyNumberFormat="1" applyFont="1" applyBorder="1" applyAlignment="1">
      <alignment horizontal="left" vertical="top"/>
    </xf>
    <xf numFmtId="3" fontId="17" fillId="0" borderId="8" xfId="2" applyNumberFormat="1" applyFont="1" applyFill="1" applyBorder="1" applyAlignment="1">
      <alignment horizontal="right" vertical="top"/>
    </xf>
    <xf numFmtId="3" fontId="17" fillId="0" borderId="0" xfId="2" applyNumberFormat="1" applyFont="1" applyFill="1" applyBorder="1" applyAlignment="1">
      <alignment horizontal="right" vertical="top"/>
    </xf>
    <xf numFmtId="3" fontId="17" fillId="0" borderId="4" xfId="2" applyNumberFormat="1" applyFont="1" applyFill="1" applyBorder="1" applyAlignment="1">
      <alignment horizontal="right" vertical="top"/>
    </xf>
    <xf numFmtId="180" fontId="17" fillId="0" borderId="4" xfId="5" applyNumberFormat="1" applyFont="1" applyBorder="1" applyAlignment="1">
      <alignment horizontal="left"/>
    </xf>
    <xf numFmtId="180" fontId="17" fillId="0" borderId="4" xfId="5" applyNumberFormat="1" applyFont="1" applyBorder="1" applyAlignment="1">
      <alignment horizontal="left" vertical="top"/>
    </xf>
    <xf numFmtId="3" fontId="17" fillId="0" borderId="8" xfId="5" applyNumberFormat="1" applyFont="1" applyBorder="1" applyAlignment="1">
      <alignment horizontal="right" vertical="top" wrapText="1"/>
    </xf>
    <xf numFmtId="181" fontId="17" fillId="0" borderId="4" xfId="5" applyNumberFormat="1" applyFont="1" applyBorder="1" applyAlignment="1">
      <alignment horizontal="left"/>
    </xf>
    <xf numFmtId="181" fontId="17" fillId="0" borderId="4" xfId="5" applyNumberFormat="1" applyFont="1" applyBorder="1" applyAlignment="1">
      <alignment horizontal="left" vertical="top"/>
    </xf>
    <xf numFmtId="182" fontId="17" fillId="0" borderId="4" xfId="5" applyNumberFormat="1" applyFont="1" applyBorder="1" applyAlignment="1">
      <alignment horizontal="left"/>
    </xf>
    <xf numFmtId="182" fontId="17" fillId="0" borderId="4" xfId="5" applyNumberFormat="1" applyFont="1" applyBorder="1" applyAlignment="1">
      <alignment horizontal="left" vertical="top"/>
    </xf>
    <xf numFmtId="179" fontId="17" fillId="0" borderId="4" xfId="5" applyNumberFormat="1" applyFont="1" applyBorder="1" applyAlignment="1">
      <alignment horizontal="left"/>
    </xf>
    <xf numFmtId="3" fontId="17" fillId="0" borderId="4" xfId="5" applyNumberFormat="1" applyFont="1" applyBorder="1"/>
    <xf numFmtId="183" fontId="17" fillId="0" borderId="4" xfId="5" applyNumberFormat="1" applyFont="1" applyBorder="1" applyAlignment="1">
      <alignment horizontal="left" vertical="top"/>
    </xf>
    <xf numFmtId="183" fontId="17" fillId="0" borderId="4" xfId="5" applyNumberFormat="1" applyFont="1" applyBorder="1" applyAlignment="1">
      <alignment horizontal="left"/>
    </xf>
    <xf numFmtId="0" fontId="19" fillId="0" borderId="0" xfId="5" applyFont="1" applyAlignment="1">
      <alignment vertical="top"/>
    </xf>
    <xf numFmtId="184" fontId="17" fillId="0" borderId="4" xfId="5" applyNumberFormat="1" applyFont="1" applyBorder="1" applyAlignment="1">
      <alignment horizontal="left" vertical="top"/>
    </xf>
    <xf numFmtId="184" fontId="17" fillId="0" borderId="4" xfId="5" applyNumberFormat="1" applyFont="1" applyBorder="1" applyAlignment="1">
      <alignment horizontal="left"/>
    </xf>
    <xf numFmtId="38" fontId="17" fillId="0" borderId="0" xfId="2" applyFont="1" applyFill="1" applyBorder="1" applyAlignment="1">
      <alignment horizontal="right" vertical="top"/>
    </xf>
    <xf numFmtId="0" fontId="59" fillId="0" borderId="5" xfId="5" applyFont="1" applyBorder="1" applyAlignment="1">
      <alignment horizontal="center" wrapText="1"/>
    </xf>
    <xf numFmtId="0" fontId="17" fillId="0" borderId="10" xfId="5" applyFont="1" applyBorder="1" applyAlignment="1">
      <alignment horizontal="center" vertical="center"/>
    </xf>
    <xf numFmtId="38" fontId="17" fillId="0" borderId="20" xfId="15" applyNumberFormat="1" applyFont="1" applyBorder="1" applyAlignment="1">
      <alignment horizontal="center" vertical="center" wrapText="1"/>
    </xf>
    <xf numFmtId="38" fontId="17" fillId="0" borderId="21" xfId="15" applyNumberFormat="1" applyFont="1" applyBorder="1" applyAlignment="1">
      <alignment horizontal="center" vertical="center" wrapText="1"/>
    </xf>
    <xf numFmtId="38" fontId="17" fillId="0" borderId="24" xfId="15" applyNumberFormat="1" applyFont="1" applyBorder="1" applyAlignment="1">
      <alignment horizontal="center" vertical="center" wrapText="1"/>
    </xf>
    <xf numFmtId="38" fontId="17" fillId="0" borderId="26" xfId="15" applyNumberFormat="1" applyFont="1" applyBorder="1" applyAlignment="1">
      <alignment horizontal="center" vertical="center" wrapText="1"/>
    </xf>
    <xf numFmtId="38" fontId="17" fillId="0" borderId="27" xfId="15" applyNumberFormat="1" applyFont="1" applyBorder="1" applyAlignment="1">
      <alignment vertical="center" wrapText="1"/>
    </xf>
    <xf numFmtId="38" fontId="17" fillId="0" borderId="28" xfId="15" applyNumberFormat="1" applyFont="1" applyBorder="1" applyAlignment="1">
      <alignment vertical="center" wrapText="1"/>
    </xf>
    <xf numFmtId="38" fontId="17" fillId="0" borderId="5" xfId="15" applyNumberFormat="1" applyFont="1" applyBorder="1" applyAlignment="1">
      <alignment vertical="center" wrapText="1"/>
    </xf>
    <xf numFmtId="0" fontId="9" fillId="0" borderId="1" xfId="5" applyBorder="1" applyAlignment="1">
      <alignment vertical="center"/>
    </xf>
    <xf numFmtId="0" fontId="17" fillId="0" borderId="1" xfId="5" applyFont="1" applyBorder="1" applyAlignment="1">
      <alignment horizontal="left" vertical="center"/>
    </xf>
    <xf numFmtId="0" fontId="64" fillId="0" borderId="1" xfId="5" applyFont="1" applyBorder="1" applyAlignment="1">
      <alignment vertical="center"/>
    </xf>
    <xf numFmtId="0" fontId="14" fillId="0" borderId="1" xfId="5" applyFont="1" applyBorder="1" applyAlignment="1">
      <alignment horizontal="center" vertical="center"/>
    </xf>
    <xf numFmtId="0" fontId="14" fillId="0" borderId="1" xfId="12" applyFont="1" applyBorder="1" applyAlignment="1">
      <alignment vertical="center"/>
    </xf>
    <xf numFmtId="0" fontId="14" fillId="0" borderId="0" xfId="5" applyFont="1" applyAlignment="1">
      <alignment vertical="center"/>
    </xf>
    <xf numFmtId="187" fontId="66" fillId="0" borderId="0" xfId="2" applyNumberFormat="1" applyFont="1" applyFill="1" applyBorder="1" applyAlignment="1">
      <alignment horizontal="right" vertical="center"/>
    </xf>
    <xf numFmtId="0" fontId="9" fillId="0" borderId="0" xfId="16">
      <alignment vertical="center"/>
    </xf>
    <xf numFmtId="37" fontId="17" fillId="0" borderId="0" xfId="16" applyNumberFormat="1" applyFont="1" applyAlignment="1">
      <alignment horizontal="right" vertical="center"/>
    </xf>
    <xf numFmtId="37" fontId="17" fillId="0" borderId="11" xfId="16" applyNumberFormat="1" applyFont="1" applyBorder="1" applyAlignment="1">
      <alignment horizontal="left" vertical="center"/>
    </xf>
    <xf numFmtId="37" fontId="17" fillId="0" borderId="9" xfId="16" applyNumberFormat="1" applyFont="1" applyBorder="1" applyAlignment="1">
      <alignment horizontal="right" vertical="center"/>
    </xf>
    <xf numFmtId="37" fontId="17" fillId="0" borderId="1" xfId="16" applyNumberFormat="1" applyFont="1" applyBorder="1" applyAlignment="1">
      <alignment horizontal="right" vertical="center"/>
    </xf>
    <xf numFmtId="37" fontId="17" fillId="0" borderId="11" xfId="16" applyNumberFormat="1" applyFont="1" applyBorder="1" applyAlignment="1">
      <alignment horizontal="right" vertical="center"/>
    </xf>
    <xf numFmtId="37" fontId="17" fillId="0" borderId="4" xfId="16" applyNumberFormat="1" applyFont="1" applyBorder="1" applyAlignment="1">
      <alignment horizontal="left" vertical="center"/>
    </xf>
    <xf numFmtId="37" fontId="17" fillId="0" borderId="8" xfId="16" applyNumberFormat="1" applyFont="1" applyBorder="1" applyAlignment="1">
      <alignment horizontal="right" vertical="center"/>
    </xf>
    <xf numFmtId="37" fontId="17" fillId="0" borderId="5" xfId="16" applyNumberFormat="1" applyFont="1" applyBorder="1" applyAlignment="1">
      <alignment horizontal="left" vertical="center"/>
    </xf>
    <xf numFmtId="37" fontId="17" fillId="0" borderId="6" xfId="16" applyNumberFormat="1" applyFont="1" applyBorder="1" applyAlignment="1">
      <alignment horizontal="right" vertical="center"/>
    </xf>
    <xf numFmtId="37" fontId="17" fillId="0" borderId="2" xfId="16" applyNumberFormat="1" applyFont="1" applyBorder="1" applyAlignment="1">
      <alignment horizontal="right" vertical="center"/>
    </xf>
    <xf numFmtId="37" fontId="17" fillId="0" borderId="5" xfId="16" applyNumberFormat="1" applyFont="1" applyBorder="1" applyAlignment="1">
      <alignment horizontal="right" vertical="center"/>
    </xf>
    <xf numFmtId="0" fontId="17" fillId="0" borderId="0" xfId="16" applyFont="1" applyAlignment="1">
      <alignment horizontal="center" vertical="center" wrapText="1"/>
    </xf>
    <xf numFmtId="0" fontId="17" fillId="0" borderId="31" xfId="16" applyFont="1" applyBorder="1" applyAlignment="1">
      <alignment horizontal="center" vertical="center" wrapText="1"/>
    </xf>
    <xf numFmtId="0" fontId="17" fillId="0" borderId="2" xfId="16" applyFont="1" applyBorder="1" applyAlignment="1">
      <alignment horizontal="center" vertical="center" wrapText="1"/>
    </xf>
    <xf numFmtId="0" fontId="17" fillId="0" borderId="5" xfId="16" applyFont="1" applyBorder="1" applyAlignment="1">
      <alignment horizontal="left" vertical="center"/>
    </xf>
    <xf numFmtId="0" fontId="13" fillId="0" borderId="0" xfId="16" applyFont="1" applyAlignment="1">
      <alignment horizontal="center" vertical="center"/>
    </xf>
    <xf numFmtId="0" fontId="17" fillId="0" borderId="32" xfId="16" applyFont="1" applyBorder="1" applyAlignment="1">
      <alignment horizontal="center" vertical="center" wrapText="1"/>
    </xf>
    <xf numFmtId="0" fontId="19" fillId="0" borderId="31" xfId="16" applyFont="1" applyBorder="1" applyAlignment="1">
      <alignment horizontal="center" vertical="center" wrapText="1"/>
    </xf>
    <xf numFmtId="0" fontId="17" fillId="0" borderId="0" xfId="16" applyFont="1" applyAlignment="1">
      <alignment horizontal="right"/>
    </xf>
    <xf numFmtId="0" fontId="19" fillId="0" borderId="5" xfId="16" applyFont="1" applyBorder="1" applyAlignment="1">
      <alignment horizontal="center" vertical="center" wrapText="1"/>
    </xf>
    <xf numFmtId="38" fontId="68" fillId="0" borderId="0" xfId="2" applyFont="1" applyFill="1" applyBorder="1" applyAlignment="1">
      <alignment vertical="center"/>
    </xf>
    <xf numFmtId="38" fontId="68" fillId="0" borderId="0" xfId="2" applyFont="1" applyFill="1" applyBorder="1" applyAlignment="1">
      <alignment horizontal="right" vertical="center"/>
    </xf>
    <xf numFmtId="0" fontId="58" fillId="0" borderId="0" xfId="5" applyFont="1" applyAlignment="1">
      <alignment horizontal="right" vertical="center"/>
    </xf>
    <xf numFmtId="49" fontId="68" fillId="0" borderId="0" xfId="5" applyNumberFormat="1" applyFont="1" applyAlignment="1">
      <alignment horizontal="right" vertical="center"/>
    </xf>
    <xf numFmtId="0" fontId="58" fillId="0" borderId="0" xfId="5" applyFont="1" applyAlignment="1">
      <alignment horizontal="center" vertical="center"/>
    </xf>
    <xf numFmtId="0" fontId="59" fillId="0" borderId="0" xfId="5" applyFont="1" applyAlignment="1">
      <alignment vertical="center"/>
    </xf>
    <xf numFmtId="0" fontId="59" fillId="0" borderId="0" xfId="5" applyFont="1" applyAlignment="1">
      <alignment horizontal="left" vertical="center"/>
    </xf>
    <xf numFmtId="3" fontId="17" fillId="0" borderId="1" xfId="2" applyNumberFormat="1" applyFont="1" applyFill="1" applyBorder="1" applyAlignment="1">
      <alignment horizontal="right" vertical="center"/>
    </xf>
    <xf numFmtId="3" fontId="17" fillId="0" borderId="11" xfId="2" applyNumberFormat="1" applyFont="1" applyFill="1" applyBorder="1" applyAlignment="1">
      <alignment horizontal="right" vertical="center"/>
    </xf>
    <xf numFmtId="3" fontId="17" fillId="0" borderId="0" xfId="5" applyNumberFormat="1" applyFont="1" applyAlignment="1">
      <alignment vertical="center"/>
    </xf>
    <xf numFmtId="3" fontId="17" fillId="0" borderId="0" xfId="5" applyNumberFormat="1" applyFont="1" applyAlignment="1">
      <alignment horizontal="right" vertical="center"/>
    </xf>
    <xf numFmtId="38" fontId="37" fillId="0" borderId="5" xfId="15" applyNumberFormat="1" applyFont="1" applyBorder="1" applyAlignment="1">
      <alignment vertical="center" wrapText="1"/>
    </xf>
    <xf numFmtId="185" fontId="37" fillId="0" borderId="0" xfId="5" applyNumberFormat="1" applyFont="1"/>
    <xf numFmtId="0" fontId="37" fillId="0" borderId="0" xfId="5" quotePrefix="1" applyFont="1" applyAlignment="1">
      <alignment vertical="center"/>
    </xf>
    <xf numFmtId="185" fontId="37" fillId="0" borderId="0" xfId="5" applyNumberFormat="1" applyFont="1" applyAlignment="1">
      <alignment vertical="center"/>
    </xf>
    <xf numFmtId="0" fontId="17" fillId="0" borderId="11" xfId="5" applyFont="1" applyBorder="1" applyAlignment="1">
      <alignment horizontal="left" vertical="center"/>
    </xf>
    <xf numFmtId="3" fontId="17" fillId="0" borderId="1" xfId="5" applyNumberFormat="1" applyFont="1" applyBorder="1" applyAlignment="1">
      <alignment horizontal="right" vertical="center"/>
    </xf>
    <xf numFmtId="3" fontId="17" fillId="0" borderId="1" xfId="5" applyNumberFormat="1" applyFont="1" applyBorder="1"/>
    <xf numFmtId="0" fontId="17" fillId="0" borderId="9" xfId="5" applyFont="1" applyBorder="1" applyAlignment="1">
      <alignment horizontal="distributed" vertical="center"/>
    </xf>
    <xf numFmtId="0" fontId="17" fillId="0" borderId="1" xfId="5" applyFont="1" applyBorder="1" applyAlignment="1">
      <alignment horizontal="distributed" vertical="center" wrapText="1"/>
    </xf>
    <xf numFmtId="0" fontId="17" fillId="0" borderId="33" xfId="5" applyFont="1" applyBorder="1" applyAlignment="1">
      <alignment horizontal="right" vertical="center"/>
    </xf>
    <xf numFmtId="0" fontId="17" fillId="0" borderId="0" xfId="5" applyFont="1" applyAlignment="1">
      <alignment horizontal="distributed" vertical="center" wrapText="1"/>
    </xf>
    <xf numFmtId="0" fontId="17" fillId="0" borderId="34" xfId="5" applyFont="1" applyBorder="1" applyAlignment="1">
      <alignment horizontal="right" vertical="center"/>
    </xf>
    <xf numFmtId="0" fontId="48" fillId="0" borderId="4" xfId="5" applyFont="1" applyBorder="1" applyAlignment="1">
      <alignment horizontal="left" vertical="center"/>
    </xf>
    <xf numFmtId="3" fontId="48" fillId="0" borderId="0" xfId="2" applyNumberFormat="1" applyFont="1" applyFill="1" applyBorder="1" applyAlignment="1">
      <alignment horizontal="right" vertical="center"/>
    </xf>
    <xf numFmtId="3" fontId="48" fillId="0" borderId="0" xfId="5" applyNumberFormat="1" applyFont="1" applyAlignment="1">
      <alignment horizontal="right" vertical="center"/>
    </xf>
    <xf numFmtId="0" fontId="48" fillId="0" borderId="8" xfId="5" applyFont="1" applyBorder="1" applyAlignment="1">
      <alignment horizontal="distributed" vertical="center"/>
    </xf>
    <xf numFmtId="0" fontId="48" fillId="0" borderId="0" xfId="5" applyFont="1" applyAlignment="1">
      <alignment horizontal="distributed" vertical="center" wrapText="1"/>
    </xf>
    <xf numFmtId="0" fontId="48" fillId="0" borderId="34" xfId="5" applyFont="1" applyBorder="1" applyAlignment="1">
      <alignment horizontal="right"/>
    </xf>
    <xf numFmtId="0" fontId="17" fillId="0" borderId="35" xfId="5" applyFont="1" applyBorder="1" applyAlignment="1">
      <alignment horizontal="left" vertical="center"/>
    </xf>
    <xf numFmtId="3" fontId="17" fillId="0" borderId="36" xfId="2" applyNumberFormat="1" applyFont="1" applyFill="1" applyBorder="1" applyAlignment="1">
      <alignment horizontal="right" vertical="center"/>
    </xf>
    <xf numFmtId="3" fontId="17" fillId="0" borderId="36" xfId="5" applyNumberFormat="1" applyFont="1" applyBorder="1" applyAlignment="1">
      <alignment horizontal="right" vertical="center"/>
    </xf>
    <xf numFmtId="0" fontId="17" fillId="0" borderId="37" xfId="5" applyFont="1" applyBorder="1" applyAlignment="1">
      <alignment horizontal="distributed" vertical="center"/>
    </xf>
    <xf numFmtId="0" fontId="17" fillId="0" borderId="36" xfId="5" applyFont="1" applyBorder="1" applyAlignment="1">
      <alignment horizontal="distributed" vertical="center" wrapText="1"/>
    </xf>
    <xf numFmtId="0" fontId="17" fillId="0" borderId="38" xfId="5" applyFont="1" applyBorder="1" applyAlignment="1">
      <alignment horizontal="right" vertical="center"/>
    </xf>
    <xf numFmtId="3" fontId="17" fillId="0" borderId="0" xfId="2" applyNumberFormat="1" applyFont="1" applyFill="1" applyAlignment="1">
      <alignment horizontal="right" vertical="center"/>
    </xf>
    <xf numFmtId="3" fontId="48" fillId="0" borderId="0" xfId="2" applyNumberFormat="1" applyFont="1" applyFill="1" applyAlignment="1">
      <alignment horizontal="right" vertical="center"/>
    </xf>
    <xf numFmtId="0" fontId="17" fillId="0" borderId="4" xfId="5" applyFont="1" applyBorder="1" applyAlignment="1">
      <alignment vertical="center"/>
    </xf>
    <xf numFmtId="3" fontId="17" fillId="0" borderId="4" xfId="5" applyNumberFormat="1" applyFont="1" applyBorder="1" applyAlignment="1">
      <alignment horizontal="right" vertical="center"/>
    </xf>
    <xf numFmtId="0" fontId="17" fillId="0" borderId="39" xfId="5" applyFont="1" applyBorder="1" applyAlignment="1">
      <alignment horizontal="centerContinuous" vertical="center"/>
    </xf>
    <xf numFmtId="3" fontId="37" fillId="0" borderId="0" xfId="5" applyNumberFormat="1" applyFont="1" applyAlignment="1">
      <alignment horizontal="right" vertical="center"/>
    </xf>
    <xf numFmtId="0" fontId="48" fillId="0" borderId="4" xfId="5" applyFont="1" applyBorder="1" applyAlignment="1">
      <alignment vertical="center"/>
    </xf>
    <xf numFmtId="3" fontId="48" fillId="0" borderId="0" xfId="5" applyNumberFormat="1" applyFont="1" applyAlignment="1">
      <alignment vertical="center"/>
    </xf>
    <xf numFmtId="0" fontId="48" fillId="0" borderId="41" xfId="5" applyFont="1" applyBorder="1"/>
    <xf numFmtId="0" fontId="17" fillId="0" borderId="4" xfId="5" applyFont="1" applyBorder="1"/>
    <xf numFmtId="0" fontId="17" fillId="0" borderId="42" xfId="5" applyFont="1" applyBorder="1" applyAlignment="1">
      <alignment horizontal="centerContinuous"/>
    </xf>
    <xf numFmtId="0" fontId="37" fillId="0" borderId="0" xfId="5" applyFont="1" applyAlignment="1">
      <alignment wrapText="1"/>
    </xf>
    <xf numFmtId="0" fontId="17" fillId="0" borderId="0" xfId="5" applyFont="1" applyAlignment="1">
      <alignment vertical="center" wrapText="1"/>
    </xf>
    <xf numFmtId="0" fontId="37" fillId="0" borderId="9" xfId="5" applyFont="1" applyBorder="1" applyAlignment="1">
      <alignment horizontal="centerContinuous" vertical="center" wrapText="1"/>
    </xf>
    <xf numFmtId="0" fontId="37" fillId="0" borderId="0" xfId="5" applyFont="1" applyAlignment="1">
      <alignment horizontal="right" vertical="center" wrapText="1"/>
    </xf>
    <xf numFmtId="0" fontId="37" fillId="0" borderId="8" xfId="5" applyFont="1" applyBorder="1" applyAlignment="1">
      <alignment horizontal="centerContinuous" vertical="center"/>
    </xf>
    <xf numFmtId="0" fontId="37" fillId="0" borderId="0" xfId="5" applyFont="1" applyAlignment="1">
      <alignment horizontal="center" vertical="center"/>
    </xf>
    <xf numFmtId="38" fontId="17" fillId="0" borderId="30" xfId="15" applyNumberFormat="1" applyFont="1" applyBorder="1" applyAlignment="1">
      <alignment vertical="center" wrapText="1"/>
    </xf>
    <xf numFmtId="0" fontId="37" fillId="0" borderId="8" xfId="5" applyFont="1" applyBorder="1" applyAlignment="1">
      <alignment horizontal="centerContinuous"/>
    </xf>
    <xf numFmtId="0" fontId="70" fillId="0" borderId="0" xfId="5" applyFont="1" applyAlignment="1">
      <alignment horizontal="left" vertical="center"/>
    </xf>
    <xf numFmtId="0" fontId="50" fillId="0" borderId="0" xfId="5" quotePrefix="1" applyFont="1" applyAlignment="1">
      <alignment horizontal="left"/>
    </xf>
    <xf numFmtId="0" fontId="50" fillId="0" borderId="0" xfId="5" applyFont="1" applyAlignment="1">
      <alignment horizontal="left"/>
    </xf>
    <xf numFmtId="0" fontId="50" fillId="0" borderId="0" xfId="5" applyFont="1"/>
    <xf numFmtId="0" fontId="8" fillId="0" borderId="0" xfId="5" applyFont="1" applyAlignment="1">
      <alignment horizontal="left" vertical="center"/>
    </xf>
    <xf numFmtId="0" fontId="50" fillId="0" borderId="0" xfId="5" applyFont="1" applyAlignment="1">
      <alignment horizontal="centerContinuous"/>
    </xf>
    <xf numFmtId="0" fontId="8" fillId="0" borderId="0" xfId="5" applyFont="1" applyAlignment="1">
      <alignment horizontal="right" vertical="center"/>
    </xf>
    <xf numFmtId="0" fontId="71" fillId="0" borderId="0" xfId="5" applyFont="1" applyAlignment="1">
      <alignment vertical="center"/>
    </xf>
    <xf numFmtId="0" fontId="71" fillId="0" borderId="0" xfId="5" applyFont="1" applyAlignment="1">
      <alignment horizontal="left" vertical="center"/>
    </xf>
    <xf numFmtId="0" fontId="70" fillId="0" borderId="0" xfId="5" quotePrefix="1" applyFont="1" applyAlignment="1">
      <alignment horizontal="left" vertical="center"/>
    </xf>
    <xf numFmtId="0" fontId="70" fillId="0" borderId="0" xfId="5" applyFont="1" applyAlignment="1">
      <alignment vertical="center"/>
    </xf>
    <xf numFmtId="0" fontId="70" fillId="0" borderId="0" xfId="5" applyFont="1" applyAlignment="1">
      <alignment horizontal="centerContinuous" vertical="center"/>
    </xf>
    <xf numFmtId="0" fontId="71" fillId="0" borderId="0" xfId="5" applyFont="1" applyAlignment="1">
      <alignment horizontal="right" vertical="center"/>
    </xf>
    <xf numFmtId="0" fontId="70" fillId="0" borderId="0" xfId="5" applyFont="1" applyAlignment="1">
      <alignment horizontal="center" vertical="center"/>
    </xf>
    <xf numFmtId="0" fontId="72" fillId="0" borderId="0" xfId="5" applyFont="1"/>
    <xf numFmtId="0" fontId="69" fillId="0" borderId="0" xfId="5" applyFont="1" applyAlignment="1">
      <alignment horizontal="center"/>
    </xf>
    <xf numFmtId="0" fontId="73" fillId="0" borderId="0" xfId="5" applyFont="1" applyAlignment="1">
      <alignment vertical="center"/>
    </xf>
    <xf numFmtId="0" fontId="72" fillId="0" borderId="0" xfId="5" applyFont="1" applyAlignment="1">
      <alignment horizontal="center"/>
    </xf>
    <xf numFmtId="0" fontId="58" fillId="0" borderId="0" xfId="5" applyFont="1"/>
    <xf numFmtId="188" fontId="58" fillId="0" borderId="0" xfId="5" applyNumberFormat="1" applyFont="1"/>
    <xf numFmtId="188" fontId="58" fillId="0" borderId="0" xfId="5" applyNumberFormat="1" applyFont="1" applyAlignment="1">
      <alignment horizontal="left"/>
    </xf>
    <xf numFmtId="0" fontId="58" fillId="0" borderId="0" xfId="5" applyFont="1" applyAlignment="1">
      <alignment horizontal="left"/>
    </xf>
    <xf numFmtId="38" fontId="18" fillId="0" borderId="0" xfId="5" applyNumberFormat="1" applyFont="1"/>
    <xf numFmtId="0" fontId="18" fillId="0" borderId="0" xfId="5" applyFont="1" applyAlignment="1">
      <alignment horizontal="left"/>
    </xf>
    <xf numFmtId="0" fontId="18" fillId="0" borderId="0" xfId="5" applyFont="1"/>
    <xf numFmtId="0" fontId="17" fillId="0" borderId="0" xfId="5" applyFont="1" applyAlignment="1">
      <alignment horizontal="left"/>
    </xf>
    <xf numFmtId="38" fontId="17" fillId="0" borderId="10" xfId="5" applyNumberFormat="1" applyFont="1" applyBorder="1"/>
    <xf numFmtId="0" fontId="17" fillId="0" borderId="9" xfId="5" applyFont="1" applyBorder="1"/>
    <xf numFmtId="38" fontId="17" fillId="0" borderId="10" xfId="5" applyNumberFormat="1" applyFont="1" applyBorder="1" applyAlignment="1">
      <alignment horizontal="right"/>
    </xf>
    <xf numFmtId="38" fontId="17" fillId="0" borderId="7" xfId="5" applyNumberFormat="1" applyFont="1" applyBorder="1"/>
    <xf numFmtId="0" fontId="17" fillId="0" borderId="8" xfId="5" applyFont="1" applyBorder="1"/>
    <xf numFmtId="38" fontId="17" fillId="0" borderId="7" xfId="5" applyNumberFormat="1" applyFont="1" applyBorder="1" applyAlignment="1">
      <alignment horizontal="right"/>
    </xf>
    <xf numFmtId="38" fontId="17" fillId="0" borderId="4" xfId="5" applyNumberFormat="1" applyFont="1" applyBorder="1"/>
    <xf numFmtId="188" fontId="17" fillId="0" borderId="0" xfId="5" applyNumberFormat="1" applyFont="1"/>
    <xf numFmtId="188" fontId="17" fillId="0" borderId="4" xfId="5" applyNumberFormat="1" applyFont="1" applyBorder="1"/>
    <xf numFmtId="188" fontId="17" fillId="0" borderId="7" xfId="5" applyNumberFormat="1" applyFont="1" applyBorder="1"/>
    <xf numFmtId="188" fontId="17" fillId="0" borderId="8" xfId="5" applyNumberFormat="1" applyFont="1" applyBorder="1"/>
    <xf numFmtId="38" fontId="48" fillId="0" borderId="7" xfId="5" applyNumberFormat="1" applyFont="1" applyBorder="1"/>
    <xf numFmtId="38" fontId="48" fillId="0" borderId="6" xfId="5" applyNumberFormat="1" applyFont="1" applyBorder="1"/>
    <xf numFmtId="38" fontId="48" fillId="0" borderId="2" xfId="5" applyNumberFormat="1" applyFont="1" applyBorder="1"/>
    <xf numFmtId="38" fontId="48" fillId="0" borderId="3" xfId="5" applyNumberFormat="1" applyFont="1" applyBorder="1" applyAlignment="1">
      <alignment horizontal="right"/>
    </xf>
    <xf numFmtId="38" fontId="48" fillId="0" borderId="5" xfId="5" applyNumberFormat="1" applyFont="1" applyBorder="1"/>
    <xf numFmtId="38" fontId="48" fillId="0" borderId="3" xfId="5" applyNumberFormat="1" applyFont="1" applyBorder="1"/>
    <xf numFmtId="38" fontId="17" fillId="0" borderId="0" xfId="5" applyNumberFormat="1" applyFont="1"/>
    <xf numFmtId="188" fontId="17" fillId="0" borderId="11" xfId="5" applyNumberFormat="1" applyFont="1" applyBorder="1"/>
    <xf numFmtId="0" fontId="48" fillId="0" borderId="4" xfId="5" applyFont="1" applyBorder="1" applyAlignment="1">
      <alignment wrapText="1"/>
    </xf>
    <xf numFmtId="38" fontId="48" fillId="0" borderId="7" xfId="5" applyNumberFormat="1" applyFont="1" applyBorder="1" applyAlignment="1">
      <alignment horizontal="right"/>
    </xf>
    <xf numFmtId="38" fontId="48" fillId="0" borderId="4" xfId="5" applyNumberFormat="1" applyFont="1" applyBorder="1"/>
    <xf numFmtId="188" fontId="48" fillId="0" borderId="8" xfId="5" applyNumberFormat="1" applyFont="1" applyBorder="1"/>
    <xf numFmtId="188" fontId="17" fillId="0" borderId="1" xfId="5" applyNumberFormat="1" applyFont="1" applyBorder="1"/>
    <xf numFmtId="188" fontId="17" fillId="0" borderId="9" xfId="5" applyNumberFormat="1" applyFont="1" applyBorder="1"/>
    <xf numFmtId="188" fontId="48" fillId="0" borderId="4" xfId="5" applyNumberFormat="1" applyFont="1" applyBorder="1"/>
    <xf numFmtId="188" fontId="17" fillId="0" borderId="10" xfId="5" applyNumberFormat="1" applyFont="1" applyBorder="1"/>
    <xf numFmtId="188" fontId="17" fillId="0" borderId="0" xfId="5" applyNumberFormat="1" applyFont="1" applyAlignment="1">
      <alignment horizontal="center"/>
    </xf>
    <xf numFmtId="0" fontId="48" fillId="0" borderId="5" xfId="5" applyFont="1" applyBorder="1" applyAlignment="1">
      <alignment wrapText="1"/>
    </xf>
    <xf numFmtId="188" fontId="48" fillId="0" borderId="6" xfId="5" applyNumberFormat="1" applyFont="1" applyBorder="1"/>
    <xf numFmtId="188" fontId="17" fillId="0" borderId="0" xfId="5" applyNumberFormat="1" applyFont="1" applyAlignment="1">
      <alignment horizontal="left"/>
    </xf>
    <xf numFmtId="176" fontId="17" fillId="0" borderId="10" xfId="5" applyNumberFormat="1" applyFont="1" applyBorder="1" applyAlignment="1">
      <alignment horizontal="center"/>
    </xf>
    <xf numFmtId="178" fontId="17" fillId="0" borderId="10" xfId="5" applyNumberFormat="1" applyFont="1" applyBorder="1" applyAlignment="1">
      <alignment horizontal="center"/>
    </xf>
    <xf numFmtId="189" fontId="17" fillId="0" borderId="10" xfId="5" applyNumberFormat="1" applyFont="1" applyBorder="1" applyAlignment="1">
      <alignment horizontal="center"/>
    </xf>
    <xf numFmtId="184" fontId="17" fillId="0" borderId="10" xfId="5" applyNumberFormat="1" applyFont="1" applyBorder="1" applyAlignment="1">
      <alignment horizontal="center"/>
    </xf>
    <xf numFmtId="188" fontId="48" fillId="0" borderId="0" xfId="5" applyNumberFormat="1" applyFont="1"/>
    <xf numFmtId="190" fontId="17" fillId="0" borderId="3" xfId="5" quotePrefix="1" applyNumberFormat="1" applyFont="1" applyBorder="1" applyAlignment="1">
      <alignment horizontal="center"/>
    </xf>
    <xf numFmtId="188" fontId="17" fillId="0" borderId="0" xfId="5" applyNumberFormat="1" applyFont="1" applyAlignment="1">
      <alignment horizontal="right"/>
    </xf>
    <xf numFmtId="188" fontId="58" fillId="0" borderId="1" xfId="5" applyNumberFormat="1" applyFont="1" applyBorder="1"/>
    <xf numFmtId="188" fontId="68" fillId="0" borderId="0" xfId="5" applyNumberFormat="1" applyFont="1"/>
    <xf numFmtId="188" fontId="14" fillId="0" borderId="0" xfId="5" applyNumberFormat="1" applyFont="1"/>
    <xf numFmtId="188" fontId="14" fillId="0" borderId="0" xfId="12" applyNumberFormat="1" applyFont="1"/>
    <xf numFmtId="0" fontId="75" fillId="0" borderId="0" xfId="5" applyFont="1"/>
    <xf numFmtId="188" fontId="75" fillId="0" borderId="0" xfId="5" applyNumberFormat="1" applyFont="1"/>
    <xf numFmtId="188" fontId="75" fillId="0" borderId="0" xfId="5" applyNumberFormat="1" applyFont="1" applyAlignment="1">
      <alignment horizontal="left"/>
    </xf>
    <xf numFmtId="188" fontId="75" fillId="0" borderId="0" xfId="5" applyNumberFormat="1" applyFont="1" applyAlignment="1">
      <alignment horizontal="right"/>
    </xf>
    <xf numFmtId="192" fontId="9" fillId="0" borderId="0" xfId="5" applyNumberFormat="1"/>
    <xf numFmtId="0" fontId="63" fillId="0" borderId="0" xfId="5" applyFont="1"/>
    <xf numFmtId="192" fontId="63" fillId="0" borderId="0" xfId="5" applyNumberFormat="1" applyFont="1"/>
    <xf numFmtId="192" fontId="63" fillId="0" borderId="0" xfId="5" applyNumberFormat="1" applyFont="1" applyAlignment="1">
      <alignment horizontal="right"/>
    </xf>
    <xf numFmtId="38" fontId="63" fillId="0" borderId="0" xfId="5" applyNumberFormat="1" applyFont="1"/>
    <xf numFmtId="38" fontId="17" fillId="0" borderId="7" xfId="2" applyFont="1" applyFill="1" applyBorder="1" applyAlignment="1">
      <alignment horizontal="right"/>
    </xf>
    <xf numFmtId="49" fontId="18" fillId="0" borderId="8" xfId="5" quotePrefix="1" applyNumberFormat="1" applyFont="1" applyBorder="1" applyAlignment="1">
      <alignment horizontal="left"/>
    </xf>
    <xf numFmtId="3" fontId="17" fillId="0" borderId="4" xfId="5" quotePrefix="1" applyNumberFormat="1" applyFont="1" applyBorder="1" applyAlignment="1">
      <alignment horizontal="left"/>
    </xf>
    <xf numFmtId="49" fontId="74" fillId="0" borderId="8" xfId="5" applyNumberFormat="1" applyFont="1" applyBorder="1" applyAlignment="1">
      <alignment horizontal="right"/>
    </xf>
    <xf numFmtId="38" fontId="17" fillId="0" borderId="4" xfId="2" quotePrefix="1" applyFont="1" applyFill="1" applyBorder="1" applyAlignment="1">
      <alignment horizontal="left"/>
    </xf>
    <xf numFmtId="38" fontId="17" fillId="0" borderId="4" xfId="2" applyFont="1" applyFill="1" applyBorder="1" applyAlignment="1"/>
    <xf numFmtId="49" fontId="18" fillId="0" borderId="0" xfId="5" applyNumberFormat="1" applyFont="1"/>
    <xf numFmtId="49" fontId="18" fillId="0" borderId="0" xfId="5" quotePrefix="1" applyNumberFormat="1" applyFont="1" applyAlignment="1">
      <alignment horizontal="left"/>
    </xf>
    <xf numFmtId="49" fontId="18" fillId="0" borderId="8" xfId="5" applyNumberFormat="1" applyFont="1" applyBorder="1" applyAlignment="1">
      <alignment horizontal="right"/>
    </xf>
    <xf numFmtId="0" fontId="76" fillId="0" borderId="0" xfId="5" applyFont="1"/>
    <xf numFmtId="0" fontId="14" fillId="0" borderId="0" xfId="5" quotePrefix="1" applyFont="1" applyAlignment="1">
      <alignment horizontal="left"/>
    </xf>
    <xf numFmtId="0" fontId="63" fillId="0" borderId="0" xfId="5" applyFont="1" applyAlignment="1">
      <alignment vertical="center"/>
    </xf>
    <xf numFmtId="3" fontId="63" fillId="0" borderId="0" xfId="5" applyNumberFormat="1" applyFont="1" applyAlignment="1">
      <alignment vertical="center"/>
    </xf>
    <xf numFmtId="38" fontId="58" fillId="0" borderId="0" xfId="2" applyFont="1" applyFill="1"/>
    <xf numFmtId="197" fontId="17" fillId="0" borderId="7" xfId="5" applyNumberFormat="1" applyFont="1" applyBorder="1"/>
    <xf numFmtId="196" fontId="17" fillId="0" borderId="7" xfId="5" applyNumberFormat="1" applyFont="1" applyBorder="1"/>
    <xf numFmtId="38" fontId="17" fillId="0" borderId="7" xfId="2" applyFont="1" applyFill="1" applyBorder="1" applyAlignment="1"/>
    <xf numFmtId="38" fontId="17" fillId="0" borderId="23" xfId="2" applyFont="1" applyFill="1" applyBorder="1"/>
    <xf numFmtId="196" fontId="17" fillId="0" borderId="7" xfId="5" applyNumberFormat="1" applyFont="1" applyBorder="1" applyAlignment="1">
      <alignment horizontal="right"/>
    </xf>
    <xf numFmtId="40" fontId="63" fillId="0" borderId="0" xfId="5" applyNumberFormat="1" applyFont="1"/>
    <xf numFmtId="38" fontId="58" fillId="0" borderId="0" xfId="5" applyNumberFormat="1" applyFont="1"/>
    <xf numFmtId="196" fontId="17" fillId="0" borderId="7" xfId="2" applyNumberFormat="1" applyFont="1" applyFill="1" applyBorder="1" applyAlignment="1"/>
    <xf numFmtId="198" fontId="63" fillId="0" borderId="0" xfId="5" applyNumberFormat="1" applyFont="1"/>
    <xf numFmtId="3" fontId="63" fillId="0" borderId="0" xfId="5" applyNumberFormat="1" applyFont="1"/>
    <xf numFmtId="197" fontId="17" fillId="0" borderId="7" xfId="2" applyNumberFormat="1" applyFont="1" applyFill="1" applyBorder="1" applyAlignment="1"/>
    <xf numFmtId="193" fontId="17" fillId="0" borderId="7" xfId="12" applyNumberFormat="1" applyFont="1" applyBorder="1" applyAlignment="1">
      <alignment horizontal="center" vertical="center" wrapText="1"/>
    </xf>
    <xf numFmtId="194" fontId="17" fillId="0" borderId="7" xfId="2" applyNumberFormat="1" applyFont="1" applyFill="1" applyBorder="1" applyAlignment="1">
      <alignment horizontal="center" vertical="center" wrapText="1"/>
    </xf>
    <xf numFmtId="193" fontId="17" fillId="0" borderId="0" xfId="5" applyNumberFormat="1" applyFont="1" applyAlignment="1">
      <alignment horizontal="left" indent="1"/>
    </xf>
    <xf numFmtId="40" fontId="17" fillId="0" borderId="0" xfId="2" applyNumberFormat="1" applyFont="1" applyFill="1" applyBorder="1" applyAlignment="1"/>
    <xf numFmtId="199" fontId="17" fillId="0" borderId="0" xfId="2" applyNumberFormat="1" applyFont="1" applyFill="1" applyBorder="1" applyAlignment="1"/>
    <xf numFmtId="0" fontId="17" fillId="0" borderId="0" xfId="5" quotePrefix="1" applyFont="1"/>
    <xf numFmtId="38" fontId="17" fillId="0" borderId="0" xfId="2" applyFont="1" applyFill="1" applyBorder="1" applyAlignment="1">
      <alignment horizontal="right"/>
    </xf>
    <xf numFmtId="38" fontId="17" fillId="0" borderId="0" xfId="2" applyFont="1" applyFill="1" applyBorder="1"/>
    <xf numFmtId="0" fontId="17" fillId="0" borderId="0" xfId="5" quotePrefix="1" applyFont="1" applyAlignment="1">
      <alignment horizontal="left"/>
    </xf>
    <xf numFmtId="0" fontId="78" fillId="0" borderId="0" xfId="5" applyFont="1"/>
    <xf numFmtId="38" fontId="14" fillId="0" borderId="0" xfId="5" applyNumberFormat="1" applyFont="1"/>
    <xf numFmtId="0" fontId="17" fillId="0" borderId="1" xfId="5" applyFont="1" applyBorder="1"/>
    <xf numFmtId="0" fontId="17" fillId="0" borderId="0" xfId="5" applyFont="1" applyAlignment="1">
      <alignment wrapText="1"/>
    </xf>
    <xf numFmtId="193" fontId="17" fillId="0" borderId="0" xfId="5" applyNumberFormat="1" applyFont="1"/>
    <xf numFmtId="0" fontId="48" fillId="0" borderId="8" xfId="5" applyFont="1" applyBorder="1" applyAlignment="1">
      <alignment horizontal="centerContinuous"/>
    </xf>
    <xf numFmtId="193" fontId="17" fillId="0" borderId="0" xfId="5" applyNumberFormat="1" applyFont="1" applyAlignment="1">
      <alignment vertical="center"/>
    </xf>
    <xf numFmtId="0" fontId="17" fillId="0" borderId="0" xfId="5" quotePrefix="1" applyFont="1" applyAlignment="1">
      <alignment horizontal="left" vertical="center"/>
    </xf>
    <xf numFmtId="193" fontId="17" fillId="0" borderId="7" xfId="5" applyNumberFormat="1" applyFont="1" applyBorder="1" applyAlignment="1">
      <alignment horizontal="center" vertical="center" wrapText="1"/>
    </xf>
    <xf numFmtId="0" fontId="17" fillId="0" borderId="0" xfId="5" quotePrefix="1" applyFont="1" applyAlignment="1">
      <alignment wrapText="1"/>
    </xf>
    <xf numFmtId="0" fontId="17" fillId="0" borderId="11" xfId="5" applyFont="1" applyBorder="1"/>
    <xf numFmtId="40" fontId="17" fillId="0" borderId="7" xfId="2" applyNumberFormat="1" applyFont="1" applyFill="1" applyBorder="1" applyAlignment="1">
      <alignment horizontal="right"/>
    </xf>
    <xf numFmtId="0" fontId="63" fillId="0" borderId="0" xfId="5" quotePrefix="1" applyFont="1" applyAlignment="1">
      <alignment horizontal="left"/>
    </xf>
    <xf numFmtId="38" fontId="17" fillId="0" borderId="7" xfId="5" applyNumberFormat="1" applyFont="1" applyBorder="1" applyAlignment="1">
      <alignment horizontal="center" vertical="center" wrapText="1"/>
    </xf>
    <xf numFmtId="199" fontId="17" fillId="0" borderId="7" xfId="2" applyNumberFormat="1" applyFont="1" applyFill="1" applyBorder="1" applyAlignment="1">
      <alignment horizontal="right"/>
    </xf>
    <xf numFmtId="0" fontId="48" fillId="0" borderId="0" xfId="5" applyFont="1" applyAlignment="1">
      <alignment horizontal="centerContinuous"/>
    </xf>
    <xf numFmtId="193" fontId="17" fillId="0" borderId="7" xfId="12" applyNumberFormat="1" applyFont="1" applyBorder="1" applyAlignment="1">
      <alignment horizontal="center" vertical="center"/>
    </xf>
    <xf numFmtId="38" fontId="17" fillId="0" borderId="7" xfId="12" quotePrefix="1" applyNumberFormat="1" applyFont="1" applyBorder="1" applyAlignment="1">
      <alignment horizontal="center" vertical="center" wrapText="1"/>
    </xf>
    <xf numFmtId="38" fontId="17" fillId="0" borderId="7" xfId="12" applyNumberFormat="1" applyFont="1" applyBorder="1" applyAlignment="1">
      <alignment horizontal="center" vertical="center" wrapText="1"/>
    </xf>
    <xf numFmtId="0" fontId="17" fillId="0" borderId="7" xfId="12" applyFont="1" applyBorder="1" applyAlignment="1">
      <alignment horizontal="center" vertical="center" wrapText="1"/>
    </xf>
    <xf numFmtId="195" fontId="17" fillId="0" borderId="0" xfId="12" applyNumberFormat="1" applyFont="1" applyAlignment="1">
      <alignment horizontal="center" vertical="center" wrapText="1"/>
    </xf>
    <xf numFmtId="194" fontId="17" fillId="0" borderId="7" xfId="2" applyNumberFormat="1" applyFont="1" applyFill="1" applyBorder="1" applyAlignment="1">
      <alignment horizontal="center" vertical="center"/>
    </xf>
    <xf numFmtId="193" fontId="17" fillId="0" borderId="7" xfId="12" quotePrefix="1" applyNumberFormat="1" applyFont="1" applyBorder="1" applyAlignment="1">
      <alignment horizontal="center" vertical="center" wrapText="1"/>
    </xf>
    <xf numFmtId="193" fontId="19" fillId="0" borderId="7" xfId="12" quotePrefix="1" applyNumberFormat="1" applyFont="1" applyBorder="1" applyAlignment="1">
      <alignment horizontal="center" vertical="center" wrapText="1"/>
    </xf>
    <xf numFmtId="197" fontId="17" fillId="0" borderId="7" xfId="2" applyNumberFormat="1" applyFont="1" applyFill="1" applyBorder="1" applyAlignment="1">
      <alignment horizontal="right"/>
    </xf>
    <xf numFmtId="0" fontId="22" fillId="0" borderId="0" xfId="1" quotePrefix="1" applyFill="1" applyAlignment="1" applyProtection="1">
      <alignment vertical="center"/>
    </xf>
    <xf numFmtId="176" fontId="17" fillId="0" borderId="0" xfId="5" applyNumberFormat="1" applyFont="1" applyAlignment="1">
      <alignment horizontal="left"/>
    </xf>
    <xf numFmtId="176" fontId="17" fillId="0" borderId="11" xfId="5" applyNumberFormat="1" applyFont="1" applyBorder="1" applyAlignment="1">
      <alignment horizontal="left"/>
    </xf>
    <xf numFmtId="200" fontId="17" fillId="0" borderId="1" xfId="5" applyNumberFormat="1" applyFont="1" applyBorder="1" applyAlignment="1">
      <alignment horizontal="right"/>
    </xf>
    <xf numFmtId="38" fontId="17" fillId="0" borderId="1" xfId="2" applyFont="1" applyFill="1" applyBorder="1" applyAlignment="1">
      <alignment horizontal="right"/>
    </xf>
    <xf numFmtId="201" fontId="17" fillId="0" borderId="1" xfId="5" applyNumberFormat="1" applyFont="1" applyBorder="1" applyAlignment="1">
      <alignment horizontal="right"/>
    </xf>
    <xf numFmtId="200" fontId="17" fillId="0" borderId="11" xfId="5" applyNumberFormat="1" applyFont="1" applyBorder="1" applyAlignment="1">
      <alignment horizontal="right"/>
    </xf>
    <xf numFmtId="200" fontId="17" fillId="0" borderId="0" xfId="5" applyNumberFormat="1" applyFont="1" applyAlignment="1">
      <alignment horizontal="right"/>
    </xf>
    <xf numFmtId="201" fontId="17" fillId="0" borderId="0" xfId="5" applyNumberFormat="1" applyFont="1"/>
    <xf numFmtId="200" fontId="17" fillId="0" borderId="4" xfId="5" applyNumberFormat="1" applyFont="1" applyBorder="1" applyAlignment="1">
      <alignment horizontal="right"/>
    </xf>
    <xf numFmtId="200" fontId="17" fillId="0" borderId="8" xfId="5" applyNumberFormat="1" applyFont="1" applyBorder="1" applyAlignment="1">
      <alignment horizontal="right"/>
    </xf>
    <xf numFmtId="202" fontId="17" fillId="0" borderId="0" xfId="5" applyNumberFormat="1" applyFont="1" applyAlignment="1">
      <alignment horizontal="right"/>
    </xf>
    <xf numFmtId="202" fontId="17" fillId="0" borderId="4" xfId="5" applyNumberFormat="1" applyFont="1" applyBorder="1" applyAlignment="1">
      <alignment horizontal="right"/>
    </xf>
    <xf numFmtId="0" fontId="9" fillId="0" borderId="0" xfId="5" applyAlignment="1">
      <alignment horizontal="center" vertical="center" wrapText="1"/>
    </xf>
    <xf numFmtId="0" fontId="17" fillId="0" borderId="31" xfId="5" applyFont="1" applyBorder="1" applyAlignment="1">
      <alignment horizontal="center" vertical="center" wrapText="1"/>
    </xf>
    <xf numFmtId="0" fontId="17" fillId="0" borderId="31" xfId="5" quotePrefix="1" applyFont="1" applyBorder="1" applyAlignment="1">
      <alignment horizontal="center" vertical="center" wrapText="1"/>
    </xf>
    <xf numFmtId="0" fontId="17" fillId="0" borderId="0" xfId="5" quotePrefix="1" applyFont="1" applyAlignment="1">
      <alignment horizontal="center" vertical="center" wrapText="1"/>
    </xf>
    <xf numFmtId="0" fontId="79" fillId="0" borderId="0" xfId="5" applyFont="1"/>
    <xf numFmtId="200" fontId="17" fillId="0" borderId="9" xfId="2" quotePrefix="1" applyNumberFormat="1" applyFont="1" applyFill="1" applyBorder="1"/>
    <xf numFmtId="200" fontId="17" fillId="0" borderId="1" xfId="2" quotePrefix="1" applyNumberFormat="1" applyFont="1" applyFill="1" applyBorder="1"/>
    <xf numFmtId="200" fontId="17" fillId="0" borderId="1" xfId="2" applyNumberFormat="1" applyFont="1" applyFill="1" applyBorder="1"/>
    <xf numFmtId="200" fontId="17" fillId="0" borderId="11" xfId="2" quotePrefix="1" applyNumberFormat="1" applyFont="1" applyFill="1" applyBorder="1"/>
    <xf numFmtId="200" fontId="17" fillId="0" borderId="8" xfId="2" applyNumberFormat="1" applyFont="1" applyFill="1" applyBorder="1"/>
    <xf numFmtId="200" fontId="17" fillId="0" borderId="0" xfId="2" applyNumberFormat="1" applyFont="1" applyFill="1" applyBorder="1"/>
    <xf numFmtId="200" fontId="17" fillId="0" borderId="4" xfId="2" applyNumberFormat="1" applyFont="1" applyFill="1" applyBorder="1"/>
    <xf numFmtId="200" fontId="17" fillId="0" borderId="0" xfId="2" applyNumberFormat="1" applyFont="1" applyFill="1" applyBorder="1" applyAlignment="1">
      <alignment horizontal="right"/>
    </xf>
    <xf numFmtId="38" fontId="17" fillId="0" borderId="8" xfId="2" applyFont="1" applyFill="1" applyBorder="1"/>
    <xf numFmtId="38" fontId="17" fillId="0" borderId="0" xfId="2" applyFont="1" applyFill="1"/>
    <xf numFmtId="38" fontId="17" fillId="0" borderId="4" xfId="2" applyFont="1" applyFill="1" applyBorder="1"/>
    <xf numFmtId="0" fontId="76" fillId="0" borderId="0" xfId="5" applyFont="1" applyAlignment="1">
      <alignment horizontal="center" vertical="center"/>
    </xf>
    <xf numFmtId="0" fontId="17" fillId="0" borderId="1" xfId="5" applyFont="1" applyBorder="1" applyAlignment="1">
      <alignment horizontal="center" vertical="top" wrapText="1"/>
    </xf>
    <xf numFmtId="0" fontId="76" fillId="0" borderId="0" xfId="5" applyFont="1" applyAlignment="1">
      <alignment vertical="center"/>
    </xf>
    <xf numFmtId="0" fontId="17" fillId="0" borderId="12" xfId="5" applyFont="1" applyBorder="1" applyAlignment="1">
      <alignment horizontal="centerContinuous" vertical="center"/>
    </xf>
    <xf numFmtId="0" fontId="17" fillId="0" borderId="32" xfId="5" applyFont="1" applyBorder="1" applyAlignment="1">
      <alignment horizontal="centerContinuous" vertical="center"/>
    </xf>
    <xf numFmtId="0" fontId="17" fillId="0" borderId="13" xfId="5" applyFont="1" applyBorder="1" applyAlignment="1">
      <alignment horizontal="centerContinuous" vertical="center"/>
    </xf>
    <xf numFmtId="0" fontId="80" fillId="0" borderId="0" xfId="5" applyFont="1" applyAlignment="1">
      <alignment vertical="center"/>
    </xf>
    <xf numFmtId="0" fontId="45" fillId="0" borderId="0" xfId="5" applyFont="1" applyAlignment="1">
      <alignment vertical="center"/>
    </xf>
    <xf numFmtId="0" fontId="40" fillId="0" borderId="1" xfId="5" applyFont="1" applyBorder="1" applyAlignment="1">
      <alignment horizontal="left" vertical="center"/>
    </xf>
    <xf numFmtId="0" fontId="26" fillId="0" borderId="0" xfId="1" applyFont="1" applyAlignment="1" applyProtection="1">
      <alignment vertical="center"/>
    </xf>
    <xf numFmtId="38" fontId="19" fillId="0" borderId="3" xfId="2" applyFont="1" applyFill="1" applyBorder="1" applyAlignment="1">
      <alignment horizontal="center" vertical="center" wrapText="1"/>
    </xf>
    <xf numFmtId="0" fontId="22" fillId="0" borderId="0" xfId="1" applyAlignment="1" applyProtection="1">
      <alignment vertical="center"/>
    </xf>
    <xf numFmtId="49" fontId="18" fillId="0" borderId="8" xfId="2" applyNumberFormat="1" applyFont="1" applyFill="1" applyBorder="1" applyAlignment="1">
      <alignment horizontal="left"/>
    </xf>
    <xf numFmtId="49" fontId="18" fillId="0" borderId="9" xfId="2" applyNumberFormat="1" applyFont="1" applyFill="1" applyBorder="1" applyAlignment="1">
      <alignment horizontal="left"/>
    </xf>
    <xf numFmtId="3" fontId="17" fillId="0" borderId="8" xfId="2" applyNumberFormat="1" applyFont="1" applyFill="1" applyBorder="1" applyAlignment="1">
      <alignment horizontal="right" vertical="center"/>
    </xf>
    <xf numFmtId="3" fontId="17" fillId="0" borderId="8" xfId="5" applyNumberFormat="1" applyFont="1" applyBorder="1" applyAlignment="1">
      <alignment horizontal="right" vertical="center"/>
    </xf>
    <xf numFmtId="3" fontId="17" fillId="0" borderId="9" xfId="2" applyNumberFormat="1" applyFont="1" applyFill="1" applyBorder="1" applyAlignment="1">
      <alignment horizontal="right" vertical="center"/>
    </xf>
    <xf numFmtId="0" fontId="18" fillId="0" borderId="0" xfId="5" applyFont="1" applyAlignment="1">
      <alignment horizontal="center"/>
    </xf>
    <xf numFmtId="177" fontId="19" fillId="0" borderId="0" xfId="5" applyNumberFormat="1" applyFont="1" applyAlignment="1">
      <alignment vertical="center"/>
    </xf>
    <xf numFmtId="177" fontId="36" fillId="0" borderId="0" xfId="5" applyNumberFormat="1" applyFont="1" applyAlignment="1">
      <alignment vertical="center"/>
    </xf>
    <xf numFmtId="0" fontId="41" fillId="0" borderId="0" xfId="5" applyFont="1" applyAlignment="1">
      <alignment horizontal="left" vertical="center"/>
    </xf>
    <xf numFmtId="22" fontId="41" fillId="0" borderId="0" xfId="5" applyNumberFormat="1" applyFont="1" applyAlignment="1">
      <alignment vertical="center"/>
    </xf>
    <xf numFmtId="0" fontId="81" fillId="0" borderId="0" xfId="5" applyFont="1" applyAlignment="1">
      <alignment vertical="center"/>
    </xf>
    <xf numFmtId="0" fontId="50" fillId="0" borderId="0" xfId="5" applyFont="1" applyAlignment="1">
      <alignment horizontal="left" vertical="center"/>
    </xf>
    <xf numFmtId="0" fontId="50" fillId="0" borderId="0" xfId="5" applyFont="1" applyAlignment="1">
      <alignment vertical="center"/>
    </xf>
    <xf numFmtId="0" fontId="8" fillId="0" borderId="1" xfId="5" applyFont="1" applyBorder="1" applyAlignment="1">
      <alignment vertical="center"/>
    </xf>
    <xf numFmtId="37" fontId="37" fillId="0" borderId="0" xfId="15" applyFont="1" applyAlignment="1">
      <alignment vertical="center"/>
    </xf>
    <xf numFmtId="38" fontId="37" fillId="0" borderId="15" xfId="15" applyNumberFormat="1" applyFont="1" applyBorder="1" applyAlignment="1">
      <alignment vertical="center" wrapText="1"/>
    </xf>
    <xf numFmtId="38" fontId="37" fillId="0" borderId="16" xfId="15" applyNumberFormat="1" applyFont="1" applyBorder="1" applyAlignment="1">
      <alignment vertical="center" wrapText="1"/>
    </xf>
    <xf numFmtId="38" fontId="37" fillId="0" borderId="14" xfId="15" applyNumberFormat="1" applyFont="1" applyBorder="1" applyAlignment="1">
      <alignment vertical="center" wrapText="1"/>
    </xf>
    <xf numFmtId="0" fontId="82" fillId="0" borderId="0" xfId="5" applyFont="1" applyAlignment="1">
      <alignment vertical="center"/>
    </xf>
    <xf numFmtId="37" fontId="37" fillId="0" borderId="0" xfId="15" applyFont="1" applyAlignment="1">
      <alignment horizontal="center" vertical="center"/>
    </xf>
    <xf numFmtId="38" fontId="37" fillId="0" borderId="15" xfId="15" applyNumberFormat="1" applyFont="1" applyBorder="1" applyAlignment="1">
      <alignment horizontal="center" vertical="center" wrapText="1"/>
    </xf>
    <xf numFmtId="38" fontId="37" fillId="0" borderId="22" xfId="15" applyNumberFormat="1" applyFont="1" applyBorder="1" applyAlignment="1">
      <alignment horizontal="center" vertical="center" wrapText="1"/>
    </xf>
    <xf numFmtId="38" fontId="37" fillId="0" borderId="17" xfId="15" applyNumberFormat="1" applyFont="1" applyBorder="1" applyAlignment="1">
      <alignment horizontal="center" vertical="center" wrapText="1"/>
    </xf>
    <xf numFmtId="37" fontId="37" fillId="0" borderId="0" xfId="15" applyFont="1" applyAlignment="1">
      <alignment horizontal="right" vertical="center"/>
    </xf>
    <xf numFmtId="38" fontId="37" fillId="0" borderId="16" xfId="2" applyFont="1" applyFill="1" applyBorder="1" applyAlignment="1" applyProtection="1">
      <alignment horizontal="right" vertical="center" wrapText="1"/>
    </xf>
    <xf numFmtId="38" fontId="37" fillId="0" borderId="2" xfId="2" applyFont="1" applyFill="1" applyBorder="1" applyAlignment="1" applyProtection="1">
      <alignment horizontal="right" vertical="center" wrapText="1"/>
    </xf>
    <xf numFmtId="38" fontId="37" fillId="0" borderId="4" xfId="15" applyNumberFormat="1" applyFont="1" applyBorder="1" applyAlignment="1">
      <alignment vertical="center" wrapText="1"/>
    </xf>
    <xf numFmtId="38" fontId="83" fillId="0" borderId="15" xfId="15" applyNumberFormat="1" applyFont="1" applyBorder="1" applyAlignment="1">
      <alignment horizontal="left" vertical="center" wrapText="1"/>
    </xf>
    <xf numFmtId="38" fontId="83" fillId="0" borderId="4" xfId="15" applyNumberFormat="1" applyFont="1" applyBorder="1" applyAlignment="1">
      <alignment horizontal="left" vertical="center" wrapText="1"/>
    </xf>
    <xf numFmtId="0" fontId="83" fillId="0" borderId="0" xfId="5" applyFont="1" applyAlignment="1">
      <alignment vertical="center"/>
    </xf>
    <xf numFmtId="38" fontId="37" fillId="0" borderId="4" xfId="15" applyNumberFormat="1" applyFont="1" applyBorder="1" applyAlignment="1">
      <alignment horizontal="right" vertical="center" wrapText="1"/>
    </xf>
    <xf numFmtId="38" fontId="37" fillId="0" borderId="15" xfId="15" applyNumberFormat="1" applyFont="1" applyBorder="1" applyAlignment="1">
      <alignment horizontal="left" vertical="center" wrapText="1" indent="1"/>
    </xf>
    <xf numFmtId="38" fontId="83" fillId="0" borderId="15" xfId="15" applyNumberFormat="1" applyFont="1" applyBorder="1" applyAlignment="1">
      <alignment vertical="center" wrapText="1"/>
    </xf>
    <xf numFmtId="38" fontId="83" fillId="0" borderId="4" xfId="15" applyNumberFormat="1" applyFont="1" applyBorder="1" applyAlignment="1">
      <alignment vertical="center" wrapText="1"/>
    </xf>
    <xf numFmtId="38" fontId="37" fillId="0" borderId="4" xfId="15" applyNumberFormat="1" applyFont="1" applyBorder="1" applyAlignment="1">
      <alignment horizontal="left" vertical="center" wrapText="1"/>
    </xf>
    <xf numFmtId="38" fontId="37" fillId="0" borderId="15" xfId="15" applyNumberFormat="1" applyFont="1" applyBorder="1" applyAlignment="1">
      <alignment horizontal="left" vertical="center" indent="1"/>
    </xf>
    <xf numFmtId="38" fontId="37" fillId="0" borderId="15" xfId="15" applyNumberFormat="1" applyFont="1" applyBorder="1" applyAlignment="1">
      <alignment vertical="center"/>
    </xf>
    <xf numFmtId="38" fontId="37" fillId="0" borderId="1" xfId="15" applyNumberFormat="1" applyFont="1" applyBorder="1" applyAlignment="1">
      <alignment vertical="center" wrapText="1"/>
    </xf>
    <xf numFmtId="38" fontId="37" fillId="0" borderId="11" xfId="15" applyNumberFormat="1" applyFont="1" applyBorder="1" applyAlignment="1">
      <alignment vertical="center" wrapText="1"/>
    </xf>
    <xf numFmtId="37" fontId="37" fillId="0" borderId="0" xfId="15" applyFont="1"/>
    <xf numFmtId="38" fontId="37" fillId="0" borderId="0" xfId="15" applyNumberFormat="1" applyFont="1" applyAlignment="1">
      <alignment wrapText="1"/>
    </xf>
    <xf numFmtId="38" fontId="37" fillId="0" borderId="0" xfId="15" applyNumberFormat="1" applyFont="1" applyAlignment="1">
      <alignment horizontal="left" wrapText="1"/>
    </xf>
    <xf numFmtId="38" fontId="37" fillId="0" borderId="0" xfId="15" quotePrefix="1" applyNumberFormat="1" applyFont="1" applyAlignment="1">
      <alignment wrapText="1"/>
    </xf>
    <xf numFmtId="0" fontId="46" fillId="0" borderId="0" xfId="5" applyFont="1"/>
    <xf numFmtId="0" fontId="83" fillId="0" borderId="0" xfId="5" applyFont="1" applyAlignment="1">
      <alignment horizontal="left" vertical="center"/>
    </xf>
    <xf numFmtId="0" fontId="47" fillId="0" borderId="0" xfId="5" applyFont="1"/>
    <xf numFmtId="0" fontId="8" fillId="0" borderId="1" xfId="5" applyFont="1" applyBorder="1" applyAlignment="1">
      <alignment horizontal="center" vertical="center"/>
    </xf>
    <xf numFmtId="0" fontId="50" fillId="0" borderId="1" xfId="5" applyFont="1" applyBorder="1" applyAlignment="1">
      <alignment vertical="center"/>
    </xf>
    <xf numFmtId="0" fontId="84" fillId="0" borderId="1" xfId="5" applyFont="1" applyBorder="1"/>
    <xf numFmtId="38" fontId="37" fillId="0" borderId="1" xfId="15" applyNumberFormat="1" applyFont="1" applyBorder="1" applyAlignment="1">
      <alignment vertical="center"/>
    </xf>
    <xf numFmtId="37" fontId="60" fillId="0" borderId="1" xfId="15" applyFont="1" applyBorder="1" applyAlignment="1">
      <alignment vertical="center"/>
    </xf>
    <xf numFmtId="0" fontId="82" fillId="0" borderId="0" xfId="5" applyFont="1"/>
    <xf numFmtId="0" fontId="82" fillId="0" borderId="0" xfId="5" applyFont="1" applyAlignment="1">
      <alignment horizontal="center"/>
    </xf>
    <xf numFmtId="38" fontId="37" fillId="0" borderId="14" xfId="15" applyNumberFormat="1" applyFont="1" applyBorder="1" applyAlignment="1">
      <alignment horizontal="center" vertical="top" wrapText="1"/>
    </xf>
    <xf numFmtId="0" fontId="82" fillId="0" borderId="0" xfId="5" applyFont="1" applyAlignment="1">
      <alignment horizontal="right"/>
    </xf>
    <xf numFmtId="0" fontId="36" fillId="0" borderId="0" xfId="5" applyFont="1"/>
    <xf numFmtId="38" fontId="37" fillId="0" borderId="0" xfId="5" applyNumberFormat="1" applyFont="1" applyAlignment="1">
      <alignment vertical="center"/>
    </xf>
    <xf numFmtId="0" fontId="17" fillId="0" borderId="3" xfId="16" applyFont="1" applyBorder="1" applyAlignment="1">
      <alignment horizontal="left" vertical="center" shrinkToFit="1"/>
    </xf>
    <xf numFmtId="0" fontId="8" fillId="0" borderId="0" xfId="5" applyFont="1" applyAlignment="1">
      <alignment horizontal="center"/>
    </xf>
    <xf numFmtId="0" fontId="37" fillId="0" borderId="0" xfId="5" applyFont="1" applyAlignment="1">
      <alignment horizontal="right"/>
    </xf>
    <xf numFmtId="0" fontId="8" fillId="0" borderId="1" xfId="5" applyFont="1" applyBorder="1" applyAlignment="1">
      <alignment horizontal="center"/>
    </xf>
    <xf numFmtId="0" fontId="41" fillId="0" borderId="1" xfId="5" applyFont="1" applyBorder="1" applyAlignment="1">
      <alignment horizontal="left"/>
    </xf>
    <xf numFmtId="0" fontId="82" fillId="0" borderId="1" xfId="5" applyFont="1" applyBorder="1"/>
    <xf numFmtId="38" fontId="41" fillId="0" borderId="1" xfId="15" applyNumberFormat="1" applyFont="1" applyBorder="1"/>
    <xf numFmtId="3" fontId="85" fillId="0" borderId="0" xfId="2" applyNumberFormat="1" applyFont="1" applyFill="1" applyBorder="1" applyAlignment="1">
      <alignment horizontal="right" vertical="center"/>
    </xf>
    <xf numFmtId="184" fontId="85" fillId="0" borderId="4" xfId="5" applyNumberFormat="1" applyFont="1" applyBorder="1" applyAlignment="1">
      <alignment horizontal="left" vertical="center"/>
    </xf>
    <xf numFmtId="3" fontId="85" fillId="0" borderId="8" xfId="2" applyNumberFormat="1" applyFont="1" applyFill="1" applyBorder="1" applyAlignment="1">
      <alignment horizontal="right" vertical="center"/>
    </xf>
    <xf numFmtId="3" fontId="85" fillId="0" borderId="0" xfId="2" applyNumberFormat="1" applyFont="1" applyFill="1" applyBorder="1" applyAlignment="1">
      <alignment vertical="center"/>
    </xf>
    <xf numFmtId="3" fontId="85" fillId="0" borderId="8" xfId="2" applyNumberFormat="1" applyFont="1" applyFill="1" applyBorder="1" applyAlignment="1">
      <alignment vertical="center"/>
    </xf>
    <xf numFmtId="183" fontId="85" fillId="0" borderId="4" xfId="5" applyNumberFormat="1" applyFont="1" applyBorder="1" applyAlignment="1">
      <alignment horizontal="left" vertical="center"/>
    </xf>
    <xf numFmtId="0" fontId="85" fillId="0" borderId="4" xfId="5" applyFont="1" applyBorder="1" applyAlignment="1">
      <alignment horizontal="left" vertical="center"/>
    </xf>
    <xf numFmtId="179" fontId="85" fillId="0" borderId="4" xfId="5" applyNumberFormat="1" applyFont="1" applyBorder="1" applyAlignment="1">
      <alignment horizontal="left" vertical="center"/>
    </xf>
    <xf numFmtId="182" fontId="85" fillId="0" borderId="4" xfId="5" applyNumberFormat="1" applyFont="1" applyBorder="1" applyAlignment="1">
      <alignment horizontal="left" vertical="center"/>
    </xf>
    <xf numFmtId="181" fontId="85" fillId="0" borderId="4" xfId="5" applyNumberFormat="1" applyFont="1" applyBorder="1" applyAlignment="1">
      <alignment horizontal="left" vertical="center"/>
    </xf>
    <xf numFmtId="180" fontId="85" fillId="0" borderId="4" xfId="5" applyNumberFormat="1" applyFont="1" applyBorder="1" applyAlignment="1">
      <alignment horizontal="left" vertical="center"/>
    </xf>
    <xf numFmtId="3" fontId="85" fillId="0" borderId="0" xfId="5" applyNumberFormat="1" applyFont="1" applyAlignment="1">
      <alignment vertical="center"/>
    </xf>
    <xf numFmtId="3" fontId="85" fillId="0" borderId="8" xfId="5" applyNumberFormat="1" applyFont="1" applyBorder="1" applyAlignment="1">
      <alignment vertical="center"/>
    </xf>
    <xf numFmtId="178" fontId="85" fillId="0" borderId="4" xfId="5" applyNumberFormat="1" applyFont="1" applyBorder="1" applyAlignment="1">
      <alignment horizontal="left" vertical="center"/>
    </xf>
    <xf numFmtId="176" fontId="85" fillId="0" borderId="4" xfId="5" applyNumberFormat="1" applyFont="1" applyBorder="1" applyAlignment="1">
      <alignment horizontal="left" vertical="center"/>
    </xf>
    <xf numFmtId="185" fontId="85" fillId="0" borderId="4" xfId="14" applyNumberFormat="1" applyFont="1" applyBorder="1" applyAlignment="1">
      <alignment vertical="center"/>
    </xf>
    <xf numFmtId="3" fontId="85" fillId="0" borderId="11" xfId="2" applyNumberFormat="1" applyFont="1" applyFill="1" applyBorder="1" applyAlignment="1">
      <alignment horizontal="right" vertical="center"/>
    </xf>
    <xf numFmtId="3" fontId="85" fillId="0" borderId="1" xfId="2" applyNumberFormat="1" applyFont="1" applyFill="1" applyBorder="1" applyAlignment="1">
      <alignment horizontal="right" vertical="center"/>
    </xf>
    <xf numFmtId="3" fontId="85" fillId="0" borderId="1" xfId="2" applyNumberFormat="1" applyFont="1" applyFill="1" applyBorder="1" applyAlignment="1">
      <alignment vertical="center"/>
    </xf>
    <xf numFmtId="3" fontId="85" fillId="0" borderId="9" xfId="2" applyNumberFormat="1" applyFont="1" applyFill="1" applyBorder="1" applyAlignment="1">
      <alignment vertical="center"/>
    </xf>
    <xf numFmtId="176" fontId="85" fillId="0" borderId="11" xfId="5" applyNumberFormat="1" applyFont="1" applyBorder="1" applyAlignment="1">
      <alignment horizontal="left" vertical="center"/>
    </xf>
    <xf numFmtId="191" fontId="17" fillId="0" borderId="3" xfId="5" quotePrefix="1" applyNumberFormat="1" applyFont="1" applyBorder="1" applyAlignment="1">
      <alignment horizontal="center"/>
    </xf>
    <xf numFmtId="204" fontId="17" fillId="0" borderId="3" xfId="5" quotePrefix="1" applyNumberFormat="1" applyFont="1" applyBorder="1" applyAlignment="1">
      <alignment horizontal="center"/>
    </xf>
    <xf numFmtId="200" fontId="17" fillId="0" borderId="4" xfId="2" quotePrefix="1" applyNumberFormat="1" applyFont="1" applyFill="1" applyBorder="1"/>
    <xf numFmtId="200" fontId="17" fillId="0" borderId="0" xfId="2" quotePrefix="1" applyNumberFormat="1" applyFont="1" applyFill="1" applyBorder="1"/>
    <xf numFmtId="200" fontId="17" fillId="0" borderId="8" xfId="2" quotePrefix="1" applyNumberFormat="1" applyFont="1" applyFill="1" applyBorder="1"/>
    <xf numFmtId="205" fontId="17" fillId="0" borderId="0" xfId="5" applyNumberFormat="1" applyFont="1" applyAlignment="1">
      <alignment horizontal="left"/>
    </xf>
    <xf numFmtId="201" fontId="17" fillId="0" borderId="0" xfId="5" applyNumberFormat="1" applyFont="1" applyAlignment="1">
      <alignment horizontal="right"/>
    </xf>
    <xf numFmtId="0" fontId="17" fillId="0" borderId="5" xfId="5" applyFont="1" applyBorder="1" applyAlignment="1">
      <alignment horizontal="center" vertical="center" wrapText="1"/>
    </xf>
    <xf numFmtId="38" fontId="17" fillId="0" borderId="5" xfId="2" applyFont="1" applyFill="1" applyBorder="1" applyAlignment="1">
      <alignment horizontal="center" vertical="center" wrapText="1"/>
    </xf>
    <xf numFmtId="0" fontId="17" fillId="0" borderId="4" xfId="5" applyFont="1" applyBorder="1" applyAlignment="1">
      <alignment horizontal="center" vertical="center" wrapText="1"/>
    </xf>
    <xf numFmtId="0" fontId="17" fillId="0" borderId="11" xfId="5" applyFont="1" applyBorder="1" applyAlignment="1">
      <alignment horizontal="center" vertical="center" wrapText="1"/>
    </xf>
    <xf numFmtId="0" fontId="37" fillId="0" borderId="2" xfId="5" applyFont="1" applyBorder="1" applyAlignment="1">
      <alignment horizontal="center" vertical="center"/>
    </xf>
    <xf numFmtId="0" fontId="37" fillId="0" borderId="6" xfId="5" applyFont="1" applyBorder="1" applyAlignment="1">
      <alignment horizontal="center" vertical="center"/>
    </xf>
    <xf numFmtId="0" fontId="37" fillId="0" borderId="8" xfId="5" applyFont="1" applyBorder="1" applyAlignment="1">
      <alignment horizontal="center" vertical="center"/>
    </xf>
    <xf numFmtId="0" fontId="37" fillId="0" borderId="1" xfId="5" applyFont="1" applyBorder="1" applyAlignment="1">
      <alignment horizontal="center" vertical="center"/>
    </xf>
    <xf numFmtId="0" fontId="37" fillId="0" borderId="9" xfId="5" applyFont="1" applyBorder="1" applyAlignment="1">
      <alignment horizontal="center" vertical="center"/>
    </xf>
    <xf numFmtId="0" fontId="37" fillId="0" borderId="10" xfId="5" applyFont="1" applyBorder="1" applyAlignment="1">
      <alignment horizontal="center" vertical="center" wrapText="1"/>
    </xf>
    <xf numFmtId="0" fontId="37" fillId="0" borderId="10" xfId="5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8" xfId="5" applyFont="1" applyBorder="1" applyAlignment="1">
      <alignment horizontal="center" vertical="center"/>
    </xf>
    <xf numFmtId="0" fontId="17" fillId="0" borderId="6" xfId="16" applyFont="1" applyBorder="1" applyAlignment="1">
      <alignment horizontal="center" vertical="center" wrapText="1"/>
    </xf>
    <xf numFmtId="0" fontId="17" fillId="0" borderId="5" xfId="16" applyFont="1" applyBorder="1" applyAlignment="1">
      <alignment horizontal="center" vertical="center" wrapText="1"/>
    </xf>
    <xf numFmtId="0" fontId="17" fillId="0" borderId="11" xfId="16" applyFont="1" applyBorder="1" applyAlignment="1">
      <alignment horizontal="center" vertical="center" wrapText="1"/>
    </xf>
    <xf numFmtId="0" fontId="17" fillId="0" borderId="10" xfId="16" applyFont="1" applyBorder="1" applyAlignment="1">
      <alignment horizontal="center" vertical="center" wrapText="1"/>
    </xf>
    <xf numFmtId="0" fontId="17" fillId="0" borderId="0" xfId="5" applyFont="1" applyAlignment="1">
      <alignment horizontal="center"/>
    </xf>
    <xf numFmtId="188" fontId="17" fillId="0" borderId="8" xfId="5" applyNumberFormat="1" applyFont="1" applyBorder="1" applyAlignment="1">
      <alignment horizontal="center"/>
    </xf>
    <xf numFmtId="188" fontId="17" fillId="0" borderId="11" xfId="5" applyNumberFormat="1" applyFont="1" applyBorder="1" applyAlignment="1">
      <alignment horizontal="center"/>
    </xf>
    <xf numFmtId="188" fontId="17" fillId="0" borderId="9" xfId="5" applyNumberFormat="1" applyFont="1" applyBorder="1" applyAlignment="1">
      <alignment horizontal="center"/>
    </xf>
    <xf numFmtId="188" fontId="17" fillId="0" borderId="8" xfId="5" applyNumberFormat="1" applyFont="1" applyBorder="1" applyAlignment="1">
      <alignment horizontal="center" vertical="top"/>
    </xf>
    <xf numFmtId="0" fontId="17" fillId="0" borderId="4" xfId="5" applyFont="1" applyBorder="1" applyAlignment="1">
      <alignment horizontal="center"/>
    </xf>
    <xf numFmtId="0" fontId="17" fillId="0" borderId="8" xfId="5" applyFont="1" applyBorder="1" applyAlignment="1">
      <alignment horizontal="center"/>
    </xf>
    <xf numFmtId="0" fontId="17" fillId="0" borderId="5" xfId="5" quotePrefix="1" applyFont="1" applyBorder="1" applyAlignment="1">
      <alignment horizontal="center" vertical="center" wrapText="1"/>
    </xf>
    <xf numFmtId="0" fontId="17" fillId="0" borderId="10" xfId="5" applyFont="1" applyBorder="1" applyAlignment="1">
      <alignment vertical="center"/>
    </xf>
    <xf numFmtId="0" fontId="17" fillId="0" borderId="3" xfId="5" quotePrefix="1" applyFont="1" applyBorder="1" applyAlignment="1">
      <alignment horizontal="center" vertical="center" wrapText="1"/>
    </xf>
    <xf numFmtId="0" fontId="17" fillId="0" borderId="9" xfId="5" applyFont="1" applyBorder="1" applyAlignment="1">
      <alignment horizontal="center" vertical="center"/>
    </xf>
    <xf numFmtId="0" fontId="17" fillId="0" borderId="32" xfId="5" quotePrefix="1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/>
    </xf>
    <xf numFmtId="0" fontId="17" fillId="0" borderId="8" xfId="5" applyFont="1" applyBorder="1" applyAlignment="1">
      <alignment horizontal="left" vertical="center"/>
    </xf>
    <xf numFmtId="0" fontId="17" fillId="0" borderId="8" xfId="5" applyFont="1" applyBorder="1" applyAlignment="1">
      <alignment horizontal="left"/>
    </xf>
    <xf numFmtId="0" fontId="17" fillId="0" borderId="0" xfId="5" quotePrefix="1" applyFont="1" applyAlignment="1">
      <alignment horizontal="left" wrapText="1"/>
    </xf>
    <xf numFmtId="0" fontId="15" fillId="0" borderId="0" xfId="5" applyFont="1"/>
    <xf numFmtId="0" fontId="16" fillId="0" borderId="0" xfId="5" applyFont="1"/>
    <xf numFmtId="49" fontId="18" fillId="0" borderId="6" xfId="5" applyNumberFormat="1" applyFont="1" applyBorder="1" applyAlignment="1">
      <alignment horizontal="left"/>
    </xf>
    <xf numFmtId="49" fontId="18" fillId="0" borderId="8" xfId="5" applyNumberFormat="1" applyFont="1" applyBorder="1" applyAlignment="1">
      <alignment horizontal="left"/>
    </xf>
    <xf numFmtId="49" fontId="18" fillId="0" borderId="9" xfId="5" applyNumberFormat="1" applyFont="1" applyBorder="1" applyAlignment="1">
      <alignment horizontal="left"/>
    </xf>
    <xf numFmtId="38" fontId="14" fillId="0" borderId="0" xfId="2" applyFont="1" applyFill="1" applyBorder="1" applyAlignment="1">
      <alignment horizontal="left" vertical="center"/>
    </xf>
    <xf numFmtId="0" fontId="34" fillId="0" borderId="0" xfId="5" applyFont="1" applyAlignment="1">
      <alignment vertical="center"/>
    </xf>
    <xf numFmtId="0" fontId="86" fillId="0" borderId="3" xfId="5" applyFont="1" applyBorder="1" applyAlignment="1">
      <alignment horizontal="center" vertical="center" wrapText="1"/>
    </xf>
    <xf numFmtId="0" fontId="81" fillId="0" borderId="0" xfId="5" applyFont="1" applyAlignment="1">
      <alignment horizontal="left" vertical="center"/>
    </xf>
    <xf numFmtId="22" fontId="48" fillId="0" borderId="1" xfId="5" applyNumberFormat="1" applyFont="1" applyBorder="1" applyAlignment="1">
      <alignment vertical="center"/>
    </xf>
    <xf numFmtId="38" fontId="56" fillId="0" borderId="1" xfId="15" applyNumberFormat="1" applyFont="1" applyBorder="1" applyAlignment="1">
      <alignment horizontal="center" wrapText="1"/>
    </xf>
    <xf numFmtId="38" fontId="60" fillId="0" borderId="1" xfId="15" applyNumberFormat="1" applyFont="1" applyBorder="1"/>
    <xf numFmtId="0" fontId="14" fillId="0" borderId="0" xfId="5" applyFont="1" applyAlignment="1">
      <alignment horizontal="left"/>
    </xf>
    <xf numFmtId="0" fontId="65" fillId="0" borderId="0" xfId="5" applyFont="1" applyAlignment="1">
      <alignment horizontal="left"/>
    </xf>
    <xf numFmtId="38" fontId="67" fillId="0" borderId="0" xfId="3" applyFont="1" applyFill="1">
      <alignment vertical="center"/>
    </xf>
    <xf numFmtId="38" fontId="13" fillId="0" borderId="0" xfId="3" applyFont="1" applyFill="1" applyAlignment="1">
      <alignment horizontal="center" vertical="center"/>
    </xf>
    <xf numFmtId="38" fontId="64" fillId="0" borderId="0" xfId="3" applyFont="1" applyFill="1">
      <alignment vertical="center"/>
    </xf>
    <xf numFmtId="38" fontId="17" fillId="0" borderId="0" xfId="3" applyFont="1" applyFill="1">
      <alignment vertical="center"/>
    </xf>
    <xf numFmtId="38" fontId="17" fillId="0" borderId="0" xfId="3" quotePrefix="1" applyFont="1" applyFill="1" applyBorder="1" applyAlignment="1">
      <alignment vertical="center"/>
    </xf>
    <xf numFmtId="38" fontId="17" fillId="0" borderId="0" xfId="3" quotePrefix="1" applyFont="1" applyFill="1" applyBorder="1" applyAlignment="1">
      <alignment horizontal="right"/>
    </xf>
    <xf numFmtId="0" fontId="86" fillId="0" borderId="5" xfId="16" applyFont="1" applyBorder="1" applyAlignment="1">
      <alignment horizontal="center" vertical="center" wrapText="1"/>
    </xf>
    <xf numFmtId="0" fontId="69" fillId="0" borderId="0" xfId="5" applyFont="1" applyAlignment="1">
      <alignment horizontal="center" vertical="center"/>
    </xf>
    <xf numFmtId="0" fontId="69" fillId="0" borderId="1" xfId="5" applyFont="1" applyBorder="1" applyAlignment="1">
      <alignment horizontal="center"/>
    </xf>
    <xf numFmtId="0" fontId="70" fillId="0" borderId="1" xfId="5" quotePrefix="1" applyFont="1" applyBorder="1" applyAlignment="1">
      <alignment horizontal="left"/>
    </xf>
    <xf numFmtId="0" fontId="69" fillId="0" borderId="1" xfId="5" applyFont="1" applyBorder="1" applyAlignment="1">
      <alignment horizontal="right"/>
    </xf>
    <xf numFmtId="0" fontId="69" fillId="0" borderId="1" xfId="5" applyFont="1" applyBorder="1" applyAlignment="1">
      <alignment horizontal="center" vertical="top"/>
    </xf>
    <xf numFmtId="0" fontId="50" fillId="0" borderId="1" xfId="5" quotePrefix="1" applyFont="1" applyBorder="1" applyAlignment="1">
      <alignment horizontal="left" vertical="center"/>
    </xf>
    <xf numFmtId="188" fontId="57" fillId="0" borderId="0" xfId="5" applyNumberFormat="1" applyFont="1"/>
    <xf numFmtId="188" fontId="17" fillId="0" borderId="4" xfId="5" applyNumberFormat="1" applyFont="1" applyBorder="1" applyAlignment="1">
      <alignment vertical="top"/>
    </xf>
    <xf numFmtId="0" fontId="63" fillId="0" borderId="0" xfId="5" applyFont="1" applyAlignment="1">
      <alignment horizontal="centerContinuous"/>
    </xf>
    <xf numFmtId="0" fontId="17" fillId="0" borderId="0" xfId="5" applyFont="1" applyAlignment="1">
      <alignment horizontal="centerContinuous"/>
    </xf>
    <xf numFmtId="200" fontId="17" fillId="0" borderId="4" xfId="2" applyNumberFormat="1" applyFont="1" applyFill="1" applyBorder="1" applyAlignment="1"/>
    <xf numFmtId="200" fontId="17" fillId="0" borderId="0" xfId="2" applyNumberFormat="1" applyFont="1" applyFill="1" applyBorder="1" applyAlignment="1"/>
    <xf numFmtId="0" fontId="22" fillId="0" borderId="0" xfId="1" applyFill="1" applyAlignment="1" applyProtection="1">
      <alignment vertical="center"/>
    </xf>
    <xf numFmtId="49" fontId="17" fillId="0" borderId="8" xfId="5" applyNumberFormat="1" applyFont="1" applyBorder="1" applyAlignment="1">
      <alignment horizontal="left"/>
    </xf>
    <xf numFmtId="38" fontId="17" fillId="0" borderId="3" xfId="2" applyFont="1" applyFill="1" applyBorder="1" applyAlignment="1">
      <alignment horizontal="left" vertical="center" shrinkToFit="1"/>
    </xf>
    <xf numFmtId="38" fontId="17" fillId="0" borderId="3" xfId="2" applyFont="1" applyFill="1" applyBorder="1" applyAlignment="1">
      <alignment horizontal="left" shrinkToFit="1"/>
    </xf>
    <xf numFmtId="38" fontId="17" fillId="0" borderId="3" xfId="2" applyFont="1" applyFill="1" applyBorder="1" applyAlignment="1">
      <alignment horizontal="left" vertical="center" wrapText="1" shrinkToFit="1"/>
    </xf>
    <xf numFmtId="38" fontId="88" fillId="0" borderId="3" xfId="2" applyFont="1" applyFill="1" applyBorder="1" applyAlignment="1">
      <alignment horizontal="center" vertical="center" wrapText="1"/>
    </xf>
    <xf numFmtId="37" fontId="17" fillId="0" borderId="6" xfId="2" applyNumberFormat="1" applyFont="1" applyFill="1" applyBorder="1" applyAlignment="1">
      <alignment horizontal="right"/>
    </xf>
    <xf numFmtId="37" fontId="17" fillId="0" borderId="8" xfId="2" applyNumberFormat="1" applyFont="1" applyFill="1" applyBorder="1" applyAlignment="1">
      <alignment horizontal="right"/>
    </xf>
    <xf numFmtId="37" fontId="17" fillId="0" borderId="9" xfId="2" applyNumberFormat="1" applyFont="1" applyFill="1" applyBorder="1" applyAlignment="1">
      <alignment horizontal="right"/>
    </xf>
    <xf numFmtId="0" fontId="89" fillId="0" borderId="0" xfId="5" applyFont="1" applyAlignment="1">
      <alignment horizontal="center" vertical="center"/>
    </xf>
    <xf numFmtId="0" fontId="17" fillId="0" borderId="2" xfId="5" applyFont="1" applyBorder="1" applyAlignment="1">
      <alignment horizontal="left" vertical="center"/>
    </xf>
    <xf numFmtId="0" fontId="17" fillId="0" borderId="0" xfId="5" applyFont="1" applyAlignment="1">
      <alignment horizontal="distributed" vertical="center"/>
    </xf>
    <xf numFmtId="49" fontId="90" fillId="0" borderId="0" xfId="5" applyNumberFormat="1" applyFont="1" applyAlignment="1">
      <alignment horizontal="left" vertical="center"/>
    </xf>
    <xf numFmtId="49" fontId="17" fillId="0" borderId="1" xfId="5" applyNumberFormat="1" applyFont="1" applyBorder="1" applyAlignment="1">
      <alignment horizontal="right" vertical="center"/>
    </xf>
    <xf numFmtId="49" fontId="17" fillId="0" borderId="1" xfId="5" applyNumberFormat="1" applyFont="1" applyBorder="1" applyAlignment="1">
      <alignment horizontal="left" vertical="center"/>
    </xf>
    <xf numFmtId="38" fontId="37" fillId="0" borderId="6" xfId="2" applyFont="1" applyFill="1" applyBorder="1" applyAlignment="1" applyProtection="1">
      <alignment horizontal="right" vertical="center" wrapText="1"/>
    </xf>
    <xf numFmtId="38" fontId="17" fillId="0" borderId="0" xfId="15" applyNumberFormat="1" applyFont="1"/>
    <xf numFmtId="38" fontId="17" fillId="0" borderId="6" xfId="2" applyFont="1" applyFill="1" applyBorder="1" applyAlignment="1" applyProtection="1">
      <alignment horizontal="right" vertical="center" wrapText="1"/>
    </xf>
    <xf numFmtId="38" fontId="17" fillId="0" borderId="8" xfId="15" applyNumberFormat="1" applyFont="1" applyBorder="1" applyAlignment="1">
      <alignment horizontal="right" vertical="center"/>
    </xf>
    <xf numFmtId="38" fontId="91" fillId="0" borderId="0" xfId="15" applyNumberFormat="1" applyFont="1"/>
    <xf numFmtId="38" fontId="17" fillId="0" borderId="0" xfId="15" applyNumberFormat="1" applyFont="1" applyAlignment="1">
      <alignment wrapText="1"/>
    </xf>
    <xf numFmtId="38" fontId="37" fillId="0" borderId="0" xfId="5" applyNumberFormat="1" applyFont="1"/>
    <xf numFmtId="38" fontId="17" fillId="0" borderId="6" xfId="15" applyNumberFormat="1" applyFont="1" applyBorder="1" applyAlignment="1">
      <alignment horizontal="right" vertical="center" wrapText="1"/>
    </xf>
    <xf numFmtId="3" fontId="48" fillId="0" borderId="8" xfId="15" applyNumberFormat="1" applyFont="1" applyBorder="1" applyAlignment="1">
      <alignment horizontal="right" vertical="center" wrapText="1"/>
    </xf>
    <xf numFmtId="38" fontId="48" fillId="0" borderId="0" xfId="15" applyNumberFormat="1" applyFont="1" applyAlignment="1">
      <alignment vertical="center" wrapText="1"/>
    </xf>
    <xf numFmtId="38" fontId="48" fillId="0" borderId="0" xfId="15" applyNumberFormat="1" applyFont="1" applyAlignment="1">
      <alignment horizontal="left" vertical="center" wrapText="1"/>
    </xf>
    <xf numFmtId="0" fontId="92" fillId="0" borderId="0" xfId="5" applyFont="1"/>
    <xf numFmtId="0" fontId="17" fillId="0" borderId="2" xfId="5" applyFont="1" applyBorder="1" applyAlignment="1">
      <alignment horizontal="right" vertical="center"/>
    </xf>
    <xf numFmtId="38" fontId="17" fillId="0" borderId="6" xfId="2" applyFont="1" applyFill="1" applyBorder="1" applyAlignment="1">
      <alignment vertical="center"/>
    </xf>
    <xf numFmtId="184" fontId="17" fillId="0" borderId="5" xfId="5" applyNumberFormat="1" applyFont="1" applyBorder="1" applyAlignment="1">
      <alignment horizontal="left" vertical="center"/>
    </xf>
    <xf numFmtId="203" fontId="17" fillId="0" borderId="0" xfId="2" applyNumberFormat="1" applyFont="1" applyFill="1" applyBorder="1" applyAlignment="1">
      <alignment vertical="center"/>
    </xf>
    <xf numFmtId="203" fontId="17" fillId="0" borderId="8" xfId="2" applyNumberFormat="1" applyFont="1" applyFill="1" applyBorder="1" applyAlignment="1">
      <alignment vertical="center"/>
    </xf>
    <xf numFmtId="3" fontId="17" fillId="0" borderId="4" xfId="2" applyNumberFormat="1" applyFont="1" applyFill="1" applyBorder="1" applyAlignment="1">
      <alignment horizontal="right" vertical="center"/>
    </xf>
    <xf numFmtId="49" fontId="17" fillId="0" borderId="2" xfId="5" applyNumberFormat="1" applyFont="1" applyBorder="1" applyAlignment="1">
      <alignment horizontal="center"/>
    </xf>
    <xf numFmtId="0" fontId="17" fillId="0" borderId="2" xfId="5" applyFont="1" applyBorder="1" applyAlignment="1">
      <alignment horizontal="center"/>
    </xf>
    <xf numFmtId="0" fontId="17" fillId="0" borderId="6" xfId="5" applyFont="1" applyBorder="1" applyAlignment="1">
      <alignment horizontal="center"/>
    </xf>
    <xf numFmtId="3" fontId="17" fillId="0" borderId="6" xfId="2" applyNumberFormat="1" applyFont="1" applyFill="1" applyBorder="1" applyAlignment="1"/>
    <xf numFmtId="49" fontId="17" fillId="0" borderId="0" xfId="5" applyNumberFormat="1" applyFont="1" applyAlignment="1">
      <alignment horizontal="left" vertical="top"/>
    </xf>
    <xf numFmtId="0" fontId="17" fillId="0" borderId="8" xfId="5" applyFont="1" applyBorder="1" applyAlignment="1">
      <alignment horizontal="right" vertical="top"/>
    </xf>
    <xf numFmtId="49" fontId="17" fillId="0" borderId="0" xfId="5" applyNumberFormat="1" applyFont="1" applyAlignment="1">
      <alignment horizontal="left"/>
    </xf>
    <xf numFmtId="49" fontId="17" fillId="0" borderId="0" xfId="5" applyNumberFormat="1" applyFont="1" applyAlignment="1">
      <alignment horizontal="center"/>
    </xf>
    <xf numFmtId="0" fontId="17" fillId="0" borderId="8" xfId="5" applyFont="1" applyBorder="1" applyAlignment="1">
      <alignment horizontal="right"/>
    </xf>
    <xf numFmtId="38" fontId="17" fillId="0" borderId="8" xfId="2" applyFont="1" applyFill="1" applyBorder="1" applyAlignment="1">
      <alignment horizontal="right" vertical="top"/>
    </xf>
    <xf numFmtId="49" fontId="19" fillId="0" borderId="0" xfId="5" applyNumberFormat="1" applyFont="1"/>
    <xf numFmtId="0" fontId="17" fillId="0" borderId="0" xfId="5" applyFont="1" applyAlignment="1">
      <alignment horizontal="distributed" vertical="top"/>
    </xf>
    <xf numFmtId="0" fontId="17" fillId="0" borderId="8" xfId="5" applyFont="1" applyBorder="1" applyAlignment="1">
      <alignment horizontal="distributed" vertical="top"/>
    </xf>
    <xf numFmtId="0" fontId="17" fillId="0" borderId="0" xfId="5" applyFont="1" applyAlignment="1">
      <alignment horizontal="distributed"/>
    </xf>
    <xf numFmtId="0" fontId="17" fillId="0" borderId="8" xfId="5" applyFont="1" applyBorder="1" applyAlignment="1">
      <alignment horizontal="distributed"/>
    </xf>
    <xf numFmtId="0" fontId="17" fillId="0" borderId="0" xfId="5" applyFont="1" applyAlignment="1">
      <alignment horizontal="left" vertical="top"/>
    </xf>
    <xf numFmtId="49" fontId="17" fillId="0" borderId="8" xfId="5" applyNumberFormat="1" applyFont="1" applyBorder="1" applyAlignment="1">
      <alignment horizontal="right" vertical="top"/>
    </xf>
    <xf numFmtId="49" fontId="17" fillId="0" borderId="0" xfId="5" applyNumberFormat="1" applyFont="1" applyAlignment="1">
      <alignment horizontal="right"/>
    </xf>
    <xf numFmtId="49" fontId="17" fillId="0" borderId="8" xfId="5" applyNumberFormat="1" applyFont="1" applyBorder="1" applyAlignment="1">
      <alignment horizontal="right"/>
    </xf>
    <xf numFmtId="49" fontId="90" fillId="0" borderId="0" xfId="5" applyNumberFormat="1" applyFont="1" applyAlignment="1">
      <alignment horizontal="left" vertical="top"/>
    </xf>
    <xf numFmtId="49" fontId="17" fillId="0" borderId="1" xfId="5" applyNumberFormat="1" applyFont="1" applyBorder="1" applyAlignment="1">
      <alignment horizontal="right" vertical="top"/>
    </xf>
    <xf numFmtId="49" fontId="17" fillId="0" borderId="1" xfId="5" applyNumberFormat="1" applyFont="1" applyBorder="1" applyAlignment="1">
      <alignment horizontal="left" vertical="top"/>
    </xf>
    <xf numFmtId="49" fontId="17" fillId="0" borderId="9" xfId="5" applyNumberFormat="1" applyFont="1" applyBorder="1" applyAlignment="1">
      <alignment horizontal="right" vertical="top"/>
    </xf>
    <xf numFmtId="38" fontId="14" fillId="0" borderId="0" xfId="3" quotePrefix="1" applyFont="1" applyFill="1" applyAlignment="1">
      <alignment horizontal="left" vertical="center"/>
    </xf>
    <xf numFmtId="49" fontId="17" fillId="0" borderId="2" xfId="5" applyNumberFormat="1" applyFont="1" applyBorder="1" applyAlignment="1">
      <alignment horizontal="left" vertical="center"/>
    </xf>
    <xf numFmtId="3" fontId="17" fillId="0" borderId="6" xfId="2" applyNumberFormat="1" applyFont="1" applyFill="1" applyBorder="1" applyAlignment="1">
      <alignment horizontal="right" vertical="center"/>
    </xf>
    <xf numFmtId="3" fontId="48" fillId="0" borderId="8" xfId="2" applyNumberFormat="1" applyFont="1" applyFill="1" applyBorder="1" applyAlignment="1">
      <alignment horizontal="right" vertical="center"/>
    </xf>
    <xf numFmtId="3" fontId="17" fillId="0" borderId="37" xfId="2" applyNumberFormat="1" applyFont="1" applyFill="1" applyBorder="1" applyAlignment="1">
      <alignment horizontal="right" vertical="center"/>
    </xf>
    <xf numFmtId="49" fontId="85" fillId="0" borderId="2" xfId="5" applyNumberFormat="1" applyFont="1" applyBorder="1" applyAlignment="1">
      <alignment horizontal="left" vertical="center"/>
    </xf>
    <xf numFmtId="0" fontId="85" fillId="0" borderId="2" xfId="5" applyFont="1" applyBorder="1" applyAlignment="1">
      <alignment horizontal="right" vertical="center"/>
    </xf>
    <xf numFmtId="0" fontId="85" fillId="0" borderId="6" xfId="5" applyFont="1" applyBorder="1" applyAlignment="1">
      <alignment horizontal="right" vertical="center"/>
    </xf>
    <xf numFmtId="3" fontId="85" fillId="0" borderId="6" xfId="2" applyNumberFormat="1" applyFont="1" applyFill="1" applyBorder="1" applyAlignment="1">
      <alignment horizontal="right" vertical="center"/>
    </xf>
    <xf numFmtId="49" fontId="85" fillId="0" borderId="0" xfId="5" applyNumberFormat="1" applyFont="1" applyAlignment="1">
      <alignment horizontal="left" vertical="center"/>
    </xf>
    <xf numFmtId="0" fontId="85" fillId="0" borderId="0" xfId="5" applyFont="1" applyAlignment="1">
      <alignment horizontal="right" vertical="center"/>
    </xf>
    <xf numFmtId="0" fontId="85" fillId="0" borderId="8" xfId="5" applyFont="1" applyBorder="1" applyAlignment="1">
      <alignment horizontal="right" vertical="center"/>
    </xf>
    <xf numFmtId="203" fontId="85" fillId="0" borderId="0" xfId="2" applyNumberFormat="1" applyFont="1" applyFill="1" applyBorder="1" applyAlignment="1">
      <alignment horizontal="right" vertical="center"/>
    </xf>
    <xf numFmtId="203" fontId="85" fillId="0" borderId="8" xfId="2" applyNumberFormat="1" applyFont="1" applyFill="1" applyBorder="1" applyAlignment="1">
      <alignment horizontal="right" vertical="center"/>
    </xf>
    <xf numFmtId="0" fontId="85" fillId="0" borderId="0" xfId="5" applyFont="1" applyAlignment="1">
      <alignment vertical="center"/>
    </xf>
    <xf numFmtId="0" fontId="85" fillId="0" borderId="8" xfId="5" applyFont="1" applyBorder="1" applyAlignment="1">
      <alignment vertical="center"/>
    </xf>
    <xf numFmtId="0" fontId="85" fillId="0" borderId="0" xfId="5" applyFont="1" applyAlignment="1">
      <alignment horizontal="distributed" vertical="center"/>
    </xf>
    <xf numFmtId="0" fontId="85" fillId="0" borderId="8" xfId="5" applyFont="1" applyBorder="1" applyAlignment="1">
      <alignment horizontal="distributed" vertical="center"/>
    </xf>
    <xf numFmtId="0" fontId="85" fillId="0" borderId="0" xfId="5" applyFont="1" applyAlignment="1">
      <alignment horizontal="left" vertical="center"/>
    </xf>
    <xf numFmtId="49" fontId="85" fillId="0" borderId="8" xfId="5" applyNumberFormat="1" applyFont="1" applyBorder="1" applyAlignment="1">
      <alignment horizontal="right" vertical="center"/>
    </xf>
    <xf numFmtId="49" fontId="93" fillId="0" borderId="0" xfId="5" applyNumberFormat="1" applyFont="1" applyAlignment="1">
      <alignment horizontal="left" vertical="center"/>
    </xf>
    <xf numFmtId="49" fontId="85" fillId="0" borderId="1" xfId="5" applyNumberFormat="1" applyFont="1" applyBorder="1" applyAlignment="1">
      <alignment horizontal="right" vertical="center"/>
    </xf>
    <xf numFmtId="49" fontId="85" fillId="0" borderId="1" xfId="5" applyNumberFormat="1" applyFont="1" applyBorder="1" applyAlignment="1">
      <alignment horizontal="left" vertical="center"/>
    </xf>
    <xf numFmtId="49" fontId="85" fillId="0" borderId="9" xfId="5" applyNumberFormat="1" applyFont="1" applyBorder="1" applyAlignment="1">
      <alignment horizontal="right" vertical="center"/>
    </xf>
    <xf numFmtId="38" fontId="17" fillId="0" borderId="11" xfId="5" applyNumberFormat="1" applyFont="1" applyBorder="1"/>
    <xf numFmtId="0" fontId="2" fillId="0" borderId="0" xfId="22">
      <alignment vertical="center"/>
    </xf>
    <xf numFmtId="200" fontId="2" fillId="0" borderId="0" xfId="22" applyNumberFormat="1">
      <alignment vertical="center"/>
    </xf>
    <xf numFmtId="201" fontId="2" fillId="0" borderId="0" xfId="22" applyNumberFormat="1">
      <alignment vertical="center"/>
    </xf>
    <xf numFmtId="40" fontId="17" fillId="0" borderId="0" xfId="23" applyNumberFormat="1" applyFont="1" applyAlignment="1">
      <alignment horizontal="left"/>
    </xf>
    <xf numFmtId="49" fontId="17" fillId="0" borderId="0" xfId="5" quotePrefix="1" applyNumberFormat="1" applyFont="1" applyAlignment="1">
      <alignment horizontal="left"/>
    </xf>
    <xf numFmtId="49" fontId="17" fillId="0" borderId="8" xfId="5" quotePrefix="1" applyNumberFormat="1" applyFont="1" applyBorder="1" applyAlignment="1">
      <alignment horizontal="left"/>
    </xf>
    <xf numFmtId="49" fontId="17" fillId="0" borderId="4" xfId="5" quotePrefix="1" applyNumberFormat="1" applyFont="1" applyBorder="1" applyAlignment="1">
      <alignment horizontal="left"/>
    </xf>
    <xf numFmtId="49" fontId="99" fillId="0" borderId="0" xfId="5" quotePrefix="1" applyNumberFormat="1" applyFont="1" applyAlignment="1">
      <alignment horizontal="left"/>
    </xf>
    <xf numFmtId="0" fontId="94" fillId="0" borderId="0" xfId="24" applyFont="1">
      <alignment vertical="center"/>
    </xf>
    <xf numFmtId="0" fontId="1" fillId="0" borderId="0" xfId="24">
      <alignment vertical="center"/>
    </xf>
    <xf numFmtId="0" fontId="95" fillId="0" borderId="0" xfId="24" applyFont="1">
      <alignment vertical="center"/>
    </xf>
    <xf numFmtId="0" fontId="96" fillId="0" borderId="44" xfId="24" applyFont="1" applyBorder="1">
      <alignment vertical="center"/>
    </xf>
    <xf numFmtId="0" fontId="1" fillId="0" borderId="44" xfId="24" applyBorder="1" applyAlignment="1">
      <alignment horizontal="right" vertical="center"/>
    </xf>
    <xf numFmtId="0" fontId="85" fillId="0" borderId="44" xfId="24" applyFont="1" applyBorder="1" applyAlignment="1">
      <alignment horizontal="right" vertical="center"/>
    </xf>
    <xf numFmtId="0" fontId="95" fillId="0" borderId="44" xfId="24" applyFont="1" applyBorder="1">
      <alignment vertical="center"/>
    </xf>
    <xf numFmtId="0" fontId="17" fillId="0" borderId="46" xfId="24" applyFont="1" applyBorder="1" applyAlignment="1">
      <alignment horizontal="center" vertical="center"/>
    </xf>
    <xf numFmtId="0" fontId="1" fillId="0" borderId="0" xfId="24" applyAlignment="1">
      <alignment horizontal="center" vertical="center"/>
    </xf>
    <xf numFmtId="0" fontId="17" fillId="0" borderId="7" xfId="24" applyFont="1" applyBorder="1" applyAlignment="1">
      <alignment horizontal="center" vertical="center"/>
    </xf>
    <xf numFmtId="0" fontId="17" fillId="0" borderId="8" xfId="24" applyFont="1" applyBorder="1" applyAlignment="1">
      <alignment horizontal="center" vertical="center"/>
    </xf>
    <xf numFmtId="0" fontId="17" fillId="0" borderId="7" xfId="24" applyFont="1" applyBorder="1" applyAlignment="1">
      <alignment horizontal="center" vertical="center" shrinkToFit="1"/>
    </xf>
    <xf numFmtId="0" fontId="17" fillId="0" borderId="51" xfId="24" applyFont="1" applyBorder="1" applyAlignment="1">
      <alignment horizontal="center" vertical="center"/>
    </xf>
    <xf numFmtId="0" fontId="17" fillId="0" borderId="0" xfId="24" applyFont="1" applyAlignment="1">
      <alignment horizontal="center" vertical="center"/>
    </xf>
    <xf numFmtId="0" fontId="17" fillId="0" borderId="4" xfId="24" applyFont="1" applyBorder="1" applyAlignment="1">
      <alignment horizontal="center" vertical="center"/>
    </xf>
    <xf numFmtId="0" fontId="17" fillId="0" borderId="53" xfId="24" applyFont="1" applyBorder="1" applyAlignment="1">
      <alignment horizontal="center" vertical="center"/>
    </xf>
    <xf numFmtId="0" fontId="17" fillId="0" borderId="52" xfId="24" applyFont="1" applyBorder="1" applyAlignment="1">
      <alignment horizontal="center" vertical="center" wrapText="1"/>
    </xf>
    <xf numFmtId="0" fontId="17" fillId="0" borderId="53" xfId="24" applyFont="1" applyBorder="1" applyAlignment="1">
      <alignment horizontal="center" vertical="center" wrapText="1"/>
    </xf>
    <xf numFmtId="0" fontId="17" fillId="0" borderId="44" xfId="24" applyFont="1" applyBorder="1" applyAlignment="1">
      <alignment horizontal="center" vertical="center" wrapText="1"/>
    </xf>
    <xf numFmtId="0" fontId="17" fillId="0" borderId="54" xfId="24" applyFont="1" applyBorder="1" applyAlignment="1">
      <alignment horizontal="center" vertical="center" wrapText="1"/>
    </xf>
    <xf numFmtId="0" fontId="85" fillId="0" borderId="55" xfId="24" applyFont="1" applyBorder="1" applyAlignment="1"/>
    <xf numFmtId="38" fontId="85" fillId="0" borderId="51" xfId="25" applyFont="1" applyFill="1" applyBorder="1" applyAlignment="1">
      <alignment horizontal="right"/>
    </xf>
    <xf numFmtId="38" fontId="85" fillId="0" borderId="45" xfId="25" applyFont="1" applyFill="1" applyBorder="1" applyAlignment="1">
      <alignment horizontal="right"/>
    </xf>
    <xf numFmtId="38" fontId="85" fillId="0" borderId="55" xfId="25" applyFont="1" applyFill="1" applyBorder="1" applyAlignment="1">
      <alignment horizontal="right"/>
    </xf>
    <xf numFmtId="38" fontId="85" fillId="0" borderId="50" xfId="25" applyFont="1" applyFill="1" applyBorder="1" applyAlignment="1">
      <alignment horizontal="right"/>
    </xf>
    <xf numFmtId="0" fontId="85" fillId="0" borderId="50" xfId="24" applyFont="1" applyBorder="1" applyAlignment="1"/>
    <xf numFmtId="0" fontId="85" fillId="0" borderId="0" xfId="24" applyFont="1" applyAlignment="1"/>
    <xf numFmtId="38" fontId="85" fillId="0" borderId="7" xfId="25" applyFont="1" applyFill="1" applyBorder="1" applyAlignment="1">
      <alignment horizontal="right"/>
    </xf>
    <xf numFmtId="38" fontId="85" fillId="0" borderId="8" xfId="25" applyFont="1" applyFill="1" applyBorder="1" applyAlignment="1">
      <alignment horizontal="right"/>
    </xf>
    <xf numFmtId="38" fontId="85" fillId="0" borderId="0" xfId="25" applyFont="1" applyFill="1" applyBorder="1" applyAlignment="1">
      <alignment horizontal="right"/>
    </xf>
    <xf numFmtId="38" fontId="85" fillId="0" borderId="4" xfId="25" applyFont="1" applyFill="1" applyBorder="1" applyAlignment="1">
      <alignment horizontal="right"/>
    </xf>
    <xf numFmtId="0" fontId="85" fillId="0" borderId="4" xfId="24" applyFont="1" applyBorder="1" applyAlignment="1"/>
    <xf numFmtId="38" fontId="17" fillId="0" borderId="7" xfId="25" quotePrefix="1" applyFont="1" applyFill="1" applyBorder="1" applyAlignment="1">
      <alignment horizontal="right"/>
    </xf>
    <xf numFmtId="38" fontId="17" fillId="0" borderId="8" xfId="25" quotePrefix="1" applyFont="1" applyFill="1" applyBorder="1" applyAlignment="1">
      <alignment horizontal="right"/>
    </xf>
    <xf numFmtId="38" fontId="17" fillId="0" borderId="0" xfId="25" quotePrefix="1" applyFont="1" applyFill="1" applyBorder="1" applyAlignment="1">
      <alignment horizontal="right"/>
    </xf>
    <xf numFmtId="38" fontId="17" fillId="0" borderId="4" xfId="25" quotePrefix="1" applyFont="1" applyFill="1" applyBorder="1" applyAlignment="1">
      <alignment horizontal="right"/>
    </xf>
    <xf numFmtId="38" fontId="1" fillId="0" borderId="0" xfId="24" applyNumberFormat="1">
      <alignment vertical="center"/>
    </xf>
    <xf numFmtId="49" fontId="17" fillId="0" borderId="44" xfId="5" quotePrefix="1" applyNumberFormat="1" applyFont="1" applyBorder="1" applyAlignment="1">
      <alignment horizontal="left"/>
    </xf>
    <xf numFmtId="38" fontId="17" fillId="0" borderId="53" xfId="25" quotePrefix="1" applyFont="1" applyFill="1" applyBorder="1" applyAlignment="1">
      <alignment horizontal="right"/>
    </xf>
    <xf numFmtId="38" fontId="17" fillId="0" borderId="52" xfId="25" quotePrefix="1" applyFont="1" applyFill="1" applyBorder="1" applyAlignment="1">
      <alignment horizontal="right"/>
    </xf>
    <xf numFmtId="38" fontId="17" fillId="0" borderId="44" xfId="25" quotePrefix="1" applyFont="1" applyFill="1" applyBorder="1" applyAlignment="1">
      <alignment horizontal="right"/>
    </xf>
    <xf numFmtId="38" fontId="17" fillId="0" borderId="54" xfId="25" quotePrefix="1" applyFont="1" applyFill="1" applyBorder="1" applyAlignment="1">
      <alignment horizontal="right"/>
    </xf>
    <xf numFmtId="3" fontId="17" fillId="0" borderId="54" xfId="5" applyNumberFormat="1" applyFont="1" applyBorder="1"/>
    <xf numFmtId="49" fontId="17" fillId="0" borderId="55" xfId="5" applyNumberFormat="1" applyFont="1" applyBorder="1" applyAlignment="1">
      <alignment horizontal="left"/>
    </xf>
    <xf numFmtId="0" fontId="1" fillId="0" borderId="0" xfId="24" applyAlignment="1"/>
    <xf numFmtId="0" fontId="96" fillId="0" borderId="0" xfId="24" applyFont="1">
      <alignment vertical="center"/>
    </xf>
    <xf numFmtId="0" fontId="14" fillId="0" borderId="0" xfId="24" applyFont="1">
      <alignment vertical="center"/>
    </xf>
    <xf numFmtId="0" fontId="97" fillId="0" borderId="0" xfId="24" applyFont="1">
      <alignment vertical="center"/>
    </xf>
    <xf numFmtId="0" fontId="98" fillId="0" borderId="0" xfId="24" applyFont="1">
      <alignment vertical="center"/>
    </xf>
    <xf numFmtId="0" fontId="85" fillId="0" borderId="44" xfId="24" applyFont="1" applyBorder="1">
      <alignment vertical="center"/>
    </xf>
    <xf numFmtId="0" fontId="85" fillId="0" borderId="0" xfId="24" applyFont="1">
      <alignment vertical="center"/>
    </xf>
    <xf numFmtId="0" fontId="85" fillId="0" borderId="0" xfId="24" applyFont="1" applyAlignment="1">
      <alignment horizontal="right" vertical="center"/>
    </xf>
    <xf numFmtId="0" fontId="85" fillId="0" borderId="51" xfId="24" applyFont="1" applyBorder="1" applyAlignment="1">
      <alignment horizontal="center" vertical="center"/>
    </xf>
    <xf numFmtId="0" fontId="85" fillId="0" borderId="0" xfId="24" applyFont="1" applyAlignment="1">
      <alignment horizontal="center" vertical="center" shrinkToFit="1"/>
    </xf>
    <xf numFmtId="0" fontId="85" fillId="0" borderId="0" xfId="24" applyFont="1" applyAlignment="1">
      <alignment horizontal="center" vertical="center"/>
    </xf>
    <xf numFmtId="0" fontId="85" fillId="0" borderId="45" xfId="24" applyFont="1" applyBorder="1" applyAlignment="1"/>
    <xf numFmtId="38" fontId="85" fillId="0" borderId="51" xfId="25" applyFont="1" applyBorder="1" applyAlignment="1">
      <alignment horizontal="right"/>
    </xf>
    <xf numFmtId="38" fontId="85" fillId="0" borderId="0" xfId="25" applyFont="1" applyFill="1" applyBorder="1">
      <alignment vertical="center"/>
    </xf>
    <xf numFmtId="0" fontId="85" fillId="0" borderId="8" xfId="24" applyFont="1" applyBorder="1" applyAlignment="1"/>
    <xf numFmtId="38" fontId="85" fillId="0" borderId="7" xfId="25" applyFont="1" applyBorder="1" applyAlignment="1">
      <alignment horizontal="right"/>
    </xf>
    <xf numFmtId="49" fontId="17" fillId="0" borderId="52" xfId="5" quotePrefix="1" applyNumberFormat="1" applyFont="1" applyBorder="1" applyAlignment="1">
      <alignment horizontal="left"/>
    </xf>
    <xf numFmtId="38" fontId="85" fillId="0" borderId="53" xfId="25" applyFont="1" applyBorder="1" applyAlignment="1">
      <alignment horizontal="right"/>
    </xf>
    <xf numFmtId="38" fontId="85" fillId="0" borderId="53" xfId="25" applyFont="1" applyFill="1" applyBorder="1" applyAlignment="1">
      <alignment horizontal="right"/>
    </xf>
    <xf numFmtId="49" fontId="17" fillId="0" borderId="54" xfId="5" quotePrefix="1" applyNumberFormat="1" applyFont="1" applyBorder="1" applyAlignment="1">
      <alignment horizontal="left"/>
    </xf>
    <xf numFmtId="49" fontId="17" fillId="0" borderId="48" xfId="5" quotePrefix="1" applyNumberFormat="1" applyFont="1" applyBorder="1" applyAlignment="1">
      <alignment horizontal="left"/>
    </xf>
    <xf numFmtId="38" fontId="85" fillId="0" borderId="48" xfId="25" applyFont="1" applyBorder="1">
      <alignment vertical="center"/>
    </xf>
    <xf numFmtId="38" fontId="17" fillId="0" borderId="48" xfId="25" quotePrefix="1" applyFont="1" applyFill="1" applyBorder="1" applyAlignment="1">
      <alignment horizontal="right"/>
    </xf>
    <xf numFmtId="38" fontId="85" fillId="0" borderId="0" xfId="25" applyFont="1" applyBorder="1">
      <alignment vertical="center"/>
    </xf>
    <xf numFmtId="38" fontId="0" fillId="0" borderId="0" xfId="25" applyFont="1" applyBorder="1">
      <alignment vertical="center"/>
    </xf>
    <xf numFmtId="0" fontId="85" fillId="0" borderId="51" xfId="24" applyFont="1" applyBorder="1" applyAlignment="1">
      <alignment horizontal="center" vertical="center" shrinkToFit="1"/>
    </xf>
    <xf numFmtId="0" fontId="85" fillId="0" borderId="0" xfId="24" applyFont="1" applyAlignment="1">
      <alignment horizontal="left" vertical="center"/>
    </xf>
    <xf numFmtId="38" fontId="85" fillId="0" borderId="55" xfId="25" applyFont="1" applyBorder="1">
      <alignment vertical="center"/>
    </xf>
    <xf numFmtId="0" fontId="85" fillId="0" borderId="55" xfId="24" applyFont="1" applyBorder="1">
      <alignment vertical="center"/>
    </xf>
    <xf numFmtId="0" fontId="17" fillId="0" borderId="55" xfId="5" applyFont="1" applyBorder="1" applyAlignment="1">
      <alignment horizontal="center" vertical="center"/>
    </xf>
    <xf numFmtId="0" fontId="17" fillId="0" borderId="45" xfId="5" applyFont="1" applyBorder="1" applyAlignment="1">
      <alignment horizontal="right" vertical="center"/>
    </xf>
    <xf numFmtId="193" fontId="17" fillId="0" borderId="51" xfId="12" quotePrefix="1" applyNumberFormat="1" applyFont="1" applyBorder="1" applyAlignment="1">
      <alignment horizontal="center" vertical="center" wrapText="1"/>
    </xf>
    <xf numFmtId="195" fontId="17" fillId="0" borderId="51" xfId="12" applyNumberFormat="1" applyFont="1" applyBorder="1" applyAlignment="1">
      <alignment horizontal="center" vertical="center" wrapText="1"/>
    </xf>
    <xf numFmtId="38" fontId="17" fillId="0" borderId="51" xfId="12" quotePrefix="1" applyNumberFormat="1" applyFont="1" applyBorder="1" applyAlignment="1">
      <alignment horizontal="center" vertical="center"/>
    </xf>
    <xf numFmtId="193" fontId="19" fillId="0" borderId="51" xfId="12" quotePrefix="1" applyNumberFormat="1" applyFont="1" applyBorder="1" applyAlignment="1">
      <alignment horizontal="center" vertical="center" wrapText="1"/>
    </xf>
    <xf numFmtId="0" fontId="17" fillId="0" borderId="45" xfId="5" applyFont="1" applyBorder="1" applyAlignment="1">
      <alignment horizontal="center" vertical="center"/>
    </xf>
    <xf numFmtId="194" fontId="17" fillId="0" borderId="51" xfId="2" applyNumberFormat="1" applyFont="1" applyFill="1" applyBorder="1" applyAlignment="1">
      <alignment horizontal="right" vertical="center"/>
    </xf>
    <xf numFmtId="195" fontId="17" fillId="0" borderId="55" xfId="5" applyNumberFormat="1" applyFont="1" applyBorder="1" applyAlignment="1">
      <alignment horizontal="right" vertical="center"/>
    </xf>
    <xf numFmtId="192" fontId="17" fillId="0" borderId="51" xfId="5" applyNumberFormat="1" applyFont="1" applyBorder="1" applyAlignment="1">
      <alignment horizontal="right" vertical="center"/>
    </xf>
    <xf numFmtId="38" fontId="17" fillId="0" borderId="51" xfId="5" applyNumberFormat="1" applyFont="1" applyBorder="1" applyAlignment="1">
      <alignment horizontal="right" vertical="center"/>
    </xf>
    <xf numFmtId="193" fontId="17" fillId="0" borderId="51" xfId="5" applyNumberFormat="1" applyFont="1" applyBorder="1" applyAlignment="1">
      <alignment horizontal="right" vertical="center"/>
    </xf>
    <xf numFmtId="38" fontId="17" fillId="0" borderId="53" xfId="2" applyFont="1" applyFill="1" applyBorder="1" applyAlignment="1">
      <alignment horizontal="right"/>
    </xf>
    <xf numFmtId="199" fontId="17" fillId="0" borderId="53" xfId="2" applyNumberFormat="1" applyFont="1" applyFill="1" applyBorder="1" applyAlignment="1">
      <alignment horizontal="right"/>
    </xf>
    <xf numFmtId="197" fontId="17" fillId="0" borderId="53" xfId="2" applyNumberFormat="1" applyFont="1" applyFill="1" applyBorder="1" applyAlignment="1">
      <alignment horizontal="right"/>
    </xf>
    <xf numFmtId="40" fontId="17" fillId="0" borderId="53" xfId="2" applyNumberFormat="1" applyFont="1" applyFill="1" applyBorder="1" applyAlignment="1">
      <alignment horizontal="right"/>
    </xf>
    <xf numFmtId="193" fontId="17" fillId="0" borderId="54" xfId="5" applyNumberFormat="1" applyFont="1" applyBorder="1" applyAlignment="1">
      <alignment horizontal="left" indent="1"/>
    </xf>
    <xf numFmtId="0" fontId="17" fillId="0" borderId="44" xfId="5" applyFont="1" applyBorder="1"/>
    <xf numFmtId="38" fontId="17" fillId="0" borderId="50" xfId="12" applyNumberFormat="1" applyFont="1" applyBorder="1" applyAlignment="1">
      <alignment horizontal="centerContinuous" vertical="center" wrapText="1"/>
    </xf>
    <xf numFmtId="38" fontId="17" fillId="0" borderId="55" xfId="12" applyNumberFormat="1" applyFont="1" applyBorder="1" applyAlignment="1">
      <alignment horizontal="centerContinuous" vertical="center" wrapText="1"/>
    </xf>
    <xf numFmtId="38" fontId="17" fillId="0" borderId="51" xfId="12" quotePrefix="1" applyNumberFormat="1" applyFont="1" applyBorder="1" applyAlignment="1">
      <alignment horizontal="center" vertical="center" wrapText="1"/>
    </xf>
    <xf numFmtId="193" fontId="17" fillId="0" borderId="51" xfId="5" applyNumberFormat="1" applyFont="1" applyBorder="1" applyAlignment="1">
      <alignment horizontal="center" vertical="center" wrapText="1"/>
    </xf>
    <xf numFmtId="194" fontId="17" fillId="0" borderId="53" xfId="2" quotePrefix="1" applyNumberFormat="1" applyFont="1" applyFill="1" applyBorder="1" applyAlignment="1">
      <alignment horizontal="center" vertical="center" wrapText="1"/>
    </xf>
    <xf numFmtId="38" fontId="17" fillId="0" borderId="53" xfId="12" applyNumberFormat="1" applyFont="1" applyBorder="1" applyAlignment="1">
      <alignment horizontal="center" vertical="center" wrapText="1"/>
    </xf>
    <xf numFmtId="193" fontId="17" fillId="0" borderId="53" xfId="5" applyNumberFormat="1" applyFont="1" applyBorder="1" applyAlignment="1">
      <alignment horizontal="center" vertical="center" wrapText="1"/>
    </xf>
    <xf numFmtId="49" fontId="18" fillId="0" borderId="52" xfId="5" quotePrefix="1" applyNumberFormat="1" applyFont="1" applyBorder="1" applyAlignment="1">
      <alignment horizontal="left"/>
    </xf>
    <xf numFmtId="38" fontId="17" fillId="0" borderId="56" xfId="2" applyFont="1" applyFill="1" applyBorder="1"/>
    <xf numFmtId="38" fontId="17" fillId="0" borderId="53" xfId="2" applyFont="1" applyFill="1" applyBorder="1" applyAlignment="1"/>
    <xf numFmtId="196" fontId="17" fillId="0" borderId="53" xfId="5" applyNumberFormat="1" applyFont="1" applyBorder="1"/>
    <xf numFmtId="0" fontId="17" fillId="0" borderId="55" xfId="5" quotePrefix="1" applyFont="1" applyBorder="1" applyAlignment="1">
      <alignment horizontal="left"/>
    </xf>
    <xf numFmtId="0" fontId="63" fillId="0" borderId="55" xfId="5" applyFont="1" applyBorder="1" applyAlignment="1">
      <alignment vertical="center"/>
    </xf>
    <xf numFmtId="0" fontId="17" fillId="0" borderId="44" xfId="5" applyFont="1" applyBorder="1" applyAlignment="1">
      <alignment horizontal="right"/>
    </xf>
    <xf numFmtId="0" fontId="9" fillId="0" borderId="44" xfId="5" applyBorder="1" applyAlignment="1">
      <alignment horizontal="right"/>
    </xf>
    <xf numFmtId="194" fontId="17" fillId="0" borderId="51" xfId="2" applyNumberFormat="1" applyFont="1" applyFill="1" applyBorder="1" applyAlignment="1">
      <alignment horizontal="center" vertical="center"/>
    </xf>
    <xf numFmtId="195" fontId="17" fillId="0" borderId="51" xfId="5" applyNumberFormat="1" applyFont="1" applyBorder="1" applyAlignment="1">
      <alignment horizontal="center" vertical="center"/>
    </xf>
    <xf numFmtId="38" fontId="17" fillId="0" borderId="51" xfId="5" applyNumberFormat="1" applyFont="1" applyBorder="1" applyAlignment="1">
      <alignment horizontal="center" vertical="center"/>
    </xf>
    <xf numFmtId="38" fontId="17" fillId="0" borderId="51" xfId="5" quotePrefix="1" applyNumberFormat="1" applyFont="1" applyBorder="1" applyAlignment="1">
      <alignment horizontal="center" vertical="center" wrapText="1"/>
    </xf>
    <xf numFmtId="193" fontId="17" fillId="0" borderId="51" xfId="5" applyNumberFormat="1" applyFont="1" applyBorder="1" applyAlignment="1">
      <alignment horizontal="center" vertical="center"/>
    </xf>
    <xf numFmtId="194" fontId="17" fillId="0" borderId="53" xfId="2" applyNumberFormat="1" applyFont="1" applyFill="1" applyBorder="1" applyAlignment="1">
      <alignment horizontal="center" vertical="center" wrapText="1"/>
    </xf>
    <xf numFmtId="38" fontId="17" fillId="0" borderId="53" xfId="5" applyNumberFormat="1" applyFont="1" applyBorder="1" applyAlignment="1">
      <alignment horizontal="center" vertical="center" wrapText="1"/>
    </xf>
    <xf numFmtId="193" fontId="17" fillId="0" borderId="51" xfId="5" quotePrefix="1" applyNumberFormat="1" applyFont="1" applyBorder="1" applyAlignment="1">
      <alignment horizontal="center" vertical="center" wrapText="1"/>
    </xf>
    <xf numFmtId="0" fontId="17" fillId="0" borderId="52" xfId="5" applyFont="1" applyBorder="1" applyAlignment="1">
      <alignment horizontal="left"/>
    </xf>
    <xf numFmtId="0" fontId="17" fillId="0" borderId="54" xfId="5" applyFont="1" applyBorder="1"/>
    <xf numFmtId="0" fontId="78" fillId="0" borderId="54" xfId="5" applyFont="1" applyBorder="1"/>
    <xf numFmtId="38" fontId="17" fillId="0" borderId="51" xfId="12" applyNumberFormat="1" applyFont="1" applyBorder="1" applyAlignment="1">
      <alignment horizontal="center" vertical="center" wrapText="1"/>
    </xf>
    <xf numFmtId="0" fontId="17" fillId="0" borderId="51" xfId="12" applyFont="1" applyBorder="1" applyAlignment="1">
      <alignment horizontal="center" vertical="center"/>
    </xf>
    <xf numFmtId="0" fontId="17" fillId="0" borderId="44" xfId="5" quotePrefix="1" applyFont="1" applyBorder="1" applyAlignment="1">
      <alignment horizontal="left" vertical="center"/>
    </xf>
    <xf numFmtId="0" fontId="17" fillId="0" borderId="53" xfId="5" applyFont="1" applyBorder="1" applyAlignment="1">
      <alignment horizontal="center" vertical="center"/>
    </xf>
    <xf numFmtId="0" fontId="17" fillId="0" borderId="5" xfId="5" applyFont="1" applyBorder="1" applyAlignment="1">
      <alignment horizontal="center" vertical="center" wrapText="1"/>
    </xf>
    <xf numFmtId="0" fontId="17" fillId="0" borderId="4" xfId="5" applyFont="1" applyBorder="1" applyAlignment="1">
      <alignment horizontal="center" vertical="center"/>
    </xf>
    <xf numFmtId="0" fontId="17" fillId="0" borderId="11" xfId="5" applyFont="1" applyBorder="1" applyAlignment="1">
      <alignment horizontal="center" vertical="center"/>
    </xf>
    <xf numFmtId="38" fontId="17" fillId="0" borderId="5" xfId="2" applyFont="1" applyFill="1" applyBorder="1" applyAlignment="1">
      <alignment horizontal="center" vertical="center" wrapText="1"/>
    </xf>
    <xf numFmtId="38" fontId="17" fillId="0" borderId="4" xfId="2" applyFont="1" applyFill="1" applyBorder="1" applyAlignment="1">
      <alignment horizontal="center" vertical="center"/>
    </xf>
    <xf numFmtId="38" fontId="17" fillId="0" borderId="11" xfId="2" applyFont="1" applyFill="1" applyBorder="1" applyAlignment="1">
      <alignment horizontal="center" vertical="center"/>
    </xf>
    <xf numFmtId="38" fontId="14" fillId="0" borderId="0" xfId="2" applyFont="1" applyFill="1" applyBorder="1" applyAlignment="1">
      <alignment horizontal="left" vertical="center"/>
    </xf>
    <xf numFmtId="0" fontId="37" fillId="0" borderId="7" xfId="5" applyFont="1" applyBorder="1" applyAlignment="1">
      <alignment horizontal="center" vertical="center" wrapText="1"/>
    </xf>
    <xf numFmtId="0" fontId="9" fillId="0" borderId="10" xfId="5" applyBorder="1" applyAlignment="1">
      <alignment horizontal="center" vertical="center" wrapText="1"/>
    </xf>
    <xf numFmtId="0" fontId="37" fillId="0" borderId="2" xfId="5" applyFont="1" applyBorder="1" applyAlignment="1">
      <alignment horizontal="center" vertical="center"/>
    </xf>
    <xf numFmtId="0" fontId="37" fillId="0" borderId="6" xfId="5" applyFont="1" applyBorder="1" applyAlignment="1">
      <alignment horizontal="center" vertical="center"/>
    </xf>
    <xf numFmtId="0" fontId="37" fillId="0" borderId="0" xfId="5" applyFont="1" applyAlignment="1">
      <alignment horizontal="center" vertical="center"/>
    </xf>
    <xf numFmtId="0" fontId="37" fillId="0" borderId="8" xfId="5" applyFont="1" applyBorder="1" applyAlignment="1">
      <alignment horizontal="center" vertical="center"/>
    </xf>
    <xf numFmtId="0" fontId="37" fillId="0" borderId="1" xfId="5" applyFont="1" applyBorder="1" applyAlignment="1">
      <alignment horizontal="center" vertical="center"/>
    </xf>
    <xf numFmtId="0" fontId="37" fillId="0" borderId="9" xfId="5" applyFont="1" applyBorder="1" applyAlignment="1">
      <alignment horizontal="center" vertical="center"/>
    </xf>
    <xf numFmtId="0" fontId="37" fillId="0" borderId="13" xfId="5" applyFont="1" applyBorder="1" applyAlignment="1">
      <alignment horizontal="center" vertical="center"/>
    </xf>
    <xf numFmtId="0" fontId="37" fillId="0" borderId="12" xfId="5" applyFont="1" applyBorder="1" applyAlignment="1">
      <alignment horizontal="center" vertical="center"/>
    </xf>
    <xf numFmtId="0" fontId="9" fillId="0" borderId="4" xfId="5" applyBorder="1" applyAlignment="1">
      <alignment horizontal="center" vertical="center" wrapText="1"/>
    </xf>
    <xf numFmtId="0" fontId="37" fillId="0" borderId="10" xfId="5" applyFont="1" applyBorder="1" applyAlignment="1">
      <alignment horizontal="center" vertical="center" wrapText="1"/>
    </xf>
    <xf numFmtId="0" fontId="37" fillId="0" borderId="10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 wrapText="1"/>
    </xf>
    <xf numFmtId="0" fontId="37" fillId="0" borderId="16" xfId="5" applyFont="1" applyBorder="1" applyAlignment="1">
      <alignment horizontal="center" vertical="center" wrapText="1"/>
    </xf>
    <xf numFmtId="0" fontId="59" fillId="0" borderId="14" xfId="5" applyFont="1" applyBorder="1" applyAlignment="1">
      <alignment horizontal="center" vertical="center" wrapText="1"/>
    </xf>
    <xf numFmtId="0" fontId="59" fillId="0" borderId="17" xfId="5" applyFont="1" applyBorder="1" applyAlignment="1">
      <alignment horizontal="center" vertical="center" wrapText="1"/>
    </xf>
    <xf numFmtId="0" fontId="17" fillId="0" borderId="16" xfId="5" applyFont="1" applyBorder="1" applyAlignment="1">
      <alignment horizontal="center" vertical="center" wrapText="1"/>
    </xf>
    <xf numFmtId="0" fontId="17" fillId="0" borderId="0" xfId="5" applyFont="1" applyAlignment="1">
      <alignment horizontal="center" vertical="center"/>
    </xf>
    <xf numFmtId="0" fontId="17" fillId="0" borderId="8" xfId="5" applyFont="1" applyBorder="1" applyAlignment="1">
      <alignment horizontal="center" vertical="center"/>
    </xf>
    <xf numFmtId="0" fontId="17" fillId="0" borderId="6" xfId="16" applyFont="1" applyBorder="1" applyAlignment="1">
      <alignment horizontal="center" vertical="center" wrapText="1"/>
    </xf>
    <xf numFmtId="0" fontId="17" fillId="0" borderId="8" xfId="16" applyFont="1" applyBorder="1" applyAlignment="1">
      <alignment horizontal="center" vertical="center" wrapText="1"/>
    </xf>
    <xf numFmtId="0" fontId="17" fillId="0" borderId="9" xfId="16" applyFont="1" applyBorder="1" applyAlignment="1">
      <alignment horizontal="center" vertical="center" wrapText="1"/>
    </xf>
    <xf numFmtId="0" fontId="17" fillId="0" borderId="5" xfId="16" applyFont="1" applyBorder="1" applyAlignment="1">
      <alignment horizontal="center" vertical="center" wrapText="1"/>
    </xf>
    <xf numFmtId="0" fontId="17" fillId="0" borderId="4" xfId="16" applyFont="1" applyBorder="1" applyAlignment="1">
      <alignment horizontal="center" vertical="center" wrapText="1"/>
    </xf>
    <xf numFmtId="0" fontId="17" fillId="0" borderId="11" xfId="16" applyFont="1" applyBorder="1" applyAlignment="1">
      <alignment horizontal="center" vertical="center" wrapText="1"/>
    </xf>
    <xf numFmtId="0" fontId="17" fillId="0" borderId="7" xfId="16" applyFont="1" applyBorder="1" applyAlignment="1">
      <alignment horizontal="center" vertical="center" wrapText="1"/>
    </xf>
    <xf numFmtId="0" fontId="17" fillId="0" borderId="10" xfId="16" applyFont="1" applyBorder="1" applyAlignment="1">
      <alignment horizontal="center" vertical="center" wrapText="1"/>
    </xf>
    <xf numFmtId="0" fontId="19" fillId="0" borderId="7" xfId="16" applyFont="1" applyBorder="1" applyAlignment="1">
      <alignment horizontal="center" vertical="center" wrapText="1"/>
    </xf>
    <xf numFmtId="0" fontId="19" fillId="0" borderId="10" xfId="16" applyFont="1" applyBorder="1" applyAlignment="1">
      <alignment horizontal="center" vertical="center" wrapText="1"/>
    </xf>
    <xf numFmtId="0" fontId="37" fillId="0" borderId="0" xfId="5" applyFont="1" applyAlignment="1">
      <alignment horizontal="center" vertical="center" wrapText="1"/>
    </xf>
    <xf numFmtId="0" fontId="59" fillId="0" borderId="0" xfId="5" applyFont="1" applyAlignment="1">
      <alignment vertical="center" wrapText="1"/>
    </xf>
    <xf numFmtId="0" fontId="59" fillId="0" borderId="26" xfId="5" applyFont="1" applyBorder="1" applyAlignment="1">
      <alignment vertical="center" wrapText="1"/>
    </xf>
    <xf numFmtId="0" fontId="17" fillId="0" borderId="43" xfId="5" applyFont="1" applyBorder="1" applyAlignment="1">
      <alignment horizontal="left" vertical="center"/>
    </xf>
    <xf numFmtId="0" fontId="17" fillId="0" borderId="40" xfId="5" applyFont="1" applyBorder="1" applyAlignment="1">
      <alignment horizontal="left" vertical="center"/>
    </xf>
    <xf numFmtId="0" fontId="17" fillId="0" borderId="2" xfId="5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center"/>
    </xf>
    <xf numFmtId="188" fontId="17" fillId="0" borderId="5" xfId="5" applyNumberFormat="1" applyFont="1" applyBorder="1" applyAlignment="1">
      <alignment horizontal="center" vertical="center"/>
    </xf>
    <xf numFmtId="0" fontId="17" fillId="0" borderId="2" xfId="5" applyFont="1" applyBorder="1"/>
    <xf numFmtId="0" fontId="17" fillId="0" borderId="11" xfId="5" applyFont="1" applyBorder="1"/>
    <xf numFmtId="0" fontId="17" fillId="0" borderId="1" xfId="5" applyFont="1" applyBorder="1"/>
    <xf numFmtId="0" fontId="17" fillId="0" borderId="0" xfId="5" applyFont="1" applyAlignment="1">
      <alignment horizontal="center"/>
    </xf>
    <xf numFmtId="188" fontId="17" fillId="0" borderId="3" xfId="5" applyNumberFormat="1" applyFont="1" applyBorder="1" applyAlignment="1">
      <alignment horizontal="center" vertical="center" wrapText="1"/>
    </xf>
    <xf numFmtId="0" fontId="59" fillId="0" borderId="7" xfId="5" applyFont="1" applyBorder="1" applyAlignment="1">
      <alignment horizontal="center" wrapText="1"/>
    </xf>
    <xf numFmtId="0" fontId="59" fillId="0" borderId="10" xfId="5" applyFont="1" applyBorder="1" applyAlignment="1">
      <alignment horizontal="center"/>
    </xf>
    <xf numFmtId="188" fontId="48" fillId="0" borderId="5" xfId="5" applyNumberFormat="1" applyFont="1" applyBorder="1" applyAlignment="1">
      <alignment horizontal="center"/>
    </xf>
    <xf numFmtId="188" fontId="48" fillId="0" borderId="6" xfId="5" applyNumberFormat="1" applyFont="1" applyBorder="1" applyAlignment="1">
      <alignment horizontal="center"/>
    </xf>
    <xf numFmtId="38" fontId="48" fillId="0" borderId="5" xfId="5" applyNumberFormat="1" applyFont="1" applyBorder="1"/>
    <xf numFmtId="38" fontId="48" fillId="0" borderId="2" xfId="5" applyNumberFormat="1" applyFont="1" applyBorder="1"/>
    <xf numFmtId="188" fontId="17" fillId="0" borderId="4" xfId="5" applyNumberFormat="1" applyFont="1" applyBorder="1" applyAlignment="1">
      <alignment horizontal="center"/>
    </xf>
    <xf numFmtId="188" fontId="17" fillId="0" borderId="8" xfId="5" applyNumberFormat="1" applyFont="1" applyBorder="1" applyAlignment="1">
      <alignment horizontal="center"/>
    </xf>
    <xf numFmtId="188" fontId="17" fillId="0" borderId="7" xfId="5" applyNumberFormat="1" applyFont="1" applyBorder="1" applyAlignment="1">
      <alignment horizontal="left" vertical="center"/>
    </xf>
    <xf numFmtId="188" fontId="17" fillId="0" borderId="0" xfId="5" applyNumberFormat="1" applyFont="1" applyAlignment="1">
      <alignment horizontal="center" vertical="center"/>
    </xf>
    <xf numFmtId="0" fontId="17" fillId="0" borderId="0" xfId="5" applyFont="1" applyAlignment="1">
      <alignment vertical="center"/>
    </xf>
    <xf numFmtId="188" fontId="17" fillId="0" borderId="11" xfId="5" applyNumberFormat="1" applyFont="1" applyBorder="1" applyAlignment="1">
      <alignment horizontal="center"/>
    </xf>
    <xf numFmtId="188" fontId="17" fillId="0" borderId="9" xfId="5" applyNumberFormat="1" applyFont="1" applyBorder="1" applyAlignment="1">
      <alignment horizontal="center"/>
    </xf>
    <xf numFmtId="0" fontId="59" fillId="0" borderId="10" xfId="5" applyFont="1" applyBorder="1" applyAlignment="1">
      <alignment horizontal="center" wrapText="1"/>
    </xf>
    <xf numFmtId="188" fontId="17" fillId="0" borderId="8" xfId="5" applyNumberFormat="1" applyFont="1" applyBorder="1" applyAlignment="1">
      <alignment horizontal="center" vertical="top"/>
    </xf>
    <xf numFmtId="0" fontId="17" fillId="0" borderId="8" xfId="5" applyFont="1" applyBorder="1" applyAlignment="1">
      <alignment horizontal="center" vertical="top"/>
    </xf>
    <xf numFmtId="188" fontId="17" fillId="0" borderId="3" xfId="5" applyNumberFormat="1" applyFont="1" applyBorder="1" applyAlignment="1">
      <alignment horizontal="center" vertical="center"/>
    </xf>
    <xf numFmtId="0" fontId="59" fillId="0" borderId="7" xfId="5" applyFont="1" applyBorder="1" applyAlignment="1">
      <alignment vertical="center"/>
    </xf>
    <xf numFmtId="0" fontId="59" fillId="0" borderId="10" xfId="5" applyFont="1" applyBorder="1" applyAlignment="1">
      <alignment vertical="center"/>
    </xf>
    <xf numFmtId="0" fontId="17" fillId="0" borderId="4" xfId="5" applyFont="1" applyBorder="1" applyAlignment="1">
      <alignment horizontal="center"/>
    </xf>
    <xf numFmtId="0" fontId="17" fillId="0" borderId="8" xfId="5" applyFont="1" applyBorder="1" applyAlignment="1">
      <alignment horizontal="center"/>
    </xf>
    <xf numFmtId="0" fontId="59" fillId="0" borderId="7" xfId="5" applyFont="1" applyBorder="1"/>
    <xf numFmtId="0" fontId="59" fillId="0" borderId="10" xfId="5" applyFont="1" applyBorder="1"/>
    <xf numFmtId="0" fontId="59" fillId="0" borderId="8" xfId="5" applyFont="1" applyBorder="1" applyAlignment="1">
      <alignment horizontal="center" vertical="center"/>
    </xf>
    <xf numFmtId="188" fontId="48" fillId="0" borderId="4" xfId="5" applyNumberFormat="1" applyFont="1" applyBorder="1" applyAlignment="1">
      <alignment horizontal="center"/>
    </xf>
    <xf numFmtId="188" fontId="48" fillId="0" borderId="8" xfId="5" applyNumberFormat="1" applyFont="1" applyBorder="1" applyAlignment="1">
      <alignment horizontal="center"/>
    </xf>
    <xf numFmtId="0" fontId="17" fillId="0" borderId="11" xfId="5" applyFont="1" applyBorder="1" applyAlignment="1">
      <alignment horizontal="center"/>
    </xf>
    <xf numFmtId="0" fontId="17" fillId="0" borderId="9" xfId="5" applyFont="1" applyBorder="1" applyAlignment="1">
      <alignment horizontal="center"/>
    </xf>
    <xf numFmtId="0" fontId="17" fillId="0" borderId="6" xfId="5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 wrapText="1"/>
    </xf>
    <xf numFmtId="0" fontId="17" fillId="0" borderId="10" xfId="5" applyFont="1" applyBorder="1" applyAlignment="1">
      <alignment vertical="center"/>
    </xf>
    <xf numFmtId="0" fontId="17" fillId="0" borderId="6" xfId="5" quotePrefix="1" applyFont="1" applyBorder="1" applyAlignment="1">
      <alignment horizontal="center" vertical="center" justifyLastLine="1"/>
    </xf>
    <xf numFmtId="0" fontId="17" fillId="0" borderId="8" xfId="5" applyFont="1" applyBorder="1" applyAlignment="1">
      <alignment horizontal="center" vertical="center" justifyLastLine="1"/>
    </xf>
    <xf numFmtId="0" fontId="17" fillId="0" borderId="9" xfId="5" applyFont="1" applyBorder="1" applyAlignment="1">
      <alignment horizontal="center" vertical="center" justifyLastLine="1"/>
    </xf>
    <xf numFmtId="0" fontId="17" fillId="0" borderId="32" xfId="5" quotePrefix="1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 wrapText="1"/>
    </xf>
    <xf numFmtId="0" fontId="17" fillId="0" borderId="4" xfId="5" applyFont="1" applyBorder="1" applyAlignment="1">
      <alignment horizontal="center" vertical="center" wrapText="1"/>
    </xf>
    <xf numFmtId="0" fontId="17" fillId="0" borderId="11" xfId="5" applyFont="1" applyBorder="1" applyAlignment="1">
      <alignment vertical="center"/>
    </xf>
    <xf numFmtId="0" fontId="17" fillId="0" borderId="5" xfId="5" quotePrefix="1" applyFont="1" applyBorder="1" applyAlignment="1">
      <alignment horizontal="center" vertical="center" wrapText="1"/>
    </xf>
    <xf numFmtId="0" fontId="9" fillId="0" borderId="11" xfId="5" applyBorder="1" applyAlignment="1">
      <alignment horizontal="center" vertical="center" wrapText="1"/>
    </xf>
    <xf numFmtId="0" fontId="17" fillId="0" borderId="3" xfId="5" quotePrefix="1" applyFont="1" applyBorder="1" applyAlignment="1">
      <alignment horizontal="center" vertical="center" wrapText="1"/>
    </xf>
    <xf numFmtId="0" fontId="17" fillId="0" borderId="10" xfId="5" applyFont="1" applyBorder="1" applyAlignment="1">
      <alignment vertical="center" wrapText="1"/>
    </xf>
    <xf numFmtId="0" fontId="17" fillId="0" borderId="32" xfId="5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2" xfId="5" applyFont="1" applyBorder="1" applyAlignment="1">
      <alignment horizontal="center" vertical="center"/>
    </xf>
    <xf numFmtId="0" fontId="17" fillId="0" borderId="5" xfId="5" applyFont="1" applyBorder="1" applyAlignment="1">
      <alignment horizontal="center" vertical="center"/>
    </xf>
    <xf numFmtId="0" fontId="17" fillId="0" borderId="10" xfId="5" quotePrefix="1" applyFont="1" applyBorder="1" applyAlignment="1">
      <alignment horizontal="center" vertical="center" wrapText="1"/>
    </xf>
    <xf numFmtId="0" fontId="17" fillId="0" borderId="10" xfId="5" applyFont="1" applyBorder="1" applyAlignment="1">
      <alignment horizontal="center" vertical="center" wrapText="1"/>
    </xf>
    <xf numFmtId="0" fontId="17" fillId="0" borderId="4" xfId="5" applyFont="1" applyBorder="1" applyAlignment="1">
      <alignment vertical="center" wrapText="1"/>
    </xf>
    <xf numFmtId="0" fontId="17" fillId="0" borderId="11" xfId="5" applyFont="1" applyBorder="1" applyAlignment="1">
      <alignment vertical="center" wrapText="1"/>
    </xf>
    <xf numFmtId="0" fontId="17" fillId="0" borderId="50" xfId="5" quotePrefix="1" applyFont="1" applyBorder="1" applyAlignment="1">
      <alignment horizontal="center" vertical="center" wrapText="1"/>
    </xf>
    <xf numFmtId="0" fontId="17" fillId="0" borderId="54" xfId="5" applyFont="1" applyBorder="1" applyAlignment="1">
      <alignment horizontal="center"/>
    </xf>
    <xf numFmtId="0" fontId="17" fillId="0" borderId="55" xfId="5" applyFont="1" applyBorder="1" applyAlignment="1">
      <alignment horizontal="center" vertical="center"/>
    </xf>
    <xf numFmtId="0" fontId="17" fillId="0" borderId="44" xfId="5" applyFont="1" applyBorder="1" applyAlignment="1">
      <alignment horizontal="center" vertical="center"/>
    </xf>
    <xf numFmtId="194" fontId="17" fillId="0" borderId="50" xfId="2" quotePrefix="1" applyNumberFormat="1" applyFont="1" applyFill="1" applyBorder="1" applyAlignment="1">
      <alignment horizontal="center" vertical="center" wrapText="1"/>
    </xf>
    <xf numFmtId="194" fontId="17" fillId="0" borderId="55" xfId="2" applyNumberFormat="1" applyFont="1" applyFill="1" applyBorder="1" applyAlignment="1">
      <alignment horizontal="center" vertical="center" wrapText="1"/>
    </xf>
    <xf numFmtId="194" fontId="17" fillId="0" borderId="45" xfId="2" applyNumberFormat="1" applyFont="1" applyFill="1" applyBorder="1" applyAlignment="1">
      <alignment horizontal="center" vertical="center" wrapText="1"/>
    </xf>
    <xf numFmtId="193" fontId="17" fillId="0" borderId="51" xfId="5" quotePrefix="1" applyNumberFormat="1" applyFont="1" applyBorder="1" applyAlignment="1">
      <alignment horizontal="center" vertical="center" wrapText="1"/>
    </xf>
    <xf numFmtId="0" fontId="17" fillId="0" borderId="50" xfId="12" quotePrefix="1" applyFont="1" applyBorder="1" applyAlignment="1">
      <alignment horizontal="center" vertical="center" wrapText="1"/>
    </xf>
    <xf numFmtId="0" fontId="9" fillId="0" borderId="4" xfId="12" applyBorder="1"/>
    <xf numFmtId="0" fontId="9" fillId="0" borderId="54" xfId="12" applyBorder="1"/>
    <xf numFmtId="0" fontId="17" fillId="0" borderId="44" xfId="5" applyFont="1" applyBorder="1" applyAlignment="1">
      <alignment horizontal="left"/>
    </xf>
    <xf numFmtId="0" fontId="17" fillId="0" borderId="52" xfId="5" applyFont="1" applyBorder="1" applyAlignment="1">
      <alignment horizontal="left"/>
    </xf>
    <xf numFmtId="0" fontId="17" fillId="0" borderId="0" xfId="5" applyFont="1" applyAlignment="1">
      <alignment horizontal="left"/>
    </xf>
    <xf numFmtId="0" fontId="17" fillId="0" borderId="8" xfId="5" applyFont="1" applyBorder="1" applyAlignment="1">
      <alignment horizontal="left"/>
    </xf>
    <xf numFmtId="194" fontId="17" fillId="0" borderId="50" xfId="2" applyNumberFormat="1" applyFont="1" applyFill="1" applyBorder="1" applyAlignment="1">
      <alignment horizontal="center" vertical="center"/>
    </xf>
    <xf numFmtId="194" fontId="17" fillId="0" borderId="55" xfId="2" applyNumberFormat="1" applyFont="1" applyFill="1" applyBorder="1" applyAlignment="1">
      <alignment horizontal="center" vertical="center"/>
    </xf>
    <xf numFmtId="194" fontId="17" fillId="0" borderId="45" xfId="2" applyNumberFormat="1" applyFont="1" applyFill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0" fontId="17" fillId="0" borderId="55" xfId="12" applyFont="1" applyBorder="1" applyAlignment="1">
      <alignment horizontal="center" vertical="center"/>
    </xf>
    <xf numFmtId="0" fontId="17" fillId="0" borderId="4" xfId="12" applyFont="1" applyBorder="1" applyAlignment="1">
      <alignment horizontal="center" vertical="center"/>
    </xf>
    <xf numFmtId="0" fontId="17" fillId="0" borderId="0" xfId="12" applyFont="1" applyAlignment="1">
      <alignment horizontal="center" vertical="center"/>
    </xf>
    <xf numFmtId="0" fontId="17" fillId="0" borderId="54" xfId="12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0" xfId="5" applyFont="1" applyAlignment="1">
      <alignment horizontal="left" vertical="center"/>
    </xf>
    <xf numFmtId="0" fontId="17" fillId="0" borderId="8" xfId="5" applyFont="1" applyBorder="1" applyAlignment="1">
      <alignment horizontal="left" vertical="center"/>
    </xf>
    <xf numFmtId="38" fontId="17" fillId="0" borderId="50" xfId="5" quotePrefix="1" applyNumberFormat="1" applyFont="1" applyBorder="1" applyAlignment="1">
      <alignment horizontal="center" vertical="center" wrapText="1"/>
    </xf>
    <xf numFmtId="38" fontId="17" fillId="0" borderId="55" xfId="5" applyNumberFormat="1" applyFont="1" applyBorder="1" applyAlignment="1">
      <alignment horizontal="center" vertical="center" wrapText="1"/>
    </xf>
    <xf numFmtId="38" fontId="17" fillId="0" borderId="45" xfId="5" applyNumberFormat="1" applyFont="1" applyBorder="1" applyAlignment="1">
      <alignment horizontal="center" vertical="center" wrapText="1"/>
    </xf>
    <xf numFmtId="0" fontId="17" fillId="0" borderId="50" xfId="5" quotePrefix="1" applyFont="1" applyBorder="1" applyAlignment="1">
      <alignment horizontal="center" vertical="center"/>
    </xf>
    <xf numFmtId="0" fontId="17" fillId="0" borderId="54" xfId="5" applyFont="1" applyBorder="1" applyAlignment="1">
      <alignment horizontal="center" vertical="center"/>
    </xf>
    <xf numFmtId="0" fontId="17" fillId="0" borderId="0" xfId="5" quotePrefix="1" applyFont="1" applyAlignment="1">
      <alignment horizontal="left" wrapText="1"/>
    </xf>
    <xf numFmtId="0" fontId="9" fillId="0" borderId="55" xfId="5" applyBorder="1" applyAlignment="1">
      <alignment horizontal="center" vertical="center"/>
    </xf>
    <xf numFmtId="0" fontId="9" fillId="0" borderId="4" xfId="5" applyBorder="1" applyAlignment="1">
      <alignment horizontal="center" vertical="center"/>
    </xf>
    <xf numFmtId="0" fontId="9" fillId="0" borderId="0" xfId="5" applyAlignment="1">
      <alignment horizontal="center" vertical="center"/>
    </xf>
    <xf numFmtId="0" fontId="9" fillId="0" borderId="54" xfId="5" applyBorder="1" applyAlignment="1">
      <alignment horizontal="center" vertical="center"/>
    </xf>
    <xf numFmtId="0" fontId="9" fillId="0" borderId="44" xfId="5" applyBorder="1" applyAlignment="1">
      <alignment horizontal="center" vertical="center"/>
    </xf>
    <xf numFmtId="0" fontId="17" fillId="0" borderId="0" xfId="5" quotePrefix="1" applyFont="1" applyAlignment="1">
      <alignment horizontal="left"/>
    </xf>
    <xf numFmtId="0" fontId="85" fillId="0" borderId="45" xfId="24" applyFont="1" applyBorder="1" applyAlignment="1">
      <alignment horizontal="center" vertical="center"/>
    </xf>
    <xf numFmtId="0" fontId="85" fillId="0" borderId="8" xfId="24" applyFont="1" applyBorder="1" applyAlignment="1">
      <alignment horizontal="center" vertical="center"/>
    </xf>
    <xf numFmtId="0" fontId="85" fillId="0" borderId="52" xfId="24" applyFont="1" applyBorder="1" applyAlignment="1">
      <alignment horizontal="center" vertical="center"/>
    </xf>
    <xf numFmtId="0" fontId="17" fillId="0" borderId="47" xfId="24" applyFont="1" applyBorder="1" applyAlignment="1">
      <alignment horizontal="center" vertical="center"/>
    </xf>
    <xf numFmtId="0" fontId="17" fillId="0" borderId="48" xfId="24" applyFont="1" applyBorder="1" applyAlignment="1">
      <alignment horizontal="center" vertical="center"/>
    </xf>
    <xf numFmtId="0" fontId="17" fillId="0" borderId="49" xfId="24" applyFont="1" applyBorder="1" applyAlignment="1">
      <alignment horizontal="center" vertical="center"/>
    </xf>
    <xf numFmtId="0" fontId="85" fillId="0" borderId="50" xfId="24" applyFont="1" applyBorder="1" applyAlignment="1">
      <alignment horizontal="center" vertical="center" wrapText="1"/>
    </xf>
    <xf numFmtId="0" fontId="85" fillId="0" borderId="4" xfId="24" applyFont="1" applyBorder="1" applyAlignment="1">
      <alignment horizontal="center" vertical="center"/>
    </xf>
    <xf numFmtId="0" fontId="85" fillId="0" borderId="54" xfId="24" applyFont="1" applyBorder="1" applyAlignment="1">
      <alignment horizontal="center" vertical="center"/>
    </xf>
    <xf numFmtId="0" fontId="85" fillId="0" borderId="0" xfId="24" applyFont="1" applyAlignment="1">
      <alignment horizontal="center" vertical="center"/>
    </xf>
    <xf numFmtId="0" fontId="85" fillId="0" borderId="0" xfId="24" applyFont="1" applyAlignment="1">
      <alignment horizontal="center" vertical="center" shrinkToFit="1"/>
    </xf>
    <xf numFmtId="0" fontId="85" fillId="0" borderId="7" xfId="24" applyFont="1" applyBorder="1" applyAlignment="1">
      <alignment horizontal="center" vertical="center"/>
    </xf>
    <xf numFmtId="0" fontId="85" fillId="0" borderId="53" xfId="24" applyFont="1" applyBorder="1" applyAlignment="1">
      <alignment horizontal="center" vertical="center"/>
    </xf>
    <xf numFmtId="0" fontId="85" fillId="0" borderId="7" xfId="24" applyFont="1" applyBorder="1" applyAlignment="1">
      <alignment horizontal="center" vertical="center" shrinkToFit="1"/>
    </xf>
    <xf numFmtId="0" fontId="85" fillId="0" borderId="7" xfId="24" applyFont="1" applyBorder="1" applyAlignment="1">
      <alignment horizontal="center" vertical="center" wrapText="1" shrinkToFit="1"/>
    </xf>
    <xf numFmtId="0" fontId="85" fillId="0" borderId="53" xfId="24" applyFont="1" applyBorder="1" applyAlignment="1">
      <alignment horizontal="center" vertical="center" shrinkToFit="1"/>
    </xf>
    <xf numFmtId="0" fontId="85" fillId="0" borderId="53" xfId="24" applyFont="1" applyBorder="1" applyAlignment="1">
      <alignment horizontal="center" vertical="center" wrapText="1" shrinkToFit="1"/>
    </xf>
    <xf numFmtId="0" fontId="85" fillId="0" borderId="7" xfId="24" applyFont="1" applyBorder="1" applyAlignment="1">
      <alignment horizontal="center" vertical="center" wrapText="1"/>
    </xf>
  </cellXfs>
  <cellStyles count="26">
    <cellStyle name="パーセント 2" xfId="9" xr:uid="{00000000-0005-0000-0000-000000000000}"/>
    <cellStyle name="ハイパーリンク" xfId="1" builtinId="8"/>
    <cellStyle name="桁区切り 2" xfId="2" xr:uid="{00000000-0005-0000-0000-000002000000}"/>
    <cellStyle name="桁区切り 2 2" xfId="3" xr:uid="{00000000-0005-0000-0000-000003000000}"/>
    <cellStyle name="桁区切り 3" xfId="4" xr:uid="{00000000-0005-0000-0000-000004000000}"/>
    <cellStyle name="桁区切り 4" xfId="23" xr:uid="{88B260D1-4DE1-4D0F-A24E-AE1F16BF4758}"/>
    <cellStyle name="桁区切り 5" xfId="25" xr:uid="{C3D5C919-2401-445B-B1EB-4F89A69DE31D}"/>
    <cellStyle name="通貨 2" xfId="8" xr:uid="{00000000-0005-0000-0000-000005000000}"/>
    <cellStyle name="通貨 3" xfId="10" xr:uid="{00000000-0005-0000-0000-000006000000}"/>
    <cellStyle name="標準" xfId="0" builtinId="0"/>
    <cellStyle name="標準 10" xfId="24" xr:uid="{A3CEB48F-ED71-41B7-924D-10A1350BEEA3}"/>
    <cellStyle name="標準 2" xfId="5" xr:uid="{00000000-0005-0000-0000-000008000000}"/>
    <cellStyle name="標準 2 2" xfId="6" xr:uid="{00000000-0005-0000-0000-000009000000}"/>
    <cellStyle name="標準 2 2 2" xfId="12" xr:uid="{00000000-0005-0000-0000-00000A000000}"/>
    <cellStyle name="標準 2 3" xfId="11" xr:uid="{00000000-0005-0000-0000-00000B000000}"/>
    <cellStyle name="標準 3" xfId="7" xr:uid="{00000000-0005-0000-0000-00000C000000}"/>
    <cellStyle name="標準 3 2" xfId="16" xr:uid="{00000000-0005-0000-0000-00000D000000}"/>
    <cellStyle name="標準 4" xfId="17" xr:uid="{00000000-0005-0000-0000-00000E000000}"/>
    <cellStyle name="標準 5" xfId="18" xr:uid="{00000000-0005-0000-0000-00000F000000}"/>
    <cellStyle name="標準 6" xfId="19" xr:uid="{00000000-0005-0000-0000-000010000000}"/>
    <cellStyle name="標準 7" xfId="20" xr:uid="{00000000-0005-0000-0000-000011000000}"/>
    <cellStyle name="標準 8" xfId="21" xr:uid="{00000000-0005-0000-0000-000012000000}"/>
    <cellStyle name="標準 9" xfId="22" xr:uid="{9CEE45EB-8111-4473-B438-491757740D36}"/>
    <cellStyle name="標準_改正調票集計" xfId="14" xr:uid="{00000000-0005-0000-0000-000013000000}"/>
    <cellStyle name="標準_原稿ｼｰﾄ" xfId="15" xr:uid="{00000000-0005-0000-0000-000014000000}"/>
    <cellStyle name="未定義" xfId="13" xr:uid="{00000000-0005-0000-0000-00001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D676167-14DB-4A74-BC8D-C31B196F1B45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</xdr:row>
      <xdr:rowOff>0</xdr:rowOff>
    </xdr:from>
    <xdr:to>
      <xdr:col>2</xdr:col>
      <xdr:colOff>9525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9C1C49BB-5788-4FC5-9E12-28FBC796C3C7}"/>
            </a:ext>
          </a:extLst>
        </xdr:cNvPr>
        <xdr:cNvSpPr>
          <a:spLocks noChangeShapeType="1"/>
        </xdr:cNvSpPr>
      </xdr:nvSpPr>
      <xdr:spPr bwMode="auto">
        <a:xfrm>
          <a:off x="9525" y="49530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0</xdr:rowOff>
    </xdr:from>
    <xdr:to>
      <xdr:col>2</xdr:col>
      <xdr:colOff>9525</xdr:colOff>
      <xdr:row>33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2F426AF-2E4E-42C7-94B2-85AD98420FBF}"/>
            </a:ext>
          </a:extLst>
        </xdr:cNvPr>
        <xdr:cNvSpPr>
          <a:spLocks noChangeShapeType="1"/>
        </xdr:cNvSpPr>
      </xdr:nvSpPr>
      <xdr:spPr bwMode="auto">
        <a:xfrm>
          <a:off x="9525" y="72580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0</xdr:rowOff>
    </xdr:from>
    <xdr:to>
      <xdr:col>2</xdr:col>
      <xdr:colOff>9525</xdr:colOff>
      <xdr:row>33</xdr:row>
      <xdr:rowOff>0</xdr:rowOff>
    </xdr:to>
    <xdr:sp macro="" textlink="">
      <xdr:nvSpPr>
        <xdr:cNvPr id="5" name="Line 12">
          <a:extLst>
            <a:ext uri="{FF2B5EF4-FFF2-40B4-BE49-F238E27FC236}">
              <a16:creationId xmlns:a16="http://schemas.microsoft.com/office/drawing/2014/main" id="{174DFE8F-40B9-4CF0-A30E-D73D733BA224}"/>
            </a:ext>
          </a:extLst>
        </xdr:cNvPr>
        <xdr:cNvSpPr>
          <a:spLocks noChangeShapeType="1"/>
        </xdr:cNvSpPr>
      </xdr:nvSpPr>
      <xdr:spPr bwMode="auto">
        <a:xfrm>
          <a:off x="9525" y="72580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0</xdr:rowOff>
    </xdr:from>
    <xdr:to>
      <xdr:col>2</xdr:col>
      <xdr:colOff>9525</xdr:colOff>
      <xdr:row>33</xdr:row>
      <xdr:rowOff>0</xdr:rowOff>
    </xdr:to>
    <xdr:sp macro="" textlink="">
      <xdr:nvSpPr>
        <xdr:cNvPr id="6" name="Line 13">
          <a:extLst>
            <a:ext uri="{FF2B5EF4-FFF2-40B4-BE49-F238E27FC236}">
              <a16:creationId xmlns:a16="http://schemas.microsoft.com/office/drawing/2014/main" id="{FBFDC313-75EF-4027-8372-D9A03A0E8E5C}"/>
            </a:ext>
          </a:extLst>
        </xdr:cNvPr>
        <xdr:cNvSpPr>
          <a:spLocks noChangeShapeType="1"/>
        </xdr:cNvSpPr>
      </xdr:nvSpPr>
      <xdr:spPr bwMode="auto">
        <a:xfrm>
          <a:off x="9525" y="7258050"/>
          <a:ext cx="1685925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6FF2AE5-6F0D-4D03-BC59-DE49B9F4D670}"/>
            </a:ext>
          </a:extLst>
        </xdr:cNvPr>
        <xdr:cNvSpPr>
          <a:spLocks noChangeShapeType="1"/>
        </xdr:cNvSpPr>
      </xdr:nvSpPr>
      <xdr:spPr bwMode="auto">
        <a:xfrm>
          <a:off x="9525" y="200025"/>
          <a:ext cx="1533525" cy="47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28</xdr:row>
      <xdr:rowOff>9525</xdr:rowOff>
    </xdr:from>
    <xdr:to>
      <xdr:col>1</xdr:col>
      <xdr:colOff>0</xdr:colOff>
      <xdr:row>31</xdr:row>
      <xdr:rowOff>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13983873-C369-4CC6-A679-B5074F73D804}"/>
            </a:ext>
          </a:extLst>
        </xdr:cNvPr>
        <xdr:cNvSpPr>
          <a:spLocks/>
        </xdr:cNvSpPr>
      </xdr:nvSpPr>
      <xdr:spPr bwMode="auto">
        <a:xfrm>
          <a:off x="9525" y="4572000"/>
          <a:ext cx="1533525" cy="476250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08BFEF79-B9D8-4FA9-83D5-3AC984142F33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3" name="Freeform 4">
          <a:extLst>
            <a:ext uri="{FF2B5EF4-FFF2-40B4-BE49-F238E27FC236}">
              <a16:creationId xmlns:a16="http://schemas.microsoft.com/office/drawing/2014/main" id="{AB865B18-B9FB-48F7-B271-5C91E544C475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2C992AB8-2F63-4877-84B3-C59BF8A6AF68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FC3E7D3D-4F3B-438D-9084-C9BA6396B433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6" name="Freeform 7">
          <a:extLst>
            <a:ext uri="{FF2B5EF4-FFF2-40B4-BE49-F238E27FC236}">
              <a16:creationId xmlns:a16="http://schemas.microsoft.com/office/drawing/2014/main" id="{14D356C7-CA66-432B-A62F-103C42342B9B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47A41D3F-E16F-47BE-BEEA-D15BCB322CEB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C4681418-91FA-4B35-9798-AFFCB6D1B8C6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9" name="Freeform 10">
          <a:extLst>
            <a:ext uri="{FF2B5EF4-FFF2-40B4-BE49-F238E27FC236}">
              <a16:creationId xmlns:a16="http://schemas.microsoft.com/office/drawing/2014/main" id="{DED46CC4-9015-4838-96C0-C461D23245FF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4CD61F5D-35A9-45B4-87A7-073B1ABC53C8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1" name="Line 12">
          <a:extLst>
            <a:ext uri="{FF2B5EF4-FFF2-40B4-BE49-F238E27FC236}">
              <a16:creationId xmlns:a16="http://schemas.microsoft.com/office/drawing/2014/main" id="{A2CAEB54-8491-48ED-8C0F-A3E56010A74D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12" name="Freeform 13">
          <a:extLst>
            <a:ext uri="{FF2B5EF4-FFF2-40B4-BE49-F238E27FC236}">
              <a16:creationId xmlns:a16="http://schemas.microsoft.com/office/drawing/2014/main" id="{6E498CC1-EB21-4B66-9C06-4495DD388D7B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A624C927-3349-4B8A-BBED-750405601C3F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6FDEE83F-D06D-4415-9377-1131B9646356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15" name="Freeform 16">
          <a:extLst>
            <a:ext uri="{FF2B5EF4-FFF2-40B4-BE49-F238E27FC236}">
              <a16:creationId xmlns:a16="http://schemas.microsoft.com/office/drawing/2014/main" id="{1A03108E-E6C2-4E6A-96B6-A046933CC841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6" name="Line 17">
          <a:extLst>
            <a:ext uri="{FF2B5EF4-FFF2-40B4-BE49-F238E27FC236}">
              <a16:creationId xmlns:a16="http://schemas.microsoft.com/office/drawing/2014/main" id="{BA630E52-C40F-4B59-9E97-5480502458ED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17" name="Line 18">
          <a:extLst>
            <a:ext uri="{FF2B5EF4-FFF2-40B4-BE49-F238E27FC236}">
              <a16:creationId xmlns:a16="http://schemas.microsoft.com/office/drawing/2014/main" id="{D8FA5CB8-043B-4594-9388-093A184807E8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18" name="Freeform 19">
          <a:extLst>
            <a:ext uri="{FF2B5EF4-FFF2-40B4-BE49-F238E27FC236}">
              <a16:creationId xmlns:a16="http://schemas.microsoft.com/office/drawing/2014/main" id="{065F5C5A-9F26-4F89-9789-2A5422736793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19" name="Line 20">
          <a:extLst>
            <a:ext uri="{FF2B5EF4-FFF2-40B4-BE49-F238E27FC236}">
              <a16:creationId xmlns:a16="http://schemas.microsoft.com/office/drawing/2014/main" id="{D5A8DC4C-4C11-42A1-A1B0-B278BDCED28A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0" name="Line 21">
          <a:extLst>
            <a:ext uri="{FF2B5EF4-FFF2-40B4-BE49-F238E27FC236}">
              <a16:creationId xmlns:a16="http://schemas.microsoft.com/office/drawing/2014/main" id="{6D4664A7-69A0-488C-B6B6-25D6604367F4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21" name="Freeform 22">
          <a:extLst>
            <a:ext uri="{FF2B5EF4-FFF2-40B4-BE49-F238E27FC236}">
              <a16:creationId xmlns:a16="http://schemas.microsoft.com/office/drawing/2014/main" id="{C1F48191-1F01-4B48-8CAC-2FF0B7B24E0E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22" name="Line 23">
          <a:extLst>
            <a:ext uri="{FF2B5EF4-FFF2-40B4-BE49-F238E27FC236}">
              <a16:creationId xmlns:a16="http://schemas.microsoft.com/office/drawing/2014/main" id="{AE0E8816-797B-4F49-BD74-336E97E77458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3" name="Line 24">
          <a:extLst>
            <a:ext uri="{FF2B5EF4-FFF2-40B4-BE49-F238E27FC236}">
              <a16:creationId xmlns:a16="http://schemas.microsoft.com/office/drawing/2014/main" id="{5F202920-8687-476C-96E5-D6BD3CB7C381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24" name="Freeform 25">
          <a:extLst>
            <a:ext uri="{FF2B5EF4-FFF2-40B4-BE49-F238E27FC236}">
              <a16:creationId xmlns:a16="http://schemas.microsoft.com/office/drawing/2014/main" id="{3CC2F95E-E0C6-41B8-B77F-478A636898B8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25" name="Line 26">
          <a:extLst>
            <a:ext uri="{FF2B5EF4-FFF2-40B4-BE49-F238E27FC236}">
              <a16:creationId xmlns:a16="http://schemas.microsoft.com/office/drawing/2014/main" id="{93F37342-8009-49E3-9170-86E7088131E5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6" name="Line 27">
          <a:extLst>
            <a:ext uri="{FF2B5EF4-FFF2-40B4-BE49-F238E27FC236}">
              <a16:creationId xmlns:a16="http://schemas.microsoft.com/office/drawing/2014/main" id="{0CE747C5-1911-4725-B8C7-F0F1E0B3F06E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27" name="Freeform 28">
          <a:extLst>
            <a:ext uri="{FF2B5EF4-FFF2-40B4-BE49-F238E27FC236}">
              <a16:creationId xmlns:a16="http://schemas.microsoft.com/office/drawing/2014/main" id="{4CB94F8C-B851-4C6E-ADD7-81B7750D7A7B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28" name="Line 29">
          <a:extLst>
            <a:ext uri="{FF2B5EF4-FFF2-40B4-BE49-F238E27FC236}">
              <a16:creationId xmlns:a16="http://schemas.microsoft.com/office/drawing/2014/main" id="{8E9A7A18-7889-4820-A8A4-58504E3484DE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D6A45A38-7171-4752-9BD4-9D88B9025C60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30" name="Freeform 31">
          <a:extLst>
            <a:ext uri="{FF2B5EF4-FFF2-40B4-BE49-F238E27FC236}">
              <a16:creationId xmlns:a16="http://schemas.microsoft.com/office/drawing/2014/main" id="{8B86D7CA-013F-4DD6-9B69-38CCABC3A3EE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0DBC44E8-3370-4C3A-B673-2CAC4538A222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9525</xdr:rowOff>
    </xdr:from>
    <xdr:to>
      <xdr:col>1</xdr:col>
      <xdr:colOff>9525</xdr:colOff>
      <xdr:row>6</xdr:row>
      <xdr:rowOff>0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FEF48740-C96B-4794-AEB7-9D44D2379472}"/>
            </a:ext>
          </a:extLst>
        </xdr:cNvPr>
        <xdr:cNvSpPr>
          <a:spLocks noChangeShapeType="1"/>
        </xdr:cNvSpPr>
      </xdr:nvSpPr>
      <xdr:spPr bwMode="auto">
        <a:xfrm>
          <a:off x="19050" y="3905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34</xdr:row>
      <xdr:rowOff>0</xdr:rowOff>
    </xdr:to>
    <xdr:sp macro="" textlink="">
      <xdr:nvSpPr>
        <xdr:cNvPr id="33" name="Freeform 34">
          <a:extLst>
            <a:ext uri="{FF2B5EF4-FFF2-40B4-BE49-F238E27FC236}">
              <a16:creationId xmlns:a16="http://schemas.microsoft.com/office/drawing/2014/main" id="{851A3B88-E6DF-4BDB-B94D-155234E1AE72}"/>
            </a:ext>
          </a:extLst>
        </xdr:cNvPr>
        <xdr:cNvSpPr>
          <a:spLocks/>
        </xdr:cNvSpPr>
      </xdr:nvSpPr>
      <xdr:spPr bwMode="auto">
        <a:xfrm>
          <a:off x="9525" y="4924425"/>
          <a:ext cx="1533525" cy="638175"/>
        </a:xfrm>
        <a:custGeom>
          <a:avLst/>
          <a:gdLst>
            <a:gd name="T0" fmla="*/ 0 w 127"/>
            <a:gd name="T1" fmla="*/ 0 h 53"/>
            <a:gd name="T2" fmla="*/ 127 w 127"/>
            <a:gd name="T3" fmla="*/ 53 h 53"/>
          </a:gdLst>
          <a:ahLst/>
          <a:cxnLst>
            <a:cxn ang="0">
              <a:pos x="T0" y="T1"/>
            </a:cxn>
            <a:cxn ang="0">
              <a:pos x="T2" y="T3"/>
            </a:cxn>
          </a:cxnLst>
          <a:rect l="0" t="0" r="r" b="b"/>
          <a:pathLst>
            <a:path w="127" h="53">
              <a:moveTo>
                <a:pt x="0" y="0"/>
              </a:moveTo>
              <a:lnTo>
                <a:pt x="127" y="53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30</xdr:row>
      <xdr:rowOff>9525</xdr:rowOff>
    </xdr:from>
    <xdr:to>
      <xdr:col>1</xdr:col>
      <xdr:colOff>9525</xdr:colOff>
      <xdr:row>34</xdr:row>
      <xdr:rowOff>0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948210BA-AD56-4CA9-AD35-85A41980BEED}"/>
            </a:ext>
          </a:extLst>
        </xdr:cNvPr>
        <xdr:cNvSpPr>
          <a:spLocks noChangeShapeType="1"/>
        </xdr:cNvSpPr>
      </xdr:nvSpPr>
      <xdr:spPr bwMode="auto">
        <a:xfrm>
          <a:off x="19050" y="4924425"/>
          <a:ext cx="1533525" cy="638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42"/>
  <sheetViews>
    <sheetView tabSelected="1" zoomScaleNormal="100" zoomScaleSheetLayoutView="100" workbookViewId="0"/>
  </sheetViews>
  <sheetFormatPr defaultRowHeight="13.5" x14ac:dyDescent="0.15"/>
  <cols>
    <col min="1" max="1" width="2" customWidth="1"/>
    <col min="2" max="5" width="3" customWidth="1"/>
    <col min="6" max="10" width="3.875" customWidth="1"/>
  </cols>
  <sheetData>
    <row r="1" spans="2:24" ht="31.5" customHeight="1" x14ac:dyDescent="0.15">
      <c r="B1" s="7" t="s">
        <v>819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1"/>
      <c r="S1" s="1"/>
      <c r="T1" s="1"/>
      <c r="U1" s="1"/>
      <c r="V1" s="1"/>
      <c r="W1" s="1"/>
      <c r="X1" s="1"/>
    </row>
    <row r="2" spans="2:24" ht="14.25" x14ac:dyDescent="0.15">
      <c r="B2" s="9" t="s">
        <v>6</v>
      </c>
    </row>
    <row r="3" spans="2:24" ht="22.5" customHeight="1" x14ac:dyDescent="0.15">
      <c r="B3" s="2" t="s">
        <v>7</v>
      </c>
    </row>
    <row r="4" spans="2:24" s="3" customFormat="1" ht="14.25" x14ac:dyDescent="0.15">
      <c r="C4" s="3" t="s">
        <v>8</v>
      </c>
    </row>
    <row r="5" spans="2:24" s="3" customFormat="1" ht="14.25" x14ac:dyDescent="0.15">
      <c r="D5" s="4" t="s">
        <v>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24" s="3" customFormat="1" ht="14.25" x14ac:dyDescent="0.15">
      <c r="D6" s="4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24" s="3" customFormat="1" ht="14.25" x14ac:dyDescent="0.15">
      <c r="D7" s="4" t="s">
        <v>64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24" s="3" customFormat="1" ht="14.25" x14ac:dyDescent="0.15">
      <c r="D8" s="3" t="s">
        <v>615</v>
      </c>
    </row>
    <row r="9" spans="2:24" s="3" customFormat="1" ht="14.25" x14ac:dyDescent="0.15">
      <c r="D9" s="4"/>
      <c r="E9" s="4" t="s">
        <v>833</v>
      </c>
      <c r="F9" s="4"/>
      <c r="G9" s="4"/>
      <c r="H9" s="4"/>
      <c r="I9" s="4"/>
      <c r="J9" s="4"/>
      <c r="K9" s="4"/>
      <c r="L9" s="4"/>
      <c r="M9" s="4"/>
      <c r="N9" s="4"/>
    </row>
    <row r="10" spans="2:24" s="3" customFormat="1" ht="14.25" x14ac:dyDescent="0.15">
      <c r="D10" s="4"/>
      <c r="E10" s="4" t="s">
        <v>834</v>
      </c>
      <c r="F10" s="4"/>
      <c r="G10" s="4"/>
      <c r="H10" s="4"/>
      <c r="I10" s="4"/>
      <c r="J10" s="4"/>
      <c r="K10" s="4"/>
      <c r="L10" s="4"/>
      <c r="M10" s="4"/>
      <c r="N10" s="4"/>
    </row>
    <row r="11" spans="2:24" s="3" customFormat="1" ht="14.25" x14ac:dyDescent="0.15">
      <c r="C11" s="3" t="s">
        <v>10</v>
      </c>
    </row>
    <row r="12" spans="2:24" s="3" customFormat="1" ht="14.25" x14ac:dyDescent="0.15">
      <c r="D12" s="3" t="s">
        <v>0</v>
      </c>
    </row>
    <row r="13" spans="2:24" s="3" customFormat="1" ht="14.25" x14ac:dyDescent="0.15">
      <c r="E13" s="21" t="s">
        <v>820</v>
      </c>
      <c r="F13" s="4"/>
      <c r="G13" s="4"/>
      <c r="H13" s="4"/>
      <c r="I13" s="4"/>
      <c r="J13" s="4"/>
      <c r="K13" s="4"/>
    </row>
    <row r="14" spans="2:24" s="3" customFormat="1" ht="14.25" x14ac:dyDescent="0.15">
      <c r="E14" s="21" t="s">
        <v>821</v>
      </c>
      <c r="F14" s="4"/>
      <c r="G14" s="4"/>
      <c r="H14" s="4"/>
      <c r="I14" s="4"/>
      <c r="J14" s="4"/>
      <c r="K14" s="4"/>
    </row>
    <row r="15" spans="2:24" s="3" customFormat="1" ht="14.25" x14ac:dyDescent="0.15">
      <c r="D15" s="3" t="s">
        <v>4</v>
      </c>
    </row>
    <row r="16" spans="2:24" s="3" customFormat="1" ht="14.25" x14ac:dyDescent="0.15">
      <c r="E16" s="4" t="s">
        <v>822</v>
      </c>
      <c r="F16" s="4"/>
      <c r="G16" s="4"/>
      <c r="H16" s="4"/>
      <c r="I16" s="4"/>
      <c r="J16" s="4"/>
      <c r="K16" s="4"/>
    </row>
    <row r="17" spans="2:25" s="3" customFormat="1" ht="14.25" x14ac:dyDescent="0.15">
      <c r="E17" s="4" t="s">
        <v>829</v>
      </c>
      <c r="F17" s="4"/>
      <c r="G17" s="4"/>
      <c r="H17" s="4"/>
      <c r="I17" s="4"/>
      <c r="J17" s="4"/>
      <c r="K17" s="4"/>
    </row>
    <row r="18" spans="2:25" s="3" customFormat="1" ht="14.25" x14ac:dyDescent="0.15">
      <c r="D18" s="4" t="s">
        <v>835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86"/>
    </row>
    <row r="19" spans="2:25" s="3" customFormat="1" ht="14.25" x14ac:dyDescent="0.15">
      <c r="D19" s="3" t="s">
        <v>3</v>
      </c>
    </row>
    <row r="20" spans="2:25" s="3" customFormat="1" ht="14.25" x14ac:dyDescent="0.15">
      <c r="D20" s="5"/>
      <c r="E20" s="4" t="s">
        <v>1</v>
      </c>
      <c r="F20" s="4"/>
      <c r="G20" s="4"/>
      <c r="H20" s="4"/>
      <c r="I20" s="4"/>
      <c r="J20" s="4"/>
      <c r="K20" s="786"/>
    </row>
    <row r="21" spans="2:25" s="3" customFormat="1" ht="14.25" x14ac:dyDescent="0.15">
      <c r="D21" s="5"/>
      <c r="E21" s="22" t="s">
        <v>187</v>
      </c>
      <c r="F21" s="4"/>
      <c r="G21" s="4"/>
      <c r="H21" s="4"/>
      <c r="I21" s="4"/>
      <c r="J21" s="4"/>
      <c r="K21" s="4"/>
      <c r="L21" s="4"/>
      <c r="M21" s="4"/>
      <c r="N21" s="4"/>
    </row>
    <row r="22" spans="2:25" s="3" customFormat="1" ht="14.25" x14ac:dyDescent="0.15">
      <c r="D22" s="5"/>
      <c r="E22" s="4" t="s">
        <v>2</v>
      </c>
      <c r="F22" s="4"/>
      <c r="G22" s="4"/>
      <c r="H22" s="4"/>
      <c r="I22" s="4"/>
      <c r="J22" s="4"/>
      <c r="K22" s="4"/>
    </row>
    <row r="23" spans="2:25" s="3" customFormat="1" ht="14.25" x14ac:dyDescent="0.15">
      <c r="D23" s="5"/>
      <c r="E23" s="4" t="s">
        <v>186</v>
      </c>
      <c r="F23" s="4"/>
      <c r="G23" s="4"/>
      <c r="H23" s="4"/>
      <c r="I23" s="4"/>
      <c r="J23" s="4"/>
      <c r="K23" s="4"/>
      <c r="L23" s="4"/>
      <c r="M23" s="4"/>
      <c r="N23" s="4"/>
    </row>
    <row r="24" spans="2:25" s="3" customFormat="1" ht="14.25" x14ac:dyDescent="0.15">
      <c r="D24" s="624" t="s">
        <v>510</v>
      </c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6"/>
      <c r="P24" s="626"/>
      <c r="Q24" s="626"/>
    </row>
    <row r="25" spans="2:25" s="3" customFormat="1" ht="14.25" x14ac:dyDescent="0.15">
      <c r="D25" s="624" t="s">
        <v>613</v>
      </c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4"/>
      <c r="P25" s="624"/>
      <c r="Q25" s="624"/>
      <c r="R25" s="624"/>
      <c r="S25" s="624"/>
      <c r="T25" s="624"/>
      <c r="U25" s="624"/>
      <c r="V25" s="624"/>
      <c r="W25" s="624"/>
      <c r="X25" s="624"/>
      <c r="Y25" s="624"/>
    </row>
    <row r="26" spans="2:25" s="3" customFormat="1" ht="14.25" x14ac:dyDescent="0.15">
      <c r="D26" s="4" t="s">
        <v>614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8" spans="2:25" ht="14.25" x14ac:dyDescent="0.15">
      <c r="B28" s="6" t="s">
        <v>509</v>
      </c>
    </row>
    <row r="29" spans="2:25" ht="14.25" x14ac:dyDescent="0.15">
      <c r="B29" s="3"/>
      <c r="C29" s="22" t="s">
        <v>65</v>
      </c>
      <c r="D29" s="4"/>
      <c r="E29" s="4"/>
      <c r="F29" s="4"/>
      <c r="G29" s="4"/>
      <c r="H29" s="4"/>
      <c r="I29" s="4"/>
      <c r="J29" s="4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5" ht="14.25" x14ac:dyDescent="0.15">
      <c r="B30" s="3"/>
      <c r="C30" s="4" t="s">
        <v>11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3"/>
      <c r="R30" s="3"/>
      <c r="S30" s="3"/>
      <c r="T30" s="3"/>
      <c r="U30" s="3"/>
    </row>
    <row r="31" spans="2:25" ht="14.25" x14ac:dyDescent="0.15">
      <c r="B31" s="3"/>
      <c r="C31" s="3" t="s">
        <v>667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5" ht="14.25" x14ac:dyDescent="0.15">
      <c r="B32" s="3"/>
      <c r="C32" s="3"/>
      <c r="D32" s="4" t="s">
        <v>668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2:24" ht="14.25" x14ac:dyDescent="0.15">
      <c r="B33" s="3"/>
      <c r="C33" s="3"/>
      <c r="D33" s="4" t="s">
        <v>511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3"/>
      <c r="Q33" s="3"/>
      <c r="R33" s="3"/>
      <c r="S33" s="3"/>
      <c r="T33" s="3"/>
      <c r="U33" s="3"/>
    </row>
    <row r="34" spans="2:24" ht="14.25" x14ac:dyDescent="0.15">
      <c r="B34" s="3"/>
      <c r="C34" s="3"/>
      <c r="D34" s="4" t="s">
        <v>823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2:24" ht="14.25" x14ac:dyDescent="0.15">
      <c r="B35" s="3"/>
      <c r="C35" s="3"/>
      <c r="D35" s="624" t="s">
        <v>825</v>
      </c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</row>
    <row r="36" spans="2:24" ht="14.25" x14ac:dyDescent="0.15">
      <c r="B36" s="3"/>
      <c r="C36" s="3"/>
      <c r="D36" s="4" t="s">
        <v>826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3"/>
      <c r="U36" s="3"/>
    </row>
    <row r="37" spans="2:24" ht="14.25" x14ac:dyDescent="0.15">
      <c r="B37" s="3"/>
      <c r="C37" s="3"/>
      <c r="D37" s="4" t="s">
        <v>828</v>
      </c>
      <c r="E37" s="786"/>
      <c r="F37" s="786"/>
      <c r="G37" s="786"/>
      <c r="H37" s="786"/>
      <c r="I37" s="786"/>
      <c r="J37" s="786"/>
      <c r="K37" s="786"/>
      <c r="L37" s="786"/>
      <c r="M37" s="786"/>
      <c r="N37" s="786"/>
      <c r="O37" s="786"/>
      <c r="P37" s="786"/>
      <c r="Q37" s="786"/>
      <c r="R37" s="786"/>
      <c r="S37" s="786"/>
      <c r="T37" s="3"/>
      <c r="U37" s="3"/>
    </row>
    <row r="38" spans="2:24" ht="14.25" x14ac:dyDescent="0.15">
      <c r="B38" s="3"/>
      <c r="C38" s="3"/>
      <c r="D38" s="624" t="s">
        <v>827</v>
      </c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4"/>
      <c r="W38" s="4"/>
    </row>
    <row r="39" spans="2:24" ht="14.25" x14ac:dyDescent="0.15">
      <c r="B39" s="3"/>
      <c r="C39" s="3"/>
      <c r="D39" s="624" t="s">
        <v>830</v>
      </c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</row>
    <row r="40" spans="2:24" ht="14.25" x14ac:dyDescent="0.15">
      <c r="B40" s="3"/>
      <c r="C40" s="3" t="s">
        <v>831</v>
      </c>
      <c r="D40" s="3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3"/>
      <c r="U40" s="3"/>
    </row>
    <row r="41" spans="2:24" ht="14.25" x14ac:dyDescent="0.15">
      <c r="C41" s="3"/>
      <c r="D41" s="4" t="s">
        <v>832</v>
      </c>
      <c r="E41" s="4"/>
      <c r="F41" s="4"/>
      <c r="G41" s="624"/>
      <c r="H41" s="624"/>
      <c r="I41" s="624"/>
      <c r="J41" s="624"/>
      <c r="K41" s="624"/>
      <c r="L41" s="624"/>
      <c r="M41" s="624"/>
      <c r="N41" s="624"/>
      <c r="O41" s="624"/>
      <c r="P41" s="624"/>
    </row>
    <row r="42" spans="2:24" ht="14.25" x14ac:dyDescent="0.15">
      <c r="C42" s="3"/>
      <c r="D42" s="4" t="s">
        <v>836</v>
      </c>
      <c r="E42" s="4"/>
      <c r="F42" s="4"/>
      <c r="G42" s="624"/>
      <c r="H42" s="624"/>
      <c r="I42" s="624"/>
      <c r="J42" s="624"/>
      <c r="K42" s="624"/>
      <c r="L42" s="624"/>
      <c r="M42" s="624"/>
      <c r="N42" s="624"/>
      <c r="O42" s="624"/>
      <c r="P42" s="626"/>
    </row>
  </sheetData>
  <phoneticPr fontId="12"/>
  <hyperlinks>
    <hyperlink ref="D5:O5" location="'１（１）原油地域別、国別輸入'!A1" display="（１）原油地域別、国別輸入 / Import of Crude Oil by Area and Country" xr:uid="{00000000-0004-0000-0000-000000000000}"/>
    <hyperlink ref="D6:N6" location="'Ⅱ－２(2)原油油種別輸入'!A1" display="（２）原油油種別輸入 / Import by Kind of Crude Oil" xr:uid="{00000000-0004-0000-0000-000001000000}"/>
    <hyperlink ref="D7:O7" location="'Ⅱ－２(3)非精製用出荷内訳'!A1" display="（３）非精製用出荷内訳 / Shipment of Crude Oil for non-Refining" xr:uid="{00000000-0004-0000-0000-000002000000}"/>
    <hyperlink ref="E13:K13" location="'２（１）①石油製品需給総括暦年'!A1" display="　①平成25年 / (C.Y.2013)" xr:uid="{00000000-0004-0000-0000-000003000000}"/>
    <hyperlink ref="E14:K14" location="'２（１）②石油製品需給総括年度'!A1" display="　②平成25年度 / (F.Y.2013)" xr:uid="{00000000-0004-0000-0000-000004000000}"/>
    <hyperlink ref="E16:K16" location="'２（２）①製造業者・輸入業者受払暦年'!A1" display="　①平成25年 / (C.Y.2013)" xr:uid="{00000000-0004-0000-0000-000005000000}"/>
    <hyperlink ref="E17:K17" location="'２（２）②製造業者・輸入業者受払年度'!A1" display="　②平成25年度 / (F.Y.2013)" xr:uid="{00000000-0004-0000-0000-000006000000}"/>
    <hyperlink ref="D18:P18" location="'２（３）石油製品国内向月別販売'!A1" display="（３）石油製品国内向月別販売 / Domestic Sales of Petroleum Products by Month " xr:uid="{00000000-0004-0000-0000-000007000000}"/>
    <hyperlink ref="E20:K20" location="'２（４）①石油製品月別輸入'!A1" display="①月別輸入 / Import by Month" xr:uid="{00000000-0004-0000-0000-000008000000}"/>
    <hyperlink ref="E21:N21" location="'２（４）②石油製品国・地域別月別輸入'!A1" display="②国・地域別月別輸入 / Monthly Import by Area and Country" xr:uid="{00000000-0004-0000-0000-000009000000}"/>
    <hyperlink ref="E22:K22" location="'２（４）③石油製品月別輸出'!A1" display="③月別輸出 / Export by Month" xr:uid="{00000000-0004-0000-0000-00000A000000}"/>
    <hyperlink ref="E23:N23" location="'２（４）④石油製品国・地域別月別輸出'!A1" display="④国・地域別月別輸出 / Monthly Export by Area and Country" xr:uid="{00000000-0004-0000-0000-00000B000000}"/>
    <hyperlink ref="D26:Y26" location="'２（７）品種別、月別消費者・販売業者向販売及び在庫内訳'!A1" display="（７）製造業者・輸入業者品種別、月別消費者・販売業者向販売及び在庫内訳 /Monthly Inventory and Sales to Consumers, Wholesalers and Retailers by Manufacturers and Importers " xr:uid="{00000000-0004-0000-0000-00000C000000}"/>
    <hyperlink ref="C30:P30" location="'参考資料１、２備蓄量推移、輸入価格推移'!A25" display="２．石油輸入価格推移 / Customs Clearance Prices of Crude Oil and Petroleum Products(CIF)" xr:uid="{00000000-0004-0000-0000-00000D000000}"/>
    <hyperlink ref="D32:U32" location="'参考資料３（１）（２）'!A1" display="（１）契約期間別原油月別輸入、ＣＩＦ総額、平均ＡＰＩ及び平均硫黄分 /Crude Oil Import, Value（C.I.F）,Average API and Average Sulfur by Month and Contract" xr:uid="{00000000-0004-0000-0000-00000E000000}"/>
    <hyperlink ref="D33:N33" location="'参考資料３（１）（２）'!L42" display="（２）供給者区分別原油月別輸入 / Crude Oil Import by Month and Supplier" xr:uid="{00000000-0004-0000-0000-00000F000000}"/>
    <hyperlink ref="D34:V34" location="'参考資料３（３）（４）'!A1" display="（３）国別、契約期間別原油輸入、平均ＡＰＩ及び平均硫黄分（平成25年） / Crude Oil Import, Average API and Average Sulfur by Country and Contract(C.Y.2013)" xr:uid="{00000000-0004-0000-0000-000010000000}"/>
    <hyperlink ref="D36:Q36" location="'参考資料３（５）（６）'!A1" display="（５）国別、契約期間別ＣＩＦ総額（平成25年） / Imported Crude Oil Value(CIF) by Country and Contract(C.Y.2013)" xr:uid="{00000000-0004-0000-0000-000011000000}"/>
    <hyperlink ref="D37:R37" location="'参考資料３（５）（６）'!A27" display="（６）原油国別、契約期間別、ＣＩＦ総額（令和2年度） / Import of  Crude Oil Value(CIF) by Country and Contract(Ｆ.Y.2020)" xr:uid="{00000000-0004-0000-0000-000012000000}"/>
    <hyperlink ref="D5" location="'１（１）原油地域別、国別輸入'!A1" display="（１）原油地域別、国別輸入 / Import of Crude Oil by Area and Country" xr:uid="{00000000-0004-0000-0000-000013000000}"/>
    <hyperlink ref="D6:O6" location="'１（２）原油油種別輸入'!A1" display="（２）原油油種別輸入 / Import by Kind of Crude Oil" xr:uid="{00000000-0004-0000-0000-000014000000}"/>
    <hyperlink ref="D7:P7" location="'１（３）非精製用出荷内訳'!A1" display="（３）非精製用出荷内訳 / Shipment of Crude Oil for non-Refining" xr:uid="{00000000-0004-0000-0000-000015000000}"/>
    <hyperlink ref="C29:K29" location="'参考資料１、２備蓄量推移、輸入価格推移'!A1" display="１．石油備蓄量推移 / Changes in Oil Stock" xr:uid="{00000000-0004-0000-0000-000017000000}"/>
    <hyperlink ref="E21" location="'２（４）②石油製品国・地域別月別輸入'!A1" display="②国・地域別月別輸入 / Monthly Import by Area and Country" xr:uid="{00000000-0004-0000-0000-000018000000}"/>
    <hyperlink ref="E23" location="'２（４）④石油製品国・地域別月別輸出'!A1" display="④国・地域別月別輸出 / Monthly Export by Area and Country" xr:uid="{00000000-0004-0000-0000-000019000000}"/>
    <hyperlink ref="D24" location="'２（５）石油製品月別業態別在庫'!A1" display="（５）石油製品月別業態別在庫 / Monthly Inventory of Petroleum Products by Type of Business" xr:uid="{00000000-0004-0000-0000-00001A000000}"/>
    <hyperlink ref="D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1B000000}"/>
    <hyperlink ref="D25:X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1C000000}"/>
    <hyperlink ref="D24:Q24" location="'２（５）石油製品月別業態別在庫'!A1" display="（５）石油製品月別業態別在庫 / Monthly Inventory of Petroleum Products by Type of Business" xr:uid="{00000000-0004-0000-0000-00001D000000}"/>
    <hyperlink ref="D26" location="'２（７）品種別、月別消費者・販売業者向販売及び在庫内訳'!A1" display="（７）製造業者・輸入業者品種別、月別消費者・販売業者向販売及び在庫内訳 /Monthly Inventory and Sales to Consumers, Wholesalers and Retailers by Manufacturers and Importers " xr:uid="{00000000-0004-0000-0000-00001E000000}"/>
    <hyperlink ref="D32:W32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1F000000}"/>
    <hyperlink ref="D33:O33" location="'参考資料３（１）（２）'!L42" display="（２）供給者区分別原油月別輸入 / Crude Oil Import by Month and Supplier" xr:uid="{00000000-0004-0000-0000-000020000000}"/>
    <hyperlink ref="D34:X34" location="'参考資料３（３）（４）'!A1" display="（３）国別、契約期間別原油輸入、平均ＡＰＩ度及び平均硫黄分（平成29年） / Crude Oil Import, Average API　gravity and Average Sulfur by Country and Contract(C.Y.2017)" xr:uid="{00000000-0004-0000-0000-000021000000}"/>
    <hyperlink ref="D36:R36" location="'参考資料３（５）（６）'!A1" display="（５）国別、契約期間別ＣＩＦ総額（平成29年） / Imported Crude Oil Value(CIF) by Country and Contract(C.Y.2017)" xr:uid="{00000000-0004-0000-0000-000022000000}"/>
    <hyperlink ref="D37" location="'参考資料３（５）（６）'!A27" display="（６）原油国別、契約期間別、ＣＩＦ総額（令和2年度） / Import of  Crude Oil Value(CIF) by Country and Contract(Ｆ.Y.2020)" xr:uid="{00000000-0004-0000-0000-000023000000}"/>
    <hyperlink ref="D37:S37" location="'参考資料３（５）（６）'!A28" display="（６）原油国別、契約期間別、ＣＩＦ総額（令和3年度） / Import of  Crude Oil Value(CIF) by Country and Contract(Ｆ.Y.2021)" xr:uid="{00000000-0004-0000-0000-000024000000}"/>
    <hyperlink ref="Y25" location="'２（６）製造業者・輸入業者月別消費者、販売業者向販売'!A1" display="（６）石油製品製造業者・輸入業者月別消費者･販売業者向販売 / Monthly Sales to Consumers, Wholesalers and Retailers of Petroleum Products by Manufacturers and Importers    " xr:uid="{00000000-0004-0000-0000-000025000000}"/>
    <hyperlink ref="S36" location="'参考資料３（５）（６）'!A1" display="（５）国別、契約期間別ＣＩＦ総額（平成29年） / Imported Crude Oil Value(CIF) by Country and Contract(C.Y.2017)" xr:uid="{00000000-0004-0000-0000-000026000000}"/>
    <hyperlink ref="X32" location="'参考資料３（１）（２）'!A1" display="（１）契約期間別原油月別輸入、ＣＩＦ総額、平均ＡＰＩ度及び平均硫黄分 / Crude Oil Import, Value（CIF）,Average API　gravity and Average Sulfur by Month and Contract" xr:uid="{00000000-0004-0000-0000-000027000000}"/>
    <hyperlink ref="D38:W38" location="'参考資料３（７）（８）'!A1" display="（７）原油国別船積数量、FOB、運賃総額及び保険料総額（令和2年） / Import of Crude Oil, Shipped Quantity,FOB,Freight and Insurance by Country (C.Y.2020)" xr:uid="{00000000-0004-0000-0000-000028000000}"/>
    <hyperlink ref="D35:X35" location="'参考資料３（３）（４）'!A29" display="（４）原油国別、契約期間別輸入、平均ＡＰＩ度及び平均硫黄分（令和3年度） / Import of Crude Oil, Average API gravity and Average Sulfur by Country and Contract(F.Y.2021)" xr:uid="{00000000-0004-0000-0000-000029000000}"/>
    <hyperlink ref="D39:W39" location="'参考資料３（７）（８）'!A29" display="（８）原油国別船積数量、FOB、運賃総額及び保険料総額（令和3年度） /Import of Crude Oil, Shipped Quantity,FOB,Freight and Insurance by Country (F.Y.2021)" xr:uid="{00000000-0004-0000-0000-00002A000000}"/>
    <hyperlink ref="D41:F41" location="'参考資料３（１）（２）'!A1" display="（１）契約期間別原油月別輸入、ＣＩＦ総額、平均ＡＰＩ度及び平均硫黄分 / Crude Oil Import, Value（CIF）,Average API　gravity and Average Sulfur by Month and Contract" xr:uid="{AF098BF3-F395-4F66-BF21-A254766133EA}"/>
    <hyperlink ref="D42:F42" location="'参考資料３（１）（２）'!L42" display="（２）供給者区分別原油月別輸入 / Crude Oil Import by Month and Supplier" xr:uid="{D21F23E8-A0DF-4DEC-A170-401017D1B4A1}"/>
    <hyperlink ref="D41:P41" location="'参考資料４（１）液化天然ガス（ＬＮＧ）輸入量、消費量、在庫量'!A1" display="（１）液化天然ガス（ＬＮＧ）輸入量、消費量、在庫量 / LNG Import,Consumption and Inventory" xr:uid="{EF1D6266-6186-4869-BA81-5ADA48038010}"/>
    <hyperlink ref="D42:P42" location="'参考資料４（２）'!L42" display="（２）液化天然ガス（ＬＮＧ）国別、月別輸入量 / LNG Monthly Import by Area and Country" xr:uid="{90EDC7B9-A784-4D5C-9390-830B82CE4578}"/>
    <hyperlink ref="D5:N5" location="'１（１）原油地域別、国別輸入'!A1" display="（１）原油地域別、国別輸入 / Import of Crude Oil by Area and Country" xr:uid="{44D42731-9F5A-467C-B646-F002F4D5BF78}"/>
    <hyperlink ref="E9:L9" location="'１（４）原油処理及び原油在庫'!A1" display="　①原油処理 / Crude Oil Processing" xr:uid="{3FB6A59E-EE50-4437-982E-A0889D1F2C2E}"/>
    <hyperlink ref="E10:L10" location="'１（４）原油処理及び原油在庫'!A42" display="　②原油在庫 / Inventory of Crude Oil" xr:uid="{225C9D63-C915-41D8-BC30-7ED8708CEE8E}"/>
    <hyperlink ref="D18:O18" location="'２（３）石油製品月別国内向販売'!A1" display="（３）石油製品月別国内向販売 / Domestic Sales of Petroleum Products by Month" xr:uid="{36524374-B694-41A2-BF66-645ADB36DD63}"/>
    <hyperlink ref="D42:O42" location="'参考資料４（２）液化天然ガス（ＬＮＧ）国別、月別輸入量'!A1" display="（２）液化天然ガス（ＬＮＧ）国別、月別輸入量 / LNG Monthly Import by Country" xr:uid="{80A9F592-E855-4573-853E-1EE03E9B6AC3}"/>
  </hyperlinks>
  <pageMargins left="0.70866141732283472" right="0.70866141732283472" top="0.74803149606299213" bottom="0.74803149606299213" header="0.31496062992125984" footer="0.31496062992125984"/>
  <pageSetup paperSize="9" scale="75" orientation="landscape" r:id="rId1"/>
  <colBreaks count="1" manualBreakCount="1">
    <brk id="2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AC8E-4D7D-4ECB-8FF3-7B60193055E3}">
  <dimension ref="A1:R108"/>
  <sheetViews>
    <sheetView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8" sqref="A8"/>
      <selection pane="bottomRight"/>
    </sheetView>
  </sheetViews>
  <sheetFormatPr defaultRowHeight="24" x14ac:dyDescent="0.25"/>
  <cols>
    <col min="1" max="1" width="16" style="25" customWidth="1"/>
    <col min="2" max="5" width="9.5" style="25" customWidth="1"/>
    <col min="6" max="6" width="9.625" style="25" customWidth="1"/>
    <col min="7" max="18" width="9.5" style="25" customWidth="1"/>
    <col min="19" max="16384" width="9" style="25"/>
  </cols>
  <sheetData>
    <row r="1" spans="1:18" ht="9" customHeight="1" x14ac:dyDescent="0.25"/>
    <row r="2" spans="1:18" ht="15.75" customHeight="1" x14ac:dyDescent="0.25">
      <c r="A2" s="24" t="s">
        <v>616</v>
      </c>
      <c r="B2" s="753"/>
      <c r="C2" s="754"/>
      <c r="D2" s="754"/>
      <c r="E2" s="754"/>
      <c r="F2" s="754"/>
    </row>
    <row r="3" spans="1:18" ht="16.5" customHeight="1" x14ac:dyDescent="0.25">
      <c r="A3" s="24" t="s">
        <v>617</v>
      </c>
      <c r="B3" s="26"/>
      <c r="C3" s="26"/>
      <c r="D3" s="26"/>
      <c r="E3" s="26"/>
      <c r="F3" s="26"/>
      <c r="G3" s="27"/>
      <c r="H3" s="27"/>
      <c r="I3" s="28" t="s">
        <v>451</v>
      </c>
      <c r="J3" s="27"/>
      <c r="K3" s="27"/>
      <c r="L3" s="27"/>
      <c r="M3" s="27"/>
      <c r="N3" s="27"/>
      <c r="O3" s="27"/>
      <c r="P3" s="27"/>
      <c r="Q3" s="23" t="s">
        <v>452</v>
      </c>
      <c r="R3" s="23"/>
    </row>
    <row r="4" spans="1:18" s="43" customFormat="1" ht="15" customHeight="1" x14ac:dyDescent="0.15">
      <c r="A4" s="39"/>
      <c r="B4" s="40"/>
      <c r="C4" s="41"/>
      <c r="D4" s="39"/>
      <c r="E4" s="41"/>
      <c r="F4" s="42"/>
      <c r="G4" s="42"/>
      <c r="H4" s="42"/>
      <c r="I4" s="42"/>
      <c r="J4" s="39"/>
      <c r="K4" s="41"/>
      <c r="L4" s="42"/>
      <c r="M4" s="42"/>
      <c r="N4" s="42"/>
      <c r="O4" s="42"/>
      <c r="P4" s="42"/>
      <c r="Q4" s="42"/>
      <c r="R4" s="996" t="s">
        <v>83</v>
      </c>
    </row>
    <row r="5" spans="1:18" s="46" customFormat="1" ht="22.5" customHeight="1" x14ac:dyDescent="0.15">
      <c r="A5" s="44" t="s">
        <v>185</v>
      </c>
      <c r="B5" s="37" t="s">
        <v>59</v>
      </c>
      <c r="C5" s="45" t="s">
        <v>84</v>
      </c>
      <c r="D5" s="35" t="s">
        <v>73</v>
      </c>
      <c r="E5" s="37" t="s">
        <v>85</v>
      </c>
      <c r="F5" s="35" t="s">
        <v>837</v>
      </c>
      <c r="G5" s="35" t="s">
        <v>618</v>
      </c>
      <c r="H5" s="35" t="s">
        <v>63</v>
      </c>
      <c r="I5" s="35" t="s">
        <v>12</v>
      </c>
      <c r="J5" s="35" t="s">
        <v>60</v>
      </c>
      <c r="K5" s="37" t="s">
        <v>86</v>
      </c>
      <c r="L5" s="35" t="s">
        <v>13</v>
      </c>
      <c r="M5" s="35" t="s">
        <v>14</v>
      </c>
      <c r="N5" s="35" t="s">
        <v>438</v>
      </c>
      <c r="O5" s="35" t="s">
        <v>29</v>
      </c>
      <c r="P5" s="35" t="s">
        <v>30</v>
      </c>
      <c r="Q5" s="719" t="s">
        <v>99</v>
      </c>
      <c r="R5" s="997"/>
    </row>
    <row r="6" spans="1:18" s="46" customFormat="1" ht="30" customHeight="1" x14ac:dyDescent="0.15">
      <c r="A6" s="44"/>
      <c r="B6" s="30" t="s">
        <v>58</v>
      </c>
      <c r="C6" s="30" t="s">
        <v>87</v>
      </c>
      <c r="D6" s="30" t="s">
        <v>74</v>
      </c>
      <c r="E6" s="30" t="s">
        <v>88</v>
      </c>
      <c r="F6" s="30" t="s">
        <v>40</v>
      </c>
      <c r="G6" s="30" t="s">
        <v>619</v>
      </c>
      <c r="H6" s="30" t="s">
        <v>19</v>
      </c>
      <c r="I6" s="30" t="s">
        <v>20</v>
      </c>
      <c r="J6" s="30" t="s">
        <v>21</v>
      </c>
      <c r="K6" s="30" t="s">
        <v>47</v>
      </c>
      <c r="L6" s="30" t="s">
        <v>22</v>
      </c>
      <c r="M6" s="30" t="s">
        <v>23</v>
      </c>
      <c r="N6" s="30" t="s">
        <v>439</v>
      </c>
      <c r="O6" s="30" t="s">
        <v>35</v>
      </c>
      <c r="P6" s="30" t="s">
        <v>36</v>
      </c>
      <c r="Q6" s="722" t="s">
        <v>104</v>
      </c>
      <c r="R6" s="998"/>
    </row>
    <row r="7" spans="1:18" s="50" customFormat="1" ht="10.5" customHeight="1" x14ac:dyDescent="0.15">
      <c r="A7" s="755" t="s">
        <v>838</v>
      </c>
      <c r="B7" s="47">
        <v>177477098</v>
      </c>
      <c r="C7" s="48">
        <v>2019665</v>
      </c>
      <c r="D7" s="48">
        <v>2019665</v>
      </c>
      <c r="E7" s="48">
        <v>2937844</v>
      </c>
      <c r="F7" s="48">
        <v>516234</v>
      </c>
      <c r="G7" s="48" t="s">
        <v>839</v>
      </c>
      <c r="H7" s="48">
        <v>836043</v>
      </c>
      <c r="I7" s="48">
        <v>130531</v>
      </c>
      <c r="J7" s="48">
        <v>1455036</v>
      </c>
      <c r="K7" s="48">
        <v>156613048</v>
      </c>
      <c r="L7" s="48">
        <v>7393975</v>
      </c>
      <c r="M7" s="48">
        <v>3254304</v>
      </c>
      <c r="N7" s="48">
        <v>2488745</v>
      </c>
      <c r="O7" s="48">
        <v>67524797</v>
      </c>
      <c r="P7" s="48">
        <v>13524438</v>
      </c>
      <c r="Q7" s="48" t="s">
        <v>839</v>
      </c>
      <c r="R7" s="49" t="s">
        <v>457</v>
      </c>
    </row>
    <row r="8" spans="1:18" s="50" customFormat="1" ht="10.5" customHeight="1" x14ac:dyDescent="0.15">
      <c r="A8" s="756" t="s">
        <v>669</v>
      </c>
      <c r="B8" s="51">
        <v>175488885</v>
      </c>
      <c r="C8" s="50">
        <v>1092458</v>
      </c>
      <c r="D8" s="50">
        <v>1092458</v>
      </c>
      <c r="E8" s="50">
        <v>1827860</v>
      </c>
      <c r="F8" s="50">
        <v>586629</v>
      </c>
      <c r="G8" s="50" t="s">
        <v>839</v>
      </c>
      <c r="H8" s="50">
        <v>751894</v>
      </c>
      <c r="I8" s="50">
        <v>368422</v>
      </c>
      <c r="J8" s="50">
        <v>120915</v>
      </c>
      <c r="K8" s="50">
        <v>156043026</v>
      </c>
      <c r="L8" s="50">
        <v>2719294</v>
      </c>
      <c r="M8" s="50">
        <v>2465339</v>
      </c>
      <c r="N8" s="50">
        <v>2911341</v>
      </c>
      <c r="O8" s="50">
        <v>61967631</v>
      </c>
      <c r="P8" s="50">
        <v>14692639</v>
      </c>
      <c r="Q8" s="50" t="s">
        <v>839</v>
      </c>
      <c r="R8" s="52" t="s">
        <v>512</v>
      </c>
    </row>
    <row r="9" spans="1:18" s="50" customFormat="1" ht="10.5" customHeight="1" x14ac:dyDescent="0.15">
      <c r="A9" s="756" t="s">
        <v>670</v>
      </c>
      <c r="B9" s="51">
        <v>143879667</v>
      </c>
      <c r="C9" s="50">
        <v>998907</v>
      </c>
      <c r="D9" s="50">
        <v>998907</v>
      </c>
      <c r="E9" s="50">
        <v>1168949</v>
      </c>
      <c r="F9" s="50">
        <v>397479</v>
      </c>
      <c r="G9" s="50">
        <v>11177</v>
      </c>
      <c r="H9" s="50">
        <v>667645</v>
      </c>
      <c r="I9" s="50">
        <v>92648</v>
      </c>
      <c r="J9" s="50" t="s">
        <v>839</v>
      </c>
      <c r="K9" s="50">
        <v>132362206</v>
      </c>
      <c r="L9" s="50" t="s">
        <v>839</v>
      </c>
      <c r="M9" s="50">
        <v>788821</v>
      </c>
      <c r="N9" s="50">
        <v>2040752</v>
      </c>
      <c r="O9" s="50">
        <v>56773606</v>
      </c>
      <c r="P9" s="50">
        <v>13223305</v>
      </c>
      <c r="Q9" s="50">
        <v>197107</v>
      </c>
      <c r="R9" s="52" t="s">
        <v>620</v>
      </c>
    </row>
    <row r="10" spans="1:18" s="50" customFormat="1" ht="10.5" customHeight="1" x14ac:dyDescent="0.15">
      <c r="A10" s="756" t="s">
        <v>671</v>
      </c>
      <c r="B10" s="51">
        <v>144662684</v>
      </c>
      <c r="C10" s="50">
        <v>166004</v>
      </c>
      <c r="D10" s="50">
        <v>166004</v>
      </c>
      <c r="E10" s="50">
        <v>1244456</v>
      </c>
      <c r="F10" s="50">
        <v>321963</v>
      </c>
      <c r="G10" s="50">
        <v>49688</v>
      </c>
      <c r="H10" s="50">
        <v>516977</v>
      </c>
      <c r="I10" s="50">
        <v>182256</v>
      </c>
      <c r="J10" s="50">
        <v>173572</v>
      </c>
      <c r="K10" s="50">
        <v>134068585</v>
      </c>
      <c r="L10" s="50" t="s">
        <v>839</v>
      </c>
      <c r="M10" s="50">
        <v>157960</v>
      </c>
      <c r="N10" s="50">
        <v>2050509</v>
      </c>
      <c r="O10" s="50">
        <v>56525615</v>
      </c>
      <c r="P10" s="50">
        <v>12105867</v>
      </c>
      <c r="Q10" s="50">
        <v>465530</v>
      </c>
      <c r="R10" s="52" t="s">
        <v>672</v>
      </c>
    </row>
    <row r="11" spans="1:18" s="50" customFormat="1" ht="10.5" customHeight="1" x14ac:dyDescent="0.15">
      <c r="A11" s="756" t="s">
        <v>840</v>
      </c>
      <c r="B11" s="51">
        <v>158641580</v>
      </c>
      <c r="C11" s="50">
        <v>172335</v>
      </c>
      <c r="D11" s="50">
        <v>172335</v>
      </c>
      <c r="E11" s="50">
        <v>1189732</v>
      </c>
      <c r="F11" s="50">
        <v>607817</v>
      </c>
      <c r="G11" s="50">
        <v>56634</v>
      </c>
      <c r="H11" s="50">
        <v>278902</v>
      </c>
      <c r="I11" s="50">
        <v>187647</v>
      </c>
      <c r="J11" s="50">
        <v>58732</v>
      </c>
      <c r="K11" s="50">
        <v>149271694</v>
      </c>
      <c r="L11" s="50" t="s">
        <v>839</v>
      </c>
      <c r="M11" s="50" t="s">
        <v>839</v>
      </c>
      <c r="N11" s="50">
        <v>2028574</v>
      </c>
      <c r="O11" s="50">
        <v>60374739</v>
      </c>
      <c r="P11" s="50">
        <v>12823959</v>
      </c>
      <c r="Q11" s="50">
        <v>496437</v>
      </c>
      <c r="R11" s="52" t="s">
        <v>841</v>
      </c>
    </row>
    <row r="12" spans="1:18" s="50" customFormat="1" ht="10.5" customHeight="1" x14ac:dyDescent="0.15">
      <c r="A12" s="787"/>
      <c r="B12" s="51"/>
      <c r="R12" s="52"/>
    </row>
    <row r="13" spans="1:18" s="50" customFormat="1" ht="10.5" customHeight="1" x14ac:dyDescent="0.15">
      <c r="A13" s="756" t="s">
        <v>842</v>
      </c>
      <c r="B13" s="51">
        <v>148903593</v>
      </c>
      <c r="C13" s="50">
        <v>338339</v>
      </c>
      <c r="D13" s="50">
        <v>338339</v>
      </c>
      <c r="E13" s="50">
        <v>1177159</v>
      </c>
      <c r="F13" s="50">
        <v>367365</v>
      </c>
      <c r="G13" s="50">
        <v>41905</v>
      </c>
      <c r="H13" s="50">
        <v>485322</v>
      </c>
      <c r="I13" s="50">
        <v>187051</v>
      </c>
      <c r="J13" s="50">
        <v>95516</v>
      </c>
      <c r="K13" s="50">
        <v>137734742</v>
      </c>
      <c r="L13" s="50" t="s">
        <v>839</v>
      </c>
      <c r="M13" s="50">
        <v>157960</v>
      </c>
      <c r="N13" s="50">
        <v>2184776</v>
      </c>
      <c r="O13" s="50">
        <v>55593521</v>
      </c>
      <c r="P13" s="50">
        <v>12512645</v>
      </c>
      <c r="Q13" s="50">
        <v>416928</v>
      </c>
      <c r="R13" s="52" t="s">
        <v>673</v>
      </c>
    </row>
    <row r="14" spans="1:18" s="50" customFormat="1" ht="10.5" customHeight="1" x14ac:dyDescent="0.15">
      <c r="A14" s="756" t="s">
        <v>843</v>
      </c>
      <c r="B14" s="51">
        <v>156562747</v>
      </c>
      <c r="C14" s="50" t="s">
        <v>839</v>
      </c>
      <c r="D14" s="50" t="s">
        <v>839</v>
      </c>
      <c r="E14" s="50">
        <v>1118632</v>
      </c>
      <c r="F14" s="50">
        <v>556421</v>
      </c>
      <c r="G14" s="50">
        <v>49826</v>
      </c>
      <c r="H14" s="50">
        <v>215933</v>
      </c>
      <c r="I14" s="50">
        <v>191121</v>
      </c>
      <c r="J14" s="50">
        <v>105331</v>
      </c>
      <c r="K14" s="50">
        <v>149059214</v>
      </c>
      <c r="L14" s="50" t="s">
        <v>839</v>
      </c>
      <c r="M14" s="50" t="s">
        <v>839</v>
      </c>
      <c r="N14" s="50">
        <v>1521617</v>
      </c>
      <c r="O14" s="50">
        <v>61385051</v>
      </c>
      <c r="P14" s="50">
        <v>13374489</v>
      </c>
      <c r="Q14" s="50">
        <v>515796</v>
      </c>
      <c r="R14" s="52" t="s">
        <v>844</v>
      </c>
    </row>
    <row r="15" spans="1:18" s="50" customFormat="1" ht="10.5" customHeight="1" x14ac:dyDescent="0.15">
      <c r="A15" s="787"/>
      <c r="B15" s="51"/>
      <c r="R15" s="52"/>
    </row>
    <row r="16" spans="1:18" s="50" customFormat="1" ht="10.5" customHeight="1" x14ac:dyDescent="0.15">
      <c r="A16" s="756" t="s">
        <v>845</v>
      </c>
      <c r="B16" s="51">
        <v>39999430</v>
      </c>
      <c r="C16" s="50">
        <v>172335</v>
      </c>
      <c r="D16" s="50">
        <v>172335</v>
      </c>
      <c r="E16" s="50">
        <v>317600</v>
      </c>
      <c r="F16" s="50">
        <v>92415</v>
      </c>
      <c r="G16" s="50">
        <v>6808</v>
      </c>
      <c r="H16" s="50">
        <v>126404</v>
      </c>
      <c r="I16" s="50">
        <v>91973</v>
      </c>
      <c r="J16" s="50" t="s">
        <v>839</v>
      </c>
      <c r="K16" s="50">
        <v>36728693</v>
      </c>
      <c r="L16" s="50" t="s">
        <v>839</v>
      </c>
      <c r="M16" s="50" t="s">
        <v>839</v>
      </c>
      <c r="N16" s="50">
        <v>746631</v>
      </c>
      <c r="O16" s="50">
        <v>15363491</v>
      </c>
      <c r="P16" s="50">
        <v>3119755</v>
      </c>
      <c r="Q16" s="50">
        <v>140158</v>
      </c>
      <c r="R16" s="52" t="s">
        <v>677</v>
      </c>
    </row>
    <row r="17" spans="1:18" s="50" customFormat="1" ht="10.5" customHeight="1" x14ac:dyDescent="0.15">
      <c r="A17" s="756" t="s">
        <v>674</v>
      </c>
      <c r="B17" s="51">
        <v>37599118</v>
      </c>
      <c r="C17" s="50" t="s">
        <v>839</v>
      </c>
      <c r="D17" s="50" t="s">
        <v>839</v>
      </c>
      <c r="E17" s="50">
        <v>142925</v>
      </c>
      <c r="F17" s="50">
        <v>47113</v>
      </c>
      <c r="G17" s="50">
        <v>21526</v>
      </c>
      <c r="H17" s="50">
        <v>61622</v>
      </c>
      <c r="I17" s="50" t="s">
        <v>839</v>
      </c>
      <c r="J17" s="50">
        <v>12664</v>
      </c>
      <c r="K17" s="50">
        <v>35448599</v>
      </c>
      <c r="L17" s="50" t="s">
        <v>839</v>
      </c>
      <c r="M17" s="50" t="s">
        <v>839</v>
      </c>
      <c r="N17" s="50">
        <v>186458</v>
      </c>
      <c r="O17" s="50">
        <v>14760327</v>
      </c>
      <c r="P17" s="50">
        <v>2838910</v>
      </c>
      <c r="Q17" s="50">
        <v>71735</v>
      </c>
      <c r="R17" s="52" t="s">
        <v>89</v>
      </c>
    </row>
    <row r="18" spans="1:18" s="50" customFormat="1" ht="10.5" customHeight="1" x14ac:dyDescent="0.15">
      <c r="A18" s="756" t="s">
        <v>675</v>
      </c>
      <c r="B18" s="51">
        <v>40726679</v>
      </c>
      <c r="C18" s="50" t="s">
        <v>839</v>
      </c>
      <c r="D18" s="50" t="s">
        <v>839</v>
      </c>
      <c r="E18" s="50">
        <v>248057</v>
      </c>
      <c r="F18" s="50">
        <v>182273</v>
      </c>
      <c r="G18" s="50">
        <v>14050</v>
      </c>
      <c r="H18" s="50">
        <v>28624</v>
      </c>
      <c r="I18" s="50" t="s">
        <v>839</v>
      </c>
      <c r="J18" s="50">
        <v>23110</v>
      </c>
      <c r="K18" s="50">
        <v>39045657</v>
      </c>
      <c r="L18" s="50" t="s">
        <v>839</v>
      </c>
      <c r="M18" s="50" t="s">
        <v>839</v>
      </c>
      <c r="N18" s="50">
        <v>472994</v>
      </c>
      <c r="O18" s="50">
        <v>14789175</v>
      </c>
      <c r="P18" s="50">
        <v>3181387</v>
      </c>
      <c r="Q18" s="50">
        <v>141798</v>
      </c>
      <c r="R18" s="52" t="s">
        <v>90</v>
      </c>
    </row>
    <row r="19" spans="1:18" s="50" customFormat="1" ht="10.5" customHeight="1" x14ac:dyDescent="0.15">
      <c r="A19" s="756" t="s">
        <v>676</v>
      </c>
      <c r="B19" s="51">
        <v>40316353</v>
      </c>
      <c r="C19" s="50" t="s">
        <v>839</v>
      </c>
      <c r="D19" s="50" t="s">
        <v>839</v>
      </c>
      <c r="E19" s="50">
        <v>481150</v>
      </c>
      <c r="F19" s="50">
        <v>286016</v>
      </c>
      <c r="G19" s="50">
        <v>14250</v>
      </c>
      <c r="H19" s="50">
        <v>62252</v>
      </c>
      <c r="I19" s="50">
        <v>95674</v>
      </c>
      <c r="J19" s="50">
        <v>22958</v>
      </c>
      <c r="K19" s="50">
        <v>38048745</v>
      </c>
      <c r="L19" s="50" t="s">
        <v>839</v>
      </c>
      <c r="M19" s="50" t="s">
        <v>839</v>
      </c>
      <c r="N19" s="50">
        <v>622491</v>
      </c>
      <c r="O19" s="50">
        <v>15461746</v>
      </c>
      <c r="P19" s="50">
        <v>3683907</v>
      </c>
      <c r="Q19" s="50">
        <v>142746</v>
      </c>
      <c r="R19" s="52" t="s">
        <v>91</v>
      </c>
    </row>
    <row r="20" spans="1:18" s="50" customFormat="1" ht="10.5" customHeight="1" x14ac:dyDescent="0.15">
      <c r="A20" s="756" t="s">
        <v>846</v>
      </c>
      <c r="B20" s="51">
        <v>37920597</v>
      </c>
      <c r="C20" s="50" t="s">
        <v>839</v>
      </c>
      <c r="D20" s="50" t="s">
        <v>839</v>
      </c>
      <c r="E20" s="50">
        <v>246500</v>
      </c>
      <c r="F20" s="50">
        <v>41019</v>
      </c>
      <c r="G20" s="50" t="s">
        <v>839</v>
      </c>
      <c r="H20" s="50">
        <v>63435</v>
      </c>
      <c r="I20" s="50">
        <v>95447</v>
      </c>
      <c r="J20" s="50">
        <v>46599</v>
      </c>
      <c r="K20" s="50">
        <v>36516213</v>
      </c>
      <c r="L20" s="50" t="s">
        <v>839</v>
      </c>
      <c r="M20" s="50" t="s">
        <v>839</v>
      </c>
      <c r="N20" s="50">
        <v>239674</v>
      </c>
      <c r="O20" s="50">
        <v>16373803</v>
      </c>
      <c r="P20" s="50">
        <v>3670285</v>
      </c>
      <c r="Q20" s="50">
        <v>159517</v>
      </c>
      <c r="R20" s="52" t="s">
        <v>847</v>
      </c>
    </row>
    <row r="21" spans="1:18" s="50" customFormat="1" ht="10.5" customHeight="1" x14ac:dyDescent="0.15">
      <c r="A21" s="787"/>
      <c r="B21" s="51"/>
      <c r="R21" s="52"/>
    </row>
    <row r="22" spans="1:18" s="50" customFormat="1" ht="10.5" customHeight="1" x14ac:dyDescent="0.15">
      <c r="A22" s="756" t="s">
        <v>848</v>
      </c>
      <c r="B22" s="51">
        <v>13384115</v>
      </c>
      <c r="C22" s="50" t="s">
        <v>839</v>
      </c>
      <c r="D22" s="50" t="s">
        <v>839</v>
      </c>
      <c r="E22" s="50">
        <v>146073</v>
      </c>
      <c r="F22" s="50">
        <v>45041</v>
      </c>
      <c r="G22" s="50">
        <v>6808</v>
      </c>
      <c r="H22" s="50">
        <v>48282</v>
      </c>
      <c r="I22" s="50">
        <v>45942</v>
      </c>
      <c r="J22" s="50" t="s">
        <v>839</v>
      </c>
      <c r="K22" s="50">
        <v>12283587</v>
      </c>
      <c r="L22" s="50" t="s">
        <v>839</v>
      </c>
      <c r="M22" s="50" t="s">
        <v>839</v>
      </c>
      <c r="N22" s="50">
        <v>307865</v>
      </c>
      <c r="O22" s="50">
        <v>5542872</v>
      </c>
      <c r="P22" s="50">
        <v>1059673</v>
      </c>
      <c r="Q22" s="50">
        <v>71638</v>
      </c>
      <c r="R22" s="52" t="s">
        <v>689</v>
      </c>
    </row>
    <row r="23" spans="1:18" s="50" customFormat="1" ht="10.5" customHeight="1" x14ac:dyDescent="0.15">
      <c r="A23" s="756" t="s">
        <v>678</v>
      </c>
      <c r="B23" s="51">
        <v>12463351</v>
      </c>
      <c r="C23" s="50">
        <v>172335</v>
      </c>
      <c r="D23" s="50">
        <v>172335</v>
      </c>
      <c r="E23" s="50">
        <v>155677</v>
      </c>
      <c r="F23" s="50">
        <v>47374</v>
      </c>
      <c r="G23" s="50" t="s">
        <v>839</v>
      </c>
      <c r="H23" s="50">
        <v>62272</v>
      </c>
      <c r="I23" s="50">
        <v>46031</v>
      </c>
      <c r="J23" s="50" t="s">
        <v>839</v>
      </c>
      <c r="K23" s="50">
        <v>11248239</v>
      </c>
      <c r="L23" s="50" t="s">
        <v>839</v>
      </c>
      <c r="M23" s="50" t="s">
        <v>839</v>
      </c>
      <c r="N23" s="50">
        <v>114200</v>
      </c>
      <c r="O23" s="50">
        <v>4977082</v>
      </c>
      <c r="P23" s="50">
        <v>1061068</v>
      </c>
      <c r="Q23" s="50" t="s">
        <v>839</v>
      </c>
      <c r="R23" s="52" t="s">
        <v>77</v>
      </c>
    </row>
    <row r="24" spans="1:18" s="50" customFormat="1" ht="10.5" customHeight="1" x14ac:dyDescent="0.15">
      <c r="A24" s="756" t="s">
        <v>679</v>
      </c>
      <c r="B24" s="51">
        <v>14151964</v>
      </c>
      <c r="C24" s="50" t="s">
        <v>839</v>
      </c>
      <c r="D24" s="50" t="s">
        <v>839</v>
      </c>
      <c r="E24" s="50">
        <v>15850</v>
      </c>
      <c r="F24" s="50" t="s">
        <v>839</v>
      </c>
      <c r="G24" s="50" t="s">
        <v>839</v>
      </c>
      <c r="H24" s="50">
        <v>15850</v>
      </c>
      <c r="I24" s="50" t="s">
        <v>839</v>
      </c>
      <c r="J24" s="50" t="s">
        <v>839</v>
      </c>
      <c r="K24" s="50">
        <v>13196867</v>
      </c>
      <c r="L24" s="50" t="s">
        <v>839</v>
      </c>
      <c r="M24" s="50" t="s">
        <v>839</v>
      </c>
      <c r="N24" s="50">
        <v>324566</v>
      </c>
      <c r="O24" s="50">
        <v>4843537</v>
      </c>
      <c r="P24" s="50">
        <v>999014</v>
      </c>
      <c r="Q24" s="50">
        <v>68520</v>
      </c>
      <c r="R24" s="52" t="s">
        <v>78</v>
      </c>
    </row>
    <row r="25" spans="1:18" s="50" customFormat="1" ht="10.5" customHeight="1" x14ac:dyDescent="0.15">
      <c r="A25" s="756" t="s">
        <v>680</v>
      </c>
      <c r="B25" s="51">
        <v>13903226</v>
      </c>
      <c r="C25" s="50" t="s">
        <v>839</v>
      </c>
      <c r="D25" s="50" t="s">
        <v>839</v>
      </c>
      <c r="E25" s="50">
        <v>96707</v>
      </c>
      <c r="F25" s="50">
        <v>47113</v>
      </c>
      <c r="G25" s="50">
        <v>7182</v>
      </c>
      <c r="H25" s="50">
        <v>29748</v>
      </c>
      <c r="I25" s="50" t="s">
        <v>839</v>
      </c>
      <c r="J25" s="50">
        <v>12664</v>
      </c>
      <c r="K25" s="50">
        <v>13033544</v>
      </c>
      <c r="L25" s="50" t="s">
        <v>839</v>
      </c>
      <c r="M25" s="50" t="s">
        <v>839</v>
      </c>
      <c r="N25" s="50">
        <v>186458</v>
      </c>
      <c r="O25" s="50">
        <v>6109760</v>
      </c>
      <c r="P25" s="50">
        <v>1051037</v>
      </c>
      <c r="Q25" s="50" t="s">
        <v>839</v>
      </c>
      <c r="R25" s="52" t="s">
        <v>79</v>
      </c>
    </row>
    <row r="26" spans="1:18" s="50" customFormat="1" ht="10.5" customHeight="1" x14ac:dyDescent="0.15">
      <c r="A26" s="756" t="s">
        <v>681</v>
      </c>
      <c r="B26" s="51">
        <v>12828203</v>
      </c>
      <c r="C26" s="50" t="s">
        <v>839</v>
      </c>
      <c r="D26" s="50" t="s">
        <v>839</v>
      </c>
      <c r="E26" s="50">
        <v>39072</v>
      </c>
      <c r="F26" s="50" t="s">
        <v>839</v>
      </c>
      <c r="G26" s="50">
        <v>7198</v>
      </c>
      <c r="H26" s="50">
        <v>31874</v>
      </c>
      <c r="I26" s="50" t="s">
        <v>839</v>
      </c>
      <c r="J26" s="50" t="s">
        <v>839</v>
      </c>
      <c r="K26" s="50">
        <v>12124773</v>
      </c>
      <c r="L26" s="50" t="s">
        <v>839</v>
      </c>
      <c r="M26" s="50" t="s">
        <v>839</v>
      </c>
      <c r="N26" s="50" t="s">
        <v>839</v>
      </c>
      <c r="O26" s="50">
        <v>4302238</v>
      </c>
      <c r="P26" s="50">
        <v>882034</v>
      </c>
      <c r="Q26" s="50">
        <v>71735</v>
      </c>
      <c r="R26" s="53" t="s">
        <v>92</v>
      </c>
    </row>
    <row r="27" spans="1:18" s="50" customFormat="1" ht="10.5" customHeight="1" x14ac:dyDescent="0.15">
      <c r="A27" s="756" t="s">
        <v>682</v>
      </c>
      <c r="B27" s="51">
        <v>10867689</v>
      </c>
      <c r="C27" s="50" t="s">
        <v>839</v>
      </c>
      <c r="D27" s="50" t="s">
        <v>839</v>
      </c>
      <c r="E27" s="50">
        <v>7146</v>
      </c>
      <c r="F27" s="50" t="s">
        <v>839</v>
      </c>
      <c r="G27" s="50">
        <v>7146</v>
      </c>
      <c r="H27" s="50" t="s">
        <v>839</v>
      </c>
      <c r="I27" s="50" t="s">
        <v>839</v>
      </c>
      <c r="J27" s="50" t="s">
        <v>839</v>
      </c>
      <c r="K27" s="50">
        <v>10290282</v>
      </c>
      <c r="L27" s="50" t="s">
        <v>839</v>
      </c>
      <c r="M27" s="50" t="s">
        <v>839</v>
      </c>
      <c r="N27" s="50" t="s">
        <v>839</v>
      </c>
      <c r="O27" s="50">
        <v>4348329</v>
      </c>
      <c r="P27" s="50">
        <v>905839</v>
      </c>
      <c r="Q27" s="50" t="s">
        <v>839</v>
      </c>
      <c r="R27" s="52" t="s">
        <v>93</v>
      </c>
    </row>
    <row r="28" spans="1:18" s="50" customFormat="1" ht="10.5" customHeight="1" x14ac:dyDescent="0.15">
      <c r="A28" s="756" t="s">
        <v>683</v>
      </c>
      <c r="B28" s="51">
        <v>12885890</v>
      </c>
      <c r="C28" s="50" t="s">
        <v>839</v>
      </c>
      <c r="D28" s="50" t="s">
        <v>839</v>
      </c>
      <c r="E28" s="50">
        <v>56187</v>
      </c>
      <c r="F28" s="50">
        <v>49078</v>
      </c>
      <c r="G28" s="50">
        <v>7109</v>
      </c>
      <c r="H28" s="50" t="s">
        <v>839</v>
      </c>
      <c r="I28" s="50" t="s">
        <v>839</v>
      </c>
      <c r="J28" s="50" t="s">
        <v>839</v>
      </c>
      <c r="K28" s="50">
        <v>12586931</v>
      </c>
      <c r="L28" s="50" t="s">
        <v>839</v>
      </c>
      <c r="M28" s="50" t="s">
        <v>839</v>
      </c>
      <c r="N28" s="50">
        <v>209983</v>
      </c>
      <c r="O28" s="50">
        <v>4526684</v>
      </c>
      <c r="P28" s="50">
        <v>1048577</v>
      </c>
      <c r="Q28" s="50">
        <v>69937</v>
      </c>
      <c r="R28" s="52" t="s">
        <v>94</v>
      </c>
    </row>
    <row r="29" spans="1:18" s="50" customFormat="1" ht="10.5" customHeight="1" x14ac:dyDescent="0.15">
      <c r="A29" s="756" t="s">
        <v>684</v>
      </c>
      <c r="B29" s="51">
        <v>14692831</v>
      </c>
      <c r="C29" s="50" t="s">
        <v>839</v>
      </c>
      <c r="D29" s="50" t="s">
        <v>839</v>
      </c>
      <c r="E29" s="50">
        <v>39493</v>
      </c>
      <c r="F29" s="50">
        <v>39493</v>
      </c>
      <c r="G29" s="50" t="s">
        <v>839</v>
      </c>
      <c r="H29" s="50" t="s">
        <v>839</v>
      </c>
      <c r="I29" s="50" t="s">
        <v>839</v>
      </c>
      <c r="J29" s="50" t="s">
        <v>839</v>
      </c>
      <c r="K29" s="50">
        <v>13883938</v>
      </c>
      <c r="L29" s="50" t="s">
        <v>839</v>
      </c>
      <c r="M29" s="50" t="s">
        <v>839</v>
      </c>
      <c r="N29" s="50">
        <v>24362</v>
      </c>
      <c r="O29" s="50">
        <v>5869305</v>
      </c>
      <c r="P29" s="50">
        <v>1526356</v>
      </c>
      <c r="Q29" s="50" t="s">
        <v>839</v>
      </c>
      <c r="R29" s="52" t="s">
        <v>95</v>
      </c>
    </row>
    <row r="30" spans="1:18" s="50" customFormat="1" ht="10.5" customHeight="1" x14ac:dyDescent="0.15">
      <c r="A30" s="756" t="s">
        <v>685</v>
      </c>
      <c r="B30" s="51">
        <v>13147958</v>
      </c>
      <c r="C30" s="50" t="s">
        <v>839</v>
      </c>
      <c r="D30" s="50" t="s">
        <v>839</v>
      </c>
      <c r="E30" s="50">
        <v>152377</v>
      </c>
      <c r="F30" s="50">
        <v>93702</v>
      </c>
      <c r="G30" s="50">
        <v>6941</v>
      </c>
      <c r="H30" s="50">
        <v>28624</v>
      </c>
      <c r="I30" s="50" t="s">
        <v>839</v>
      </c>
      <c r="J30" s="50">
        <v>23110</v>
      </c>
      <c r="K30" s="50">
        <v>12574788</v>
      </c>
      <c r="L30" s="50" t="s">
        <v>839</v>
      </c>
      <c r="M30" s="50" t="s">
        <v>839</v>
      </c>
      <c r="N30" s="50">
        <v>238649</v>
      </c>
      <c r="O30" s="50">
        <v>4393186</v>
      </c>
      <c r="P30" s="50">
        <v>606454</v>
      </c>
      <c r="Q30" s="50">
        <v>71861</v>
      </c>
      <c r="R30" s="52" t="s">
        <v>96</v>
      </c>
    </row>
    <row r="31" spans="1:18" s="50" customFormat="1" ht="10.5" customHeight="1" x14ac:dyDescent="0.15">
      <c r="A31" s="756" t="s">
        <v>686</v>
      </c>
      <c r="B31" s="51">
        <v>13426435</v>
      </c>
      <c r="C31" s="50" t="s">
        <v>839</v>
      </c>
      <c r="D31" s="50" t="s">
        <v>839</v>
      </c>
      <c r="E31" s="50">
        <v>100800</v>
      </c>
      <c r="F31" s="50">
        <v>47526</v>
      </c>
      <c r="G31" s="50">
        <v>7257</v>
      </c>
      <c r="H31" s="50" t="s">
        <v>839</v>
      </c>
      <c r="I31" s="50">
        <v>46017</v>
      </c>
      <c r="J31" s="50" t="s">
        <v>839</v>
      </c>
      <c r="K31" s="50">
        <v>12714763</v>
      </c>
      <c r="L31" s="50" t="s">
        <v>839</v>
      </c>
      <c r="M31" s="50" t="s">
        <v>839</v>
      </c>
      <c r="N31" s="50">
        <v>153857</v>
      </c>
      <c r="O31" s="50">
        <v>5016464</v>
      </c>
      <c r="P31" s="50">
        <v>1238104</v>
      </c>
      <c r="Q31" s="50">
        <v>70767</v>
      </c>
      <c r="R31" s="52" t="s">
        <v>80</v>
      </c>
    </row>
    <row r="32" spans="1:18" s="50" customFormat="1" ht="10.5" customHeight="1" x14ac:dyDescent="0.15">
      <c r="A32" s="756" t="s">
        <v>687</v>
      </c>
      <c r="B32" s="51">
        <v>12307451</v>
      </c>
      <c r="C32" s="50" t="s">
        <v>839</v>
      </c>
      <c r="D32" s="50" t="s">
        <v>839</v>
      </c>
      <c r="E32" s="50">
        <v>198944</v>
      </c>
      <c r="F32" s="50">
        <v>144297</v>
      </c>
      <c r="G32" s="50" t="s">
        <v>839</v>
      </c>
      <c r="H32" s="50">
        <v>31689</v>
      </c>
      <c r="I32" s="50" t="s">
        <v>839</v>
      </c>
      <c r="J32" s="50">
        <v>22958</v>
      </c>
      <c r="K32" s="50">
        <v>11742526</v>
      </c>
      <c r="L32" s="50" t="s">
        <v>839</v>
      </c>
      <c r="M32" s="50" t="s">
        <v>839</v>
      </c>
      <c r="N32" s="50">
        <v>159697</v>
      </c>
      <c r="O32" s="50">
        <v>4470461</v>
      </c>
      <c r="P32" s="50">
        <v>1155490</v>
      </c>
      <c r="Q32" s="50">
        <v>71979</v>
      </c>
      <c r="R32" s="52" t="s">
        <v>81</v>
      </c>
    </row>
    <row r="33" spans="1:18" s="50" customFormat="1" ht="10.5" customHeight="1" x14ac:dyDescent="0.15">
      <c r="A33" s="756" t="s">
        <v>688</v>
      </c>
      <c r="B33" s="51">
        <v>14582467</v>
      </c>
      <c r="C33" s="50" t="s">
        <v>839</v>
      </c>
      <c r="D33" s="50" t="s">
        <v>839</v>
      </c>
      <c r="E33" s="50">
        <v>181406</v>
      </c>
      <c r="F33" s="50">
        <v>94193</v>
      </c>
      <c r="G33" s="50">
        <v>6993</v>
      </c>
      <c r="H33" s="50">
        <v>30563</v>
      </c>
      <c r="I33" s="50">
        <v>49657</v>
      </c>
      <c r="J33" s="50" t="s">
        <v>839</v>
      </c>
      <c r="K33" s="50">
        <v>13591456</v>
      </c>
      <c r="L33" s="50" t="s">
        <v>839</v>
      </c>
      <c r="M33" s="50" t="s">
        <v>839</v>
      </c>
      <c r="N33" s="50">
        <v>308937</v>
      </c>
      <c r="O33" s="50">
        <v>5974821</v>
      </c>
      <c r="P33" s="50">
        <v>1290313</v>
      </c>
      <c r="Q33" s="50" t="s">
        <v>839</v>
      </c>
      <c r="R33" s="52" t="s">
        <v>82</v>
      </c>
    </row>
    <row r="34" spans="1:18" s="50" customFormat="1" ht="10.5" customHeight="1" x14ac:dyDescent="0.15">
      <c r="A34" s="756" t="s">
        <v>849</v>
      </c>
      <c r="B34" s="51">
        <v>13423041</v>
      </c>
      <c r="C34" s="50" t="s">
        <v>839</v>
      </c>
      <c r="D34" s="50" t="s">
        <v>839</v>
      </c>
      <c r="E34" s="50">
        <v>53836</v>
      </c>
      <c r="F34" s="50" t="s">
        <v>839</v>
      </c>
      <c r="G34" s="50" t="s">
        <v>839</v>
      </c>
      <c r="H34" s="50">
        <v>31736</v>
      </c>
      <c r="I34" s="50" t="s">
        <v>839</v>
      </c>
      <c r="J34" s="50">
        <v>22100</v>
      </c>
      <c r="K34" s="50">
        <v>12675646</v>
      </c>
      <c r="L34" s="50" t="s">
        <v>839</v>
      </c>
      <c r="M34" s="50" t="s">
        <v>839</v>
      </c>
      <c r="N34" s="50" t="s">
        <v>839</v>
      </c>
      <c r="O34" s="50">
        <v>5898177</v>
      </c>
      <c r="P34" s="50">
        <v>1343308</v>
      </c>
      <c r="Q34" s="50">
        <v>71501</v>
      </c>
      <c r="R34" s="52" t="s">
        <v>850</v>
      </c>
    </row>
    <row r="35" spans="1:18" s="50" customFormat="1" ht="10.5" customHeight="1" x14ac:dyDescent="0.15">
      <c r="A35" s="756" t="s">
        <v>690</v>
      </c>
      <c r="B35" s="51">
        <v>12141784</v>
      </c>
      <c r="C35" s="50" t="s">
        <v>839</v>
      </c>
      <c r="D35" s="50" t="s">
        <v>839</v>
      </c>
      <c r="E35" s="50">
        <v>79422</v>
      </c>
      <c r="F35" s="50" t="s">
        <v>839</v>
      </c>
      <c r="G35" s="50" t="s">
        <v>839</v>
      </c>
      <c r="H35" s="50">
        <v>31699</v>
      </c>
      <c r="I35" s="50">
        <v>47723</v>
      </c>
      <c r="J35" s="50" t="s">
        <v>839</v>
      </c>
      <c r="K35" s="50">
        <v>11910643</v>
      </c>
      <c r="L35" s="50" t="s">
        <v>839</v>
      </c>
      <c r="M35" s="50" t="s">
        <v>839</v>
      </c>
      <c r="N35" s="50">
        <v>160081</v>
      </c>
      <c r="O35" s="50">
        <v>5264149</v>
      </c>
      <c r="P35" s="50">
        <v>1284165</v>
      </c>
      <c r="Q35" s="50" t="s">
        <v>839</v>
      </c>
      <c r="R35" s="52" t="s">
        <v>77</v>
      </c>
    </row>
    <row r="36" spans="1:18" s="50" customFormat="1" ht="10.5" customHeight="1" x14ac:dyDescent="0.15">
      <c r="A36" s="757" t="s">
        <v>691</v>
      </c>
      <c r="B36" s="54">
        <v>12355772</v>
      </c>
      <c r="C36" s="55" t="s">
        <v>839</v>
      </c>
      <c r="D36" s="55" t="s">
        <v>839</v>
      </c>
      <c r="E36" s="55">
        <v>113242</v>
      </c>
      <c r="F36" s="55">
        <v>41019</v>
      </c>
      <c r="G36" s="55" t="s">
        <v>839</v>
      </c>
      <c r="H36" s="55" t="s">
        <v>839</v>
      </c>
      <c r="I36" s="55">
        <v>47724</v>
      </c>
      <c r="J36" s="55">
        <v>24499</v>
      </c>
      <c r="K36" s="55">
        <v>11929924</v>
      </c>
      <c r="L36" s="55" t="s">
        <v>839</v>
      </c>
      <c r="M36" s="55" t="s">
        <v>839</v>
      </c>
      <c r="N36" s="55">
        <v>79593</v>
      </c>
      <c r="O36" s="55">
        <v>5211477</v>
      </c>
      <c r="P36" s="55">
        <v>1042812</v>
      </c>
      <c r="Q36" s="55">
        <v>88016</v>
      </c>
      <c r="R36" s="56" t="s">
        <v>78</v>
      </c>
    </row>
    <row r="37" spans="1:18" ht="9" customHeight="1" x14ac:dyDescent="0.25"/>
    <row r="38" spans="1:18" ht="13.5" customHeight="1" x14ac:dyDescent="0.25">
      <c r="I38" s="31" t="s">
        <v>97</v>
      </c>
    </row>
    <row r="39" spans="1:18" s="43" customFormat="1" ht="15" customHeight="1" x14ac:dyDescent="0.15">
      <c r="A39" s="39"/>
      <c r="B39" s="57" t="s">
        <v>98</v>
      </c>
      <c r="C39" s="42"/>
      <c r="D39" s="42"/>
      <c r="E39" s="39"/>
      <c r="F39" s="41"/>
      <c r="G39" s="42"/>
      <c r="H39" s="39"/>
      <c r="I39" s="41"/>
      <c r="J39" s="42"/>
      <c r="K39" s="39"/>
      <c r="L39" s="41"/>
      <c r="M39" s="42"/>
      <c r="N39" s="42"/>
      <c r="O39" s="42"/>
      <c r="P39" s="39"/>
      <c r="Q39" s="41"/>
      <c r="R39" s="996" t="s">
        <v>83</v>
      </c>
    </row>
    <row r="40" spans="1:18" s="46" customFormat="1" ht="22.5" customHeight="1" x14ac:dyDescent="0.15">
      <c r="A40" s="44" t="s">
        <v>185</v>
      </c>
      <c r="B40" s="35" t="s">
        <v>31</v>
      </c>
      <c r="C40" s="35" t="s">
        <v>32</v>
      </c>
      <c r="D40" s="35" t="s">
        <v>851</v>
      </c>
      <c r="E40" s="35" t="s">
        <v>33</v>
      </c>
      <c r="F40" s="37" t="s">
        <v>100</v>
      </c>
      <c r="G40" s="35" t="s">
        <v>101</v>
      </c>
      <c r="H40" s="35" t="s">
        <v>34</v>
      </c>
      <c r="I40" s="37" t="s">
        <v>102</v>
      </c>
      <c r="J40" s="35" t="s">
        <v>513</v>
      </c>
      <c r="K40" s="35" t="s">
        <v>75</v>
      </c>
      <c r="L40" s="37" t="s">
        <v>103</v>
      </c>
      <c r="M40" s="35" t="s">
        <v>69</v>
      </c>
      <c r="N40" s="35" t="s">
        <v>71</v>
      </c>
      <c r="O40" s="35" t="s">
        <v>15</v>
      </c>
      <c r="P40" s="35" t="s">
        <v>692</v>
      </c>
      <c r="Q40" s="721" t="s">
        <v>110</v>
      </c>
      <c r="R40" s="997"/>
    </row>
    <row r="41" spans="1:18" s="46" customFormat="1" ht="30" customHeight="1" x14ac:dyDescent="0.15">
      <c r="A41" s="36"/>
      <c r="B41" s="30" t="s">
        <v>37</v>
      </c>
      <c r="C41" s="30" t="s">
        <v>38</v>
      </c>
      <c r="D41" s="30" t="s">
        <v>67</v>
      </c>
      <c r="E41" s="30" t="s">
        <v>105</v>
      </c>
      <c r="F41" s="30" t="s">
        <v>106</v>
      </c>
      <c r="G41" s="30" t="s">
        <v>107</v>
      </c>
      <c r="H41" s="30" t="s">
        <v>68</v>
      </c>
      <c r="I41" s="30" t="s">
        <v>108</v>
      </c>
      <c r="J41" s="30" t="s">
        <v>514</v>
      </c>
      <c r="K41" s="30" t="s">
        <v>66</v>
      </c>
      <c r="L41" s="30" t="s">
        <v>109</v>
      </c>
      <c r="M41" s="30" t="s">
        <v>70</v>
      </c>
      <c r="N41" s="30" t="s">
        <v>72</v>
      </c>
      <c r="O41" s="30" t="s">
        <v>24</v>
      </c>
      <c r="P41" s="30" t="s">
        <v>693</v>
      </c>
      <c r="Q41" s="722" t="s">
        <v>25</v>
      </c>
      <c r="R41" s="998"/>
    </row>
    <row r="42" spans="1:18" s="50" customFormat="1" ht="10.5" customHeight="1" x14ac:dyDescent="0.15">
      <c r="A42" s="755" t="s">
        <v>838</v>
      </c>
      <c r="B42" s="47">
        <v>14337731</v>
      </c>
      <c r="C42" s="48">
        <v>2988696</v>
      </c>
      <c r="D42" s="48">
        <v>45017010</v>
      </c>
      <c r="E42" s="48">
        <v>83352</v>
      </c>
      <c r="F42" s="48">
        <v>7869542</v>
      </c>
      <c r="G42" s="48" t="s">
        <v>839</v>
      </c>
      <c r="H42" s="48">
        <v>7869542</v>
      </c>
      <c r="I42" s="48">
        <v>3016747</v>
      </c>
      <c r="J42" s="48" t="s">
        <v>839</v>
      </c>
      <c r="K42" s="48">
        <v>3016747</v>
      </c>
      <c r="L42" s="48">
        <v>3792241</v>
      </c>
      <c r="M42" s="48">
        <v>1908649</v>
      </c>
      <c r="N42" s="48">
        <v>185818</v>
      </c>
      <c r="O42" s="48">
        <v>1697774</v>
      </c>
      <c r="P42" s="48" t="s">
        <v>839</v>
      </c>
      <c r="Q42" s="48">
        <v>619926</v>
      </c>
      <c r="R42" s="49" t="s">
        <v>457</v>
      </c>
    </row>
    <row r="43" spans="1:18" s="50" customFormat="1" ht="10.5" customHeight="1" x14ac:dyDescent="0.15">
      <c r="A43" s="756" t="s">
        <v>669</v>
      </c>
      <c r="B43" s="50">
        <v>15567254</v>
      </c>
      <c r="C43" s="50">
        <v>3352539</v>
      </c>
      <c r="D43" s="50">
        <v>52366989</v>
      </c>
      <c r="E43" s="50" t="s">
        <v>839</v>
      </c>
      <c r="F43" s="50">
        <v>8915306</v>
      </c>
      <c r="G43" s="50" t="s">
        <v>839</v>
      </c>
      <c r="H43" s="50">
        <v>8915306</v>
      </c>
      <c r="I43" s="50">
        <v>3739047</v>
      </c>
      <c r="J43" s="50">
        <v>47092</v>
      </c>
      <c r="K43" s="50">
        <v>3691955</v>
      </c>
      <c r="L43" s="50">
        <v>2678816</v>
      </c>
      <c r="M43" s="50">
        <v>319147</v>
      </c>
      <c r="N43" s="50">
        <v>158877</v>
      </c>
      <c r="O43" s="50">
        <v>2200792</v>
      </c>
      <c r="P43" s="50" t="s">
        <v>839</v>
      </c>
      <c r="Q43" s="50">
        <v>742099</v>
      </c>
      <c r="R43" s="52" t="s">
        <v>512</v>
      </c>
    </row>
    <row r="44" spans="1:18" s="50" customFormat="1" ht="10.5" customHeight="1" x14ac:dyDescent="0.15">
      <c r="A44" s="756" t="s">
        <v>670</v>
      </c>
      <c r="B44" s="50">
        <v>12371792</v>
      </c>
      <c r="C44" s="50">
        <v>668065</v>
      </c>
      <c r="D44" s="50">
        <v>46298758</v>
      </c>
      <c r="E44" s="50" t="s">
        <v>839</v>
      </c>
      <c r="F44" s="50">
        <v>4942885</v>
      </c>
      <c r="G44" s="50" t="s">
        <v>839</v>
      </c>
      <c r="H44" s="50">
        <v>4942885</v>
      </c>
      <c r="I44" s="50">
        <v>1094794</v>
      </c>
      <c r="J44" s="50" t="s">
        <v>839</v>
      </c>
      <c r="K44" s="50">
        <v>1094794</v>
      </c>
      <c r="L44" s="50">
        <v>2530556</v>
      </c>
      <c r="M44" s="50">
        <v>81102</v>
      </c>
      <c r="N44" s="50" t="s">
        <v>839</v>
      </c>
      <c r="O44" s="50">
        <v>2449454</v>
      </c>
      <c r="P44" s="50" t="s">
        <v>839</v>
      </c>
      <c r="Q44" s="50">
        <v>421459</v>
      </c>
      <c r="R44" s="52" t="s">
        <v>620</v>
      </c>
    </row>
    <row r="45" spans="1:18" s="50" customFormat="1" ht="10.5" customHeight="1" x14ac:dyDescent="0.15">
      <c r="A45" s="756" t="s">
        <v>671</v>
      </c>
      <c r="B45" s="50">
        <v>11301078</v>
      </c>
      <c r="C45" s="50">
        <v>825144</v>
      </c>
      <c r="D45" s="50">
        <v>50636882</v>
      </c>
      <c r="E45" s="50" t="s">
        <v>839</v>
      </c>
      <c r="F45" s="50">
        <v>5183041</v>
      </c>
      <c r="G45" s="50">
        <v>10</v>
      </c>
      <c r="H45" s="50">
        <v>5183031</v>
      </c>
      <c r="I45" s="50">
        <v>469328</v>
      </c>
      <c r="J45" s="50" t="s">
        <v>839</v>
      </c>
      <c r="K45" s="50">
        <v>469328</v>
      </c>
      <c r="L45" s="50">
        <v>2444840</v>
      </c>
      <c r="M45" s="50">
        <v>114870</v>
      </c>
      <c r="N45" s="50" t="s">
        <v>839</v>
      </c>
      <c r="O45" s="50">
        <v>2329652</v>
      </c>
      <c r="P45" s="50">
        <v>318</v>
      </c>
      <c r="Q45" s="50">
        <v>752667</v>
      </c>
      <c r="R45" s="52" t="s">
        <v>672</v>
      </c>
    </row>
    <row r="46" spans="1:18" s="50" customFormat="1" ht="10.5" customHeight="1" x14ac:dyDescent="0.15">
      <c r="A46" s="756" t="s">
        <v>840</v>
      </c>
      <c r="B46" s="50">
        <v>11575819</v>
      </c>
      <c r="C46" s="50">
        <v>1775320</v>
      </c>
      <c r="D46" s="50">
        <v>60196846</v>
      </c>
      <c r="E46" s="50" t="s">
        <v>839</v>
      </c>
      <c r="F46" s="50">
        <v>2062879</v>
      </c>
      <c r="G46" s="50" t="s">
        <v>839</v>
      </c>
      <c r="H46" s="50">
        <v>2062879</v>
      </c>
      <c r="I46" s="50">
        <v>1592968</v>
      </c>
      <c r="J46" s="50" t="s">
        <v>839</v>
      </c>
      <c r="K46" s="50">
        <v>1592968</v>
      </c>
      <c r="L46" s="50">
        <v>3616062</v>
      </c>
      <c r="M46" s="50">
        <v>650033</v>
      </c>
      <c r="N46" s="50" t="s">
        <v>839</v>
      </c>
      <c r="O46" s="50">
        <v>2966029</v>
      </c>
      <c r="P46" s="50" t="s">
        <v>839</v>
      </c>
      <c r="Q46" s="50">
        <v>342064</v>
      </c>
      <c r="R46" s="52" t="s">
        <v>841</v>
      </c>
    </row>
    <row r="47" spans="1:18" s="50" customFormat="1" ht="10.5" customHeight="1" x14ac:dyDescent="0.15">
      <c r="A47" s="787"/>
      <c r="R47" s="52"/>
    </row>
    <row r="48" spans="1:18" s="50" customFormat="1" ht="10.5" customHeight="1" x14ac:dyDescent="0.15">
      <c r="A48" s="756" t="s">
        <v>842</v>
      </c>
      <c r="B48" s="50">
        <v>11599693</v>
      </c>
      <c r="C48" s="50">
        <v>1013381</v>
      </c>
      <c r="D48" s="50">
        <v>54255838</v>
      </c>
      <c r="E48" s="50" t="s">
        <v>839</v>
      </c>
      <c r="F48" s="50">
        <v>5423606</v>
      </c>
      <c r="G48" s="50">
        <v>10</v>
      </c>
      <c r="H48" s="50">
        <v>5423596</v>
      </c>
      <c r="I48" s="50">
        <v>223941</v>
      </c>
      <c r="J48" s="50" t="s">
        <v>839</v>
      </c>
      <c r="K48" s="50">
        <v>223941</v>
      </c>
      <c r="L48" s="50">
        <v>2754558</v>
      </c>
      <c r="M48" s="50">
        <v>361032</v>
      </c>
      <c r="N48" s="50" t="s">
        <v>839</v>
      </c>
      <c r="O48" s="50">
        <v>2393208</v>
      </c>
      <c r="P48" s="50">
        <v>318</v>
      </c>
      <c r="Q48" s="50">
        <v>848745</v>
      </c>
      <c r="R48" s="52" t="s">
        <v>673</v>
      </c>
    </row>
    <row r="49" spans="1:18" s="50" customFormat="1" ht="10.5" customHeight="1" x14ac:dyDescent="0.15">
      <c r="A49" s="756" t="s">
        <v>843</v>
      </c>
      <c r="B49" s="50">
        <v>10177232</v>
      </c>
      <c r="C49" s="50">
        <v>1774357</v>
      </c>
      <c r="D49" s="50">
        <v>60310672</v>
      </c>
      <c r="E49" s="50" t="s">
        <v>839</v>
      </c>
      <c r="F49" s="50">
        <v>624421</v>
      </c>
      <c r="G49" s="50" t="s">
        <v>839</v>
      </c>
      <c r="H49" s="50">
        <v>624421</v>
      </c>
      <c r="I49" s="50">
        <v>2286940</v>
      </c>
      <c r="J49" s="50" t="s">
        <v>839</v>
      </c>
      <c r="K49" s="50">
        <v>2286940</v>
      </c>
      <c r="L49" s="50">
        <v>3005494</v>
      </c>
      <c r="M49" s="50">
        <v>403871</v>
      </c>
      <c r="N49" s="50" t="s">
        <v>839</v>
      </c>
      <c r="O49" s="50">
        <v>2601623</v>
      </c>
      <c r="P49" s="50" t="s">
        <v>839</v>
      </c>
      <c r="Q49" s="50">
        <v>173591</v>
      </c>
      <c r="R49" s="52" t="s">
        <v>844</v>
      </c>
    </row>
    <row r="50" spans="1:18" s="50" customFormat="1" ht="10.5" customHeight="1" x14ac:dyDescent="0.15">
      <c r="A50" s="787"/>
      <c r="R50" s="52"/>
    </row>
    <row r="51" spans="1:18" s="50" customFormat="1" ht="10.5" customHeight="1" x14ac:dyDescent="0.15">
      <c r="A51" s="756" t="s">
        <v>845</v>
      </c>
      <c r="B51" s="50">
        <v>3576644</v>
      </c>
      <c r="C51" s="50">
        <v>397510</v>
      </c>
      <c r="D51" s="50">
        <v>13384504</v>
      </c>
      <c r="E51" s="50" t="s">
        <v>839</v>
      </c>
      <c r="F51" s="50">
        <v>1557334</v>
      </c>
      <c r="G51" s="50" t="s">
        <v>839</v>
      </c>
      <c r="H51" s="50">
        <v>1557334</v>
      </c>
      <c r="I51" s="50" t="s">
        <v>839</v>
      </c>
      <c r="J51" s="50" t="s">
        <v>839</v>
      </c>
      <c r="K51" s="50" t="s">
        <v>839</v>
      </c>
      <c r="L51" s="50">
        <v>918639</v>
      </c>
      <c r="M51" s="50">
        <v>246162</v>
      </c>
      <c r="N51" s="50" t="s">
        <v>839</v>
      </c>
      <c r="O51" s="50">
        <v>672477</v>
      </c>
      <c r="P51" s="50" t="s">
        <v>839</v>
      </c>
      <c r="Q51" s="50">
        <v>168473</v>
      </c>
      <c r="R51" s="52" t="s">
        <v>677</v>
      </c>
    </row>
    <row r="52" spans="1:18" s="50" customFormat="1" ht="10.5" customHeight="1" x14ac:dyDescent="0.15">
      <c r="A52" s="756" t="s">
        <v>674</v>
      </c>
      <c r="B52" s="50">
        <v>2598906</v>
      </c>
      <c r="C52" s="50">
        <v>476883</v>
      </c>
      <c r="D52" s="50">
        <v>14515380</v>
      </c>
      <c r="E52" s="50" t="s">
        <v>839</v>
      </c>
      <c r="F52" s="50">
        <v>505545</v>
      </c>
      <c r="G52" s="50" t="s">
        <v>839</v>
      </c>
      <c r="H52" s="50">
        <v>505545</v>
      </c>
      <c r="I52" s="50">
        <v>160472</v>
      </c>
      <c r="J52" s="50" t="s">
        <v>839</v>
      </c>
      <c r="K52" s="50">
        <v>160472</v>
      </c>
      <c r="L52" s="50">
        <v>1208128</v>
      </c>
      <c r="M52" s="50">
        <v>403871</v>
      </c>
      <c r="N52" s="50" t="s">
        <v>839</v>
      </c>
      <c r="O52" s="50">
        <v>804257</v>
      </c>
      <c r="P52" s="50" t="s">
        <v>839</v>
      </c>
      <c r="Q52" s="50">
        <v>15627</v>
      </c>
      <c r="R52" s="52" t="s">
        <v>89</v>
      </c>
    </row>
    <row r="53" spans="1:18" s="50" customFormat="1" ht="10.5" customHeight="1" x14ac:dyDescent="0.15">
      <c r="A53" s="756" t="s">
        <v>675</v>
      </c>
      <c r="B53" s="50">
        <v>3450905</v>
      </c>
      <c r="C53" s="50">
        <v>519828</v>
      </c>
      <c r="D53" s="50">
        <v>16489570</v>
      </c>
      <c r="E53" s="50" t="s">
        <v>839</v>
      </c>
      <c r="F53" s="50" t="s">
        <v>839</v>
      </c>
      <c r="G53" s="50" t="s">
        <v>839</v>
      </c>
      <c r="H53" s="50" t="s">
        <v>839</v>
      </c>
      <c r="I53" s="50">
        <v>465453</v>
      </c>
      <c r="J53" s="50" t="s">
        <v>839</v>
      </c>
      <c r="K53" s="50">
        <v>465453</v>
      </c>
      <c r="L53" s="50">
        <v>851944</v>
      </c>
      <c r="M53" s="50" t="s">
        <v>839</v>
      </c>
      <c r="N53" s="50" t="s">
        <v>839</v>
      </c>
      <c r="O53" s="50">
        <v>851944</v>
      </c>
      <c r="P53" s="50" t="s">
        <v>839</v>
      </c>
      <c r="Q53" s="50">
        <v>75568</v>
      </c>
      <c r="R53" s="52" t="s">
        <v>90</v>
      </c>
    </row>
    <row r="54" spans="1:18" s="50" customFormat="1" ht="10.5" customHeight="1" x14ac:dyDescent="0.15">
      <c r="A54" s="756" t="s">
        <v>676</v>
      </c>
      <c r="B54" s="50">
        <v>1949364</v>
      </c>
      <c r="C54" s="50">
        <v>381099</v>
      </c>
      <c r="D54" s="50">
        <v>15807392</v>
      </c>
      <c r="E54" s="50" t="s">
        <v>839</v>
      </c>
      <c r="F54" s="50" t="s">
        <v>839</v>
      </c>
      <c r="G54" s="50" t="s">
        <v>839</v>
      </c>
      <c r="H54" s="50" t="s">
        <v>839</v>
      </c>
      <c r="I54" s="50">
        <v>967043</v>
      </c>
      <c r="J54" s="50" t="s">
        <v>839</v>
      </c>
      <c r="K54" s="50">
        <v>967043</v>
      </c>
      <c r="L54" s="50">
        <v>637351</v>
      </c>
      <c r="M54" s="50" t="s">
        <v>839</v>
      </c>
      <c r="N54" s="50" t="s">
        <v>839</v>
      </c>
      <c r="O54" s="50">
        <v>637351</v>
      </c>
      <c r="P54" s="50" t="s">
        <v>839</v>
      </c>
      <c r="Q54" s="50">
        <v>82396</v>
      </c>
      <c r="R54" s="52" t="s">
        <v>91</v>
      </c>
    </row>
    <row r="55" spans="1:18" s="50" customFormat="1" ht="10.5" customHeight="1" x14ac:dyDescent="0.15">
      <c r="A55" s="756" t="s">
        <v>846</v>
      </c>
      <c r="B55" s="50">
        <v>2178057</v>
      </c>
      <c r="C55" s="50">
        <v>396547</v>
      </c>
      <c r="D55" s="50">
        <v>13498330</v>
      </c>
      <c r="E55" s="50" t="s">
        <v>839</v>
      </c>
      <c r="F55" s="50">
        <v>118876</v>
      </c>
      <c r="G55" s="50" t="s">
        <v>839</v>
      </c>
      <c r="H55" s="50">
        <v>118876</v>
      </c>
      <c r="I55" s="50">
        <v>693972</v>
      </c>
      <c r="J55" s="50" t="s">
        <v>839</v>
      </c>
      <c r="K55" s="50">
        <v>693972</v>
      </c>
      <c r="L55" s="50">
        <v>308071</v>
      </c>
      <c r="M55" s="50" t="s">
        <v>839</v>
      </c>
      <c r="N55" s="50" t="s">
        <v>839</v>
      </c>
      <c r="O55" s="50">
        <v>308071</v>
      </c>
      <c r="P55" s="50" t="s">
        <v>839</v>
      </c>
      <c r="Q55" s="50" t="s">
        <v>839</v>
      </c>
      <c r="R55" s="52" t="s">
        <v>847</v>
      </c>
    </row>
    <row r="56" spans="1:18" s="50" customFormat="1" ht="10.5" customHeight="1" x14ac:dyDescent="0.15">
      <c r="A56" s="787"/>
      <c r="R56" s="52"/>
    </row>
    <row r="57" spans="1:18" s="50" customFormat="1" ht="10.5" customHeight="1" x14ac:dyDescent="0.15">
      <c r="A57" s="756" t="s">
        <v>848</v>
      </c>
      <c r="B57" s="50">
        <v>1169600</v>
      </c>
      <c r="C57" s="50">
        <v>79355</v>
      </c>
      <c r="D57" s="50">
        <v>4052584</v>
      </c>
      <c r="E57" s="50" t="s">
        <v>839</v>
      </c>
      <c r="F57" s="50">
        <v>578962</v>
      </c>
      <c r="G57" s="50" t="s">
        <v>839</v>
      </c>
      <c r="H57" s="50">
        <v>578962</v>
      </c>
      <c r="I57" s="50" t="s">
        <v>839</v>
      </c>
      <c r="J57" s="50" t="s">
        <v>839</v>
      </c>
      <c r="K57" s="50" t="s">
        <v>839</v>
      </c>
      <c r="L57" s="50">
        <v>232733</v>
      </c>
      <c r="M57" s="50" t="s">
        <v>839</v>
      </c>
      <c r="N57" s="50" t="s">
        <v>839</v>
      </c>
      <c r="O57" s="50">
        <v>232733</v>
      </c>
      <c r="P57" s="50" t="s">
        <v>839</v>
      </c>
      <c r="Q57" s="50">
        <v>44046</v>
      </c>
      <c r="R57" s="52" t="s">
        <v>689</v>
      </c>
    </row>
    <row r="58" spans="1:18" s="50" customFormat="1" ht="10.5" customHeight="1" x14ac:dyDescent="0.15">
      <c r="A58" s="756" t="s">
        <v>678</v>
      </c>
      <c r="B58" s="50">
        <v>1099112</v>
      </c>
      <c r="C58" s="50">
        <v>79411</v>
      </c>
      <c r="D58" s="50">
        <v>3917366</v>
      </c>
      <c r="E58" s="50" t="s">
        <v>839</v>
      </c>
      <c r="F58" s="50">
        <v>464346</v>
      </c>
      <c r="G58" s="50" t="s">
        <v>839</v>
      </c>
      <c r="H58" s="50">
        <v>464346</v>
      </c>
      <c r="I58" s="50" t="s">
        <v>839</v>
      </c>
      <c r="J58" s="50" t="s">
        <v>839</v>
      </c>
      <c r="K58" s="50" t="s">
        <v>839</v>
      </c>
      <c r="L58" s="50">
        <v>386712</v>
      </c>
      <c r="M58" s="50">
        <v>167580</v>
      </c>
      <c r="N58" s="50" t="s">
        <v>839</v>
      </c>
      <c r="O58" s="50">
        <v>219132</v>
      </c>
      <c r="P58" s="50" t="s">
        <v>839</v>
      </c>
      <c r="Q58" s="50">
        <v>15839</v>
      </c>
      <c r="R58" s="52" t="s">
        <v>77</v>
      </c>
    </row>
    <row r="59" spans="1:18" s="50" customFormat="1" ht="10.5" customHeight="1" x14ac:dyDescent="0.15">
      <c r="A59" s="756" t="s">
        <v>679</v>
      </c>
      <c r="B59" s="50">
        <v>1307932</v>
      </c>
      <c r="C59" s="50">
        <v>238744</v>
      </c>
      <c r="D59" s="50">
        <v>5414554</v>
      </c>
      <c r="E59" s="50" t="s">
        <v>839</v>
      </c>
      <c r="F59" s="50">
        <v>514026</v>
      </c>
      <c r="G59" s="50" t="s">
        <v>839</v>
      </c>
      <c r="H59" s="50">
        <v>514026</v>
      </c>
      <c r="I59" s="50" t="s">
        <v>839</v>
      </c>
      <c r="J59" s="50" t="s">
        <v>839</v>
      </c>
      <c r="K59" s="50" t="s">
        <v>839</v>
      </c>
      <c r="L59" s="50">
        <v>299194</v>
      </c>
      <c r="M59" s="50">
        <v>78582</v>
      </c>
      <c r="N59" s="50" t="s">
        <v>839</v>
      </c>
      <c r="O59" s="50">
        <v>220612</v>
      </c>
      <c r="P59" s="50" t="s">
        <v>839</v>
      </c>
      <c r="Q59" s="50">
        <v>108588</v>
      </c>
      <c r="R59" s="52" t="s">
        <v>78</v>
      </c>
    </row>
    <row r="60" spans="1:18" s="50" customFormat="1" ht="10.5" customHeight="1" x14ac:dyDescent="0.15">
      <c r="A60" s="756" t="s">
        <v>680</v>
      </c>
      <c r="B60" s="50">
        <v>989682</v>
      </c>
      <c r="C60" s="50">
        <v>238857</v>
      </c>
      <c r="D60" s="50">
        <v>4457750</v>
      </c>
      <c r="E60" s="50" t="s">
        <v>839</v>
      </c>
      <c r="F60" s="50">
        <v>402077</v>
      </c>
      <c r="G60" s="50" t="s">
        <v>839</v>
      </c>
      <c r="H60" s="50">
        <v>402077</v>
      </c>
      <c r="I60" s="50" t="s">
        <v>839</v>
      </c>
      <c r="J60" s="50" t="s">
        <v>839</v>
      </c>
      <c r="K60" s="50" t="s">
        <v>839</v>
      </c>
      <c r="L60" s="50">
        <v>339412</v>
      </c>
      <c r="M60" s="50">
        <v>78155</v>
      </c>
      <c r="N60" s="50" t="s">
        <v>839</v>
      </c>
      <c r="O60" s="50">
        <v>261257</v>
      </c>
      <c r="P60" s="50" t="s">
        <v>839</v>
      </c>
      <c r="Q60" s="50">
        <v>15627</v>
      </c>
      <c r="R60" s="52" t="s">
        <v>79</v>
      </c>
    </row>
    <row r="61" spans="1:18" s="50" customFormat="1" ht="10.5" customHeight="1" x14ac:dyDescent="0.15">
      <c r="A61" s="756" t="s">
        <v>681</v>
      </c>
      <c r="B61" s="50">
        <v>882539</v>
      </c>
      <c r="C61" s="50">
        <v>238026</v>
      </c>
      <c r="D61" s="50">
        <v>5748201</v>
      </c>
      <c r="E61" s="50" t="s">
        <v>839</v>
      </c>
      <c r="F61" s="50">
        <v>103468</v>
      </c>
      <c r="G61" s="50" t="s">
        <v>839</v>
      </c>
      <c r="H61" s="50">
        <v>103468</v>
      </c>
      <c r="I61" s="50" t="s">
        <v>839</v>
      </c>
      <c r="J61" s="50" t="s">
        <v>839</v>
      </c>
      <c r="K61" s="50" t="s">
        <v>839</v>
      </c>
      <c r="L61" s="50">
        <v>481384</v>
      </c>
      <c r="M61" s="50">
        <v>157285</v>
      </c>
      <c r="N61" s="50" t="s">
        <v>839</v>
      </c>
      <c r="O61" s="50">
        <v>324099</v>
      </c>
      <c r="P61" s="50" t="s">
        <v>839</v>
      </c>
      <c r="Q61" s="50" t="s">
        <v>839</v>
      </c>
      <c r="R61" s="53" t="s">
        <v>92</v>
      </c>
    </row>
    <row r="62" spans="1:18" s="50" customFormat="1" ht="10.5" customHeight="1" x14ac:dyDescent="0.15">
      <c r="A62" s="756" t="s">
        <v>682</v>
      </c>
      <c r="B62" s="50">
        <v>726685</v>
      </c>
      <c r="C62" s="50" t="s">
        <v>839</v>
      </c>
      <c r="D62" s="50">
        <v>4309429</v>
      </c>
      <c r="E62" s="50" t="s">
        <v>839</v>
      </c>
      <c r="F62" s="50" t="s">
        <v>839</v>
      </c>
      <c r="G62" s="50" t="s">
        <v>839</v>
      </c>
      <c r="H62" s="50" t="s">
        <v>839</v>
      </c>
      <c r="I62" s="50">
        <v>160472</v>
      </c>
      <c r="J62" s="50" t="s">
        <v>839</v>
      </c>
      <c r="K62" s="50">
        <v>160472</v>
      </c>
      <c r="L62" s="50">
        <v>387332</v>
      </c>
      <c r="M62" s="50">
        <v>168431</v>
      </c>
      <c r="N62" s="50" t="s">
        <v>839</v>
      </c>
      <c r="O62" s="50">
        <v>218901</v>
      </c>
      <c r="P62" s="50" t="s">
        <v>839</v>
      </c>
      <c r="Q62" s="50" t="s">
        <v>839</v>
      </c>
      <c r="R62" s="52" t="s">
        <v>93</v>
      </c>
    </row>
    <row r="63" spans="1:18" s="50" customFormat="1" ht="10.5" customHeight="1" x14ac:dyDescent="0.15">
      <c r="A63" s="756" t="s">
        <v>683</v>
      </c>
      <c r="B63" s="50">
        <v>1168271</v>
      </c>
      <c r="C63" s="50">
        <v>158789</v>
      </c>
      <c r="D63" s="50">
        <v>5404690</v>
      </c>
      <c r="E63" s="50" t="s">
        <v>839</v>
      </c>
      <c r="F63" s="50" t="s">
        <v>839</v>
      </c>
      <c r="G63" s="50" t="s">
        <v>839</v>
      </c>
      <c r="H63" s="50" t="s">
        <v>839</v>
      </c>
      <c r="I63" s="50" t="s">
        <v>839</v>
      </c>
      <c r="J63" s="50" t="s">
        <v>839</v>
      </c>
      <c r="K63" s="50" t="s">
        <v>839</v>
      </c>
      <c r="L63" s="50">
        <v>230113</v>
      </c>
      <c r="M63" s="50" t="s">
        <v>839</v>
      </c>
      <c r="N63" s="50" t="s">
        <v>839</v>
      </c>
      <c r="O63" s="50">
        <v>230113</v>
      </c>
      <c r="P63" s="50" t="s">
        <v>839</v>
      </c>
      <c r="Q63" s="50" t="s">
        <v>839</v>
      </c>
      <c r="R63" s="52" t="s">
        <v>94</v>
      </c>
    </row>
    <row r="64" spans="1:18" s="50" customFormat="1" ht="10.5" customHeight="1" x14ac:dyDescent="0.15">
      <c r="A64" s="756" t="s">
        <v>684</v>
      </c>
      <c r="B64" s="50">
        <v>1086870</v>
      </c>
      <c r="C64" s="50">
        <v>205337</v>
      </c>
      <c r="D64" s="50">
        <v>5171708</v>
      </c>
      <c r="E64" s="50" t="s">
        <v>839</v>
      </c>
      <c r="F64" s="50" t="s">
        <v>839</v>
      </c>
      <c r="G64" s="50" t="s">
        <v>839</v>
      </c>
      <c r="H64" s="50" t="s">
        <v>839</v>
      </c>
      <c r="I64" s="50">
        <v>398109</v>
      </c>
      <c r="J64" s="50" t="s">
        <v>839</v>
      </c>
      <c r="K64" s="50">
        <v>398109</v>
      </c>
      <c r="L64" s="50">
        <v>358677</v>
      </c>
      <c r="M64" s="50" t="s">
        <v>839</v>
      </c>
      <c r="N64" s="50" t="s">
        <v>839</v>
      </c>
      <c r="O64" s="50">
        <v>358677</v>
      </c>
      <c r="P64" s="50" t="s">
        <v>839</v>
      </c>
      <c r="Q64" s="50" t="s">
        <v>839</v>
      </c>
      <c r="R64" s="52" t="s">
        <v>95</v>
      </c>
    </row>
    <row r="65" spans="1:18" s="50" customFormat="1" ht="10.5" customHeight="1" x14ac:dyDescent="0.15">
      <c r="A65" s="756" t="s">
        <v>685</v>
      </c>
      <c r="B65" s="50">
        <v>1195764</v>
      </c>
      <c r="C65" s="50">
        <v>155702</v>
      </c>
      <c r="D65" s="50">
        <v>5913172</v>
      </c>
      <c r="E65" s="50" t="s">
        <v>839</v>
      </c>
      <c r="F65" s="50" t="s">
        <v>839</v>
      </c>
      <c r="G65" s="50" t="s">
        <v>839</v>
      </c>
      <c r="H65" s="50" t="s">
        <v>839</v>
      </c>
      <c r="I65" s="50">
        <v>67344</v>
      </c>
      <c r="J65" s="50" t="s">
        <v>839</v>
      </c>
      <c r="K65" s="50">
        <v>67344</v>
      </c>
      <c r="L65" s="50">
        <v>263154</v>
      </c>
      <c r="M65" s="50" t="s">
        <v>839</v>
      </c>
      <c r="N65" s="50" t="s">
        <v>839</v>
      </c>
      <c r="O65" s="50">
        <v>263154</v>
      </c>
      <c r="P65" s="50" t="s">
        <v>839</v>
      </c>
      <c r="Q65" s="50">
        <v>75568</v>
      </c>
      <c r="R65" s="52" t="s">
        <v>96</v>
      </c>
    </row>
    <row r="66" spans="1:18" s="50" customFormat="1" ht="10.5" customHeight="1" x14ac:dyDescent="0.15">
      <c r="A66" s="756" t="s">
        <v>686</v>
      </c>
      <c r="B66" s="50">
        <v>703139</v>
      </c>
      <c r="C66" s="50">
        <v>146522</v>
      </c>
      <c r="D66" s="50">
        <v>5385910</v>
      </c>
      <c r="E66" s="50" t="s">
        <v>839</v>
      </c>
      <c r="F66" s="50" t="s">
        <v>839</v>
      </c>
      <c r="G66" s="50" t="s">
        <v>839</v>
      </c>
      <c r="H66" s="50" t="s">
        <v>839</v>
      </c>
      <c r="I66" s="50">
        <v>381507</v>
      </c>
      <c r="J66" s="50" t="s">
        <v>839</v>
      </c>
      <c r="K66" s="50">
        <v>381507</v>
      </c>
      <c r="L66" s="50">
        <v>106894</v>
      </c>
      <c r="M66" s="50" t="s">
        <v>839</v>
      </c>
      <c r="N66" s="50" t="s">
        <v>839</v>
      </c>
      <c r="O66" s="50">
        <v>106894</v>
      </c>
      <c r="P66" s="50" t="s">
        <v>839</v>
      </c>
      <c r="Q66" s="50">
        <v>82396</v>
      </c>
      <c r="R66" s="52" t="s">
        <v>80</v>
      </c>
    </row>
    <row r="67" spans="1:18" s="50" customFormat="1" ht="10.5" customHeight="1" x14ac:dyDescent="0.15">
      <c r="A67" s="756" t="s">
        <v>687</v>
      </c>
      <c r="B67" s="50">
        <v>618437</v>
      </c>
      <c r="C67" s="50">
        <v>158600</v>
      </c>
      <c r="D67" s="50">
        <v>5107862</v>
      </c>
      <c r="E67" s="50" t="s">
        <v>839</v>
      </c>
      <c r="F67" s="50" t="s">
        <v>839</v>
      </c>
      <c r="G67" s="50" t="s">
        <v>839</v>
      </c>
      <c r="H67" s="50" t="s">
        <v>839</v>
      </c>
      <c r="I67" s="50" t="s">
        <v>839</v>
      </c>
      <c r="J67" s="50" t="s">
        <v>839</v>
      </c>
      <c r="K67" s="50" t="s">
        <v>839</v>
      </c>
      <c r="L67" s="50">
        <v>326941</v>
      </c>
      <c r="M67" s="50" t="s">
        <v>839</v>
      </c>
      <c r="N67" s="50" t="s">
        <v>839</v>
      </c>
      <c r="O67" s="50">
        <v>326941</v>
      </c>
      <c r="P67" s="50" t="s">
        <v>839</v>
      </c>
      <c r="Q67" s="50" t="s">
        <v>839</v>
      </c>
      <c r="R67" s="52" t="s">
        <v>81</v>
      </c>
    </row>
    <row r="68" spans="1:18" s="50" customFormat="1" ht="10.5" customHeight="1" x14ac:dyDescent="0.15">
      <c r="A68" s="756" t="s">
        <v>688</v>
      </c>
      <c r="B68" s="50">
        <v>627788</v>
      </c>
      <c r="C68" s="50">
        <v>75977</v>
      </c>
      <c r="D68" s="50">
        <v>5313620</v>
      </c>
      <c r="E68" s="50" t="s">
        <v>839</v>
      </c>
      <c r="F68" s="50" t="s">
        <v>839</v>
      </c>
      <c r="G68" s="50" t="s">
        <v>839</v>
      </c>
      <c r="H68" s="50" t="s">
        <v>839</v>
      </c>
      <c r="I68" s="50">
        <v>585536</v>
      </c>
      <c r="J68" s="50" t="s">
        <v>839</v>
      </c>
      <c r="K68" s="50">
        <v>585536</v>
      </c>
      <c r="L68" s="50">
        <v>203516</v>
      </c>
      <c r="M68" s="50" t="s">
        <v>839</v>
      </c>
      <c r="N68" s="50" t="s">
        <v>839</v>
      </c>
      <c r="O68" s="50">
        <v>203516</v>
      </c>
      <c r="P68" s="50" t="s">
        <v>839</v>
      </c>
      <c r="Q68" s="50" t="s">
        <v>839</v>
      </c>
      <c r="R68" s="52" t="s">
        <v>82</v>
      </c>
    </row>
    <row r="69" spans="1:18" s="50" customFormat="1" ht="10.5" customHeight="1" x14ac:dyDescent="0.15">
      <c r="A69" s="756" t="s">
        <v>849</v>
      </c>
      <c r="B69" s="50">
        <v>616047</v>
      </c>
      <c r="C69" s="50">
        <v>158774</v>
      </c>
      <c r="D69" s="50">
        <v>4587839</v>
      </c>
      <c r="E69" s="50" t="s">
        <v>839</v>
      </c>
      <c r="F69" s="50">
        <v>118876</v>
      </c>
      <c r="G69" s="50" t="s">
        <v>839</v>
      </c>
      <c r="H69" s="50">
        <v>118876</v>
      </c>
      <c r="I69" s="50">
        <v>350631</v>
      </c>
      <c r="J69" s="50" t="s">
        <v>839</v>
      </c>
      <c r="K69" s="50">
        <v>350631</v>
      </c>
      <c r="L69" s="50">
        <v>210346</v>
      </c>
      <c r="M69" s="50" t="s">
        <v>839</v>
      </c>
      <c r="N69" s="50" t="s">
        <v>839</v>
      </c>
      <c r="O69" s="50">
        <v>210346</v>
      </c>
      <c r="P69" s="50" t="s">
        <v>839</v>
      </c>
      <c r="Q69" s="50" t="s">
        <v>839</v>
      </c>
      <c r="R69" s="52" t="s">
        <v>850</v>
      </c>
    </row>
    <row r="70" spans="1:18" s="50" customFormat="1" ht="10.5" customHeight="1" x14ac:dyDescent="0.15">
      <c r="A70" s="756" t="s">
        <v>690</v>
      </c>
      <c r="B70" s="50">
        <v>791732</v>
      </c>
      <c r="C70" s="50">
        <v>237773</v>
      </c>
      <c r="D70" s="50">
        <v>4172743</v>
      </c>
      <c r="E70" s="50" t="s">
        <v>839</v>
      </c>
      <c r="F70" s="50" t="s">
        <v>839</v>
      </c>
      <c r="G70" s="50" t="s">
        <v>839</v>
      </c>
      <c r="H70" s="50" t="s">
        <v>839</v>
      </c>
      <c r="I70" s="50">
        <v>128460</v>
      </c>
      <c r="J70" s="50" t="s">
        <v>839</v>
      </c>
      <c r="K70" s="50">
        <v>128460</v>
      </c>
      <c r="L70" s="50" t="s">
        <v>839</v>
      </c>
      <c r="M70" s="50" t="s">
        <v>839</v>
      </c>
      <c r="N70" s="50" t="s">
        <v>839</v>
      </c>
      <c r="O70" s="50" t="s">
        <v>839</v>
      </c>
      <c r="P70" s="50" t="s">
        <v>839</v>
      </c>
      <c r="Q70" s="50" t="s">
        <v>839</v>
      </c>
      <c r="R70" s="52" t="s">
        <v>77</v>
      </c>
    </row>
    <row r="71" spans="1:18" s="50" customFormat="1" ht="10.5" customHeight="1" x14ac:dyDescent="0.15">
      <c r="A71" s="757" t="s">
        <v>691</v>
      </c>
      <c r="B71" s="54">
        <v>770278</v>
      </c>
      <c r="C71" s="55" t="s">
        <v>839</v>
      </c>
      <c r="D71" s="55">
        <v>4737748</v>
      </c>
      <c r="E71" s="55" t="s">
        <v>839</v>
      </c>
      <c r="F71" s="55" t="s">
        <v>839</v>
      </c>
      <c r="G71" s="55" t="s">
        <v>839</v>
      </c>
      <c r="H71" s="55" t="s">
        <v>839</v>
      </c>
      <c r="I71" s="55">
        <v>214881</v>
      </c>
      <c r="J71" s="55" t="s">
        <v>839</v>
      </c>
      <c r="K71" s="55">
        <v>214881</v>
      </c>
      <c r="L71" s="55">
        <v>97725</v>
      </c>
      <c r="M71" s="55" t="s">
        <v>839</v>
      </c>
      <c r="N71" s="55" t="s">
        <v>839</v>
      </c>
      <c r="O71" s="55">
        <v>97725</v>
      </c>
      <c r="P71" s="55" t="s">
        <v>839</v>
      </c>
      <c r="Q71" s="55" t="s">
        <v>839</v>
      </c>
      <c r="R71" s="56" t="s">
        <v>78</v>
      </c>
    </row>
    <row r="72" spans="1:18" ht="9" customHeight="1" x14ac:dyDescent="0.25"/>
    <row r="73" spans="1:18" ht="13.5" customHeight="1" x14ac:dyDescent="0.25">
      <c r="I73" s="31" t="s">
        <v>97</v>
      </c>
      <c r="M73" s="29" t="s">
        <v>76</v>
      </c>
    </row>
    <row r="74" spans="1:18" s="43" customFormat="1" ht="15" customHeight="1" x14ac:dyDescent="0.15">
      <c r="A74" s="39"/>
      <c r="B74" s="57" t="s">
        <v>308</v>
      </c>
      <c r="C74" s="42"/>
      <c r="D74" s="42"/>
      <c r="E74" s="42"/>
      <c r="F74" s="42"/>
      <c r="G74" s="42"/>
      <c r="H74" s="42"/>
      <c r="I74" s="39"/>
      <c r="J74" s="41"/>
      <c r="K74" s="42"/>
      <c r="L74" s="39"/>
      <c r="M74" s="996" t="s">
        <v>83</v>
      </c>
    </row>
    <row r="75" spans="1:18" s="46" customFormat="1" ht="22.5" customHeight="1" x14ac:dyDescent="0.15">
      <c r="A75" s="44" t="s">
        <v>185</v>
      </c>
      <c r="B75" s="35" t="s">
        <v>111</v>
      </c>
      <c r="C75" s="35" t="s">
        <v>112</v>
      </c>
      <c r="D75" s="35" t="s">
        <v>16</v>
      </c>
      <c r="E75" s="35" t="s">
        <v>515</v>
      </c>
      <c r="F75" s="35" t="s">
        <v>17</v>
      </c>
      <c r="G75" s="35" t="s">
        <v>18</v>
      </c>
      <c r="H75" s="35" t="s">
        <v>458</v>
      </c>
      <c r="I75" s="35" t="s">
        <v>440</v>
      </c>
      <c r="J75" s="37" t="s">
        <v>113</v>
      </c>
      <c r="K75" s="35" t="s">
        <v>62</v>
      </c>
      <c r="L75" s="35" t="s">
        <v>117</v>
      </c>
      <c r="M75" s="997"/>
    </row>
    <row r="76" spans="1:18" s="46" customFormat="1" ht="30" customHeight="1" x14ac:dyDescent="0.15">
      <c r="A76" s="36"/>
      <c r="B76" s="30" t="s">
        <v>114</v>
      </c>
      <c r="C76" s="30" t="s">
        <v>115</v>
      </c>
      <c r="D76" s="30" t="s">
        <v>26</v>
      </c>
      <c r="E76" s="30" t="s">
        <v>516</v>
      </c>
      <c r="F76" s="30" t="s">
        <v>27</v>
      </c>
      <c r="G76" s="30" t="s">
        <v>28</v>
      </c>
      <c r="H76" s="30" t="s">
        <v>459</v>
      </c>
      <c r="I76" s="30" t="s">
        <v>441</v>
      </c>
      <c r="J76" s="30" t="s">
        <v>55</v>
      </c>
      <c r="K76" s="30" t="s">
        <v>56</v>
      </c>
      <c r="L76" s="30" t="s">
        <v>118</v>
      </c>
      <c r="M76" s="998"/>
    </row>
    <row r="77" spans="1:18" s="50" customFormat="1" ht="10.5" customHeight="1" x14ac:dyDescent="0.15">
      <c r="A77" s="755" t="s">
        <v>838</v>
      </c>
      <c r="B77" s="47">
        <v>202159</v>
      </c>
      <c r="C77" s="48" t="s">
        <v>839</v>
      </c>
      <c r="D77" s="48" t="s">
        <v>839</v>
      </c>
      <c r="E77" s="48" t="s">
        <v>839</v>
      </c>
      <c r="F77" s="48" t="s">
        <v>839</v>
      </c>
      <c r="G77" s="48">
        <v>387291</v>
      </c>
      <c r="H77" s="48">
        <v>11619</v>
      </c>
      <c r="I77" s="48">
        <v>18857</v>
      </c>
      <c r="J77" s="48">
        <v>608085</v>
      </c>
      <c r="K77" s="48">
        <v>579012</v>
      </c>
      <c r="L77" s="58">
        <v>29073</v>
      </c>
      <c r="M77" s="49" t="s">
        <v>457</v>
      </c>
    </row>
    <row r="78" spans="1:18" s="50" customFormat="1" ht="10.5" customHeight="1" x14ac:dyDescent="0.15">
      <c r="A78" s="756" t="s">
        <v>669</v>
      </c>
      <c r="B78" s="50">
        <v>498520</v>
      </c>
      <c r="C78" s="50" t="s">
        <v>839</v>
      </c>
      <c r="D78" s="50" t="s">
        <v>839</v>
      </c>
      <c r="E78" s="50">
        <v>58730</v>
      </c>
      <c r="F78" s="50">
        <v>41986</v>
      </c>
      <c r="G78" s="50">
        <v>142863</v>
      </c>
      <c r="H78" s="50" t="s">
        <v>839</v>
      </c>
      <c r="I78" s="50" t="s">
        <v>839</v>
      </c>
      <c r="J78" s="50">
        <v>450273</v>
      </c>
      <c r="K78" s="50">
        <v>416430</v>
      </c>
      <c r="L78" s="59">
        <v>33843</v>
      </c>
      <c r="M78" s="52" t="s">
        <v>512</v>
      </c>
    </row>
    <row r="79" spans="1:18" s="50" customFormat="1" ht="10.5" customHeight="1" x14ac:dyDescent="0.15">
      <c r="A79" s="756" t="s">
        <v>670</v>
      </c>
      <c r="B79" s="50">
        <v>369843</v>
      </c>
      <c r="C79" s="50">
        <v>51616</v>
      </c>
      <c r="D79" s="50" t="s">
        <v>839</v>
      </c>
      <c r="E79" s="50" t="s">
        <v>839</v>
      </c>
      <c r="F79" s="50" t="s">
        <v>839</v>
      </c>
      <c r="G79" s="50" t="s">
        <v>839</v>
      </c>
      <c r="H79" s="50" t="s">
        <v>839</v>
      </c>
      <c r="I79" s="50" t="s">
        <v>839</v>
      </c>
      <c r="J79" s="50">
        <v>359911</v>
      </c>
      <c r="K79" s="50">
        <v>313145</v>
      </c>
      <c r="L79" s="59">
        <v>46766</v>
      </c>
      <c r="M79" s="52" t="s">
        <v>620</v>
      </c>
    </row>
    <row r="80" spans="1:18" s="50" customFormat="1" ht="10.5" customHeight="1" x14ac:dyDescent="0.15">
      <c r="A80" s="756" t="s">
        <v>671</v>
      </c>
      <c r="B80" s="50">
        <v>498527</v>
      </c>
      <c r="C80" s="50">
        <v>67609</v>
      </c>
      <c r="D80" s="50">
        <v>151524</v>
      </c>
      <c r="E80" s="50" t="s">
        <v>839</v>
      </c>
      <c r="F80" s="50" t="s">
        <v>839</v>
      </c>
      <c r="G80" s="50" t="s">
        <v>839</v>
      </c>
      <c r="H80" s="50" t="s">
        <v>839</v>
      </c>
      <c r="I80" s="50">
        <v>35007</v>
      </c>
      <c r="J80" s="50">
        <v>333763</v>
      </c>
      <c r="K80" s="50">
        <v>259648</v>
      </c>
      <c r="L80" s="59">
        <v>74115</v>
      </c>
      <c r="M80" s="52" t="s">
        <v>672</v>
      </c>
    </row>
    <row r="81" spans="1:13" s="50" customFormat="1" ht="10.5" customHeight="1" x14ac:dyDescent="0.15">
      <c r="A81" s="756" t="s">
        <v>840</v>
      </c>
      <c r="B81" s="50">
        <v>86900</v>
      </c>
      <c r="C81" s="50" t="s">
        <v>839</v>
      </c>
      <c r="D81" s="50">
        <v>97200</v>
      </c>
      <c r="E81" s="50" t="s">
        <v>839</v>
      </c>
      <c r="F81" s="50" t="s">
        <v>839</v>
      </c>
      <c r="G81" s="50">
        <v>157964</v>
      </c>
      <c r="H81" s="50" t="s">
        <v>839</v>
      </c>
      <c r="I81" s="50" t="s">
        <v>839</v>
      </c>
      <c r="J81" s="50">
        <v>393846</v>
      </c>
      <c r="K81" s="50">
        <v>363482</v>
      </c>
      <c r="L81" s="59">
        <v>30364</v>
      </c>
      <c r="M81" s="52" t="s">
        <v>841</v>
      </c>
    </row>
    <row r="82" spans="1:13" s="50" customFormat="1" ht="10.5" customHeight="1" x14ac:dyDescent="0.15">
      <c r="A82" s="787"/>
      <c r="L82" s="59"/>
      <c r="M82" s="52"/>
    </row>
    <row r="83" spans="1:13" s="50" customFormat="1" ht="10.5" customHeight="1" x14ac:dyDescent="0.15">
      <c r="A83" s="756" t="s">
        <v>842</v>
      </c>
      <c r="B83" s="50">
        <v>497405</v>
      </c>
      <c r="C83" s="50">
        <v>67609</v>
      </c>
      <c r="D83" s="50">
        <v>248724</v>
      </c>
      <c r="E83" s="50" t="s">
        <v>839</v>
      </c>
      <c r="F83" s="50" t="s">
        <v>839</v>
      </c>
      <c r="G83" s="50" t="s">
        <v>839</v>
      </c>
      <c r="H83" s="50" t="s">
        <v>839</v>
      </c>
      <c r="I83" s="50">
        <v>35007</v>
      </c>
      <c r="J83" s="50">
        <v>402503</v>
      </c>
      <c r="K83" s="50">
        <v>331954</v>
      </c>
      <c r="L83" s="59">
        <v>70549</v>
      </c>
      <c r="M83" s="52" t="s">
        <v>673</v>
      </c>
    </row>
    <row r="84" spans="1:13" s="50" customFormat="1" ht="10.5" customHeight="1" x14ac:dyDescent="0.15">
      <c r="A84" s="756" t="s">
        <v>843</v>
      </c>
      <c r="B84" s="50">
        <v>15627</v>
      </c>
      <c r="C84" s="50" t="s">
        <v>839</v>
      </c>
      <c r="D84" s="50" t="s">
        <v>839</v>
      </c>
      <c r="E84" s="50" t="s">
        <v>839</v>
      </c>
      <c r="F84" s="50" t="s">
        <v>839</v>
      </c>
      <c r="G84" s="50">
        <v>157964</v>
      </c>
      <c r="H84" s="50" t="s">
        <v>839</v>
      </c>
      <c r="I84" s="50" t="s">
        <v>839</v>
      </c>
      <c r="J84" s="50">
        <v>294455</v>
      </c>
      <c r="K84" s="50">
        <v>275845</v>
      </c>
      <c r="L84" s="59">
        <v>18610</v>
      </c>
      <c r="M84" s="52" t="s">
        <v>844</v>
      </c>
    </row>
    <row r="85" spans="1:13" s="50" customFormat="1" ht="10.5" customHeight="1" x14ac:dyDescent="0.15">
      <c r="A85" s="787"/>
      <c r="L85" s="59"/>
      <c r="M85" s="52"/>
    </row>
    <row r="86" spans="1:13" s="50" customFormat="1" ht="10.5" customHeight="1" x14ac:dyDescent="0.15">
      <c r="A86" s="756" t="s">
        <v>845</v>
      </c>
      <c r="B86" s="50">
        <v>71273</v>
      </c>
      <c r="C86" s="50" t="s">
        <v>839</v>
      </c>
      <c r="D86" s="50">
        <v>97200</v>
      </c>
      <c r="E86" s="50" t="s">
        <v>839</v>
      </c>
      <c r="F86" s="50" t="s">
        <v>839</v>
      </c>
      <c r="G86" s="50" t="s">
        <v>839</v>
      </c>
      <c r="H86" s="50" t="s">
        <v>839</v>
      </c>
      <c r="I86" s="50" t="s">
        <v>839</v>
      </c>
      <c r="J86" s="50">
        <v>136356</v>
      </c>
      <c r="K86" s="50">
        <v>124602</v>
      </c>
      <c r="L86" s="59">
        <v>11754</v>
      </c>
      <c r="M86" s="52" t="s">
        <v>677</v>
      </c>
    </row>
    <row r="87" spans="1:13" s="50" customFormat="1" ht="10.5" customHeight="1" x14ac:dyDescent="0.15">
      <c r="A87" s="756" t="s">
        <v>674</v>
      </c>
      <c r="B87" s="50">
        <v>15627</v>
      </c>
      <c r="C87" s="50" t="s">
        <v>839</v>
      </c>
      <c r="D87" s="50" t="s">
        <v>839</v>
      </c>
      <c r="E87" s="50" t="s">
        <v>839</v>
      </c>
      <c r="F87" s="50" t="s">
        <v>839</v>
      </c>
      <c r="G87" s="50" t="s">
        <v>839</v>
      </c>
      <c r="H87" s="50" t="s">
        <v>839</v>
      </c>
      <c r="I87" s="50" t="s">
        <v>839</v>
      </c>
      <c r="J87" s="50">
        <v>117822</v>
      </c>
      <c r="K87" s="50">
        <v>99212</v>
      </c>
      <c r="L87" s="59">
        <v>18610</v>
      </c>
      <c r="M87" s="52" t="s">
        <v>89</v>
      </c>
    </row>
    <row r="88" spans="1:13" s="50" customFormat="1" ht="10.5" customHeight="1" x14ac:dyDescent="0.15">
      <c r="A88" s="756" t="s">
        <v>675</v>
      </c>
      <c r="B88" s="50" t="s">
        <v>839</v>
      </c>
      <c r="C88" s="50" t="s">
        <v>839</v>
      </c>
      <c r="D88" s="50" t="s">
        <v>839</v>
      </c>
      <c r="E88" s="50" t="s">
        <v>839</v>
      </c>
      <c r="F88" s="50" t="s">
        <v>839</v>
      </c>
      <c r="G88" s="50">
        <v>75568</v>
      </c>
      <c r="H88" s="50" t="s">
        <v>839</v>
      </c>
      <c r="I88" s="50" t="s">
        <v>839</v>
      </c>
      <c r="J88" s="50">
        <v>40000</v>
      </c>
      <c r="K88" s="50">
        <v>40000</v>
      </c>
      <c r="L88" s="59" t="s">
        <v>839</v>
      </c>
      <c r="M88" s="52" t="s">
        <v>90</v>
      </c>
    </row>
    <row r="89" spans="1:13" s="50" customFormat="1" ht="10.5" customHeight="1" x14ac:dyDescent="0.15">
      <c r="A89" s="756" t="s">
        <v>676</v>
      </c>
      <c r="B89" s="50" t="s">
        <v>839</v>
      </c>
      <c r="C89" s="50" t="s">
        <v>839</v>
      </c>
      <c r="D89" s="50" t="s">
        <v>839</v>
      </c>
      <c r="E89" s="50" t="s">
        <v>839</v>
      </c>
      <c r="F89" s="50" t="s">
        <v>839</v>
      </c>
      <c r="G89" s="50">
        <v>82396</v>
      </c>
      <c r="H89" s="50" t="s">
        <v>839</v>
      </c>
      <c r="I89" s="50" t="s">
        <v>839</v>
      </c>
      <c r="J89" s="50">
        <v>99668</v>
      </c>
      <c r="K89" s="50">
        <v>99668</v>
      </c>
      <c r="L89" s="59" t="s">
        <v>839</v>
      </c>
      <c r="M89" s="52" t="s">
        <v>91</v>
      </c>
    </row>
    <row r="90" spans="1:13" s="50" customFormat="1" ht="10.5" customHeight="1" x14ac:dyDescent="0.15">
      <c r="A90" s="756" t="s">
        <v>846</v>
      </c>
      <c r="B90" s="50" t="s">
        <v>839</v>
      </c>
      <c r="C90" s="50" t="s">
        <v>839</v>
      </c>
      <c r="D90" s="50" t="s">
        <v>839</v>
      </c>
      <c r="E90" s="50" t="s">
        <v>839</v>
      </c>
      <c r="F90" s="50" t="s">
        <v>839</v>
      </c>
      <c r="G90" s="50" t="s">
        <v>839</v>
      </c>
      <c r="H90" s="50" t="s">
        <v>839</v>
      </c>
      <c r="I90" s="50" t="s">
        <v>839</v>
      </c>
      <c r="J90" s="50">
        <v>36965</v>
      </c>
      <c r="K90" s="50">
        <v>36965</v>
      </c>
      <c r="L90" s="59" t="s">
        <v>839</v>
      </c>
      <c r="M90" s="52" t="s">
        <v>847</v>
      </c>
    </row>
    <row r="91" spans="1:13" s="50" customFormat="1" ht="10.5" customHeight="1" x14ac:dyDescent="0.15">
      <c r="A91" s="787"/>
      <c r="L91" s="59"/>
      <c r="M91" s="52"/>
    </row>
    <row r="92" spans="1:13" s="50" customFormat="1" ht="10.5" customHeight="1" x14ac:dyDescent="0.15">
      <c r="A92" s="756" t="s">
        <v>848</v>
      </c>
      <c r="B92" s="50" t="s">
        <v>839</v>
      </c>
      <c r="C92" s="50" t="s">
        <v>839</v>
      </c>
      <c r="D92" s="50">
        <v>44046</v>
      </c>
      <c r="E92" s="50" t="s">
        <v>839</v>
      </c>
      <c r="F92" s="50" t="s">
        <v>839</v>
      </c>
      <c r="G92" s="50" t="s">
        <v>839</v>
      </c>
      <c r="H92" s="50" t="s">
        <v>839</v>
      </c>
      <c r="I92" s="50" t="s">
        <v>839</v>
      </c>
      <c r="J92" s="50">
        <v>98714</v>
      </c>
      <c r="K92" s="50">
        <v>86960</v>
      </c>
      <c r="L92" s="59">
        <v>11754</v>
      </c>
      <c r="M92" s="52" t="s">
        <v>689</v>
      </c>
    </row>
    <row r="93" spans="1:13" s="50" customFormat="1" ht="10.5" customHeight="1" x14ac:dyDescent="0.15">
      <c r="A93" s="756" t="s">
        <v>678</v>
      </c>
      <c r="B93" s="50" t="s">
        <v>839</v>
      </c>
      <c r="C93" s="50" t="s">
        <v>839</v>
      </c>
      <c r="D93" s="50">
        <v>15839</v>
      </c>
      <c r="E93" s="50" t="s">
        <v>839</v>
      </c>
      <c r="F93" s="50" t="s">
        <v>839</v>
      </c>
      <c r="G93" s="50" t="s">
        <v>839</v>
      </c>
      <c r="H93" s="50" t="s">
        <v>839</v>
      </c>
      <c r="I93" s="50" t="s">
        <v>839</v>
      </c>
      <c r="J93" s="50">
        <v>20203</v>
      </c>
      <c r="K93" s="50">
        <v>20203</v>
      </c>
      <c r="L93" s="59" t="s">
        <v>839</v>
      </c>
      <c r="M93" s="52" t="s">
        <v>77</v>
      </c>
    </row>
    <row r="94" spans="1:13" s="50" customFormat="1" ht="10.5" customHeight="1" x14ac:dyDescent="0.15">
      <c r="A94" s="756" t="s">
        <v>679</v>
      </c>
      <c r="B94" s="50">
        <v>71273</v>
      </c>
      <c r="C94" s="50" t="s">
        <v>839</v>
      </c>
      <c r="D94" s="50">
        <v>37315</v>
      </c>
      <c r="E94" s="50" t="s">
        <v>839</v>
      </c>
      <c r="F94" s="50" t="s">
        <v>839</v>
      </c>
      <c r="G94" s="50" t="s">
        <v>839</v>
      </c>
      <c r="H94" s="50" t="s">
        <v>839</v>
      </c>
      <c r="I94" s="50" t="s">
        <v>839</v>
      </c>
      <c r="J94" s="50">
        <v>17439</v>
      </c>
      <c r="K94" s="50">
        <v>17439</v>
      </c>
      <c r="L94" s="59" t="s">
        <v>839</v>
      </c>
      <c r="M94" s="52" t="s">
        <v>78</v>
      </c>
    </row>
    <row r="95" spans="1:13" s="50" customFormat="1" ht="10.5" customHeight="1" x14ac:dyDescent="0.15">
      <c r="A95" s="756" t="s">
        <v>680</v>
      </c>
      <c r="B95" s="50">
        <v>15627</v>
      </c>
      <c r="C95" s="50" t="s">
        <v>839</v>
      </c>
      <c r="D95" s="50" t="s">
        <v>839</v>
      </c>
      <c r="E95" s="50" t="s">
        <v>839</v>
      </c>
      <c r="F95" s="50" t="s">
        <v>839</v>
      </c>
      <c r="G95" s="50" t="s">
        <v>839</v>
      </c>
      <c r="H95" s="50" t="s">
        <v>839</v>
      </c>
      <c r="I95" s="50" t="s">
        <v>839</v>
      </c>
      <c r="J95" s="50">
        <v>15859</v>
      </c>
      <c r="K95" s="50">
        <v>15859</v>
      </c>
      <c r="L95" s="59" t="s">
        <v>839</v>
      </c>
      <c r="M95" s="52" t="s">
        <v>79</v>
      </c>
    </row>
    <row r="96" spans="1:13" s="50" customFormat="1" ht="10.5" customHeight="1" x14ac:dyDescent="0.15">
      <c r="A96" s="756" t="s">
        <v>681</v>
      </c>
      <c r="B96" s="50" t="s">
        <v>839</v>
      </c>
      <c r="C96" s="50" t="s">
        <v>839</v>
      </c>
      <c r="D96" s="50" t="s">
        <v>839</v>
      </c>
      <c r="E96" s="50" t="s">
        <v>839</v>
      </c>
      <c r="F96" s="50" t="s">
        <v>839</v>
      </c>
      <c r="G96" s="50" t="s">
        <v>839</v>
      </c>
      <c r="H96" s="50" t="s">
        <v>839</v>
      </c>
      <c r="I96" s="50" t="s">
        <v>839</v>
      </c>
      <c r="J96" s="50">
        <v>79506</v>
      </c>
      <c r="K96" s="50">
        <v>60896</v>
      </c>
      <c r="L96" s="59">
        <v>18610</v>
      </c>
      <c r="M96" s="53" t="s">
        <v>92</v>
      </c>
    </row>
    <row r="97" spans="1:13" s="50" customFormat="1" ht="10.5" customHeight="1" x14ac:dyDescent="0.15">
      <c r="A97" s="756" t="s">
        <v>682</v>
      </c>
      <c r="B97" s="50" t="s">
        <v>839</v>
      </c>
      <c r="C97" s="50" t="s">
        <v>839</v>
      </c>
      <c r="D97" s="50" t="s">
        <v>839</v>
      </c>
      <c r="E97" s="50" t="s">
        <v>839</v>
      </c>
      <c r="F97" s="50" t="s">
        <v>839</v>
      </c>
      <c r="G97" s="50" t="s">
        <v>839</v>
      </c>
      <c r="H97" s="50" t="s">
        <v>839</v>
      </c>
      <c r="I97" s="50" t="s">
        <v>839</v>
      </c>
      <c r="J97" s="50">
        <v>22457</v>
      </c>
      <c r="K97" s="50">
        <v>22457</v>
      </c>
      <c r="L97" s="59" t="s">
        <v>839</v>
      </c>
      <c r="M97" s="52" t="s">
        <v>93</v>
      </c>
    </row>
    <row r="98" spans="1:13" s="50" customFormat="1" ht="10.5" customHeight="1" x14ac:dyDescent="0.15">
      <c r="A98" s="756" t="s">
        <v>683</v>
      </c>
      <c r="B98" s="50" t="s">
        <v>839</v>
      </c>
      <c r="C98" s="50" t="s">
        <v>839</v>
      </c>
      <c r="D98" s="50" t="s">
        <v>839</v>
      </c>
      <c r="E98" s="50" t="s">
        <v>839</v>
      </c>
      <c r="F98" s="50" t="s">
        <v>839</v>
      </c>
      <c r="G98" s="50" t="s">
        <v>839</v>
      </c>
      <c r="H98" s="50" t="s">
        <v>839</v>
      </c>
      <c r="I98" s="50" t="s">
        <v>839</v>
      </c>
      <c r="J98" s="50">
        <v>12659</v>
      </c>
      <c r="K98" s="50">
        <v>12659</v>
      </c>
      <c r="L98" s="59" t="s">
        <v>839</v>
      </c>
      <c r="M98" s="52" t="s">
        <v>94</v>
      </c>
    </row>
    <row r="99" spans="1:13" s="50" customFormat="1" ht="10.5" customHeight="1" x14ac:dyDescent="0.15">
      <c r="A99" s="756" t="s">
        <v>684</v>
      </c>
      <c r="B99" s="50" t="s">
        <v>839</v>
      </c>
      <c r="C99" s="50" t="s">
        <v>839</v>
      </c>
      <c r="D99" s="50" t="s">
        <v>839</v>
      </c>
      <c r="E99" s="50" t="s">
        <v>839</v>
      </c>
      <c r="F99" s="50" t="s">
        <v>839</v>
      </c>
      <c r="G99" s="50" t="s">
        <v>839</v>
      </c>
      <c r="H99" s="50" t="s">
        <v>839</v>
      </c>
      <c r="I99" s="50" t="s">
        <v>839</v>
      </c>
      <c r="J99" s="50">
        <v>12614</v>
      </c>
      <c r="K99" s="50">
        <v>12614</v>
      </c>
      <c r="L99" s="59" t="s">
        <v>839</v>
      </c>
      <c r="M99" s="52" t="s">
        <v>95</v>
      </c>
    </row>
    <row r="100" spans="1:13" s="50" customFormat="1" ht="10.5" customHeight="1" x14ac:dyDescent="0.15">
      <c r="A100" s="756" t="s">
        <v>685</v>
      </c>
      <c r="B100" s="50" t="s">
        <v>839</v>
      </c>
      <c r="C100" s="50" t="s">
        <v>839</v>
      </c>
      <c r="D100" s="50" t="s">
        <v>839</v>
      </c>
      <c r="E100" s="50" t="s">
        <v>839</v>
      </c>
      <c r="F100" s="50" t="s">
        <v>839</v>
      </c>
      <c r="G100" s="50">
        <v>75568</v>
      </c>
      <c r="H100" s="50" t="s">
        <v>839</v>
      </c>
      <c r="I100" s="50" t="s">
        <v>839</v>
      </c>
      <c r="J100" s="50">
        <v>14727</v>
      </c>
      <c r="K100" s="50">
        <v>14727</v>
      </c>
      <c r="L100" s="59" t="s">
        <v>839</v>
      </c>
      <c r="M100" s="52" t="s">
        <v>96</v>
      </c>
    </row>
    <row r="101" spans="1:13" s="50" customFormat="1" ht="10.5" customHeight="1" x14ac:dyDescent="0.15">
      <c r="A101" s="756" t="s">
        <v>686</v>
      </c>
      <c r="B101" s="50" t="s">
        <v>839</v>
      </c>
      <c r="C101" s="50" t="s">
        <v>839</v>
      </c>
      <c r="D101" s="50" t="s">
        <v>839</v>
      </c>
      <c r="E101" s="50" t="s">
        <v>839</v>
      </c>
      <c r="F101" s="50" t="s">
        <v>839</v>
      </c>
      <c r="G101" s="50">
        <v>82396</v>
      </c>
      <c r="H101" s="50" t="s">
        <v>839</v>
      </c>
      <c r="I101" s="50" t="s">
        <v>839</v>
      </c>
      <c r="J101" s="50">
        <v>40075</v>
      </c>
      <c r="K101" s="50">
        <v>40075</v>
      </c>
      <c r="L101" s="59" t="s">
        <v>839</v>
      </c>
      <c r="M101" s="52" t="s">
        <v>80</v>
      </c>
    </row>
    <row r="102" spans="1:13" s="50" customFormat="1" ht="10.5" customHeight="1" x14ac:dyDescent="0.15">
      <c r="A102" s="756" t="s">
        <v>687</v>
      </c>
      <c r="B102" s="50" t="s">
        <v>839</v>
      </c>
      <c r="C102" s="50" t="s">
        <v>839</v>
      </c>
      <c r="D102" s="50" t="s">
        <v>839</v>
      </c>
      <c r="E102" s="50" t="s">
        <v>839</v>
      </c>
      <c r="F102" s="50" t="s">
        <v>839</v>
      </c>
      <c r="G102" s="50" t="s">
        <v>839</v>
      </c>
      <c r="H102" s="50" t="s">
        <v>839</v>
      </c>
      <c r="I102" s="50" t="s">
        <v>839</v>
      </c>
      <c r="J102" s="50">
        <v>39040</v>
      </c>
      <c r="K102" s="50">
        <v>39040</v>
      </c>
      <c r="L102" s="59" t="s">
        <v>839</v>
      </c>
      <c r="M102" s="52" t="s">
        <v>81</v>
      </c>
    </row>
    <row r="103" spans="1:13" s="50" customFormat="1" ht="10.5" customHeight="1" x14ac:dyDescent="0.15">
      <c r="A103" s="756" t="s">
        <v>688</v>
      </c>
      <c r="B103" s="50" t="s">
        <v>839</v>
      </c>
      <c r="C103" s="50" t="s">
        <v>839</v>
      </c>
      <c r="D103" s="50" t="s">
        <v>839</v>
      </c>
      <c r="E103" s="50" t="s">
        <v>839</v>
      </c>
      <c r="F103" s="50" t="s">
        <v>839</v>
      </c>
      <c r="G103" s="50" t="s">
        <v>839</v>
      </c>
      <c r="H103" s="50" t="s">
        <v>839</v>
      </c>
      <c r="I103" s="50" t="s">
        <v>839</v>
      </c>
      <c r="J103" s="50">
        <v>20553</v>
      </c>
      <c r="K103" s="50">
        <v>20553</v>
      </c>
      <c r="L103" s="59" t="s">
        <v>839</v>
      </c>
      <c r="M103" s="52" t="s">
        <v>82</v>
      </c>
    </row>
    <row r="104" spans="1:13" s="50" customFormat="1" ht="10.5" customHeight="1" x14ac:dyDescent="0.15">
      <c r="A104" s="756" t="s">
        <v>849</v>
      </c>
      <c r="B104" s="50" t="s">
        <v>839</v>
      </c>
      <c r="C104" s="50" t="s">
        <v>839</v>
      </c>
      <c r="D104" s="50" t="s">
        <v>839</v>
      </c>
      <c r="E104" s="50" t="s">
        <v>839</v>
      </c>
      <c r="F104" s="50" t="s">
        <v>839</v>
      </c>
      <c r="G104" s="50" t="s">
        <v>839</v>
      </c>
      <c r="H104" s="50" t="s">
        <v>839</v>
      </c>
      <c r="I104" s="50" t="s">
        <v>839</v>
      </c>
      <c r="J104" s="50">
        <v>13706</v>
      </c>
      <c r="K104" s="50">
        <v>13706</v>
      </c>
      <c r="L104" s="59" t="s">
        <v>839</v>
      </c>
      <c r="M104" s="52" t="s">
        <v>850</v>
      </c>
    </row>
    <row r="105" spans="1:13" s="50" customFormat="1" ht="10.5" customHeight="1" x14ac:dyDescent="0.15">
      <c r="A105" s="756" t="s">
        <v>690</v>
      </c>
      <c r="B105" s="50" t="s">
        <v>839</v>
      </c>
      <c r="C105" s="50" t="s">
        <v>839</v>
      </c>
      <c r="D105" s="50" t="s">
        <v>839</v>
      </c>
      <c r="E105" s="50" t="s">
        <v>839</v>
      </c>
      <c r="F105" s="50" t="s">
        <v>839</v>
      </c>
      <c r="G105" s="50" t="s">
        <v>839</v>
      </c>
      <c r="H105" s="50" t="s">
        <v>839</v>
      </c>
      <c r="I105" s="50" t="s">
        <v>839</v>
      </c>
      <c r="J105" s="50">
        <v>23259</v>
      </c>
      <c r="K105" s="50">
        <v>23259</v>
      </c>
      <c r="L105" s="59" t="s">
        <v>839</v>
      </c>
      <c r="M105" s="52" t="s">
        <v>77</v>
      </c>
    </row>
    <row r="106" spans="1:13" s="50" customFormat="1" ht="10.5" customHeight="1" x14ac:dyDescent="0.15">
      <c r="A106" s="757" t="s">
        <v>691</v>
      </c>
      <c r="B106" s="54" t="s">
        <v>839</v>
      </c>
      <c r="C106" s="55" t="s">
        <v>839</v>
      </c>
      <c r="D106" s="55" t="s">
        <v>839</v>
      </c>
      <c r="E106" s="55" t="s">
        <v>839</v>
      </c>
      <c r="F106" s="55" t="s">
        <v>839</v>
      </c>
      <c r="G106" s="55" t="s">
        <v>839</v>
      </c>
      <c r="H106" s="55" t="s">
        <v>839</v>
      </c>
      <c r="I106" s="55" t="s">
        <v>839</v>
      </c>
      <c r="J106" s="55" t="s">
        <v>839</v>
      </c>
      <c r="K106" s="55" t="s">
        <v>839</v>
      </c>
      <c r="L106" s="60" t="s">
        <v>839</v>
      </c>
      <c r="M106" s="56" t="s">
        <v>78</v>
      </c>
    </row>
    <row r="107" spans="1:13" ht="9" customHeight="1" x14ac:dyDescent="0.25"/>
    <row r="108" spans="1:13" ht="13.5" customHeight="1" x14ac:dyDescent="0.25"/>
  </sheetData>
  <mergeCells count="3">
    <mergeCell ref="R4:R6"/>
    <mergeCell ref="R39:R41"/>
    <mergeCell ref="M74:M76"/>
  </mergeCells>
  <phoneticPr fontId="32"/>
  <pageMargins left="0.59055118110236227" right="0.59055118110236227" top="0.59055118110236227" bottom="0.59055118110236227" header="0.19685039370078741" footer="0.19685039370078741"/>
  <pageSetup paperSize="9" scale="89" pageOrder="overThenDown" orientation="portrait" r:id="rId1"/>
  <headerFooter alignWithMargins="0"/>
  <rowBreaks count="1" manualBreakCount="1">
    <brk id="72" max="17" man="1"/>
  </rowBreaks>
  <colBreaks count="1" manualBreakCount="1">
    <brk id="9" max="10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F460-EC09-4B7F-8513-C3C4111256FF}">
  <dimension ref="A1:Y318"/>
  <sheetViews>
    <sheetView view="pageBreakPreview" zoomScale="120" zoomScaleNormal="100" zoomScaleSheetLayoutView="120" workbookViewId="0">
      <pane xSplit="1" topLeftCell="B1" activePane="topRight" state="frozen"/>
      <selection pane="topRight"/>
    </sheetView>
  </sheetViews>
  <sheetFormatPr defaultRowHeight="24" x14ac:dyDescent="0.25"/>
  <cols>
    <col min="1" max="1" width="16.125" style="10" customWidth="1"/>
    <col min="2" max="12" width="9.5" style="10" customWidth="1"/>
    <col min="13" max="13" width="9.375" style="10" customWidth="1"/>
    <col min="14" max="17" width="9.5" style="10" customWidth="1"/>
    <col min="18" max="18" width="10.75" style="10" customWidth="1"/>
    <col min="19" max="19" width="10.875" style="11" customWidth="1"/>
    <col min="20" max="20" width="9.5" style="11" customWidth="1"/>
    <col min="21" max="21" width="9.375" style="11" customWidth="1"/>
    <col min="22" max="22" width="11.125" style="11" customWidth="1"/>
    <col min="23" max="23" width="9.875" style="11" customWidth="1"/>
    <col min="24" max="24" width="10.5" style="11" customWidth="1"/>
    <col min="25" max="25" width="22.625" style="11" customWidth="1"/>
    <col min="26" max="26" width="25.625" style="10" customWidth="1"/>
    <col min="27" max="27" width="21.125" style="10" customWidth="1"/>
    <col min="28" max="28" width="20.875" style="10" customWidth="1"/>
    <col min="29" max="29" width="21.25" style="10" customWidth="1"/>
    <col min="30" max="30" width="20.5" style="10" customWidth="1"/>
    <col min="31" max="31" width="19.75" style="10" customWidth="1"/>
    <col min="32" max="32" width="20.75" style="10" customWidth="1"/>
    <col min="33" max="33" width="19.75" style="10" customWidth="1"/>
    <col min="34" max="16384" width="9" style="10"/>
  </cols>
  <sheetData>
    <row r="1" spans="1:25" ht="5.25" customHeight="1" x14ac:dyDescent="0.25">
      <c r="Y1" s="10"/>
    </row>
    <row r="2" spans="1:25" ht="9.75" customHeight="1" x14ac:dyDescent="0.25">
      <c r="A2" s="12"/>
      <c r="Y2" s="10"/>
    </row>
    <row r="3" spans="1:25" ht="18" customHeight="1" x14ac:dyDescent="0.25">
      <c r="A3" s="1002" t="s">
        <v>39</v>
      </c>
      <c r="B3" s="1002"/>
      <c r="C3" s="1002"/>
      <c r="D3" s="1002"/>
      <c r="E3" s="1002"/>
      <c r="F3" s="758"/>
      <c r="I3" s="31" t="s">
        <v>451</v>
      </c>
      <c r="K3" s="31"/>
      <c r="L3" s="31"/>
      <c r="Q3" s="29" t="s">
        <v>452</v>
      </c>
      <c r="R3" s="29"/>
      <c r="W3" s="29"/>
      <c r="X3" s="29"/>
      <c r="Y3" s="10"/>
    </row>
    <row r="4" spans="1:25" s="20" customFormat="1" ht="11.25" customHeight="1" x14ac:dyDescent="0.15">
      <c r="A4" s="61"/>
      <c r="B4" s="62"/>
      <c r="C4" s="34"/>
      <c r="D4" s="61"/>
      <c r="E4" s="34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999" t="s">
        <v>83</v>
      </c>
      <c r="S4" s="18"/>
      <c r="T4" s="18"/>
      <c r="U4" s="18"/>
      <c r="V4" s="18"/>
      <c r="W4" s="18"/>
      <c r="X4" s="18"/>
      <c r="Y4" s="18"/>
    </row>
    <row r="5" spans="1:25" s="64" customFormat="1" ht="28.5" customHeight="1" x14ac:dyDescent="0.15">
      <c r="A5" s="32" t="s">
        <v>185</v>
      </c>
      <c r="B5" s="15" t="s">
        <v>59</v>
      </c>
      <c r="C5" s="15" t="s">
        <v>119</v>
      </c>
      <c r="D5" s="13" t="s">
        <v>852</v>
      </c>
      <c r="E5" s="15" t="s">
        <v>85</v>
      </c>
      <c r="F5" s="720" t="s">
        <v>120</v>
      </c>
      <c r="G5" s="19"/>
      <c r="H5" s="19"/>
      <c r="I5" s="19"/>
      <c r="J5" s="19"/>
      <c r="K5" s="19"/>
      <c r="L5" s="79"/>
      <c r="M5" s="13" t="s">
        <v>621</v>
      </c>
      <c r="N5" s="720" t="s">
        <v>127</v>
      </c>
      <c r="O5" s="19"/>
      <c r="P5" s="19"/>
      <c r="Q5" s="19"/>
      <c r="R5" s="1000"/>
      <c r="S5" s="14"/>
      <c r="T5" s="14"/>
      <c r="U5" s="14"/>
      <c r="V5" s="14"/>
      <c r="W5" s="14"/>
      <c r="X5" s="14"/>
      <c r="Y5" s="14"/>
    </row>
    <row r="6" spans="1:25" s="64" customFormat="1" ht="28.5" customHeight="1" x14ac:dyDescent="0.15">
      <c r="A6" s="32"/>
      <c r="B6" s="15" t="s">
        <v>58</v>
      </c>
      <c r="C6" s="15" t="s">
        <v>87</v>
      </c>
      <c r="D6" s="13" t="s">
        <v>853</v>
      </c>
      <c r="E6" s="15" t="s">
        <v>88</v>
      </c>
      <c r="F6" s="15" t="s">
        <v>40</v>
      </c>
      <c r="G6" s="13" t="s">
        <v>121</v>
      </c>
      <c r="H6" s="13" t="s">
        <v>122</v>
      </c>
      <c r="I6" s="13" t="s">
        <v>123</v>
      </c>
      <c r="J6" s="13" t="s">
        <v>124</v>
      </c>
      <c r="K6" s="13" t="s">
        <v>125</v>
      </c>
      <c r="L6" s="13" t="s">
        <v>694</v>
      </c>
      <c r="M6" s="13" t="s">
        <v>854</v>
      </c>
      <c r="N6" s="15" t="s">
        <v>19</v>
      </c>
      <c r="O6" s="13" t="s">
        <v>128</v>
      </c>
      <c r="P6" s="13" t="s">
        <v>129</v>
      </c>
      <c r="Q6" s="720" t="s">
        <v>130</v>
      </c>
      <c r="R6" s="1000"/>
      <c r="S6" s="14"/>
      <c r="T6" s="14"/>
      <c r="U6" s="14"/>
      <c r="V6" s="14"/>
      <c r="W6" s="14"/>
      <c r="X6" s="14"/>
      <c r="Y6" s="14"/>
    </row>
    <row r="7" spans="1:25" s="64" customFormat="1" ht="12" customHeight="1" x14ac:dyDescent="0.15">
      <c r="A7" s="32"/>
      <c r="B7" s="17"/>
      <c r="C7" s="17"/>
      <c r="D7" s="17" t="str">
        <f>PROPER("CPC-B")</f>
        <v>Cpc-B</v>
      </c>
      <c r="E7" s="17"/>
      <c r="F7" s="17"/>
      <c r="G7" s="17" t="str">
        <f>PROPER("BACH HO")</f>
        <v>Bach Ho</v>
      </c>
      <c r="H7" s="17" t="str">
        <f>PROPER("DAI HUNG")</f>
        <v>Dai Hung</v>
      </c>
      <c r="I7" s="17" t="str">
        <f>PROPER("RUBY")</f>
        <v>Ruby</v>
      </c>
      <c r="J7" s="17" t="str">
        <f>PROPER("SUTUDEN")</f>
        <v>Sutuden</v>
      </c>
      <c r="K7" s="17" t="str">
        <f>PROPER("CHIM-SAO")</f>
        <v>Chim-Sao</v>
      </c>
      <c r="L7" s="17" t="str">
        <f>PROPER("TANGLONG")</f>
        <v>Tanglong</v>
      </c>
      <c r="M7" s="17" t="str">
        <f>PROPER("THAI-FO")</f>
        <v>Thai-Fo</v>
      </c>
      <c r="N7" s="17"/>
      <c r="O7" s="17" t="str">
        <f>PROPER("TAPIS-B")</f>
        <v>Tapis-B</v>
      </c>
      <c r="P7" s="17" t="str">
        <f>PROPER("TAPIS-T")</f>
        <v>Tapis-T</v>
      </c>
      <c r="Q7" s="16" t="str">
        <f>PROPER("DULANG")</f>
        <v>Dulang</v>
      </c>
      <c r="R7" s="1001"/>
      <c r="S7" s="14"/>
      <c r="T7" s="14"/>
      <c r="U7" s="14"/>
      <c r="V7" s="14"/>
      <c r="W7" s="14"/>
      <c r="X7" s="14"/>
      <c r="Y7" s="14"/>
    </row>
    <row r="8" spans="1:25" s="69" customFormat="1" ht="10.5" customHeight="1" x14ac:dyDescent="0.15">
      <c r="A8" s="755" t="s">
        <v>838</v>
      </c>
      <c r="B8" s="65">
        <v>177477098</v>
      </c>
      <c r="C8" s="66">
        <v>2019665</v>
      </c>
      <c r="D8" s="66">
        <v>2019665</v>
      </c>
      <c r="E8" s="66">
        <v>2937844</v>
      </c>
      <c r="F8" s="66">
        <v>516234</v>
      </c>
      <c r="G8" s="66">
        <v>116101</v>
      </c>
      <c r="H8" s="66" t="s">
        <v>839</v>
      </c>
      <c r="I8" s="66">
        <v>111896</v>
      </c>
      <c r="J8" s="66" t="s">
        <v>839</v>
      </c>
      <c r="K8" s="66">
        <v>288237</v>
      </c>
      <c r="L8" s="66" t="s">
        <v>839</v>
      </c>
      <c r="M8" s="66" t="s">
        <v>839</v>
      </c>
      <c r="N8" s="66">
        <v>836043</v>
      </c>
      <c r="O8" s="66">
        <v>30444</v>
      </c>
      <c r="P8" s="66">
        <v>19059</v>
      </c>
      <c r="Q8" s="66">
        <v>208964</v>
      </c>
      <c r="R8" s="67" t="s">
        <v>457</v>
      </c>
      <c r="S8" s="68"/>
      <c r="T8" s="68"/>
      <c r="U8" s="68"/>
      <c r="V8" s="68"/>
      <c r="W8" s="68"/>
      <c r="X8" s="68"/>
      <c r="Y8" s="68"/>
    </row>
    <row r="9" spans="1:25" s="69" customFormat="1" ht="10.5" customHeight="1" x14ac:dyDescent="0.15">
      <c r="A9" s="756" t="s">
        <v>669</v>
      </c>
      <c r="B9" s="70">
        <v>175488885</v>
      </c>
      <c r="C9" s="69">
        <v>1092458</v>
      </c>
      <c r="D9" s="69">
        <v>1092458</v>
      </c>
      <c r="E9" s="69">
        <v>1827860</v>
      </c>
      <c r="F9" s="69">
        <v>586629</v>
      </c>
      <c r="G9" s="69">
        <v>37872</v>
      </c>
      <c r="H9" s="69">
        <v>126757</v>
      </c>
      <c r="I9" s="69" t="s">
        <v>839</v>
      </c>
      <c r="J9" s="69">
        <v>236789</v>
      </c>
      <c r="K9" s="69">
        <v>185211</v>
      </c>
      <c r="L9" s="69" t="s">
        <v>839</v>
      </c>
      <c r="M9" s="69" t="s">
        <v>839</v>
      </c>
      <c r="N9" s="69">
        <v>751894</v>
      </c>
      <c r="O9" s="69" t="s">
        <v>839</v>
      </c>
      <c r="P9" s="69" t="s">
        <v>839</v>
      </c>
      <c r="Q9" s="69">
        <v>97712</v>
      </c>
      <c r="R9" s="71" t="s">
        <v>512</v>
      </c>
      <c r="S9" s="68"/>
      <c r="T9" s="68"/>
      <c r="U9" s="68"/>
      <c r="V9" s="68"/>
      <c r="W9" s="68"/>
      <c r="X9" s="68"/>
      <c r="Y9" s="68"/>
    </row>
    <row r="10" spans="1:25" s="69" customFormat="1" ht="10.5" customHeight="1" x14ac:dyDescent="0.15">
      <c r="A10" s="756" t="s">
        <v>670</v>
      </c>
      <c r="B10" s="70">
        <v>143879667</v>
      </c>
      <c r="C10" s="69">
        <v>998907</v>
      </c>
      <c r="D10" s="69">
        <v>998907</v>
      </c>
      <c r="E10" s="69">
        <v>1168949</v>
      </c>
      <c r="F10" s="69">
        <v>397479</v>
      </c>
      <c r="G10" s="69">
        <v>144883</v>
      </c>
      <c r="H10" s="69">
        <v>111767</v>
      </c>
      <c r="I10" s="69">
        <v>46056</v>
      </c>
      <c r="J10" s="69">
        <v>47380</v>
      </c>
      <c r="K10" s="69">
        <v>47393</v>
      </c>
      <c r="L10" s="69" t="s">
        <v>839</v>
      </c>
      <c r="M10" s="69">
        <v>11177</v>
      </c>
      <c r="N10" s="69">
        <v>667645</v>
      </c>
      <c r="O10" s="69" t="s">
        <v>839</v>
      </c>
      <c r="P10" s="69" t="s">
        <v>839</v>
      </c>
      <c r="Q10" s="69">
        <v>108958</v>
      </c>
      <c r="R10" s="71" t="s">
        <v>620</v>
      </c>
      <c r="S10" s="68"/>
      <c r="T10" s="68"/>
      <c r="U10" s="68"/>
      <c r="V10" s="68"/>
      <c r="W10" s="68"/>
      <c r="X10" s="68"/>
      <c r="Y10" s="68"/>
    </row>
    <row r="11" spans="1:25" s="69" customFormat="1" ht="10.5" customHeight="1" x14ac:dyDescent="0.15">
      <c r="A11" s="756" t="s">
        <v>671</v>
      </c>
      <c r="B11" s="70">
        <v>144662684</v>
      </c>
      <c r="C11" s="69">
        <v>166004</v>
      </c>
      <c r="D11" s="69">
        <v>166004</v>
      </c>
      <c r="E11" s="69">
        <v>1244456</v>
      </c>
      <c r="F11" s="69">
        <v>321963</v>
      </c>
      <c r="G11" s="69" t="s">
        <v>839</v>
      </c>
      <c r="H11" s="69" t="s">
        <v>839</v>
      </c>
      <c r="I11" s="69">
        <v>139963</v>
      </c>
      <c r="J11" s="69">
        <v>95040</v>
      </c>
      <c r="K11" s="69">
        <v>47483</v>
      </c>
      <c r="L11" s="69">
        <v>39477</v>
      </c>
      <c r="M11" s="69">
        <v>49688</v>
      </c>
      <c r="N11" s="69">
        <v>516977</v>
      </c>
      <c r="O11" s="69" t="s">
        <v>839</v>
      </c>
      <c r="P11" s="69" t="s">
        <v>839</v>
      </c>
      <c r="Q11" s="69">
        <v>31645</v>
      </c>
      <c r="R11" s="71" t="s">
        <v>672</v>
      </c>
      <c r="S11" s="68"/>
      <c r="T11" s="68"/>
      <c r="U11" s="68"/>
      <c r="V11" s="68"/>
      <c r="W11" s="68"/>
      <c r="X11" s="68"/>
      <c r="Y11" s="68"/>
    </row>
    <row r="12" spans="1:25" s="69" customFormat="1" ht="10.5" customHeight="1" x14ac:dyDescent="0.15">
      <c r="A12" s="756" t="s">
        <v>840</v>
      </c>
      <c r="B12" s="70">
        <v>158641580</v>
      </c>
      <c r="C12" s="69">
        <v>172335</v>
      </c>
      <c r="D12" s="69">
        <v>172335</v>
      </c>
      <c r="E12" s="69">
        <v>1189732</v>
      </c>
      <c r="F12" s="69">
        <v>607817</v>
      </c>
      <c r="G12" s="69" t="s">
        <v>839</v>
      </c>
      <c r="H12" s="69" t="s">
        <v>839</v>
      </c>
      <c r="I12" s="69" t="s">
        <v>839</v>
      </c>
      <c r="J12" s="69">
        <v>429076</v>
      </c>
      <c r="K12" s="69">
        <v>139248</v>
      </c>
      <c r="L12" s="69">
        <v>39493</v>
      </c>
      <c r="M12" s="69">
        <v>56634</v>
      </c>
      <c r="N12" s="69">
        <v>278902</v>
      </c>
      <c r="O12" s="69" t="s">
        <v>839</v>
      </c>
      <c r="P12" s="69" t="s">
        <v>839</v>
      </c>
      <c r="Q12" s="69" t="s">
        <v>839</v>
      </c>
      <c r="R12" s="71" t="s">
        <v>841</v>
      </c>
      <c r="S12" s="68"/>
      <c r="T12" s="68"/>
      <c r="U12" s="68"/>
      <c r="V12" s="68"/>
      <c r="W12" s="68"/>
      <c r="X12" s="68"/>
      <c r="Y12" s="68"/>
    </row>
    <row r="13" spans="1:25" s="69" customFormat="1" ht="10.5" customHeight="1" x14ac:dyDescent="0.15">
      <c r="A13" s="787"/>
      <c r="B13" s="70"/>
      <c r="R13" s="71"/>
      <c r="S13" s="68"/>
      <c r="T13" s="68"/>
      <c r="U13" s="68"/>
      <c r="V13" s="68"/>
      <c r="W13" s="68"/>
      <c r="X13" s="68"/>
      <c r="Y13" s="68"/>
    </row>
    <row r="14" spans="1:25" s="69" customFormat="1" ht="10.5" customHeight="1" x14ac:dyDescent="0.15">
      <c r="A14" s="756" t="s">
        <v>842</v>
      </c>
      <c r="B14" s="70">
        <v>148903593</v>
      </c>
      <c r="C14" s="69">
        <v>338339</v>
      </c>
      <c r="D14" s="69">
        <v>338339</v>
      </c>
      <c r="E14" s="69">
        <v>1177159</v>
      </c>
      <c r="F14" s="69">
        <v>367365</v>
      </c>
      <c r="G14" s="69" t="s">
        <v>839</v>
      </c>
      <c r="H14" s="69" t="s">
        <v>839</v>
      </c>
      <c r="I14" s="69">
        <v>92950</v>
      </c>
      <c r="J14" s="69">
        <v>140081</v>
      </c>
      <c r="K14" s="69">
        <v>94857</v>
      </c>
      <c r="L14" s="69">
        <v>39477</v>
      </c>
      <c r="M14" s="69">
        <v>41905</v>
      </c>
      <c r="N14" s="69">
        <v>485322</v>
      </c>
      <c r="O14" s="69" t="s">
        <v>839</v>
      </c>
      <c r="P14" s="69" t="s">
        <v>839</v>
      </c>
      <c r="Q14" s="69" t="s">
        <v>839</v>
      </c>
      <c r="R14" s="71" t="s">
        <v>673</v>
      </c>
      <c r="S14" s="68"/>
      <c r="T14" s="68"/>
      <c r="U14" s="68"/>
      <c r="V14" s="68"/>
      <c r="W14" s="68"/>
      <c r="X14" s="68"/>
      <c r="Y14" s="68"/>
    </row>
    <row r="15" spans="1:25" s="69" customFormat="1" ht="10.5" customHeight="1" x14ac:dyDescent="0.15">
      <c r="A15" s="756" t="s">
        <v>843</v>
      </c>
      <c r="B15" s="70">
        <v>156562747</v>
      </c>
      <c r="C15" s="69" t="s">
        <v>839</v>
      </c>
      <c r="D15" s="69" t="s">
        <v>839</v>
      </c>
      <c r="E15" s="69">
        <v>1118632</v>
      </c>
      <c r="F15" s="69">
        <v>556421</v>
      </c>
      <c r="G15" s="69" t="s">
        <v>839</v>
      </c>
      <c r="H15" s="69" t="s">
        <v>839</v>
      </c>
      <c r="I15" s="69" t="s">
        <v>839</v>
      </c>
      <c r="J15" s="69">
        <v>384035</v>
      </c>
      <c r="K15" s="69">
        <v>91874</v>
      </c>
      <c r="L15" s="69">
        <v>80512</v>
      </c>
      <c r="M15" s="69">
        <v>49826</v>
      </c>
      <c r="N15" s="69">
        <v>215933</v>
      </c>
      <c r="O15" s="69" t="s">
        <v>839</v>
      </c>
      <c r="P15" s="69" t="s">
        <v>839</v>
      </c>
      <c r="Q15" s="69" t="s">
        <v>839</v>
      </c>
      <c r="R15" s="71" t="s">
        <v>844</v>
      </c>
      <c r="S15" s="68"/>
      <c r="T15" s="68"/>
      <c r="U15" s="68"/>
      <c r="V15" s="68"/>
      <c r="W15" s="68"/>
      <c r="X15" s="68"/>
      <c r="Y15" s="68"/>
    </row>
    <row r="16" spans="1:25" s="69" customFormat="1" ht="10.5" customHeight="1" x14ac:dyDescent="0.15">
      <c r="A16" s="787"/>
      <c r="B16" s="70"/>
      <c r="R16" s="71"/>
      <c r="S16" s="68"/>
      <c r="T16" s="68"/>
      <c r="U16" s="68"/>
      <c r="V16" s="68"/>
      <c r="W16" s="68"/>
      <c r="X16" s="68"/>
      <c r="Y16" s="68"/>
    </row>
    <row r="17" spans="1:25" s="69" customFormat="1" ht="10.5" customHeight="1" x14ac:dyDescent="0.15">
      <c r="A17" s="756" t="s">
        <v>845</v>
      </c>
      <c r="B17" s="70">
        <v>39999430</v>
      </c>
      <c r="C17" s="69">
        <v>172335</v>
      </c>
      <c r="D17" s="69">
        <v>172335</v>
      </c>
      <c r="E17" s="69">
        <v>317600</v>
      </c>
      <c r="F17" s="69">
        <v>92415</v>
      </c>
      <c r="G17" s="69" t="s">
        <v>839</v>
      </c>
      <c r="H17" s="69" t="s">
        <v>839</v>
      </c>
      <c r="I17" s="69" t="s">
        <v>839</v>
      </c>
      <c r="J17" s="69">
        <v>45041</v>
      </c>
      <c r="K17" s="69">
        <v>47374</v>
      </c>
      <c r="L17" s="69" t="s">
        <v>839</v>
      </c>
      <c r="M17" s="69">
        <v>6808</v>
      </c>
      <c r="N17" s="69">
        <v>126404</v>
      </c>
      <c r="O17" s="69" t="s">
        <v>839</v>
      </c>
      <c r="P17" s="69" t="s">
        <v>839</v>
      </c>
      <c r="Q17" s="69" t="s">
        <v>839</v>
      </c>
      <c r="R17" s="71" t="s">
        <v>677</v>
      </c>
      <c r="S17" s="68"/>
      <c r="T17" s="68"/>
      <c r="U17" s="68"/>
      <c r="V17" s="68"/>
      <c r="W17" s="68"/>
      <c r="X17" s="68"/>
      <c r="Y17" s="68"/>
    </row>
    <row r="18" spans="1:25" s="69" customFormat="1" ht="10.5" customHeight="1" x14ac:dyDescent="0.15">
      <c r="A18" s="756" t="s">
        <v>674</v>
      </c>
      <c r="B18" s="70">
        <v>37599118</v>
      </c>
      <c r="C18" s="69" t="s">
        <v>839</v>
      </c>
      <c r="D18" s="69" t="s">
        <v>839</v>
      </c>
      <c r="E18" s="69">
        <v>142925</v>
      </c>
      <c r="F18" s="69">
        <v>47113</v>
      </c>
      <c r="G18" s="69" t="s">
        <v>839</v>
      </c>
      <c r="H18" s="69" t="s">
        <v>839</v>
      </c>
      <c r="I18" s="69" t="s">
        <v>839</v>
      </c>
      <c r="J18" s="69" t="s">
        <v>839</v>
      </c>
      <c r="K18" s="69">
        <v>47113</v>
      </c>
      <c r="L18" s="69" t="s">
        <v>839</v>
      </c>
      <c r="M18" s="69">
        <v>21526</v>
      </c>
      <c r="N18" s="69">
        <v>61622</v>
      </c>
      <c r="O18" s="69" t="s">
        <v>839</v>
      </c>
      <c r="P18" s="69" t="s">
        <v>839</v>
      </c>
      <c r="Q18" s="69" t="s">
        <v>839</v>
      </c>
      <c r="R18" s="71" t="s">
        <v>89</v>
      </c>
      <c r="S18" s="68"/>
      <c r="T18" s="68"/>
      <c r="U18" s="68"/>
      <c r="V18" s="68"/>
      <c r="W18" s="68"/>
      <c r="X18" s="68"/>
      <c r="Y18" s="68"/>
    </row>
    <row r="19" spans="1:25" s="69" customFormat="1" ht="10.5" customHeight="1" x14ac:dyDescent="0.15">
      <c r="A19" s="756" t="s">
        <v>675</v>
      </c>
      <c r="B19" s="70">
        <v>40726679</v>
      </c>
      <c r="C19" s="69" t="s">
        <v>839</v>
      </c>
      <c r="D19" s="69" t="s">
        <v>839</v>
      </c>
      <c r="E19" s="69">
        <v>248057</v>
      </c>
      <c r="F19" s="69">
        <v>182273</v>
      </c>
      <c r="G19" s="69" t="s">
        <v>839</v>
      </c>
      <c r="H19" s="69" t="s">
        <v>839</v>
      </c>
      <c r="I19" s="69" t="s">
        <v>839</v>
      </c>
      <c r="J19" s="69">
        <v>98019</v>
      </c>
      <c r="K19" s="69">
        <v>44761</v>
      </c>
      <c r="L19" s="69">
        <v>39493</v>
      </c>
      <c r="M19" s="69">
        <v>14050</v>
      </c>
      <c r="N19" s="69">
        <v>28624</v>
      </c>
      <c r="O19" s="69" t="s">
        <v>839</v>
      </c>
      <c r="P19" s="69" t="s">
        <v>839</v>
      </c>
      <c r="Q19" s="69" t="s">
        <v>839</v>
      </c>
      <c r="R19" s="71" t="s">
        <v>90</v>
      </c>
      <c r="S19" s="68"/>
      <c r="T19" s="68"/>
      <c r="U19" s="68"/>
      <c r="V19" s="68"/>
      <c r="W19" s="68"/>
      <c r="X19" s="68"/>
      <c r="Y19" s="68"/>
    </row>
    <row r="20" spans="1:25" s="69" customFormat="1" ht="10.5" customHeight="1" x14ac:dyDescent="0.15">
      <c r="A20" s="756" t="s">
        <v>676</v>
      </c>
      <c r="B20" s="70">
        <v>40316353</v>
      </c>
      <c r="C20" s="69" t="s">
        <v>839</v>
      </c>
      <c r="D20" s="69" t="s">
        <v>839</v>
      </c>
      <c r="E20" s="69">
        <v>481150</v>
      </c>
      <c r="F20" s="69">
        <v>286016</v>
      </c>
      <c r="G20" s="69" t="s">
        <v>839</v>
      </c>
      <c r="H20" s="69" t="s">
        <v>839</v>
      </c>
      <c r="I20" s="69" t="s">
        <v>839</v>
      </c>
      <c r="J20" s="69">
        <v>286016</v>
      </c>
      <c r="K20" s="69" t="s">
        <v>839</v>
      </c>
      <c r="L20" s="69" t="s">
        <v>839</v>
      </c>
      <c r="M20" s="69">
        <v>14250</v>
      </c>
      <c r="N20" s="69">
        <v>62252</v>
      </c>
      <c r="O20" s="69" t="s">
        <v>839</v>
      </c>
      <c r="P20" s="69" t="s">
        <v>839</v>
      </c>
      <c r="Q20" s="69" t="s">
        <v>839</v>
      </c>
      <c r="R20" s="71" t="s">
        <v>91</v>
      </c>
      <c r="S20" s="68"/>
      <c r="T20" s="68"/>
      <c r="U20" s="68"/>
      <c r="V20" s="68"/>
      <c r="W20" s="68"/>
      <c r="X20" s="68"/>
      <c r="Y20" s="68"/>
    </row>
    <row r="21" spans="1:25" s="69" customFormat="1" ht="10.5" customHeight="1" x14ac:dyDescent="0.15">
      <c r="A21" s="756" t="s">
        <v>846</v>
      </c>
      <c r="B21" s="70">
        <v>37920597</v>
      </c>
      <c r="C21" s="69" t="s">
        <v>839</v>
      </c>
      <c r="D21" s="69" t="s">
        <v>839</v>
      </c>
      <c r="E21" s="69">
        <v>246500</v>
      </c>
      <c r="F21" s="69">
        <v>41019</v>
      </c>
      <c r="G21" s="69" t="s">
        <v>839</v>
      </c>
      <c r="H21" s="69" t="s">
        <v>839</v>
      </c>
      <c r="I21" s="69" t="s">
        <v>839</v>
      </c>
      <c r="J21" s="69" t="s">
        <v>839</v>
      </c>
      <c r="K21" s="69" t="s">
        <v>839</v>
      </c>
      <c r="L21" s="69">
        <v>41019</v>
      </c>
      <c r="M21" s="69" t="s">
        <v>839</v>
      </c>
      <c r="N21" s="69">
        <v>63435</v>
      </c>
      <c r="O21" s="69" t="s">
        <v>839</v>
      </c>
      <c r="P21" s="69" t="s">
        <v>839</v>
      </c>
      <c r="Q21" s="69" t="s">
        <v>839</v>
      </c>
      <c r="R21" s="71" t="s">
        <v>847</v>
      </c>
      <c r="S21" s="68"/>
      <c r="T21" s="68"/>
      <c r="U21" s="68"/>
      <c r="V21" s="68"/>
      <c r="W21" s="68"/>
      <c r="X21" s="68"/>
      <c r="Y21" s="68"/>
    </row>
    <row r="22" spans="1:25" s="69" customFormat="1" ht="10.5" customHeight="1" x14ac:dyDescent="0.15">
      <c r="A22" s="787"/>
      <c r="B22" s="70"/>
      <c r="R22" s="71"/>
      <c r="S22" s="68"/>
      <c r="T22" s="68"/>
      <c r="U22" s="68"/>
      <c r="V22" s="68"/>
      <c r="W22" s="68"/>
      <c r="X22" s="68"/>
      <c r="Y22" s="68"/>
    </row>
    <row r="23" spans="1:25" s="69" customFormat="1" ht="10.5" customHeight="1" x14ac:dyDescent="0.15">
      <c r="A23" s="756" t="s">
        <v>848</v>
      </c>
      <c r="B23" s="70">
        <v>13384115</v>
      </c>
      <c r="C23" s="69" t="s">
        <v>839</v>
      </c>
      <c r="D23" s="69" t="s">
        <v>839</v>
      </c>
      <c r="E23" s="69">
        <v>146073</v>
      </c>
      <c r="F23" s="69">
        <v>45041</v>
      </c>
      <c r="G23" s="69" t="s">
        <v>839</v>
      </c>
      <c r="H23" s="69" t="s">
        <v>839</v>
      </c>
      <c r="I23" s="69" t="s">
        <v>839</v>
      </c>
      <c r="J23" s="69">
        <v>45041</v>
      </c>
      <c r="K23" s="69" t="s">
        <v>839</v>
      </c>
      <c r="L23" s="69" t="s">
        <v>839</v>
      </c>
      <c r="M23" s="69">
        <v>6808</v>
      </c>
      <c r="N23" s="69">
        <v>48282</v>
      </c>
      <c r="O23" s="69" t="s">
        <v>839</v>
      </c>
      <c r="P23" s="69" t="s">
        <v>839</v>
      </c>
      <c r="Q23" s="69" t="s">
        <v>839</v>
      </c>
      <c r="R23" s="71" t="s">
        <v>689</v>
      </c>
      <c r="S23" s="68"/>
      <c r="T23" s="68"/>
      <c r="U23" s="68"/>
      <c r="V23" s="68"/>
      <c r="W23" s="68"/>
      <c r="X23" s="68"/>
      <c r="Y23" s="68"/>
    </row>
    <row r="24" spans="1:25" s="69" customFormat="1" ht="10.5" customHeight="1" x14ac:dyDescent="0.15">
      <c r="A24" s="756" t="s">
        <v>678</v>
      </c>
      <c r="B24" s="70">
        <v>12463351</v>
      </c>
      <c r="C24" s="69">
        <v>172335</v>
      </c>
      <c r="D24" s="69">
        <v>172335</v>
      </c>
      <c r="E24" s="69">
        <v>155677</v>
      </c>
      <c r="F24" s="69">
        <v>47374</v>
      </c>
      <c r="G24" s="69" t="s">
        <v>839</v>
      </c>
      <c r="H24" s="69" t="s">
        <v>839</v>
      </c>
      <c r="I24" s="69" t="s">
        <v>839</v>
      </c>
      <c r="J24" s="69" t="s">
        <v>839</v>
      </c>
      <c r="K24" s="69">
        <v>47374</v>
      </c>
      <c r="L24" s="69" t="s">
        <v>839</v>
      </c>
      <c r="M24" s="69" t="s">
        <v>839</v>
      </c>
      <c r="N24" s="69">
        <v>62272</v>
      </c>
      <c r="O24" s="69" t="s">
        <v>839</v>
      </c>
      <c r="P24" s="69" t="s">
        <v>839</v>
      </c>
      <c r="Q24" s="69" t="s">
        <v>839</v>
      </c>
      <c r="R24" s="71" t="s">
        <v>77</v>
      </c>
      <c r="S24" s="68"/>
      <c r="T24" s="68"/>
      <c r="U24" s="68"/>
      <c r="V24" s="68"/>
      <c r="W24" s="68"/>
      <c r="X24" s="68"/>
      <c r="Y24" s="68"/>
    </row>
    <row r="25" spans="1:25" s="69" customFormat="1" ht="10.5" customHeight="1" x14ac:dyDescent="0.15">
      <c r="A25" s="756" t="s">
        <v>679</v>
      </c>
      <c r="B25" s="70">
        <v>14151964</v>
      </c>
      <c r="C25" s="69" t="s">
        <v>839</v>
      </c>
      <c r="D25" s="69" t="s">
        <v>839</v>
      </c>
      <c r="E25" s="69">
        <v>15850</v>
      </c>
      <c r="F25" s="69" t="s">
        <v>839</v>
      </c>
      <c r="G25" s="69" t="s">
        <v>839</v>
      </c>
      <c r="H25" s="69" t="s">
        <v>839</v>
      </c>
      <c r="I25" s="69" t="s">
        <v>839</v>
      </c>
      <c r="J25" s="69" t="s">
        <v>839</v>
      </c>
      <c r="K25" s="69" t="s">
        <v>839</v>
      </c>
      <c r="L25" s="69" t="s">
        <v>839</v>
      </c>
      <c r="M25" s="69" t="s">
        <v>839</v>
      </c>
      <c r="N25" s="69">
        <v>15850</v>
      </c>
      <c r="O25" s="69" t="s">
        <v>839</v>
      </c>
      <c r="P25" s="69" t="s">
        <v>839</v>
      </c>
      <c r="Q25" s="69" t="s">
        <v>839</v>
      </c>
      <c r="R25" s="71" t="s">
        <v>78</v>
      </c>
      <c r="S25" s="68"/>
      <c r="T25" s="68"/>
      <c r="U25" s="68"/>
      <c r="V25" s="68"/>
      <c r="W25" s="68"/>
      <c r="X25" s="68"/>
      <c r="Y25" s="68"/>
    </row>
    <row r="26" spans="1:25" s="69" customFormat="1" ht="10.5" customHeight="1" x14ac:dyDescent="0.15">
      <c r="A26" s="756" t="s">
        <v>680</v>
      </c>
      <c r="B26" s="70">
        <v>13903226</v>
      </c>
      <c r="C26" s="69" t="s">
        <v>839</v>
      </c>
      <c r="D26" s="69" t="s">
        <v>839</v>
      </c>
      <c r="E26" s="69">
        <v>96707</v>
      </c>
      <c r="F26" s="69">
        <v>47113</v>
      </c>
      <c r="G26" s="69" t="s">
        <v>839</v>
      </c>
      <c r="H26" s="69" t="s">
        <v>839</v>
      </c>
      <c r="I26" s="69" t="s">
        <v>839</v>
      </c>
      <c r="J26" s="69" t="s">
        <v>839</v>
      </c>
      <c r="K26" s="69">
        <v>47113</v>
      </c>
      <c r="L26" s="69" t="s">
        <v>839</v>
      </c>
      <c r="M26" s="69">
        <v>7182</v>
      </c>
      <c r="N26" s="69">
        <v>29748</v>
      </c>
      <c r="O26" s="69" t="s">
        <v>839</v>
      </c>
      <c r="P26" s="69" t="s">
        <v>839</v>
      </c>
      <c r="Q26" s="69" t="s">
        <v>839</v>
      </c>
      <c r="R26" s="71" t="s">
        <v>79</v>
      </c>
      <c r="S26" s="68"/>
      <c r="T26" s="68"/>
      <c r="U26" s="68"/>
      <c r="V26" s="68"/>
      <c r="W26" s="68"/>
      <c r="X26" s="68"/>
      <c r="Y26" s="68"/>
    </row>
    <row r="27" spans="1:25" s="69" customFormat="1" ht="10.5" customHeight="1" x14ac:dyDescent="0.15">
      <c r="A27" s="756" t="s">
        <v>681</v>
      </c>
      <c r="B27" s="70">
        <v>12828203</v>
      </c>
      <c r="C27" s="69" t="s">
        <v>839</v>
      </c>
      <c r="D27" s="69" t="s">
        <v>839</v>
      </c>
      <c r="E27" s="69">
        <v>39072</v>
      </c>
      <c r="F27" s="69" t="s">
        <v>839</v>
      </c>
      <c r="G27" s="69" t="s">
        <v>839</v>
      </c>
      <c r="H27" s="69" t="s">
        <v>839</v>
      </c>
      <c r="I27" s="69" t="s">
        <v>839</v>
      </c>
      <c r="J27" s="69" t="s">
        <v>839</v>
      </c>
      <c r="K27" s="69" t="s">
        <v>839</v>
      </c>
      <c r="L27" s="69" t="s">
        <v>839</v>
      </c>
      <c r="M27" s="69">
        <v>7198</v>
      </c>
      <c r="N27" s="69">
        <v>31874</v>
      </c>
      <c r="O27" s="69" t="s">
        <v>839</v>
      </c>
      <c r="P27" s="69" t="s">
        <v>839</v>
      </c>
      <c r="Q27" s="69" t="s">
        <v>839</v>
      </c>
      <c r="R27" s="72" t="s">
        <v>92</v>
      </c>
      <c r="S27" s="68"/>
      <c r="T27" s="68"/>
      <c r="U27" s="68"/>
      <c r="V27" s="68"/>
      <c r="W27" s="68"/>
      <c r="X27" s="68"/>
      <c r="Y27" s="68"/>
    </row>
    <row r="28" spans="1:25" s="69" customFormat="1" ht="10.5" customHeight="1" x14ac:dyDescent="0.15">
      <c r="A28" s="756" t="s">
        <v>682</v>
      </c>
      <c r="B28" s="70">
        <v>10867689</v>
      </c>
      <c r="C28" s="69" t="s">
        <v>839</v>
      </c>
      <c r="D28" s="69" t="s">
        <v>839</v>
      </c>
      <c r="E28" s="69">
        <v>7146</v>
      </c>
      <c r="F28" s="69" t="s">
        <v>839</v>
      </c>
      <c r="G28" s="69" t="s">
        <v>839</v>
      </c>
      <c r="H28" s="69" t="s">
        <v>839</v>
      </c>
      <c r="I28" s="69" t="s">
        <v>839</v>
      </c>
      <c r="J28" s="69" t="s">
        <v>839</v>
      </c>
      <c r="K28" s="69" t="s">
        <v>839</v>
      </c>
      <c r="L28" s="69" t="s">
        <v>839</v>
      </c>
      <c r="M28" s="69">
        <v>7146</v>
      </c>
      <c r="N28" s="69" t="s">
        <v>839</v>
      </c>
      <c r="O28" s="69" t="s">
        <v>839</v>
      </c>
      <c r="P28" s="69" t="s">
        <v>839</v>
      </c>
      <c r="Q28" s="69" t="s">
        <v>839</v>
      </c>
      <c r="R28" s="71" t="s">
        <v>93</v>
      </c>
      <c r="S28" s="68"/>
      <c r="T28" s="68"/>
      <c r="U28" s="68"/>
      <c r="V28" s="68"/>
      <c r="W28" s="68"/>
      <c r="X28" s="68"/>
      <c r="Y28" s="68"/>
    </row>
    <row r="29" spans="1:25" s="69" customFormat="1" ht="10.5" customHeight="1" x14ac:dyDescent="0.15">
      <c r="A29" s="756" t="s">
        <v>683</v>
      </c>
      <c r="B29" s="70">
        <v>12885890</v>
      </c>
      <c r="C29" s="69" t="s">
        <v>839</v>
      </c>
      <c r="D29" s="69" t="s">
        <v>839</v>
      </c>
      <c r="E29" s="69">
        <v>56187</v>
      </c>
      <c r="F29" s="69">
        <v>49078</v>
      </c>
      <c r="G29" s="69" t="s">
        <v>839</v>
      </c>
      <c r="H29" s="69" t="s">
        <v>839</v>
      </c>
      <c r="I29" s="69" t="s">
        <v>839</v>
      </c>
      <c r="J29" s="69">
        <v>49078</v>
      </c>
      <c r="K29" s="69" t="s">
        <v>839</v>
      </c>
      <c r="L29" s="69" t="s">
        <v>839</v>
      </c>
      <c r="M29" s="69">
        <v>7109</v>
      </c>
      <c r="N29" s="69" t="s">
        <v>839</v>
      </c>
      <c r="O29" s="69" t="s">
        <v>839</v>
      </c>
      <c r="P29" s="69" t="s">
        <v>839</v>
      </c>
      <c r="Q29" s="69" t="s">
        <v>839</v>
      </c>
      <c r="R29" s="71" t="s">
        <v>94</v>
      </c>
      <c r="S29" s="68"/>
      <c r="T29" s="68"/>
      <c r="U29" s="68"/>
      <c r="V29" s="68"/>
      <c r="W29" s="68"/>
      <c r="X29" s="68"/>
      <c r="Y29" s="68"/>
    </row>
    <row r="30" spans="1:25" s="69" customFormat="1" ht="10.5" customHeight="1" x14ac:dyDescent="0.15">
      <c r="A30" s="756" t="s">
        <v>684</v>
      </c>
      <c r="B30" s="70">
        <v>14692831</v>
      </c>
      <c r="C30" s="69" t="s">
        <v>839</v>
      </c>
      <c r="D30" s="69" t="s">
        <v>839</v>
      </c>
      <c r="E30" s="69">
        <v>39493</v>
      </c>
      <c r="F30" s="69">
        <v>39493</v>
      </c>
      <c r="G30" s="69" t="s">
        <v>839</v>
      </c>
      <c r="H30" s="69" t="s">
        <v>839</v>
      </c>
      <c r="I30" s="69" t="s">
        <v>839</v>
      </c>
      <c r="J30" s="69" t="s">
        <v>839</v>
      </c>
      <c r="K30" s="69" t="s">
        <v>839</v>
      </c>
      <c r="L30" s="69">
        <v>39493</v>
      </c>
      <c r="M30" s="69" t="s">
        <v>839</v>
      </c>
      <c r="N30" s="69" t="s">
        <v>839</v>
      </c>
      <c r="O30" s="69" t="s">
        <v>839</v>
      </c>
      <c r="P30" s="69" t="s">
        <v>839</v>
      </c>
      <c r="Q30" s="69" t="s">
        <v>839</v>
      </c>
      <c r="R30" s="71" t="s">
        <v>95</v>
      </c>
      <c r="S30" s="68"/>
      <c r="T30" s="68"/>
      <c r="U30" s="68"/>
      <c r="V30" s="68"/>
      <c r="W30" s="68"/>
      <c r="X30" s="68"/>
      <c r="Y30" s="68"/>
    </row>
    <row r="31" spans="1:25" s="69" customFormat="1" ht="10.5" customHeight="1" x14ac:dyDescent="0.15">
      <c r="A31" s="756" t="s">
        <v>685</v>
      </c>
      <c r="B31" s="70">
        <v>13147958</v>
      </c>
      <c r="C31" s="69" t="s">
        <v>839</v>
      </c>
      <c r="D31" s="69" t="s">
        <v>839</v>
      </c>
      <c r="E31" s="69">
        <v>152377</v>
      </c>
      <c r="F31" s="69">
        <v>93702</v>
      </c>
      <c r="G31" s="69" t="s">
        <v>839</v>
      </c>
      <c r="H31" s="69" t="s">
        <v>839</v>
      </c>
      <c r="I31" s="69" t="s">
        <v>839</v>
      </c>
      <c r="J31" s="69">
        <v>48941</v>
      </c>
      <c r="K31" s="69">
        <v>44761</v>
      </c>
      <c r="L31" s="69" t="s">
        <v>839</v>
      </c>
      <c r="M31" s="69">
        <v>6941</v>
      </c>
      <c r="N31" s="69">
        <v>28624</v>
      </c>
      <c r="O31" s="69" t="s">
        <v>839</v>
      </c>
      <c r="P31" s="69" t="s">
        <v>839</v>
      </c>
      <c r="Q31" s="69" t="s">
        <v>839</v>
      </c>
      <c r="R31" s="71" t="s">
        <v>96</v>
      </c>
      <c r="S31" s="68"/>
      <c r="T31" s="68"/>
      <c r="U31" s="68"/>
      <c r="V31" s="68"/>
      <c r="W31" s="68"/>
      <c r="X31" s="68"/>
      <c r="Y31" s="68"/>
    </row>
    <row r="32" spans="1:25" s="69" customFormat="1" ht="10.5" customHeight="1" x14ac:dyDescent="0.15">
      <c r="A32" s="756" t="s">
        <v>686</v>
      </c>
      <c r="B32" s="70">
        <v>13426435</v>
      </c>
      <c r="C32" s="69" t="s">
        <v>839</v>
      </c>
      <c r="D32" s="69" t="s">
        <v>839</v>
      </c>
      <c r="E32" s="69">
        <v>100800</v>
      </c>
      <c r="F32" s="69">
        <v>47526</v>
      </c>
      <c r="G32" s="69" t="s">
        <v>839</v>
      </c>
      <c r="H32" s="69" t="s">
        <v>839</v>
      </c>
      <c r="I32" s="69" t="s">
        <v>839</v>
      </c>
      <c r="J32" s="69">
        <v>47526</v>
      </c>
      <c r="K32" s="69" t="s">
        <v>839</v>
      </c>
      <c r="L32" s="69" t="s">
        <v>839</v>
      </c>
      <c r="M32" s="69">
        <v>7257</v>
      </c>
      <c r="N32" s="69" t="s">
        <v>839</v>
      </c>
      <c r="O32" s="69" t="s">
        <v>839</v>
      </c>
      <c r="P32" s="69" t="s">
        <v>839</v>
      </c>
      <c r="Q32" s="69" t="s">
        <v>839</v>
      </c>
      <c r="R32" s="71" t="s">
        <v>80</v>
      </c>
      <c r="S32" s="68"/>
      <c r="T32" s="68"/>
      <c r="U32" s="68"/>
      <c r="V32" s="68"/>
      <c r="W32" s="68"/>
      <c r="X32" s="68"/>
      <c r="Y32" s="68"/>
    </row>
    <row r="33" spans="1:25" s="69" customFormat="1" ht="10.5" customHeight="1" x14ac:dyDescent="0.15">
      <c r="A33" s="756" t="s">
        <v>687</v>
      </c>
      <c r="B33" s="70">
        <v>12307451</v>
      </c>
      <c r="C33" s="69" t="s">
        <v>839</v>
      </c>
      <c r="D33" s="69" t="s">
        <v>839</v>
      </c>
      <c r="E33" s="69">
        <v>198944</v>
      </c>
      <c r="F33" s="69">
        <v>144297</v>
      </c>
      <c r="G33" s="69" t="s">
        <v>839</v>
      </c>
      <c r="H33" s="69" t="s">
        <v>839</v>
      </c>
      <c r="I33" s="69" t="s">
        <v>839</v>
      </c>
      <c r="J33" s="69">
        <v>144297</v>
      </c>
      <c r="K33" s="69" t="s">
        <v>839</v>
      </c>
      <c r="L33" s="69" t="s">
        <v>839</v>
      </c>
      <c r="M33" s="69" t="s">
        <v>839</v>
      </c>
      <c r="N33" s="69">
        <v>31689</v>
      </c>
      <c r="O33" s="69" t="s">
        <v>839</v>
      </c>
      <c r="P33" s="69" t="s">
        <v>839</v>
      </c>
      <c r="Q33" s="69" t="s">
        <v>839</v>
      </c>
      <c r="R33" s="71" t="s">
        <v>81</v>
      </c>
      <c r="S33" s="68"/>
      <c r="T33" s="68"/>
      <c r="U33" s="68"/>
      <c r="V33" s="68"/>
      <c r="W33" s="68"/>
      <c r="X33" s="68"/>
      <c r="Y33" s="68"/>
    </row>
    <row r="34" spans="1:25" s="69" customFormat="1" ht="10.5" customHeight="1" x14ac:dyDescent="0.15">
      <c r="A34" s="756" t="s">
        <v>688</v>
      </c>
      <c r="B34" s="70">
        <v>14582467</v>
      </c>
      <c r="C34" s="69" t="s">
        <v>839</v>
      </c>
      <c r="D34" s="69" t="s">
        <v>839</v>
      </c>
      <c r="E34" s="69">
        <v>181406</v>
      </c>
      <c r="F34" s="69">
        <v>94193</v>
      </c>
      <c r="G34" s="69" t="s">
        <v>839</v>
      </c>
      <c r="H34" s="69" t="s">
        <v>839</v>
      </c>
      <c r="I34" s="69" t="s">
        <v>839</v>
      </c>
      <c r="J34" s="69">
        <v>94193</v>
      </c>
      <c r="K34" s="69" t="s">
        <v>839</v>
      </c>
      <c r="L34" s="69" t="s">
        <v>839</v>
      </c>
      <c r="M34" s="69">
        <v>6993</v>
      </c>
      <c r="N34" s="69">
        <v>30563</v>
      </c>
      <c r="O34" s="69" t="s">
        <v>839</v>
      </c>
      <c r="P34" s="69" t="s">
        <v>839</v>
      </c>
      <c r="Q34" s="69" t="s">
        <v>839</v>
      </c>
      <c r="R34" s="71" t="s">
        <v>82</v>
      </c>
      <c r="S34" s="68"/>
      <c r="T34" s="68"/>
      <c r="U34" s="68"/>
      <c r="V34" s="68"/>
      <c r="W34" s="68"/>
      <c r="X34" s="68"/>
      <c r="Y34" s="68"/>
    </row>
    <row r="35" spans="1:25" s="69" customFormat="1" ht="10.5" customHeight="1" x14ac:dyDescent="0.15">
      <c r="A35" s="756" t="s">
        <v>849</v>
      </c>
      <c r="B35" s="70">
        <v>13423041</v>
      </c>
      <c r="C35" s="69" t="s">
        <v>839</v>
      </c>
      <c r="D35" s="69" t="s">
        <v>839</v>
      </c>
      <c r="E35" s="69">
        <v>53836</v>
      </c>
      <c r="F35" s="69" t="s">
        <v>839</v>
      </c>
      <c r="G35" s="69" t="s">
        <v>839</v>
      </c>
      <c r="H35" s="69" t="s">
        <v>839</v>
      </c>
      <c r="I35" s="69" t="s">
        <v>839</v>
      </c>
      <c r="J35" s="69" t="s">
        <v>839</v>
      </c>
      <c r="K35" s="69" t="s">
        <v>839</v>
      </c>
      <c r="L35" s="69" t="s">
        <v>839</v>
      </c>
      <c r="M35" s="69" t="s">
        <v>839</v>
      </c>
      <c r="N35" s="69">
        <v>31736</v>
      </c>
      <c r="O35" s="69" t="s">
        <v>839</v>
      </c>
      <c r="P35" s="69" t="s">
        <v>839</v>
      </c>
      <c r="Q35" s="69" t="s">
        <v>839</v>
      </c>
      <c r="R35" s="71" t="s">
        <v>850</v>
      </c>
      <c r="S35" s="68"/>
      <c r="T35" s="68"/>
      <c r="U35" s="68"/>
      <c r="V35" s="68"/>
      <c r="W35" s="68"/>
      <c r="X35" s="68"/>
      <c r="Y35" s="68"/>
    </row>
    <row r="36" spans="1:25" s="69" customFormat="1" ht="10.5" customHeight="1" x14ac:dyDescent="0.15">
      <c r="A36" s="756" t="s">
        <v>690</v>
      </c>
      <c r="B36" s="70">
        <v>12141784</v>
      </c>
      <c r="C36" s="69" t="s">
        <v>839</v>
      </c>
      <c r="D36" s="69" t="s">
        <v>839</v>
      </c>
      <c r="E36" s="69">
        <v>79422</v>
      </c>
      <c r="F36" s="69" t="s">
        <v>839</v>
      </c>
      <c r="G36" s="69" t="s">
        <v>839</v>
      </c>
      <c r="H36" s="69" t="s">
        <v>839</v>
      </c>
      <c r="I36" s="69" t="s">
        <v>839</v>
      </c>
      <c r="J36" s="69" t="s">
        <v>839</v>
      </c>
      <c r="K36" s="69" t="s">
        <v>839</v>
      </c>
      <c r="L36" s="69" t="s">
        <v>839</v>
      </c>
      <c r="M36" s="69" t="s">
        <v>839</v>
      </c>
      <c r="N36" s="69">
        <v>31699</v>
      </c>
      <c r="O36" s="69" t="s">
        <v>839</v>
      </c>
      <c r="P36" s="69" t="s">
        <v>839</v>
      </c>
      <c r="Q36" s="69" t="s">
        <v>839</v>
      </c>
      <c r="R36" s="71" t="s">
        <v>77</v>
      </c>
      <c r="S36" s="68"/>
      <c r="T36" s="68"/>
      <c r="U36" s="68"/>
      <c r="V36" s="68"/>
      <c r="W36" s="68"/>
      <c r="X36" s="68"/>
      <c r="Y36" s="68"/>
    </row>
    <row r="37" spans="1:25" s="69" customFormat="1" ht="10.5" customHeight="1" x14ac:dyDescent="0.15">
      <c r="A37" s="757" t="s">
        <v>691</v>
      </c>
      <c r="B37" s="73">
        <v>12355772</v>
      </c>
      <c r="C37" s="74" t="s">
        <v>839</v>
      </c>
      <c r="D37" s="74" t="s">
        <v>839</v>
      </c>
      <c r="E37" s="74">
        <v>113242</v>
      </c>
      <c r="F37" s="74">
        <v>41019</v>
      </c>
      <c r="G37" s="74" t="s">
        <v>839</v>
      </c>
      <c r="H37" s="74" t="s">
        <v>839</v>
      </c>
      <c r="I37" s="74" t="s">
        <v>839</v>
      </c>
      <c r="J37" s="74" t="s">
        <v>839</v>
      </c>
      <c r="K37" s="74" t="s">
        <v>839</v>
      </c>
      <c r="L37" s="74">
        <v>41019</v>
      </c>
      <c r="M37" s="74" t="s">
        <v>839</v>
      </c>
      <c r="N37" s="74" t="s">
        <v>839</v>
      </c>
      <c r="O37" s="74" t="s">
        <v>839</v>
      </c>
      <c r="P37" s="74" t="s">
        <v>839</v>
      </c>
      <c r="Q37" s="74" t="s">
        <v>839</v>
      </c>
      <c r="R37" s="75" t="s">
        <v>78</v>
      </c>
      <c r="S37" s="68"/>
      <c r="T37" s="68"/>
      <c r="U37" s="68"/>
      <c r="V37" s="68"/>
      <c r="W37" s="68"/>
      <c r="X37" s="68"/>
      <c r="Y37" s="68"/>
    </row>
    <row r="38" spans="1:25" ht="23.25" customHeight="1" x14ac:dyDescent="0.25">
      <c r="I38" s="76" t="s">
        <v>97</v>
      </c>
    </row>
    <row r="39" spans="1:25" s="20" customFormat="1" ht="11.25" customHeight="1" x14ac:dyDescent="0.15">
      <c r="A39" s="61"/>
      <c r="B39" s="77" t="s">
        <v>126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999" t="s">
        <v>83</v>
      </c>
      <c r="S39" s="18"/>
      <c r="T39" s="18"/>
      <c r="U39" s="18"/>
      <c r="V39" s="18"/>
      <c r="W39" s="18"/>
      <c r="X39" s="18"/>
      <c r="Y39" s="18"/>
    </row>
    <row r="40" spans="1:25" s="64" customFormat="1" ht="28.5" customHeight="1" x14ac:dyDescent="0.15">
      <c r="A40" s="32" t="s">
        <v>185</v>
      </c>
      <c r="B40" s="38" t="s">
        <v>517</v>
      </c>
      <c r="C40" s="19"/>
      <c r="D40" s="19"/>
      <c r="E40" s="19"/>
      <c r="F40" s="19"/>
      <c r="G40" s="19"/>
      <c r="H40" s="19"/>
      <c r="I40" s="19"/>
      <c r="J40" s="79"/>
      <c r="K40" s="720" t="s">
        <v>134</v>
      </c>
      <c r="L40" s="19"/>
      <c r="M40" s="79"/>
      <c r="N40" s="720" t="s">
        <v>41</v>
      </c>
      <c r="O40" s="19"/>
      <c r="P40" s="19"/>
      <c r="Q40" s="19"/>
      <c r="R40" s="1000"/>
      <c r="S40" s="14"/>
      <c r="T40" s="14"/>
      <c r="U40" s="14"/>
      <c r="V40" s="14"/>
      <c r="W40" s="14"/>
      <c r="X40" s="14"/>
      <c r="Y40" s="14"/>
    </row>
    <row r="41" spans="1:25" s="64" customFormat="1" ht="28.5" customHeight="1" x14ac:dyDescent="0.15">
      <c r="A41" s="32"/>
      <c r="B41" s="13" t="s">
        <v>131</v>
      </c>
      <c r="C41" s="13" t="s">
        <v>132</v>
      </c>
      <c r="D41" s="13" t="s">
        <v>133</v>
      </c>
      <c r="E41" s="625" t="s">
        <v>855</v>
      </c>
      <c r="F41" s="13" t="s">
        <v>135</v>
      </c>
      <c r="G41" s="13" t="s">
        <v>856</v>
      </c>
      <c r="H41" s="13" t="s">
        <v>460</v>
      </c>
      <c r="I41" s="13" t="s">
        <v>136</v>
      </c>
      <c r="J41" s="13" t="s">
        <v>622</v>
      </c>
      <c r="K41" s="15" t="s">
        <v>20</v>
      </c>
      <c r="L41" s="13" t="s">
        <v>57</v>
      </c>
      <c r="M41" s="13" t="s">
        <v>137</v>
      </c>
      <c r="N41" s="15" t="s">
        <v>21</v>
      </c>
      <c r="O41" s="13" t="s">
        <v>43</v>
      </c>
      <c r="P41" s="13" t="s">
        <v>44</v>
      </c>
      <c r="Q41" s="720" t="s">
        <v>695</v>
      </c>
      <c r="R41" s="1000"/>
      <c r="S41" s="14"/>
      <c r="T41" s="14"/>
      <c r="U41" s="14"/>
      <c r="V41" s="14"/>
      <c r="W41" s="14"/>
      <c r="X41" s="14"/>
      <c r="Y41" s="14"/>
    </row>
    <row r="42" spans="1:25" s="64" customFormat="1" ht="12" customHeight="1" x14ac:dyDescent="0.15">
      <c r="A42" s="33"/>
      <c r="B42" s="17" t="str">
        <f>PROPER("ANGSI")</f>
        <v>Angsi</v>
      </c>
      <c r="C42" s="17" t="str">
        <f>PROPER("PENARA-B")</f>
        <v>Penara-B</v>
      </c>
      <c r="D42" s="17" t="str">
        <f>PROPER("SEPAT")</f>
        <v>Sepat</v>
      </c>
      <c r="E42" s="17" t="str">
        <f>PROPER("MYSIA-FO")</f>
        <v>Mysia-Fo</v>
      </c>
      <c r="F42" s="17" t="str">
        <f>PROPER("BERTAM")</f>
        <v>Bertam</v>
      </c>
      <c r="G42" s="17" t="str">
        <f>PROPER("BLEND-FO")</f>
        <v>Blend-Fo</v>
      </c>
      <c r="H42" s="17" t="str">
        <f>PROPER("MIRI-L")</f>
        <v>Miri-L</v>
      </c>
      <c r="I42" s="17" t="str">
        <f>PROPER("KIDURONG")</f>
        <v>Kidurong</v>
      </c>
      <c r="J42" s="17" t="str">
        <f>PROPER("LABUAN-L")</f>
        <v>Labuan-L</v>
      </c>
      <c r="K42" s="17"/>
      <c r="L42" s="17" t="str">
        <f>PROPER("L-SERIA")</f>
        <v>L-Seria</v>
      </c>
      <c r="M42" s="17" t="str">
        <f>PROPER("CHAMPION")</f>
        <v>Champion</v>
      </c>
      <c r="N42" s="17"/>
      <c r="O42" s="17" t="str">
        <f>PROPER("DURI")</f>
        <v>Duri</v>
      </c>
      <c r="P42" s="17" t="str">
        <f>PROPER("SUMATR-L")</f>
        <v>Sumatr-L</v>
      </c>
      <c r="Q42" s="16" t="str">
        <f>PROPER("LALANG")</f>
        <v>Lalang</v>
      </c>
      <c r="R42" s="1001"/>
      <c r="S42" s="14"/>
      <c r="T42" s="14"/>
      <c r="U42" s="14"/>
      <c r="V42" s="14"/>
      <c r="W42" s="14"/>
      <c r="X42" s="14"/>
      <c r="Y42" s="14"/>
    </row>
    <row r="43" spans="1:25" s="69" customFormat="1" ht="10.5" customHeight="1" x14ac:dyDescent="0.15">
      <c r="A43" s="755" t="s">
        <v>838</v>
      </c>
      <c r="B43" s="65">
        <v>39311</v>
      </c>
      <c r="C43" s="66">
        <v>100164</v>
      </c>
      <c r="D43" s="66">
        <v>238368</v>
      </c>
      <c r="E43" s="66">
        <v>116638</v>
      </c>
      <c r="F43" s="66" t="s">
        <v>839</v>
      </c>
      <c r="G43" s="66" t="s">
        <v>839</v>
      </c>
      <c r="H43" s="66">
        <v>37722</v>
      </c>
      <c r="I43" s="66">
        <v>45373</v>
      </c>
      <c r="J43" s="66" t="s">
        <v>839</v>
      </c>
      <c r="K43" s="66">
        <v>130531</v>
      </c>
      <c r="L43" s="66" t="s">
        <v>839</v>
      </c>
      <c r="M43" s="66">
        <v>130531</v>
      </c>
      <c r="N43" s="66">
        <v>1455036</v>
      </c>
      <c r="O43" s="66">
        <v>356685</v>
      </c>
      <c r="P43" s="66">
        <v>658968</v>
      </c>
      <c r="Q43" s="66" t="s">
        <v>839</v>
      </c>
      <c r="R43" s="67" t="s">
        <v>457</v>
      </c>
      <c r="S43" s="68"/>
      <c r="T43" s="68"/>
      <c r="U43" s="68"/>
      <c r="V43" s="68"/>
      <c r="W43" s="68"/>
      <c r="X43" s="68"/>
      <c r="Y43" s="68"/>
    </row>
    <row r="44" spans="1:25" s="69" customFormat="1" ht="10.5" customHeight="1" x14ac:dyDescent="0.15">
      <c r="A44" s="756" t="s">
        <v>669</v>
      </c>
      <c r="B44" s="69" t="s">
        <v>839</v>
      </c>
      <c r="C44" s="69">
        <v>174097</v>
      </c>
      <c r="D44" s="69">
        <v>280165</v>
      </c>
      <c r="E44" s="69">
        <v>74811</v>
      </c>
      <c r="F44" s="69">
        <v>75268</v>
      </c>
      <c r="G44" s="69">
        <v>49841</v>
      </c>
      <c r="H44" s="69" t="s">
        <v>839</v>
      </c>
      <c r="I44" s="69" t="s">
        <v>839</v>
      </c>
      <c r="J44" s="69" t="s">
        <v>839</v>
      </c>
      <c r="K44" s="69">
        <v>368422</v>
      </c>
      <c r="L44" s="69">
        <v>95195</v>
      </c>
      <c r="M44" s="69">
        <v>273227</v>
      </c>
      <c r="N44" s="69">
        <v>120915</v>
      </c>
      <c r="O44" s="69" t="s">
        <v>839</v>
      </c>
      <c r="P44" s="69">
        <v>28698</v>
      </c>
      <c r="Q44" s="69" t="s">
        <v>839</v>
      </c>
      <c r="R44" s="71" t="s">
        <v>512</v>
      </c>
      <c r="S44" s="68"/>
      <c r="T44" s="68"/>
      <c r="U44" s="68"/>
      <c r="V44" s="68"/>
      <c r="W44" s="68"/>
      <c r="X44" s="68"/>
      <c r="Y44" s="68"/>
    </row>
    <row r="45" spans="1:25" s="69" customFormat="1" ht="10.5" customHeight="1" x14ac:dyDescent="0.15">
      <c r="A45" s="756" t="s">
        <v>670</v>
      </c>
      <c r="B45" s="69" t="s">
        <v>839</v>
      </c>
      <c r="C45" s="69">
        <v>216981</v>
      </c>
      <c r="D45" s="69">
        <v>183317</v>
      </c>
      <c r="E45" s="69">
        <v>20891</v>
      </c>
      <c r="F45" s="69" t="s">
        <v>839</v>
      </c>
      <c r="G45" s="69">
        <v>46460</v>
      </c>
      <c r="H45" s="69" t="s">
        <v>839</v>
      </c>
      <c r="I45" s="69" t="s">
        <v>839</v>
      </c>
      <c r="J45" s="69">
        <v>91038</v>
      </c>
      <c r="K45" s="69">
        <v>92648</v>
      </c>
      <c r="L45" s="69" t="s">
        <v>839</v>
      </c>
      <c r="M45" s="69">
        <v>92648</v>
      </c>
      <c r="N45" s="69" t="s">
        <v>839</v>
      </c>
      <c r="O45" s="69" t="s">
        <v>839</v>
      </c>
      <c r="P45" s="69" t="s">
        <v>839</v>
      </c>
      <c r="Q45" s="69" t="s">
        <v>839</v>
      </c>
      <c r="R45" s="71" t="s">
        <v>620</v>
      </c>
      <c r="S45" s="68"/>
      <c r="T45" s="68"/>
      <c r="U45" s="68"/>
      <c r="V45" s="68"/>
      <c r="W45" s="68"/>
      <c r="X45" s="68"/>
      <c r="Y45" s="68"/>
    </row>
    <row r="46" spans="1:25" s="69" customFormat="1" ht="10.5" customHeight="1" x14ac:dyDescent="0.15">
      <c r="A46" s="756" t="s">
        <v>671</v>
      </c>
      <c r="B46" s="69" t="s">
        <v>839</v>
      </c>
      <c r="C46" s="69">
        <v>64109</v>
      </c>
      <c r="D46" s="69">
        <v>318998</v>
      </c>
      <c r="E46" s="69">
        <v>38774</v>
      </c>
      <c r="F46" s="69">
        <v>47366</v>
      </c>
      <c r="G46" s="69">
        <v>16085</v>
      </c>
      <c r="H46" s="69" t="s">
        <v>839</v>
      </c>
      <c r="I46" s="69" t="s">
        <v>839</v>
      </c>
      <c r="J46" s="69" t="s">
        <v>839</v>
      </c>
      <c r="K46" s="69">
        <v>182256</v>
      </c>
      <c r="L46" s="69" t="s">
        <v>839</v>
      </c>
      <c r="M46" s="69">
        <v>182256</v>
      </c>
      <c r="N46" s="69">
        <v>173572</v>
      </c>
      <c r="O46" s="69">
        <v>36406</v>
      </c>
      <c r="P46" s="69">
        <v>41650</v>
      </c>
      <c r="Q46" s="69">
        <v>63956</v>
      </c>
      <c r="R46" s="71" t="s">
        <v>672</v>
      </c>
      <c r="S46" s="68"/>
      <c r="T46" s="68"/>
      <c r="U46" s="68"/>
      <c r="V46" s="68"/>
      <c r="W46" s="68"/>
      <c r="X46" s="68"/>
      <c r="Y46" s="68"/>
    </row>
    <row r="47" spans="1:25" s="69" customFormat="1" ht="10.5" customHeight="1" x14ac:dyDescent="0.15">
      <c r="A47" s="756" t="s">
        <v>840</v>
      </c>
      <c r="B47" s="69" t="s">
        <v>839</v>
      </c>
      <c r="C47" s="69" t="s">
        <v>839</v>
      </c>
      <c r="D47" s="69">
        <v>246579</v>
      </c>
      <c r="E47" s="69">
        <v>32323</v>
      </c>
      <c r="F47" s="69" t="s">
        <v>839</v>
      </c>
      <c r="G47" s="69" t="s">
        <v>839</v>
      </c>
      <c r="H47" s="69" t="s">
        <v>839</v>
      </c>
      <c r="I47" s="69" t="s">
        <v>839</v>
      </c>
      <c r="J47" s="69" t="s">
        <v>839</v>
      </c>
      <c r="K47" s="69">
        <v>187647</v>
      </c>
      <c r="L47" s="69">
        <v>45942</v>
      </c>
      <c r="M47" s="69">
        <v>141705</v>
      </c>
      <c r="N47" s="69">
        <v>58732</v>
      </c>
      <c r="O47" s="69" t="s">
        <v>839</v>
      </c>
      <c r="P47" s="69" t="s">
        <v>839</v>
      </c>
      <c r="Q47" s="69">
        <v>58732</v>
      </c>
      <c r="R47" s="71" t="s">
        <v>841</v>
      </c>
      <c r="S47" s="68"/>
      <c r="T47" s="68"/>
      <c r="U47" s="68"/>
      <c r="V47" s="68"/>
      <c r="W47" s="68"/>
      <c r="X47" s="68"/>
      <c r="Y47" s="68"/>
    </row>
    <row r="48" spans="1:25" s="69" customFormat="1" ht="10.5" customHeight="1" x14ac:dyDescent="0.15">
      <c r="A48" s="787"/>
      <c r="R48" s="71"/>
      <c r="S48" s="68"/>
      <c r="T48" s="68"/>
      <c r="U48" s="68"/>
      <c r="V48" s="68"/>
      <c r="W48" s="68"/>
      <c r="X48" s="68"/>
      <c r="Y48" s="68"/>
    </row>
    <row r="49" spans="1:25" s="69" customFormat="1" ht="10.5" customHeight="1" x14ac:dyDescent="0.15">
      <c r="A49" s="756" t="s">
        <v>842</v>
      </c>
      <c r="B49" s="69" t="s">
        <v>839</v>
      </c>
      <c r="C49" s="69">
        <v>64109</v>
      </c>
      <c r="D49" s="69">
        <v>350116</v>
      </c>
      <c r="E49" s="69">
        <v>71097</v>
      </c>
      <c r="F49" s="69" t="s">
        <v>839</v>
      </c>
      <c r="G49" s="69" t="s">
        <v>839</v>
      </c>
      <c r="H49" s="69" t="s">
        <v>839</v>
      </c>
      <c r="I49" s="69" t="s">
        <v>839</v>
      </c>
      <c r="J49" s="69" t="s">
        <v>839</v>
      </c>
      <c r="K49" s="69">
        <v>187051</v>
      </c>
      <c r="L49" s="69">
        <v>45942</v>
      </c>
      <c r="M49" s="69">
        <v>141109</v>
      </c>
      <c r="N49" s="69">
        <v>95516</v>
      </c>
      <c r="O49" s="69" t="s">
        <v>839</v>
      </c>
      <c r="P49" s="69" t="s">
        <v>839</v>
      </c>
      <c r="Q49" s="69">
        <v>63956</v>
      </c>
      <c r="R49" s="71" t="s">
        <v>673</v>
      </c>
      <c r="S49" s="68"/>
      <c r="T49" s="68"/>
      <c r="U49" s="68"/>
      <c r="V49" s="68"/>
      <c r="W49" s="68"/>
      <c r="X49" s="68"/>
      <c r="Y49" s="68"/>
    </row>
    <row r="50" spans="1:25" s="69" customFormat="1" ht="10.5" customHeight="1" x14ac:dyDescent="0.15">
      <c r="A50" s="756" t="s">
        <v>843</v>
      </c>
      <c r="B50" s="69" t="s">
        <v>839</v>
      </c>
      <c r="C50" s="69" t="s">
        <v>839</v>
      </c>
      <c r="D50" s="69">
        <v>215933</v>
      </c>
      <c r="E50" s="69" t="s">
        <v>839</v>
      </c>
      <c r="F50" s="69" t="s">
        <v>839</v>
      </c>
      <c r="G50" s="69" t="s">
        <v>839</v>
      </c>
      <c r="H50" s="69" t="s">
        <v>839</v>
      </c>
      <c r="I50" s="69" t="s">
        <v>839</v>
      </c>
      <c r="J50" s="69" t="s">
        <v>839</v>
      </c>
      <c r="K50" s="69">
        <v>191121</v>
      </c>
      <c r="L50" s="69" t="s">
        <v>839</v>
      </c>
      <c r="M50" s="69">
        <v>191121</v>
      </c>
      <c r="N50" s="69">
        <v>105331</v>
      </c>
      <c r="O50" s="69" t="s">
        <v>839</v>
      </c>
      <c r="P50" s="69" t="s">
        <v>839</v>
      </c>
      <c r="Q50" s="69">
        <v>105331</v>
      </c>
      <c r="R50" s="71" t="s">
        <v>844</v>
      </c>
      <c r="S50" s="68"/>
      <c r="T50" s="68"/>
      <c r="U50" s="68"/>
      <c r="V50" s="68"/>
      <c r="W50" s="68"/>
      <c r="X50" s="68"/>
      <c r="Y50" s="68"/>
    </row>
    <row r="51" spans="1:25" s="69" customFormat="1" ht="10.5" customHeight="1" x14ac:dyDescent="0.15">
      <c r="A51" s="787"/>
      <c r="R51" s="71"/>
      <c r="S51" s="68"/>
      <c r="T51" s="68"/>
      <c r="U51" s="68"/>
      <c r="V51" s="68"/>
      <c r="W51" s="68"/>
      <c r="X51" s="68"/>
      <c r="Y51" s="68"/>
    </row>
    <row r="52" spans="1:25" s="69" customFormat="1" ht="10.5" customHeight="1" x14ac:dyDescent="0.15">
      <c r="A52" s="756" t="s">
        <v>845</v>
      </c>
      <c r="B52" s="69" t="s">
        <v>839</v>
      </c>
      <c r="C52" s="69" t="s">
        <v>839</v>
      </c>
      <c r="D52" s="69">
        <v>94081</v>
      </c>
      <c r="E52" s="69">
        <v>32323</v>
      </c>
      <c r="F52" s="69" t="s">
        <v>839</v>
      </c>
      <c r="G52" s="69" t="s">
        <v>839</v>
      </c>
      <c r="H52" s="69" t="s">
        <v>839</v>
      </c>
      <c r="I52" s="69" t="s">
        <v>839</v>
      </c>
      <c r="J52" s="69" t="s">
        <v>839</v>
      </c>
      <c r="K52" s="69">
        <v>91973</v>
      </c>
      <c r="L52" s="69">
        <v>45942</v>
      </c>
      <c r="M52" s="69">
        <v>46031</v>
      </c>
      <c r="N52" s="69" t="s">
        <v>839</v>
      </c>
      <c r="O52" s="69" t="s">
        <v>839</v>
      </c>
      <c r="P52" s="69" t="s">
        <v>839</v>
      </c>
      <c r="Q52" s="69" t="s">
        <v>839</v>
      </c>
      <c r="R52" s="71" t="s">
        <v>677</v>
      </c>
      <c r="S52" s="68"/>
      <c r="T52" s="68"/>
      <c r="U52" s="68"/>
      <c r="V52" s="68"/>
      <c r="W52" s="68"/>
      <c r="X52" s="68"/>
      <c r="Y52" s="68"/>
    </row>
    <row r="53" spans="1:25" s="69" customFormat="1" ht="10.5" customHeight="1" x14ac:dyDescent="0.15">
      <c r="A53" s="756" t="s">
        <v>674</v>
      </c>
      <c r="B53" s="69" t="s">
        <v>839</v>
      </c>
      <c r="C53" s="69" t="s">
        <v>839</v>
      </c>
      <c r="D53" s="69">
        <v>61622</v>
      </c>
      <c r="E53" s="69" t="s">
        <v>839</v>
      </c>
      <c r="F53" s="69" t="s">
        <v>839</v>
      </c>
      <c r="G53" s="69" t="s">
        <v>839</v>
      </c>
      <c r="H53" s="69" t="s">
        <v>839</v>
      </c>
      <c r="I53" s="69" t="s">
        <v>839</v>
      </c>
      <c r="J53" s="69" t="s">
        <v>839</v>
      </c>
      <c r="K53" s="69" t="s">
        <v>839</v>
      </c>
      <c r="L53" s="69" t="s">
        <v>839</v>
      </c>
      <c r="M53" s="69" t="s">
        <v>839</v>
      </c>
      <c r="N53" s="69">
        <v>12664</v>
      </c>
      <c r="O53" s="69" t="s">
        <v>839</v>
      </c>
      <c r="P53" s="69" t="s">
        <v>839</v>
      </c>
      <c r="Q53" s="69">
        <v>12664</v>
      </c>
      <c r="R53" s="71" t="s">
        <v>89</v>
      </c>
      <c r="S53" s="68"/>
      <c r="T53" s="68"/>
      <c r="U53" s="68"/>
      <c r="V53" s="68"/>
      <c r="W53" s="68"/>
      <c r="X53" s="68"/>
      <c r="Y53" s="68"/>
    </row>
    <row r="54" spans="1:25" s="69" customFormat="1" ht="10.5" customHeight="1" x14ac:dyDescent="0.15">
      <c r="A54" s="756" t="s">
        <v>675</v>
      </c>
      <c r="B54" s="69" t="s">
        <v>839</v>
      </c>
      <c r="C54" s="69" t="s">
        <v>839</v>
      </c>
      <c r="D54" s="69">
        <v>28624</v>
      </c>
      <c r="E54" s="69" t="s">
        <v>839</v>
      </c>
      <c r="F54" s="69" t="s">
        <v>839</v>
      </c>
      <c r="G54" s="69" t="s">
        <v>839</v>
      </c>
      <c r="H54" s="69" t="s">
        <v>839</v>
      </c>
      <c r="I54" s="69" t="s">
        <v>839</v>
      </c>
      <c r="J54" s="69" t="s">
        <v>839</v>
      </c>
      <c r="K54" s="69" t="s">
        <v>839</v>
      </c>
      <c r="L54" s="69" t="s">
        <v>839</v>
      </c>
      <c r="M54" s="69" t="s">
        <v>839</v>
      </c>
      <c r="N54" s="69">
        <v>23110</v>
      </c>
      <c r="O54" s="69" t="s">
        <v>839</v>
      </c>
      <c r="P54" s="69" t="s">
        <v>839</v>
      </c>
      <c r="Q54" s="69">
        <v>23110</v>
      </c>
      <c r="R54" s="71" t="s">
        <v>90</v>
      </c>
      <c r="S54" s="68"/>
      <c r="T54" s="68"/>
      <c r="U54" s="68"/>
      <c r="V54" s="68"/>
      <c r="W54" s="68"/>
      <c r="X54" s="68"/>
      <c r="Y54" s="68"/>
    </row>
    <row r="55" spans="1:25" s="69" customFormat="1" ht="10.5" customHeight="1" x14ac:dyDescent="0.15">
      <c r="A55" s="756" t="s">
        <v>676</v>
      </c>
      <c r="B55" s="69" t="s">
        <v>839</v>
      </c>
      <c r="C55" s="69" t="s">
        <v>839</v>
      </c>
      <c r="D55" s="69">
        <v>62252</v>
      </c>
      <c r="E55" s="69" t="s">
        <v>839</v>
      </c>
      <c r="F55" s="69" t="s">
        <v>839</v>
      </c>
      <c r="G55" s="69" t="s">
        <v>839</v>
      </c>
      <c r="H55" s="69" t="s">
        <v>839</v>
      </c>
      <c r="I55" s="69" t="s">
        <v>839</v>
      </c>
      <c r="J55" s="69" t="s">
        <v>839</v>
      </c>
      <c r="K55" s="69">
        <v>95674</v>
      </c>
      <c r="L55" s="69" t="s">
        <v>839</v>
      </c>
      <c r="M55" s="69">
        <v>95674</v>
      </c>
      <c r="N55" s="69">
        <v>22958</v>
      </c>
      <c r="O55" s="69" t="s">
        <v>839</v>
      </c>
      <c r="P55" s="69" t="s">
        <v>839</v>
      </c>
      <c r="Q55" s="69">
        <v>22958</v>
      </c>
      <c r="R55" s="71" t="s">
        <v>91</v>
      </c>
      <c r="S55" s="68"/>
      <c r="T55" s="68"/>
      <c r="U55" s="68"/>
      <c r="V55" s="68"/>
      <c r="W55" s="68"/>
      <c r="X55" s="68"/>
      <c r="Y55" s="68"/>
    </row>
    <row r="56" spans="1:25" s="69" customFormat="1" ht="10.5" customHeight="1" x14ac:dyDescent="0.15">
      <c r="A56" s="756" t="s">
        <v>846</v>
      </c>
      <c r="B56" s="69" t="s">
        <v>839</v>
      </c>
      <c r="C56" s="69" t="s">
        <v>839</v>
      </c>
      <c r="D56" s="69">
        <v>63435</v>
      </c>
      <c r="E56" s="69" t="s">
        <v>839</v>
      </c>
      <c r="F56" s="69" t="s">
        <v>839</v>
      </c>
      <c r="G56" s="69" t="s">
        <v>839</v>
      </c>
      <c r="H56" s="69" t="s">
        <v>839</v>
      </c>
      <c r="I56" s="69" t="s">
        <v>839</v>
      </c>
      <c r="J56" s="69" t="s">
        <v>839</v>
      </c>
      <c r="K56" s="69">
        <v>95447</v>
      </c>
      <c r="L56" s="69" t="s">
        <v>839</v>
      </c>
      <c r="M56" s="69">
        <v>95447</v>
      </c>
      <c r="N56" s="69">
        <v>46599</v>
      </c>
      <c r="O56" s="69" t="s">
        <v>839</v>
      </c>
      <c r="P56" s="69" t="s">
        <v>839</v>
      </c>
      <c r="Q56" s="69">
        <v>46599</v>
      </c>
      <c r="R56" s="71" t="s">
        <v>847</v>
      </c>
      <c r="S56" s="68"/>
      <c r="T56" s="68"/>
      <c r="U56" s="68"/>
      <c r="V56" s="68"/>
      <c r="W56" s="68"/>
      <c r="X56" s="68"/>
      <c r="Y56" s="68"/>
    </row>
    <row r="57" spans="1:25" s="69" customFormat="1" ht="10.5" customHeight="1" x14ac:dyDescent="0.15">
      <c r="A57" s="787"/>
      <c r="R57" s="71"/>
      <c r="S57" s="68"/>
      <c r="T57" s="68"/>
      <c r="U57" s="68"/>
      <c r="V57" s="68"/>
      <c r="W57" s="68"/>
      <c r="X57" s="68"/>
      <c r="Y57" s="68"/>
    </row>
    <row r="58" spans="1:25" s="69" customFormat="1" ht="10.5" customHeight="1" x14ac:dyDescent="0.15">
      <c r="A58" s="756" t="s">
        <v>848</v>
      </c>
      <c r="B58" s="69" t="s">
        <v>839</v>
      </c>
      <c r="C58" s="69" t="s">
        <v>839</v>
      </c>
      <c r="D58" s="69">
        <v>31809</v>
      </c>
      <c r="E58" s="69">
        <v>16473</v>
      </c>
      <c r="F58" s="69" t="s">
        <v>839</v>
      </c>
      <c r="G58" s="69" t="s">
        <v>839</v>
      </c>
      <c r="H58" s="69" t="s">
        <v>839</v>
      </c>
      <c r="I58" s="69" t="s">
        <v>839</v>
      </c>
      <c r="J58" s="69" t="s">
        <v>839</v>
      </c>
      <c r="K58" s="69">
        <v>45942</v>
      </c>
      <c r="L58" s="69">
        <v>45942</v>
      </c>
      <c r="M58" s="69" t="s">
        <v>839</v>
      </c>
      <c r="N58" s="69" t="s">
        <v>839</v>
      </c>
      <c r="O58" s="69" t="s">
        <v>839</v>
      </c>
      <c r="P58" s="69" t="s">
        <v>839</v>
      </c>
      <c r="Q58" s="69" t="s">
        <v>839</v>
      </c>
      <c r="R58" s="71" t="s">
        <v>689</v>
      </c>
      <c r="S58" s="68"/>
      <c r="T58" s="68"/>
      <c r="U58" s="68"/>
      <c r="V58" s="68"/>
      <c r="W58" s="68"/>
      <c r="X58" s="68"/>
      <c r="Y58" s="68"/>
    </row>
    <row r="59" spans="1:25" s="69" customFormat="1" ht="10.5" customHeight="1" x14ac:dyDescent="0.15">
      <c r="A59" s="756" t="s">
        <v>678</v>
      </c>
      <c r="B59" s="69" t="s">
        <v>839</v>
      </c>
      <c r="C59" s="69" t="s">
        <v>839</v>
      </c>
      <c r="D59" s="69">
        <v>62272</v>
      </c>
      <c r="E59" s="69" t="s">
        <v>839</v>
      </c>
      <c r="F59" s="69" t="s">
        <v>839</v>
      </c>
      <c r="G59" s="69" t="s">
        <v>839</v>
      </c>
      <c r="H59" s="69" t="s">
        <v>839</v>
      </c>
      <c r="I59" s="69" t="s">
        <v>839</v>
      </c>
      <c r="J59" s="69" t="s">
        <v>839</v>
      </c>
      <c r="K59" s="69">
        <v>46031</v>
      </c>
      <c r="L59" s="69" t="s">
        <v>839</v>
      </c>
      <c r="M59" s="69">
        <v>46031</v>
      </c>
      <c r="N59" s="69" t="s">
        <v>839</v>
      </c>
      <c r="O59" s="69" t="s">
        <v>839</v>
      </c>
      <c r="P59" s="69" t="s">
        <v>839</v>
      </c>
      <c r="Q59" s="69" t="s">
        <v>839</v>
      </c>
      <c r="R59" s="71" t="s">
        <v>77</v>
      </c>
      <c r="S59" s="68"/>
      <c r="T59" s="68"/>
      <c r="U59" s="68"/>
      <c r="V59" s="68"/>
      <c r="W59" s="68"/>
      <c r="X59" s="68"/>
      <c r="Y59" s="68"/>
    </row>
    <row r="60" spans="1:25" s="69" customFormat="1" ht="10.5" customHeight="1" x14ac:dyDescent="0.15">
      <c r="A60" s="756" t="s">
        <v>679</v>
      </c>
      <c r="B60" s="69" t="s">
        <v>839</v>
      </c>
      <c r="C60" s="69" t="s">
        <v>839</v>
      </c>
      <c r="D60" s="69" t="s">
        <v>839</v>
      </c>
      <c r="E60" s="69">
        <v>15850</v>
      </c>
      <c r="F60" s="69" t="s">
        <v>839</v>
      </c>
      <c r="G60" s="69" t="s">
        <v>839</v>
      </c>
      <c r="H60" s="69" t="s">
        <v>839</v>
      </c>
      <c r="I60" s="69" t="s">
        <v>839</v>
      </c>
      <c r="J60" s="69" t="s">
        <v>839</v>
      </c>
      <c r="K60" s="69" t="s">
        <v>839</v>
      </c>
      <c r="L60" s="69" t="s">
        <v>839</v>
      </c>
      <c r="M60" s="69" t="s">
        <v>839</v>
      </c>
      <c r="N60" s="69" t="s">
        <v>839</v>
      </c>
      <c r="O60" s="69" t="s">
        <v>839</v>
      </c>
      <c r="P60" s="69" t="s">
        <v>839</v>
      </c>
      <c r="Q60" s="69" t="s">
        <v>839</v>
      </c>
      <c r="R60" s="71" t="s">
        <v>78</v>
      </c>
      <c r="S60" s="68"/>
      <c r="T60" s="68"/>
      <c r="U60" s="68"/>
      <c r="V60" s="68"/>
      <c r="W60" s="68"/>
      <c r="X60" s="68"/>
      <c r="Y60" s="68"/>
    </row>
    <row r="61" spans="1:25" s="69" customFormat="1" ht="10.5" customHeight="1" x14ac:dyDescent="0.15">
      <c r="A61" s="756" t="s">
        <v>680</v>
      </c>
      <c r="B61" s="69" t="s">
        <v>839</v>
      </c>
      <c r="C61" s="69" t="s">
        <v>839</v>
      </c>
      <c r="D61" s="69">
        <v>29748</v>
      </c>
      <c r="E61" s="69" t="s">
        <v>839</v>
      </c>
      <c r="F61" s="69" t="s">
        <v>839</v>
      </c>
      <c r="G61" s="69" t="s">
        <v>839</v>
      </c>
      <c r="H61" s="69" t="s">
        <v>839</v>
      </c>
      <c r="I61" s="69" t="s">
        <v>839</v>
      </c>
      <c r="J61" s="69" t="s">
        <v>839</v>
      </c>
      <c r="K61" s="69" t="s">
        <v>839</v>
      </c>
      <c r="L61" s="69" t="s">
        <v>839</v>
      </c>
      <c r="M61" s="69" t="s">
        <v>839</v>
      </c>
      <c r="N61" s="69">
        <v>12664</v>
      </c>
      <c r="O61" s="69" t="s">
        <v>839</v>
      </c>
      <c r="P61" s="69" t="s">
        <v>839</v>
      </c>
      <c r="Q61" s="69">
        <v>12664</v>
      </c>
      <c r="R61" s="71" t="s">
        <v>79</v>
      </c>
      <c r="S61" s="68"/>
      <c r="T61" s="68"/>
      <c r="U61" s="68"/>
      <c r="V61" s="68"/>
      <c r="W61" s="68"/>
      <c r="X61" s="68"/>
      <c r="Y61" s="68"/>
    </row>
    <row r="62" spans="1:25" s="69" customFormat="1" ht="10.5" customHeight="1" x14ac:dyDescent="0.15">
      <c r="A62" s="756" t="s">
        <v>681</v>
      </c>
      <c r="B62" s="69" t="s">
        <v>839</v>
      </c>
      <c r="C62" s="69" t="s">
        <v>839</v>
      </c>
      <c r="D62" s="69">
        <v>31874</v>
      </c>
      <c r="E62" s="69" t="s">
        <v>839</v>
      </c>
      <c r="F62" s="69" t="s">
        <v>839</v>
      </c>
      <c r="G62" s="69" t="s">
        <v>839</v>
      </c>
      <c r="H62" s="69" t="s">
        <v>839</v>
      </c>
      <c r="I62" s="69" t="s">
        <v>839</v>
      </c>
      <c r="J62" s="69" t="s">
        <v>839</v>
      </c>
      <c r="K62" s="69" t="s">
        <v>839</v>
      </c>
      <c r="L62" s="69" t="s">
        <v>839</v>
      </c>
      <c r="M62" s="69" t="s">
        <v>839</v>
      </c>
      <c r="N62" s="69" t="s">
        <v>839</v>
      </c>
      <c r="O62" s="69" t="s">
        <v>839</v>
      </c>
      <c r="P62" s="69" t="s">
        <v>839</v>
      </c>
      <c r="Q62" s="69" t="s">
        <v>839</v>
      </c>
      <c r="R62" s="72" t="s">
        <v>92</v>
      </c>
      <c r="S62" s="68"/>
      <c r="T62" s="68"/>
      <c r="U62" s="68"/>
      <c r="V62" s="68"/>
      <c r="W62" s="68"/>
      <c r="X62" s="68"/>
      <c r="Y62" s="68"/>
    </row>
    <row r="63" spans="1:25" s="69" customFormat="1" ht="10.5" customHeight="1" x14ac:dyDescent="0.15">
      <c r="A63" s="756" t="s">
        <v>682</v>
      </c>
      <c r="B63" s="69" t="s">
        <v>839</v>
      </c>
      <c r="C63" s="69" t="s">
        <v>839</v>
      </c>
      <c r="D63" s="69" t="s">
        <v>839</v>
      </c>
      <c r="E63" s="69" t="s">
        <v>839</v>
      </c>
      <c r="F63" s="69" t="s">
        <v>839</v>
      </c>
      <c r="G63" s="69" t="s">
        <v>839</v>
      </c>
      <c r="H63" s="69" t="s">
        <v>839</v>
      </c>
      <c r="I63" s="69" t="s">
        <v>839</v>
      </c>
      <c r="J63" s="69" t="s">
        <v>839</v>
      </c>
      <c r="K63" s="69" t="s">
        <v>839</v>
      </c>
      <c r="L63" s="69" t="s">
        <v>839</v>
      </c>
      <c r="M63" s="69" t="s">
        <v>839</v>
      </c>
      <c r="N63" s="69" t="s">
        <v>839</v>
      </c>
      <c r="O63" s="69" t="s">
        <v>839</v>
      </c>
      <c r="P63" s="69" t="s">
        <v>839</v>
      </c>
      <c r="Q63" s="69" t="s">
        <v>839</v>
      </c>
      <c r="R63" s="71" t="s">
        <v>93</v>
      </c>
      <c r="S63" s="68"/>
      <c r="T63" s="68"/>
      <c r="U63" s="68"/>
      <c r="V63" s="68"/>
      <c r="W63" s="68"/>
      <c r="X63" s="68"/>
      <c r="Y63" s="68"/>
    </row>
    <row r="64" spans="1:25" s="69" customFormat="1" ht="10.5" customHeight="1" x14ac:dyDescent="0.15">
      <c r="A64" s="756" t="s">
        <v>683</v>
      </c>
      <c r="B64" s="69" t="s">
        <v>839</v>
      </c>
      <c r="C64" s="69" t="s">
        <v>839</v>
      </c>
      <c r="D64" s="69" t="s">
        <v>839</v>
      </c>
      <c r="E64" s="69" t="s">
        <v>839</v>
      </c>
      <c r="F64" s="69" t="s">
        <v>839</v>
      </c>
      <c r="G64" s="69" t="s">
        <v>839</v>
      </c>
      <c r="H64" s="69" t="s">
        <v>839</v>
      </c>
      <c r="I64" s="69" t="s">
        <v>839</v>
      </c>
      <c r="J64" s="69" t="s">
        <v>839</v>
      </c>
      <c r="K64" s="69" t="s">
        <v>839</v>
      </c>
      <c r="L64" s="69" t="s">
        <v>839</v>
      </c>
      <c r="M64" s="69" t="s">
        <v>839</v>
      </c>
      <c r="N64" s="69" t="s">
        <v>839</v>
      </c>
      <c r="O64" s="69" t="s">
        <v>839</v>
      </c>
      <c r="P64" s="69" t="s">
        <v>839</v>
      </c>
      <c r="Q64" s="69" t="s">
        <v>839</v>
      </c>
      <c r="R64" s="71" t="s">
        <v>94</v>
      </c>
      <c r="S64" s="68"/>
      <c r="T64" s="68"/>
      <c r="U64" s="68"/>
      <c r="V64" s="68"/>
      <c r="W64" s="68"/>
      <c r="X64" s="68"/>
      <c r="Y64" s="68"/>
    </row>
    <row r="65" spans="1:25" s="69" customFormat="1" ht="10.5" customHeight="1" x14ac:dyDescent="0.15">
      <c r="A65" s="756" t="s">
        <v>684</v>
      </c>
      <c r="B65" s="69" t="s">
        <v>839</v>
      </c>
      <c r="C65" s="69" t="s">
        <v>839</v>
      </c>
      <c r="D65" s="69" t="s">
        <v>839</v>
      </c>
      <c r="E65" s="69" t="s">
        <v>839</v>
      </c>
      <c r="F65" s="69" t="s">
        <v>839</v>
      </c>
      <c r="G65" s="69" t="s">
        <v>839</v>
      </c>
      <c r="H65" s="69" t="s">
        <v>839</v>
      </c>
      <c r="I65" s="69" t="s">
        <v>839</v>
      </c>
      <c r="J65" s="69" t="s">
        <v>839</v>
      </c>
      <c r="K65" s="69" t="s">
        <v>839</v>
      </c>
      <c r="L65" s="69" t="s">
        <v>839</v>
      </c>
      <c r="M65" s="69" t="s">
        <v>839</v>
      </c>
      <c r="N65" s="69" t="s">
        <v>839</v>
      </c>
      <c r="O65" s="69" t="s">
        <v>839</v>
      </c>
      <c r="P65" s="69" t="s">
        <v>839</v>
      </c>
      <c r="Q65" s="69" t="s">
        <v>839</v>
      </c>
      <c r="R65" s="71" t="s">
        <v>95</v>
      </c>
      <c r="S65" s="68"/>
      <c r="T65" s="68"/>
      <c r="U65" s="68"/>
      <c r="V65" s="68"/>
      <c r="W65" s="68"/>
      <c r="X65" s="68"/>
      <c r="Y65" s="68"/>
    </row>
    <row r="66" spans="1:25" s="69" customFormat="1" ht="10.5" customHeight="1" x14ac:dyDescent="0.15">
      <c r="A66" s="756" t="s">
        <v>685</v>
      </c>
      <c r="B66" s="69" t="s">
        <v>839</v>
      </c>
      <c r="C66" s="69" t="s">
        <v>839</v>
      </c>
      <c r="D66" s="69">
        <v>28624</v>
      </c>
      <c r="E66" s="69" t="s">
        <v>839</v>
      </c>
      <c r="F66" s="69" t="s">
        <v>839</v>
      </c>
      <c r="G66" s="69" t="s">
        <v>839</v>
      </c>
      <c r="H66" s="69" t="s">
        <v>839</v>
      </c>
      <c r="I66" s="69" t="s">
        <v>839</v>
      </c>
      <c r="J66" s="69" t="s">
        <v>839</v>
      </c>
      <c r="K66" s="69" t="s">
        <v>839</v>
      </c>
      <c r="L66" s="69" t="s">
        <v>839</v>
      </c>
      <c r="M66" s="69" t="s">
        <v>839</v>
      </c>
      <c r="N66" s="69">
        <v>23110</v>
      </c>
      <c r="O66" s="69" t="s">
        <v>839</v>
      </c>
      <c r="P66" s="69" t="s">
        <v>839</v>
      </c>
      <c r="Q66" s="69">
        <v>23110</v>
      </c>
      <c r="R66" s="71" t="s">
        <v>96</v>
      </c>
      <c r="S66" s="68"/>
      <c r="T66" s="68"/>
      <c r="U66" s="68"/>
      <c r="V66" s="68"/>
      <c r="W66" s="68"/>
      <c r="X66" s="68"/>
      <c r="Y66" s="68"/>
    </row>
    <row r="67" spans="1:25" s="69" customFormat="1" ht="10.5" customHeight="1" x14ac:dyDescent="0.15">
      <c r="A67" s="756" t="s">
        <v>686</v>
      </c>
      <c r="B67" s="69" t="s">
        <v>839</v>
      </c>
      <c r="C67" s="69" t="s">
        <v>839</v>
      </c>
      <c r="D67" s="69" t="s">
        <v>839</v>
      </c>
      <c r="E67" s="69" t="s">
        <v>839</v>
      </c>
      <c r="F67" s="69" t="s">
        <v>839</v>
      </c>
      <c r="G67" s="69" t="s">
        <v>839</v>
      </c>
      <c r="H67" s="69" t="s">
        <v>839</v>
      </c>
      <c r="I67" s="69" t="s">
        <v>839</v>
      </c>
      <c r="J67" s="69" t="s">
        <v>839</v>
      </c>
      <c r="K67" s="69">
        <v>46017</v>
      </c>
      <c r="L67" s="69" t="s">
        <v>839</v>
      </c>
      <c r="M67" s="69">
        <v>46017</v>
      </c>
      <c r="N67" s="69" t="s">
        <v>839</v>
      </c>
      <c r="O67" s="69" t="s">
        <v>839</v>
      </c>
      <c r="P67" s="69" t="s">
        <v>839</v>
      </c>
      <c r="Q67" s="69" t="s">
        <v>839</v>
      </c>
      <c r="R67" s="71" t="s">
        <v>80</v>
      </c>
      <c r="S67" s="68"/>
      <c r="T67" s="68"/>
      <c r="U67" s="68"/>
      <c r="V67" s="68"/>
      <c r="W67" s="68"/>
      <c r="X67" s="68"/>
      <c r="Y67" s="68"/>
    </row>
    <row r="68" spans="1:25" s="69" customFormat="1" ht="10.5" customHeight="1" x14ac:dyDescent="0.15">
      <c r="A68" s="756" t="s">
        <v>687</v>
      </c>
      <c r="B68" s="69" t="s">
        <v>839</v>
      </c>
      <c r="C68" s="69" t="s">
        <v>839</v>
      </c>
      <c r="D68" s="69">
        <v>31689</v>
      </c>
      <c r="E68" s="69" t="s">
        <v>839</v>
      </c>
      <c r="F68" s="69" t="s">
        <v>839</v>
      </c>
      <c r="G68" s="69" t="s">
        <v>839</v>
      </c>
      <c r="H68" s="69" t="s">
        <v>839</v>
      </c>
      <c r="I68" s="69" t="s">
        <v>839</v>
      </c>
      <c r="J68" s="69" t="s">
        <v>839</v>
      </c>
      <c r="K68" s="69" t="s">
        <v>839</v>
      </c>
      <c r="L68" s="69" t="s">
        <v>839</v>
      </c>
      <c r="M68" s="69" t="s">
        <v>839</v>
      </c>
      <c r="N68" s="69">
        <v>22958</v>
      </c>
      <c r="O68" s="69" t="s">
        <v>839</v>
      </c>
      <c r="P68" s="69" t="s">
        <v>839</v>
      </c>
      <c r="Q68" s="69">
        <v>22958</v>
      </c>
      <c r="R68" s="71" t="s">
        <v>81</v>
      </c>
      <c r="S68" s="68"/>
      <c r="T68" s="68"/>
      <c r="U68" s="68"/>
      <c r="V68" s="68"/>
      <c r="W68" s="68"/>
      <c r="X68" s="68"/>
      <c r="Y68" s="68"/>
    </row>
    <row r="69" spans="1:25" s="69" customFormat="1" ht="10.5" customHeight="1" x14ac:dyDescent="0.15">
      <c r="A69" s="756" t="s">
        <v>688</v>
      </c>
      <c r="B69" s="69" t="s">
        <v>839</v>
      </c>
      <c r="C69" s="69" t="s">
        <v>839</v>
      </c>
      <c r="D69" s="69">
        <v>30563</v>
      </c>
      <c r="E69" s="69" t="s">
        <v>839</v>
      </c>
      <c r="F69" s="69" t="s">
        <v>839</v>
      </c>
      <c r="G69" s="69" t="s">
        <v>839</v>
      </c>
      <c r="H69" s="69" t="s">
        <v>839</v>
      </c>
      <c r="I69" s="69" t="s">
        <v>839</v>
      </c>
      <c r="J69" s="69" t="s">
        <v>839</v>
      </c>
      <c r="K69" s="69">
        <v>49657</v>
      </c>
      <c r="L69" s="69" t="s">
        <v>839</v>
      </c>
      <c r="M69" s="69">
        <v>49657</v>
      </c>
      <c r="N69" s="69" t="s">
        <v>839</v>
      </c>
      <c r="O69" s="69" t="s">
        <v>839</v>
      </c>
      <c r="P69" s="69" t="s">
        <v>839</v>
      </c>
      <c r="Q69" s="69" t="s">
        <v>839</v>
      </c>
      <c r="R69" s="71" t="s">
        <v>82</v>
      </c>
      <c r="S69" s="68"/>
      <c r="T69" s="68"/>
      <c r="U69" s="68"/>
      <c r="V69" s="68"/>
      <c r="W69" s="68"/>
      <c r="X69" s="68"/>
      <c r="Y69" s="68"/>
    </row>
    <row r="70" spans="1:25" s="69" customFormat="1" ht="10.5" customHeight="1" x14ac:dyDescent="0.15">
      <c r="A70" s="756" t="s">
        <v>849</v>
      </c>
      <c r="B70" s="69" t="s">
        <v>839</v>
      </c>
      <c r="C70" s="69" t="s">
        <v>839</v>
      </c>
      <c r="D70" s="69">
        <v>31736</v>
      </c>
      <c r="E70" s="69" t="s">
        <v>839</v>
      </c>
      <c r="F70" s="69" t="s">
        <v>839</v>
      </c>
      <c r="G70" s="69" t="s">
        <v>839</v>
      </c>
      <c r="H70" s="69" t="s">
        <v>839</v>
      </c>
      <c r="I70" s="69" t="s">
        <v>839</v>
      </c>
      <c r="J70" s="69" t="s">
        <v>839</v>
      </c>
      <c r="K70" s="69" t="s">
        <v>839</v>
      </c>
      <c r="L70" s="69" t="s">
        <v>839</v>
      </c>
      <c r="M70" s="69" t="s">
        <v>839</v>
      </c>
      <c r="N70" s="69">
        <v>22100</v>
      </c>
      <c r="O70" s="69" t="s">
        <v>839</v>
      </c>
      <c r="P70" s="69" t="s">
        <v>839</v>
      </c>
      <c r="Q70" s="69">
        <v>22100</v>
      </c>
      <c r="R70" s="71" t="s">
        <v>850</v>
      </c>
      <c r="S70" s="68"/>
      <c r="T70" s="68"/>
      <c r="U70" s="68"/>
      <c r="V70" s="68"/>
      <c r="W70" s="68"/>
      <c r="X70" s="68"/>
      <c r="Y70" s="68"/>
    </row>
    <row r="71" spans="1:25" s="69" customFormat="1" ht="10.5" customHeight="1" x14ac:dyDescent="0.15">
      <c r="A71" s="756" t="s">
        <v>690</v>
      </c>
      <c r="B71" s="69" t="s">
        <v>839</v>
      </c>
      <c r="C71" s="69" t="s">
        <v>839</v>
      </c>
      <c r="D71" s="69">
        <v>31699</v>
      </c>
      <c r="E71" s="69" t="s">
        <v>839</v>
      </c>
      <c r="F71" s="69" t="s">
        <v>839</v>
      </c>
      <c r="G71" s="69" t="s">
        <v>839</v>
      </c>
      <c r="H71" s="69" t="s">
        <v>839</v>
      </c>
      <c r="I71" s="69" t="s">
        <v>839</v>
      </c>
      <c r="J71" s="69" t="s">
        <v>839</v>
      </c>
      <c r="K71" s="69">
        <v>47723</v>
      </c>
      <c r="L71" s="69" t="s">
        <v>839</v>
      </c>
      <c r="M71" s="69">
        <v>47723</v>
      </c>
      <c r="N71" s="69" t="s">
        <v>839</v>
      </c>
      <c r="O71" s="69" t="s">
        <v>839</v>
      </c>
      <c r="P71" s="69" t="s">
        <v>839</v>
      </c>
      <c r="Q71" s="69" t="s">
        <v>839</v>
      </c>
      <c r="R71" s="71" t="s">
        <v>77</v>
      </c>
      <c r="S71" s="68"/>
      <c r="T71" s="68"/>
      <c r="U71" s="68"/>
      <c r="V71" s="68"/>
      <c r="W71" s="68"/>
      <c r="X71" s="68"/>
      <c r="Y71" s="68"/>
    </row>
    <row r="72" spans="1:25" s="69" customFormat="1" ht="10.5" customHeight="1" x14ac:dyDescent="0.15">
      <c r="A72" s="757" t="s">
        <v>691</v>
      </c>
      <c r="B72" s="73" t="s">
        <v>839</v>
      </c>
      <c r="C72" s="74" t="s">
        <v>839</v>
      </c>
      <c r="D72" s="74" t="s">
        <v>839</v>
      </c>
      <c r="E72" s="74" t="s">
        <v>839</v>
      </c>
      <c r="F72" s="74" t="s">
        <v>839</v>
      </c>
      <c r="G72" s="74" t="s">
        <v>839</v>
      </c>
      <c r="H72" s="74" t="s">
        <v>839</v>
      </c>
      <c r="I72" s="74" t="s">
        <v>839</v>
      </c>
      <c r="J72" s="74" t="s">
        <v>839</v>
      </c>
      <c r="K72" s="74">
        <v>47724</v>
      </c>
      <c r="L72" s="74" t="s">
        <v>839</v>
      </c>
      <c r="M72" s="74">
        <v>47724</v>
      </c>
      <c r="N72" s="74">
        <v>24499</v>
      </c>
      <c r="O72" s="74" t="s">
        <v>839</v>
      </c>
      <c r="P72" s="74" t="s">
        <v>839</v>
      </c>
      <c r="Q72" s="74">
        <v>24499</v>
      </c>
      <c r="R72" s="75" t="s">
        <v>78</v>
      </c>
      <c r="S72" s="68"/>
      <c r="T72" s="68"/>
      <c r="U72" s="68"/>
      <c r="V72" s="68"/>
      <c r="W72" s="68"/>
      <c r="X72" s="68"/>
      <c r="Y72" s="68"/>
    </row>
    <row r="73" spans="1:25" ht="23.25" customHeight="1" x14ac:dyDescent="0.25">
      <c r="I73" s="76" t="s">
        <v>97</v>
      </c>
      <c r="Q73" s="78" t="s">
        <v>76</v>
      </c>
    </row>
    <row r="74" spans="1:25" s="20" customFormat="1" ht="11.25" customHeight="1" x14ac:dyDescent="0.15">
      <c r="A74" s="61"/>
      <c r="B74" s="77" t="s">
        <v>126</v>
      </c>
      <c r="C74" s="61"/>
      <c r="D74" s="34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999" t="s">
        <v>83</v>
      </c>
      <c r="S74" s="18"/>
      <c r="T74" s="18"/>
      <c r="U74" s="18"/>
      <c r="V74" s="18"/>
      <c r="W74" s="18"/>
      <c r="X74" s="18"/>
      <c r="Y74" s="18"/>
    </row>
    <row r="75" spans="1:25" s="64" customFormat="1" ht="28.5" customHeight="1" x14ac:dyDescent="0.15">
      <c r="A75" s="32" t="s">
        <v>185</v>
      </c>
      <c r="B75" s="38" t="s">
        <v>138</v>
      </c>
      <c r="C75" s="79"/>
      <c r="D75" s="15" t="s">
        <v>86</v>
      </c>
      <c r="E75" s="720" t="s">
        <v>139</v>
      </c>
      <c r="F75" s="19"/>
      <c r="G75" s="19"/>
      <c r="H75" s="19"/>
      <c r="I75" s="19"/>
      <c r="J75" s="79"/>
      <c r="K75" s="720" t="s">
        <v>140</v>
      </c>
      <c r="L75" s="19"/>
      <c r="M75" s="79"/>
      <c r="N75" s="13" t="s">
        <v>442</v>
      </c>
      <c r="O75" s="720" t="s">
        <v>50</v>
      </c>
      <c r="P75" s="19"/>
      <c r="Q75" s="19"/>
      <c r="R75" s="1000"/>
      <c r="S75" s="14"/>
      <c r="T75" s="14"/>
      <c r="U75" s="14"/>
      <c r="V75" s="14"/>
      <c r="W75" s="14"/>
      <c r="X75" s="14"/>
      <c r="Y75" s="14"/>
    </row>
    <row r="76" spans="1:25" s="64" customFormat="1" ht="28.5" customHeight="1" x14ac:dyDescent="0.15">
      <c r="A76" s="32"/>
      <c r="B76" s="13" t="s">
        <v>46</v>
      </c>
      <c r="C76" s="13" t="s">
        <v>190</v>
      </c>
      <c r="D76" s="15" t="s">
        <v>47</v>
      </c>
      <c r="E76" s="15" t="s">
        <v>22</v>
      </c>
      <c r="F76" s="13" t="s">
        <v>141</v>
      </c>
      <c r="G76" s="13" t="s">
        <v>48</v>
      </c>
      <c r="H76" s="13" t="s">
        <v>857</v>
      </c>
      <c r="I76" s="13" t="s">
        <v>858</v>
      </c>
      <c r="J76" s="13" t="s">
        <v>142</v>
      </c>
      <c r="K76" s="15" t="s">
        <v>23</v>
      </c>
      <c r="L76" s="13" t="s">
        <v>49</v>
      </c>
      <c r="M76" s="13" t="s">
        <v>143</v>
      </c>
      <c r="N76" s="13" t="s">
        <v>859</v>
      </c>
      <c r="O76" s="15" t="s">
        <v>35</v>
      </c>
      <c r="P76" s="13" t="s">
        <v>51</v>
      </c>
      <c r="Q76" s="720" t="s">
        <v>52</v>
      </c>
      <c r="R76" s="1000"/>
      <c r="S76" s="14"/>
      <c r="T76" s="14"/>
      <c r="U76" s="14"/>
      <c r="V76" s="14"/>
      <c r="W76" s="14"/>
      <c r="X76" s="14"/>
      <c r="Y76" s="14"/>
    </row>
    <row r="77" spans="1:25" s="64" customFormat="1" ht="12" customHeight="1" x14ac:dyDescent="0.15">
      <c r="A77" s="33"/>
      <c r="B77" s="17" t="str">
        <f>PROPER("KAJISEMO")</f>
        <v>Kajisemo</v>
      </c>
      <c r="C77" s="17" t="str">
        <f>PROPER("KETAPANG")</f>
        <v>Ketapang</v>
      </c>
      <c r="D77" s="17"/>
      <c r="E77" s="17"/>
      <c r="F77" s="17" t="str">
        <f>PROPER("IRAN-L")</f>
        <v>Iran-L</v>
      </c>
      <c r="G77" s="17" t="str">
        <f>PROPER("IRAN-H")</f>
        <v>Iran-H</v>
      </c>
      <c r="H77" s="17" t="str">
        <f>PROPER("FOROZN-B")</f>
        <v>Forozn-B</v>
      </c>
      <c r="I77" s="17" t="str">
        <f>PROPER("S-PARS-C")</f>
        <v>S-Pars-C</v>
      </c>
      <c r="J77" s="17" t="str">
        <f>PROPER("SOROOSH")</f>
        <v>Soroosh</v>
      </c>
      <c r="K77" s="17"/>
      <c r="L77" s="17" t="str">
        <f>PROPER("BASRAH-L")</f>
        <v>Basrah-L</v>
      </c>
      <c r="M77" s="17" t="str">
        <f>PROPER("BASRAH-H")</f>
        <v>Basrah-H</v>
      </c>
      <c r="N77" s="17" t="str">
        <f>PROPER("BANOC-AM")</f>
        <v>Banoc-Am</v>
      </c>
      <c r="O77" s="17"/>
      <c r="P77" s="17" t="str">
        <f>PROPER("ARAB-L")</f>
        <v>Arab-L</v>
      </c>
      <c r="Q77" s="16" t="str">
        <f>PROPER("ARAB-H")</f>
        <v>Arab-H</v>
      </c>
      <c r="R77" s="1001"/>
      <c r="S77" s="14"/>
      <c r="T77" s="14"/>
      <c r="U77" s="14"/>
      <c r="V77" s="14"/>
      <c r="W77" s="14"/>
      <c r="X77" s="14"/>
      <c r="Y77" s="14"/>
    </row>
    <row r="78" spans="1:25" s="69" customFormat="1" ht="10.5" customHeight="1" x14ac:dyDescent="0.15">
      <c r="A78" s="755" t="s">
        <v>838</v>
      </c>
      <c r="B78" s="65">
        <v>89095</v>
      </c>
      <c r="C78" s="66">
        <v>350288</v>
      </c>
      <c r="D78" s="66">
        <v>156613048</v>
      </c>
      <c r="E78" s="66">
        <v>7393975</v>
      </c>
      <c r="F78" s="66">
        <v>507732</v>
      </c>
      <c r="G78" s="66">
        <v>3986274</v>
      </c>
      <c r="H78" s="66">
        <v>2206595</v>
      </c>
      <c r="I78" s="66">
        <v>693374</v>
      </c>
      <c r="J78" s="66" t="s">
        <v>839</v>
      </c>
      <c r="K78" s="66">
        <v>3254304</v>
      </c>
      <c r="L78" s="66">
        <v>3095887</v>
      </c>
      <c r="M78" s="66">
        <v>158417</v>
      </c>
      <c r="N78" s="66">
        <v>2488745</v>
      </c>
      <c r="O78" s="66">
        <v>67524797</v>
      </c>
      <c r="P78" s="66">
        <v>21528299</v>
      </c>
      <c r="Q78" s="66">
        <v>5359694</v>
      </c>
      <c r="R78" s="67" t="s">
        <v>457</v>
      </c>
      <c r="S78" s="68"/>
      <c r="T78" s="68"/>
      <c r="U78" s="68"/>
      <c r="V78" s="68"/>
      <c r="W78" s="68"/>
      <c r="X78" s="68"/>
      <c r="Y78" s="68"/>
    </row>
    <row r="79" spans="1:25" s="69" customFormat="1" ht="10.5" customHeight="1" x14ac:dyDescent="0.15">
      <c r="A79" s="756" t="s">
        <v>669</v>
      </c>
      <c r="B79" s="69">
        <v>25423</v>
      </c>
      <c r="C79" s="69">
        <v>66794</v>
      </c>
      <c r="D79" s="69">
        <v>156043026</v>
      </c>
      <c r="E79" s="69">
        <v>2719294</v>
      </c>
      <c r="F79" s="69">
        <v>128419</v>
      </c>
      <c r="G79" s="69">
        <v>1890751</v>
      </c>
      <c r="H79" s="69">
        <v>545313</v>
      </c>
      <c r="I79" s="69">
        <v>76246</v>
      </c>
      <c r="J79" s="69">
        <v>78565</v>
      </c>
      <c r="K79" s="69">
        <v>2465339</v>
      </c>
      <c r="L79" s="69">
        <v>2011168</v>
      </c>
      <c r="M79" s="69">
        <v>454171</v>
      </c>
      <c r="N79" s="69">
        <v>2911341</v>
      </c>
      <c r="O79" s="69">
        <v>61967631</v>
      </c>
      <c r="P79" s="69">
        <v>22969545</v>
      </c>
      <c r="Q79" s="69">
        <v>7659329</v>
      </c>
      <c r="R79" s="71" t="s">
        <v>512</v>
      </c>
      <c r="S79" s="68"/>
      <c r="T79" s="68"/>
      <c r="U79" s="68"/>
      <c r="V79" s="68"/>
      <c r="W79" s="68"/>
      <c r="X79" s="68"/>
      <c r="Y79" s="68"/>
    </row>
    <row r="80" spans="1:25" s="69" customFormat="1" ht="10.5" customHeight="1" x14ac:dyDescent="0.15">
      <c r="A80" s="756" t="s">
        <v>670</v>
      </c>
      <c r="B80" s="69" t="s">
        <v>839</v>
      </c>
      <c r="C80" s="69" t="s">
        <v>839</v>
      </c>
      <c r="D80" s="69">
        <v>132362206</v>
      </c>
      <c r="E80" s="69" t="s">
        <v>839</v>
      </c>
      <c r="F80" s="69" t="s">
        <v>839</v>
      </c>
      <c r="G80" s="69" t="s">
        <v>839</v>
      </c>
      <c r="H80" s="69" t="s">
        <v>839</v>
      </c>
      <c r="I80" s="69" t="s">
        <v>839</v>
      </c>
      <c r="J80" s="69" t="s">
        <v>839</v>
      </c>
      <c r="K80" s="69">
        <v>788821</v>
      </c>
      <c r="L80" s="69">
        <v>788821</v>
      </c>
      <c r="M80" s="69" t="s">
        <v>839</v>
      </c>
      <c r="N80" s="69">
        <v>2040752</v>
      </c>
      <c r="O80" s="69">
        <v>56773606</v>
      </c>
      <c r="P80" s="69">
        <v>23045058</v>
      </c>
      <c r="Q80" s="69">
        <v>5919709</v>
      </c>
      <c r="R80" s="71" t="s">
        <v>620</v>
      </c>
      <c r="S80" s="68"/>
      <c r="T80" s="68"/>
      <c r="U80" s="68"/>
      <c r="V80" s="68"/>
      <c r="W80" s="68"/>
      <c r="X80" s="68"/>
      <c r="Y80" s="68"/>
    </row>
    <row r="81" spans="1:25" s="69" customFormat="1" ht="10.5" customHeight="1" x14ac:dyDescent="0.15">
      <c r="A81" s="756" t="s">
        <v>671</v>
      </c>
      <c r="B81" s="69" t="s">
        <v>839</v>
      </c>
      <c r="C81" s="69">
        <v>31560</v>
      </c>
      <c r="D81" s="69">
        <v>134068585</v>
      </c>
      <c r="E81" s="69" t="s">
        <v>839</v>
      </c>
      <c r="F81" s="69" t="s">
        <v>839</v>
      </c>
      <c r="G81" s="69" t="s">
        <v>839</v>
      </c>
      <c r="H81" s="69" t="s">
        <v>839</v>
      </c>
      <c r="I81" s="69" t="s">
        <v>839</v>
      </c>
      <c r="J81" s="69" t="s">
        <v>839</v>
      </c>
      <c r="K81" s="69">
        <v>157960</v>
      </c>
      <c r="L81" s="69">
        <v>157960</v>
      </c>
      <c r="M81" s="69" t="s">
        <v>839</v>
      </c>
      <c r="N81" s="69">
        <v>2050509</v>
      </c>
      <c r="O81" s="69">
        <v>56525615</v>
      </c>
      <c r="P81" s="69">
        <v>21970904</v>
      </c>
      <c r="Q81" s="69">
        <v>8259483</v>
      </c>
      <c r="R81" s="71" t="s">
        <v>672</v>
      </c>
      <c r="S81" s="68"/>
      <c r="T81" s="68"/>
      <c r="U81" s="68"/>
      <c r="V81" s="68"/>
      <c r="W81" s="68"/>
      <c r="X81" s="68"/>
      <c r="Y81" s="68"/>
    </row>
    <row r="82" spans="1:25" s="69" customFormat="1" ht="10.5" customHeight="1" x14ac:dyDescent="0.15">
      <c r="A82" s="756" t="s">
        <v>840</v>
      </c>
      <c r="B82" s="69" t="s">
        <v>839</v>
      </c>
      <c r="C82" s="69" t="s">
        <v>839</v>
      </c>
      <c r="D82" s="69">
        <v>149271694</v>
      </c>
      <c r="E82" s="69" t="s">
        <v>839</v>
      </c>
      <c r="F82" s="69" t="s">
        <v>839</v>
      </c>
      <c r="G82" s="69" t="s">
        <v>839</v>
      </c>
      <c r="H82" s="69" t="s">
        <v>839</v>
      </c>
      <c r="I82" s="69" t="s">
        <v>839</v>
      </c>
      <c r="J82" s="69" t="s">
        <v>839</v>
      </c>
      <c r="K82" s="69" t="s">
        <v>839</v>
      </c>
      <c r="L82" s="69" t="s">
        <v>839</v>
      </c>
      <c r="M82" s="69" t="s">
        <v>839</v>
      </c>
      <c r="N82" s="69">
        <v>2028574</v>
      </c>
      <c r="O82" s="69">
        <v>60374739</v>
      </c>
      <c r="P82" s="69">
        <v>24606708</v>
      </c>
      <c r="Q82" s="69">
        <v>9051551</v>
      </c>
      <c r="R82" s="71" t="s">
        <v>841</v>
      </c>
      <c r="S82" s="68"/>
      <c r="T82" s="68"/>
      <c r="U82" s="68"/>
      <c r="V82" s="68"/>
      <c r="W82" s="68"/>
      <c r="X82" s="68"/>
      <c r="Y82" s="68"/>
    </row>
    <row r="83" spans="1:25" s="69" customFormat="1" ht="10.5" customHeight="1" x14ac:dyDescent="0.15">
      <c r="A83" s="787"/>
      <c r="R83" s="71"/>
      <c r="S83" s="68"/>
      <c r="T83" s="68"/>
      <c r="U83" s="68"/>
      <c r="V83" s="68"/>
      <c r="W83" s="68"/>
      <c r="X83" s="68"/>
      <c r="Y83" s="68"/>
    </row>
    <row r="84" spans="1:25" s="69" customFormat="1" ht="10.5" customHeight="1" x14ac:dyDescent="0.15">
      <c r="A84" s="756" t="s">
        <v>842</v>
      </c>
      <c r="B84" s="69" t="s">
        <v>839</v>
      </c>
      <c r="C84" s="69">
        <v>31560</v>
      </c>
      <c r="D84" s="69">
        <v>137734742</v>
      </c>
      <c r="E84" s="69" t="s">
        <v>839</v>
      </c>
      <c r="F84" s="69" t="s">
        <v>839</v>
      </c>
      <c r="G84" s="69" t="s">
        <v>839</v>
      </c>
      <c r="H84" s="69" t="s">
        <v>839</v>
      </c>
      <c r="I84" s="69" t="s">
        <v>839</v>
      </c>
      <c r="J84" s="69" t="s">
        <v>839</v>
      </c>
      <c r="K84" s="69">
        <v>157960</v>
      </c>
      <c r="L84" s="69">
        <v>157960</v>
      </c>
      <c r="M84" s="69" t="s">
        <v>839</v>
      </c>
      <c r="N84" s="69">
        <v>2184776</v>
      </c>
      <c r="O84" s="69">
        <v>55593521</v>
      </c>
      <c r="P84" s="69">
        <v>22094824</v>
      </c>
      <c r="Q84" s="69">
        <v>8423622</v>
      </c>
      <c r="R84" s="71" t="s">
        <v>673</v>
      </c>
      <c r="S84" s="68"/>
      <c r="T84" s="68"/>
      <c r="U84" s="68"/>
      <c r="V84" s="68"/>
      <c r="W84" s="68"/>
      <c r="X84" s="68"/>
      <c r="Y84" s="68"/>
    </row>
    <row r="85" spans="1:25" s="69" customFormat="1" ht="10.5" customHeight="1" x14ac:dyDescent="0.15">
      <c r="A85" s="756" t="s">
        <v>843</v>
      </c>
      <c r="B85" s="69" t="s">
        <v>839</v>
      </c>
      <c r="C85" s="69" t="s">
        <v>839</v>
      </c>
      <c r="D85" s="69">
        <v>149059214</v>
      </c>
      <c r="E85" s="69" t="s">
        <v>839</v>
      </c>
      <c r="F85" s="69" t="s">
        <v>839</v>
      </c>
      <c r="G85" s="69" t="s">
        <v>839</v>
      </c>
      <c r="H85" s="69" t="s">
        <v>839</v>
      </c>
      <c r="I85" s="69" t="s">
        <v>839</v>
      </c>
      <c r="J85" s="69" t="s">
        <v>839</v>
      </c>
      <c r="K85" s="69" t="s">
        <v>839</v>
      </c>
      <c r="L85" s="69" t="s">
        <v>839</v>
      </c>
      <c r="M85" s="69" t="s">
        <v>839</v>
      </c>
      <c r="N85" s="69">
        <v>1521617</v>
      </c>
      <c r="O85" s="69">
        <v>61385051</v>
      </c>
      <c r="P85" s="69">
        <v>23160679</v>
      </c>
      <c r="Q85" s="69">
        <v>9345354</v>
      </c>
      <c r="R85" s="71" t="s">
        <v>844</v>
      </c>
      <c r="S85" s="68"/>
      <c r="T85" s="68"/>
      <c r="U85" s="68"/>
      <c r="V85" s="68"/>
      <c r="W85" s="68"/>
      <c r="X85" s="68"/>
      <c r="Y85" s="68"/>
    </row>
    <row r="86" spans="1:25" s="69" customFormat="1" ht="10.5" customHeight="1" x14ac:dyDescent="0.15">
      <c r="A86" s="787"/>
      <c r="R86" s="71"/>
      <c r="S86" s="68"/>
      <c r="T86" s="68"/>
      <c r="U86" s="68"/>
      <c r="V86" s="68"/>
      <c r="W86" s="68"/>
      <c r="X86" s="68"/>
      <c r="Y86" s="68"/>
    </row>
    <row r="87" spans="1:25" s="69" customFormat="1" ht="10.5" customHeight="1" x14ac:dyDescent="0.15">
      <c r="A87" s="756" t="s">
        <v>845</v>
      </c>
      <c r="B87" s="69" t="s">
        <v>839</v>
      </c>
      <c r="C87" s="69" t="s">
        <v>839</v>
      </c>
      <c r="D87" s="69">
        <v>36728693</v>
      </c>
      <c r="E87" s="69" t="s">
        <v>839</v>
      </c>
      <c r="F87" s="69" t="s">
        <v>839</v>
      </c>
      <c r="G87" s="69" t="s">
        <v>839</v>
      </c>
      <c r="H87" s="69" t="s">
        <v>839</v>
      </c>
      <c r="I87" s="69" t="s">
        <v>839</v>
      </c>
      <c r="J87" s="69" t="s">
        <v>839</v>
      </c>
      <c r="K87" s="69" t="s">
        <v>839</v>
      </c>
      <c r="L87" s="69" t="s">
        <v>839</v>
      </c>
      <c r="M87" s="69" t="s">
        <v>839</v>
      </c>
      <c r="N87" s="69">
        <v>746631</v>
      </c>
      <c r="O87" s="69">
        <v>15363491</v>
      </c>
      <c r="P87" s="69">
        <v>7185179</v>
      </c>
      <c r="Q87" s="69">
        <v>1973620</v>
      </c>
      <c r="R87" s="71" t="s">
        <v>677</v>
      </c>
      <c r="S87" s="68"/>
      <c r="T87" s="68"/>
      <c r="U87" s="68"/>
      <c r="V87" s="68"/>
      <c r="W87" s="68"/>
      <c r="X87" s="68"/>
      <c r="Y87" s="68"/>
    </row>
    <row r="88" spans="1:25" s="69" customFormat="1" ht="10.5" customHeight="1" x14ac:dyDescent="0.15">
      <c r="A88" s="756" t="s">
        <v>674</v>
      </c>
      <c r="B88" s="69" t="s">
        <v>839</v>
      </c>
      <c r="C88" s="69" t="s">
        <v>839</v>
      </c>
      <c r="D88" s="69">
        <v>35448599</v>
      </c>
      <c r="E88" s="69" t="s">
        <v>839</v>
      </c>
      <c r="F88" s="69" t="s">
        <v>839</v>
      </c>
      <c r="G88" s="69" t="s">
        <v>839</v>
      </c>
      <c r="H88" s="69" t="s">
        <v>839</v>
      </c>
      <c r="I88" s="69" t="s">
        <v>839</v>
      </c>
      <c r="J88" s="69" t="s">
        <v>839</v>
      </c>
      <c r="K88" s="69" t="s">
        <v>839</v>
      </c>
      <c r="L88" s="69" t="s">
        <v>839</v>
      </c>
      <c r="M88" s="69" t="s">
        <v>839</v>
      </c>
      <c r="N88" s="69">
        <v>186458</v>
      </c>
      <c r="O88" s="69">
        <v>14760327</v>
      </c>
      <c r="P88" s="69">
        <v>6374568</v>
      </c>
      <c r="Q88" s="69">
        <v>2118824</v>
      </c>
      <c r="R88" s="71" t="s">
        <v>89</v>
      </c>
      <c r="S88" s="68"/>
      <c r="T88" s="68"/>
      <c r="U88" s="68"/>
      <c r="V88" s="68"/>
      <c r="W88" s="68"/>
      <c r="X88" s="68"/>
      <c r="Y88" s="68"/>
    </row>
    <row r="89" spans="1:25" s="69" customFormat="1" ht="10.5" customHeight="1" x14ac:dyDescent="0.15">
      <c r="A89" s="756" t="s">
        <v>675</v>
      </c>
      <c r="B89" s="69" t="s">
        <v>839</v>
      </c>
      <c r="C89" s="69" t="s">
        <v>839</v>
      </c>
      <c r="D89" s="69">
        <v>39045657</v>
      </c>
      <c r="E89" s="69" t="s">
        <v>839</v>
      </c>
      <c r="F89" s="69" t="s">
        <v>839</v>
      </c>
      <c r="G89" s="69" t="s">
        <v>839</v>
      </c>
      <c r="H89" s="69" t="s">
        <v>839</v>
      </c>
      <c r="I89" s="69" t="s">
        <v>839</v>
      </c>
      <c r="J89" s="69" t="s">
        <v>839</v>
      </c>
      <c r="K89" s="69" t="s">
        <v>839</v>
      </c>
      <c r="L89" s="69" t="s">
        <v>839</v>
      </c>
      <c r="M89" s="69" t="s">
        <v>839</v>
      </c>
      <c r="N89" s="69">
        <v>472994</v>
      </c>
      <c r="O89" s="69">
        <v>14789175</v>
      </c>
      <c r="P89" s="69">
        <v>5634459</v>
      </c>
      <c r="Q89" s="69">
        <v>2587890</v>
      </c>
      <c r="R89" s="71" t="s">
        <v>90</v>
      </c>
      <c r="S89" s="68"/>
      <c r="T89" s="68"/>
      <c r="U89" s="68"/>
      <c r="V89" s="68"/>
      <c r="W89" s="68"/>
      <c r="X89" s="68"/>
      <c r="Y89" s="68"/>
    </row>
    <row r="90" spans="1:25" s="69" customFormat="1" ht="10.5" customHeight="1" x14ac:dyDescent="0.15">
      <c r="A90" s="756" t="s">
        <v>676</v>
      </c>
      <c r="B90" s="69" t="s">
        <v>839</v>
      </c>
      <c r="C90" s="69" t="s">
        <v>839</v>
      </c>
      <c r="D90" s="69">
        <v>38048745</v>
      </c>
      <c r="E90" s="69" t="s">
        <v>839</v>
      </c>
      <c r="F90" s="69" t="s">
        <v>839</v>
      </c>
      <c r="G90" s="69" t="s">
        <v>839</v>
      </c>
      <c r="H90" s="69" t="s">
        <v>839</v>
      </c>
      <c r="I90" s="69" t="s">
        <v>839</v>
      </c>
      <c r="J90" s="69" t="s">
        <v>839</v>
      </c>
      <c r="K90" s="69" t="s">
        <v>839</v>
      </c>
      <c r="L90" s="69" t="s">
        <v>839</v>
      </c>
      <c r="M90" s="69" t="s">
        <v>839</v>
      </c>
      <c r="N90" s="69">
        <v>622491</v>
      </c>
      <c r="O90" s="69">
        <v>15461746</v>
      </c>
      <c r="P90" s="69">
        <v>5412502</v>
      </c>
      <c r="Q90" s="69">
        <v>2371217</v>
      </c>
      <c r="R90" s="71" t="s">
        <v>91</v>
      </c>
      <c r="S90" s="68"/>
      <c r="T90" s="68"/>
      <c r="U90" s="68"/>
      <c r="V90" s="68"/>
      <c r="W90" s="68"/>
      <c r="X90" s="68"/>
      <c r="Y90" s="68"/>
    </row>
    <row r="91" spans="1:25" s="69" customFormat="1" ht="10.5" customHeight="1" x14ac:dyDescent="0.15">
      <c r="A91" s="756" t="s">
        <v>846</v>
      </c>
      <c r="B91" s="69" t="s">
        <v>839</v>
      </c>
      <c r="C91" s="69" t="s">
        <v>839</v>
      </c>
      <c r="D91" s="69">
        <v>36516213</v>
      </c>
      <c r="E91" s="69" t="s">
        <v>839</v>
      </c>
      <c r="F91" s="69" t="s">
        <v>839</v>
      </c>
      <c r="G91" s="69" t="s">
        <v>839</v>
      </c>
      <c r="H91" s="69" t="s">
        <v>839</v>
      </c>
      <c r="I91" s="69" t="s">
        <v>839</v>
      </c>
      <c r="J91" s="69" t="s">
        <v>839</v>
      </c>
      <c r="K91" s="69" t="s">
        <v>839</v>
      </c>
      <c r="L91" s="69" t="s">
        <v>839</v>
      </c>
      <c r="M91" s="69" t="s">
        <v>839</v>
      </c>
      <c r="N91" s="69">
        <v>239674</v>
      </c>
      <c r="O91" s="69">
        <v>16373803</v>
      </c>
      <c r="P91" s="69">
        <v>5739150</v>
      </c>
      <c r="Q91" s="69">
        <v>2267423</v>
      </c>
      <c r="R91" s="71" t="s">
        <v>847</v>
      </c>
      <c r="S91" s="68"/>
      <c r="T91" s="68"/>
      <c r="U91" s="68"/>
      <c r="V91" s="68"/>
      <c r="W91" s="68"/>
      <c r="X91" s="68"/>
      <c r="Y91" s="68"/>
    </row>
    <row r="92" spans="1:25" s="69" customFormat="1" ht="10.5" customHeight="1" x14ac:dyDescent="0.15">
      <c r="A92" s="787"/>
      <c r="R92" s="71"/>
      <c r="S92" s="68"/>
      <c r="T92" s="68"/>
      <c r="U92" s="68"/>
      <c r="V92" s="68"/>
      <c r="W92" s="68"/>
      <c r="X92" s="68"/>
      <c r="Y92" s="68"/>
    </row>
    <row r="93" spans="1:25" s="69" customFormat="1" ht="10.5" customHeight="1" x14ac:dyDescent="0.15">
      <c r="A93" s="756" t="s">
        <v>848</v>
      </c>
      <c r="B93" s="69" t="s">
        <v>839</v>
      </c>
      <c r="C93" s="69" t="s">
        <v>839</v>
      </c>
      <c r="D93" s="69">
        <v>12283587</v>
      </c>
      <c r="E93" s="69" t="s">
        <v>839</v>
      </c>
      <c r="F93" s="69" t="s">
        <v>839</v>
      </c>
      <c r="G93" s="69" t="s">
        <v>839</v>
      </c>
      <c r="H93" s="69" t="s">
        <v>839</v>
      </c>
      <c r="I93" s="69" t="s">
        <v>839</v>
      </c>
      <c r="J93" s="69" t="s">
        <v>839</v>
      </c>
      <c r="K93" s="69" t="s">
        <v>839</v>
      </c>
      <c r="L93" s="69" t="s">
        <v>839</v>
      </c>
      <c r="M93" s="69" t="s">
        <v>839</v>
      </c>
      <c r="N93" s="69">
        <v>307865</v>
      </c>
      <c r="O93" s="69">
        <v>5542872</v>
      </c>
      <c r="P93" s="69">
        <v>2942405</v>
      </c>
      <c r="Q93" s="69">
        <v>520261</v>
      </c>
      <c r="R93" s="71" t="s">
        <v>689</v>
      </c>
      <c r="S93" s="68"/>
      <c r="T93" s="68"/>
      <c r="U93" s="68"/>
      <c r="V93" s="68"/>
      <c r="W93" s="68"/>
      <c r="X93" s="68"/>
      <c r="Y93" s="68"/>
    </row>
    <row r="94" spans="1:25" s="69" customFormat="1" ht="10.5" customHeight="1" x14ac:dyDescent="0.15">
      <c r="A94" s="756" t="s">
        <v>678</v>
      </c>
      <c r="B94" s="69" t="s">
        <v>839</v>
      </c>
      <c r="C94" s="69" t="s">
        <v>839</v>
      </c>
      <c r="D94" s="69">
        <v>11248239</v>
      </c>
      <c r="E94" s="69" t="s">
        <v>839</v>
      </c>
      <c r="F94" s="69" t="s">
        <v>839</v>
      </c>
      <c r="G94" s="69" t="s">
        <v>839</v>
      </c>
      <c r="H94" s="69" t="s">
        <v>839</v>
      </c>
      <c r="I94" s="69" t="s">
        <v>839</v>
      </c>
      <c r="J94" s="69" t="s">
        <v>839</v>
      </c>
      <c r="K94" s="69" t="s">
        <v>839</v>
      </c>
      <c r="L94" s="69" t="s">
        <v>839</v>
      </c>
      <c r="M94" s="69" t="s">
        <v>839</v>
      </c>
      <c r="N94" s="69">
        <v>114200</v>
      </c>
      <c r="O94" s="69">
        <v>4977082</v>
      </c>
      <c r="P94" s="69">
        <v>2138334</v>
      </c>
      <c r="Q94" s="69">
        <v>731725</v>
      </c>
      <c r="R94" s="71" t="s">
        <v>77</v>
      </c>
      <c r="S94" s="68"/>
      <c r="T94" s="68"/>
      <c r="U94" s="68"/>
      <c r="V94" s="68"/>
      <c r="W94" s="68"/>
      <c r="X94" s="68"/>
      <c r="Y94" s="68"/>
    </row>
    <row r="95" spans="1:25" s="69" customFormat="1" ht="10.5" customHeight="1" x14ac:dyDescent="0.15">
      <c r="A95" s="756" t="s">
        <v>679</v>
      </c>
      <c r="B95" s="69" t="s">
        <v>839</v>
      </c>
      <c r="C95" s="69" t="s">
        <v>839</v>
      </c>
      <c r="D95" s="69">
        <v>13196867</v>
      </c>
      <c r="E95" s="69" t="s">
        <v>839</v>
      </c>
      <c r="F95" s="69" t="s">
        <v>839</v>
      </c>
      <c r="G95" s="69" t="s">
        <v>839</v>
      </c>
      <c r="H95" s="69" t="s">
        <v>839</v>
      </c>
      <c r="I95" s="69" t="s">
        <v>839</v>
      </c>
      <c r="J95" s="69" t="s">
        <v>839</v>
      </c>
      <c r="K95" s="69" t="s">
        <v>839</v>
      </c>
      <c r="L95" s="69" t="s">
        <v>839</v>
      </c>
      <c r="M95" s="69" t="s">
        <v>839</v>
      </c>
      <c r="N95" s="69">
        <v>324566</v>
      </c>
      <c r="O95" s="69">
        <v>4843537</v>
      </c>
      <c r="P95" s="69">
        <v>2104440</v>
      </c>
      <c r="Q95" s="69">
        <v>721634</v>
      </c>
      <c r="R95" s="71" t="s">
        <v>78</v>
      </c>
      <c r="S95" s="68"/>
      <c r="T95" s="68"/>
      <c r="U95" s="68"/>
      <c r="V95" s="68"/>
      <c r="W95" s="68"/>
      <c r="X95" s="68"/>
      <c r="Y95" s="68"/>
    </row>
    <row r="96" spans="1:25" s="69" customFormat="1" ht="10.5" customHeight="1" x14ac:dyDescent="0.15">
      <c r="A96" s="756" t="s">
        <v>680</v>
      </c>
      <c r="B96" s="69" t="s">
        <v>839</v>
      </c>
      <c r="C96" s="69" t="s">
        <v>839</v>
      </c>
      <c r="D96" s="69">
        <v>13033544</v>
      </c>
      <c r="E96" s="69" t="s">
        <v>839</v>
      </c>
      <c r="F96" s="69" t="s">
        <v>839</v>
      </c>
      <c r="G96" s="69" t="s">
        <v>839</v>
      </c>
      <c r="H96" s="69" t="s">
        <v>839</v>
      </c>
      <c r="I96" s="69" t="s">
        <v>839</v>
      </c>
      <c r="J96" s="69" t="s">
        <v>839</v>
      </c>
      <c r="K96" s="69" t="s">
        <v>839</v>
      </c>
      <c r="L96" s="69" t="s">
        <v>839</v>
      </c>
      <c r="M96" s="69" t="s">
        <v>839</v>
      </c>
      <c r="N96" s="69">
        <v>186458</v>
      </c>
      <c r="O96" s="69">
        <v>6109760</v>
      </c>
      <c r="P96" s="69">
        <v>3020945</v>
      </c>
      <c r="Q96" s="69">
        <v>848108</v>
      </c>
      <c r="R96" s="71" t="s">
        <v>79</v>
      </c>
      <c r="S96" s="68"/>
      <c r="T96" s="68"/>
      <c r="U96" s="68"/>
      <c r="V96" s="68"/>
      <c r="W96" s="68"/>
      <c r="X96" s="68"/>
      <c r="Y96" s="68"/>
    </row>
    <row r="97" spans="1:25" s="69" customFormat="1" ht="10.5" customHeight="1" x14ac:dyDescent="0.15">
      <c r="A97" s="756" t="s">
        <v>681</v>
      </c>
      <c r="B97" s="69" t="s">
        <v>839</v>
      </c>
      <c r="C97" s="69" t="s">
        <v>839</v>
      </c>
      <c r="D97" s="69">
        <v>12124773</v>
      </c>
      <c r="E97" s="69" t="s">
        <v>839</v>
      </c>
      <c r="F97" s="69" t="s">
        <v>839</v>
      </c>
      <c r="G97" s="69" t="s">
        <v>839</v>
      </c>
      <c r="H97" s="69" t="s">
        <v>839</v>
      </c>
      <c r="I97" s="69" t="s">
        <v>839</v>
      </c>
      <c r="J97" s="69" t="s">
        <v>839</v>
      </c>
      <c r="K97" s="69" t="s">
        <v>839</v>
      </c>
      <c r="L97" s="69" t="s">
        <v>839</v>
      </c>
      <c r="M97" s="69" t="s">
        <v>839</v>
      </c>
      <c r="N97" s="69" t="s">
        <v>839</v>
      </c>
      <c r="O97" s="69">
        <v>4302238</v>
      </c>
      <c r="P97" s="69">
        <v>1764769</v>
      </c>
      <c r="Q97" s="69">
        <v>664303</v>
      </c>
      <c r="R97" s="72" t="s">
        <v>92</v>
      </c>
      <c r="S97" s="68"/>
      <c r="T97" s="68"/>
      <c r="U97" s="68"/>
      <c r="V97" s="68"/>
      <c r="W97" s="68"/>
      <c r="X97" s="68"/>
      <c r="Y97" s="68"/>
    </row>
    <row r="98" spans="1:25" s="69" customFormat="1" ht="10.5" customHeight="1" x14ac:dyDescent="0.15">
      <c r="A98" s="756" t="s">
        <v>682</v>
      </c>
      <c r="B98" s="69" t="s">
        <v>839</v>
      </c>
      <c r="C98" s="69" t="s">
        <v>839</v>
      </c>
      <c r="D98" s="69">
        <v>10290282</v>
      </c>
      <c r="E98" s="69" t="s">
        <v>839</v>
      </c>
      <c r="F98" s="69" t="s">
        <v>839</v>
      </c>
      <c r="G98" s="69" t="s">
        <v>839</v>
      </c>
      <c r="H98" s="69" t="s">
        <v>839</v>
      </c>
      <c r="I98" s="69" t="s">
        <v>839</v>
      </c>
      <c r="J98" s="69" t="s">
        <v>839</v>
      </c>
      <c r="K98" s="69" t="s">
        <v>839</v>
      </c>
      <c r="L98" s="69" t="s">
        <v>839</v>
      </c>
      <c r="M98" s="69" t="s">
        <v>839</v>
      </c>
      <c r="N98" s="69" t="s">
        <v>839</v>
      </c>
      <c r="O98" s="69">
        <v>4348329</v>
      </c>
      <c r="P98" s="69">
        <v>1588854</v>
      </c>
      <c r="Q98" s="69">
        <v>606413</v>
      </c>
      <c r="R98" s="71" t="s">
        <v>93</v>
      </c>
      <c r="S98" s="68"/>
      <c r="T98" s="68"/>
      <c r="U98" s="68"/>
      <c r="V98" s="68"/>
      <c r="W98" s="68"/>
      <c r="X98" s="68"/>
      <c r="Y98" s="68"/>
    </row>
    <row r="99" spans="1:25" s="69" customFormat="1" ht="10.5" customHeight="1" x14ac:dyDescent="0.15">
      <c r="A99" s="756" t="s">
        <v>683</v>
      </c>
      <c r="B99" s="69" t="s">
        <v>839</v>
      </c>
      <c r="C99" s="69" t="s">
        <v>839</v>
      </c>
      <c r="D99" s="69">
        <v>12586931</v>
      </c>
      <c r="E99" s="69" t="s">
        <v>839</v>
      </c>
      <c r="F99" s="69" t="s">
        <v>839</v>
      </c>
      <c r="G99" s="69" t="s">
        <v>839</v>
      </c>
      <c r="H99" s="69" t="s">
        <v>839</v>
      </c>
      <c r="I99" s="69" t="s">
        <v>839</v>
      </c>
      <c r="J99" s="69" t="s">
        <v>839</v>
      </c>
      <c r="K99" s="69" t="s">
        <v>839</v>
      </c>
      <c r="L99" s="69" t="s">
        <v>839</v>
      </c>
      <c r="M99" s="69" t="s">
        <v>839</v>
      </c>
      <c r="N99" s="69">
        <v>209983</v>
      </c>
      <c r="O99" s="69">
        <v>4526684</v>
      </c>
      <c r="P99" s="69">
        <v>1586693</v>
      </c>
      <c r="Q99" s="69">
        <v>799908</v>
      </c>
      <c r="R99" s="71" t="s">
        <v>94</v>
      </c>
      <c r="S99" s="68"/>
      <c r="T99" s="68"/>
      <c r="U99" s="68"/>
      <c r="V99" s="68"/>
      <c r="W99" s="68"/>
      <c r="X99" s="68"/>
      <c r="Y99" s="68"/>
    </row>
    <row r="100" spans="1:25" s="69" customFormat="1" ht="10.5" customHeight="1" x14ac:dyDescent="0.15">
      <c r="A100" s="756" t="s">
        <v>684</v>
      </c>
      <c r="B100" s="69" t="s">
        <v>839</v>
      </c>
      <c r="C100" s="69" t="s">
        <v>839</v>
      </c>
      <c r="D100" s="69">
        <v>13883938</v>
      </c>
      <c r="E100" s="69" t="s">
        <v>839</v>
      </c>
      <c r="F100" s="69" t="s">
        <v>839</v>
      </c>
      <c r="G100" s="69" t="s">
        <v>839</v>
      </c>
      <c r="H100" s="69" t="s">
        <v>839</v>
      </c>
      <c r="I100" s="69" t="s">
        <v>839</v>
      </c>
      <c r="J100" s="69" t="s">
        <v>839</v>
      </c>
      <c r="K100" s="69" t="s">
        <v>839</v>
      </c>
      <c r="L100" s="69" t="s">
        <v>839</v>
      </c>
      <c r="M100" s="69" t="s">
        <v>839</v>
      </c>
      <c r="N100" s="69">
        <v>24362</v>
      </c>
      <c r="O100" s="69">
        <v>5869305</v>
      </c>
      <c r="P100" s="69">
        <v>2473849</v>
      </c>
      <c r="Q100" s="69">
        <v>954139</v>
      </c>
      <c r="R100" s="71" t="s">
        <v>95</v>
      </c>
      <c r="S100" s="68"/>
      <c r="T100" s="68"/>
      <c r="U100" s="68"/>
      <c r="V100" s="68"/>
      <c r="W100" s="68"/>
      <c r="X100" s="68"/>
      <c r="Y100" s="68"/>
    </row>
    <row r="101" spans="1:25" s="69" customFormat="1" ht="10.5" customHeight="1" x14ac:dyDescent="0.15">
      <c r="A101" s="756" t="s">
        <v>685</v>
      </c>
      <c r="B101" s="69" t="s">
        <v>839</v>
      </c>
      <c r="C101" s="69" t="s">
        <v>839</v>
      </c>
      <c r="D101" s="69">
        <v>12574788</v>
      </c>
      <c r="E101" s="69" t="s">
        <v>839</v>
      </c>
      <c r="F101" s="69" t="s">
        <v>839</v>
      </c>
      <c r="G101" s="69" t="s">
        <v>839</v>
      </c>
      <c r="H101" s="69" t="s">
        <v>839</v>
      </c>
      <c r="I101" s="69" t="s">
        <v>839</v>
      </c>
      <c r="J101" s="69" t="s">
        <v>839</v>
      </c>
      <c r="K101" s="69" t="s">
        <v>839</v>
      </c>
      <c r="L101" s="69" t="s">
        <v>839</v>
      </c>
      <c r="M101" s="69" t="s">
        <v>839</v>
      </c>
      <c r="N101" s="69">
        <v>238649</v>
      </c>
      <c r="O101" s="69">
        <v>4393186</v>
      </c>
      <c r="P101" s="69">
        <v>1573917</v>
      </c>
      <c r="Q101" s="69">
        <v>833843</v>
      </c>
      <c r="R101" s="71" t="s">
        <v>96</v>
      </c>
      <c r="S101" s="68"/>
      <c r="T101" s="68"/>
      <c r="U101" s="68"/>
      <c r="V101" s="68"/>
      <c r="W101" s="68"/>
      <c r="X101" s="68"/>
      <c r="Y101" s="68"/>
    </row>
    <row r="102" spans="1:25" s="69" customFormat="1" ht="10.5" customHeight="1" x14ac:dyDescent="0.15">
      <c r="A102" s="756" t="s">
        <v>686</v>
      </c>
      <c r="B102" s="69" t="s">
        <v>839</v>
      </c>
      <c r="C102" s="69" t="s">
        <v>839</v>
      </c>
      <c r="D102" s="69">
        <v>12714763</v>
      </c>
      <c r="E102" s="69" t="s">
        <v>839</v>
      </c>
      <c r="F102" s="69" t="s">
        <v>839</v>
      </c>
      <c r="G102" s="69" t="s">
        <v>839</v>
      </c>
      <c r="H102" s="69" t="s">
        <v>839</v>
      </c>
      <c r="I102" s="69" t="s">
        <v>839</v>
      </c>
      <c r="J102" s="69" t="s">
        <v>839</v>
      </c>
      <c r="K102" s="69" t="s">
        <v>839</v>
      </c>
      <c r="L102" s="69" t="s">
        <v>839</v>
      </c>
      <c r="M102" s="69" t="s">
        <v>839</v>
      </c>
      <c r="N102" s="69">
        <v>153857</v>
      </c>
      <c r="O102" s="69">
        <v>5016464</v>
      </c>
      <c r="P102" s="69">
        <v>1705462</v>
      </c>
      <c r="Q102" s="69">
        <v>845674</v>
      </c>
      <c r="R102" s="71" t="s">
        <v>80</v>
      </c>
      <c r="S102" s="68"/>
      <c r="T102" s="68"/>
      <c r="U102" s="68"/>
      <c r="V102" s="68"/>
      <c r="W102" s="68"/>
      <c r="X102" s="68"/>
      <c r="Y102" s="68"/>
    </row>
    <row r="103" spans="1:25" s="69" customFormat="1" ht="10.5" customHeight="1" x14ac:dyDescent="0.15">
      <c r="A103" s="756" t="s">
        <v>687</v>
      </c>
      <c r="B103" s="69" t="s">
        <v>839</v>
      </c>
      <c r="C103" s="69" t="s">
        <v>839</v>
      </c>
      <c r="D103" s="69">
        <v>11742526</v>
      </c>
      <c r="E103" s="69" t="s">
        <v>839</v>
      </c>
      <c r="F103" s="69" t="s">
        <v>839</v>
      </c>
      <c r="G103" s="69" t="s">
        <v>839</v>
      </c>
      <c r="H103" s="69" t="s">
        <v>839</v>
      </c>
      <c r="I103" s="69" t="s">
        <v>839</v>
      </c>
      <c r="J103" s="69" t="s">
        <v>839</v>
      </c>
      <c r="K103" s="69" t="s">
        <v>839</v>
      </c>
      <c r="L103" s="69" t="s">
        <v>839</v>
      </c>
      <c r="M103" s="69" t="s">
        <v>839</v>
      </c>
      <c r="N103" s="69">
        <v>159697</v>
      </c>
      <c r="O103" s="69">
        <v>4470461</v>
      </c>
      <c r="P103" s="69">
        <v>1494479</v>
      </c>
      <c r="Q103" s="69">
        <v>644286</v>
      </c>
      <c r="R103" s="71" t="s">
        <v>81</v>
      </c>
      <c r="S103" s="68"/>
      <c r="T103" s="68"/>
      <c r="U103" s="68"/>
      <c r="V103" s="68"/>
      <c r="W103" s="68"/>
      <c r="X103" s="68"/>
      <c r="Y103" s="68"/>
    </row>
    <row r="104" spans="1:25" s="69" customFormat="1" ht="10.5" customHeight="1" x14ac:dyDescent="0.15">
      <c r="A104" s="756" t="s">
        <v>688</v>
      </c>
      <c r="B104" s="69" t="s">
        <v>839</v>
      </c>
      <c r="C104" s="69" t="s">
        <v>839</v>
      </c>
      <c r="D104" s="69">
        <v>13591456</v>
      </c>
      <c r="E104" s="69" t="s">
        <v>839</v>
      </c>
      <c r="F104" s="69" t="s">
        <v>839</v>
      </c>
      <c r="G104" s="69" t="s">
        <v>839</v>
      </c>
      <c r="H104" s="69" t="s">
        <v>839</v>
      </c>
      <c r="I104" s="69" t="s">
        <v>839</v>
      </c>
      <c r="J104" s="69" t="s">
        <v>839</v>
      </c>
      <c r="K104" s="69" t="s">
        <v>839</v>
      </c>
      <c r="L104" s="69" t="s">
        <v>839</v>
      </c>
      <c r="M104" s="69" t="s">
        <v>839</v>
      </c>
      <c r="N104" s="69">
        <v>308937</v>
      </c>
      <c r="O104" s="69">
        <v>5974821</v>
      </c>
      <c r="P104" s="69">
        <v>2212561</v>
      </c>
      <c r="Q104" s="69">
        <v>881257</v>
      </c>
      <c r="R104" s="71" t="s">
        <v>82</v>
      </c>
      <c r="S104" s="68"/>
      <c r="T104" s="68"/>
      <c r="U104" s="68"/>
      <c r="V104" s="68"/>
      <c r="W104" s="68"/>
      <c r="X104" s="68"/>
      <c r="Y104" s="68"/>
    </row>
    <row r="105" spans="1:25" s="69" customFormat="1" ht="10.5" customHeight="1" x14ac:dyDescent="0.15">
      <c r="A105" s="756" t="s">
        <v>849</v>
      </c>
      <c r="B105" s="69" t="s">
        <v>839</v>
      </c>
      <c r="C105" s="69" t="s">
        <v>839</v>
      </c>
      <c r="D105" s="69">
        <v>12675646</v>
      </c>
      <c r="E105" s="69" t="s">
        <v>839</v>
      </c>
      <c r="F105" s="69" t="s">
        <v>839</v>
      </c>
      <c r="G105" s="69" t="s">
        <v>839</v>
      </c>
      <c r="H105" s="69" t="s">
        <v>839</v>
      </c>
      <c r="I105" s="69" t="s">
        <v>839</v>
      </c>
      <c r="J105" s="69" t="s">
        <v>839</v>
      </c>
      <c r="K105" s="69" t="s">
        <v>839</v>
      </c>
      <c r="L105" s="69" t="s">
        <v>839</v>
      </c>
      <c r="M105" s="69" t="s">
        <v>839</v>
      </c>
      <c r="N105" s="69" t="s">
        <v>839</v>
      </c>
      <c r="O105" s="69">
        <v>5898177</v>
      </c>
      <c r="P105" s="69">
        <v>1875047</v>
      </c>
      <c r="Q105" s="69">
        <v>878070</v>
      </c>
      <c r="R105" s="71" t="s">
        <v>850</v>
      </c>
      <c r="S105" s="68"/>
      <c r="T105" s="68"/>
      <c r="U105" s="68"/>
      <c r="V105" s="68"/>
      <c r="W105" s="68"/>
      <c r="X105" s="68"/>
      <c r="Y105" s="68"/>
    </row>
    <row r="106" spans="1:25" s="69" customFormat="1" ht="10.5" customHeight="1" x14ac:dyDescent="0.15">
      <c r="A106" s="756" t="s">
        <v>690</v>
      </c>
      <c r="B106" s="69" t="s">
        <v>839</v>
      </c>
      <c r="C106" s="69" t="s">
        <v>839</v>
      </c>
      <c r="D106" s="69">
        <v>11910643</v>
      </c>
      <c r="E106" s="69" t="s">
        <v>839</v>
      </c>
      <c r="F106" s="69" t="s">
        <v>839</v>
      </c>
      <c r="G106" s="69" t="s">
        <v>839</v>
      </c>
      <c r="H106" s="69" t="s">
        <v>839</v>
      </c>
      <c r="I106" s="69" t="s">
        <v>839</v>
      </c>
      <c r="J106" s="69" t="s">
        <v>839</v>
      </c>
      <c r="K106" s="69" t="s">
        <v>839</v>
      </c>
      <c r="L106" s="69" t="s">
        <v>839</v>
      </c>
      <c r="M106" s="69" t="s">
        <v>839</v>
      </c>
      <c r="N106" s="69">
        <v>160081</v>
      </c>
      <c r="O106" s="69">
        <v>5264149</v>
      </c>
      <c r="P106" s="69">
        <v>1644810</v>
      </c>
      <c r="Q106" s="69">
        <v>708608</v>
      </c>
      <c r="R106" s="71" t="s">
        <v>77</v>
      </c>
      <c r="S106" s="68"/>
      <c r="T106" s="68"/>
      <c r="U106" s="68"/>
      <c r="V106" s="68"/>
      <c r="W106" s="68"/>
      <c r="X106" s="68"/>
      <c r="Y106" s="68"/>
    </row>
    <row r="107" spans="1:25" s="69" customFormat="1" ht="10.5" customHeight="1" x14ac:dyDescent="0.15">
      <c r="A107" s="757" t="s">
        <v>691</v>
      </c>
      <c r="B107" s="73" t="s">
        <v>839</v>
      </c>
      <c r="C107" s="74" t="s">
        <v>839</v>
      </c>
      <c r="D107" s="74">
        <v>11929924</v>
      </c>
      <c r="E107" s="74" t="s">
        <v>839</v>
      </c>
      <c r="F107" s="74" t="s">
        <v>839</v>
      </c>
      <c r="G107" s="74" t="s">
        <v>839</v>
      </c>
      <c r="H107" s="74" t="s">
        <v>839</v>
      </c>
      <c r="I107" s="74" t="s">
        <v>839</v>
      </c>
      <c r="J107" s="74" t="s">
        <v>839</v>
      </c>
      <c r="K107" s="74" t="s">
        <v>839</v>
      </c>
      <c r="L107" s="74" t="s">
        <v>839</v>
      </c>
      <c r="M107" s="74" t="s">
        <v>839</v>
      </c>
      <c r="N107" s="74">
        <v>79593</v>
      </c>
      <c r="O107" s="74">
        <v>5211477</v>
      </c>
      <c r="P107" s="74">
        <v>2219293</v>
      </c>
      <c r="Q107" s="74">
        <v>680745</v>
      </c>
      <c r="R107" s="75" t="s">
        <v>78</v>
      </c>
      <c r="S107" s="68"/>
      <c r="T107" s="68"/>
      <c r="U107" s="68"/>
      <c r="V107" s="68"/>
      <c r="W107" s="68"/>
      <c r="X107" s="68"/>
      <c r="Y107" s="68"/>
    </row>
    <row r="108" spans="1:25" ht="23.25" customHeight="1" x14ac:dyDescent="0.25">
      <c r="I108" s="76" t="s">
        <v>97</v>
      </c>
    </row>
    <row r="109" spans="1:25" s="20" customFormat="1" ht="11.25" customHeight="1" x14ac:dyDescent="0.15">
      <c r="A109" s="61"/>
      <c r="B109" s="77" t="s">
        <v>98</v>
      </c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999" t="s">
        <v>83</v>
      </c>
      <c r="S109" s="18"/>
      <c r="T109" s="18"/>
      <c r="U109" s="18"/>
      <c r="V109" s="18"/>
      <c r="W109" s="18"/>
      <c r="X109" s="18"/>
      <c r="Y109" s="18"/>
    </row>
    <row r="110" spans="1:25" s="64" customFormat="1" ht="28.5" customHeight="1" x14ac:dyDescent="0.15">
      <c r="A110" s="32" t="s">
        <v>185</v>
      </c>
      <c r="B110" s="38" t="s">
        <v>860</v>
      </c>
      <c r="C110" s="19"/>
      <c r="D110" s="79"/>
      <c r="E110" s="720" t="s">
        <v>144</v>
      </c>
      <c r="F110" s="19"/>
      <c r="G110" s="79"/>
      <c r="H110" s="13" t="s">
        <v>623</v>
      </c>
      <c r="I110" s="720" t="s">
        <v>146</v>
      </c>
      <c r="J110" s="19"/>
      <c r="K110" s="19"/>
      <c r="L110" s="19"/>
      <c r="M110" s="19"/>
      <c r="N110" s="19"/>
      <c r="O110" s="79"/>
      <c r="P110" s="720" t="s">
        <v>147</v>
      </c>
      <c r="Q110" s="19"/>
      <c r="R110" s="1000"/>
      <c r="S110" s="14"/>
      <c r="T110" s="14"/>
      <c r="U110" s="14"/>
      <c r="V110" s="14"/>
      <c r="W110" s="14"/>
      <c r="X110" s="14"/>
      <c r="Y110" s="14"/>
    </row>
    <row r="111" spans="1:25" s="64" customFormat="1" ht="28.5" customHeight="1" x14ac:dyDescent="0.15">
      <c r="A111" s="32"/>
      <c r="B111" s="13" t="s">
        <v>861</v>
      </c>
      <c r="C111" s="13" t="s">
        <v>862</v>
      </c>
      <c r="D111" s="13" t="s">
        <v>863</v>
      </c>
      <c r="E111" s="15" t="s">
        <v>36</v>
      </c>
      <c r="F111" s="13" t="s">
        <v>145</v>
      </c>
      <c r="G111" s="625" t="s">
        <v>864</v>
      </c>
      <c r="H111" s="13" t="s">
        <v>624</v>
      </c>
      <c r="I111" s="15" t="s">
        <v>37</v>
      </c>
      <c r="J111" s="13" t="s">
        <v>149</v>
      </c>
      <c r="K111" s="13" t="s">
        <v>150</v>
      </c>
      <c r="L111" s="13" t="s">
        <v>53</v>
      </c>
      <c r="M111" s="13" t="s">
        <v>151</v>
      </c>
      <c r="N111" s="13" t="s">
        <v>865</v>
      </c>
      <c r="O111" s="625" t="s">
        <v>866</v>
      </c>
      <c r="P111" s="15" t="s">
        <v>38</v>
      </c>
      <c r="Q111" s="720" t="s">
        <v>152</v>
      </c>
      <c r="R111" s="1000"/>
      <c r="S111" s="14"/>
      <c r="T111" s="14"/>
      <c r="U111" s="14"/>
      <c r="V111" s="14"/>
      <c r="W111" s="14"/>
      <c r="X111" s="14"/>
      <c r="Y111" s="14"/>
    </row>
    <row r="112" spans="1:25" s="64" customFormat="1" ht="12" customHeight="1" x14ac:dyDescent="0.15">
      <c r="A112" s="33"/>
      <c r="B112" s="17" t="str">
        <f>PROPER("ARAB-M")</f>
        <v>Arab-M</v>
      </c>
      <c r="C112" s="17" t="str">
        <f>PROPER("ARAB-E-L")</f>
        <v>Arab-E-L</v>
      </c>
      <c r="D112" s="17" t="str">
        <f>PROPER("ARAB-S-L")</f>
        <v>Arab-S-L</v>
      </c>
      <c r="E112" s="17"/>
      <c r="F112" s="17" t="str">
        <f>PROPER("KUWAIT")</f>
        <v>Kuwait</v>
      </c>
      <c r="G112" s="17" t="str">
        <f>PROPER("KWAIT-SL")</f>
        <v>Kwait-Sl</v>
      </c>
      <c r="H112" s="17" t="str">
        <f>PROPER("KHAFJI")</f>
        <v>Khafji</v>
      </c>
      <c r="I112" s="17"/>
      <c r="J112" s="17" t="str">
        <f>PROPER("QATAR")</f>
        <v>Qatar</v>
      </c>
      <c r="K112" s="17" t="str">
        <f>PROPER("QATAR-M")</f>
        <v>Qatar-M</v>
      </c>
      <c r="L112" s="17" t="str">
        <f>PROPER("A-SHAHEN")</f>
        <v>A-Shahen</v>
      </c>
      <c r="M112" s="17" t="str">
        <f>PROPER("A-RAYYAN")</f>
        <v>A-Rayyan</v>
      </c>
      <c r="N112" s="17" t="str">
        <f>PROPER("LOWSUL-C")</f>
        <v>Lowsul-C</v>
      </c>
      <c r="O112" s="17" t="str">
        <f>PROPER("DEOD-F-C")</f>
        <v>Deod-F-C</v>
      </c>
      <c r="P112" s="17"/>
      <c r="Q112" s="16" t="str">
        <f>PROPER("OMAN")</f>
        <v>Oman</v>
      </c>
      <c r="R112" s="1001"/>
      <c r="S112" s="14"/>
      <c r="T112" s="14"/>
      <c r="U112" s="14"/>
      <c r="V112" s="14"/>
      <c r="W112" s="14"/>
      <c r="X112" s="14"/>
      <c r="Y112" s="14"/>
    </row>
    <row r="113" spans="1:25" s="69" customFormat="1" ht="10.5" customHeight="1" x14ac:dyDescent="0.15">
      <c r="A113" s="755" t="s">
        <v>838</v>
      </c>
      <c r="B113" s="65">
        <v>7395914</v>
      </c>
      <c r="C113" s="66">
        <v>31063805</v>
      </c>
      <c r="D113" s="66">
        <v>2177085</v>
      </c>
      <c r="E113" s="66">
        <v>13524438</v>
      </c>
      <c r="F113" s="66">
        <v>12403240</v>
      </c>
      <c r="G113" s="66">
        <v>1121198</v>
      </c>
      <c r="H113" s="66" t="s">
        <v>839</v>
      </c>
      <c r="I113" s="66">
        <v>14337731</v>
      </c>
      <c r="J113" s="66">
        <v>4491663</v>
      </c>
      <c r="K113" s="66">
        <v>4337748</v>
      </c>
      <c r="L113" s="66">
        <v>3864361</v>
      </c>
      <c r="M113" s="66">
        <v>221796</v>
      </c>
      <c r="N113" s="66">
        <v>686989</v>
      </c>
      <c r="O113" s="66">
        <v>735174</v>
      </c>
      <c r="P113" s="66">
        <v>2988696</v>
      </c>
      <c r="Q113" s="66">
        <v>2884109</v>
      </c>
      <c r="R113" s="67" t="s">
        <v>457</v>
      </c>
      <c r="S113" s="68"/>
      <c r="T113" s="68"/>
      <c r="U113" s="68"/>
      <c r="V113" s="68"/>
      <c r="W113" s="68"/>
      <c r="X113" s="68"/>
      <c r="Y113" s="68"/>
    </row>
    <row r="114" spans="1:25" s="69" customFormat="1" ht="10.5" customHeight="1" x14ac:dyDescent="0.15">
      <c r="A114" s="756" t="s">
        <v>669</v>
      </c>
      <c r="B114" s="69">
        <v>2260623</v>
      </c>
      <c r="C114" s="69">
        <v>26618296</v>
      </c>
      <c r="D114" s="69">
        <v>2459838</v>
      </c>
      <c r="E114" s="69">
        <v>14692639</v>
      </c>
      <c r="F114" s="69">
        <v>11706239</v>
      </c>
      <c r="G114" s="69">
        <v>2986400</v>
      </c>
      <c r="H114" s="69" t="s">
        <v>839</v>
      </c>
      <c r="I114" s="69">
        <v>15567254</v>
      </c>
      <c r="J114" s="69">
        <v>4996484</v>
      </c>
      <c r="K114" s="69">
        <v>3427764</v>
      </c>
      <c r="L114" s="69">
        <v>4244379</v>
      </c>
      <c r="M114" s="69" t="s">
        <v>839</v>
      </c>
      <c r="N114" s="69">
        <v>1322147</v>
      </c>
      <c r="O114" s="69">
        <v>1576480</v>
      </c>
      <c r="P114" s="69">
        <v>3352539</v>
      </c>
      <c r="Q114" s="69">
        <v>3352539</v>
      </c>
      <c r="R114" s="71" t="s">
        <v>512</v>
      </c>
      <c r="S114" s="68"/>
      <c r="T114" s="68"/>
      <c r="U114" s="68"/>
      <c r="V114" s="68"/>
      <c r="W114" s="68"/>
      <c r="X114" s="68"/>
      <c r="Y114" s="68"/>
    </row>
    <row r="115" spans="1:25" s="69" customFormat="1" ht="10.5" customHeight="1" x14ac:dyDescent="0.15">
      <c r="A115" s="756" t="s">
        <v>670</v>
      </c>
      <c r="B115" s="69">
        <v>2301674</v>
      </c>
      <c r="C115" s="69">
        <v>23320165</v>
      </c>
      <c r="D115" s="69">
        <v>2187000</v>
      </c>
      <c r="E115" s="69">
        <v>13223305</v>
      </c>
      <c r="F115" s="69">
        <v>11363272</v>
      </c>
      <c r="G115" s="69">
        <v>1860033</v>
      </c>
      <c r="H115" s="69">
        <v>197107</v>
      </c>
      <c r="I115" s="69">
        <v>12371792</v>
      </c>
      <c r="J115" s="69">
        <v>4229452</v>
      </c>
      <c r="K115" s="69">
        <v>2610370</v>
      </c>
      <c r="L115" s="69">
        <v>3970725</v>
      </c>
      <c r="M115" s="69" t="s">
        <v>839</v>
      </c>
      <c r="N115" s="69">
        <v>1086864</v>
      </c>
      <c r="O115" s="69">
        <v>474381</v>
      </c>
      <c r="P115" s="69">
        <v>668065</v>
      </c>
      <c r="Q115" s="69">
        <v>668065</v>
      </c>
      <c r="R115" s="71" t="s">
        <v>620</v>
      </c>
      <c r="S115" s="68"/>
      <c r="T115" s="68"/>
      <c r="U115" s="68"/>
      <c r="V115" s="68"/>
      <c r="W115" s="68"/>
      <c r="X115" s="68"/>
      <c r="Y115" s="68"/>
    </row>
    <row r="116" spans="1:25" s="69" customFormat="1" ht="10.5" customHeight="1" x14ac:dyDescent="0.15">
      <c r="A116" s="756" t="s">
        <v>671</v>
      </c>
      <c r="B116" s="69">
        <v>1894831</v>
      </c>
      <c r="C116" s="69">
        <v>22407111</v>
      </c>
      <c r="D116" s="69">
        <v>1993286</v>
      </c>
      <c r="E116" s="69">
        <v>12105867</v>
      </c>
      <c r="F116" s="69">
        <v>11550466</v>
      </c>
      <c r="G116" s="69">
        <v>555401</v>
      </c>
      <c r="H116" s="69">
        <v>465530</v>
      </c>
      <c r="I116" s="69">
        <v>11301078</v>
      </c>
      <c r="J116" s="69">
        <v>3770218</v>
      </c>
      <c r="K116" s="69">
        <v>2082792</v>
      </c>
      <c r="L116" s="69">
        <v>4590851</v>
      </c>
      <c r="M116" s="69" t="s">
        <v>839</v>
      </c>
      <c r="N116" s="69">
        <v>702166</v>
      </c>
      <c r="O116" s="69">
        <v>155051</v>
      </c>
      <c r="P116" s="69">
        <v>825144</v>
      </c>
      <c r="Q116" s="69">
        <v>774331</v>
      </c>
      <c r="R116" s="71" t="s">
        <v>672</v>
      </c>
      <c r="S116" s="68"/>
      <c r="T116" s="68"/>
      <c r="U116" s="68"/>
      <c r="V116" s="68"/>
      <c r="W116" s="68"/>
      <c r="X116" s="68"/>
      <c r="Y116" s="68"/>
    </row>
    <row r="117" spans="1:25" s="69" customFormat="1" ht="10.5" customHeight="1" x14ac:dyDescent="0.15">
      <c r="A117" s="756" t="s">
        <v>840</v>
      </c>
      <c r="B117" s="69">
        <v>1741401</v>
      </c>
      <c r="C117" s="69">
        <v>23205052</v>
      </c>
      <c r="D117" s="69">
        <v>1770027</v>
      </c>
      <c r="E117" s="69">
        <v>12823959</v>
      </c>
      <c r="F117" s="69">
        <v>11536043</v>
      </c>
      <c r="G117" s="69">
        <v>1287916</v>
      </c>
      <c r="H117" s="69">
        <v>496437</v>
      </c>
      <c r="I117" s="69">
        <v>11575819</v>
      </c>
      <c r="J117" s="69">
        <v>4683655</v>
      </c>
      <c r="K117" s="69">
        <v>3173150</v>
      </c>
      <c r="L117" s="69">
        <v>3520597</v>
      </c>
      <c r="M117" s="69" t="s">
        <v>839</v>
      </c>
      <c r="N117" s="69">
        <v>40956</v>
      </c>
      <c r="O117" s="69">
        <v>157461</v>
      </c>
      <c r="P117" s="69">
        <v>1775320</v>
      </c>
      <c r="Q117" s="69">
        <v>1775320</v>
      </c>
      <c r="R117" s="71" t="s">
        <v>841</v>
      </c>
      <c r="S117" s="68"/>
      <c r="T117" s="68"/>
      <c r="U117" s="68"/>
      <c r="V117" s="68"/>
      <c r="W117" s="68"/>
      <c r="X117" s="68"/>
      <c r="Y117" s="68"/>
    </row>
    <row r="118" spans="1:25" s="69" customFormat="1" ht="10.5" customHeight="1" x14ac:dyDescent="0.15">
      <c r="A118" s="787"/>
      <c r="R118" s="71"/>
      <c r="S118" s="68"/>
      <c r="T118" s="68"/>
      <c r="U118" s="68"/>
      <c r="V118" s="68"/>
      <c r="W118" s="68"/>
      <c r="X118" s="68"/>
      <c r="Y118" s="68"/>
    </row>
    <row r="119" spans="1:25" s="69" customFormat="1" ht="10.5" customHeight="1" x14ac:dyDescent="0.15">
      <c r="A119" s="756" t="s">
        <v>842</v>
      </c>
      <c r="B119" s="69">
        <v>1826264</v>
      </c>
      <c r="C119" s="69">
        <v>21300152</v>
      </c>
      <c r="D119" s="69">
        <v>1948659</v>
      </c>
      <c r="E119" s="69">
        <v>12512645</v>
      </c>
      <c r="F119" s="69">
        <v>11894514</v>
      </c>
      <c r="G119" s="69">
        <v>618131</v>
      </c>
      <c r="H119" s="69">
        <v>416928</v>
      </c>
      <c r="I119" s="69">
        <v>11599693</v>
      </c>
      <c r="J119" s="69">
        <v>4291831</v>
      </c>
      <c r="K119" s="69">
        <v>2330453</v>
      </c>
      <c r="L119" s="69">
        <v>4665520</v>
      </c>
      <c r="M119" s="69" t="s">
        <v>839</v>
      </c>
      <c r="N119" s="69">
        <v>156838</v>
      </c>
      <c r="O119" s="69">
        <v>155051</v>
      </c>
      <c r="P119" s="69">
        <v>1013381</v>
      </c>
      <c r="Q119" s="69">
        <v>1013381</v>
      </c>
      <c r="R119" s="71" t="s">
        <v>673</v>
      </c>
      <c r="S119" s="68"/>
      <c r="T119" s="68"/>
      <c r="U119" s="68"/>
      <c r="V119" s="68"/>
      <c r="W119" s="68"/>
      <c r="X119" s="68"/>
      <c r="Y119" s="68"/>
    </row>
    <row r="120" spans="1:25" s="69" customFormat="1" ht="10.5" customHeight="1" x14ac:dyDescent="0.15">
      <c r="A120" s="756" t="s">
        <v>843</v>
      </c>
      <c r="B120" s="69">
        <v>1620686</v>
      </c>
      <c r="C120" s="69">
        <v>25590359</v>
      </c>
      <c r="D120" s="69">
        <v>1667973</v>
      </c>
      <c r="E120" s="69">
        <v>13374489</v>
      </c>
      <c r="F120" s="69">
        <v>11833849</v>
      </c>
      <c r="G120" s="69">
        <v>1540640</v>
      </c>
      <c r="H120" s="69">
        <v>515796</v>
      </c>
      <c r="I120" s="69">
        <v>10177232</v>
      </c>
      <c r="J120" s="69">
        <v>3756142</v>
      </c>
      <c r="K120" s="69">
        <v>3325004</v>
      </c>
      <c r="L120" s="69">
        <v>2897669</v>
      </c>
      <c r="M120" s="69" t="s">
        <v>839</v>
      </c>
      <c r="N120" s="69">
        <v>40956</v>
      </c>
      <c r="O120" s="69">
        <v>157461</v>
      </c>
      <c r="P120" s="69">
        <v>1774357</v>
      </c>
      <c r="Q120" s="69">
        <v>1774357</v>
      </c>
      <c r="R120" s="71" t="s">
        <v>844</v>
      </c>
      <c r="S120" s="68"/>
      <c r="T120" s="68"/>
      <c r="U120" s="68"/>
      <c r="V120" s="68"/>
      <c r="W120" s="68"/>
      <c r="X120" s="68"/>
      <c r="Y120" s="68"/>
    </row>
    <row r="121" spans="1:25" s="69" customFormat="1" ht="10.5" customHeight="1" x14ac:dyDescent="0.15">
      <c r="A121" s="787"/>
      <c r="R121" s="71"/>
      <c r="S121" s="68"/>
      <c r="T121" s="68"/>
      <c r="U121" s="68"/>
      <c r="V121" s="68"/>
      <c r="W121" s="68"/>
      <c r="X121" s="68"/>
      <c r="Y121" s="68"/>
    </row>
    <row r="122" spans="1:25" s="69" customFormat="1" ht="10.5" customHeight="1" x14ac:dyDescent="0.15">
      <c r="A122" s="756" t="s">
        <v>845</v>
      </c>
      <c r="B122" s="69">
        <v>489286</v>
      </c>
      <c r="C122" s="69">
        <v>5161692</v>
      </c>
      <c r="D122" s="69">
        <v>553714</v>
      </c>
      <c r="E122" s="69">
        <v>3119755</v>
      </c>
      <c r="F122" s="69">
        <v>2898759</v>
      </c>
      <c r="G122" s="69">
        <v>220996</v>
      </c>
      <c r="H122" s="69">
        <v>140158</v>
      </c>
      <c r="I122" s="69">
        <v>3576644</v>
      </c>
      <c r="J122" s="69">
        <v>1638131</v>
      </c>
      <c r="K122" s="69">
        <v>855805</v>
      </c>
      <c r="L122" s="69">
        <v>1082708</v>
      </c>
      <c r="M122" s="69" t="s">
        <v>839</v>
      </c>
      <c r="N122" s="69" t="s">
        <v>839</v>
      </c>
      <c r="O122" s="69" t="s">
        <v>839</v>
      </c>
      <c r="P122" s="69">
        <v>397510</v>
      </c>
      <c r="Q122" s="69">
        <v>397510</v>
      </c>
      <c r="R122" s="71" t="s">
        <v>677</v>
      </c>
      <c r="S122" s="68"/>
      <c r="T122" s="68"/>
      <c r="U122" s="68"/>
      <c r="V122" s="68"/>
      <c r="W122" s="68"/>
      <c r="X122" s="68"/>
      <c r="Y122" s="68"/>
    </row>
    <row r="123" spans="1:25" s="69" customFormat="1" ht="10.5" customHeight="1" x14ac:dyDescent="0.15">
      <c r="A123" s="756" t="s">
        <v>674</v>
      </c>
      <c r="B123" s="69">
        <v>406659</v>
      </c>
      <c r="C123" s="69">
        <v>5572077</v>
      </c>
      <c r="D123" s="69">
        <v>288199</v>
      </c>
      <c r="E123" s="69">
        <v>2838910</v>
      </c>
      <c r="F123" s="69">
        <v>2714784</v>
      </c>
      <c r="G123" s="69">
        <v>124126</v>
      </c>
      <c r="H123" s="69">
        <v>71735</v>
      </c>
      <c r="I123" s="69">
        <v>2598906</v>
      </c>
      <c r="J123" s="69">
        <v>1051324</v>
      </c>
      <c r="K123" s="69">
        <v>768857</v>
      </c>
      <c r="L123" s="69">
        <v>737769</v>
      </c>
      <c r="M123" s="69" t="s">
        <v>839</v>
      </c>
      <c r="N123" s="69">
        <v>40956</v>
      </c>
      <c r="O123" s="69" t="s">
        <v>839</v>
      </c>
      <c r="P123" s="69">
        <v>476883</v>
      </c>
      <c r="Q123" s="69">
        <v>476883</v>
      </c>
      <c r="R123" s="71" t="s">
        <v>89</v>
      </c>
      <c r="S123" s="68"/>
      <c r="T123" s="68"/>
      <c r="U123" s="68"/>
      <c r="V123" s="68"/>
      <c r="W123" s="68"/>
      <c r="X123" s="68"/>
      <c r="Y123" s="68"/>
    </row>
    <row r="124" spans="1:25" s="69" customFormat="1" ht="10.5" customHeight="1" x14ac:dyDescent="0.15">
      <c r="A124" s="756" t="s">
        <v>675</v>
      </c>
      <c r="B124" s="69">
        <v>294027</v>
      </c>
      <c r="C124" s="69">
        <v>5852243</v>
      </c>
      <c r="D124" s="69">
        <v>420556</v>
      </c>
      <c r="E124" s="69">
        <v>3181387</v>
      </c>
      <c r="F124" s="69">
        <v>2854892</v>
      </c>
      <c r="G124" s="69">
        <v>326495</v>
      </c>
      <c r="H124" s="69">
        <v>141798</v>
      </c>
      <c r="I124" s="69">
        <v>3450905</v>
      </c>
      <c r="J124" s="69">
        <v>968269</v>
      </c>
      <c r="K124" s="69">
        <v>1010978</v>
      </c>
      <c r="L124" s="69">
        <v>1392418</v>
      </c>
      <c r="M124" s="69" t="s">
        <v>839</v>
      </c>
      <c r="N124" s="69" t="s">
        <v>839</v>
      </c>
      <c r="O124" s="69">
        <v>79240</v>
      </c>
      <c r="P124" s="69">
        <v>519828</v>
      </c>
      <c r="Q124" s="69">
        <v>519828</v>
      </c>
      <c r="R124" s="71" t="s">
        <v>90</v>
      </c>
      <c r="S124" s="68"/>
      <c r="T124" s="68"/>
      <c r="U124" s="68"/>
      <c r="V124" s="68"/>
      <c r="W124" s="68"/>
      <c r="X124" s="68"/>
      <c r="Y124" s="68"/>
    </row>
    <row r="125" spans="1:25" s="69" customFormat="1" ht="10.5" customHeight="1" x14ac:dyDescent="0.15">
      <c r="A125" s="756" t="s">
        <v>676</v>
      </c>
      <c r="B125" s="69">
        <v>551429</v>
      </c>
      <c r="C125" s="69">
        <v>6619040</v>
      </c>
      <c r="D125" s="69">
        <v>507558</v>
      </c>
      <c r="E125" s="69">
        <v>3683907</v>
      </c>
      <c r="F125" s="69">
        <v>3067608</v>
      </c>
      <c r="G125" s="69">
        <v>616299</v>
      </c>
      <c r="H125" s="69">
        <v>142746</v>
      </c>
      <c r="I125" s="69">
        <v>1949364</v>
      </c>
      <c r="J125" s="69">
        <v>1025931</v>
      </c>
      <c r="K125" s="69">
        <v>537510</v>
      </c>
      <c r="L125" s="69">
        <v>307702</v>
      </c>
      <c r="M125" s="69" t="s">
        <v>839</v>
      </c>
      <c r="N125" s="69" t="s">
        <v>839</v>
      </c>
      <c r="O125" s="69">
        <v>78221</v>
      </c>
      <c r="P125" s="69">
        <v>381099</v>
      </c>
      <c r="Q125" s="69">
        <v>381099</v>
      </c>
      <c r="R125" s="71" t="s">
        <v>91</v>
      </c>
      <c r="S125" s="68"/>
      <c r="T125" s="68"/>
      <c r="U125" s="68"/>
      <c r="V125" s="68"/>
      <c r="W125" s="68"/>
      <c r="X125" s="68"/>
      <c r="Y125" s="68"/>
    </row>
    <row r="126" spans="1:25" s="69" customFormat="1" ht="10.5" customHeight="1" x14ac:dyDescent="0.15">
      <c r="A126" s="756" t="s">
        <v>846</v>
      </c>
      <c r="B126" s="69">
        <v>368571</v>
      </c>
      <c r="C126" s="69">
        <v>7546999</v>
      </c>
      <c r="D126" s="69">
        <v>451660</v>
      </c>
      <c r="E126" s="69">
        <v>3670285</v>
      </c>
      <c r="F126" s="69">
        <v>3196565</v>
      </c>
      <c r="G126" s="69">
        <v>473720</v>
      </c>
      <c r="H126" s="69">
        <v>159517</v>
      </c>
      <c r="I126" s="69">
        <v>2178057</v>
      </c>
      <c r="J126" s="69">
        <v>710618</v>
      </c>
      <c r="K126" s="69">
        <v>1007659</v>
      </c>
      <c r="L126" s="69">
        <v>459780</v>
      </c>
      <c r="M126" s="69" t="s">
        <v>839</v>
      </c>
      <c r="N126" s="69" t="s">
        <v>839</v>
      </c>
      <c r="O126" s="69" t="s">
        <v>839</v>
      </c>
      <c r="P126" s="69">
        <v>396547</v>
      </c>
      <c r="Q126" s="69">
        <v>396547</v>
      </c>
      <c r="R126" s="71" t="s">
        <v>847</v>
      </c>
      <c r="S126" s="68"/>
      <c r="T126" s="68"/>
      <c r="U126" s="68"/>
      <c r="V126" s="68"/>
      <c r="W126" s="68"/>
      <c r="X126" s="68"/>
      <c r="Y126" s="68"/>
    </row>
    <row r="127" spans="1:25" s="69" customFormat="1" ht="10.5" customHeight="1" x14ac:dyDescent="0.15">
      <c r="A127" s="787"/>
      <c r="R127" s="71"/>
      <c r="S127" s="68"/>
      <c r="T127" s="68"/>
      <c r="U127" s="68"/>
      <c r="V127" s="68"/>
      <c r="W127" s="68"/>
      <c r="X127" s="68"/>
      <c r="Y127" s="68"/>
    </row>
    <row r="128" spans="1:25" s="69" customFormat="1" ht="10.5" customHeight="1" x14ac:dyDescent="0.15">
      <c r="A128" s="756" t="s">
        <v>848</v>
      </c>
      <c r="B128" s="69">
        <v>232165</v>
      </c>
      <c r="C128" s="69">
        <v>1641783</v>
      </c>
      <c r="D128" s="69">
        <v>206258</v>
      </c>
      <c r="E128" s="69">
        <v>1059673</v>
      </c>
      <c r="F128" s="69">
        <v>997004</v>
      </c>
      <c r="G128" s="69">
        <v>62669</v>
      </c>
      <c r="H128" s="69">
        <v>71638</v>
      </c>
      <c r="I128" s="69">
        <v>1169600</v>
      </c>
      <c r="J128" s="69">
        <v>630072</v>
      </c>
      <c r="K128" s="69">
        <v>226525</v>
      </c>
      <c r="L128" s="69">
        <v>313003</v>
      </c>
      <c r="M128" s="69" t="s">
        <v>839</v>
      </c>
      <c r="N128" s="69" t="s">
        <v>839</v>
      </c>
      <c r="O128" s="69" t="s">
        <v>839</v>
      </c>
      <c r="P128" s="69">
        <v>79355</v>
      </c>
      <c r="Q128" s="69">
        <v>79355</v>
      </c>
      <c r="R128" s="71" t="s">
        <v>689</v>
      </c>
      <c r="S128" s="68"/>
      <c r="T128" s="68"/>
      <c r="U128" s="68"/>
      <c r="V128" s="68"/>
      <c r="W128" s="68"/>
      <c r="X128" s="68"/>
      <c r="Y128" s="68"/>
    </row>
    <row r="129" spans="1:25" s="69" customFormat="1" ht="10.5" customHeight="1" x14ac:dyDescent="0.15">
      <c r="A129" s="756" t="s">
        <v>678</v>
      </c>
      <c r="B129" s="69">
        <v>185160</v>
      </c>
      <c r="C129" s="69">
        <v>1760413</v>
      </c>
      <c r="D129" s="69">
        <v>161450</v>
      </c>
      <c r="E129" s="69">
        <v>1061068</v>
      </c>
      <c r="F129" s="69">
        <v>902741</v>
      </c>
      <c r="G129" s="69">
        <v>158327</v>
      </c>
      <c r="H129" s="69" t="s">
        <v>839</v>
      </c>
      <c r="I129" s="69">
        <v>1099112</v>
      </c>
      <c r="J129" s="69">
        <v>548481</v>
      </c>
      <c r="K129" s="69">
        <v>236972</v>
      </c>
      <c r="L129" s="69">
        <v>313659</v>
      </c>
      <c r="M129" s="69" t="s">
        <v>839</v>
      </c>
      <c r="N129" s="69" t="s">
        <v>839</v>
      </c>
      <c r="O129" s="69" t="s">
        <v>839</v>
      </c>
      <c r="P129" s="69">
        <v>79411</v>
      </c>
      <c r="Q129" s="69">
        <v>79411</v>
      </c>
      <c r="R129" s="71" t="s">
        <v>77</v>
      </c>
      <c r="S129" s="68"/>
      <c r="T129" s="68"/>
      <c r="U129" s="68"/>
      <c r="V129" s="68"/>
      <c r="W129" s="68"/>
      <c r="X129" s="68"/>
      <c r="Y129" s="68"/>
    </row>
    <row r="130" spans="1:25" s="69" customFormat="1" ht="10.5" customHeight="1" x14ac:dyDescent="0.15">
      <c r="A130" s="756" t="s">
        <v>679</v>
      </c>
      <c r="B130" s="69">
        <v>71961</v>
      </c>
      <c r="C130" s="69">
        <v>1759496</v>
      </c>
      <c r="D130" s="69">
        <v>186006</v>
      </c>
      <c r="E130" s="69">
        <v>999014</v>
      </c>
      <c r="F130" s="69">
        <v>999014</v>
      </c>
      <c r="G130" s="69" t="s">
        <v>839</v>
      </c>
      <c r="H130" s="69">
        <v>68520</v>
      </c>
      <c r="I130" s="69">
        <v>1307932</v>
      </c>
      <c r="J130" s="69">
        <v>459578</v>
      </c>
      <c r="K130" s="69">
        <v>392308</v>
      </c>
      <c r="L130" s="69">
        <v>456046</v>
      </c>
      <c r="M130" s="69" t="s">
        <v>839</v>
      </c>
      <c r="N130" s="69" t="s">
        <v>839</v>
      </c>
      <c r="O130" s="69" t="s">
        <v>839</v>
      </c>
      <c r="P130" s="69">
        <v>238744</v>
      </c>
      <c r="Q130" s="69">
        <v>238744</v>
      </c>
      <c r="R130" s="71" t="s">
        <v>78</v>
      </c>
      <c r="S130" s="68"/>
      <c r="T130" s="68"/>
      <c r="U130" s="68"/>
      <c r="V130" s="68"/>
      <c r="W130" s="68"/>
      <c r="X130" s="68"/>
      <c r="Y130" s="68"/>
    </row>
    <row r="131" spans="1:25" s="69" customFormat="1" ht="10.5" customHeight="1" x14ac:dyDescent="0.15">
      <c r="A131" s="756" t="s">
        <v>680</v>
      </c>
      <c r="B131" s="69">
        <v>132759</v>
      </c>
      <c r="C131" s="69">
        <v>1949199</v>
      </c>
      <c r="D131" s="69">
        <v>158749</v>
      </c>
      <c r="E131" s="69">
        <v>1051037</v>
      </c>
      <c r="F131" s="69">
        <v>1051037</v>
      </c>
      <c r="G131" s="69" t="s">
        <v>839</v>
      </c>
      <c r="H131" s="69" t="s">
        <v>839</v>
      </c>
      <c r="I131" s="69">
        <v>989682</v>
      </c>
      <c r="J131" s="69">
        <v>341608</v>
      </c>
      <c r="K131" s="69">
        <v>234872</v>
      </c>
      <c r="L131" s="69">
        <v>413202</v>
      </c>
      <c r="M131" s="69" t="s">
        <v>839</v>
      </c>
      <c r="N131" s="69" t="s">
        <v>839</v>
      </c>
      <c r="O131" s="69" t="s">
        <v>839</v>
      </c>
      <c r="P131" s="69">
        <v>238857</v>
      </c>
      <c r="Q131" s="69">
        <v>238857</v>
      </c>
      <c r="R131" s="71" t="s">
        <v>79</v>
      </c>
      <c r="S131" s="68"/>
      <c r="T131" s="68"/>
      <c r="U131" s="68"/>
      <c r="V131" s="68"/>
      <c r="W131" s="68"/>
      <c r="X131" s="68"/>
      <c r="Y131" s="68"/>
    </row>
    <row r="132" spans="1:25" s="69" customFormat="1" ht="10.5" customHeight="1" x14ac:dyDescent="0.15">
      <c r="A132" s="756" t="s">
        <v>681</v>
      </c>
      <c r="B132" s="69">
        <v>168375</v>
      </c>
      <c r="C132" s="69">
        <v>1575341</v>
      </c>
      <c r="D132" s="69">
        <v>129450</v>
      </c>
      <c r="E132" s="69">
        <v>882034</v>
      </c>
      <c r="F132" s="69">
        <v>882034</v>
      </c>
      <c r="G132" s="69" t="s">
        <v>839</v>
      </c>
      <c r="H132" s="69">
        <v>71735</v>
      </c>
      <c r="I132" s="69">
        <v>882539</v>
      </c>
      <c r="J132" s="69">
        <v>400580</v>
      </c>
      <c r="K132" s="69">
        <v>240847</v>
      </c>
      <c r="L132" s="69">
        <v>241112</v>
      </c>
      <c r="M132" s="69" t="s">
        <v>839</v>
      </c>
      <c r="N132" s="69" t="s">
        <v>839</v>
      </c>
      <c r="O132" s="69" t="s">
        <v>839</v>
      </c>
      <c r="P132" s="69">
        <v>238026</v>
      </c>
      <c r="Q132" s="69">
        <v>238026</v>
      </c>
      <c r="R132" s="72" t="s">
        <v>92</v>
      </c>
      <c r="S132" s="68"/>
      <c r="T132" s="68"/>
      <c r="U132" s="68"/>
      <c r="V132" s="68"/>
      <c r="W132" s="68"/>
      <c r="X132" s="68"/>
      <c r="Y132" s="68"/>
    </row>
    <row r="133" spans="1:25" s="69" customFormat="1" ht="10.5" customHeight="1" x14ac:dyDescent="0.15">
      <c r="A133" s="756" t="s">
        <v>682</v>
      </c>
      <c r="B133" s="69">
        <v>105525</v>
      </c>
      <c r="C133" s="69">
        <v>2047537</v>
      </c>
      <c r="D133" s="69" t="s">
        <v>839</v>
      </c>
      <c r="E133" s="69">
        <v>905839</v>
      </c>
      <c r="F133" s="69">
        <v>781713</v>
      </c>
      <c r="G133" s="69">
        <v>124126</v>
      </c>
      <c r="H133" s="69" t="s">
        <v>839</v>
      </c>
      <c r="I133" s="69">
        <v>726685</v>
      </c>
      <c r="J133" s="69">
        <v>309136</v>
      </c>
      <c r="K133" s="69">
        <v>293138</v>
      </c>
      <c r="L133" s="69">
        <v>83455</v>
      </c>
      <c r="M133" s="69" t="s">
        <v>839</v>
      </c>
      <c r="N133" s="69">
        <v>40956</v>
      </c>
      <c r="O133" s="69" t="s">
        <v>839</v>
      </c>
      <c r="P133" s="69" t="s">
        <v>839</v>
      </c>
      <c r="Q133" s="69" t="s">
        <v>839</v>
      </c>
      <c r="R133" s="71" t="s">
        <v>93</v>
      </c>
      <c r="S133" s="68"/>
      <c r="T133" s="68"/>
      <c r="U133" s="68"/>
      <c r="V133" s="68"/>
      <c r="W133" s="68"/>
      <c r="X133" s="68"/>
      <c r="Y133" s="68"/>
    </row>
    <row r="134" spans="1:25" s="69" customFormat="1" ht="10.5" customHeight="1" x14ac:dyDescent="0.15">
      <c r="A134" s="756" t="s">
        <v>683</v>
      </c>
      <c r="B134" s="69">
        <v>127159</v>
      </c>
      <c r="C134" s="69">
        <v>2012924</v>
      </c>
      <c r="D134" s="69" t="s">
        <v>839</v>
      </c>
      <c r="E134" s="69">
        <v>1048577</v>
      </c>
      <c r="F134" s="69">
        <v>956455</v>
      </c>
      <c r="G134" s="69">
        <v>92122</v>
      </c>
      <c r="H134" s="69">
        <v>69937</v>
      </c>
      <c r="I134" s="69">
        <v>1168271</v>
      </c>
      <c r="J134" s="69">
        <v>472209</v>
      </c>
      <c r="K134" s="69">
        <v>301944</v>
      </c>
      <c r="L134" s="69">
        <v>394118</v>
      </c>
      <c r="M134" s="69" t="s">
        <v>839</v>
      </c>
      <c r="N134" s="69" t="s">
        <v>839</v>
      </c>
      <c r="O134" s="69" t="s">
        <v>839</v>
      </c>
      <c r="P134" s="69">
        <v>158789</v>
      </c>
      <c r="Q134" s="69">
        <v>158789</v>
      </c>
      <c r="R134" s="71" t="s">
        <v>94</v>
      </c>
      <c r="S134" s="68"/>
      <c r="T134" s="68"/>
      <c r="U134" s="68"/>
      <c r="V134" s="68"/>
      <c r="W134" s="68"/>
      <c r="X134" s="68"/>
      <c r="Y134" s="68"/>
    </row>
    <row r="135" spans="1:25" s="69" customFormat="1" ht="10.5" customHeight="1" x14ac:dyDescent="0.15">
      <c r="A135" s="756" t="s">
        <v>684</v>
      </c>
      <c r="B135" s="69">
        <v>109293</v>
      </c>
      <c r="C135" s="69">
        <v>2096936</v>
      </c>
      <c r="D135" s="69">
        <v>235088</v>
      </c>
      <c r="E135" s="69">
        <v>1526356</v>
      </c>
      <c r="F135" s="69">
        <v>1368485</v>
      </c>
      <c r="G135" s="69">
        <v>157871</v>
      </c>
      <c r="H135" s="69" t="s">
        <v>839</v>
      </c>
      <c r="I135" s="69">
        <v>1086870</v>
      </c>
      <c r="J135" s="69">
        <v>308233</v>
      </c>
      <c r="K135" s="69">
        <v>320886</v>
      </c>
      <c r="L135" s="69">
        <v>457751</v>
      </c>
      <c r="M135" s="69" t="s">
        <v>839</v>
      </c>
      <c r="N135" s="69" t="s">
        <v>839</v>
      </c>
      <c r="O135" s="69" t="s">
        <v>839</v>
      </c>
      <c r="P135" s="69">
        <v>205337</v>
      </c>
      <c r="Q135" s="69">
        <v>205337</v>
      </c>
      <c r="R135" s="71" t="s">
        <v>95</v>
      </c>
      <c r="S135" s="68"/>
      <c r="T135" s="68"/>
      <c r="U135" s="68"/>
      <c r="V135" s="68"/>
      <c r="W135" s="68"/>
      <c r="X135" s="68"/>
      <c r="Y135" s="68"/>
    </row>
    <row r="136" spans="1:25" s="69" customFormat="1" ht="10.5" customHeight="1" x14ac:dyDescent="0.15">
      <c r="A136" s="756" t="s">
        <v>685</v>
      </c>
      <c r="B136" s="69">
        <v>57575</v>
      </c>
      <c r="C136" s="69">
        <v>1742383</v>
      </c>
      <c r="D136" s="69">
        <v>185468</v>
      </c>
      <c r="E136" s="69">
        <v>606454</v>
      </c>
      <c r="F136" s="69">
        <v>529952</v>
      </c>
      <c r="G136" s="69">
        <v>76502</v>
      </c>
      <c r="H136" s="69">
        <v>71861</v>
      </c>
      <c r="I136" s="69">
        <v>1195764</v>
      </c>
      <c r="J136" s="69">
        <v>187827</v>
      </c>
      <c r="K136" s="69">
        <v>388148</v>
      </c>
      <c r="L136" s="69">
        <v>540549</v>
      </c>
      <c r="M136" s="69" t="s">
        <v>839</v>
      </c>
      <c r="N136" s="69" t="s">
        <v>839</v>
      </c>
      <c r="O136" s="69">
        <v>79240</v>
      </c>
      <c r="P136" s="69">
        <v>155702</v>
      </c>
      <c r="Q136" s="69">
        <v>155702</v>
      </c>
      <c r="R136" s="71" t="s">
        <v>96</v>
      </c>
      <c r="S136" s="68"/>
      <c r="T136" s="68"/>
      <c r="U136" s="68"/>
      <c r="V136" s="68"/>
      <c r="W136" s="68"/>
      <c r="X136" s="68"/>
      <c r="Y136" s="68"/>
    </row>
    <row r="137" spans="1:25" s="69" customFormat="1" ht="10.5" customHeight="1" x14ac:dyDescent="0.15">
      <c r="A137" s="756" t="s">
        <v>686</v>
      </c>
      <c r="B137" s="69">
        <v>137310</v>
      </c>
      <c r="C137" s="69">
        <v>2185620</v>
      </c>
      <c r="D137" s="69">
        <v>142398</v>
      </c>
      <c r="E137" s="69">
        <v>1238104</v>
      </c>
      <c r="F137" s="69">
        <v>1023961</v>
      </c>
      <c r="G137" s="69">
        <v>214143</v>
      </c>
      <c r="H137" s="69">
        <v>70767</v>
      </c>
      <c r="I137" s="69">
        <v>703139</v>
      </c>
      <c r="J137" s="69">
        <v>397396</v>
      </c>
      <c r="K137" s="69">
        <v>222416</v>
      </c>
      <c r="L137" s="69">
        <v>45180</v>
      </c>
      <c r="M137" s="69" t="s">
        <v>839</v>
      </c>
      <c r="N137" s="69" t="s">
        <v>839</v>
      </c>
      <c r="O137" s="69">
        <v>38147</v>
      </c>
      <c r="P137" s="69">
        <v>146522</v>
      </c>
      <c r="Q137" s="69">
        <v>146522</v>
      </c>
      <c r="R137" s="71" t="s">
        <v>80</v>
      </c>
      <c r="S137" s="68"/>
      <c r="T137" s="68"/>
      <c r="U137" s="68"/>
      <c r="V137" s="68"/>
      <c r="W137" s="68"/>
      <c r="X137" s="68"/>
      <c r="Y137" s="68"/>
    </row>
    <row r="138" spans="1:25" s="69" customFormat="1" ht="10.5" customHeight="1" x14ac:dyDescent="0.15">
      <c r="A138" s="756" t="s">
        <v>687</v>
      </c>
      <c r="B138" s="69">
        <v>186478</v>
      </c>
      <c r="C138" s="69">
        <v>1939322</v>
      </c>
      <c r="D138" s="69">
        <v>205896</v>
      </c>
      <c r="E138" s="69">
        <v>1155490</v>
      </c>
      <c r="F138" s="69">
        <v>975053</v>
      </c>
      <c r="G138" s="69">
        <v>180437</v>
      </c>
      <c r="H138" s="69">
        <v>71979</v>
      </c>
      <c r="I138" s="69">
        <v>618437</v>
      </c>
      <c r="J138" s="69">
        <v>313041</v>
      </c>
      <c r="K138" s="69">
        <v>157911</v>
      </c>
      <c r="L138" s="69">
        <v>107411</v>
      </c>
      <c r="M138" s="69" t="s">
        <v>839</v>
      </c>
      <c r="N138" s="69" t="s">
        <v>839</v>
      </c>
      <c r="O138" s="69">
        <v>40074</v>
      </c>
      <c r="P138" s="69">
        <v>158600</v>
      </c>
      <c r="Q138" s="69">
        <v>158600</v>
      </c>
      <c r="R138" s="71" t="s">
        <v>81</v>
      </c>
      <c r="S138" s="68"/>
      <c r="T138" s="68"/>
      <c r="U138" s="68"/>
      <c r="V138" s="68"/>
      <c r="W138" s="68"/>
      <c r="X138" s="68"/>
      <c r="Y138" s="68"/>
    </row>
    <row r="139" spans="1:25" s="69" customFormat="1" ht="10.5" customHeight="1" x14ac:dyDescent="0.15">
      <c r="A139" s="756" t="s">
        <v>688</v>
      </c>
      <c r="B139" s="69">
        <v>227641</v>
      </c>
      <c r="C139" s="69">
        <v>2494098</v>
      </c>
      <c r="D139" s="69">
        <v>159264</v>
      </c>
      <c r="E139" s="69">
        <v>1290313</v>
      </c>
      <c r="F139" s="69">
        <v>1068594</v>
      </c>
      <c r="G139" s="69">
        <v>221719</v>
      </c>
      <c r="H139" s="69" t="s">
        <v>839</v>
      </c>
      <c r="I139" s="69">
        <v>627788</v>
      </c>
      <c r="J139" s="69">
        <v>315494</v>
      </c>
      <c r="K139" s="69">
        <v>157183</v>
      </c>
      <c r="L139" s="69">
        <v>155111</v>
      </c>
      <c r="M139" s="69" t="s">
        <v>839</v>
      </c>
      <c r="N139" s="69" t="s">
        <v>839</v>
      </c>
      <c r="O139" s="69" t="s">
        <v>839</v>
      </c>
      <c r="P139" s="69">
        <v>75977</v>
      </c>
      <c r="Q139" s="69">
        <v>75977</v>
      </c>
      <c r="R139" s="71" t="s">
        <v>82</v>
      </c>
      <c r="S139" s="68"/>
      <c r="T139" s="68"/>
      <c r="U139" s="68"/>
      <c r="V139" s="68"/>
      <c r="W139" s="68"/>
      <c r="X139" s="68"/>
      <c r="Y139" s="68"/>
    </row>
    <row r="140" spans="1:25" s="69" customFormat="1" ht="10.5" customHeight="1" x14ac:dyDescent="0.15">
      <c r="A140" s="756" t="s">
        <v>849</v>
      </c>
      <c r="B140" s="69">
        <v>136199</v>
      </c>
      <c r="C140" s="69">
        <v>2811531</v>
      </c>
      <c r="D140" s="69">
        <v>197330</v>
      </c>
      <c r="E140" s="69">
        <v>1343308</v>
      </c>
      <c r="F140" s="69">
        <v>1186059</v>
      </c>
      <c r="G140" s="69">
        <v>157249</v>
      </c>
      <c r="H140" s="69">
        <v>71501</v>
      </c>
      <c r="I140" s="69">
        <v>616047</v>
      </c>
      <c r="J140" s="69">
        <v>236985</v>
      </c>
      <c r="K140" s="69">
        <v>302160</v>
      </c>
      <c r="L140" s="69">
        <v>76902</v>
      </c>
      <c r="M140" s="69" t="s">
        <v>839</v>
      </c>
      <c r="N140" s="69" t="s">
        <v>839</v>
      </c>
      <c r="O140" s="69" t="s">
        <v>839</v>
      </c>
      <c r="P140" s="69">
        <v>158774</v>
      </c>
      <c r="Q140" s="69">
        <v>158774</v>
      </c>
      <c r="R140" s="71" t="s">
        <v>850</v>
      </c>
      <c r="S140" s="68"/>
      <c r="T140" s="68"/>
      <c r="U140" s="68"/>
      <c r="V140" s="68"/>
      <c r="W140" s="68"/>
      <c r="X140" s="68"/>
      <c r="Y140" s="68"/>
    </row>
    <row r="141" spans="1:25" s="69" customFormat="1" ht="10.5" customHeight="1" x14ac:dyDescent="0.15">
      <c r="A141" s="756" t="s">
        <v>690</v>
      </c>
      <c r="B141" s="69">
        <v>123893</v>
      </c>
      <c r="C141" s="69">
        <v>2532508</v>
      </c>
      <c r="D141" s="69">
        <v>254330</v>
      </c>
      <c r="E141" s="69">
        <v>1284165</v>
      </c>
      <c r="F141" s="69">
        <v>1122070</v>
      </c>
      <c r="G141" s="69">
        <v>162095</v>
      </c>
      <c r="H141" s="69" t="s">
        <v>839</v>
      </c>
      <c r="I141" s="69">
        <v>791732</v>
      </c>
      <c r="J141" s="69">
        <v>236268</v>
      </c>
      <c r="K141" s="69">
        <v>320546</v>
      </c>
      <c r="L141" s="69">
        <v>234918</v>
      </c>
      <c r="M141" s="69" t="s">
        <v>839</v>
      </c>
      <c r="N141" s="69" t="s">
        <v>839</v>
      </c>
      <c r="O141" s="69" t="s">
        <v>839</v>
      </c>
      <c r="P141" s="69">
        <v>237773</v>
      </c>
      <c r="Q141" s="69">
        <v>237773</v>
      </c>
      <c r="R141" s="71" t="s">
        <v>77</v>
      </c>
      <c r="S141" s="68"/>
      <c r="T141" s="68"/>
      <c r="U141" s="68"/>
      <c r="V141" s="68"/>
      <c r="W141" s="68"/>
      <c r="X141" s="68"/>
      <c r="Y141" s="68"/>
    </row>
    <row r="142" spans="1:25" s="69" customFormat="1" ht="10.5" customHeight="1" x14ac:dyDescent="0.15">
      <c r="A142" s="757" t="s">
        <v>691</v>
      </c>
      <c r="B142" s="73">
        <v>108479</v>
      </c>
      <c r="C142" s="74">
        <v>2202960</v>
      </c>
      <c r="D142" s="74" t="s">
        <v>839</v>
      </c>
      <c r="E142" s="74">
        <v>1042812</v>
      </c>
      <c r="F142" s="74">
        <v>888436</v>
      </c>
      <c r="G142" s="74">
        <v>154376</v>
      </c>
      <c r="H142" s="74">
        <v>88016</v>
      </c>
      <c r="I142" s="74">
        <v>770278</v>
      </c>
      <c r="J142" s="74">
        <v>237365</v>
      </c>
      <c r="K142" s="74">
        <v>384953</v>
      </c>
      <c r="L142" s="74">
        <v>147960</v>
      </c>
      <c r="M142" s="74" t="s">
        <v>839</v>
      </c>
      <c r="N142" s="74" t="s">
        <v>839</v>
      </c>
      <c r="O142" s="74" t="s">
        <v>839</v>
      </c>
      <c r="P142" s="74" t="s">
        <v>839</v>
      </c>
      <c r="Q142" s="74" t="s">
        <v>839</v>
      </c>
      <c r="R142" s="75" t="s">
        <v>78</v>
      </c>
      <c r="S142" s="68"/>
      <c r="T142" s="68"/>
      <c r="U142" s="68"/>
      <c r="V142" s="68"/>
      <c r="W142" s="68"/>
      <c r="X142" s="68"/>
      <c r="Y142" s="68"/>
    </row>
    <row r="143" spans="1:25" ht="23.25" customHeight="1" x14ac:dyDescent="0.25">
      <c r="I143" s="76" t="s">
        <v>97</v>
      </c>
      <c r="Q143" s="78" t="s">
        <v>76</v>
      </c>
    </row>
    <row r="144" spans="1:25" s="20" customFormat="1" ht="11.25" customHeight="1" x14ac:dyDescent="0.15">
      <c r="A144" s="61"/>
      <c r="B144" s="77" t="s">
        <v>98</v>
      </c>
      <c r="C144" s="63"/>
      <c r="D144" s="63"/>
      <c r="E144" s="63"/>
      <c r="F144" s="63"/>
      <c r="G144" s="63"/>
      <c r="H144" s="63"/>
      <c r="I144" s="63"/>
      <c r="J144" s="63"/>
      <c r="K144" s="61"/>
      <c r="L144" s="34"/>
      <c r="M144" s="63"/>
      <c r="N144" s="63"/>
      <c r="O144" s="63"/>
      <c r="P144" s="63"/>
      <c r="Q144" s="63"/>
      <c r="R144" s="999" t="s">
        <v>83</v>
      </c>
      <c r="S144" s="18"/>
      <c r="T144" s="18"/>
      <c r="U144" s="18"/>
      <c r="V144" s="18"/>
      <c r="W144" s="18"/>
      <c r="X144" s="18"/>
      <c r="Y144" s="18"/>
    </row>
    <row r="145" spans="1:25" s="64" customFormat="1" ht="28.5" customHeight="1" x14ac:dyDescent="0.15">
      <c r="A145" s="32" t="s">
        <v>185</v>
      </c>
      <c r="B145" s="788" t="s">
        <v>867</v>
      </c>
      <c r="C145" s="720" t="s">
        <v>148</v>
      </c>
      <c r="D145" s="19"/>
      <c r="E145" s="19"/>
      <c r="F145" s="19"/>
      <c r="G145" s="19"/>
      <c r="H145" s="19"/>
      <c r="I145" s="19"/>
      <c r="J145" s="79"/>
      <c r="K145" s="13" t="s">
        <v>625</v>
      </c>
      <c r="L145" s="15" t="s">
        <v>100</v>
      </c>
      <c r="M145" s="13" t="s">
        <v>868</v>
      </c>
      <c r="N145" s="720" t="s">
        <v>161</v>
      </c>
      <c r="O145" s="19"/>
      <c r="P145" s="19"/>
      <c r="Q145" s="19"/>
      <c r="R145" s="1000"/>
      <c r="S145" s="14"/>
      <c r="T145" s="14"/>
      <c r="U145" s="14"/>
      <c r="V145" s="14"/>
      <c r="W145" s="14"/>
      <c r="X145" s="14"/>
      <c r="Y145" s="14"/>
    </row>
    <row r="146" spans="1:25" s="64" customFormat="1" ht="28.5" customHeight="1" x14ac:dyDescent="0.15">
      <c r="A146" s="32"/>
      <c r="B146" s="13" t="s">
        <v>189</v>
      </c>
      <c r="C146" s="15" t="s">
        <v>153</v>
      </c>
      <c r="D146" s="13" t="s">
        <v>154</v>
      </c>
      <c r="E146" s="13" t="s">
        <v>157</v>
      </c>
      <c r="F146" s="13" t="s">
        <v>869</v>
      </c>
      <c r="G146" s="13" t="s">
        <v>158</v>
      </c>
      <c r="H146" s="13" t="s">
        <v>159</v>
      </c>
      <c r="I146" s="13" t="s">
        <v>443</v>
      </c>
      <c r="J146" s="13" t="s">
        <v>461</v>
      </c>
      <c r="K146" s="13" t="s">
        <v>870</v>
      </c>
      <c r="L146" s="15" t="s">
        <v>106</v>
      </c>
      <c r="M146" s="13" t="s">
        <v>160</v>
      </c>
      <c r="N146" s="15" t="s">
        <v>871</v>
      </c>
      <c r="O146" s="13" t="s">
        <v>164</v>
      </c>
      <c r="P146" s="13" t="s">
        <v>165</v>
      </c>
      <c r="Q146" s="720" t="s">
        <v>166</v>
      </c>
      <c r="R146" s="1000"/>
      <c r="S146" s="14"/>
      <c r="T146" s="14"/>
      <c r="U146" s="14"/>
      <c r="V146" s="14"/>
      <c r="W146" s="14"/>
      <c r="X146" s="14"/>
      <c r="Y146" s="14"/>
    </row>
    <row r="147" spans="1:25" s="64" customFormat="1" ht="12" customHeight="1" x14ac:dyDescent="0.15">
      <c r="A147" s="33"/>
      <c r="B147" s="17" t="str">
        <f>PROPER("WESTBUKH")</f>
        <v>Westbukh</v>
      </c>
      <c r="C147" s="17"/>
      <c r="D147" s="17" t="str">
        <f>PROPER("MURBAN")</f>
        <v>Murban</v>
      </c>
      <c r="E147" s="17" t="str">
        <f>PROPER("DUBAI")</f>
        <v>Dubai</v>
      </c>
      <c r="F147" s="17" t="str">
        <f>PROPER("SHARJA-C")</f>
        <v>Sharja-C</v>
      </c>
      <c r="G147" s="17" t="str">
        <f>PROPER("U-ZAKUM")</f>
        <v>U-Zakum</v>
      </c>
      <c r="H147" s="17" t="str">
        <f>PROPER("DAS")</f>
        <v>Das</v>
      </c>
      <c r="I147" s="17" t="str">
        <f>PROPER("MUBARRAZ")</f>
        <v>Mubarraz</v>
      </c>
      <c r="J147" s="17" t="str">
        <f>PROPER("UMM-LULU")</f>
        <v>Umm-Lulu</v>
      </c>
      <c r="K147" s="17" t="str">
        <f>PROPER("SHABWA-B")</f>
        <v>Shabwa-B</v>
      </c>
      <c r="L147" s="17"/>
      <c r="M147" s="17" t="str">
        <f>PROPER("FORTIES")</f>
        <v>Forties</v>
      </c>
      <c r="N147" s="17"/>
      <c r="O147" s="17" t="str">
        <f>PROPER("SOKOL")</f>
        <v>Sokol</v>
      </c>
      <c r="P147" s="17" t="str">
        <f>PROPER("ESPO-B")</f>
        <v>Espo-B</v>
      </c>
      <c r="Q147" s="16" t="str">
        <f>PROPER("SAKHAL-B")</f>
        <v>Sakhal-B</v>
      </c>
      <c r="R147" s="1001"/>
      <c r="S147" s="14"/>
      <c r="T147" s="14"/>
      <c r="U147" s="14"/>
      <c r="V147" s="14"/>
      <c r="W147" s="14"/>
      <c r="X147" s="14"/>
      <c r="Y147" s="14"/>
    </row>
    <row r="148" spans="1:25" s="69" customFormat="1" ht="10.5" customHeight="1" x14ac:dyDescent="0.15">
      <c r="A148" s="755" t="s">
        <v>838</v>
      </c>
      <c r="B148" s="65">
        <v>104587</v>
      </c>
      <c r="C148" s="66">
        <v>45017010</v>
      </c>
      <c r="D148" s="66">
        <v>13105512</v>
      </c>
      <c r="E148" s="66">
        <v>1425845</v>
      </c>
      <c r="F148" s="66" t="s">
        <v>839</v>
      </c>
      <c r="G148" s="66">
        <v>10653696</v>
      </c>
      <c r="H148" s="66">
        <v>17911945</v>
      </c>
      <c r="I148" s="66">
        <v>1920012</v>
      </c>
      <c r="J148" s="66" t="s">
        <v>839</v>
      </c>
      <c r="K148" s="66">
        <v>83352</v>
      </c>
      <c r="L148" s="66">
        <v>7869542</v>
      </c>
      <c r="M148" s="66" t="s">
        <v>839</v>
      </c>
      <c r="N148" s="66">
        <v>7869542</v>
      </c>
      <c r="O148" s="66">
        <v>3146103</v>
      </c>
      <c r="P148" s="66">
        <v>3105191</v>
      </c>
      <c r="Q148" s="66">
        <v>1569607</v>
      </c>
      <c r="R148" s="67" t="s">
        <v>457</v>
      </c>
      <c r="S148" s="68"/>
      <c r="T148" s="68"/>
      <c r="U148" s="68"/>
      <c r="V148" s="68"/>
      <c r="W148" s="68"/>
      <c r="X148" s="68"/>
      <c r="Y148" s="68"/>
    </row>
    <row r="149" spans="1:25" s="69" customFormat="1" ht="10.5" customHeight="1" x14ac:dyDescent="0.15">
      <c r="A149" s="756" t="s">
        <v>669</v>
      </c>
      <c r="B149" s="69" t="s">
        <v>839</v>
      </c>
      <c r="C149" s="69">
        <v>52366989</v>
      </c>
      <c r="D149" s="69">
        <v>20937579</v>
      </c>
      <c r="E149" s="69">
        <v>1030693</v>
      </c>
      <c r="F149" s="69" t="s">
        <v>839</v>
      </c>
      <c r="G149" s="69">
        <v>7667650</v>
      </c>
      <c r="H149" s="69">
        <v>20032829</v>
      </c>
      <c r="I149" s="69">
        <v>1925548</v>
      </c>
      <c r="J149" s="69">
        <v>772690</v>
      </c>
      <c r="K149" s="69" t="s">
        <v>839</v>
      </c>
      <c r="L149" s="69">
        <v>8915306</v>
      </c>
      <c r="M149" s="69" t="s">
        <v>839</v>
      </c>
      <c r="N149" s="69">
        <v>8915306</v>
      </c>
      <c r="O149" s="69">
        <v>4377964</v>
      </c>
      <c r="P149" s="69">
        <v>2854377</v>
      </c>
      <c r="Q149" s="69">
        <v>1682965</v>
      </c>
      <c r="R149" s="71" t="s">
        <v>512</v>
      </c>
      <c r="S149" s="68"/>
      <c r="T149" s="68"/>
      <c r="U149" s="68"/>
      <c r="V149" s="68"/>
      <c r="W149" s="68"/>
      <c r="X149" s="68"/>
      <c r="Y149" s="68"/>
    </row>
    <row r="150" spans="1:25" s="69" customFormat="1" ht="10.5" customHeight="1" x14ac:dyDescent="0.15">
      <c r="A150" s="756" t="s">
        <v>670</v>
      </c>
      <c r="B150" s="69" t="s">
        <v>839</v>
      </c>
      <c r="C150" s="69">
        <v>46298758</v>
      </c>
      <c r="D150" s="69">
        <v>18924462</v>
      </c>
      <c r="E150" s="69">
        <v>1426156</v>
      </c>
      <c r="F150" s="69" t="s">
        <v>839</v>
      </c>
      <c r="G150" s="69">
        <v>6887720</v>
      </c>
      <c r="H150" s="69">
        <v>16584724</v>
      </c>
      <c r="I150" s="69">
        <v>1929409</v>
      </c>
      <c r="J150" s="69">
        <v>546287</v>
      </c>
      <c r="K150" s="69" t="s">
        <v>839</v>
      </c>
      <c r="L150" s="69">
        <v>4942885</v>
      </c>
      <c r="M150" s="69" t="s">
        <v>839</v>
      </c>
      <c r="N150" s="69">
        <v>4942885</v>
      </c>
      <c r="O150" s="69">
        <v>2012019</v>
      </c>
      <c r="P150" s="69">
        <v>2241690</v>
      </c>
      <c r="Q150" s="69">
        <v>689176</v>
      </c>
      <c r="R150" s="71" t="s">
        <v>620</v>
      </c>
      <c r="S150" s="68"/>
      <c r="T150" s="68"/>
      <c r="U150" s="68"/>
      <c r="V150" s="68"/>
      <c r="W150" s="68"/>
      <c r="X150" s="68"/>
      <c r="Y150" s="68"/>
    </row>
    <row r="151" spans="1:25" s="69" customFormat="1" ht="10.5" customHeight="1" x14ac:dyDescent="0.15">
      <c r="A151" s="756" t="s">
        <v>671</v>
      </c>
      <c r="B151" s="69">
        <v>50813</v>
      </c>
      <c r="C151" s="69">
        <v>50636882</v>
      </c>
      <c r="D151" s="69">
        <v>26829061</v>
      </c>
      <c r="E151" s="69">
        <v>951338</v>
      </c>
      <c r="F151" s="69">
        <v>37026</v>
      </c>
      <c r="G151" s="69">
        <v>4907013</v>
      </c>
      <c r="H151" s="69">
        <v>14742070</v>
      </c>
      <c r="I151" s="69">
        <v>1893490</v>
      </c>
      <c r="J151" s="69">
        <v>1276884</v>
      </c>
      <c r="K151" s="69" t="s">
        <v>839</v>
      </c>
      <c r="L151" s="69">
        <v>5183041</v>
      </c>
      <c r="M151" s="69">
        <v>10</v>
      </c>
      <c r="N151" s="69">
        <v>5183031</v>
      </c>
      <c r="O151" s="69">
        <v>1797812</v>
      </c>
      <c r="P151" s="69">
        <v>2932700</v>
      </c>
      <c r="Q151" s="69">
        <v>452519</v>
      </c>
      <c r="R151" s="71" t="s">
        <v>672</v>
      </c>
      <c r="S151" s="68"/>
      <c r="T151" s="68"/>
      <c r="U151" s="68"/>
      <c r="V151" s="68"/>
      <c r="W151" s="68"/>
      <c r="X151" s="68"/>
      <c r="Y151" s="68"/>
    </row>
    <row r="152" spans="1:25" s="69" customFormat="1" ht="10.5" customHeight="1" x14ac:dyDescent="0.15">
      <c r="A152" s="756" t="s">
        <v>840</v>
      </c>
      <c r="B152" s="69" t="s">
        <v>839</v>
      </c>
      <c r="C152" s="69">
        <v>60196846</v>
      </c>
      <c r="D152" s="69">
        <v>29806500</v>
      </c>
      <c r="E152" s="69">
        <v>1000220</v>
      </c>
      <c r="F152" s="69" t="s">
        <v>839</v>
      </c>
      <c r="G152" s="69">
        <v>8696476</v>
      </c>
      <c r="H152" s="69">
        <v>17446434</v>
      </c>
      <c r="I152" s="69">
        <v>1677941</v>
      </c>
      <c r="J152" s="69">
        <v>1569275</v>
      </c>
      <c r="K152" s="69" t="s">
        <v>839</v>
      </c>
      <c r="L152" s="69">
        <v>2062879</v>
      </c>
      <c r="M152" s="69" t="s">
        <v>839</v>
      </c>
      <c r="N152" s="69">
        <v>2062879</v>
      </c>
      <c r="O152" s="69">
        <v>560379</v>
      </c>
      <c r="P152" s="69">
        <v>1174561</v>
      </c>
      <c r="Q152" s="69">
        <v>327939</v>
      </c>
      <c r="R152" s="71" t="s">
        <v>841</v>
      </c>
      <c r="S152" s="68"/>
      <c r="T152" s="68"/>
      <c r="U152" s="68"/>
      <c r="V152" s="68"/>
      <c r="W152" s="68"/>
      <c r="X152" s="68"/>
      <c r="Y152" s="68"/>
    </row>
    <row r="153" spans="1:25" s="69" customFormat="1" ht="10.5" customHeight="1" x14ac:dyDescent="0.15">
      <c r="A153" s="787"/>
      <c r="R153" s="71"/>
      <c r="S153" s="68"/>
      <c r="T153" s="68"/>
      <c r="U153" s="68"/>
      <c r="V153" s="68"/>
      <c r="W153" s="68"/>
      <c r="X153" s="68"/>
      <c r="Y153" s="68"/>
    </row>
    <row r="154" spans="1:25" s="69" customFormat="1" ht="10.5" customHeight="1" x14ac:dyDescent="0.15">
      <c r="A154" s="756" t="s">
        <v>842</v>
      </c>
      <c r="B154" s="69" t="s">
        <v>839</v>
      </c>
      <c r="C154" s="69">
        <v>54255838</v>
      </c>
      <c r="D154" s="69">
        <v>29040703</v>
      </c>
      <c r="E154" s="69">
        <v>1030352</v>
      </c>
      <c r="F154" s="69">
        <v>37026</v>
      </c>
      <c r="G154" s="69">
        <v>5626134</v>
      </c>
      <c r="H154" s="69">
        <v>15332506</v>
      </c>
      <c r="I154" s="69">
        <v>1829574</v>
      </c>
      <c r="J154" s="69">
        <v>1359543</v>
      </c>
      <c r="K154" s="69" t="s">
        <v>839</v>
      </c>
      <c r="L154" s="69">
        <v>5423606</v>
      </c>
      <c r="M154" s="69">
        <v>10</v>
      </c>
      <c r="N154" s="69">
        <v>5423596</v>
      </c>
      <c r="O154" s="69">
        <v>1685893</v>
      </c>
      <c r="P154" s="69">
        <v>3282611</v>
      </c>
      <c r="Q154" s="69">
        <v>455092</v>
      </c>
      <c r="R154" s="71" t="s">
        <v>673</v>
      </c>
      <c r="S154" s="68"/>
      <c r="T154" s="68"/>
      <c r="U154" s="68"/>
      <c r="V154" s="68"/>
      <c r="W154" s="68"/>
      <c r="X154" s="68"/>
      <c r="Y154" s="68"/>
    </row>
    <row r="155" spans="1:25" s="69" customFormat="1" ht="10.5" customHeight="1" x14ac:dyDescent="0.15">
      <c r="A155" s="756" t="s">
        <v>843</v>
      </c>
      <c r="B155" s="69" t="s">
        <v>839</v>
      </c>
      <c r="C155" s="69">
        <v>60310672</v>
      </c>
      <c r="D155" s="69">
        <v>29904751</v>
      </c>
      <c r="E155" s="69">
        <v>1029683</v>
      </c>
      <c r="F155" s="69" t="s">
        <v>839</v>
      </c>
      <c r="G155" s="69">
        <v>8428499</v>
      </c>
      <c r="H155" s="69">
        <v>17650768</v>
      </c>
      <c r="I155" s="69">
        <v>1613226</v>
      </c>
      <c r="J155" s="69">
        <v>1683745</v>
      </c>
      <c r="K155" s="69" t="s">
        <v>839</v>
      </c>
      <c r="L155" s="69">
        <v>624421</v>
      </c>
      <c r="M155" s="69" t="s">
        <v>839</v>
      </c>
      <c r="N155" s="69">
        <v>624421</v>
      </c>
      <c r="O155" s="69">
        <v>112090</v>
      </c>
      <c r="P155" s="69">
        <v>236402</v>
      </c>
      <c r="Q155" s="69">
        <v>275929</v>
      </c>
      <c r="R155" s="71" t="s">
        <v>844</v>
      </c>
      <c r="S155" s="68"/>
      <c r="T155" s="68"/>
      <c r="U155" s="68"/>
      <c r="V155" s="68"/>
      <c r="W155" s="68"/>
      <c r="X155" s="68"/>
      <c r="Y155" s="68"/>
    </row>
    <row r="156" spans="1:25" s="69" customFormat="1" ht="10.5" customHeight="1" x14ac:dyDescent="0.15">
      <c r="A156" s="787"/>
      <c r="R156" s="71"/>
      <c r="S156" s="68"/>
      <c r="T156" s="68"/>
      <c r="U156" s="68"/>
      <c r="V156" s="68"/>
      <c r="W156" s="68"/>
      <c r="X156" s="68"/>
      <c r="Y156" s="68"/>
    </row>
    <row r="157" spans="1:25" s="69" customFormat="1" ht="10.5" customHeight="1" x14ac:dyDescent="0.15">
      <c r="A157" s="756" t="s">
        <v>845</v>
      </c>
      <c r="B157" s="69" t="s">
        <v>839</v>
      </c>
      <c r="C157" s="69">
        <v>13384504</v>
      </c>
      <c r="D157" s="69">
        <v>6758698</v>
      </c>
      <c r="E157" s="69">
        <v>237427</v>
      </c>
      <c r="F157" s="69" t="s">
        <v>839</v>
      </c>
      <c r="G157" s="69">
        <v>1750732</v>
      </c>
      <c r="H157" s="69">
        <v>3843633</v>
      </c>
      <c r="I157" s="69">
        <v>471247</v>
      </c>
      <c r="J157" s="69">
        <v>322767</v>
      </c>
      <c r="K157" s="69" t="s">
        <v>839</v>
      </c>
      <c r="L157" s="69">
        <v>1557334</v>
      </c>
      <c r="M157" s="69" t="s">
        <v>839</v>
      </c>
      <c r="N157" s="69">
        <v>1557334</v>
      </c>
      <c r="O157" s="69">
        <v>448289</v>
      </c>
      <c r="P157" s="69">
        <v>938159</v>
      </c>
      <c r="Q157" s="69">
        <v>170886</v>
      </c>
      <c r="R157" s="71" t="s">
        <v>677</v>
      </c>
      <c r="S157" s="68"/>
      <c r="T157" s="68"/>
      <c r="U157" s="68"/>
      <c r="V157" s="68"/>
      <c r="W157" s="68"/>
      <c r="X157" s="68"/>
      <c r="Y157" s="68"/>
    </row>
    <row r="158" spans="1:25" s="69" customFormat="1" ht="10.5" customHeight="1" x14ac:dyDescent="0.15">
      <c r="A158" s="756" t="s">
        <v>674</v>
      </c>
      <c r="B158" s="69" t="s">
        <v>839</v>
      </c>
      <c r="C158" s="69">
        <v>14515380</v>
      </c>
      <c r="D158" s="69">
        <v>7168876</v>
      </c>
      <c r="E158" s="69">
        <v>316869</v>
      </c>
      <c r="F158" s="69" t="s">
        <v>839</v>
      </c>
      <c r="G158" s="69">
        <v>1761074</v>
      </c>
      <c r="H158" s="69">
        <v>4530634</v>
      </c>
      <c r="I158" s="69">
        <v>402817</v>
      </c>
      <c r="J158" s="69">
        <v>335110</v>
      </c>
      <c r="K158" s="69" t="s">
        <v>839</v>
      </c>
      <c r="L158" s="69">
        <v>505545</v>
      </c>
      <c r="M158" s="69" t="s">
        <v>839</v>
      </c>
      <c r="N158" s="69">
        <v>505545</v>
      </c>
      <c r="O158" s="69">
        <v>112090</v>
      </c>
      <c r="P158" s="69">
        <v>236402</v>
      </c>
      <c r="Q158" s="69">
        <v>157053</v>
      </c>
      <c r="R158" s="71" t="s">
        <v>89</v>
      </c>
      <c r="S158" s="68"/>
      <c r="T158" s="68"/>
      <c r="U158" s="68"/>
      <c r="V158" s="68"/>
      <c r="W158" s="68"/>
      <c r="X158" s="68"/>
      <c r="Y158" s="68"/>
    </row>
    <row r="159" spans="1:25" s="69" customFormat="1" ht="10.5" customHeight="1" x14ac:dyDescent="0.15">
      <c r="A159" s="756" t="s">
        <v>675</v>
      </c>
      <c r="B159" s="69" t="s">
        <v>839</v>
      </c>
      <c r="C159" s="69">
        <v>16489570</v>
      </c>
      <c r="D159" s="69">
        <v>7296681</v>
      </c>
      <c r="E159" s="69">
        <v>238135</v>
      </c>
      <c r="F159" s="69" t="s">
        <v>839</v>
      </c>
      <c r="G159" s="69">
        <v>3649550</v>
      </c>
      <c r="H159" s="69">
        <v>4470179</v>
      </c>
      <c r="I159" s="69">
        <v>515968</v>
      </c>
      <c r="J159" s="69">
        <v>319057</v>
      </c>
      <c r="K159" s="69" t="s">
        <v>839</v>
      </c>
      <c r="L159" s="69" t="s">
        <v>839</v>
      </c>
      <c r="M159" s="69" t="s">
        <v>839</v>
      </c>
      <c r="N159" s="69" t="s">
        <v>839</v>
      </c>
      <c r="O159" s="69" t="s">
        <v>839</v>
      </c>
      <c r="P159" s="69" t="s">
        <v>839</v>
      </c>
      <c r="Q159" s="69" t="s">
        <v>839</v>
      </c>
      <c r="R159" s="71" t="s">
        <v>90</v>
      </c>
      <c r="S159" s="68"/>
      <c r="T159" s="68"/>
      <c r="U159" s="68"/>
      <c r="V159" s="68"/>
      <c r="W159" s="68"/>
      <c r="X159" s="68"/>
      <c r="Y159" s="68"/>
    </row>
    <row r="160" spans="1:25" s="69" customFormat="1" ht="10.5" customHeight="1" x14ac:dyDescent="0.15">
      <c r="A160" s="756" t="s">
        <v>676</v>
      </c>
      <c r="B160" s="69" t="s">
        <v>839</v>
      </c>
      <c r="C160" s="69">
        <v>15807392</v>
      </c>
      <c r="D160" s="69">
        <v>8582245</v>
      </c>
      <c r="E160" s="69">
        <v>207789</v>
      </c>
      <c r="F160" s="69" t="s">
        <v>839</v>
      </c>
      <c r="G160" s="69">
        <v>1535120</v>
      </c>
      <c r="H160" s="69">
        <v>4601988</v>
      </c>
      <c r="I160" s="69">
        <v>287909</v>
      </c>
      <c r="J160" s="69">
        <v>592341</v>
      </c>
      <c r="K160" s="69" t="s">
        <v>839</v>
      </c>
      <c r="L160" s="69" t="s">
        <v>839</v>
      </c>
      <c r="M160" s="69" t="s">
        <v>839</v>
      </c>
      <c r="N160" s="69" t="s">
        <v>839</v>
      </c>
      <c r="O160" s="69" t="s">
        <v>839</v>
      </c>
      <c r="P160" s="69" t="s">
        <v>839</v>
      </c>
      <c r="Q160" s="69" t="s">
        <v>839</v>
      </c>
      <c r="R160" s="71" t="s">
        <v>91</v>
      </c>
      <c r="S160" s="68"/>
      <c r="T160" s="68"/>
      <c r="U160" s="68"/>
      <c r="V160" s="68"/>
      <c r="W160" s="68"/>
      <c r="X160" s="68"/>
      <c r="Y160" s="68"/>
    </row>
    <row r="161" spans="1:25" s="69" customFormat="1" ht="10.5" customHeight="1" x14ac:dyDescent="0.15">
      <c r="A161" s="756" t="s">
        <v>846</v>
      </c>
      <c r="B161" s="69" t="s">
        <v>839</v>
      </c>
      <c r="C161" s="69">
        <v>13498330</v>
      </c>
      <c r="D161" s="69">
        <v>6856949</v>
      </c>
      <c r="E161" s="69">
        <v>266890</v>
      </c>
      <c r="F161" s="69" t="s">
        <v>839</v>
      </c>
      <c r="G161" s="69">
        <v>1482755</v>
      </c>
      <c r="H161" s="69">
        <v>4047967</v>
      </c>
      <c r="I161" s="69">
        <v>406532</v>
      </c>
      <c r="J161" s="69">
        <v>437237</v>
      </c>
      <c r="K161" s="69" t="s">
        <v>839</v>
      </c>
      <c r="L161" s="69">
        <v>118876</v>
      </c>
      <c r="M161" s="69" t="s">
        <v>839</v>
      </c>
      <c r="N161" s="69">
        <v>118876</v>
      </c>
      <c r="O161" s="69" t="s">
        <v>839</v>
      </c>
      <c r="P161" s="69" t="s">
        <v>839</v>
      </c>
      <c r="Q161" s="69">
        <v>118876</v>
      </c>
      <c r="R161" s="71" t="s">
        <v>847</v>
      </c>
      <c r="S161" s="68"/>
      <c r="T161" s="68"/>
      <c r="U161" s="68"/>
      <c r="V161" s="68"/>
      <c r="W161" s="68"/>
      <c r="X161" s="68"/>
      <c r="Y161" s="68"/>
    </row>
    <row r="162" spans="1:25" s="69" customFormat="1" ht="10.5" customHeight="1" x14ac:dyDescent="0.15">
      <c r="A162" s="787"/>
      <c r="R162" s="71"/>
      <c r="S162" s="68"/>
      <c r="T162" s="68"/>
      <c r="U162" s="68"/>
      <c r="V162" s="68"/>
      <c r="W162" s="68"/>
      <c r="X162" s="68"/>
      <c r="Y162" s="68"/>
    </row>
    <row r="163" spans="1:25" s="69" customFormat="1" ht="10.5" customHeight="1" x14ac:dyDescent="0.15">
      <c r="A163" s="756" t="s">
        <v>848</v>
      </c>
      <c r="B163" s="69" t="s">
        <v>839</v>
      </c>
      <c r="C163" s="69">
        <v>4052584</v>
      </c>
      <c r="D163" s="69">
        <v>2226450</v>
      </c>
      <c r="E163" s="69">
        <v>78833</v>
      </c>
      <c r="F163" s="69" t="s">
        <v>839</v>
      </c>
      <c r="G163" s="69">
        <v>582080</v>
      </c>
      <c r="H163" s="69">
        <v>985430</v>
      </c>
      <c r="I163" s="69">
        <v>143541</v>
      </c>
      <c r="J163" s="69">
        <v>36250</v>
      </c>
      <c r="K163" s="69" t="s">
        <v>839</v>
      </c>
      <c r="L163" s="69">
        <v>578962</v>
      </c>
      <c r="M163" s="69" t="s">
        <v>839</v>
      </c>
      <c r="N163" s="69">
        <v>578962</v>
      </c>
      <c r="O163" s="69">
        <v>223919</v>
      </c>
      <c r="P163" s="69">
        <v>234175</v>
      </c>
      <c r="Q163" s="69">
        <v>120868</v>
      </c>
      <c r="R163" s="71" t="s">
        <v>689</v>
      </c>
      <c r="S163" s="68"/>
      <c r="T163" s="68"/>
      <c r="U163" s="68"/>
      <c r="V163" s="68"/>
      <c r="W163" s="68"/>
      <c r="X163" s="68"/>
      <c r="Y163" s="68"/>
    </row>
    <row r="164" spans="1:25" s="69" customFormat="1" ht="10.5" customHeight="1" x14ac:dyDescent="0.15">
      <c r="A164" s="756" t="s">
        <v>678</v>
      </c>
      <c r="B164" s="69" t="s">
        <v>839</v>
      </c>
      <c r="C164" s="69">
        <v>3917366</v>
      </c>
      <c r="D164" s="69">
        <v>2007925</v>
      </c>
      <c r="E164" s="69">
        <v>79211</v>
      </c>
      <c r="F164" s="69" t="s">
        <v>839</v>
      </c>
      <c r="G164" s="69">
        <v>413271</v>
      </c>
      <c r="H164" s="69">
        <v>1332059</v>
      </c>
      <c r="I164" s="69">
        <v>53366</v>
      </c>
      <c r="J164" s="69">
        <v>31534</v>
      </c>
      <c r="K164" s="69" t="s">
        <v>839</v>
      </c>
      <c r="L164" s="69">
        <v>464346</v>
      </c>
      <c r="M164" s="69" t="s">
        <v>839</v>
      </c>
      <c r="N164" s="69">
        <v>464346</v>
      </c>
      <c r="O164" s="69">
        <v>112363</v>
      </c>
      <c r="P164" s="69">
        <v>351983</v>
      </c>
      <c r="Q164" s="69" t="s">
        <v>839</v>
      </c>
      <c r="R164" s="71" t="s">
        <v>77</v>
      </c>
      <c r="S164" s="68"/>
      <c r="T164" s="68"/>
      <c r="U164" s="68"/>
      <c r="V164" s="68"/>
      <c r="W164" s="68"/>
      <c r="X164" s="68"/>
      <c r="Y164" s="68"/>
    </row>
    <row r="165" spans="1:25" s="69" customFormat="1" ht="10.5" customHeight="1" x14ac:dyDescent="0.15">
      <c r="A165" s="756" t="s">
        <v>679</v>
      </c>
      <c r="B165" s="69" t="s">
        <v>839</v>
      </c>
      <c r="C165" s="69">
        <v>5414554</v>
      </c>
      <c r="D165" s="69">
        <v>2524323</v>
      </c>
      <c r="E165" s="69">
        <v>79383</v>
      </c>
      <c r="F165" s="69" t="s">
        <v>839</v>
      </c>
      <c r="G165" s="69">
        <v>755381</v>
      </c>
      <c r="H165" s="69">
        <v>1526144</v>
      </c>
      <c r="I165" s="69">
        <v>274340</v>
      </c>
      <c r="J165" s="69">
        <v>254983</v>
      </c>
      <c r="K165" s="69" t="s">
        <v>839</v>
      </c>
      <c r="L165" s="69">
        <v>514026</v>
      </c>
      <c r="M165" s="69" t="s">
        <v>839</v>
      </c>
      <c r="N165" s="69">
        <v>514026</v>
      </c>
      <c r="O165" s="69">
        <v>112007</v>
      </c>
      <c r="P165" s="69">
        <v>352001</v>
      </c>
      <c r="Q165" s="69">
        <v>50018</v>
      </c>
      <c r="R165" s="71" t="s">
        <v>78</v>
      </c>
      <c r="S165" s="68"/>
      <c r="T165" s="68"/>
      <c r="U165" s="68"/>
      <c r="V165" s="68"/>
      <c r="W165" s="68"/>
      <c r="X165" s="68"/>
      <c r="Y165" s="68"/>
    </row>
    <row r="166" spans="1:25" s="69" customFormat="1" ht="10.5" customHeight="1" x14ac:dyDescent="0.15">
      <c r="A166" s="756" t="s">
        <v>680</v>
      </c>
      <c r="B166" s="69" t="s">
        <v>839</v>
      </c>
      <c r="C166" s="69">
        <v>4457750</v>
      </c>
      <c r="D166" s="69">
        <v>2088649</v>
      </c>
      <c r="E166" s="69">
        <v>158403</v>
      </c>
      <c r="F166" s="69" t="s">
        <v>839</v>
      </c>
      <c r="G166" s="69">
        <v>579287</v>
      </c>
      <c r="H166" s="69">
        <v>1387672</v>
      </c>
      <c r="I166" s="69">
        <v>129244</v>
      </c>
      <c r="J166" s="69">
        <v>114495</v>
      </c>
      <c r="K166" s="69" t="s">
        <v>839</v>
      </c>
      <c r="L166" s="69">
        <v>402077</v>
      </c>
      <c r="M166" s="69" t="s">
        <v>839</v>
      </c>
      <c r="N166" s="69">
        <v>402077</v>
      </c>
      <c r="O166" s="69">
        <v>112090</v>
      </c>
      <c r="P166" s="69">
        <v>236402</v>
      </c>
      <c r="Q166" s="69">
        <v>53585</v>
      </c>
      <c r="R166" s="71" t="s">
        <v>79</v>
      </c>
      <c r="S166" s="68"/>
      <c r="T166" s="68"/>
      <c r="U166" s="68"/>
      <c r="V166" s="68"/>
      <c r="W166" s="68"/>
      <c r="X166" s="68"/>
      <c r="Y166" s="68"/>
    </row>
    <row r="167" spans="1:25" s="69" customFormat="1" ht="10.5" customHeight="1" x14ac:dyDescent="0.15">
      <c r="A167" s="756" t="s">
        <v>681</v>
      </c>
      <c r="B167" s="69" t="s">
        <v>839</v>
      </c>
      <c r="C167" s="69">
        <v>5748201</v>
      </c>
      <c r="D167" s="69">
        <v>2978844</v>
      </c>
      <c r="E167" s="69">
        <v>79347</v>
      </c>
      <c r="F167" s="69" t="s">
        <v>839</v>
      </c>
      <c r="G167" s="69">
        <v>667230</v>
      </c>
      <c r="H167" s="69">
        <v>1658331</v>
      </c>
      <c r="I167" s="69">
        <v>143834</v>
      </c>
      <c r="J167" s="69">
        <v>220615</v>
      </c>
      <c r="K167" s="69" t="s">
        <v>839</v>
      </c>
      <c r="L167" s="69">
        <v>103468</v>
      </c>
      <c r="M167" s="69" t="s">
        <v>839</v>
      </c>
      <c r="N167" s="69">
        <v>103468</v>
      </c>
      <c r="O167" s="69" t="s">
        <v>839</v>
      </c>
      <c r="P167" s="69" t="s">
        <v>839</v>
      </c>
      <c r="Q167" s="69">
        <v>103468</v>
      </c>
      <c r="R167" s="72" t="s">
        <v>92</v>
      </c>
      <c r="S167" s="68"/>
      <c r="T167" s="68"/>
      <c r="U167" s="68"/>
      <c r="V167" s="68"/>
      <c r="W167" s="68"/>
      <c r="X167" s="68"/>
      <c r="Y167" s="68"/>
    </row>
    <row r="168" spans="1:25" s="69" customFormat="1" ht="10.5" customHeight="1" x14ac:dyDescent="0.15">
      <c r="A168" s="756" t="s">
        <v>682</v>
      </c>
      <c r="B168" s="69" t="s">
        <v>839</v>
      </c>
      <c r="C168" s="69">
        <v>4309429</v>
      </c>
      <c r="D168" s="69">
        <v>2101383</v>
      </c>
      <c r="E168" s="69">
        <v>79119</v>
      </c>
      <c r="F168" s="69" t="s">
        <v>839</v>
      </c>
      <c r="G168" s="69">
        <v>514557</v>
      </c>
      <c r="H168" s="69">
        <v>1484631</v>
      </c>
      <c r="I168" s="69">
        <v>129739</v>
      </c>
      <c r="J168" s="69" t="s">
        <v>839</v>
      </c>
      <c r="K168" s="69" t="s">
        <v>839</v>
      </c>
      <c r="L168" s="69" t="s">
        <v>839</v>
      </c>
      <c r="M168" s="69" t="s">
        <v>839</v>
      </c>
      <c r="N168" s="69" t="s">
        <v>839</v>
      </c>
      <c r="O168" s="69" t="s">
        <v>839</v>
      </c>
      <c r="P168" s="69" t="s">
        <v>839</v>
      </c>
      <c r="Q168" s="69" t="s">
        <v>839</v>
      </c>
      <c r="R168" s="71" t="s">
        <v>93</v>
      </c>
      <c r="S168" s="68"/>
      <c r="T168" s="68"/>
      <c r="U168" s="68"/>
      <c r="V168" s="68"/>
      <c r="W168" s="68"/>
      <c r="X168" s="68"/>
      <c r="Y168" s="68"/>
    </row>
    <row r="169" spans="1:25" s="69" customFormat="1" ht="10.5" customHeight="1" x14ac:dyDescent="0.15">
      <c r="A169" s="756" t="s">
        <v>683</v>
      </c>
      <c r="B169" s="69" t="s">
        <v>839</v>
      </c>
      <c r="C169" s="69">
        <v>5404690</v>
      </c>
      <c r="D169" s="69">
        <v>2656370</v>
      </c>
      <c r="E169" s="69">
        <v>79180</v>
      </c>
      <c r="F169" s="69" t="s">
        <v>839</v>
      </c>
      <c r="G169" s="69">
        <v>1002665</v>
      </c>
      <c r="H169" s="69">
        <v>1461094</v>
      </c>
      <c r="I169" s="69">
        <v>143289</v>
      </c>
      <c r="J169" s="69">
        <v>62092</v>
      </c>
      <c r="K169" s="69" t="s">
        <v>839</v>
      </c>
      <c r="L169" s="69" t="s">
        <v>839</v>
      </c>
      <c r="M169" s="69" t="s">
        <v>839</v>
      </c>
      <c r="N169" s="69" t="s">
        <v>839</v>
      </c>
      <c r="O169" s="69" t="s">
        <v>839</v>
      </c>
      <c r="P169" s="69" t="s">
        <v>839</v>
      </c>
      <c r="Q169" s="69" t="s">
        <v>839</v>
      </c>
      <c r="R169" s="71" t="s">
        <v>94</v>
      </c>
      <c r="S169" s="68"/>
      <c r="T169" s="68"/>
      <c r="U169" s="68"/>
      <c r="V169" s="68"/>
      <c r="W169" s="68"/>
      <c r="X169" s="68"/>
      <c r="Y169" s="68"/>
    </row>
    <row r="170" spans="1:25" s="69" customFormat="1" ht="10.5" customHeight="1" x14ac:dyDescent="0.15">
      <c r="A170" s="756" t="s">
        <v>684</v>
      </c>
      <c r="B170" s="69" t="s">
        <v>839</v>
      </c>
      <c r="C170" s="69">
        <v>5171708</v>
      </c>
      <c r="D170" s="69">
        <v>2130179</v>
      </c>
      <c r="E170" s="69">
        <v>79512</v>
      </c>
      <c r="F170" s="69" t="s">
        <v>839</v>
      </c>
      <c r="G170" s="69">
        <v>986287</v>
      </c>
      <c r="H170" s="69">
        <v>1684442</v>
      </c>
      <c r="I170" s="69">
        <v>188800</v>
      </c>
      <c r="J170" s="69">
        <v>102488</v>
      </c>
      <c r="K170" s="69" t="s">
        <v>839</v>
      </c>
      <c r="L170" s="69" t="s">
        <v>839</v>
      </c>
      <c r="M170" s="69" t="s">
        <v>839</v>
      </c>
      <c r="N170" s="69" t="s">
        <v>839</v>
      </c>
      <c r="O170" s="69" t="s">
        <v>839</v>
      </c>
      <c r="P170" s="69" t="s">
        <v>839</v>
      </c>
      <c r="Q170" s="69" t="s">
        <v>839</v>
      </c>
      <c r="R170" s="71" t="s">
        <v>95</v>
      </c>
      <c r="S170" s="68"/>
      <c r="T170" s="68"/>
      <c r="U170" s="68"/>
      <c r="V170" s="68"/>
      <c r="W170" s="68"/>
      <c r="X170" s="68"/>
      <c r="Y170" s="68"/>
    </row>
    <row r="171" spans="1:25" s="69" customFormat="1" ht="10.5" customHeight="1" x14ac:dyDescent="0.15">
      <c r="A171" s="756" t="s">
        <v>685</v>
      </c>
      <c r="B171" s="69" t="s">
        <v>839</v>
      </c>
      <c r="C171" s="69">
        <v>5913172</v>
      </c>
      <c r="D171" s="69">
        <v>2510132</v>
      </c>
      <c r="E171" s="69">
        <v>79443</v>
      </c>
      <c r="F171" s="69" t="s">
        <v>839</v>
      </c>
      <c r="G171" s="69">
        <v>1660598</v>
      </c>
      <c r="H171" s="69">
        <v>1324643</v>
      </c>
      <c r="I171" s="69">
        <v>183879</v>
      </c>
      <c r="J171" s="69">
        <v>154477</v>
      </c>
      <c r="K171" s="69" t="s">
        <v>839</v>
      </c>
      <c r="L171" s="69" t="s">
        <v>839</v>
      </c>
      <c r="M171" s="69" t="s">
        <v>839</v>
      </c>
      <c r="N171" s="69" t="s">
        <v>839</v>
      </c>
      <c r="O171" s="69" t="s">
        <v>839</v>
      </c>
      <c r="P171" s="69" t="s">
        <v>839</v>
      </c>
      <c r="Q171" s="69" t="s">
        <v>839</v>
      </c>
      <c r="R171" s="71" t="s">
        <v>96</v>
      </c>
      <c r="S171" s="68"/>
      <c r="T171" s="68"/>
      <c r="U171" s="68"/>
      <c r="V171" s="68"/>
      <c r="W171" s="68"/>
      <c r="X171" s="68"/>
      <c r="Y171" s="68"/>
    </row>
    <row r="172" spans="1:25" s="69" customFormat="1" ht="10.5" customHeight="1" x14ac:dyDescent="0.15">
      <c r="A172" s="756" t="s">
        <v>686</v>
      </c>
      <c r="B172" s="69" t="s">
        <v>839</v>
      </c>
      <c r="C172" s="69">
        <v>5385910</v>
      </c>
      <c r="D172" s="69">
        <v>2648324</v>
      </c>
      <c r="E172" s="69">
        <v>79315</v>
      </c>
      <c r="F172" s="69" t="s">
        <v>839</v>
      </c>
      <c r="G172" s="69">
        <v>802348</v>
      </c>
      <c r="H172" s="69">
        <v>1614324</v>
      </c>
      <c r="I172" s="69">
        <v>19838</v>
      </c>
      <c r="J172" s="69">
        <v>221761</v>
      </c>
      <c r="K172" s="69" t="s">
        <v>839</v>
      </c>
      <c r="L172" s="69" t="s">
        <v>839</v>
      </c>
      <c r="M172" s="69" t="s">
        <v>839</v>
      </c>
      <c r="N172" s="69" t="s">
        <v>839</v>
      </c>
      <c r="O172" s="69" t="s">
        <v>839</v>
      </c>
      <c r="P172" s="69" t="s">
        <v>839</v>
      </c>
      <c r="Q172" s="69" t="s">
        <v>839</v>
      </c>
      <c r="R172" s="71" t="s">
        <v>80</v>
      </c>
      <c r="S172" s="68"/>
      <c r="T172" s="68"/>
      <c r="U172" s="68"/>
      <c r="V172" s="68"/>
      <c r="W172" s="68"/>
      <c r="X172" s="68"/>
      <c r="Y172" s="68"/>
    </row>
    <row r="173" spans="1:25" s="69" customFormat="1" ht="10.5" customHeight="1" x14ac:dyDescent="0.15">
      <c r="A173" s="756" t="s">
        <v>687</v>
      </c>
      <c r="B173" s="69" t="s">
        <v>839</v>
      </c>
      <c r="C173" s="69">
        <v>5107862</v>
      </c>
      <c r="D173" s="69">
        <v>3486469</v>
      </c>
      <c r="E173" s="69" t="s">
        <v>839</v>
      </c>
      <c r="F173" s="69" t="s">
        <v>839</v>
      </c>
      <c r="G173" s="69">
        <v>162173</v>
      </c>
      <c r="H173" s="69">
        <v>1025285</v>
      </c>
      <c r="I173" s="69">
        <v>202883</v>
      </c>
      <c r="J173" s="69">
        <v>231052</v>
      </c>
      <c r="K173" s="69" t="s">
        <v>839</v>
      </c>
      <c r="L173" s="69" t="s">
        <v>839</v>
      </c>
      <c r="M173" s="69" t="s">
        <v>839</v>
      </c>
      <c r="N173" s="69" t="s">
        <v>839</v>
      </c>
      <c r="O173" s="69" t="s">
        <v>839</v>
      </c>
      <c r="P173" s="69" t="s">
        <v>839</v>
      </c>
      <c r="Q173" s="69" t="s">
        <v>839</v>
      </c>
      <c r="R173" s="71" t="s">
        <v>81</v>
      </c>
      <c r="S173" s="68"/>
      <c r="T173" s="68"/>
      <c r="U173" s="68"/>
      <c r="V173" s="68"/>
      <c r="W173" s="68"/>
      <c r="X173" s="68"/>
      <c r="Y173" s="68"/>
    </row>
    <row r="174" spans="1:25" s="69" customFormat="1" ht="10.5" customHeight="1" x14ac:dyDescent="0.15">
      <c r="A174" s="756" t="s">
        <v>688</v>
      </c>
      <c r="B174" s="69" t="s">
        <v>839</v>
      </c>
      <c r="C174" s="69">
        <v>5313620</v>
      </c>
      <c r="D174" s="69">
        <v>2447452</v>
      </c>
      <c r="E174" s="69">
        <v>128474</v>
      </c>
      <c r="F174" s="69" t="s">
        <v>839</v>
      </c>
      <c r="G174" s="69">
        <v>570599</v>
      </c>
      <c r="H174" s="69">
        <v>1962379</v>
      </c>
      <c r="I174" s="69">
        <v>65188</v>
      </c>
      <c r="J174" s="69">
        <v>139528</v>
      </c>
      <c r="K174" s="69" t="s">
        <v>839</v>
      </c>
      <c r="L174" s="69" t="s">
        <v>839</v>
      </c>
      <c r="M174" s="69" t="s">
        <v>839</v>
      </c>
      <c r="N174" s="69" t="s">
        <v>839</v>
      </c>
      <c r="O174" s="69" t="s">
        <v>839</v>
      </c>
      <c r="P174" s="69" t="s">
        <v>839</v>
      </c>
      <c r="Q174" s="69" t="s">
        <v>839</v>
      </c>
      <c r="R174" s="71" t="s">
        <v>82</v>
      </c>
      <c r="S174" s="68"/>
      <c r="T174" s="68"/>
      <c r="U174" s="68"/>
      <c r="V174" s="68"/>
      <c r="W174" s="68"/>
      <c r="X174" s="68"/>
      <c r="Y174" s="68"/>
    </row>
    <row r="175" spans="1:25" s="69" customFormat="1" ht="10.5" customHeight="1" x14ac:dyDescent="0.15">
      <c r="A175" s="756" t="s">
        <v>849</v>
      </c>
      <c r="B175" s="69" t="s">
        <v>839</v>
      </c>
      <c r="C175" s="69">
        <v>4587839</v>
      </c>
      <c r="D175" s="69">
        <v>2388783</v>
      </c>
      <c r="E175" s="69">
        <v>108857</v>
      </c>
      <c r="F175" s="69" t="s">
        <v>839</v>
      </c>
      <c r="G175" s="69">
        <v>267297</v>
      </c>
      <c r="H175" s="69">
        <v>1548256</v>
      </c>
      <c r="I175" s="69">
        <v>142213</v>
      </c>
      <c r="J175" s="69">
        <v>132433</v>
      </c>
      <c r="K175" s="69" t="s">
        <v>839</v>
      </c>
      <c r="L175" s="69">
        <v>118876</v>
      </c>
      <c r="M175" s="69" t="s">
        <v>839</v>
      </c>
      <c r="N175" s="69">
        <v>118876</v>
      </c>
      <c r="O175" s="69" t="s">
        <v>839</v>
      </c>
      <c r="P175" s="69" t="s">
        <v>839</v>
      </c>
      <c r="Q175" s="69">
        <v>118876</v>
      </c>
      <c r="R175" s="71" t="s">
        <v>850</v>
      </c>
      <c r="S175" s="68"/>
      <c r="T175" s="68"/>
      <c r="U175" s="68"/>
      <c r="V175" s="68"/>
      <c r="W175" s="68"/>
      <c r="X175" s="68"/>
      <c r="Y175" s="68"/>
    </row>
    <row r="176" spans="1:25" s="69" customFormat="1" ht="10.5" customHeight="1" x14ac:dyDescent="0.15">
      <c r="A176" s="756" t="s">
        <v>690</v>
      </c>
      <c r="B176" s="69" t="s">
        <v>839</v>
      </c>
      <c r="C176" s="69">
        <v>4172743</v>
      </c>
      <c r="D176" s="69">
        <v>2034181</v>
      </c>
      <c r="E176" s="69">
        <v>79123</v>
      </c>
      <c r="F176" s="69" t="s">
        <v>839</v>
      </c>
      <c r="G176" s="69">
        <v>739526</v>
      </c>
      <c r="H176" s="69">
        <v>1027377</v>
      </c>
      <c r="I176" s="69">
        <v>130201</v>
      </c>
      <c r="J176" s="69">
        <v>162335</v>
      </c>
      <c r="K176" s="69" t="s">
        <v>839</v>
      </c>
      <c r="L176" s="69" t="s">
        <v>839</v>
      </c>
      <c r="M176" s="69" t="s">
        <v>839</v>
      </c>
      <c r="N176" s="69" t="s">
        <v>839</v>
      </c>
      <c r="O176" s="69" t="s">
        <v>839</v>
      </c>
      <c r="P176" s="69" t="s">
        <v>839</v>
      </c>
      <c r="Q176" s="69" t="s">
        <v>839</v>
      </c>
      <c r="R176" s="71" t="s">
        <v>77</v>
      </c>
      <c r="S176" s="68"/>
      <c r="T176" s="68"/>
      <c r="U176" s="68"/>
      <c r="V176" s="68"/>
      <c r="W176" s="68"/>
      <c r="X176" s="68"/>
      <c r="Y176" s="68"/>
    </row>
    <row r="177" spans="1:25" s="69" customFormat="1" ht="10.5" customHeight="1" x14ac:dyDescent="0.15">
      <c r="A177" s="757" t="s">
        <v>691</v>
      </c>
      <c r="B177" s="73" t="s">
        <v>839</v>
      </c>
      <c r="C177" s="74">
        <v>4737748</v>
      </c>
      <c r="D177" s="74">
        <v>2433985</v>
      </c>
      <c r="E177" s="74">
        <v>78910</v>
      </c>
      <c r="F177" s="74" t="s">
        <v>839</v>
      </c>
      <c r="G177" s="74">
        <v>475932</v>
      </c>
      <c r="H177" s="74">
        <v>1472334</v>
      </c>
      <c r="I177" s="74">
        <v>134118</v>
      </c>
      <c r="J177" s="74">
        <v>142469</v>
      </c>
      <c r="K177" s="74" t="s">
        <v>839</v>
      </c>
      <c r="L177" s="74" t="s">
        <v>839</v>
      </c>
      <c r="M177" s="74" t="s">
        <v>839</v>
      </c>
      <c r="N177" s="74" t="s">
        <v>839</v>
      </c>
      <c r="O177" s="74" t="s">
        <v>839</v>
      </c>
      <c r="P177" s="74" t="s">
        <v>839</v>
      </c>
      <c r="Q177" s="74" t="s">
        <v>839</v>
      </c>
      <c r="R177" s="75" t="s">
        <v>78</v>
      </c>
      <c r="S177" s="68"/>
      <c r="T177" s="68"/>
      <c r="U177" s="68"/>
      <c r="V177" s="68"/>
      <c r="W177" s="68"/>
      <c r="X177" s="68"/>
      <c r="Y177" s="68"/>
    </row>
    <row r="178" spans="1:25" ht="23.25" customHeight="1" x14ac:dyDescent="0.25">
      <c r="I178" s="76" t="s">
        <v>97</v>
      </c>
    </row>
    <row r="179" spans="1:25" s="20" customFormat="1" ht="11.25" customHeight="1" x14ac:dyDescent="0.15">
      <c r="A179" s="61"/>
      <c r="B179" s="789" t="s">
        <v>872</v>
      </c>
      <c r="C179" s="3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1"/>
      <c r="O179" s="34"/>
      <c r="P179" s="63"/>
      <c r="Q179" s="63"/>
      <c r="R179" s="999" t="s">
        <v>83</v>
      </c>
      <c r="S179" s="18"/>
      <c r="T179" s="18"/>
      <c r="U179" s="18"/>
      <c r="V179" s="18"/>
      <c r="W179" s="18"/>
      <c r="X179" s="18"/>
      <c r="Y179" s="18"/>
    </row>
    <row r="180" spans="1:25" s="64" customFormat="1" ht="28.5" customHeight="1" x14ac:dyDescent="0.15">
      <c r="A180" s="32" t="s">
        <v>185</v>
      </c>
      <c r="B180" s="788" t="s">
        <v>873</v>
      </c>
      <c r="C180" s="15" t="s">
        <v>102</v>
      </c>
      <c r="D180" s="13" t="s">
        <v>518</v>
      </c>
      <c r="E180" s="720" t="s">
        <v>162</v>
      </c>
      <c r="F180" s="19"/>
      <c r="G180" s="19"/>
      <c r="H180" s="19"/>
      <c r="I180" s="19"/>
      <c r="J180" s="19"/>
      <c r="K180" s="19"/>
      <c r="L180" s="19"/>
      <c r="M180" s="19"/>
      <c r="N180" s="79"/>
      <c r="O180" s="15" t="s">
        <v>103</v>
      </c>
      <c r="P180" s="720" t="s">
        <v>163</v>
      </c>
      <c r="Q180" s="19"/>
      <c r="R180" s="1000"/>
      <c r="S180" s="14"/>
      <c r="T180" s="14"/>
      <c r="U180" s="14"/>
      <c r="V180" s="14"/>
      <c r="W180" s="14"/>
      <c r="X180" s="14"/>
      <c r="Y180" s="14"/>
    </row>
    <row r="181" spans="1:25" s="64" customFormat="1" ht="28.5" customHeight="1" x14ac:dyDescent="0.15">
      <c r="A181" s="32"/>
      <c r="B181" s="13" t="s">
        <v>874</v>
      </c>
      <c r="C181" s="15" t="s">
        <v>167</v>
      </c>
      <c r="D181" s="13" t="s">
        <v>519</v>
      </c>
      <c r="E181" s="15" t="s">
        <v>66</v>
      </c>
      <c r="F181" s="13" t="s">
        <v>444</v>
      </c>
      <c r="G181" s="13" t="s">
        <v>188</v>
      </c>
      <c r="H181" s="13" t="s">
        <v>875</v>
      </c>
      <c r="I181" s="13" t="s">
        <v>445</v>
      </c>
      <c r="J181" s="625" t="s">
        <v>876</v>
      </c>
      <c r="K181" s="13" t="s">
        <v>446</v>
      </c>
      <c r="L181" s="13" t="s">
        <v>462</v>
      </c>
      <c r="M181" s="625" t="s">
        <v>877</v>
      </c>
      <c r="N181" s="13" t="s">
        <v>878</v>
      </c>
      <c r="O181" s="15" t="s">
        <v>109</v>
      </c>
      <c r="P181" s="15" t="s">
        <v>70</v>
      </c>
      <c r="Q181" s="720" t="s">
        <v>168</v>
      </c>
      <c r="R181" s="1000"/>
      <c r="S181" s="14"/>
      <c r="T181" s="14"/>
      <c r="U181" s="14"/>
      <c r="V181" s="14"/>
      <c r="W181" s="14"/>
      <c r="X181" s="14"/>
      <c r="Y181" s="14"/>
    </row>
    <row r="182" spans="1:25" s="64" customFormat="1" ht="12" customHeight="1" x14ac:dyDescent="0.15">
      <c r="A182" s="33"/>
      <c r="B182" s="17" t="str">
        <f>PROPER("YAMAL-C")</f>
        <v>Yamal-C</v>
      </c>
      <c r="C182" s="17"/>
      <c r="D182" s="17" t="str">
        <f>PROPER("COLDLAKE")</f>
        <v>Coldlake</v>
      </c>
      <c r="E182" s="17"/>
      <c r="F182" s="17" t="str">
        <f>PROPER("WTIM")</f>
        <v>Wtim</v>
      </c>
      <c r="G182" s="17" t="str">
        <f>PROPER("EGL-FORD")</f>
        <v>Egl-Ford</v>
      </c>
      <c r="H182" s="17" t="str">
        <f>PROPER("SGC")</f>
        <v>Sgc</v>
      </c>
      <c r="I182" s="17" t="str">
        <f>PROPER("MARS")</f>
        <v>Mars</v>
      </c>
      <c r="J182" s="17" t="str">
        <f>PROPER("WTI-DSW")</f>
        <v>Wti-Dsw</v>
      </c>
      <c r="K182" s="17" t="str">
        <f>PROPER("BAKKEN")</f>
        <v>Bakken</v>
      </c>
      <c r="L182" s="17" t="str">
        <f>PROPER("WH-CLIFF")</f>
        <v>Wh-Cliff</v>
      </c>
      <c r="M182" s="17" t="str">
        <f>PROPER("WTL")</f>
        <v>Wtl</v>
      </c>
      <c r="N182" s="17" t="str">
        <f>PROPER("UTICA-C")</f>
        <v>Utica-C</v>
      </c>
      <c r="O182" s="17"/>
      <c r="P182" s="17"/>
      <c r="Q182" s="16" t="str">
        <f>PROPER("ISTHMUS")</f>
        <v>Isthmus</v>
      </c>
      <c r="R182" s="1001"/>
      <c r="S182" s="14"/>
      <c r="T182" s="14"/>
      <c r="U182" s="14"/>
      <c r="V182" s="14"/>
      <c r="W182" s="14"/>
      <c r="X182" s="14"/>
      <c r="Y182" s="14"/>
    </row>
    <row r="183" spans="1:25" s="69" customFormat="1" ht="10.5" customHeight="1" x14ac:dyDescent="0.15">
      <c r="A183" s="755" t="s">
        <v>838</v>
      </c>
      <c r="B183" s="65">
        <v>48641</v>
      </c>
      <c r="C183" s="66">
        <v>3016747</v>
      </c>
      <c r="D183" s="66" t="s">
        <v>839</v>
      </c>
      <c r="E183" s="66">
        <v>3016747</v>
      </c>
      <c r="F183" s="66">
        <v>1767392</v>
      </c>
      <c r="G183" s="66">
        <v>403532</v>
      </c>
      <c r="H183" s="66">
        <v>292853</v>
      </c>
      <c r="I183" s="66">
        <v>317783</v>
      </c>
      <c r="J183" s="66">
        <v>77802</v>
      </c>
      <c r="K183" s="66">
        <v>78271</v>
      </c>
      <c r="L183" s="66">
        <v>79114</v>
      </c>
      <c r="M183" s="66" t="s">
        <v>839</v>
      </c>
      <c r="N183" s="66" t="s">
        <v>839</v>
      </c>
      <c r="O183" s="66">
        <v>3792241</v>
      </c>
      <c r="P183" s="66">
        <v>1908649</v>
      </c>
      <c r="Q183" s="66">
        <v>592946</v>
      </c>
      <c r="R183" s="67" t="s">
        <v>457</v>
      </c>
      <c r="S183" s="68"/>
      <c r="T183" s="68"/>
      <c r="U183" s="68"/>
      <c r="V183" s="68"/>
      <c r="W183" s="68"/>
      <c r="X183" s="68"/>
      <c r="Y183" s="68"/>
    </row>
    <row r="184" spans="1:25" s="69" customFormat="1" ht="10.5" customHeight="1" x14ac:dyDescent="0.15">
      <c r="A184" s="756" t="s">
        <v>669</v>
      </c>
      <c r="B184" s="69" t="s">
        <v>839</v>
      </c>
      <c r="C184" s="69">
        <v>3739047</v>
      </c>
      <c r="D184" s="69">
        <v>47092</v>
      </c>
      <c r="E184" s="69">
        <v>3691955</v>
      </c>
      <c r="F184" s="69">
        <v>2769318</v>
      </c>
      <c r="G184" s="69">
        <v>661738</v>
      </c>
      <c r="H184" s="69" t="s">
        <v>839</v>
      </c>
      <c r="I184" s="69">
        <v>158298</v>
      </c>
      <c r="J184" s="69" t="s">
        <v>839</v>
      </c>
      <c r="K184" s="69" t="s">
        <v>839</v>
      </c>
      <c r="L184" s="69" t="s">
        <v>839</v>
      </c>
      <c r="M184" s="69">
        <v>102601</v>
      </c>
      <c r="N184" s="69" t="s">
        <v>839</v>
      </c>
      <c r="O184" s="69">
        <v>2678816</v>
      </c>
      <c r="P184" s="69">
        <v>319147</v>
      </c>
      <c r="Q184" s="69" t="s">
        <v>839</v>
      </c>
      <c r="R184" s="71" t="s">
        <v>512</v>
      </c>
      <c r="S184" s="68"/>
      <c r="T184" s="68"/>
      <c r="U184" s="68"/>
      <c r="V184" s="68"/>
      <c r="W184" s="68"/>
      <c r="X184" s="68"/>
      <c r="Y184" s="68"/>
    </row>
    <row r="185" spans="1:25" s="69" customFormat="1" ht="10.5" customHeight="1" x14ac:dyDescent="0.15">
      <c r="A185" s="756" t="s">
        <v>670</v>
      </c>
      <c r="B185" s="69" t="s">
        <v>839</v>
      </c>
      <c r="C185" s="69">
        <v>1094794</v>
      </c>
      <c r="D185" s="69" t="s">
        <v>839</v>
      </c>
      <c r="E185" s="69">
        <v>1094794</v>
      </c>
      <c r="F185" s="69">
        <v>712543</v>
      </c>
      <c r="G185" s="69" t="s">
        <v>839</v>
      </c>
      <c r="H185" s="69" t="s">
        <v>839</v>
      </c>
      <c r="I185" s="69">
        <v>240225</v>
      </c>
      <c r="J185" s="69" t="s">
        <v>839</v>
      </c>
      <c r="K185" s="69" t="s">
        <v>839</v>
      </c>
      <c r="L185" s="69" t="s">
        <v>839</v>
      </c>
      <c r="M185" s="69" t="s">
        <v>839</v>
      </c>
      <c r="N185" s="69">
        <v>142026</v>
      </c>
      <c r="O185" s="69">
        <v>2530556</v>
      </c>
      <c r="P185" s="69">
        <v>81102</v>
      </c>
      <c r="Q185" s="69" t="s">
        <v>839</v>
      </c>
      <c r="R185" s="71" t="s">
        <v>620</v>
      </c>
      <c r="S185" s="68"/>
      <c r="T185" s="68"/>
      <c r="U185" s="68"/>
      <c r="V185" s="68"/>
      <c r="W185" s="68"/>
      <c r="X185" s="68"/>
      <c r="Y185" s="68"/>
    </row>
    <row r="186" spans="1:25" s="69" customFormat="1" ht="10.5" customHeight="1" x14ac:dyDescent="0.15">
      <c r="A186" s="756" t="s">
        <v>671</v>
      </c>
      <c r="B186" s="69" t="s">
        <v>839</v>
      </c>
      <c r="C186" s="69">
        <v>469328</v>
      </c>
      <c r="D186" s="69" t="s">
        <v>839</v>
      </c>
      <c r="E186" s="69">
        <v>469328</v>
      </c>
      <c r="F186" s="69">
        <v>82295</v>
      </c>
      <c r="G186" s="69">
        <v>223881</v>
      </c>
      <c r="H186" s="69" t="s">
        <v>839</v>
      </c>
      <c r="I186" s="69">
        <v>163092</v>
      </c>
      <c r="J186" s="69" t="s">
        <v>839</v>
      </c>
      <c r="K186" s="69" t="s">
        <v>839</v>
      </c>
      <c r="L186" s="69" t="s">
        <v>839</v>
      </c>
      <c r="M186" s="69">
        <v>60</v>
      </c>
      <c r="N186" s="69" t="s">
        <v>839</v>
      </c>
      <c r="O186" s="69">
        <v>2444840</v>
      </c>
      <c r="P186" s="69">
        <v>114870</v>
      </c>
      <c r="Q186" s="69">
        <v>114870</v>
      </c>
      <c r="R186" s="71" t="s">
        <v>672</v>
      </c>
      <c r="S186" s="68"/>
      <c r="T186" s="68"/>
      <c r="U186" s="68"/>
      <c r="V186" s="68"/>
      <c r="W186" s="68"/>
      <c r="X186" s="68"/>
      <c r="Y186" s="68"/>
    </row>
    <row r="187" spans="1:25" s="69" customFormat="1" ht="10.5" customHeight="1" x14ac:dyDescent="0.15">
      <c r="A187" s="756" t="s">
        <v>840</v>
      </c>
      <c r="B187" s="69" t="s">
        <v>839</v>
      </c>
      <c r="C187" s="69">
        <v>1592968</v>
      </c>
      <c r="D187" s="69" t="s">
        <v>839</v>
      </c>
      <c r="E187" s="69">
        <v>1592968</v>
      </c>
      <c r="F187" s="69">
        <v>595702</v>
      </c>
      <c r="G187" s="69" t="s">
        <v>839</v>
      </c>
      <c r="H187" s="69" t="s">
        <v>839</v>
      </c>
      <c r="I187" s="69">
        <v>427613</v>
      </c>
      <c r="J187" s="69" t="s">
        <v>839</v>
      </c>
      <c r="K187" s="69" t="s">
        <v>839</v>
      </c>
      <c r="L187" s="69" t="s">
        <v>839</v>
      </c>
      <c r="M187" s="69">
        <v>569653</v>
      </c>
      <c r="N187" s="69" t="s">
        <v>839</v>
      </c>
      <c r="O187" s="69">
        <v>3616062</v>
      </c>
      <c r="P187" s="69">
        <v>650033</v>
      </c>
      <c r="Q187" s="69">
        <v>650033</v>
      </c>
      <c r="R187" s="71" t="s">
        <v>841</v>
      </c>
      <c r="S187" s="68"/>
      <c r="T187" s="68"/>
      <c r="U187" s="68"/>
      <c r="V187" s="68"/>
      <c r="W187" s="68"/>
      <c r="X187" s="68"/>
      <c r="Y187" s="68"/>
    </row>
    <row r="188" spans="1:25" s="69" customFormat="1" ht="10.5" customHeight="1" x14ac:dyDescent="0.15">
      <c r="A188" s="787"/>
      <c r="R188" s="71"/>
      <c r="S188" s="68"/>
      <c r="T188" s="68"/>
      <c r="U188" s="68"/>
      <c r="V188" s="68"/>
      <c r="W188" s="68"/>
      <c r="X188" s="68"/>
      <c r="Y188" s="68"/>
    </row>
    <row r="189" spans="1:25" s="69" customFormat="1" ht="10.5" customHeight="1" x14ac:dyDescent="0.15">
      <c r="A189" s="756" t="s">
        <v>842</v>
      </c>
      <c r="B189" s="69" t="s">
        <v>839</v>
      </c>
      <c r="C189" s="69">
        <v>223941</v>
      </c>
      <c r="D189" s="69" t="s">
        <v>839</v>
      </c>
      <c r="E189" s="69">
        <v>223941</v>
      </c>
      <c r="F189" s="69" t="s">
        <v>839</v>
      </c>
      <c r="G189" s="69">
        <v>223881</v>
      </c>
      <c r="H189" s="69" t="s">
        <v>839</v>
      </c>
      <c r="I189" s="69" t="s">
        <v>839</v>
      </c>
      <c r="J189" s="69" t="s">
        <v>839</v>
      </c>
      <c r="K189" s="69" t="s">
        <v>839</v>
      </c>
      <c r="L189" s="69" t="s">
        <v>839</v>
      </c>
      <c r="M189" s="69">
        <v>60</v>
      </c>
      <c r="N189" s="69" t="s">
        <v>839</v>
      </c>
      <c r="O189" s="69">
        <v>2754558</v>
      </c>
      <c r="P189" s="69">
        <v>361032</v>
      </c>
      <c r="Q189" s="69">
        <v>361032</v>
      </c>
      <c r="R189" s="71" t="s">
        <v>673</v>
      </c>
      <c r="S189" s="68"/>
      <c r="T189" s="68"/>
      <c r="U189" s="68"/>
      <c r="V189" s="68"/>
      <c r="W189" s="68"/>
      <c r="X189" s="68"/>
      <c r="Y189" s="68"/>
    </row>
    <row r="190" spans="1:25" s="69" customFormat="1" ht="10.5" customHeight="1" x14ac:dyDescent="0.15">
      <c r="A190" s="756" t="s">
        <v>843</v>
      </c>
      <c r="B190" s="69" t="s">
        <v>839</v>
      </c>
      <c r="C190" s="69">
        <v>2286940</v>
      </c>
      <c r="D190" s="69" t="s">
        <v>839</v>
      </c>
      <c r="E190" s="69">
        <v>2286940</v>
      </c>
      <c r="F190" s="69">
        <v>848467</v>
      </c>
      <c r="G190" s="69" t="s">
        <v>839</v>
      </c>
      <c r="H190" s="69" t="s">
        <v>839</v>
      </c>
      <c r="I190" s="69">
        <v>868820</v>
      </c>
      <c r="J190" s="69" t="s">
        <v>839</v>
      </c>
      <c r="K190" s="69" t="s">
        <v>839</v>
      </c>
      <c r="L190" s="69" t="s">
        <v>839</v>
      </c>
      <c r="M190" s="69">
        <v>569653</v>
      </c>
      <c r="N190" s="69" t="s">
        <v>839</v>
      </c>
      <c r="O190" s="69">
        <v>3005494</v>
      </c>
      <c r="P190" s="69">
        <v>403871</v>
      </c>
      <c r="Q190" s="69">
        <v>403871</v>
      </c>
      <c r="R190" s="71" t="s">
        <v>844</v>
      </c>
      <c r="S190" s="68"/>
      <c r="T190" s="68"/>
      <c r="U190" s="68"/>
      <c r="V190" s="68"/>
      <c r="W190" s="68"/>
      <c r="X190" s="68"/>
      <c r="Y190" s="68"/>
    </row>
    <row r="191" spans="1:25" s="69" customFormat="1" ht="10.5" customHeight="1" x14ac:dyDescent="0.15">
      <c r="A191" s="787"/>
      <c r="R191" s="71"/>
      <c r="S191" s="68"/>
      <c r="T191" s="68"/>
      <c r="U191" s="68"/>
      <c r="V191" s="68"/>
      <c r="W191" s="68"/>
      <c r="X191" s="68"/>
      <c r="Y191" s="68"/>
    </row>
    <row r="192" spans="1:25" s="69" customFormat="1" ht="10.5" customHeight="1" x14ac:dyDescent="0.15">
      <c r="A192" s="756" t="s">
        <v>845</v>
      </c>
      <c r="B192" s="69" t="s">
        <v>839</v>
      </c>
      <c r="C192" s="69" t="s">
        <v>839</v>
      </c>
      <c r="D192" s="69" t="s">
        <v>839</v>
      </c>
      <c r="E192" s="69" t="s">
        <v>839</v>
      </c>
      <c r="F192" s="69" t="s">
        <v>839</v>
      </c>
      <c r="G192" s="69" t="s">
        <v>839</v>
      </c>
      <c r="H192" s="69" t="s">
        <v>839</v>
      </c>
      <c r="I192" s="69" t="s">
        <v>839</v>
      </c>
      <c r="J192" s="69" t="s">
        <v>839</v>
      </c>
      <c r="K192" s="69" t="s">
        <v>839</v>
      </c>
      <c r="L192" s="69" t="s">
        <v>839</v>
      </c>
      <c r="M192" s="69" t="s">
        <v>839</v>
      </c>
      <c r="N192" s="69" t="s">
        <v>839</v>
      </c>
      <c r="O192" s="69">
        <v>918639</v>
      </c>
      <c r="P192" s="69">
        <v>246162</v>
      </c>
      <c r="Q192" s="69">
        <v>246162</v>
      </c>
      <c r="R192" s="71" t="s">
        <v>677</v>
      </c>
      <c r="S192" s="68"/>
      <c r="T192" s="68"/>
      <c r="U192" s="68"/>
      <c r="V192" s="68"/>
      <c r="W192" s="68"/>
      <c r="X192" s="68"/>
      <c r="Y192" s="68"/>
    </row>
    <row r="193" spans="1:25" s="69" customFormat="1" ht="10.5" customHeight="1" x14ac:dyDescent="0.15">
      <c r="A193" s="756" t="s">
        <v>674</v>
      </c>
      <c r="B193" s="69" t="s">
        <v>839</v>
      </c>
      <c r="C193" s="69">
        <v>160472</v>
      </c>
      <c r="D193" s="69" t="s">
        <v>839</v>
      </c>
      <c r="E193" s="69">
        <v>160472</v>
      </c>
      <c r="F193" s="69" t="s">
        <v>839</v>
      </c>
      <c r="G193" s="69" t="s">
        <v>839</v>
      </c>
      <c r="H193" s="69" t="s">
        <v>839</v>
      </c>
      <c r="I193" s="69">
        <v>160472</v>
      </c>
      <c r="J193" s="69" t="s">
        <v>839</v>
      </c>
      <c r="K193" s="69" t="s">
        <v>839</v>
      </c>
      <c r="L193" s="69" t="s">
        <v>839</v>
      </c>
      <c r="M193" s="69" t="s">
        <v>839</v>
      </c>
      <c r="N193" s="69" t="s">
        <v>839</v>
      </c>
      <c r="O193" s="69">
        <v>1208128</v>
      </c>
      <c r="P193" s="69">
        <v>403871</v>
      </c>
      <c r="Q193" s="69">
        <v>403871</v>
      </c>
      <c r="R193" s="71" t="s">
        <v>89</v>
      </c>
      <c r="S193" s="68"/>
      <c r="T193" s="68"/>
      <c r="U193" s="68"/>
      <c r="V193" s="68"/>
      <c r="W193" s="68"/>
      <c r="X193" s="68"/>
      <c r="Y193" s="68"/>
    </row>
    <row r="194" spans="1:25" s="69" customFormat="1" ht="10.5" customHeight="1" x14ac:dyDescent="0.15">
      <c r="A194" s="756" t="s">
        <v>675</v>
      </c>
      <c r="B194" s="69" t="s">
        <v>839</v>
      </c>
      <c r="C194" s="69">
        <v>465453</v>
      </c>
      <c r="D194" s="69" t="s">
        <v>839</v>
      </c>
      <c r="E194" s="69">
        <v>465453</v>
      </c>
      <c r="F194" s="69">
        <v>270627</v>
      </c>
      <c r="G194" s="69" t="s">
        <v>839</v>
      </c>
      <c r="H194" s="69" t="s">
        <v>839</v>
      </c>
      <c r="I194" s="69" t="s">
        <v>839</v>
      </c>
      <c r="J194" s="69" t="s">
        <v>839</v>
      </c>
      <c r="K194" s="69" t="s">
        <v>839</v>
      </c>
      <c r="L194" s="69" t="s">
        <v>839</v>
      </c>
      <c r="M194" s="69">
        <v>194826</v>
      </c>
      <c r="N194" s="69" t="s">
        <v>839</v>
      </c>
      <c r="O194" s="69">
        <v>851944</v>
      </c>
      <c r="P194" s="69" t="s">
        <v>839</v>
      </c>
      <c r="Q194" s="69" t="s">
        <v>839</v>
      </c>
      <c r="R194" s="71" t="s">
        <v>90</v>
      </c>
      <c r="S194" s="68"/>
      <c r="T194" s="68"/>
      <c r="U194" s="68"/>
      <c r="V194" s="68"/>
      <c r="W194" s="68"/>
      <c r="X194" s="68"/>
      <c r="Y194" s="68"/>
    </row>
    <row r="195" spans="1:25" s="69" customFormat="1" ht="10.5" customHeight="1" x14ac:dyDescent="0.15">
      <c r="A195" s="756" t="s">
        <v>676</v>
      </c>
      <c r="B195" s="69" t="s">
        <v>839</v>
      </c>
      <c r="C195" s="69">
        <v>967043</v>
      </c>
      <c r="D195" s="69" t="s">
        <v>839</v>
      </c>
      <c r="E195" s="69">
        <v>967043</v>
      </c>
      <c r="F195" s="69">
        <v>325075</v>
      </c>
      <c r="G195" s="69" t="s">
        <v>839</v>
      </c>
      <c r="H195" s="69" t="s">
        <v>839</v>
      </c>
      <c r="I195" s="69">
        <v>267141</v>
      </c>
      <c r="J195" s="69" t="s">
        <v>839</v>
      </c>
      <c r="K195" s="69" t="s">
        <v>839</v>
      </c>
      <c r="L195" s="69" t="s">
        <v>839</v>
      </c>
      <c r="M195" s="69">
        <v>374827</v>
      </c>
      <c r="N195" s="69" t="s">
        <v>839</v>
      </c>
      <c r="O195" s="69">
        <v>637351</v>
      </c>
      <c r="P195" s="69" t="s">
        <v>839</v>
      </c>
      <c r="Q195" s="69" t="s">
        <v>839</v>
      </c>
      <c r="R195" s="71" t="s">
        <v>91</v>
      </c>
      <c r="S195" s="68"/>
      <c r="T195" s="68"/>
      <c r="U195" s="68"/>
      <c r="V195" s="68"/>
      <c r="W195" s="68"/>
      <c r="X195" s="68"/>
      <c r="Y195" s="68"/>
    </row>
    <row r="196" spans="1:25" s="69" customFormat="1" ht="10.5" customHeight="1" x14ac:dyDescent="0.15">
      <c r="A196" s="756" t="s">
        <v>846</v>
      </c>
      <c r="B196" s="69" t="s">
        <v>839</v>
      </c>
      <c r="C196" s="69">
        <v>693972</v>
      </c>
      <c r="D196" s="69" t="s">
        <v>839</v>
      </c>
      <c r="E196" s="69">
        <v>693972</v>
      </c>
      <c r="F196" s="69">
        <v>252765</v>
      </c>
      <c r="G196" s="69" t="s">
        <v>839</v>
      </c>
      <c r="H196" s="69" t="s">
        <v>839</v>
      </c>
      <c r="I196" s="69">
        <v>441207</v>
      </c>
      <c r="J196" s="69" t="s">
        <v>839</v>
      </c>
      <c r="K196" s="69" t="s">
        <v>839</v>
      </c>
      <c r="L196" s="69" t="s">
        <v>839</v>
      </c>
      <c r="M196" s="69" t="s">
        <v>839</v>
      </c>
      <c r="N196" s="69" t="s">
        <v>839</v>
      </c>
      <c r="O196" s="69">
        <v>308071</v>
      </c>
      <c r="P196" s="69" t="s">
        <v>839</v>
      </c>
      <c r="Q196" s="69" t="s">
        <v>839</v>
      </c>
      <c r="R196" s="71" t="s">
        <v>847</v>
      </c>
      <c r="S196" s="68"/>
      <c r="T196" s="68"/>
      <c r="U196" s="68"/>
      <c r="V196" s="68"/>
      <c r="W196" s="68"/>
      <c r="X196" s="68"/>
      <c r="Y196" s="68"/>
    </row>
    <row r="197" spans="1:25" s="69" customFormat="1" ht="10.5" customHeight="1" x14ac:dyDescent="0.15">
      <c r="A197" s="787"/>
      <c r="R197" s="71"/>
      <c r="S197" s="68"/>
      <c r="T197" s="68"/>
      <c r="U197" s="68"/>
      <c r="V197" s="68"/>
      <c r="W197" s="68"/>
      <c r="X197" s="68"/>
      <c r="Y197" s="68"/>
    </row>
    <row r="198" spans="1:25" s="69" customFormat="1" ht="10.5" customHeight="1" x14ac:dyDescent="0.15">
      <c r="A198" s="756" t="s">
        <v>848</v>
      </c>
      <c r="B198" s="69" t="s">
        <v>839</v>
      </c>
      <c r="C198" s="69" t="s">
        <v>839</v>
      </c>
      <c r="D198" s="69" t="s">
        <v>839</v>
      </c>
      <c r="E198" s="69" t="s">
        <v>839</v>
      </c>
      <c r="F198" s="69" t="s">
        <v>839</v>
      </c>
      <c r="G198" s="69" t="s">
        <v>839</v>
      </c>
      <c r="H198" s="69" t="s">
        <v>839</v>
      </c>
      <c r="I198" s="69" t="s">
        <v>839</v>
      </c>
      <c r="J198" s="69" t="s">
        <v>839</v>
      </c>
      <c r="K198" s="69" t="s">
        <v>839</v>
      </c>
      <c r="L198" s="69" t="s">
        <v>839</v>
      </c>
      <c r="M198" s="69" t="s">
        <v>839</v>
      </c>
      <c r="N198" s="69" t="s">
        <v>839</v>
      </c>
      <c r="O198" s="69">
        <v>232733</v>
      </c>
      <c r="P198" s="69" t="s">
        <v>839</v>
      </c>
      <c r="Q198" s="69" t="s">
        <v>839</v>
      </c>
      <c r="R198" s="71" t="s">
        <v>689</v>
      </c>
      <c r="S198" s="68"/>
      <c r="T198" s="68"/>
      <c r="U198" s="68"/>
      <c r="V198" s="68"/>
      <c r="W198" s="68"/>
      <c r="X198" s="68"/>
      <c r="Y198" s="68"/>
    </row>
    <row r="199" spans="1:25" s="69" customFormat="1" ht="10.5" customHeight="1" x14ac:dyDescent="0.15">
      <c r="A199" s="756" t="s">
        <v>678</v>
      </c>
      <c r="B199" s="69" t="s">
        <v>839</v>
      </c>
      <c r="C199" s="69" t="s">
        <v>839</v>
      </c>
      <c r="D199" s="69" t="s">
        <v>839</v>
      </c>
      <c r="E199" s="69" t="s">
        <v>839</v>
      </c>
      <c r="F199" s="69" t="s">
        <v>839</v>
      </c>
      <c r="G199" s="69" t="s">
        <v>839</v>
      </c>
      <c r="H199" s="69" t="s">
        <v>839</v>
      </c>
      <c r="I199" s="69" t="s">
        <v>839</v>
      </c>
      <c r="J199" s="69" t="s">
        <v>839</v>
      </c>
      <c r="K199" s="69" t="s">
        <v>839</v>
      </c>
      <c r="L199" s="69" t="s">
        <v>839</v>
      </c>
      <c r="M199" s="69" t="s">
        <v>839</v>
      </c>
      <c r="N199" s="69" t="s">
        <v>839</v>
      </c>
      <c r="O199" s="69">
        <v>386712</v>
      </c>
      <c r="P199" s="69">
        <v>167580</v>
      </c>
      <c r="Q199" s="69">
        <v>167580</v>
      </c>
      <c r="R199" s="71" t="s">
        <v>77</v>
      </c>
      <c r="S199" s="68"/>
      <c r="T199" s="68"/>
      <c r="U199" s="68"/>
      <c r="V199" s="68"/>
      <c r="W199" s="68"/>
      <c r="X199" s="68"/>
      <c r="Y199" s="68"/>
    </row>
    <row r="200" spans="1:25" s="69" customFormat="1" ht="10.5" customHeight="1" x14ac:dyDescent="0.15">
      <c r="A200" s="756" t="s">
        <v>679</v>
      </c>
      <c r="B200" s="69" t="s">
        <v>839</v>
      </c>
      <c r="C200" s="69" t="s">
        <v>839</v>
      </c>
      <c r="D200" s="69" t="s">
        <v>839</v>
      </c>
      <c r="E200" s="69" t="s">
        <v>839</v>
      </c>
      <c r="F200" s="69" t="s">
        <v>839</v>
      </c>
      <c r="G200" s="69" t="s">
        <v>839</v>
      </c>
      <c r="H200" s="69" t="s">
        <v>839</v>
      </c>
      <c r="I200" s="69" t="s">
        <v>839</v>
      </c>
      <c r="J200" s="69" t="s">
        <v>839</v>
      </c>
      <c r="K200" s="69" t="s">
        <v>839</v>
      </c>
      <c r="L200" s="69" t="s">
        <v>839</v>
      </c>
      <c r="M200" s="69" t="s">
        <v>839</v>
      </c>
      <c r="N200" s="69" t="s">
        <v>839</v>
      </c>
      <c r="O200" s="69">
        <v>299194</v>
      </c>
      <c r="P200" s="69">
        <v>78582</v>
      </c>
      <c r="Q200" s="69">
        <v>78582</v>
      </c>
      <c r="R200" s="71" t="s">
        <v>78</v>
      </c>
      <c r="S200" s="68"/>
      <c r="T200" s="68"/>
      <c r="U200" s="68"/>
      <c r="V200" s="68"/>
      <c r="W200" s="68"/>
      <c r="X200" s="68"/>
      <c r="Y200" s="68"/>
    </row>
    <row r="201" spans="1:25" s="69" customFormat="1" ht="10.5" customHeight="1" x14ac:dyDescent="0.15">
      <c r="A201" s="756" t="s">
        <v>680</v>
      </c>
      <c r="B201" s="69" t="s">
        <v>839</v>
      </c>
      <c r="C201" s="69" t="s">
        <v>839</v>
      </c>
      <c r="D201" s="69" t="s">
        <v>839</v>
      </c>
      <c r="E201" s="69" t="s">
        <v>839</v>
      </c>
      <c r="F201" s="69" t="s">
        <v>839</v>
      </c>
      <c r="G201" s="69" t="s">
        <v>839</v>
      </c>
      <c r="H201" s="69" t="s">
        <v>839</v>
      </c>
      <c r="I201" s="69" t="s">
        <v>839</v>
      </c>
      <c r="J201" s="69" t="s">
        <v>839</v>
      </c>
      <c r="K201" s="69" t="s">
        <v>839</v>
      </c>
      <c r="L201" s="69" t="s">
        <v>839</v>
      </c>
      <c r="M201" s="69" t="s">
        <v>839</v>
      </c>
      <c r="N201" s="69" t="s">
        <v>839</v>
      </c>
      <c r="O201" s="69">
        <v>339412</v>
      </c>
      <c r="P201" s="69">
        <v>78155</v>
      </c>
      <c r="Q201" s="69">
        <v>78155</v>
      </c>
      <c r="R201" s="71" t="s">
        <v>79</v>
      </c>
      <c r="S201" s="68"/>
      <c r="T201" s="68"/>
      <c r="U201" s="68"/>
      <c r="V201" s="68"/>
      <c r="W201" s="68"/>
      <c r="X201" s="68"/>
      <c r="Y201" s="68"/>
    </row>
    <row r="202" spans="1:25" s="69" customFormat="1" ht="10.5" customHeight="1" x14ac:dyDescent="0.15">
      <c r="A202" s="756" t="s">
        <v>681</v>
      </c>
      <c r="B202" s="69" t="s">
        <v>839</v>
      </c>
      <c r="C202" s="69" t="s">
        <v>839</v>
      </c>
      <c r="D202" s="69" t="s">
        <v>839</v>
      </c>
      <c r="E202" s="69" t="s">
        <v>839</v>
      </c>
      <c r="F202" s="69" t="s">
        <v>839</v>
      </c>
      <c r="G202" s="69" t="s">
        <v>839</v>
      </c>
      <c r="H202" s="69" t="s">
        <v>839</v>
      </c>
      <c r="I202" s="69" t="s">
        <v>839</v>
      </c>
      <c r="J202" s="69" t="s">
        <v>839</v>
      </c>
      <c r="K202" s="69" t="s">
        <v>839</v>
      </c>
      <c r="L202" s="69" t="s">
        <v>839</v>
      </c>
      <c r="M202" s="69" t="s">
        <v>839</v>
      </c>
      <c r="N202" s="69" t="s">
        <v>839</v>
      </c>
      <c r="O202" s="69">
        <v>481384</v>
      </c>
      <c r="P202" s="69">
        <v>157285</v>
      </c>
      <c r="Q202" s="69">
        <v>157285</v>
      </c>
      <c r="R202" s="72" t="s">
        <v>92</v>
      </c>
      <c r="S202" s="68"/>
      <c r="T202" s="68"/>
      <c r="U202" s="68"/>
      <c r="V202" s="68"/>
      <c r="W202" s="68"/>
      <c r="X202" s="68"/>
      <c r="Y202" s="68"/>
    </row>
    <row r="203" spans="1:25" s="69" customFormat="1" ht="10.5" customHeight="1" x14ac:dyDescent="0.15">
      <c r="A203" s="756" t="s">
        <v>682</v>
      </c>
      <c r="B203" s="69" t="s">
        <v>839</v>
      </c>
      <c r="C203" s="69">
        <v>160472</v>
      </c>
      <c r="D203" s="69" t="s">
        <v>839</v>
      </c>
      <c r="E203" s="69">
        <v>160472</v>
      </c>
      <c r="F203" s="69" t="s">
        <v>839</v>
      </c>
      <c r="G203" s="69" t="s">
        <v>839</v>
      </c>
      <c r="H203" s="69" t="s">
        <v>839</v>
      </c>
      <c r="I203" s="69">
        <v>160472</v>
      </c>
      <c r="J203" s="69" t="s">
        <v>839</v>
      </c>
      <c r="K203" s="69" t="s">
        <v>839</v>
      </c>
      <c r="L203" s="69" t="s">
        <v>839</v>
      </c>
      <c r="M203" s="69" t="s">
        <v>839</v>
      </c>
      <c r="N203" s="69" t="s">
        <v>839</v>
      </c>
      <c r="O203" s="69">
        <v>387332</v>
      </c>
      <c r="P203" s="69">
        <v>168431</v>
      </c>
      <c r="Q203" s="69">
        <v>168431</v>
      </c>
      <c r="R203" s="71" t="s">
        <v>93</v>
      </c>
      <c r="S203" s="68"/>
      <c r="T203" s="68"/>
      <c r="U203" s="68"/>
      <c r="V203" s="68"/>
      <c r="W203" s="68"/>
      <c r="X203" s="68"/>
      <c r="Y203" s="68"/>
    </row>
    <row r="204" spans="1:25" s="69" customFormat="1" ht="10.5" customHeight="1" x14ac:dyDescent="0.15">
      <c r="A204" s="756" t="s">
        <v>683</v>
      </c>
      <c r="B204" s="69" t="s">
        <v>839</v>
      </c>
      <c r="C204" s="69" t="s">
        <v>839</v>
      </c>
      <c r="D204" s="69" t="s">
        <v>839</v>
      </c>
      <c r="E204" s="69" t="s">
        <v>839</v>
      </c>
      <c r="F204" s="69" t="s">
        <v>839</v>
      </c>
      <c r="G204" s="69" t="s">
        <v>839</v>
      </c>
      <c r="H204" s="69" t="s">
        <v>839</v>
      </c>
      <c r="I204" s="69" t="s">
        <v>839</v>
      </c>
      <c r="J204" s="69" t="s">
        <v>839</v>
      </c>
      <c r="K204" s="69" t="s">
        <v>839</v>
      </c>
      <c r="L204" s="69" t="s">
        <v>839</v>
      </c>
      <c r="M204" s="69" t="s">
        <v>839</v>
      </c>
      <c r="N204" s="69" t="s">
        <v>839</v>
      </c>
      <c r="O204" s="69">
        <v>230113</v>
      </c>
      <c r="P204" s="69" t="s">
        <v>839</v>
      </c>
      <c r="Q204" s="69" t="s">
        <v>839</v>
      </c>
      <c r="R204" s="71" t="s">
        <v>94</v>
      </c>
      <c r="S204" s="68"/>
      <c r="T204" s="68"/>
      <c r="U204" s="68"/>
      <c r="V204" s="68"/>
      <c r="W204" s="68"/>
      <c r="X204" s="68"/>
      <c r="Y204" s="68"/>
    </row>
    <row r="205" spans="1:25" s="69" customFormat="1" ht="10.5" customHeight="1" x14ac:dyDescent="0.15">
      <c r="A205" s="756" t="s">
        <v>684</v>
      </c>
      <c r="B205" s="69" t="s">
        <v>839</v>
      </c>
      <c r="C205" s="69">
        <v>398109</v>
      </c>
      <c r="D205" s="69" t="s">
        <v>839</v>
      </c>
      <c r="E205" s="69">
        <v>398109</v>
      </c>
      <c r="F205" s="69">
        <v>203283</v>
      </c>
      <c r="G205" s="69" t="s">
        <v>839</v>
      </c>
      <c r="H205" s="69" t="s">
        <v>839</v>
      </c>
      <c r="I205" s="69" t="s">
        <v>839</v>
      </c>
      <c r="J205" s="69" t="s">
        <v>839</v>
      </c>
      <c r="K205" s="69" t="s">
        <v>839</v>
      </c>
      <c r="L205" s="69" t="s">
        <v>839</v>
      </c>
      <c r="M205" s="69">
        <v>194826</v>
      </c>
      <c r="N205" s="69" t="s">
        <v>839</v>
      </c>
      <c r="O205" s="69">
        <v>358677</v>
      </c>
      <c r="P205" s="69" t="s">
        <v>839</v>
      </c>
      <c r="Q205" s="69" t="s">
        <v>839</v>
      </c>
      <c r="R205" s="71" t="s">
        <v>95</v>
      </c>
      <c r="S205" s="68"/>
      <c r="T205" s="68"/>
      <c r="U205" s="68"/>
      <c r="V205" s="68"/>
      <c r="W205" s="68"/>
      <c r="X205" s="68"/>
      <c r="Y205" s="68"/>
    </row>
    <row r="206" spans="1:25" s="69" customFormat="1" ht="10.5" customHeight="1" x14ac:dyDescent="0.15">
      <c r="A206" s="756" t="s">
        <v>685</v>
      </c>
      <c r="B206" s="69" t="s">
        <v>839</v>
      </c>
      <c r="C206" s="69">
        <v>67344</v>
      </c>
      <c r="D206" s="69" t="s">
        <v>839</v>
      </c>
      <c r="E206" s="69">
        <v>67344</v>
      </c>
      <c r="F206" s="69">
        <v>67344</v>
      </c>
      <c r="G206" s="69" t="s">
        <v>839</v>
      </c>
      <c r="H206" s="69" t="s">
        <v>839</v>
      </c>
      <c r="I206" s="69" t="s">
        <v>839</v>
      </c>
      <c r="J206" s="69" t="s">
        <v>839</v>
      </c>
      <c r="K206" s="69" t="s">
        <v>839</v>
      </c>
      <c r="L206" s="69" t="s">
        <v>839</v>
      </c>
      <c r="M206" s="69" t="s">
        <v>839</v>
      </c>
      <c r="N206" s="69" t="s">
        <v>839</v>
      </c>
      <c r="O206" s="69">
        <v>263154</v>
      </c>
      <c r="P206" s="69" t="s">
        <v>839</v>
      </c>
      <c r="Q206" s="69" t="s">
        <v>839</v>
      </c>
      <c r="R206" s="71" t="s">
        <v>96</v>
      </c>
      <c r="S206" s="68"/>
      <c r="T206" s="68"/>
      <c r="U206" s="68"/>
      <c r="V206" s="68"/>
      <c r="W206" s="68"/>
      <c r="X206" s="68"/>
      <c r="Y206" s="68"/>
    </row>
    <row r="207" spans="1:25" s="69" customFormat="1" ht="10.5" customHeight="1" x14ac:dyDescent="0.15">
      <c r="A207" s="756" t="s">
        <v>686</v>
      </c>
      <c r="B207" s="69" t="s">
        <v>839</v>
      </c>
      <c r="C207" s="69">
        <v>381507</v>
      </c>
      <c r="D207" s="69" t="s">
        <v>839</v>
      </c>
      <c r="E207" s="69">
        <v>381507</v>
      </c>
      <c r="F207" s="69">
        <v>63129</v>
      </c>
      <c r="G207" s="69" t="s">
        <v>839</v>
      </c>
      <c r="H207" s="69" t="s">
        <v>839</v>
      </c>
      <c r="I207" s="69">
        <v>127069</v>
      </c>
      <c r="J207" s="69" t="s">
        <v>839</v>
      </c>
      <c r="K207" s="69" t="s">
        <v>839</v>
      </c>
      <c r="L207" s="69" t="s">
        <v>839</v>
      </c>
      <c r="M207" s="69">
        <v>191309</v>
      </c>
      <c r="N207" s="69" t="s">
        <v>839</v>
      </c>
      <c r="O207" s="69">
        <v>106894</v>
      </c>
      <c r="P207" s="69" t="s">
        <v>839</v>
      </c>
      <c r="Q207" s="69" t="s">
        <v>839</v>
      </c>
      <c r="R207" s="71" t="s">
        <v>80</v>
      </c>
      <c r="S207" s="68"/>
      <c r="T207" s="68"/>
      <c r="U207" s="68"/>
      <c r="V207" s="68"/>
      <c r="W207" s="68"/>
      <c r="X207" s="68"/>
      <c r="Y207" s="68"/>
    </row>
    <row r="208" spans="1:25" s="69" customFormat="1" ht="10.5" customHeight="1" x14ac:dyDescent="0.15">
      <c r="A208" s="756" t="s">
        <v>687</v>
      </c>
      <c r="B208" s="69" t="s">
        <v>839</v>
      </c>
      <c r="C208" s="69" t="s">
        <v>839</v>
      </c>
      <c r="D208" s="69" t="s">
        <v>839</v>
      </c>
      <c r="E208" s="69" t="s">
        <v>839</v>
      </c>
      <c r="F208" s="69" t="s">
        <v>839</v>
      </c>
      <c r="G208" s="69" t="s">
        <v>839</v>
      </c>
      <c r="H208" s="69" t="s">
        <v>839</v>
      </c>
      <c r="I208" s="69" t="s">
        <v>839</v>
      </c>
      <c r="J208" s="69" t="s">
        <v>839</v>
      </c>
      <c r="K208" s="69" t="s">
        <v>839</v>
      </c>
      <c r="L208" s="69" t="s">
        <v>839</v>
      </c>
      <c r="M208" s="69" t="s">
        <v>839</v>
      </c>
      <c r="N208" s="69" t="s">
        <v>839</v>
      </c>
      <c r="O208" s="69">
        <v>326941</v>
      </c>
      <c r="P208" s="69" t="s">
        <v>839</v>
      </c>
      <c r="Q208" s="69" t="s">
        <v>839</v>
      </c>
      <c r="R208" s="71" t="s">
        <v>81</v>
      </c>
      <c r="S208" s="68"/>
      <c r="T208" s="68"/>
      <c r="U208" s="68"/>
      <c r="V208" s="68"/>
      <c r="W208" s="68"/>
      <c r="X208" s="68"/>
      <c r="Y208" s="68"/>
    </row>
    <row r="209" spans="1:25" s="69" customFormat="1" ht="10.5" customHeight="1" x14ac:dyDescent="0.15">
      <c r="A209" s="756" t="s">
        <v>688</v>
      </c>
      <c r="B209" s="69" t="s">
        <v>839</v>
      </c>
      <c r="C209" s="69">
        <v>585536</v>
      </c>
      <c r="D209" s="69" t="s">
        <v>839</v>
      </c>
      <c r="E209" s="69">
        <v>585536</v>
      </c>
      <c r="F209" s="69">
        <v>261946</v>
      </c>
      <c r="G209" s="69" t="s">
        <v>839</v>
      </c>
      <c r="H209" s="69" t="s">
        <v>839</v>
      </c>
      <c r="I209" s="69">
        <v>140072</v>
      </c>
      <c r="J209" s="69" t="s">
        <v>839</v>
      </c>
      <c r="K209" s="69" t="s">
        <v>839</v>
      </c>
      <c r="L209" s="69" t="s">
        <v>839</v>
      </c>
      <c r="M209" s="69">
        <v>183518</v>
      </c>
      <c r="N209" s="69" t="s">
        <v>839</v>
      </c>
      <c r="O209" s="69">
        <v>203516</v>
      </c>
      <c r="P209" s="69" t="s">
        <v>839</v>
      </c>
      <c r="Q209" s="69" t="s">
        <v>839</v>
      </c>
      <c r="R209" s="71" t="s">
        <v>82</v>
      </c>
      <c r="S209" s="68"/>
      <c r="T209" s="68"/>
      <c r="U209" s="68"/>
      <c r="V209" s="68"/>
      <c r="W209" s="68"/>
      <c r="X209" s="68"/>
      <c r="Y209" s="68"/>
    </row>
    <row r="210" spans="1:25" s="69" customFormat="1" ht="10.5" customHeight="1" x14ac:dyDescent="0.15">
      <c r="A210" s="756" t="s">
        <v>849</v>
      </c>
      <c r="B210" s="69" t="s">
        <v>839</v>
      </c>
      <c r="C210" s="69">
        <v>350631</v>
      </c>
      <c r="D210" s="69" t="s">
        <v>839</v>
      </c>
      <c r="E210" s="69">
        <v>350631</v>
      </c>
      <c r="F210" s="69">
        <v>72501</v>
      </c>
      <c r="G210" s="69" t="s">
        <v>839</v>
      </c>
      <c r="H210" s="69" t="s">
        <v>839</v>
      </c>
      <c r="I210" s="69">
        <v>278130</v>
      </c>
      <c r="J210" s="69" t="s">
        <v>839</v>
      </c>
      <c r="K210" s="69" t="s">
        <v>839</v>
      </c>
      <c r="L210" s="69" t="s">
        <v>839</v>
      </c>
      <c r="M210" s="69" t="s">
        <v>839</v>
      </c>
      <c r="N210" s="69" t="s">
        <v>839</v>
      </c>
      <c r="O210" s="69">
        <v>210346</v>
      </c>
      <c r="P210" s="69" t="s">
        <v>839</v>
      </c>
      <c r="Q210" s="69" t="s">
        <v>839</v>
      </c>
      <c r="R210" s="71" t="s">
        <v>850</v>
      </c>
      <c r="S210" s="68"/>
      <c r="T210" s="68"/>
      <c r="U210" s="68"/>
      <c r="V210" s="68"/>
      <c r="W210" s="68"/>
      <c r="X210" s="68"/>
      <c r="Y210" s="68"/>
    </row>
    <row r="211" spans="1:25" s="69" customFormat="1" ht="10.5" customHeight="1" x14ac:dyDescent="0.15">
      <c r="A211" s="756" t="s">
        <v>690</v>
      </c>
      <c r="B211" s="69" t="s">
        <v>839</v>
      </c>
      <c r="C211" s="69">
        <v>128460</v>
      </c>
      <c r="D211" s="69" t="s">
        <v>839</v>
      </c>
      <c r="E211" s="69">
        <v>128460</v>
      </c>
      <c r="F211" s="69">
        <v>128460</v>
      </c>
      <c r="G211" s="69" t="s">
        <v>839</v>
      </c>
      <c r="H211" s="69" t="s">
        <v>839</v>
      </c>
      <c r="I211" s="69" t="s">
        <v>839</v>
      </c>
      <c r="J211" s="69" t="s">
        <v>839</v>
      </c>
      <c r="K211" s="69" t="s">
        <v>839</v>
      </c>
      <c r="L211" s="69" t="s">
        <v>839</v>
      </c>
      <c r="M211" s="69" t="s">
        <v>839</v>
      </c>
      <c r="N211" s="69" t="s">
        <v>839</v>
      </c>
      <c r="O211" s="69" t="s">
        <v>839</v>
      </c>
      <c r="P211" s="69" t="s">
        <v>839</v>
      </c>
      <c r="Q211" s="69" t="s">
        <v>839</v>
      </c>
      <c r="R211" s="71" t="s">
        <v>77</v>
      </c>
      <c r="S211" s="68"/>
      <c r="T211" s="68"/>
      <c r="U211" s="68"/>
      <c r="V211" s="68"/>
      <c r="W211" s="68"/>
      <c r="X211" s="68"/>
      <c r="Y211" s="68"/>
    </row>
    <row r="212" spans="1:25" s="69" customFormat="1" ht="10.5" customHeight="1" x14ac:dyDescent="0.15">
      <c r="A212" s="757" t="s">
        <v>691</v>
      </c>
      <c r="B212" s="73" t="s">
        <v>839</v>
      </c>
      <c r="C212" s="74">
        <v>214881</v>
      </c>
      <c r="D212" s="74" t="s">
        <v>839</v>
      </c>
      <c r="E212" s="74">
        <v>214881</v>
      </c>
      <c r="F212" s="74">
        <v>51804</v>
      </c>
      <c r="G212" s="74" t="s">
        <v>839</v>
      </c>
      <c r="H212" s="74" t="s">
        <v>839</v>
      </c>
      <c r="I212" s="74">
        <v>163077</v>
      </c>
      <c r="J212" s="74" t="s">
        <v>839</v>
      </c>
      <c r="K212" s="74" t="s">
        <v>839</v>
      </c>
      <c r="L212" s="74" t="s">
        <v>839</v>
      </c>
      <c r="M212" s="74" t="s">
        <v>839</v>
      </c>
      <c r="N212" s="74" t="s">
        <v>839</v>
      </c>
      <c r="O212" s="74">
        <v>97725</v>
      </c>
      <c r="P212" s="74" t="s">
        <v>839</v>
      </c>
      <c r="Q212" s="74" t="s">
        <v>839</v>
      </c>
      <c r="R212" s="75" t="s">
        <v>78</v>
      </c>
      <c r="S212" s="68"/>
      <c r="T212" s="68"/>
      <c r="U212" s="68"/>
      <c r="V212" s="68"/>
      <c r="W212" s="68"/>
      <c r="X212" s="68"/>
      <c r="Y212" s="68"/>
    </row>
    <row r="213" spans="1:25" ht="23.25" customHeight="1" x14ac:dyDescent="0.25">
      <c r="I213" s="76" t="s">
        <v>97</v>
      </c>
      <c r="Q213" s="78" t="s">
        <v>76</v>
      </c>
    </row>
    <row r="214" spans="1:25" s="20" customFormat="1" ht="11.25" customHeight="1" x14ac:dyDescent="0.15">
      <c r="A214" s="61"/>
      <c r="B214" s="77" t="s">
        <v>696</v>
      </c>
      <c r="C214" s="63"/>
      <c r="D214" s="63"/>
      <c r="E214" s="63"/>
      <c r="F214" s="63"/>
      <c r="G214" s="63"/>
      <c r="H214" s="63"/>
      <c r="I214" s="61"/>
      <c r="J214" s="34"/>
      <c r="K214" s="63"/>
      <c r="L214" s="63"/>
      <c r="M214" s="63"/>
      <c r="N214" s="63"/>
      <c r="O214" s="63"/>
      <c r="P214" s="63"/>
      <c r="Q214" s="63"/>
      <c r="R214" s="999" t="s">
        <v>83</v>
      </c>
      <c r="S214" s="18"/>
      <c r="T214" s="18"/>
      <c r="U214" s="18"/>
      <c r="V214" s="18"/>
      <c r="W214" s="18"/>
      <c r="X214" s="18"/>
      <c r="Y214" s="18"/>
    </row>
    <row r="215" spans="1:25" s="64" customFormat="1" ht="28.5" customHeight="1" x14ac:dyDescent="0.15">
      <c r="A215" s="32" t="s">
        <v>185</v>
      </c>
      <c r="B215" s="788" t="s">
        <v>879</v>
      </c>
      <c r="C215" s="13" t="s">
        <v>880</v>
      </c>
      <c r="D215" s="720" t="s">
        <v>169</v>
      </c>
      <c r="E215" s="19"/>
      <c r="F215" s="79"/>
      <c r="G215" s="720" t="s">
        <v>697</v>
      </c>
      <c r="H215" s="19"/>
      <c r="I215" s="79"/>
      <c r="J215" s="15" t="s">
        <v>170</v>
      </c>
      <c r="K215" s="13" t="s">
        <v>171</v>
      </c>
      <c r="L215" s="720" t="s">
        <v>520</v>
      </c>
      <c r="M215" s="19"/>
      <c r="N215" s="79"/>
      <c r="O215" s="13" t="s">
        <v>626</v>
      </c>
      <c r="P215" s="13" t="s">
        <v>521</v>
      </c>
      <c r="Q215" s="720" t="s">
        <v>627</v>
      </c>
      <c r="R215" s="1000"/>
      <c r="S215" s="14"/>
      <c r="T215" s="14"/>
      <c r="U215" s="14"/>
      <c r="V215" s="14"/>
      <c r="W215" s="14"/>
      <c r="X215" s="14"/>
      <c r="Y215" s="14"/>
    </row>
    <row r="216" spans="1:25" s="64" customFormat="1" ht="28.5" customHeight="1" x14ac:dyDescent="0.15">
      <c r="A216" s="32"/>
      <c r="B216" s="13" t="s">
        <v>172</v>
      </c>
      <c r="C216" s="13" t="s">
        <v>173</v>
      </c>
      <c r="D216" s="15" t="s">
        <v>24</v>
      </c>
      <c r="E216" s="13" t="s">
        <v>174</v>
      </c>
      <c r="F216" s="13" t="s">
        <v>175</v>
      </c>
      <c r="G216" s="15" t="s">
        <v>693</v>
      </c>
      <c r="H216" s="13" t="s">
        <v>698</v>
      </c>
      <c r="I216" s="13" t="s">
        <v>699</v>
      </c>
      <c r="J216" s="15" t="s">
        <v>25</v>
      </c>
      <c r="K216" s="13" t="s">
        <v>176</v>
      </c>
      <c r="L216" s="15" t="s">
        <v>115</v>
      </c>
      <c r="M216" s="13" t="s">
        <v>522</v>
      </c>
      <c r="N216" s="13" t="s">
        <v>523</v>
      </c>
      <c r="O216" s="13" t="s">
        <v>54</v>
      </c>
      <c r="P216" s="13" t="s">
        <v>524</v>
      </c>
      <c r="Q216" s="720" t="s">
        <v>525</v>
      </c>
      <c r="R216" s="1000"/>
      <c r="S216" s="14"/>
      <c r="T216" s="14"/>
      <c r="U216" s="14"/>
      <c r="V216" s="14"/>
      <c r="W216" s="14"/>
      <c r="X216" s="14"/>
      <c r="Y216" s="14"/>
    </row>
    <row r="217" spans="1:25" s="64" customFormat="1" ht="12" customHeight="1" x14ac:dyDescent="0.15">
      <c r="A217" s="33"/>
      <c r="B217" s="17" t="str">
        <f>PROPER("MAYA")</f>
        <v>Maya</v>
      </c>
      <c r="C217" s="17" t="str">
        <f>PROPER("CASTLA-B")</f>
        <v>Castla-B</v>
      </c>
      <c r="D217" s="17"/>
      <c r="E217" s="17" t="str">
        <f>PROPER("ORIENTE")</f>
        <v>Oriente</v>
      </c>
      <c r="F217" s="17" t="str">
        <f>PROPER("NAPO")</f>
        <v>Napo</v>
      </c>
      <c r="G217" s="17"/>
      <c r="H217" s="17" t="str">
        <f>PROPER("BUZIOS")</f>
        <v>Buzios</v>
      </c>
      <c r="I217" s="17" t="str">
        <f>PROPER("TUPI")</f>
        <v>Tupi</v>
      </c>
      <c r="J217" s="17"/>
      <c r="K217" s="17" t="str">
        <f>PROPER("SAHARA-B")</f>
        <v>Sahara-B</v>
      </c>
      <c r="L217" s="17"/>
      <c r="M217" s="17" t="str">
        <f>PROPER("AMNA")</f>
        <v>Amna</v>
      </c>
      <c r="N217" s="17" t="str">
        <f>PROPER("BU-ATTFL")</f>
        <v>Bu-Attfl</v>
      </c>
      <c r="O217" s="17" t="str">
        <f>PROPER("NILE")</f>
        <v>Nile</v>
      </c>
      <c r="P217" s="17" t="str">
        <f>PROPER("EBOME")</f>
        <v>Ebome</v>
      </c>
      <c r="Q217" s="16" t="str">
        <f>PROPER("OGUENDJO")</f>
        <v>Oguendjo</v>
      </c>
      <c r="R217" s="1001"/>
      <c r="S217" s="14"/>
      <c r="T217" s="14"/>
      <c r="U217" s="14"/>
      <c r="V217" s="14"/>
      <c r="W217" s="14"/>
      <c r="X217" s="14"/>
      <c r="Y217" s="14"/>
    </row>
    <row r="218" spans="1:25" s="69" customFormat="1" ht="10.5" customHeight="1" x14ac:dyDescent="0.15">
      <c r="A218" s="755" t="s">
        <v>838</v>
      </c>
      <c r="B218" s="65">
        <v>1315703</v>
      </c>
      <c r="C218" s="66">
        <v>185818</v>
      </c>
      <c r="D218" s="66">
        <v>1697774</v>
      </c>
      <c r="E218" s="66" t="s">
        <v>839</v>
      </c>
      <c r="F218" s="66">
        <v>1697774</v>
      </c>
      <c r="G218" s="66" t="s">
        <v>839</v>
      </c>
      <c r="H218" s="66" t="s">
        <v>839</v>
      </c>
      <c r="I218" s="66" t="s">
        <v>839</v>
      </c>
      <c r="J218" s="66">
        <v>619926</v>
      </c>
      <c r="K218" s="66">
        <v>202159</v>
      </c>
      <c r="L218" s="66" t="s">
        <v>839</v>
      </c>
      <c r="M218" s="66" t="s">
        <v>839</v>
      </c>
      <c r="N218" s="66" t="s">
        <v>839</v>
      </c>
      <c r="O218" s="66" t="s">
        <v>839</v>
      </c>
      <c r="P218" s="66" t="s">
        <v>839</v>
      </c>
      <c r="Q218" s="66" t="s">
        <v>839</v>
      </c>
      <c r="R218" s="67" t="s">
        <v>457</v>
      </c>
      <c r="S218" s="68"/>
      <c r="T218" s="68"/>
      <c r="U218" s="68"/>
      <c r="V218" s="68"/>
      <c r="W218" s="68"/>
      <c r="X218" s="68"/>
      <c r="Y218" s="68"/>
    </row>
    <row r="219" spans="1:25" s="69" customFormat="1" ht="10.5" customHeight="1" x14ac:dyDescent="0.15">
      <c r="A219" s="756" t="s">
        <v>669</v>
      </c>
      <c r="B219" s="69">
        <v>319147</v>
      </c>
      <c r="C219" s="69">
        <v>158877</v>
      </c>
      <c r="D219" s="69">
        <v>2200792</v>
      </c>
      <c r="E219" s="69">
        <v>119843</v>
      </c>
      <c r="F219" s="69">
        <v>2080949</v>
      </c>
      <c r="G219" s="69" t="s">
        <v>839</v>
      </c>
      <c r="H219" s="69" t="s">
        <v>839</v>
      </c>
      <c r="I219" s="69" t="s">
        <v>839</v>
      </c>
      <c r="J219" s="69">
        <v>742099</v>
      </c>
      <c r="K219" s="69">
        <v>498520</v>
      </c>
      <c r="L219" s="69" t="s">
        <v>839</v>
      </c>
      <c r="M219" s="69" t="s">
        <v>839</v>
      </c>
      <c r="N219" s="69" t="s">
        <v>839</v>
      </c>
      <c r="O219" s="69" t="s">
        <v>839</v>
      </c>
      <c r="P219" s="69">
        <v>58730</v>
      </c>
      <c r="Q219" s="69">
        <v>41986</v>
      </c>
      <c r="R219" s="71" t="s">
        <v>512</v>
      </c>
      <c r="S219" s="68"/>
      <c r="T219" s="68"/>
      <c r="U219" s="68"/>
      <c r="V219" s="68"/>
      <c r="W219" s="68"/>
      <c r="X219" s="68"/>
      <c r="Y219" s="68"/>
    </row>
    <row r="220" spans="1:25" s="69" customFormat="1" ht="10.5" customHeight="1" x14ac:dyDescent="0.15">
      <c r="A220" s="756" t="s">
        <v>670</v>
      </c>
      <c r="B220" s="69">
        <v>81102</v>
      </c>
      <c r="C220" s="69" t="s">
        <v>839</v>
      </c>
      <c r="D220" s="69">
        <v>2449454</v>
      </c>
      <c r="E220" s="69">
        <v>58385</v>
      </c>
      <c r="F220" s="69">
        <v>2391069</v>
      </c>
      <c r="G220" s="69" t="s">
        <v>839</v>
      </c>
      <c r="H220" s="69" t="s">
        <v>839</v>
      </c>
      <c r="I220" s="69" t="s">
        <v>839</v>
      </c>
      <c r="J220" s="69">
        <v>421459</v>
      </c>
      <c r="K220" s="69">
        <v>369843</v>
      </c>
      <c r="L220" s="69">
        <v>51616</v>
      </c>
      <c r="M220" s="69">
        <v>26414</v>
      </c>
      <c r="N220" s="69">
        <v>25202</v>
      </c>
      <c r="O220" s="69" t="s">
        <v>839</v>
      </c>
      <c r="P220" s="69" t="s">
        <v>839</v>
      </c>
      <c r="Q220" s="69" t="s">
        <v>839</v>
      </c>
      <c r="R220" s="71" t="s">
        <v>620</v>
      </c>
      <c r="S220" s="68"/>
      <c r="T220" s="68"/>
      <c r="U220" s="68"/>
      <c r="V220" s="68"/>
      <c r="W220" s="68"/>
      <c r="X220" s="68"/>
      <c r="Y220" s="68"/>
    </row>
    <row r="221" spans="1:25" s="69" customFormat="1" ht="10.5" customHeight="1" x14ac:dyDescent="0.15">
      <c r="A221" s="756" t="s">
        <v>671</v>
      </c>
      <c r="B221" s="69" t="s">
        <v>839</v>
      </c>
      <c r="C221" s="69" t="s">
        <v>839</v>
      </c>
      <c r="D221" s="69">
        <v>2329652</v>
      </c>
      <c r="E221" s="69">
        <v>189111</v>
      </c>
      <c r="F221" s="69">
        <v>2140541</v>
      </c>
      <c r="G221" s="69">
        <v>318</v>
      </c>
      <c r="H221" s="69">
        <v>157</v>
      </c>
      <c r="I221" s="69">
        <v>161</v>
      </c>
      <c r="J221" s="69">
        <v>752667</v>
      </c>
      <c r="K221" s="69">
        <v>498527</v>
      </c>
      <c r="L221" s="69">
        <v>67609</v>
      </c>
      <c r="M221" s="69" t="s">
        <v>839</v>
      </c>
      <c r="N221" s="69">
        <v>67609</v>
      </c>
      <c r="O221" s="69">
        <v>151524</v>
      </c>
      <c r="P221" s="69" t="s">
        <v>839</v>
      </c>
      <c r="Q221" s="69" t="s">
        <v>839</v>
      </c>
      <c r="R221" s="71" t="s">
        <v>672</v>
      </c>
      <c r="S221" s="68"/>
      <c r="T221" s="68"/>
      <c r="U221" s="68"/>
      <c r="V221" s="68"/>
      <c r="W221" s="68"/>
      <c r="X221" s="68"/>
      <c r="Y221" s="68"/>
    </row>
    <row r="222" spans="1:25" s="69" customFormat="1" ht="10.5" customHeight="1" x14ac:dyDescent="0.15">
      <c r="A222" s="756" t="s">
        <v>840</v>
      </c>
      <c r="B222" s="69" t="s">
        <v>839</v>
      </c>
      <c r="C222" s="69" t="s">
        <v>839</v>
      </c>
      <c r="D222" s="69">
        <v>2966029</v>
      </c>
      <c r="E222" s="69">
        <v>156602</v>
      </c>
      <c r="F222" s="69">
        <v>2809427</v>
      </c>
      <c r="G222" s="69" t="s">
        <v>839</v>
      </c>
      <c r="H222" s="69" t="s">
        <v>839</v>
      </c>
      <c r="I222" s="69" t="s">
        <v>839</v>
      </c>
      <c r="J222" s="69">
        <v>342064</v>
      </c>
      <c r="K222" s="69">
        <v>86900</v>
      </c>
      <c r="L222" s="69" t="s">
        <v>839</v>
      </c>
      <c r="M222" s="69" t="s">
        <v>839</v>
      </c>
      <c r="N222" s="69" t="s">
        <v>839</v>
      </c>
      <c r="O222" s="69">
        <v>97200</v>
      </c>
      <c r="P222" s="69" t="s">
        <v>839</v>
      </c>
      <c r="Q222" s="69" t="s">
        <v>839</v>
      </c>
      <c r="R222" s="71" t="s">
        <v>841</v>
      </c>
      <c r="S222" s="68"/>
      <c r="T222" s="68"/>
      <c r="U222" s="68"/>
      <c r="V222" s="68"/>
      <c r="W222" s="68"/>
      <c r="X222" s="68"/>
      <c r="Y222" s="68"/>
    </row>
    <row r="223" spans="1:25" s="69" customFormat="1" ht="10.5" customHeight="1" x14ac:dyDescent="0.15">
      <c r="A223" s="787"/>
      <c r="R223" s="71"/>
      <c r="S223" s="68"/>
      <c r="T223" s="68"/>
      <c r="U223" s="68"/>
      <c r="V223" s="68"/>
      <c r="W223" s="68"/>
      <c r="X223" s="68"/>
      <c r="Y223" s="68"/>
    </row>
    <row r="224" spans="1:25" s="69" customFormat="1" ht="10.5" customHeight="1" x14ac:dyDescent="0.15">
      <c r="A224" s="756" t="s">
        <v>842</v>
      </c>
      <c r="B224" s="69" t="s">
        <v>839</v>
      </c>
      <c r="C224" s="69" t="s">
        <v>839</v>
      </c>
      <c r="D224" s="69">
        <v>2393208</v>
      </c>
      <c r="E224" s="69">
        <v>268558</v>
      </c>
      <c r="F224" s="69">
        <v>2124650</v>
      </c>
      <c r="G224" s="69">
        <v>318</v>
      </c>
      <c r="H224" s="69">
        <v>157</v>
      </c>
      <c r="I224" s="69">
        <v>161</v>
      </c>
      <c r="J224" s="69">
        <v>848745</v>
      </c>
      <c r="K224" s="69">
        <v>497405</v>
      </c>
      <c r="L224" s="69">
        <v>67609</v>
      </c>
      <c r="M224" s="69" t="s">
        <v>839</v>
      </c>
      <c r="N224" s="69">
        <v>67609</v>
      </c>
      <c r="O224" s="69">
        <v>248724</v>
      </c>
      <c r="P224" s="69" t="s">
        <v>839</v>
      </c>
      <c r="Q224" s="69" t="s">
        <v>839</v>
      </c>
      <c r="R224" s="71" t="s">
        <v>673</v>
      </c>
      <c r="S224" s="68"/>
      <c r="T224" s="68"/>
      <c r="U224" s="68"/>
      <c r="V224" s="68"/>
      <c r="W224" s="68"/>
      <c r="X224" s="68"/>
      <c r="Y224" s="68"/>
    </row>
    <row r="225" spans="1:25" s="69" customFormat="1" ht="10.5" customHeight="1" x14ac:dyDescent="0.15">
      <c r="A225" s="756" t="s">
        <v>843</v>
      </c>
      <c r="B225" s="69" t="s">
        <v>839</v>
      </c>
      <c r="C225" s="69" t="s">
        <v>839</v>
      </c>
      <c r="D225" s="69">
        <v>2601623</v>
      </c>
      <c r="E225" s="69" t="s">
        <v>839</v>
      </c>
      <c r="F225" s="69">
        <v>2601623</v>
      </c>
      <c r="G225" s="69" t="s">
        <v>839</v>
      </c>
      <c r="H225" s="69" t="s">
        <v>839</v>
      </c>
      <c r="I225" s="69" t="s">
        <v>839</v>
      </c>
      <c r="J225" s="69">
        <v>173591</v>
      </c>
      <c r="K225" s="69">
        <v>15627</v>
      </c>
      <c r="L225" s="69" t="s">
        <v>839</v>
      </c>
      <c r="M225" s="69" t="s">
        <v>839</v>
      </c>
      <c r="N225" s="69" t="s">
        <v>839</v>
      </c>
      <c r="O225" s="69" t="s">
        <v>839</v>
      </c>
      <c r="P225" s="69" t="s">
        <v>839</v>
      </c>
      <c r="Q225" s="69" t="s">
        <v>839</v>
      </c>
      <c r="R225" s="71" t="s">
        <v>844</v>
      </c>
      <c r="S225" s="68"/>
      <c r="T225" s="68"/>
      <c r="U225" s="68"/>
      <c r="V225" s="68"/>
      <c r="W225" s="68"/>
      <c r="X225" s="68"/>
      <c r="Y225" s="68"/>
    </row>
    <row r="226" spans="1:25" s="69" customFormat="1" ht="10.5" customHeight="1" x14ac:dyDescent="0.15">
      <c r="A226" s="787"/>
      <c r="R226" s="71"/>
      <c r="S226" s="68"/>
      <c r="T226" s="68"/>
      <c r="U226" s="68"/>
      <c r="V226" s="68"/>
      <c r="W226" s="68"/>
      <c r="X226" s="68"/>
      <c r="Y226" s="68"/>
    </row>
    <row r="227" spans="1:25" s="69" customFormat="1" ht="10.5" customHeight="1" x14ac:dyDescent="0.15">
      <c r="A227" s="756" t="s">
        <v>845</v>
      </c>
      <c r="B227" s="69" t="s">
        <v>839</v>
      </c>
      <c r="C227" s="69" t="s">
        <v>839</v>
      </c>
      <c r="D227" s="69">
        <v>672477</v>
      </c>
      <c r="E227" s="69">
        <v>156602</v>
      </c>
      <c r="F227" s="69">
        <v>515875</v>
      </c>
      <c r="G227" s="69" t="s">
        <v>839</v>
      </c>
      <c r="H227" s="69" t="s">
        <v>839</v>
      </c>
      <c r="I227" s="69" t="s">
        <v>839</v>
      </c>
      <c r="J227" s="69">
        <v>168473</v>
      </c>
      <c r="K227" s="69">
        <v>71273</v>
      </c>
      <c r="L227" s="69" t="s">
        <v>839</v>
      </c>
      <c r="M227" s="69" t="s">
        <v>839</v>
      </c>
      <c r="N227" s="69" t="s">
        <v>839</v>
      </c>
      <c r="O227" s="69">
        <v>97200</v>
      </c>
      <c r="P227" s="69" t="s">
        <v>839</v>
      </c>
      <c r="Q227" s="69" t="s">
        <v>839</v>
      </c>
      <c r="R227" s="71" t="s">
        <v>677</v>
      </c>
      <c r="S227" s="68"/>
      <c r="T227" s="68"/>
      <c r="U227" s="68"/>
      <c r="V227" s="68"/>
      <c r="W227" s="68"/>
      <c r="X227" s="68"/>
      <c r="Y227" s="68"/>
    </row>
    <row r="228" spans="1:25" s="69" customFormat="1" ht="10.5" customHeight="1" x14ac:dyDescent="0.15">
      <c r="A228" s="756" t="s">
        <v>674</v>
      </c>
      <c r="B228" s="69" t="s">
        <v>839</v>
      </c>
      <c r="C228" s="69" t="s">
        <v>839</v>
      </c>
      <c r="D228" s="69">
        <v>804257</v>
      </c>
      <c r="E228" s="69" t="s">
        <v>839</v>
      </c>
      <c r="F228" s="69">
        <v>804257</v>
      </c>
      <c r="G228" s="69" t="s">
        <v>839</v>
      </c>
      <c r="H228" s="69" t="s">
        <v>839</v>
      </c>
      <c r="I228" s="69" t="s">
        <v>839</v>
      </c>
      <c r="J228" s="69">
        <v>15627</v>
      </c>
      <c r="K228" s="69">
        <v>15627</v>
      </c>
      <c r="L228" s="69" t="s">
        <v>839</v>
      </c>
      <c r="M228" s="69" t="s">
        <v>839</v>
      </c>
      <c r="N228" s="69" t="s">
        <v>839</v>
      </c>
      <c r="O228" s="69" t="s">
        <v>839</v>
      </c>
      <c r="P228" s="69" t="s">
        <v>839</v>
      </c>
      <c r="Q228" s="69" t="s">
        <v>839</v>
      </c>
      <c r="R228" s="71" t="s">
        <v>89</v>
      </c>
      <c r="S228" s="68"/>
      <c r="T228" s="68"/>
      <c r="U228" s="68"/>
      <c r="V228" s="68"/>
      <c r="W228" s="68"/>
      <c r="X228" s="68"/>
      <c r="Y228" s="68"/>
    </row>
    <row r="229" spans="1:25" s="69" customFormat="1" ht="10.5" customHeight="1" x14ac:dyDescent="0.15">
      <c r="A229" s="756" t="s">
        <v>675</v>
      </c>
      <c r="B229" s="69" t="s">
        <v>839</v>
      </c>
      <c r="C229" s="69" t="s">
        <v>839</v>
      </c>
      <c r="D229" s="69">
        <v>851944</v>
      </c>
      <c r="E229" s="69" t="s">
        <v>839</v>
      </c>
      <c r="F229" s="69">
        <v>851944</v>
      </c>
      <c r="G229" s="69" t="s">
        <v>839</v>
      </c>
      <c r="H229" s="69" t="s">
        <v>839</v>
      </c>
      <c r="I229" s="69" t="s">
        <v>839</v>
      </c>
      <c r="J229" s="69">
        <v>75568</v>
      </c>
      <c r="K229" s="69" t="s">
        <v>839</v>
      </c>
      <c r="L229" s="69" t="s">
        <v>839</v>
      </c>
      <c r="M229" s="69" t="s">
        <v>839</v>
      </c>
      <c r="N229" s="69" t="s">
        <v>839</v>
      </c>
      <c r="O229" s="69" t="s">
        <v>839</v>
      </c>
      <c r="P229" s="69" t="s">
        <v>839</v>
      </c>
      <c r="Q229" s="69" t="s">
        <v>839</v>
      </c>
      <c r="R229" s="71" t="s">
        <v>90</v>
      </c>
      <c r="S229" s="68"/>
      <c r="T229" s="68"/>
      <c r="U229" s="68"/>
      <c r="V229" s="68"/>
      <c r="W229" s="68"/>
      <c r="X229" s="68"/>
      <c r="Y229" s="68"/>
    </row>
    <row r="230" spans="1:25" s="69" customFormat="1" ht="10.5" customHeight="1" x14ac:dyDescent="0.15">
      <c r="A230" s="756" t="s">
        <v>676</v>
      </c>
      <c r="B230" s="69" t="s">
        <v>839</v>
      </c>
      <c r="C230" s="69" t="s">
        <v>839</v>
      </c>
      <c r="D230" s="69">
        <v>637351</v>
      </c>
      <c r="E230" s="69" t="s">
        <v>839</v>
      </c>
      <c r="F230" s="69">
        <v>637351</v>
      </c>
      <c r="G230" s="69" t="s">
        <v>839</v>
      </c>
      <c r="H230" s="69" t="s">
        <v>839</v>
      </c>
      <c r="I230" s="69" t="s">
        <v>839</v>
      </c>
      <c r="J230" s="69">
        <v>82396</v>
      </c>
      <c r="K230" s="69" t="s">
        <v>839</v>
      </c>
      <c r="L230" s="69" t="s">
        <v>839</v>
      </c>
      <c r="M230" s="69" t="s">
        <v>839</v>
      </c>
      <c r="N230" s="69" t="s">
        <v>839</v>
      </c>
      <c r="O230" s="69" t="s">
        <v>839</v>
      </c>
      <c r="P230" s="69" t="s">
        <v>839</v>
      </c>
      <c r="Q230" s="69" t="s">
        <v>839</v>
      </c>
      <c r="R230" s="71" t="s">
        <v>91</v>
      </c>
      <c r="S230" s="68"/>
      <c r="T230" s="68"/>
      <c r="U230" s="68"/>
      <c r="V230" s="68"/>
      <c r="W230" s="68"/>
      <c r="X230" s="68"/>
      <c r="Y230" s="68"/>
    </row>
    <row r="231" spans="1:25" s="69" customFormat="1" ht="10.5" customHeight="1" x14ac:dyDescent="0.15">
      <c r="A231" s="756" t="s">
        <v>846</v>
      </c>
      <c r="B231" s="69" t="s">
        <v>839</v>
      </c>
      <c r="C231" s="69" t="s">
        <v>839</v>
      </c>
      <c r="D231" s="69">
        <v>308071</v>
      </c>
      <c r="E231" s="69" t="s">
        <v>839</v>
      </c>
      <c r="F231" s="69">
        <v>308071</v>
      </c>
      <c r="G231" s="69" t="s">
        <v>839</v>
      </c>
      <c r="H231" s="69" t="s">
        <v>839</v>
      </c>
      <c r="I231" s="69" t="s">
        <v>839</v>
      </c>
      <c r="J231" s="69" t="s">
        <v>839</v>
      </c>
      <c r="K231" s="69" t="s">
        <v>839</v>
      </c>
      <c r="L231" s="69" t="s">
        <v>839</v>
      </c>
      <c r="M231" s="69" t="s">
        <v>839</v>
      </c>
      <c r="N231" s="69" t="s">
        <v>839</v>
      </c>
      <c r="O231" s="69" t="s">
        <v>839</v>
      </c>
      <c r="P231" s="69" t="s">
        <v>839</v>
      </c>
      <c r="Q231" s="69" t="s">
        <v>839</v>
      </c>
      <c r="R231" s="71" t="s">
        <v>847</v>
      </c>
      <c r="S231" s="68"/>
      <c r="T231" s="68"/>
      <c r="U231" s="68"/>
      <c r="V231" s="68"/>
      <c r="W231" s="68"/>
      <c r="X231" s="68"/>
      <c r="Y231" s="68"/>
    </row>
    <row r="232" spans="1:25" s="69" customFormat="1" ht="10.5" customHeight="1" x14ac:dyDescent="0.15">
      <c r="A232" s="787"/>
      <c r="R232" s="71"/>
      <c r="S232" s="68"/>
      <c r="T232" s="68"/>
      <c r="U232" s="68"/>
      <c r="V232" s="68"/>
      <c r="W232" s="68"/>
      <c r="X232" s="68"/>
      <c r="Y232" s="68"/>
    </row>
    <row r="233" spans="1:25" s="69" customFormat="1" ht="10.5" customHeight="1" x14ac:dyDescent="0.15">
      <c r="A233" s="756" t="s">
        <v>848</v>
      </c>
      <c r="B233" s="69" t="s">
        <v>839</v>
      </c>
      <c r="C233" s="69" t="s">
        <v>839</v>
      </c>
      <c r="D233" s="69">
        <v>232733</v>
      </c>
      <c r="E233" s="69">
        <v>52849</v>
      </c>
      <c r="F233" s="69">
        <v>179884</v>
      </c>
      <c r="G233" s="69" t="s">
        <v>839</v>
      </c>
      <c r="H233" s="69" t="s">
        <v>839</v>
      </c>
      <c r="I233" s="69" t="s">
        <v>839</v>
      </c>
      <c r="J233" s="69">
        <v>44046</v>
      </c>
      <c r="K233" s="69" t="s">
        <v>839</v>
      </c>
      <c r="L233" s="69" t="s">
        <v>839</v>
      </c>
      <c r="M233" s="69" t="s">
        <v>839</v>
      </c>
      <c r="N233" s="69" t="s">
        <v>839</v>
      </c>
      <c r="O233" s="69">
        <v>44046</v>
      </c>
      <c r="P233" s="69" t="s">
        <v>839</v>
      </c>
      <c r="Q233" s="69" t="s">
        <v>839</v>
      </c>
      <c r="R233" s="71" t="s">
        <v>689</v>
      </c>
      <c r="S233" s="68"/>
      <c r="T233" s="68"/>
      <c r="U233" s="68"/>
      <c r="V233" s="68"/>
      <c r="W233" s="68"/>
      <c r="X233" s="68"/>
      <c r="Y233" s="68"/>
    </row>
    <row r="234" spans="1:25" s="69" customFormat="1" ht="10.5" customHeight="1" x14ac:dyDescent="0.15">
      <c r="A234" s="756" t="s">
        <v>678</v>
      </c>
      <c r="B234" s="69" t="s">
        <v>839</v>
      </c>
      <c r="C234" s="69" t="s">
        <v>839</v>
      </c>
      <c r="D234" s="69">
        <v>219132</v>
      </c>
      <c r="E234" s="69">
        <v>44204</v>
      </c>
      <c r="F234" s="69">
        <v>174928</v>
      </c>
      <c r="G234" s="69" t="s">
        <v>839</v>
      </c>
      <c r="H234" s="69" t="s">
        <v>839</v>
      </c>
      <c r="I234" s="69" t="s">
        <v>839</v>
      </c>
      <c r="J234" s="69">
        <v>15839</v>
      </c>
      <c r="K234" s="69" t="s">
        <v>839</v>
      </c>
      <c r="L234" s="69" t="s">
        <v>839</v>
      </c>
      <c r="M234" s="69" t="s">
        <v>839</v>
      </c>
      <c r="N234" s="69" t="s">
        <v>839</v>
      </c>
      <c r="O234" s="69">
        <v>15839</v>
      </c>
      <c r="P234" s="69" t="s">
        <v>839</v>
      </c>
      <c r="Q234" s="69" t="s">
        <v>839</v>
      </c>
      <c r="R234" s="71" t="s">
        <v>77</v>
      </c>
      <c r="S234" s="68"/>
      <c r="T234" s="68"/>
      <c r="U234" s="68"/>
      <c r="V234" s="68"/>
      <c r="W234" s="68"/>
      <c r="X234" s="68"/>
      <c r="Y234" s="68"/>
    </row>
    <row r="235" spans="1:25" s="69" customFormat="1" ht="10.5" customHeight="1" x14ac:dyDescent="0.15">
      <c r="A235" s="756" t="s">
        <v>679</v>
      </c>
      <c r="B235" s="69" t="s">
        <v>839</v>
      </c>
      <c r="C235" s="69" t="s">
        <v>839</v>
      </c>
      <c r="D235" s="69">
        <v>220612</v>
      </c>
      <c r="E235" s="69">
        <v>59549</v>
      </c>
      <c r="F235" s="69">
        <v>161063</v>
      </c>
      <c r="G235" s="69" t="s">
        <v>839</v>
      </c>
      <c r="H235" s="69" t="s">
        <v>839</v>
      </c>
      <c r="I235" s="69" t="s">
        <v>839</v>
      </c>
      <c r="J235" s="69">
        <v>108588</v>
      </c>
      <c r="K235" s="69">
        <v>71273</v>
      </c>
      <c r="L235" s="69" t="s">
        <v>839</v>
      </c>
      <c r="M235" s="69" t="s">
        <v>839</v>
      </c>
      <c r="N235" s="69" t="s">
        <v>839</v>
      </c>
      <c r="O235" s="69">
        <v>37315</v>
      </c>
      <c r="P235" s="69" t="s">
        <v>839</v>
      </c>
      <c r="Q235" s="69" t="s">
        <v>839</v>
      </c>
      <c r="R235" s="71" t="s">
        <v>78</v>
      </c>
      <c r="S235" s="68"/>
      <c r="T235" s="68"/>
      <c r="U235" s="68"/>
      <c r="V235" s="68"/>
      <c r="W235" s="68"/>
      <c r="X235" s="68"/>
      <c r="Y235" s="68"/>
    </row>
    <row r="236" spans="1:25" s="69" customFormat="1" ht="10.5" customHeight="1" x14ac:dyDescent="0.15">
      <c r="A236" s="756" t="s">
        <v>680</v>
      </c>
      <c r="B236" s="69" t="s">
        <v>839</v>
      </c>
      <c r="C236" s="69" t="s">
        <v>839</v>
      </c>
      <c r="D236" s="69">
        <v>261257</v>
      </c>
      <c r="E236" s="69" t="s">
        <v>839</v>
      </c>
      <c r="F236" s="69">
        <v>261257</v>
      </c>
      <c r="G236" s="69" t="s">
        <v>839</v>
      </c>
      <c r="H236" s="69" t="s">
        <v>839</v>
      </c>
      <c r="I236" s="69" t="s">
        <v>839</v>
      </c>
      <c r="J236" s="69">
        <v>15627</v>
      </c>
      <c r="K236" s="69">
        <v>15627</v>
      </c>
      <c r="L236" s="69" t="s">
        <v>839</v>
      </c>
      <c r="M236" s="69" t="s">
        <v>839</v>
      </c>
      <c r="N236" s="69" t="s">
        <v>839</v>
      </c>
      <c r="O236" s="69" t="s">
        <v>839</v>
      </c>
      <c r="P236" s="69" t="s">
        <v>839</v>
      </c>
      <c r="Q236" s="69" t="s">
        <v>839</v>
      </c>
      <c r="R236" s="71" t="s">
        <v>79</v>
      </c>
      <c r="S236" s="68"/>
      <c r="T236" s="68"/>
      <c r="U236" s="68"/>
      <c r="V236" s="68"/>
      <c r="W236" s="68"/>
      <c r="X236" s="68"/>
      <c r="Y236" s="68"/>
    </row>
    <row r="237" spans="1:25" s="69" customFormat="1" ht="10.5" customHeight="1" x14ac:dyDescent="0.15">
      <c r="A237" s="756" t="s">
        <v>681</v>
      </c>
      <c r="B237" s="69" t="s">
        <v>839</v>
      </c>
      <c r="C237" s="69" t="s">
        <v>839</v>
      </c>
      <c r="D237" s="69">
        <v>324099</v>
      </c>
      <c r="E237" s="69" t="s">
        <v>839</v>
      </c>
      <c r="F237" s="69">
        <v>324099</v>
      </c>
      <c r="G237" s="69" t="s">
        <v>839</v>
      </c>
      <c r="H237" s="69" t="s">
        <v>839</v>
      </c>
      <c r="I237" s="69" t="s">
        <v>839</v>
      </c>
      <c r="J237" s="69" t="s">
        <v>839</v>
      </c>
      <c r="K237" s="69" t="s">
        <v>839</v>
      </c>
      <c r="L237" s="69" t="s">
        <v>839</v>
      </c>
      <c r="M237" s="69" t="s">
        <v>839</v>
      </c>
      <c r="N237" s="69" t="s">
        <v>839</v>
      </c>
      <c r="O237" s="69" t="s">
        <v>839</v>
      </c>
      <c r="P237" s="69" t="s">
        <v>839</v>
      </c>
      <c r="Q237" s="69" t="s">
        <v>839</v>
      </c>
      <c r="R237" s="72" t="s">
        <v>92</v>
      </c>
      <c r="S237" s="68"/>
      <c r="T237" s="68"/>
      <c r="U237" s="68"/>
      <c r="V237" s="68"/>
      <c r="W237" s="68"/>
      <c r="X237" s="68"/>
      <c r="Y237" s="68"/>
    </row>
    <row r="238" spans="1:25" s="69" customFormat="1" ht="10.5" customHeight="1" x14ac:dyDescent="0.15">
      <c r="A238" s="756" t="s">
        <v>682</v>
      </c>
      <c r="B238" s="69" t="s">
        <v>839</v>
      </c>
      <c r="C238" s="69" t="s">
        <v>839</v>
      </c>
      <c r="D238" s="69">
        <v>218901</v>
      </c>
      <c r="E238" s="69" t="s">
        <v>839</v>
      </c>
      <c r="F238" s="69">
        <v>218901</v>
      </c>
      <c r="G238" s="69" t="s">
        <v>839</v>
      </c>
      <c r="H238" s="69" t="s">
        <v>839</v>
      </c>
      <c r="I238" s="69" t="s">
        <v>839</v>
      </c>
      <c r="J238" s="69" t="s">
        <v>839</v>
      </c>
      <c r="K238" s="69" t="s">
        <v>839</v>
      </c>
      <c r="L238" s="69" t="s">
        <v>839</v>
      </c>
      <c r="M238" s="69" t="s">
        <v>839</v>
      </c>
      <c r="N238" s="69" t="s">
        <v>839</v>
      </c>
      <c r="O238" s="69" t="s">
        <v>839</v>
      </c>
      <c r="P238" s="69" t="s">
        <v>839</v>
      </c>
      <c r="Q238" s="69" t="s">
        <v>839</v>
      </c>
      <c r="R238" s="71" t="s">
        <v>93</v>
      </c>
      <c r="S238" s="68"/>
      <c r="T238" s="68"/>
      <c r="U238" s="68"/>
      <c r="V238" s="68"/>
      <c r="W238" s="68"/>
      <c r="X238" s="68"/>
      <c r="Y238" s="68"/>
    </row>
    <row r="239" spans="1:25" s="69" customFormat="1" ht="10.5" customHeight="1" x14ac:dyDescent="0.15">
      <c r="A239" s="756" t="s">
        <v>683</v>
      </c>
      <c r="B239" s="69" t="s">
        <v>839</v>
      </c>
      <c r="C239" s="69" t="s">
        <v>839</v>
      </c>
      <c r="D239" s="69">
        <v>230113</v>
      </c>
      <c r="E239" s="69" t="s">
        <v>839</v>
      </c>
      <c r="F239" s="69">
        <v>230113</v>
      </c>
      <c r="G239" s="69" t="s">
        <v>839</v>
      </c>
      <c r="H239" s="69" t="s">
        <v>839</v>
      </c>
      <c r="I239" s="69" t="s">
        <v>839</v>
      </c>
      <c r="J239" s="69" t="s">
        <v>839</v>
      </c>
      <c r="K239" s="69" t="s">
        <v>839</v>
      </c>
      <c r="L239" s="69" t="s">
        <v>839</v>
      </c>
      <c r="M239" s="69" t="s">
        <v>839</v>
      </c>
      <c r="N239" s="69" t="s">
        <v>839</v>
      </c>
      <c r="O239" s="69" t="s">
        <v>839</v>
      </c>
      <c r="P239" s="69" t="s">
        <v>839</v>
      </c>
      <c r="Q239" s="69" t="s">
        <v>839</v>
      </c>
      <c r="R239" s="71" t="s">
        <v>94</v>
      </c>
      <c r="S239" s="68"/>
      <c r="T239" s="68"/>
      <c r="U239" s="68"/>
      <c r="V239" s="68"/>
      <c r="W239" s="68"/>
      <c r="X239" s="68"/>
      <c r="Y239" s="68"/>
    </row>
    <row r="240" spans="1:25" s="69" customFormat="1" ht="10.5" customHeight="1" x14ac:dyDescent="0.15">
      <c r="A240" s="756" t="s">
        <v>684</v>
      </c>
      <c r="B240" s="69" t="s">
        <v>839</v>
      </c>
      <c r="C240" s="69" t="s">
        <v>839</v>
      </c>
      <c r="D240" s="69">
        <v>358677</v>
      </c>
      <c r="E240" s="69" t="s">
        <v>839</v>
      </c>
      <c r="F240" s="69">
        <v>358677</v>
      </c>
      <c r="G240" s="69" t="s">
        <v>839</v>
      </c>
      <c r="H240" s="69" t="s">
        <v>839</v>
      </c>
      <c r="I240" s="69" t="s">
        <v>839</v>
      </c>
      <c r="J240" s="69" t="s">
        <v>839</v>
      </c>
      <c r="K240" s="69" t="s">
        <v>839</v>
      </c>
      <c r="L240" s="69" t="s">
        <v>839</v>
      </c>
      <c r="M240" s="69" t="s">
        <v>839</v>
      </c>
      <c r="N240" s="69" t="s">
        <v>839</v>
      </c>
      <c r="O240" s="69" t="s">
        <v>839</v>
      </c>
      <c r="P240" s="69" t="s">
        <v>839</v>
      </c>
      <c r="Q240" s="69" t="s">
        <v>839</v>
      </c>
      <c r="R240" s="71" t="s">
        <v>95</v>
      </c>
      <c r="S240" s="68"/>
      <c r="T240" s="68"/>
      <c r="U240" s="68"/>
      <c r="V240" s="68"/>
      <c r="W240" s="68"/>
      <c r="X240" s="68"/>
      <c r="Y240" s="68"/>
    </row>
    <row r="241" spans="1:25" s="69" customFormat="1" ht="10.5" customHeight="1" x14ac:dyDescent="0.15">
      <c r="A241" s="756" t="s">
        <v>685</v>
      </c>
      <c r="B241" s="69" t="s">
        <v>839</v>
      </c>
      <c r="C241" s="69" t="s">
        <v>839</v>
      </c>
      <c r="D241" s="69">
        <v>263154</v>
      </c>
      <c r="E241" s="69" t="s">
        <v>839</v>
      </c>
      <c r="F241" s="69">
        <v>263154</v>
      </c>
      <c r="G241" s="69" t="s">
        <v>839</v>
      </c>
      <c r="H241" s="69" t="s">
        <v>839</v>
      </c>
      <c r="I241" s="69" t="s">
        <v>839</v>
      </c>
      <c r="J241" s="69">
        <v>75568</v>
      </c>
      <c r="K241" s="69" t="s">
        <v>839</v>
      </c>
      <c r="L241" s="69" t="s">
        <v>839</v>
      </c>
      <c r="M241" s="69" t="s">
        <v>839</v>
      </c>
      <c r="N241" s="69" t="s">
        <v>839</v>
      </c>
      <c r="O241" s="69" t="s">
        <v>839</v>
      </c>
      <c r="P241" s="69" t="s">
        <v>839</v>
      </c>
      <c r="Q241" s="69" t="s">
        <v>839</v>
      </c>
      <c r="R241" s="71" t="s">
        <v>96</v>
      </c>
      <c r="S241" s="68"/>
      <c r="T241" s="68"/>
      <c r="U241" s="68"/>
      <c r="V241" s="68"/>
      <c r="W241" s="68"/>
      <c r="X241" s="68"/>
      <c r="Y241" s="68"/>
    </row>
    <row r="242" spans="1:25" s="69" customFormat="1" ht="10.5" customHeight="1" x14ac:dyDescent="0.15">
      <c r="A242" s="756" t="s">
        <v>686</v>
      </c>
      <c r="B242" s="69" t="s">
        <v>839</v>
      </c>
      <c r="C242" s="69" t="s">
        <v>839</v>
      </c>
      <c r="D242" s="69">
        <v>106894</v>
      </c>
      <c r="E242" s="69" t="s">
        <v>839</v>
      </c>
      <c r="F242" s="69">
        <v>106894</v>
      </c>
      <c r="G242" s="69" t="s">
        <v>839</v>
      </c>
      <c r="H242" s="69" t="s">
        <v>839</v>
      </c>
      <c r="I242" s="69" t="s">
        <v>839</v>
      </c>
      <c r="J242" s="69">
        <v>82396</v>
      </c>
      <c r="K242" s="69" t="s">
        <v>839</v>
      </c>
      <c r="L242" s="69" t="s">
        <v>839</v>
      </c>
      <c r="M242" s="69" t="s">
        <v>839</v>
      </c>
      <c r="N242" s="69" t="s">
        <v>839</v>
      </c>
      <c r="O242" s="69" t="s">
        <v>839</v>
      </c>
      <c r="P242" s="69" t="s">
        <v>839</v>
      </c>
      <c r="Q242" s="69" t="s">
        <v>839</v>
      </c>
      <c r="R242" s="71" t="s">
        <v>80</v>
      </c>
      <c r="S242" s="68"/>
      <c r="T242" s="68"/>
      <c r="U242" s="68"/>
      <c r="V242" s="68"/>
      <c r="W242" s="68"/>
      <c r="X242" s="68"/>
      <c r="Y242" s="68"/>
    </row>
    <row r="243" spans="1:25" s="69" customFormat="1" ht="10.5" customHeight="1" x14ac:dyDescent="0.15">
      <c r="A243" s="756" t="s">
        <v>687</v>
      </c>
      <c r="B243" s="69" t="s">
        <v>839</v>
      </c>
      <c r="C243" s="69" t="s">
        <v>839</v>
      </c>
      <c r="D243" s="69">
        <v>326941</v>
      </c>
      <c r="E243" s="69" t="s">
        <v>839</v>
      </c>
      <c r="F243" s="69">
        <v>326941</v>
      </c>
      <c r="G243" s="69" t="s">
        <v>839</v>
      </c>
      <c r="H243" s="69" t="s">
        <v>839</v>
      </c>
      <c r="I243" s="69" t="s">
        <v>839</v>
      </c>
      <c r="J243" s="69" t="s">
        <v>839</v>
      </c>
      <c r="K243" s="69" t="s">
        <v>839</v>
      </c>
      <c r="L243" s="69" t="s">
        <v>839</v>
      </c>
      <c r="M243" s="69" t="s">
        <v>839</v>
      </c>
      <c r="N243" s="69" t="s">
        <v>839</v>
      </c>
      <c r="O243" s="69" t="s">
        <v>839</v>
      </c>
      <c r="P243" s="69" t="s">
        <v>839</v>
      </c>
      <c r="Q243" s="69" t="s">
        <v>839</v>
      </c>
      <c r="R243" s="71" t="s">
        <v>81</v>
      </c>
      <c r="S243" s="68"/>
      <c r="T243" s="68"/>
      <c r="U243" s="68"/>
      <c r="V243" s="68"/>
      <c r="W243" s="68"/>
      <c r="X243" s="68"/>
      <c r="Y243" s="68"/>
    </row>
    <row r="244" spans="1:25" s="69" customFormat="1" ht="10.5" customHeight="1" x14ac:dyDescent="0.15">
      <c r="A244" s="756" t="s">
        <v>688</v>
      </c>
      <c r="B244" s="69" t="s">
        <v>839</v>
      </c>
      <c r="C244" s="69" t="s">
        <v>839</v>
      </c>
      <c r="D244" s="69">
        <v>203516</v>
      </c>
      <c r="E244" s="69" t="s">
        <v>839</v>
      </c>
      <c r="F244" s="69">
        <v>203516</v>
      </c>
      <c r="G244" s="69" t="s">
        <v>839</v>
      </c>
      <c r="H244" s="69" t="s">
        <v>839</v>
      </c>
      <c r="I244" s="69" t="s">
        <v>839</v>
      </c>
      <c r="J244" s="69" t="s">
        <v>839</v>
      </c>
      <c r="K244" s="69" t="s">
        <v>839</v>
      </c>
      <c r="L244" s="69" t="s">
        <v>839</v>
      </c>
      <c r="M244" s="69" t="s">
        <v>839</v>
      </c>
      <c r="N244" s="69" t="s">
        <v>839</v>
      </c>
      <c r="O244" s="69" t="s">
        <v>839</v>
      </c>
      <c r="P244" s="69" t="s">
        <v>839</v>
      </c>
      <c r="Q244" s="69" t="s">
        <v>839</v>
      </c>
      <c r="R244" s="71" t="s">
        <v>82</v>
      </c>
      <c r="S244" s="68"/>
      <c r="T244" s="68"/>
      <c r="U244" s="68"/>
      <c r="V244" s="68"/>
      <c r="W244" s="68"/>
      <c r="X244" s="68"/>
      <c r="Y244" s="68"/>
    </row>
    <row r="245" spans="1:25" s="69" customFormat="1" ht="10.5" customHeight="1" x14ac:dyDescent="0.15">
      <c r="A245" s="756" t="s">
        <v>849</v>
      </c>
      <c r="B245" s="69" t="s">
        <v>839</v>
      </c>
      <c r="C245" s="69" t="s">
        <v>839</v>
      </c>
      <c r="D245" s="69">
        <v>210346</v>
      </c>
      <c r="E245" s="69" t="s">
        <v>839</v>
      </c>
      <c r="F245" s="69">
        <v>210346</v>
      </c>
      <c r="G245" s="69" t="s">
        <v>839</v>
      </c>
      <c r="H245" s="69" t="s">
        <v>839</v>
      </c>
      <c r="I245" s="69" t="s">
        <v>839</v>
      </c>
      <c r="J245" s="69" t="s">
        <v>839</v>
      </c>
      <c r="K245" s="69" t="s">
        <v>839</v>
      </c>
      <c r="L245" s="69" t="s">
        <v>839</v>
      </c>
      <c r="M245" s="69" t="s">
        <v>839</v>
      </c>
      <c r="N245" s="69" t="s">
        <v>839</v>
      </c>
      <c r="O245" s="69" t="s">
        <v>839</v>
      </c>
      <c r="P245" s="69" t="s">
        <v>839</v>
      </c>
      <c r="Q245" s="69" t="s">
        <v>839</v>
      </c>
      <c r="R245" s="71" t="s">
        <v>850</v>
      </c>
      <c r="S245" s="68"/>
      <c r="T245" s="68"/>
      <c r="U245" s="68"/>
      <c r="V245" s="68"/>
      <c r="W245" s="68"/>
      <c r="X245" s="68"/>
      <c r="Y245" s="68"/>
    </row>
    <row r="246" spans="1:25" s="69" customFormat="1" ht="10.5" customHeight="1" x14ac:dyDescent="0.15">
      <c r="A246" s="756" t="s">
        <v>690</v>
      </c>
      <c r="B246" s="69" t="s">
        <v>839</v>
      </c>
      <c r="C246" s="69" t="s">
        <v>839</v>
      </c>
      <c r="D246" s="69" t="s">
        <v>839</v>
      </c>
      <c r="E246" s="69" t="s">
        <v>839</v>
      </c>
      <c r="F246" s="69" t="s">
        <v>839</v>
      </c>
      <c r="G246" s="69" t="s">
        <v>839</v>
      </c>
      <c r="H246" s="69" t="s">
        <v>839</v>
      </c>
      <c r="I246" s="69" t="s">
        <v>839</v>
      </c>
      <c r="J246" s="69" t="s">
        <v>839</v>
      </c>
      <c r="K246" s="69" t="s">
        <v>839</v>
      </c>
      <c r="L246" s="69" t="s">
        <v>839</v>
      </c>
      <c r="M246" s="69" t="s">
        <v>839</v>
      </c>
      <c r="N246" s="69" t="s">
        <v>839</v>
      </c>
      <c r="O246" s="69" t="s">
        <v>839</v>
      </c>
      <c r="P246" s="69" t="s">
        <v>839</v>
      </c>
      <c r="Q246" s="69" t="s">
        <v>839</v>
      </c>
      <c r="R246" s="71" t="s">
        <v>77</v>
      </c>
      <c r="S246" s="68"/>
      <c r="T246" s="68"/>
      <c r="U246" s="68"/>
      <c r="V246" s="68"/>
      <c r="W246" s="68"/>
      <c r="X246" s="68"/>
      <c r="Y246" s="68"/>
    </row>
    <row r="247" spans="1:25" s="69" customFormat="1" ht="10.5" customHeight="1" x14ac:dyDescent="0.15">
      <c r="A247" s="757" t="s">
        <v>691</v>
      </c>
      <c r="B247" s="73" t="s">
        <v>839</v>
      </c>
      <c r="C247" s="74" t="s">
        <v>839</v>
      </c>
      <c r="D247" s="74">
        <v>97725</v>
      </c>
      <c r="E247" s="74" t="s">
        <v>839</v>
      </c>
      <c r="F247" s="74">
        <v>97725</v>
      </c>
      <c r="G247" s="74" t="s">
        <v>839</v>
      </c>
      <c r="H247" s="74" t="s">
        <v>839</v>
      </c>
      <c r="I247" s="74" t="s">
        <v>839</v>
      </c>
      <c r="J247" s="74" t="s">
        <v>839</v>
      </c>
      <c r="K247" s="74" t="s">
        <v>839</v>
      </c>
      <c r="L247" s="74" t="s">
        <v>839</v>
      </c>
      <c r="M247" s="74" t="s">
        <v>839</v>
      </c>
      <c r="N247" s="74" t="s">
        <v>839</v>
      </c>
      <c r="O247" s="74" t="s">
        <v>839</v>
      </c>
      <c r="P247" s="74" t="s">
        <v>839</v>
      </c>
      <c r="Q247" s="74" t="s">
        <v>839</v>
      </c>
      <c r="R247" s="75" t="s">
        <v>78</v>
      </c>
      <c r="S247" s="68"/>
      <c r="T247" s="68"/>
      <c r="U247" s="68"/>
      <c r="V247" s="68"/>
      <c r="W247" s="68"/>
      <c r="X247" s="68"/>
      <c r="Y247" s="68"/>
    </row>
    <row r="248" spans="1:25" ht="23.25" customHeight="1" x14ac:dyDescent="0.25">
      <c r="I248" s="76" t="s">
        <v>97</v>
      </c>
    </row>
    <row r="249" spans="1:25" s="20" customFormat="1" ht="11.25" customHeight="1" x14ac:dyDescent="0.15">
      <c r="A249" s="61"/>
      <c r="B249" s="77" t="s">
        <v>177</v>
      </c>
      <c r="C249" s="63"/>
      <c r="D249" s="63"/>
      <c r="E249" s="63"/>
      <c r="F249" s="61"/>
      <c r="G249" s="34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999" t="s">
        <v>83</v>
      </c>
      <c r="S249" s="18"/>
      <c r="T249" s="18"/>
      <c r="U249" s="18"/>
      <c r="V249" s="18"/>
      <c r="W249" s="18"/>
      <c r="X249" s="18"/>
      <c r="Y249" s="18"/>
    </row>
    <row r="250" spans="1:25" s="64" customFormat="1" ht="28.5" customHeight="1" x14ac:dyDescent="0.15">
      <c r="A250" s="32" t="s">
        <v>185</v>
      </c>
      <c r="B250" s="720" t="s">
        <v>180</v>
      </c>
      <c r="C250" s="19"/>
      <c r="D250" s="79"/>
      <c r="E250" s="13" t="s">
        <v>463</v>
      </c>
      <c r="F250" s="13" t="s">
        <v>447</v>
      </c>
      <c r="G250" s="15" t="s">
        <v>113</v>
      </c>
      <c r="H250" s="720" t="s">
        <v>181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000"/>
      <c r="S250" s="14"/>
      <c r="T250" s="14"/>
      <c r="U250" s="14"/>
      <c r="V250" s="14"/>
      <c r="W250" s="14"/>
      <c r="X250" s="14"/>
      <c r="Y250" s="14"/>
    </row>
    <row r="251" spans="1:25" s="64" customFormat="1" ht="28.5" customHeight="1" x14ac:dyDescent="0.15">
      <c r="A251" s="32"/>
      <c r="B251" s="15" t="s">
        <v>28</v>
      </c>
      <c r="C251" s="13" t="s">
        <v>464</v>
      </c>
      <c r="D251" s="13" t="s">
        <v>465</v>
      </c>
      <c r="E251" s="13" t="s">
        <v>881</v>
      </c>
      <c r="F251" s="13" t="s">
        <v>882</v>
      </c>
      <c r="G251" s="15" t="s">
        <v>55</v>
      </c>
      <c r="H251" s="15" t="s">
        <v>56</v>
      </c>
      <c r="I251" s="625" t="s">
        <v>883</v>
      </c>
      <c r="J251" s="13" t="s">
        <v>182</v>
      </c>
      <c r="K251" s="13" t="s">
        <v>183</v>
      </c>
      <c r="L251" s="13" t="s">
        <v>884</v>
      </c>
      <c r="M251" s="13" t="s">
        <v>184</v>
      </c>
      <c r="N251" s="13" t="s">
        <v>885</v>
      </c>
      <c r="O251" s="13" t="s">
        <v>700</v>
      </c>
      <c r="P251" s="13" t="s">
        <v>886</v>
      </c>
      <c r="Q251" s="720" t="s">
        <v>887</v>
      </c>
      <c r="R251" s="1000"/>
      <c r="S251" s="14"/>
      <c r="T251" s="14"/>
      <c r="U251" s="14"/>
      <c r="V251" s="14"/>
      <c r="W251" s="14"/>
      <c r="X251" s="14"/>
      <c r="Y251" s="14"/>
    </row>
    <row r="252" spans="1:25" s="64" customFormat="1" ht="12" customHeight="1" x14ac:dyDescent="0.15">
      <c r="A252" s="33"/>
      <c r="B252" s="17"/>
      <c r="C252" s="17" t="str">
        <f>PROPER("CLOV")</f>
        <v>Clov</v>
      </c>
      <c r="D252" s="17" t="str">
        <f>PROPER("OLOMBEND")</f>
        <v>Olombend</v>
      </c>
      <c r="E252" s="17" t="str">
        <f>PROPER("SONGO-C")</f>
        <v>Songo-C</v>
      </c>
      <c r="F252" s="17" t="str">
        <f>PROPER("TEMANE-C")</f>
        <v>Temane-C</v>
      </c>
      <c r="G252" s="17"/>
      <c r="H252" s="17"/>
      <c r="I252" s="17" t="str">
        <f>PROPER("N･W･S-C")</f>
        <v>N･W･S-C</v>
      </c>
      <c r="J252" s="17" t="str">
        <f>PROPER("WANDOO")</f>
        <v>Wandoo</v>
      </c>
      <c r="K252" s="17" t="str">
        <f>PROPER("STAG")</f>
        <v>Stag</v>
      </c>
      <c r="L252" s="17" t="str">
        <f>PROPER("BAYU-U-C")</f>
        <v>Bayu-U-C</v>
      </c>
      <c r="M252" s="17" t="str">
        <f>PROPER("ENFIELD")</f>
        <v>Enfield</v>
      </c>
      <c r="N252" s="17" t="str">
        <f>PROPER("VANGOG-B")</f>
        <v>Vangog-B</v>
      </c>
      <c r="O252" s="17" t="str">
        <f>PROPER("PYRENEES")</f>
        <v>Pyrenees</v>
      </c>
      <c r="P252" s="17" t="str">
        <f>PROPER("PLUTO-C")</f>
        <v>Pluto-C</v>
      </c>
      <c r="Q252" s="16" t="str">
        <f>PROPER("WHTSTN-C")</f>
        <v>Whtstn-C</v>
      </c>
      <c r="R252" s="1001"/>
      <c r="S252" s="14"/>
      <c r="T252" s="14"/>
      <c r="U252" s="14"/>
      <c r="V252" s="14"/>
      <c r="W252" s="14"/>
      <c r="X252" s="14"/>
      <c r="Y252" s="14"/>
    </row>
    <row r="253" spans="1:25" s="69" customFormat="1" ht="10.5" customHeight="1" x14ac:dyDescent="0.15">
      <c r="A253" s="755" t="s">
        <v>838</v>
      </c>
      <c r="B253" s="65">
        <v>387291</v>
      </c>
      <c r="C253" s="66">
        <v>310129</v>
      </c>
      <c r="D253" s="66">
        <v>77162</v>
      </c>
      <c r="E253" s="66">
        <v>11619</v>
      </c>
      <c r="F253" s="66">
        <v>18857</v>
      </c>
      <c r="G253" s="66">
        <v>608085</v>
      </c>
      <c r="H253" s="66">
        <v>579012</v>
      </c>
      <c r="I253" s="66">
        <v>94981</v>
      </c>
      <c r="J253" s="66">
        <v>283716</v>
      </c>
      <c r="K253" s="66">
        <v>15872</v>
      </c>
      <c r="L253" s="66">
        <v>49334</v>
      </c>
      <c r="M253" s="66">
        <v>26814</v>
      </c>
      <c r="N253" s="66" t="s">
        <v>839</v>
      </c>
      <c r="O253" s="66" t="s">
        <v>839</v>
      </c>
      <c r="P253" s="66">
        <v>108295</v>
      </c>
      <c r="Q253" s="66" t="s">
        <v>839</v>
      </c>
      <c r="R253" s="67" t="s">
        <v>457</v>
      </c>
      <c r="S253" s="68"/>
      <c r="T253" s="68"/>
      <c r="U253" s="68"/>
      <c r="V253" s="68"/>
      <c r="W253" s="68"/>
      <c r="X253" s="68"/>
      <c r="Y253" s="68"/>
    </row>
    <row r="254" spans="1:25" s="69" customFormat="1" ht="10.5" customHeight="1" x14ac:dyDescent="0.15">
      <c r="A254" s="756" t="s">
        <v>669</v>
      </c>
      <c r="B254" s="69">
        <v>142863</v>
      </c>
      <c r="C254" s="69" t="s">
        <v>839</v>
      </c>
      <c r="D254" s="69">
        <v>142863</v>
      </c>
      <c r="E254" s="69" t="s">
        <v>839</v>
      </c>
      <c r="F254" s="69" t="s">
        <v>839</v>
      </c>
      <c r="G254" s="69">
        <v>450273</v>
      </c>
      <c r="H254" s="69">
        <v>416430</v>
      </c>
      <c r="I254" s="69" t="s">
        <v>839</v>
      </c>
      <c r="J254" s="69">
        <v>259512</v>
      </c>
      <c r="K254" s="69" t="s">
        <v>839</v>
      </c>
      <c r="L254" s="69" t="s">
        <v>839</v>
      </c>
      <c r="M254" s="69" t="s">
        <v>839</v>
      </c>
      <c r="N254" s="69" t="s">
        <v>839</v>
      </c>
      <c r="O254" s="69" t="s">
        <v>839</v>
      </c>
      <c r="P254" s="69" t="s">
        <v>839</v>
      </c>
      <c r="Q254" s="69">
        <v>54012</v>
      </c>
      <c r="R254" s="71" t="s">
        <v>512</v>
      </c>
      <c r="S254" s="68"/>
      <c r="T254" s="68"/>
      <c r="U254" s="68"/>
      <c r="V254" s="68"/>
      <c r="W254" s="68"/>
      <c r="X254" s="68"/>
      <c r="Y254" s="68"/>
    </row>
    <row r="255" spans="1:25" s="69" customFormat="1" ht="10.5" customHeight="1" x14ac:dyDescent="0.15">
      <c r="A255" s="756" t="s">
        <v>670</v>
      </c>
      <c r="B255" s="69" t="s">
        <v>839</v>
      </c>
      <c r="C255" s="69" t="s">
        <v>839</v>
      </c>
      <c r="D255" s="69" t="s">
        <v>839</v>
      </c>
      <c r="E255" s="69" t="s">
        <v>839</v>
      </c>
      <c r="F255" s="69" t="s">
        <v>839</v>
      </c>
      <c r="G255" s="69">
        <v>359911</v>
      </c>
      <c r="H255" s="69">
        <v>313145</v>
      </c>
      <c r="I255" s="69" t="s">
        <v>839</v>
      </c>
      <c r="J255" s="69">
        <v>210750</v>
      </c>
      <c r="K255" s="69" t="s">
        <v>839</v>
      </c>
      <c r="L255" s="69" t="s">
        <v>839</v>
      </c>
      <c r="M255" s="69" t="s">
        <v>839</v>
      </c>
      <c r="N255" s="69" t="s">
        <v>839</v>
      </c>
      <c r="O255" s="69" t="s">
        <v>839</v>
      </c>
      <c r="P255" s="69" t="s">
        <v>839</v>
      </c>
      <c r="Q255" s="69" t="s">
        <v>839</v>
      </c>
      <c r="R255" s="71" t="s">
        <v>620</v>
      </c>
      <c r="S255" s="68"/>
      <c r="T255" s="68"/>
      <c r="U255" s="68"/>
      <c r="V255" s="68"/>
      <c r="W255" s="68"/>
      <c r="X255" s="68"/>
      <c r="Y255" s="68"/>
    </row>
    <row r="256" spans="1:25" s="69" customFormat="1" ht="10.5" customHeight="1" x14ac:dyDescent="0.15">
      <c r="A256" s="756" t="s">
        <v>671</v>
      </c>
      <c r="B256" s="69" t="s">
        <v>839</v>
      </c>
      <c r="C256" s="69" t="s">
        <v>839</v>
      </c>
      <c r="D256" s="69" t="s">
        <v>839</v>
      </c>
      <c r="E256" s="69" t="s">
        <v>839</v>
      </c>
      <c r="F256" s="69">
        <v>35007</v>
      </c>
      <c r="G256" s="69">
        <v>333763</v>
      </c>
      <c r="H256" s="69">
        <v>259648</v>
      </c>
      <c r="I256" s="69" t="s">
        <v>839</v>
      </c>
      <c r="J256" s="69">
        <v>208293</v>
      </c>
      <c r="K256" s="69" t="s">
        <v>839</v>
      </c>
      <c r="L256" s="69" t="s">
        <v>839</v>
      </c>
      <c r="M256" s="69" t="s">
        <v>839</v>
      </c>
      <c r="N256" s="69" t="s">
        <v>839</v>
      </c>
      <c r="O256" s="69" t="s">
        <v>839</v>
      </c>
      <c r="P256" s="69">
        <v>51355</v>
      </c>
      <c r="Q256" s="69" t="s">
        <v>839</v>
      </c>
      <c r="R256" s="71" t="s">
        <v>672</v>
      </c>
      <c r="S256" s="68"/>
      <c r="T256" s="68"/>
      <c r="U256" s="68"/>
      <c r="V256" s="68"/>
      <c r="W256" s="68"/>
      <c r="X256" s="68"/>
      <c r="Y256" s="68"/>
    </row>
    <row r="257" spans="1:25" s="69" customFormat="1" ht="10.5" customHeight="1" x14ac:dyDescent="0.15">
      <c r="A257" s="756" t="s">
        <v>840</v>
      </c>
      <c r="B257" s="69">
        <v>157964</v>
      </c>
      <c r="C257" s="69" t="s">
        <v>839</v>
      </c>
      <c r="D257" s="69">
        <v>157964</v>
      </c>
      <c r="E257" s="69" t="s">
        <v>839</v>
      </c>
      <c r="F257" s="69" t="s">
        <v>839</v>
      </c>
      <c r="G257" s="69">
        <v>393846</v>
      </c>
      <c r="H257" s="69">
        <v>363482</v>
      </c>
      <c r="I257" s="69">
        <v>48240</v>
      </c>
      <c r="J257" s="69">
        <v>250251</v>
      </c>
      <c r="K257" s="69">
        <v>5181</v>
      </c>
      <c r="L257" s="69" t="s">
        <v>839</v>
      </c>
      <c r="M257" s="69" t="s">
        <v>839</v>
      </c>
      <c r="N257" s="69">
        <v>55880</v>
      </c>
      <c r="O257" s="69">
        <v>3930</v>
      </c>
      <c r="P257" s="69" t="s">
        <v>839</v>
      </c>
      <c r="Q257" s="69" t="s">
        <v>839</v>
      </c>
      <c r="R257" s="71" t="s">
        <v>841</v>
      </c>
      <c r="S257" s="68"/>
      <c r="T257" s="68"/>
      <c r="U257" s="68"/>
      <c r="V257" s="68"/>
      <c r="W257" s="68"/>
      <c r="X257" s="68"/>
      <c r="Y257" s="68"/>
    </row>
    <row r="258" spans="1:25" s="69" customFormat="1" ht="10.5" customHeight="1" x14ac:dyDescent="0.15">
      <c r="A258" s="787"/>
      <c r="R258" s="71"/>
      <c r="S258" s="68"/>
      <c r="T258" s="68"/>
      <c r="U258" s="68"/>
      <c r="V258" s="68"/>
      <c r="W258" s="68"/>
      <c r="X258" s="68"/>
      <c r="Y258" s="68"/>
    </row>
    <row r="259" spans="1:25" s="69" customFormat="1" ht="10.5" customHeight="1" x14ac:dyDescent="0.15">
      <c r="A259" s="756" t="s">
        <v>842</v>
      </c>
      <c r="B259" s="69" t="s">
        <v>839</v>
      </c>
      <c r="C259" s="69" t="s">
        <v>839</v>
      </c>
      <c r="D259" s="69" t="s">
        <v>839</v>
      </c>
      <c r="E259" s="69" t="s">
        <v>839</v>
      </c>
      <c r="F259" s="69">
        <v>35007</v>
      </c>
      <c r="G259" s="69">
        <v>402503</v>
      </c>
      <c r="H259" s="69">
        <v>331954</v>
      </c>
      <c r="I259" s="69" t="s">
        <v>839</v>
      </c>
      <c r="J259" s="69">
        <v>220789</v>
      </c>
      <c r="K259" s="69" t="s">
        <v>839</v>
      </c>
      <c r="L259" s="69" t="s">
        <v>839</v>
      </c>
      <c r="M259" s="69" t="s">
        <v>839</v>
      </c>
      <c r="N259" s="69">
        <v>55880</v>
      </c>
      <c r="O259" s="69">
        <v>3930</v>
      </c>
      <c r="P259" s="69">
        <v>51355</v>
      </c>
      <c r="Q259" s="69" t="s">
        <v>839</v>
      </c>
      <c r="R259" s="71" t="s">
        <v>673</v>
      </c>
      <c r="S259" s="68"/>
      <c r="T259" s="68"/>
      <c r="U259" s="68"/>
      <c r="V259" s="68"/>
      <c r="W259" s="68"/>
      <c r="X259" s="68"/>
      <c r="Y259" s="68"/>
    </row>
    <row r="260" spans="1:25" s="69" customFormat="1" ht="10.5" customHeight="1" x14ac:dyDescent="0.15">
      <c r="A260" s="756" t="s">
        <v>843</v>
      </c>
      <c r="B260" s="69">
        <v>157964</v>
      </c>
      <c r="C260" s="69" t="s">
        <v>839</v>
      </c>
      <c r="D260" s="69">
        <v>157964</v>
      </c>
      <c r="E260" s="69" t="s">
        <v>839</v>
      </c>
      <c r="F260" s="69" t="s">
        <v>839</v>
      </c>
      <c r="G260" s="69">
        <v>294455</v>
      </c>
      <c r="H260" s="69">
        <v>275845</v>
      </c>
      <c r="I260" s="69">
        <v>48240</v>
      </c>
      <c r="J260" s="69">
        <v>199165</v>
      </c>
      <c r="K260" s="69">
        <v>5181</v>
      </c>
      <c r="L260" s="69" t="s">
        <v>839</v>
      </c>
      <c r="M260" s="69" t="s">
        <v>839</v>
      </c>
      <c r="N260" s="69" t="s">
        <v>839</v>
      </c>
      <c r="O260" s="69">
        <v>23259</v>
      </c>
      <c r="P260" s="69" t="s">
        <v>839</v>
      </c>
      <c r="Q260" s="69" t="s">
        <v>839</v>
      </c>
      <c r="R260" s="71" t="s">
        <v>844</v>
      </c>
      <c r="S260" s="68"/>
      <c r="T260" s="68"/>
      <c r="U260" s="68"/>
      <c r="V260" s="68"/>
      <c r="W260" s="68"/>
      <c r="X260" s="68"/>
      <c r="Y260" s="68"/>
    </row>
    <row r="261" spans="1:25" s="69" customFormat="1" ht="10.5" customHeight="1" x14ac:dyDescent="0.15">
      <c r="A261" s="787"/>
      <c r="R261" s="71"/>
      <c r="S261" s="68"/>
      <c r="T261" s="68"/>
      <c r="U261" s="68"/>
      <c r="V261" s="68"/>
      <c r="W261" s="68"/>
      <c r="X261" s="68"/>
      <c r="Y261" s="68"/>
    </row>
    <row r="262" spans="1:25" s="69" customFormat="1" ht="10.5" customHeight="1" x14ac:dyDescent="0.15">
      <c r="A262" s="756" t="s">
        <v>845</v>
      </c>
      <c r="B262" s="69" t="s">
        <v>839</v>
      </c>
      <c r="C262" s="69" t="s">
        <v>839</v>
      </c>
      <c r="D262" s="69" t="s">
        <v>839</v>
      </c>
      <c r="E262" s="69" t="s">
        <v>839</v>
      </c>
      <c r="F262" s="69" t="s">
        <v>839</v>
      </c>
      <c r="G262" s="69">
        <v>136356</v>
      </c>
      <c r="H262" s="69">
        <v>124602</v>
      </c>
      <c r="I262" s="69" t="s">
        <v>839</v>
      </c>
      <c r="J262" s="69">
        <v>64792</v>
      </c>
      <c r="K262" s="69" t="s">
        <v>839</v>
      </c>
      <c r="L262" s="69" t="s">
        <v>839</v>
      </c>
      <c r="M262" s="69" t="s">
        <v>839</v>
      </c>
      <c r="N262" s="69">
        <v>55880</v>
      </c>
      <c r="O262" s="69">
        <v>3930</v>
      </c>
      <c r="P262" s="69" t="s">
        <v>839</v>
      </c>
      <c r="Q262" s="69" t="s">
        <v>839</v>
      </c>
      <c r="R262" s="71" t="s">
        <v>677</v>
      </c>
      <c r="S262" s="68"/>
      <c r="T262" s="68"/>
      <c r="U262" s="68"/>
      <c r="V262" s="68"/>
      <c r="W262" s="68"/>
      <c r="X262" s="68"/>
      <c r="Y262" s="68"/>
    </row>
    <row r="263" spans="1:25" s="69" customFormat="1" ht="10.5" customHeight="1" x14ac:dyDescent="0.15">
      <c r="A263" s="756" t="s">
        <v>674</v>
      </c>
      <c r="B263" s="69" t="s">
        <v>839</v>
      </c>
      <c r="C263" s="69" t="s">
        <v>839</v>
      </c>
      <c r="D263" s="69" t="s">
        <v>839</v>
      </c>
      <c r="E263" s="69" t="s">
        <v>839</v>
      </c>
      <c r="F263" s="69" t="s">
        <v>839</v>
      </c>
      <c r="G263" s="69">
        <v>117822</v>
      </c>
      <c r="H263" s="69">
        <v>99212</v>
      </c>
      <c r="I263" s="69">
        <v>48240</v>
      </c>
      <c r="J263" s="69">
        <v>50972</v>
      </c>
      <c r="K263" s="69" t="s">
        <v>839</v>
      </c>
      <c r="L263" s="69" t="s">
        <v>839</v>
      </c>
      <c r="M263" s="69" t="s">
        <v>839</v>
      </c>
      <c r="N263" s="69" t="s">
        <v>839</v>
      </c>
      <c r="O263" s="69" t="s">
        <v>839</v>
      </c>
      <c r="P263" s="69" t="s">
        <v>839</v>
      </c>
      <c r="Q263" s="69" t="s">
        <v>839</v>
      </c>
      <c r="R263" s="71" t="s">
        <v>89</v>
      </c>
      <c r="S263" s="68"/>
      <c r="T263" s="68"/>
      <c r="U263" s="68"/>
      <c r="V263" s="68"/>
      <c r="W263" s="68"/>
      <c r="X263" s="68"/>
      <c r="Y263" s="68"/>
    </row>
    <row r="264" spans="1:25" s="69" customFormat="1" ht="10.5" customHeight="1" x14ac:dyDescent="0.15">
      <c r="A264" s="756" t="s">
        <v>675</v>
      </c>
      <c r="B264" s="69">
        <v>75568</v>
      </c>
      <c r="C264" s="69" t="s">
        <v>839</v>
      </c>
      <c r="D264" s="69">
        <v>75568</v>
      </c>
      <c r="E264" s="69" t="s">
        <v>839</v>
      </c>
      <c r="F264" s="69" t="s">
        <v>839</v>
      </c>
      <c r="G264" s="69">
        <v>40000</v>
      </c>
      <c r="H264" s="69">
        <v>40000</v>
      </c>
      <c r="I264" s="69" t="s">
        <v>839</v>
      </c>
      <c r="J264" s="69">
        <v>40000</v>
      </c>
      <c r="K264" s="69" t="s">
        <v>839</v>
      </c>
      <c r="L264" s="69" t="s">
        <v>839</v>
      </c>
      <c r="M264" s="69" t="s">
        <v>839</v>
      </c>
      <c r="N264" s="69" t="s">
        <v>839</v>
      </c>
      <c r="O264" s="69" t="s">
        <v>839</v>
      </c>
      <c r="P264" s="69" t="s">
        <v>839</v>
      </c>
      <c r="Q264" s="69" t="s">
        <v>839</v>
      </c>
      <c r="R264" s="71" t="s">
        <v>90</v>
      </c>
      <c r="S264" s="68"/>
      <c r="T264" s="68"/>
      <c r="U264" s="68"/>
      <c r="V264" s="68"/>
      <c r="W264" s="68"/>
      <c r="X264" s="68"/>
      <c r="Y264" s="68"/>
    </row>
    <row r="265" spans="1:25" s="69" customFormat="1" ht="10.5" customHeight="1" x14ac:dyDescent="0.15">
      <c r="A265" s="756" t="s">
        <v>676</v>
      </c>
      <c r="B265" s="69">
        <v>82396</v>
      </c>
      <c r="C265" s="69" t="s">
        <v>839</v>
      </c>
      <c r="D265" s="69">
        <v>82396</v>
      </c>
      <c r="E265" s="69" t="s">
        <v>839</v>
      </c>
      <c r="F265" s="69" t="s">
        <v>839</v>
      </c>
      <c r="G265" s="69">
        <v>99668</v>
      </c>
      <c r="H265" s="69">
        <v>99668</v>
      </c>
      <c r="I265" s="69" t="s">
        <v>839</v>
      </c>
      <c r="J265" s="69">
        <v>94487</v>
      </c>
      <c r="K265" s="69">
        <v>5181</v>
      </c>
      <c r="L265" s="69" t="s">
        <v>839</v>
      </c>
      <c r="M265" s="69" t="s">
        <v>839</v>
      </c>
      <c r="N265" s="69" t="s">
        <v>839</v>
      </c>
      <c r="O265" s="69" t="s">
        <v>839</v>
      </c>
      <c r="P265" s="69" t="s">
        <v>839</v>
      </c>
      <c r="Q265" s="69" t="s">
        <v>839</v>
      </c>
      <c r="R265" s="71" t="s">
        <v>91</v>
      </c>
      <c r="S265" s="68"/>
      <c r="T265" s="68"/>
      <c r="U265" s="68"/>
      <c r="V265" s="68"/>
      <c r="W265" s="68"/>
      <c r="X265" s="68"/>
      <c r="Y265" s="68"/>
    </row>
    <row r="266" spans="1:25" s="69" customFormat="1" ht="10.5" customHeight="1" x14ac:dyDescent="0.15">
      <c r="A266" s="756" t="s">
        <v>846</v>
      </c>
      <c r="B266" s="69" t="s">
        <v>839</v>
      </c>
      <c r="C266" s="69" t="s">
        <v>839</v>
      </c>
      <c r="D266" s="69" t="s">
        <v>839</v>
      </c>
      <c r="E266" s="69" t="s">
        <v>839</v>
      </c>
      <c r="F266" s="69" t="s">
        <v>839</v>
      </c>
      <c r="G266" s="69">
        <v>36965</v>
      </c>
      <c r="H266" s="69">
        <v>36965</v>
      </c>
      <c r="I266" s="69" t="s">
        <v>839</v>
      </c>
      <c r="J266" s="69">
        <v>13706</v>
      </c>
      <c r="K266" s="69" t="s">
        <v>839</v>
      </c>
      <c r="L266" s="69" t="s">
        <v>839</v>
      </c>
      <c r="M266" s="69" t="s">
        <v>839</v>
      </c>
      <c r="N266" s="69" t="s">
        <v>839</v>
      </c>
      <c r="O266" s="69">
        <v>23259</v>
      </c>
      <c r="P266" s="69" t="s">
        <v>839</v>
      </c>
      <c r="Q266" s="69" t="s">
        <v>839</v>
      </c>
      <c r="R266" s="71" t="s">
        <v>847</v>
      </c>
      <c r="S266" s="68"/>
      <c r="T266" s="68"/>
      <c r="U266" s="68"/>
      <c r="V266" s="68"/>
      <c r="W266" s="68"/>
      <c r="X266" s="68"/>
      <c r="Y266" s="68"/>
    </row>
    <row r="267" spans="1:25" s="69" customFormat="1" ht="10.5" customHeight="1" x14ac:dyDescent="0.15">
      <c r="A267" s="787"/>
      <c r="R267" s="71"/>
      <c r="S267" s="68"/>
      <c r="T267" s="68"/>
      <c r="U267" s="68"/>
      <c r="V267" s="68"/>
      <c r="W267" s="68"/>
      <c r="X267" s="68"/>
      <c r="Y267" s="68"/>
    </row>
    <row r="268" spans="1:25" s="69" customFormat="1" ht="10.5" customHeight="1" x14ac:dyDescent="0.15">
      <c r="A268" s="756" t="s">
        <v>848</v>
      </c>
      <c r="B268" s="69" t="s">
        <v>839</v>
      </c>
      <c r="C268" s="69" t="s">
        <v>839</v>
      </c>
      <c r="D268" s="69" t="s">
        <v>839</v>
      </c>
      <c r="E268" s="69" t="s">
        <v>839</v>
      </c>
      <c r="F268" s="69" t="s">
        <v>839</v>
      </c>
      <c r="G268" s="69">
        <v>98714</v>
      </c>
      <c r="H268" s="69">
        <v>86960</v>
      </c>
      <c r="I268" s="69" t="s">
        <v>839</v>
      </c>
      <c r="J268" s="69">
        <v>27150</v>
      </c>
      <c r="K268" s="69" t="s">
        <v>839</v>
      </c>
      <c r="L268" s="69" t="s">
        <v>839</v>
      </c>
      <c r="M268" s="69" t="s">
        <v>839</v>
      </c>
      <c r="N268" s="69">
        <v>55880</v>
      </c>
      <c r="O268" s="69">
        <v>3930</v>
      </c>
      <c r="P268" s="69" t="s">
        <v>839</v>
      </c>
      <c r="Q268" s="69" t="s">
        <v>839</v>
      </c>
      <c r="R268" s="71" t="s">
        <v>689</v>
      </c>
      <c r="S268" s="68"/>
      <c r="T268" s="68"/>
      <c r="U268" s="68"/>
      <c r="V268" s="68"/>
      <c r="W268" s="68"/>
      <c r="X268" s="68"/>
      <c r="Y268" s="68"/>
    </row>
    <row r="269" spans="1:25" s="69" customFormat="1" ht="10.5" customHeight="1" x14ac:dyDescent="0.15">
      <c r="A269" s="756" t="s">
        <v>678</v>
      </c>
      <c r="B269" s="69" t="s">
        <v>839</v>
      </c>
      <c r="C269" s="69" t="s">
        <v>839</v>
      </c>
      <c r="D269" s="69" t="s">
        <v>839</v>
      </c>
      <c r="E269" s="69" t="s">
        <v>839</v>
      </c>
      <c r="F269" s="69" t="s">
        <v>839</v>
      </c>
      <c r="G269" s="69">
        <v>20203</v>
      </c>
      <c r="H269" s="69">
        <v>20203</v>
      </c>
      <c r="I269" s="69" t="s">
        <v>839</v>
      </c>
      <c r="J269" s="69">
        <v>20203</v>
      </c>
      <c r="K269" s="69" t="s">
        <v>839</v>
      </c>
      <c r="L269" s="69" t="s">
        <v>839</v>
      </c>
      <c r="M269" s="69" t="s">
        <v>839</v>
      </c>
      <c r="N269" s="69" t="s">
        <v>839</v>
      </c>
      <c r="O269" s="69" t="s">
        <v>839</v>
      </c>
      <c r="P269" s="69" t="s">
        <v>839</v>
      </c>
      <c r="Q269" s="69" t="s">
        <v>839</v>
      </c>
      <c r="R269" s="71" t="s">
        <v>77</v>
      </c>
      <c r="S269" s="68"/>
      <c r="T269" s="68"/>
      <c r="U269" s="68"/>
      <c r="V269" s="68"/>
      <c r="W269" s="68"/>
      <c r="X269" s="68"/>
      <c r="Y269" s="68"/>
    </row>
    <row r="270" spans="1:25" s="69" customFormat="1" ht="10.5" customHeight="1" x14ac:dyDescent="0.15">
      <c r="A270" s="756" t="s">
        <v>679</v>
      </c>
      <c r="B270" s="69" t="s">
        <v>839</v>
      </c>
      <c r="C270" s="69" t="s">
        <v>839</v>
      </c>
      <c r="D270" s="69" t="s">
        <v>839</v>
      </c>
      <c r="E270" s="69" t="s">
        <v>839</v>
      </c>
      <c r="F270" s="69" t="s">
        <v>839</v>
      </c>
      <c r="G270" s="69">
        <v>17439</v>
      </c>
      <c r="H270" s="69">
        <v>17439</v>
      </c>
      <c r="I270" s="69" t="s">
        <v>839</v>
      </c>
      <c r="J270" s="69">
        <v>17439</v>
      </c>
      <c r="K270" s="69" t="s">
        <v>839</v>
      </c>
      <c r="L270" s="69" t="s">
        <v>839</v>
      </c>
      <c r="M270" s="69" t="s">
        <v>839</v>
      </c>
      <c r="N270" s="69" t="s">
        <v>839</v>
      </c>
      <c r="O270" s="69" t="s">
        <v>839</v>
      </c>
      <c r="P270" s="69" t="s">
        <v>839</v>
      </c>
      <c r="Q270" s="69" t="s">
        <v>839</v>
      </c>
      <c r="R270" s="71" t="s">
        <v>78</v>
      </c>
      <c r="S270" s="68"/>
      <c r="T270" s="68"/>
      <c r="U270" s="68"/>
      <c r="V270" s="68"/>
      <c r="W270" s="68"/>
      <c r="X270" s="68"/>
      <c r="Y270" s="68"/>
    </row>
    <row r="271" spans="1:25" s="69" customFormat="1" ht="10.5" customHeight="1" x14ac:dyDescent="0.15">
      <c r="A271" s="756" t="s">
        <v>680</v>
      </c>
      <c r="B271" s="69" t="s">
        <v>839</v>
      </c>
      <c r="C271" s="69" t="s">
        <v>839</v>
      </c>
      <c r="D271" s="69" t="s">
        <v>839</v>
      </c>
      <c r="E271" s="69" t="s">
        <v>839</v>
      </c>
      <c r="F271" s="69" t="s">
        <v>839</v>
      </c>
      <c r="G271" s="69">
        <v>15859</v>
      </c>
      <c r="H271" s="69">
        <v>15859</v>
      </c>
      <c r="I271" s="69" t="s">
        <v>839</v>
      </c>
      <c r="J271" s="69">
        <v>15859</v>
      </c>
      <c r="K271" s="69" t="s">
        <v>839</v>
      </c>
      <c r="L271" s="69" t="s">
        <v>839</v>
      </c>
      <c r="M271" s="69" t="s">
        <v>839</v>
      </c>
      <c r="N271" s="69" t="s">
        <v>839</v>
      </c>
      <c r="O271" s="69" t="s">
        <v>839</v>
      </c>
      <c r="P271" s="69" t="s">
        <v>839</v>
      </c>
      <c r="Q271" s="69" t="s">
        <v>839</v>
      </c>
      <c r="R271" s="71" t="s">
        <v>79</v>
      </c>
      <c r="S271" s="68"/>
      <c r="T271" s="68"/>
      <c r="U271" s="68"/>
      <c r="V271" s="68"/>
      <c r="W271" s="68"/>
      <c r="X271" s="68"/>
      <c r="Y271" s="68"/>
    </row>
    <row r="272" spans="1:25" s="69" customFormat="1" ht="10.5" customHeight="1" x14ac:dyDescent="0.15">
      <c r="A272" s="756" t="s">
        <v>681</v>
      </c>
      <c r="B272" s="69" t="s">
        <v>839</v>
      </c>
      <c r="C272" s="69" t="s">
        <v>839</v>
      </c>
      <c r="D272" s="69" t="s">
        <v>839</v>
      </c>
      <c r="E272" s="69" t="s">
        <v>839</v>
      </c>
      <c r="F272" s="69" t="s">
        <v>839</v>
      </c>
      <c r="G272" s="69">
        <v>79506</v>
      </c>
      <c r="H272" s="69">
        <v>60896</v>
      </c>
      <c r="I272" s="69">
        <v>48240</v>
      </c>
      <c r="J272" s="69">
        <v>12656</v>
      </c>
      <c r="K272" s="69" t="s">
        <v>839</v>
      </c>
      <c r="L272" s="69" t="s">
        <v>839</v>
      </c>
      <c r="M272" s="69" t="s">
        <v>839</v>
      </c>
      <c r="N272" s="69" t="s">
        <v>839</v>
      </c>
      <c r="O272" s="69" t="s">
        <v>839</v>
      </c>
      <c r="P272" s="69" t="s">
        <v>839</v>
      </c>
      <c r="Q272" s="69" t="s">
        <v>839</v>
      </c>
      <c r="R272" s="72" t="s">
        <v>92</v>
      </c>
      <c r="S272" s="68"/>
      <c r="T272" s="68"/>
      <c r="U272" s="68"/>
      <c r="V272" s="68"/>
      <c r="W272" s="68"/>
      <c r="X272" s="68"/>
      <c r="Y272" s="68"/>
    </row>
    <row r="273" spans="1:25" s="69" customFormat="1" ht="10.5" customHeight="1" x14ac:dyDescent="0.15">
      <c r="A273" s="756" t="s">
        <v>682</v>
      </c>
      <c r="B273" s="69" t="s">
        <v>839</v>
      </c>
      <c r="C273" s="69" t="s">
        <v>839</v>
      </c>
      <c r="D273" s="69" t="s">
        <v>839</v>
      </c>
      <c r="E273" s="69" t="s">
        <v>839</v>
      </c>
      <c r="F273" s="69" t="s">
        <v>839</v>
      </c>
      <c r="G273" s="69">
        <v>22457</v>
      </c>
      <c r="H273" s="69">
        <v>22457</v>
      </c>
      <c r="I273" s="69" t="s">
        <v>839</v>
      </c>
      <c r="J273" s="69">
        <v>22457</v>
      </c>
      <c r="K273" s="69" t="s">
        <v>839</v>
      </c>
      <c r="L273" s="69" t="s">
        <v>839</v>
      </c>
      <c r="M273" s="69" t="s">
        <v>839</v>
      </c>
      <c r="N273" s="69" t="s">
        <v>839</v>
      </c>
      <c r="O273" s="69" t="s">
        <v>839</v>
      </c>
      <c r="P273" s="69" t="s">
        <v>839</v>
      </c>
      <c r="Q273" s="69" t="s">
        <v>839</v>
      </c>
      <c r="R273" s="71" t="s">
        <v>93</v>
      </c>
      <c r="S273" s="68"/>
      <c r="T273" s="68"/>
      <c r="U273" s="68"/>
      <c r="V273" s="68"/>
      <c r="W273" s="68"/>
      <c r="X273" s="68"/>
      <c r="Y273" s="68"/>
    </row>
    <row r="274" spans="1:25" s="69" customFormat="1" ht="10.5" customHeight="1" x14ac:dyDescent="0.15">
      <c r="A274" s="756" t="s">
        <v>683</v>
      </c>
      <c r="B274" s="69" t="s">
        <v>839</v>
      </c>
      <c r="C274" s="69" t="s">
        <v>839</v>
      </c>
      <c r="D274" s="69" t="s">
        <v>839</v>
      </c>
      <c r="E274" s="69" t="s">
        <v>839</v>
      </c>
      <c r="F274" s="69" t="s">
        <v>839</v>
      </c>
      <c r="G274" s="69">
        <v>12659</v>
      </c>
      <c r="H274" s="69">
        <v>12659</v>
      </c>
      <c r="I274" s="69" t="s">
        <v>839</v>
      </c>
      <c r="J274" s="69">
        <v>12659</v>
      </c>
      <c r="K274" s="69" t="s">
        <v>839</v>
      </c>
      <c r="L274" s="69" t="s">
        <v>839</v>
      </c>
      <c r="M274" s="69" t="s">
        <v>839</v>
      </c>
      <c r="N274" s="69" t="s">
        <v>839</v>
      </c>
      <c r="O274" s="69" t="s">
        <v>839</v>
      </c>
      <c r="P274" s="69" t="s">
        <v>839</v>
      </c>
      <c r="Q274" s="69" t="s">
        <v>839</v>
      </c>
      <c r="R274" s="71" t="s">
        <v>94</v>
      </c>
      <c r="S274" s="68"/>
      <c r="T274" s="68"/>
      <c r="U274" s="68"/>
      <c r="V274" s="68"/>
      <c r="W274" s="68"/>
      <c r="X274" s="68"/>
      <c r="Y274" s="68"/>
    </row>
    <row r="275" spans="1:25" s="69" customFormat="1" ht="10.5" customHeight="1" x14ac:dyDescent="0.15">
      <c r="A275" s="756" t="s">
        <v>684</v>
      </c>
      <c r="B275" s="69" t="s">
        <v>839</v>
      </c>
      <c r="C275" s="69" t="s">
        <v>839</v>
      </c>
      <c r="D275" s="69" t="s">
        <v>839</v>
      </c>
      <c r="E275" s="69" t="s">
        <v>839</v>
      </c>
      <c r="F275" s="69" t="s">
        <v>839</v>
      </c>
      <c r="G275" s="69">
        <v>12614</v>
      </c>
      <c r="H275" s="69">
        <v>12614</v>
      </c>
      <c r="I275" s="69" t="s">
        <v>839</v>
      </c>
      <c r="J275" s="69">
        <v>12614</v>
      </c>
      <c r="K275" s="69" t="s">
        <v>839</v>
      </c>
      <c r="L275" s="69" t="s">
        <v>839</v>
      </c>
      <c r="M275" s="69" t="s">
        <v>839</v>
      </c>
      <c r="N275" s="69" t="s">
        <v>839</v>
      </c>
      <c r="O275" s="69" t="s">
        <v>839</v>
      </c>
      <c r="P275" s="69" t="s">
        <v>839</v>
      </c>
      <c r="Q275" s="69" t="s">
        <v>839</v>
      </c>
      <c r="R275" s="71" t="s">
        <v>95</v>
      </c>
      <c r="S275" s="68"/>
      <c r="T275" s="68"/>
      <c r="U275" s="68"/>
      <c r="V275" s="68"/>
      <c r="W275" s="68"/>
      <c r="X275" s="68"/>
      <c r="Y275" s="68"/>
    </row>
    <row r="276" spans="1:25" s="69" customFormat="1" ht="10.5" customHeight="1" x14ac:dyDescent="0.15">
      <c r="A276" s="756" t="s">
        <v>685</v>
      </c>
      <c r="B276" s="69">
        <v>75568</v>
      </c>
      <c r="C276" s="69" t="s">
        <v>839</v>
      </c>
      <c r="D276" s="69">
        <v>75568</v>
      </c>
      <c r="E276" s="69" t="s">
        <v>839</v>
      </c>
      <c r="F276" s="69" t="s">
        <v>839</v>
      </c>
      <c r="G276" s="69">
        <v>14727</v>
      </c>
      <c r="H276" s="69">
        <v>14727</v>
      </c>
      <c r="I276" s="69" t="s">
        <v>839</v>
      </c>
      <c r="J276" s="69">
        <v>14727</v>
      </c>
      <c r="K276" s="69" t="s">
        <v>839</v>
      </c>
      <c r="L276" s="69" t="s">
        <v>839</v>
      </c>
      <c r="M276" s="69" t="s">
        <v>839</v>
      </c>
      <c r="N276" s="69" t="s">
        <v>839</v>
      </c>
      <c r="O276" s="69" t="s">
        <v>839</v>
      </c>
      <c r="P276" s="69" t="s">
        <v>839</v>
      </c>
      <c r="Q276" s="69" t="s">
        <v>839</v>
      </c>
      <c r="R276" s="71" t="s">
        <v>96</v>
      </c>
      <c r="S276" s="68"/>
      <c r="T276" s="68"/>
      <c r="U276" s="68"/>
      <c r="V276" s="68"/>
      <c r="W276" s="68"/>
      <c r="X276" s="68"/>
      <c r="Y276" s="68"/>
    </row>
    <row r="277" spans="1:25" s="69" customFormat="1" ht="10.5" customHeight="1" x14ac:dyDescent="0.15">
      <c r="A277" s="756" t="s">
        <v>686</v>
      </c>
      <c r="B277" s="69">
        <v>82396</v>
      </c>
      <c r="C277" s="69" t="s">
        <v>839</v>
      </c>
      <c r="D277" s="69">
        <v>82396</v>
      </c>
      <c r="E277" s="69" t="s">
        <v>839</v>
      </c>
      <c r="F277" s="69" t="s">
        <v>839</v>
      </c>
      <c r="G277" s="69">
        <v>40075</v>
      </c>
      <c r="H277" s="69">
        <v>40075</v>
      </c>
      <c r="I277" s="69" t="s">
        <v>839</v>
      </c>
      <c r="J277" s="69">
        <v>34894</v>
      </c>
      <c r="K277" s="69">
        <v>5181</v>
      </c>
      <c r="L277" s="69" t="s">
        <v>839</v>
      </c>
      <c r="M277" s="69" t="s">
        <v>839</v>
      </c>
      <c r="N277" s="69" t="s">
        <v>839</v>
      </c>
      <c r="O277" s="69" t="s">
        <v>839</v>
      </c>
      <c r="P277" s="69" t="s">
        <v>839</v>
      </c>
      <c r="Q277" s="69" t="s">
        <v>839</v>
      </c>
      <c r="R277" s="71" t="s">
        <v>80</v>
      </c>
      <c r="S277" s="68"/>
      <c r="T277" s="68"/>
      <c r="U277" s="68"/>
      <c r="V277" s="68"/>
      <c r="W277" s="68"/>
      <c r="X277" s="68"/>
      <c r="Y277" s="68"/>
    </row>
    <row r="278" spans="1:25" s="69" customFormat="1" ht="10.5" customHeight="1" x14ac:dyDescent="0.15">
      <c r="A278" s="756" t="s">
        <v>687</v>
      </c>
      <c r="B278" s="69" t="s">
        <v>839</v>
      </c>
      <c r="C278" s="69" t="s">
        <v>839</v>
      </c>
      <c r="D278" s="69" t="s">
        <v>839</v>
      </c>
      <c r="E278" s="69" t="s">
        <v>839</v>
      </c>
      <c r="F278" s="69" t="s">
        <v>839</v>
      </c>
      <c r="G278" s="69">
        <v>39040</v>
      </c>
      <c r="H278" s="69">
        <v>39040</v>
      </c>
      <c r="I278" s="69" t="s">
        <v>839</v>
      </c>
      <c r="J278" s="69">
        <v>39040</v>
      </c>
      <c r="K278" s="69" t="s">
        <v>839</v>
      </c>
      <c r="L278" s="69" t="s">
        <v>839</v>
      </c>
      <c r="M278" s="69" t="s">
        <v>839</v>
      </c>
      <c r="N278" s="69" t="s">
        <v>839</v>
      </c>
      <c r="O278" s="69" t="s">
        <v>839</v>
      </c>
      <c r="P278" s="69" t="s">
        <v>839</v>
      </c>
      <c r="Q278" s="69" t="s">
        <v>839</v>
      </c>
      <c r="R278" s="71" t="s">
        <v>81</v>
      </c>
      <c r="S278" s="68"/>
      <c r="T278" s="68"/>
      <c r="U278" s="68"/>
      <c r="V278" s="68"/>
      <c r="W278" s="68"/>
      <c r="X278" s="68"/>
      <c r="Y278" s="68"/>
    </row>
    <row r="279" spans="1:25" s="69" customFormat="1" ht="10.5" customHeight="1" x14ac:dyDescent="0.15">
      <c r="A279" s="756" t="s">
        <v>688</v>
      </c>
      <c r="B279" s="69" t="s">
        <v>839</v>
      </c>
      <c r="C279" s="69" t="s">
        <v>839</v>
      </c>
      <c r="D279" s="69" t="s">
        <v>839</v>
      </c>
      <c r="E279" s="69" t="s">
        <v>839</v>
      </c>
      <c r="F279" s="69" t="s">
        <v>839</v>
      </c>
      <c r="G279" s="69">
        <v>20553</v>
      </c>
      <c r="H279" s="69">
        <v>20553</v>
      </c>
      <c r="I279" s="69" t="s">
        <v>839</v>
      </c>
      <c r="J279" s="69">
        <v>20553</v>
      </c>
      <c r="K279" s="69" t="s">
        <v>839</v>
      </c>
      <c r="L279" s="69" t="s">
        <v>839</v>
      </c>
      <c r="M279" s="69" t="s">
        <v>839</v>
      </c>
      <c r="N279" s="69" t="s">
        <v>839</v>
      </c>
      <c r="O279" s="69" t="s">
        <v>839</v>
      </c>
      <c r="P279" s="69" t="s">
        <v>839</v>
      </c>
      <c r="Q279" s="69" t="s">
        <v>839</v>
      </c>
      <c r="R279" s="71" t="s">
        <v>82</v>
      </c>
      <c r="S279" s="68"/>
      <c r="T279" s="68"/>
      <c r="U279" s="68"/>
      <c r="V279" s="68"/>
      <c r="W279" s="68"/>
      <c r="X279" s="68"/>
      <c r="Y279" s="68"/>
    </row>
    <row r="280" spans="1:25" s="69" customFormat="1" ht="10.5" customHeight="1" x14ac:dyDescent="0.15">
      <c r="A280" s="756" t="s">
        <v>849</v>
      </c>
      <c r="B280" s="69" t="s">
        <v>839</v>
      </c>
      <c r="C280" s="69" t="s">
        <v>839</v>
      </c>
      <c r="D280" s="69" t="s">
        <v>839</v>
      </c>
      <c r="E280" s="69" t="s">
        <v>839</v>
      </c>
      <c r="F280" s="69" t="s">
        <v>839</v>
      </c>
      <c r="G280" s="69">
        <v>13706</v>
      </c>
      <c r="H280" s="69">
        <v>13706</v>
      </c>
      <c r="I280" s="69" t="s">
        <v>839</v>
      </c>
      <c r="J280" s="69">
        <v>13706</v>
      </c>
      <c r="K280" s="69" t="s">
        <v>839</v>
      </c>
      <c r="L280" s="69" t="s">
        <v>839</v>
      </c>
      <c r="M280" s="69" t="s">
        <v>839</v>
      </c>
      <c r="N280" s="69" t="s">
        <v>839</v>
      </c>
      <c r="O280" s="69" t="s">
        <v>839</v>
      </c>
      <c r="P280" s="69" t="s">
        <v>839</v>
      </c>
      <c r="Q280" s="69" t="s">
        <v>839</v>
      </c>
      <c r="R280" s="71" t="s">
        <v>850</v>
      </c>
      <c r="S280" s="68"/>
      <c r="T280" s="68"/>
      <c r="U280" s="68"/>
      <c r="V280" s="68"/>
      <c r="W280" s="68"/>
      <c r="X280" s="68"/>
      <c r="Y280" s="68"/>
    </row>
    <row r="281" spans="1:25" s="69" customFormat="1" ht="10.5" customHeight="1" x14ac:dyDescent="0.15">
      <c r="A281" s="756" t="s">
        <v>690</v>
      </c>
      <c r="B281" s="69" t="s">
        <v>839</v>
      </c>
      <c r="C281" s="69" t="s">
        <v>839</v>
      </c>
      <c r="D281" s="69" t="s">
        <v>839</v>
      </c>
      <c r="E281" s="69" t="s">
        <v>839</v>
      </c>
      <c r="F281" s="69" t="s">
        <v>839</v>
      </c>
      <c r="G281" s="69">
        <v>23259</v>
      </c>
      <c r="H281" s="69">
        <v>23259</v>
      </c>
      <c r="I281" s="69" t="s">
        <v>839</v>
      </c>
      <c r="J281" s="69" t="s">
        <v>839</v>
      </c>
      <c r="K281" s="69" t="s">
        <v>839</v>
      </c>
      <c r="L281" s="69" t="s">
        <v>839</v>
      </c>
      <c r="M281" s="69" t="s">
        <v>839</v>
      </c>
      <c r="N281" s="69" t="s">
        <v>839</v>
      </c>
      <c r="O281" s="69">
        <v>23259</v>
      </c>
      <c r="P281" s="69" t="s">
        <v>839</v>
      </c>
      <c r="Q281" s="69" t="s">
        <v>839</v>
      </c>
      <c r="R281" s="71" t="s">
        <v>77</v>
      </c>
      <c r="S281" s="68"/>
      <c r="T281" s="68"/>
      <c r="U281" s="68"/>
      <c r="V281" s="68"/>
      <c r="W281" s="68"/>
      <c r="X281" s="68"/>
      <c r="Y281" s="68"/>
    </row>
    <row r="282" spans="1:25" s="69" customFormat="1" ht="10.5" customHeight="1" x14ac:dyDescent="0.15">
      <c r="A282" s="757" t="s">
        <v>691</v>
      </c>
      <c r="B282" s="73" t="s">
        <v>839</v>
      </c>
      <c r="C282" s="74" t="s">
        <v>839</v>
      </c>
      <c r="D282" s="74" t="s">
        <v>839</v>
      </c>
      <c r="E282" s="74" t="s">
        <v>839</v>
      </c>
      <c r="F282" s="74" t="s">
        <v>839</v>
      </c>
      <c r="G282" s="74" t="s">
        <v>839</v>
      </c>
      <c r="H282" s="74" t="s">
        <v>839</v>
      </c>
      <c r="I282" s="74" t="s">
        <v>839</v>
      </c>
      <c r="J282" s="74" t="s">
        <v>839</v>
      </c>
      <c r="K282" s="74" t="s">
        <v>839</v>
      </c>
      <c r="L282" s="74" t="s">
        <v>839</v>
      </c>
      <c r="M282" s="74" t="s">
        <v>839</v>
      </c>
      <c r="N282" s="74" t="s">
        <v>839</v>
      </c>
      <c r="O282" s="74" t="s">
        <v>839</v>
      </c>
      <c r="P282" s="74" t="s">
        <v>839</v>
      </c>
      <c r="Q282" s="74" t="s">
        <v>839</v>
      </c>
      <c r="R282" s="75" t="s">
        <v>78</v>
      </c>
      <c r="S282" s="68"/>
      <c r="T282" s="68"/>
      <c r="U282" s="68"/>
      <c r="V282" s="68"/>
      <c r="W282" s="68"/>
      <c r="X282" s="68"/>
      <c r="Y282" s="68"/>
    </row>
    <row r="283" spans="1:25" ht="23.25" customHeight="1" x14ac:dyDescent="0.25">
      <c r="D283" s="78" t="s">
        <v>76</v>
      </c>
    </row>
    <row r="284" spans="1:25" s="20" customFormat="1" ht="11.25" customHeight="1" x14ac:dyDescent="0.15">
      <c r="A284" s="61"/>
      <c r="B284" s="77" t="s">
        <v>116</v>
      </c>
      <c r="C284" s="61"/>
      <c r="D284" s="999" t="s">
        <v>83</v>
      </c>
      <c r="S284" s="18"/>
      <c r="T284" s="18"/>
      <c r="U284" s="18"/>
      <c r="V284" s="18"/>
      <c r="W284" s="18"/>
      <c r="X284" s="18"/>
      <c r="Y284" s="18"/>
    </row>
    <row r="285" spans="1:25" s="64" customFormat="1" ht="28.5" customHeight="1" x14ac:dyDescent="0.15">
      <c r="A285" s="32" t="s">
        <v>185</v>
      </c>
      <c r="B285" s="790" t="s">
        <v>888</v>
      </c>
      <c r="C285" s="625" t="s">
        <v>889</v>
      </c>
      <c r="D285" s="1000"/>
      <c r="S285" s="14"/>
      <c r="T285" s="14"/>
      <c r="U285" s="14"/>
      <c r="V285" s="14"/>
      <c r="W285" s="14"/>
      <c r="X285" s="14"/>
      <c r="Y285" s="14"/>
    </row>
    <row r="286" spans="1:25" s="64" customFormat="1" ht="28.5" customHeight="1" x14ac:dyDescent="0.15">
      <c r="A286" s="32"/>
      <c r="B286" s="791" t="s">
        <v>890</v>
      </c>
      <c r="C286" s="625" t="s">
        <v>891</v>
      </c>
      <c r="D286" s="1000"/>
      <c r="S286" s="14"/>
      <c r="T286" s="14"/>
      <c r="U286" s="14"/>
      <c r="V286" s="14"/>
      <c r="W286" s="14"/>
      <c r="X286" s="14"/>
      <c r="Y286" s="14"/>
    </row>
    <row r="287" spans="1:25" s="64" customFormat="1" ht="12" customHeight="1" x14ac:dyDescent="0.15">
      <c r="A287" s="33"/>
      <c r="B287" s="17" t="str">
        <f>PROPER("ICHTHY-C")</f>
        <v>Ichthy-C</v>
      </c>
      <c r="C287" s="17" t="str">
        <f>PROPER("PAPUA-FO")</f>
        <v>Papua-Fo</v>
      </c>
      <c r="D287" s="1001"/>
      <c r="S287" s="14"/>
      <c r="T287" s="14"/>
      <c r="U287" s="14"/>
      <c r="V287" s="14"/>
      <c r="W287" s="14"/>
      <c r="X287" s="14"/>
      <c r="Y287" s="14"/>
    </row>
    <row r="288" spans="1:25" s="69" customFormat="1" ht="10.5" customHeight="1" x14ac:dyDescent="0.15">
      <c r="A288" s="755" t="s">
        <v>838</v>
      </c>
      <c r="B288" s="65" t="s">
        <v>839</v>
      </c>
      <c r="C288" s="792">
        <v>29073</v>
      </c>
      <c r="D288" s="67" t="s">
        <v>457</v>
      </c>
      <c r="S288" s="68"/>
      <c r="T288" s="68"/>
      <c r="U288" s="68"/>
      <c r="V288" s="68"/>
      <c r="W288" s="68"/>
      <c r="X288" s="68"/>
      <c r="Y288" s="68"/>
    </row>
    <row r="289" spans="1:25" s="69" customFormat="1" ht="10.5" customHeight="1" x14ac:dyDescent="0.15">
      <c r="A289" s="756" t="s">
        <v>669</v>
      </c>
      <c r="B289" s="69">
        <v>102906</v>
      </c>
      <c r="C289" s="793">
        <v>33843</v>
      </c>
      <c r="D289" s="71" t="s">
        <v>512</v>
      </c>
      <c r="S289" s="68"/>
      <c r="T289" s="68"/>
      <c r="U289" s="68"/>
      <c r="V289" s="68"/>
      <c r="W289" s="68"/>
      <c r="X289" s="68"/>
      <c r="Y289" s="68"/>
    </row>
    <row r="290" spans="1:25" s="69" customFormat="1" ht="10.5" customHeight="1" x14ac:dyDescent="0.15">
      <c r="A290" s="756" t="s">
        <v>670</v>
      </c>
      <c r="B290" s="69">
        <v>102395</v>
      </c>
      <c r="C290" s="793">
        <v>46766</v>
      </c>
      <c r="D290" s="71" t="s">
        <v>620</v>
      </c>
      <c r="S290" s="68"/>
      <c r="T290" s="68"/>
      <c r="U290" s="68"/>
      <c r="V290" s="68"/>
      <c r="W290" s="68"/>
      <c r="X290" s="68"/>
      <c r="Y290" s="68"/>
    </row>
    <row r="291" spans="1:25" s="69" customFormat="1" ht="10.5" customHeight="1" x14ac:dyDescent="0.15">
      <c r="A291" s="756" t="s">
        <v>671</v>
      </c>
      <c r="B291" s="69" t="s">
        <v>839</v>
      </c>
      <c r="C291" s="793">
        <v>74115</v>
      </c>
      <c r="D291" s="71" t="s">
        <v>672</v>
      </c>
      <c r="S291" s="68"/>
      <c r="T291" s="68"/>
      <c r="U291" s="68"/>
      <c r="V291" s="68"/>
      <c r="W291" s="68"/>
      <c r="X291" s="68"/>
      <c r="Y291" s="68"/>
    </row>
    <row r="292" spans="1:25" s="69" customFormat="1" ht="10.5" customHeight="1" x14ac:dyDescent="0.15">
      <c r="A292" s="756" t="s">
        <v>840</v>
      </c>
      <c r="B292" s="69" t="s">
        <v>839</v>
      </c>
      <c r="C292" s="793">
        <v>30364</v>
      </c>
      <c r="D292" s="71" t="s">
        <v>841</v>
      </c>
      <c r="S292" s="68"/>
      <c r="T292" s="68"/>
      <c r="U292" s="68"/>
      <c r="V292" s="68"/>
      <c r="W292" s="68"/>
      <c r="X292" s="68"/>
      <c r="Y292" s="68"/>
    </row>
    <row r="293" spans="1:25" s="69" customFormat="1" ht="10.5" customHeight="1" x14ac:dyDescent="0.15">
      <c r="A293" s="787"/>
      <c r="C293" s="793"/>
      <c r="D293" s="71"/>
      <c r="S293" s="68"/>
      <c r="T293" s="68"/>
      <c r="U293" s="68"/>
      <c r="V293" s="68"/>
      <c r="W293" s="68"/>
      <c r="X293" s="68"/>
      <c r="Y293" s="68"/>
    </row>
    <row r="294" spans="1:25" s="69" customFormat="1" ht="10.5" customHeight="1" x14ac:dyDescent="0.15">
      <c r="A294" s="756" t="s">
        <v>842</v>
      </c>
      <c r="B294" s="69" t="s">
        <v>839</v>
      </c>
      <c r="C294" s="793">
        <v>70549</v>
      </c>
      <c r="D294" s="71" t="s">
        <v>673</v>
      </c>
      <c r="S294" s="68"/>
      <c r="T294" s="68"/>
      <c r="U294" s="68"/>
      <c r="V294" s="68"/>
      <c r="W294" s="68"/>
      <c r="X294" s="68"/>
      <c r="Y294" s="68"/>
    </row>
    <row r="295" spans="1:25" s="69" customFormat="1" ht="10.5" customHeight="1" x14ac:dyDescent="0.15">
      <c r="A295" s="756" t="s">
        <v>843</v>
      </c>
      <c r="B295" s="69" t="s">
        <v>839</v>
      </c>
      <c r="C295" s="793">
        <v>18610</v>
      </c>
      <c r="D295" s="71" t="s">
        <v>844</v>
      </c>
      <c r="S295" s="68"/>
      <c r="T295" s="68"/>
      <c r="U295" s="68"/>
      <c r="V295" s="68"/>
      <c r="W295" s="68"/>
      <c r="X295" s="68"/>
      <c r="Y295" s="68"/>
    </row>
    <row r="296" spans="1:25" s="69" customFormat="1" ht="10.5" customHeight="1" x14ac:dyDescent="0.15">
      <c r="A296" s="787"/>
      <c r="C296" s="793"/>
      <c r="D296" s="71"/>
      <c r="S296" s="68"/>
      <c r="T296" s="68"/>
      <c r="U296" s="68"/>
      <c r="V296" s="68"/>
      <c r="W296" s="68"/>
      <c r="X296" s="68"/>
      <c r="Y296" s="68"/>
    </row>
    <row r="297" spans="1:25" s="69" customFormat="1" ht="10.5" customHeight="1" x14ac:dyDescent="0.15">
      <c r="A297" s="756" t="s">
        <v>845</v>
      </c>
      <c r="B297" s="69" t="s">
        <v>839</v>
      </c>
      <c r="C297" s="793">
        <v>11754</v>
      </c>
      <c r="D297" s="71" t="s">
        <v>677</v>
      </c>
      <c r="S297" s="68"/>
      <c r="T297" s="68"/>
      <c r="U297" s="68"/>
      <c r="V297" s="68"/>
      <c r="W297" s="68"/>
      <c r="X297" s="68"/>
      <c r="Y297" s="68"/>
    </row>
    <row r="298" spans="1:25" s="69" customFormat="1" ht="10.5" customHeight="1" x14ac:dyDescent="0.15">
      <c r="A298" s="756" t="s">
        <v>674</v>
      </c>
      <c r="B298" s="69" t="s">
        <v>839</v>
      </c>
      <c r="C298" s="793">
        <v>18610</v>
      </c>
      <c r="D298" s="71" t="s">
        <v>89</v>
      </c>
      <c r="S298" s="68"/>
      <c r="T298" s="68"/>
      <c r="U298" s="68"/>
      <c r="V298" s="68"/>
      <c r="W298" s="68"/>
      <c r="X298" s="68"/>
      <c r="Y298" s="68"/>
    </row>
    <row r="299" spans="1:25" s="69" customFormat="1" ht="10.5" customHeight="1" x14ac:dyDescent="0.15">
      <c r="A299" s="756" t="s">
        <v>675</v>
      </c>
      <c r="B299" s="69" t="s">
        <v>839</v>
      </c>
      <c r="C299" s="793" t="s">
        <v>839</v>
      </c>
      <c r="D299" s="71" t="s">
        <v>90</v>
      </c>
      <c r="S299" s="68"/>
      <c r="T299" s="68"/>
      <c r="U299" s="68"/>
      <c r="V299" s="68"/>
      <c r="W299" s="68"/>
      <c r="X299" s="68"/>
      <c r="Y299" s="68"/>
    </row>
    <row r="300" spans="1:25" s="69" customFormat="1" ht="10.5" customHeight="1" x14ac:dyDescent="0.15">
      <c r="A300" s="756" t="s">
        <v>676</v>
      </c>
      <c r="B300" s="69" t="s">
        <v>839</v>
      </c>
      <c r="C300" s="793" t="s">
        <v>839</v>
      </c>
      <c r="D300" s="71" t="s">
        <v>91</v>
      </c>
      <c r="S300" s="68"/>
      <c r="T300" s="68"/>
      <c r="U300" s="68"/>
      <c r="V300" s="68"/>
      <c r="W300" s="68"/>
      <c r="X300" s="68"/>
      <c r="Y300" s="68"/>
    </row>
    <row r="301" spans="1:25" s="69" customFormat="1" ht="10.5" customHeight="1" x14ac:dyDescent="0.15">
      <c r="A301" s="756" t="s">
        <v>846</v>
      </c>
      <c r="B301" s="69" t="s">
        <v>839</v>
      </c>
      <c r="C301" s="793" t="s">
        <v>839</v>
      </c>
      <c r="D301" s="71" t="s">
        <v>847</v>
      </c>
      <c r="S301" s="68"/>
      <c r="T301" s="68"/>
      <c r="U301" s="68"/>
      <c r="V301" s="68"/>
      <c r="W301" s="68"/>
      <c r="X301" s="68"/>
      <c r="Y301" s="68"/>
    </row>
    <row r="302" spans="1:25" s="69" customFormat="1" ht="10.5" customHeight="1" x14ac:dyDescent="0.15">
      <c r="A302" s="787"/>
      <c r="C302" s="793"/>
      <c r="D302" s="71"/>
      <c r="S302" s="68"/>
      <c r="T302" s="68"/>
      <c r="U302" s="68"/>
      <c r="V302" s="68"/>
      <c r="W302" s="68"/>
      <c r="X302" s="68"/>
      <c r="Y302" s="68"/>
    </row>
    <row r="303" spans="1:25" s="69" customFormat="1" ht="10.5" customHeight="1" x14ac:dyDescent="0.15">
      <c r="A303" s="756" t="s">
        <v>848</v>
      </c>
      <c r="B303" s="69" t="s">
        <v>839</v>
      </c>
      <c r="C303" s="793">
        <v>11754</v>
      </c>
      <c r="D303" s="71" t="s">
        <v>689</v>
      </c>
      <c r="S303" s="68"/>
      <c r="T303" s="68"/>
      <c r="U303" s="68"/>
      <c r="V303" s="68"/>
      <c r="W303" s="68"/>
      <c r="X303" s="68"/>
      <c r="Y303" s="68"/>
    </row>
    <row r="304" spans="1:25" s="69" customFormat="1" ht="10.5" customHeight="1" x14ac:dyDescent="0.15">
      <c r="A304" s="756" t="s">
        <v>678</v>
      </c>
      <c r="B304" s="69" t="s">
        <v>839</v>
      </c>
      <c r="C304" s="793" t="s">
        <v>839</v>
      </c>
      <c r="D304" s="71" t="s">
        <v>77</v>
      </c>
      <c r="S304" s="68"/>
      <c r="T304" s="68"/>
      <c r="U304" s="68"/>
      <c r="V304" s="68"/>
      <c r="W304" s="68"/>
      <c r="X304" s="68"/>
      <c r="Y304" s="68"/>
    </row>
    <row r="305" spans="1:25" s="69" customFormat="1" ht="10.5" customHeight="1" x14ac:dyDescent="0.15">
      <c r="A305" s="756" t="s">
        <v>679</v>
      </c>
      <c r="B305" s="69" t="s">
        <v>839</v>
      </c>
      <c r="C305" s="793" t="s">
        <v>839</v>
      </c>
      <c r="D305" s="71" t="s">
        <v>78</v>
      </c>
      <c r="S305" s="68"/>
      <c r="T305" s="68"/>
      <c r="U305" s="68"/>
      <c r="V305" s="68"/>
      <c r="W305" s="68"/>
      <c r="X305" s="68"/>
      <c r="Y305" s="68"/>
    </row>
    <row r="306" spans="1:25" s="69" customFormat="1" ht="10.5" customHeight="1" x14ac:dyDescent="0.15">
      <c r="A306" s="756" t="s">
        <v>680</v>
      </c>
      <c r="B306" s="69" t="s">
        <v>839</v>
      </c>
      <c r="C306" s="793" t="s">
        <v>839</v>
      </c>
      <c r="D306" s="71" t="s">
        <v>79</v>
      </c>
      <c r="S306" s="68"/>
      <c r="T306" s="68"/>
      <c r="U306" s="68"/>
      <c r="V306" s="68"/>
      <c r="W306" s="68"/>
      <c r="X306" s="68"/>
      <c r="Y306" s="68"/>
    </row>
    <row r="307" spans="1:25" s="69" customFormat="1" ht="10.5" customHeight="1" x14ac:dyDescent="0.15">
      <c r="A307" s="756" t="s">
        <v>681</v>
      </c>
      <c r="B307" s="69" t="s">
        <v>839</v>
      </c>
      <c r="C307" s="793">
        <v>18610</v>
      </c>
      <c r="D307" s="72" t="s">
        <v>92</v>
      </c>
      <c r="S307" s="68"/>
      <c r="T307" s="68"/>
      <c r="U307" s="68"/>
      <c r="V307" s="68"/>
      <c r="W307" s="68"/>
      <c r="X307" s="68"/>
      <c r="Y307" s="68"/>
    </row>
    <row r="308" spans="1:25" s="69" customFormat="1" ht="10.5" customHeight="1" x14ac:dyDescent="0.15">
      <c r="A308" s="756" t="s">
        <v>682</v>
      </c>
      <c r="B308" s="69" t="s">
        <v>839</v>
      </c>
      <c r="C308" s="793" t="s">
        <v>839</v>
      </c>
      <c r="D308" s="71" t="s">
        <v>93</v>
      </c>
      <c r="S308" s="68"/>
      <c r="T308" s="68"/>
      <c r="U308" s="68"/>
      <c r="V308" s="68"/>
      <c r="W308" s="68"/>
      <c r="X308" s="68"/>
      <c r="Y308" s="68"/>
    </row>
    <row r="309" spans="1:25" s="69" customFormat="1" ht="10.5" customHeight="1" x14ac:dyDescent="0.15">
      <c r="A309" s="756" t="s">
        <v>683</v>
      </c>
      <c r="B309" s="69" t="s">
        <v>839</v>
      </c>
      <c r="C309" s="793" t="s">
        <v>839</v>
      </c>
      <c r="D309" s="71" t="s">
        <v>94</v>
      </c>
      <c r="S309" s="68"/>
      <c r="T309" s="68"/>
      <c r="U309" s="68"/>
      <c r="V309" s="68"/>
      <c r="W309" s="68"/>
      <c r="X309" s="68"/>
      <c r="Y309" s="68"/>
    </row>
    <row r="310" spans="1:25" s="69" customFormat="1" ht="10.5" customHeight="1" x14ac:dyDescent="0.15">
      <c r="A310" s="756" t="s">
        <v>684</v>
      </c>
      <c r="B310" s="69" t="s">
        <v>839</v>
      </c>
      <c r="C310" s="793" t="s">
        <v>839</v>
      </c>
      <c r="D310" s="71" t="s">
        <v>95</v>
      </c>
      <c r="S310" s="68"/>
      <c r="T310" s="68"/>
      <c r="U310" s="68"/>
      <c r="V310" s="68"/>
      <c r="W310" s="68"/>
      <c r="X310" s="68"/>
      <c r="Y310" s="68"/>
    </row>
    <row r="311" spans="1:25" s="69" customFormat="1" ht="10.5" customHeight="1" x14ac:dyDescent="0.15">
      <c r="A311" s="756" t="s">
        <v>685</v>
      </c>
      <c r="B311" s="69" t="s">
        <v>839</v>
      </c>
      <c r="C311" s="793" t="s">
        <v>839</v>
      </c>
      <c r="D311" s="71" t="s">
        <v>96</v>
      </c>
      <c r="S311" s="68"/>
      <c r="T311" s="68"/>
      <c r="U311" s="68"/>
      <c r="V311" s="68"/>
      <c r="W311" s="68"/>
      <c r="X311" s="68"/>
      <c r="Y311" s="68"/>
    </row>
    <row r="312" spans="1:25" s="69" customFormat="1" ht="10.5" customHeight="1" x14ac:dyDescent="0.15">
      <c r="A312" s="756" t="s">
        <v>686</v>
      </c>
      <c r="B312" s="69" t="s">
        <v>839</v>
      </c>
      <c r="C312" s="793" t="s">
        <v>839</v>
      </c>
      <c r="D312" s="71" t="s">
        <v>80</v>
      </c>
      <c r="S312" s="68"/>
      <c r="T312" s="68"/>
      <c r="U312" s="68"/>
      <c r="V312" s="68"/>
      <c r="W312" s="68"/>
      <c r="X312" s="68"/>
      <c r="Y312" s="68"/>
    </row>
    <row r="313" spans="1:25" s="69" customFormat="1" ht="10.5" customHeight="1" x14ac:dyDescent="0.15">
      <c r="A313" s="756" t="s">
        <v>687</v>
      </c>
      <c r="B313" s="69" t="s">
        <v>839</v>
      </c>
      <c r="C313" s="793" t="s">
        <v>839</v>
      </c>
      <c r="D313" s="71" t="s">
        <v>81</v>
      </c>
      <c r="S313" s="68"/>
      <c r="T313" s="68"/>
      <c r="U313" s="68"/>
      <c r="V313" s="68"/>
      <c r="W313" s="68"/>
      <c r="X313" s="68"/>
      <c r="Y313" s="68"/>
    </row>
    <row r="314" spans="1:25" s="69" customFormat="1" ht="10.5" customHeight="1" x14ac:dyDescent="0.15">
      <c r="A314" s="756" t="s">
        <v>688</v>
      </c>
      <c r="B314" s="69" t="s">
        <v>839</v>
      </c>
      <c r="C314" s="793" t="s">
        <v>839</v>
      </c>
      <c r="D314" s="71" t="s">
        <v>82</v>
      </c>
      <c r="S314" s="68"/>
      <c r="T314" s="68"/>
      <c r="U314" s="68"/>
      <c r="V314" s="68"/>
      <c r="W314" s="68"/>
      <c r="X314" s="68"/>
      <c r="Y314" s="68"/>
    </row>
    <row r="315" spans="1:25" s="69" customFormat="1" ht="10.5" customHeight="1" x14ac:dyDescent="0.15">
      <c r="A315" s="756" t="s">
        <v>849</v>
      </c>
      <c r="B315" s="69" t="s">
        <v>839</v>
      </c>
      <c r="C315" s="793" t="s">
        <v>839</v>
      </c>
      <c r="D315" s="71" t="s">
        <v>850</v>
      </c>
      <c r="S315" s="68"/>
      <c r="T315" s="68"/>
      <c r="U315" s="68"/>
      <c r="V315" s="68"/>
      <c r="W315" s="68"/>
      <c r="X315" s="68"/>
      <c r="Y315" s="68"/>
    </row>
    <row r="316" spans="1:25" s="69" customFormat="1" ht="10.5" customHeight="1" x14ac:dyDescent="0.15">
      <c r="A316" s="756" t="s">
        <v>690</v>
      </c>
      <c r="B316" s="69" t="s">
        <v>839</v>
      </c>
      <c r="C316" s="793" t="s">
        <v>839</v>
      </c>
      <c r="D316" s="71" t="s">
        <v>77</v>
      </c>
      <c r="S316" s="68"/>
      <c r="T316" s="68"/>
      <c r="U316" s="68"/>
      <c r="V316" s="68"/>
      <c r="W316" s="68"/>
      <c r="X316" s="68"/>
      <c r="Y316" s="68"/>
    </row>
    <row r="317" spans="1:25" s="69" customFormat="1" ht="10.5" customHeight="1" x14ac:dyDescent="0.15">
      <c r="A317" s="757" t="s">
        <v>691</v>
      </c>
      <c r="B317" s="73" t="s">
        <v>839</v>
      </c>
      <c r="C317" s="794" t="s">
        <v>839</v>
      </c>
      <c r="D317" s="75" t="s">
        <v>78</v>
      </c>
      <c r="S317" s="68"/>
      <c r="T317" s="68"/>
      <c r="U317" s="68"/>
      <c r="V317" s="68"/>
      <c r="W317" s="68"/>
      <c r="X317" s="68"/>
      <c r="Y317" s="68"/>
    </row>
    <row r="318" spans="1:25" ht="23.25" customHeight="1" x14ac:dyDescent="0.25"/>
  </sheetData>
  <mergeCells count="10">
    <mergeCell ref="R179:R182"/>
    <mergeCell ref="R214:R217"/>
    <mergeCell ref="R249:R252"/>
    <mergeCell ref="D284:D287"/>
    <mergeCell ref="A3:E3"/>
    <mergeCell ref="R4:R7"/>
    <mergeCell ref="R39:R42"/>
    <mergeCell ref="R74:R77"/>
    <mergeCell ref="R109:R112"/>
    <mergeCell ref="R144:R147"/>
  </mergeCells>
  <phoneticPr fontId="32"/>
  <pageMargins left="0.59055118110236227" right="0.59055118110236227" top="0.59055118110236227" bottom="0.59055118110236227" header="0.19685039370078741" footer="0.31496062992125984"/>
  <pageSetup paperSize="9" scale="89" pageOrder="overThenDown" orientation="portrait" r:id="rId1"/>
  <headerFooter alignWithMargins="0"/>
  <rowBreaks count="4" manualBreakCount="4">
    <brk id="72" max="17" man="1"/>
    <brk id="142" max="17" man="1"/>
    <brk id="212" max="17" man="1"/>
    <brk id="282" max="17" man="1"/>
  </rowBreaks>
  <colBreaks count="1" manualBreakCount="1">
    <brk id="9" max="31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B7C4-1D1B-4A65-A2ED-BAF439BA483C}">
  <dimension ref="A1:S111"/>
  <sheetViews>
    <sheetView view="pageBreakPreview" zoomScaleNormal="100" zoomScaleSheetLayoutView="100" workbookViewId="0">
      <pane xSplit="1" topLeftCell="B1" activePane="topRight" state="frozen"/>
      <selection pane="topRight"/>
    </sheetView>
  </sheetViews>
  <sheetFormatPr defaultRowHeight="24" x14ac:dyDescent="0.15"/>
  <cols>
    <col min="1" max="1" width="14.125" style="80" customWidth="1"/>
    <col min="2" max="17" width="9.75" style="80" customWidth="1"/>
    <col min="18" max="18" width="10.75" style="80" customWidth="1"/>
    <col min="19" max="19" width="10.25" style="80" customWidth="1"/>
    <col min="20" max="20" width="22.375" style="80" customWidth="1"/>
    <col min="21" max="16384" width="9" style="80"/>
  </cols>
  <sheetData>
    <row r="1" spans="1:19" ht="3" customHeight="1" x14ac:dyDescent="0.15"/>
    <row r="2" spans="1:19" ht="5.25" customHeight="1" x14ac:dyDescent="0.15"/>
    <row r="3" spans="1:19" ht="18.75" customHeight="1" x14ac:dyDescent="0.15">
      <c r="A3" s="373" t="s">
        <v>191</v>
      </c>
      <c r="B3" s="759"/>
      <c r="C3" s="759"/>
      <c r="I3" s="31" t="s">
        <v>451</v>
      </c>
      <c r="Q3" s="29" t="s">
        <v>452</v>
      </c>
      <c r="R3" s="29"/>
      <c r="S3" s="81"/>
    </row>
    <row r="4" spans="1:19" s="86" customFormat="1" ht="12" customHeight="1" x14ac:dyDescent="0.15">
      <c r="A4" s="82"/>
      <c r="B4" s="83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996" t="s">
        <v>83</v>
      </c>
    </row>
    <row r="5" spans="1:19" s="46" customFormat="1" ht="13.5" customHeight="1" x14ac:dyDescent="0.15">
      <c r="A5" s="44"/>
      <c r="B5" s="37" t="s">
        <v>59</v>
      </c>
      <c r="C5" s="37" t="s">
        <v>192</v>
      </c>
      <c r="D5" s="719"/>
      <c r="E5" s="88"/>
      <c r="F5" s="719"/>
      <c r="G5" s="87"/>
      <c r="H5" s="87"/>
      <c r="I5" s="87"/>
      <c r="J5" s="87"/>
      <c r="K5" s="87"/>
      <c r="L5" s="87"/>
      <c r="M5" s="87"/>
      <c r="N5" s="88"/>
      <c r="O5" s="719"/>
      <c r="P5" s="88"/>
      <c r="Q5" s="719"/>
      <c r="R5" s="997"/>
    </row>
    <row r="6" spans="1:19" s="46" customFormat="1" ht="33.75" customHeight="1" x14ac:dyDescent="0.15">
      <c r="A6" s="44" t="s">
        <v>185</v>
      </c>
      <c r="B6" s="37" t="s">
        <v>58</v>
      </c>
      <c r="C6" s="37" t="s">
        <v>193</v>
      </c>
      <c r="D6" s="37" t="s">
        <v>119</v>
      </c>
      <c r="E6" s="35" t="s">
        <v>650</v>
      </c>
      <c r="F6" s="37" t="s">
        <v>85</v>
      </c>
      <c r="G6" s="719" t="s">
        <v>120</v>
      </c>
      <c r="H6" s="87"/>
      <c r="I6" s="88"/>
      <c r="J6" s="719" t="s">
        <v>41</v>
      </c>
      <c r="K6" s="87"/>
      <c r="L6" s="87"/>
      <c r="M6" s="87"/>
      <c r="N6" s="88"/>
      <c r="O6" s="37" t="s">
        <v>86</v>
      </c>
      <c r="P6" s="100" t="s">
        <v>198</v>
      </c>
      <c r="Q6" s="721" t="s">
        <v>170</v>
      </c>
      <c r="R6" s="997"/>
    </row>
    <row r="7" spans="1:19" s="46" customFormat="1" ht="22.5" customHeight="1" x14ac:dyDescent="0.15">
      <c r="A7" s="44"/>
      <c r="B7" s="37"/>
      <c r="C7" s="37"/>
      <c r="D7" s="37" t="s">
        <v>87</v>
      </c>
      <c r="E7" s="35" t="s">
        <v>651</v>
      </c>
      <c r="F7" s="37" t="s">
        <v>88</v>
      </c>
      <c r="G7" s="37" t="s">
        <v>40</v>
      </c>
      <c r="H7" s="35" t="s">
        <v>124</v>
      </c>
      <c r="I7" s="35" t="s">
        <v>125</v>
      </c>
      <c r="J7" s="37" t="s">
        <v>21</v>
      </c>
      <c r="K7" s="35" t="s">
        <v>42</v>
      </c>
      <c r="L7" s="35" t="s">
        <v>43</v>
      </c>
      <c r="M7" s="35" t="s">
        <v>44</v>
      </c>
      <c r="N7" s="35" t="s">
        <v>45</v>
      </c>
      <c r="O7" s="37" t="s">
        <v>47</v>
      </c>
      <c r="P7" s="35" t="s">
        <v>155</v>
      </c>
      <c r="Q7" s="721" t="s">
        <v>25</v>
      </c>
      <c r="R7" s="997"/>
    </row>
    <row r="8" spans="1:19" s="46" customFormat="1" ht="13.5" customHeight="1" x14ac:dyDescent="0.15">
      <c r="A8" s="44"/>
      <c r="B8" s="30"/>
      <c r="C8" s="30"/>
      <c r="D8" s="30"/>
      <c r="E8" s="30" t="str">
        <f>PROPER("Domestic")</f>
        <v>Domestic</v>
      </c>
      <c r="F8" s="30"/>
      <c r="G8" s="30"/>
      <c r="H8" s="30" t="str">
        <f>PROPER("SUTUDEN")</f>
        <v>Sutuden</v>
      </c>
      <c r="I8" s="30" t="str">
        <f>PROPER("CHIM-SAO")</f>
        <v>Chim-Sao</v>
      </c>
      <c r="J8" s="30"/>
      <c r="K8" s="30" t="str">
        <f>PROPER("CINTA")</f>
        <v>Cinta</v>
      </c>
      <c r="L8" s="30" t="str">
        <f>PROPER("DURI")</f>
        <v>Duri</v>
      </c>
      <c r="M8" s="30" t="str">
        <f>PROPER("SUMATR-L")</f>
        <v>Sumatr-L</v>
      </c>
      <c r="N8" s="30" t="str">
        <f>PROPER("WIDURI")</f>
        <v>Widuri</v>
      </c>
      <c r="O8" s="30"/>
      <c r="P8" s="30" t="str">
        <f>PROPER("U-SHAIF")</f>
        <v>U-Shaif</v>
      </c>
      <c r="Q8" s="722"/>
      <c r="R8" s="998"/>
    </row>
    <row r="9" spans="1:19" s="92" customFormat="1" ht="9.75" customHeight="1" x14ac:dyDescent="0.15">
      <c r="A9" s="755" t="s">
        <v>838</v>
      </c>
      <c r="B9" s="89">
        <v>1245136</v>
      </c>
      <c r="C9" s="90">
        <v>868696</v>
      </c>
      <c r="D9" s="90" t="s">
        <v>839</v>
      </c>
      <c r="E9" s="90" t="s">
        <v>839</v>
      </c>
      <c r="F9" s="90">
        <v>826010</v>
      </c>
      <c r="G9" s="90">
        <v>49549</v>
      </c>
      <c r="H9" s="90">
        <v>44536</v>
      </c>
      <c r="I9" s="90">
        <v>5013</v>
      </c>
      <c r="J9" s="90">
        <v>776461</v>
      </c>
      <c r="K9" s="90">
        <v>140</v>
      </c>
      <c r="L9" s="90">
        <v>328415</v>
      </c>
      <c r="M9" s="90">
        <v>447775</v>
      </c>
      <c r="N9" s="90">
        <v>131</v>
      </c>
      <c r="O9" s="90" t="s">
        <v>839</v>
      </c>
      <c r="P9" s="90" t="s">
        <v>839</v>
      </c>
      <c r="Q9" s="90" t="s">
        <v>839</v>
      </c>
      <c r="R9" s="91" t="s">
        <v>457</v>
      </c>
    </row>
    <row r="10" spans="1:19" s="92" customFormat="1" ht="9.75" customHeight="1" x14ac:dyDescent="0.15">
      <c r="A10" s="756" t="s">
        <v>669</v>
      </c>
      <c r="B10" s="93">
        <v>236193</v>
      </c>
      <c r="C10" s="92">
        <v>46004</v>
      </c>
      <c r="D10" s="92" t="s">
        <v>839</v>
      </c>
      <c r="E10" s="92" t="s">
        <v>839</v>
      </c>
      <c r="F10" s="92">
        <v>45617</v>
      </c>
      <c r="G10" s="92">
        <v>1373</v>
      </c>
      <c r="H10" s="92">
        <v>1373</v>
      </c>
      <c r="I10" s="92" t="s">
        <v>839</v>
      </c>
      <c r="J10" s="92">
        <v>44244</v>
      </c>
      <c r="K10" s="92" t="s">
        <v>839</v>
      </c>
      <c r="L10" s="92">
        <v>5002</v>
      </c>
      <c r="M10" s="92">
        <v>39242</v>
      </c>
      <c r="N10" s="92" t="s">
        <v>839</v>
      </c>
      <c r="O10" s="92">
        <v>48</v>
      </c>
      <c r="P10" s="92">
        <v>48</v>
      </c>
      <c r="Q10" s="92">
        <v>339</v>
      </c>
      <c r="R10" s="94" t="s">
        <v>512</v>
      </c>
    </row>
    <row r="11" spans="1:19" s="92" customFormat="1" ht="9.75" customHeight="1" x14ac:dyDescent="0.15">
      <c r="A11" s="756" t="s">
        <v>670</v>
      </c>
      <c r="B11" s="93">
        <v>172468</v>
      </c>
      <c r="C11" s="92">
        <v>68257</v>
      </c>
      <c r="D11" s="92" t="s">
        <v>839</v>
      </c>
      <c r="E11" s="92" t="s">
        <v>839</v>
      </c>
      <c r="F11" s="92">
        <v>68257</v>
      </c>
      <c r="G11" s="92" t="s">
        <v>839</v>
      </c>
      <c r="H11" s="92" t="s">
        <v>839</v>
      </c>
      <c r="I11" s="92" t="s">
        <v>839</v>
      </c>
      <c r="J11" s="92">
        <v>68257</v>
      </c>
      <c r="K11" s="92" t="s">
        <v>839</v>
      </c>
      <c r="L11" s="92">
        <v>58255</v>
      </c>
      <c r="M11" s="92">
        <v>10002</v>
      </c>
      <c r="N11" s="92" t="s">
        <v>839</v>
      </c>
      <c r="O11" s="92" t="s">
        <v>839</v>
      </c>
      <c r="P11" s="92" t="s">
        <v>839</v>
      </c>
      <c r="Q11" s="92" t="s">
        <v>839</v>
      </c>
      <c r="R11" s="94" t="s">
        <v>620</v>
      </c>
    </row>
    <row r="12" spans="1:19" s="92" customFormat="1" ht="9.75" customHeight="1" x14ac:dyDescent="0.15">
      <c r="A12" s="756" t="s">
        <v>671</v>
      </c>
      <c r="B12" s="93">
        <v>507367</v>
      </c>
      <c r="C12" s="92">
        <v>254198</v>
      </c>
      <c r="D12" s="92">
        <v>34948</v>
      </c>
      <c r="E12" s="92">
        <v>34948</v>
      </c>
      <c r="F12" s="92">
        <v>219250</v>
      </c>
      <c r="G12" s="92" t="s">
        <v>839</v>
      </c>
      <c r="H12" s="92" t="s">
        <v>839</v>
      </c>
      <c r="I12" s="92" t="s">
        <v>839</v>
      </c>
      <c r="J12" s="92">
        <v>219250</v>
      </c>
      <c r="K12" s="92" t="s">
        <v>839</v>
      </c>
      <c r="L12" s="92">
        <v>135931</v>
      </c>
      <c r="M12" s="92">
        <v>83319</v>
      </c>
      <c r="N12" s="92" t="s">
        <v>839</v>
      </c>
      <c r="O12" s="92" t="s">
        <v>839</v>
      </c>
      <c r="P12" s="92" t="s">
        <v>839</v>
      </c>
      <c r="Q12" s="92" t="s">
        <v>839</v>
      </c>
      <c r="R12" s="94" t="s">
        <v>672</v>
      </c>
    </row>
    <row r="13" spans="1:19" s="92" customFormat="1" ht="9.75" customHeight="1" x14ac:dyDescent="0.15">
      <c r="A13" s="756" t="s">
        <v>840</v>
      </c>
      <c r="B13" s="93">
        <v>333153</v>
      </c>
      <c r="C13" s="92">
        <v>183125</v>
      </c>
      <c r="D13" s="92">
        <v>3000</v>
      </c>
      <c r="E13" s="92">
        <v>3000</v>
      </c>
      <c r="F13" s="92">
        <v>138093</v>
      </c>
      <c r="G13" s="92">
        <v>97729</v>
      </c>
      <c r="H13" s="92">
        <v>6315</v>
      </c>
      <c r="I13" s="92">
        <v>91414</v>
      </c>
      <c r="J13" s="92">
        <v>40364</v>
      </c>
      <c r="K13" s="92" t="s">
        <v>839</v>
      </c>
      <c r="L13" s="92">
        <v>32976</v>
      </c>
      <c r="M13" s="92">
        <v>7388</v>
      </c>
      <c r="N13" s="92" t="s">
        <v>839</v>
      </c>
      <c r="O13" s="92" t="s">
        <v>839</v>
      </c>
      <c r="P13" s="92" t="s">
        <v>839</v>
      </c>
      <c r="Q13" s="92">
        <v>19468</v>
      </c>
      <c r="R13" s="94" t="s">
        <v>841</v>
      </c>
    </row>
    <row r="14" spans="1:19" s="92" customFormat="1" ht="9.75" customHeight="1" x14ac:dyDescent="0.15">
      <c r="A14" s="787"/>
      <c r="B14" s="93"/>
      <c r="R14" s="94"/>
    </row>
    <row r="15" spans="1:19" s="92" customFormat="1" ht="9.75" customHeight="1" x14ac:dyDescent="0.15">
      <c r="A15" s="756" t="s">
        <v>842</v>
      </c>
      <c r="B15" s="93">
        <v>389373</v>
      </c>
      <c r="C15" s="92">
        <v>143731</v>
      </c>
      <c r="D15" s="92">
        <v>16000</v>
      </c>
      <c r="E15" s="92">
        <v>16000</v>
      </c>
      <c r="F15" s="92">
        <v>109255</v>
      </c>
      <c r="G15" s="92" t="s">
        <v>839</v>
      </c>
      <c r="H15" s="92" t="s">
        <v>839</v>
      </c>
      <c r="I15" s="92" t="s">
        <v>839</v>
      </c>
      <c r="J15" s="92">
        <v>109255</v>
      </c>
      <c r="K15" s="92" t="s">
        <v>839</v>
      </c>
      <c r="L15" s="92">
        <v>55148</v>
      </c>
      <c r="M15" s="92">
        <v>54107</v>
      </c>
      <c r="N15" s="92" t="s">
        <v>839</v>
      </c>
      <c r="O15" s="92" t="s">
        <v>839</v>
      </c>
      <c r="P15" s="92" t="s">
        <v>839</v>
      </c>
      <c r="Q15" s="92">
        <v>18476</v>
      </c>
      <c r="R15" s="94" t="s">
        <v>673</v>
      </c>
    </row>
    <row r="16" spans="1:19" s="92" customFormat="1" ht="9.75" customHeight="1" x14ac:dyDescent="0.15">
      <c r="A16" s="756" t="s">
        <v>843</v>
      </c>
      <c r="B16" s="93">
        <v>378147</v>
      </c>
      <c r="C16" s="92">
        <v>225389</v>
      </c>
      <c r="D16" s="92">
        <v>11697</v>
      </c>
      <c r="E16" s="92">
        <v>11697</v>
      </c>
      <c r="F16" s="92">
        <v>157100</v>
      </c>
      <c r="G16" s="92">
        <v>128961</v>
      </c>
      <c r="H16" s="92">
        <v>37547</v>
      </c>
      <c r="I16" s="92">
        <v>91414</v>
      </c>
      <c r="J16" s="92">
        <v>28139</v>
      </c>
      <c r="K16" s="92" t="s">
        <v>839</v>
      </c>
      <c r="L16" s="92">
        <v>28139</v>
      </c>
      <c r="M16" s="92" t="s">
        <v>839</v>
      </c>
      <c r="N16" s="92" t="s">
        <v>839</v>
      </c>
      <c r="O16" s="92" t="s">
        <v>839</v>
      </c>
      <c r="P16" s="92" t="s">
        <v>839</v>
      </c>
      <c r="Q16" s="92">
        <v>992</v>
      </c>
      <c r="R16" s="94" t="s">
        <v>844</v>
      </c>
    </row>
    <row r="17" spans="1:18" s="92" customFormat="1" ht="9.75" customHeight="1" x14ac:dyDescent="0.15">
      <c r="A17" s="787"/>
      <c r="B17" s="93"/>
      <c r="R17" s="94"/>
    </row>
    <row r="18" spans="1:18" s="92" customFormat="1" ht="9.75" customHeight="1" x14ac:dyDescent="0.15">
      <c r="A18" s="756" t="s">
        <v>845</v>
      </c>
      <c r="B18" s="93">
        <v>63719</v>
      </c>
      <c r="C18" s="92">
        <v>36859</v>
      </c>
      <c r="D18" s="92" t="s">
        <v>839</v>
      </c>
      <c r="E18" s="92" t="s">
        <v>839</v>
      </c>
      <c r="F18" s="92">
        <v>18383</v>
      </c>
      <c r="G18" s="92" t="s">
        <v>839</v>
      </c>
      <c r="H18" s="92" t="s">
        <v>839</v>
      </c>
      <c r="I18" s="92" t="s">
        <v>839</v>
      </c>
      <c r="J18" s="92">
        <v>18383</v>
      </c>
      <c r="K18" s="92" t="s">
        <v>839</v>
      </c>
      <c r="L18" s="92">
        <v>10995</v>
      </c>
      <c r="M18" s="92">
        <v>7388</v>
      </c>
      <c r="N18" s="92" t="s">
        <v>839</v>
      </c>
      <c r="O18" s="92" t="s">
        <v>839</v>
      </c>
      <c r="P18" s="92" t="s">
        <v>839</v>
      </c>
      <c r="Q18" s="92">
        <v>18476</v>
      </c>
      <c r="R18" s="94" t="s">
        <v>677</v>
      </c>
    </row>
    <row r="19" spans="1:18" s="92" customFormat="1" ht="9.75" customHeight="1" x14ac:dyDescent="0.15">
      <c r="A19" s="756" t="s">
        <v>674</v>
      </c>
      <c r="B19" s="93">
        <v>117138</v>
      </c>
      <c r="C19" s="92">
        <v>40411</v>
      </c>
      <c r="D19" s="92">
        <v>3000</v>
      </c>
      <c r="E19" s="92">
        <v>3000</v>
      </c>
      <c r="F19" s="92">
        <v>19942</v>
      </c>
      <c r="G19" s="92">
        <v>18961</v>
      </c>
      <c r="H19" s="92" t="s">
        <v>839</v>
      </c>
      <c r="I19" s="92">
        <v>18961</v>
      </c>
      <c r="J19" s="92">
        <v>981</v>
      </c>
      <c r="K19" s="92" t="s">
        <v>839</v>
      </c>
      <c r="L19" s="92">
        <v>981</v>
      </c>
      <c r="M19" s="92" t="s">
        <v>839</v>
      </c>
      <c r="N19" s="92" t="s">
        <v>839</v>
      </c>
      <c r="O19" s="92" t="s">
        <v>839</v>
      </c>
      <c r="P19" s="92" t="s">
        <v>839</v>
      </c>
      <c r="Q19" s="92">
        <v>992</v>
      </c>
      <c r="R19" s="94" t="s">
        <v>89</v>
      </c>
    </row>
    <row r="20" spans="1:18" s="92" customFormat="1" ht="9.75" customHeight="1" x14ac:dyDescent="0.15">
      <c r="A20" s="756" t="s">
        <v>675</v>
      </c>
      <c r="B20" s="93">
        <v>67901</v>
      </c>
      <c r="C20" s="92">
        <v>49977</v>
      </c>
      <c r="D20" s="92" t="s">
        <v>839</v>
      </c>
      <c r="E20" s="92" t="s">
        <v>839</v>
      </c>
      <c r="F20" s="92">
        <v>48286</v>
      </c>
      <c r="G20" s="92">
        <v>27286</v>
      </c>
      <c r="H20" s="92" t="s">
        <v>839</v>
      </c>
      <c r="I20" s="92">
        <v>27286</v>
      </c>
      <c r="J20" s="92">
        <v>21000</v>
      </c>
      <c r="K20" s="92" t="s">
        <v>839</v>
      </c>
      <c r="L20" s="92">
        <v>21000</v>
      </c>
      <c r="M20" s="92" t="s">
        <v>839</v>
      </c>
      <c r="N20" s="92" t="s">
        <v>839</v>
      </c>
      <c r="O20" s="92" t="s">
        <v>839</v>
      </c>
      <c r="P20" s="92" t="s">
        <v>839</v>
      </c>
      <c r="Q20" s="92" t="s">
        <v>839</v>
      </c>
      <c r="R20" s="94" t="s">
        <v>90</v>
      </c>
    </row>
    <row r="21" spans="1:18" s="92" customFormat="1" ht="9.75" customHeight="1" x14ac:dyDescent="0.15">
      <c r="A21" s="756" t="s">
        <v>676</v>
      </c>
      <c r="B21" s="93">
        <v>84395</v>
      </c>
      <c r="C21" s="92">
        <v>55878</v>
      </c>
      <c r="D21" s="92" t="s">
        <v>839</v>
      </c>
      <c r="E21" s="92" t="s">
        <v>839</v>
      </c>
      <c r="F21" s="92">
        <v>51482</v>
      </c>
      <c r="G21" s="92">
        <v>51482</v>
      </c>
      <c r="H21" s="92">
        <v>6315</v>
      </c>
      <c r="I21" s="92">
        <v>45167</v>
      </c>
      <c r="J21" s="92" t="s">
        <v>839</v>
      </c>
      <c r="K21" s="92" t="s">
        <v>839</v>
      </c>
      <c r="L21" s="92" t="s">
        <v>839</v>
      </c>
      <c r="M21" s="92" t="s">
        <v>839</v>
      </c>
      <c r="N21" s="92" t="s">
        <v>839</v>
      </c>
      <c r="O21" s="92" t="s">
        <v>839</v>
      </c>
      <c r="P21" s="92" t="s">
        <v>839</v>
      </c>
      <c r="Q21" s="92" t="s">
        <v>839</v>
      </c>
      <c r="R21" s="94" t="s">
        <v>91</v>
      </c>
    </row>
    <row r="22" spans="1:18" s="92" customFormat="1" ht="9.75" customHeight="1" x14ac:dyDescent="0.15">
      <c r="A22" s="756" t="s">
        <v>846</v>
      </c>
      <c r="B22" s="93">
        <v>108713</v>
      </c>
      <c r="C22" s="92">
        <v>79123</v>
      </c>
      <c r="D22" s="92">
        <v>8697</v>
      </c>
      <c r="E22" s="92">
        <v>8697</v>
      </c>
      <c r="F22" s="92">
        <v>37390</v>
      </c>
      <c r="G22" s="92">
        <v>31232</v>
      </c>
      <c r="H22" s="92">
        <v>31232</v>
      </c>
      <c r="I22" s="92" t="s">
        <v>839</v>
      </c>
      <c r="J22" s="92">
        <v>6158</v>
      </c>
      <c r="K22" s="92" t="s">
        <v>839</v>
      </c>
      <c r="L22" s="92">
        <v>6158</v>
      </c>
      <c r="M22" s="92" t="s">
        <v>839</v>
      </c>
      <c r="N22" s="92" t="s">
        <v>839</v>
      </c>
      <c r="O22" s="92" t="s">
        <v>839</v>
      </c>
      <c r="P22" s="92" t="s">
        <v>839</v>
      </c>
      <c r="Q22" s="92" t="s">
        <v>839</v>
      </c>
      <c r="R22" s="94" t="s">
        <v>847</v>
      </c>
    </row>
    <row r="23" spans="1:18" s="92" customFormat="1" ht="9.75" customHeight="1" x14ac:dyDescent="0.15">
      <c r="A23" s="787"/>
      <c r="B23" s="93"/>
      <c r="R23" s="94"/>
    </row>
    <row r="24" spans="1:18" s="92" customFormat="1" ht="9.75" customHeight="1" x14ac:dyDescent="0.15">
      <c r="A24" s="756" t="s">
        <v>848</v>
      </c>
      <c r="B24" s="93">
        <v>12554</v>
      </c>
      <c r="C24" s="92">
        <v>5001</v>
      </c>
      <c r="D24" s="92" t="s">
        <v>839</v>
      </c>
      <c r="E24" s="92" t="s">
        <v>839</v>
      </c>
      <c r="F24" s="92">
        <v>5001</v>
      </c>
      <c r="G24" s="92" t="s">
        <v>839</v>
      </c>
      <c r="H24" s="92" t="s">
        <v>839</v>
      </c>
      <c r="I24" s="92" t="s">
        <v>839</v>
      </c>
      <c r="J24" s="92">
        <v>5001</v>
      </c>
      <c r="K24" s="92" t="s">
        <v>839</v>
      </c>
      <c r="L24" s="92" t="s">
        <v>839</v>
      </c>
      <c r="M24" s="92">
        <v>5001</v>
      </c>
      <c r="N24" s="92" t="s">
        <v>839</v>
      </c>
      <c r="O24" s="92" t="s">
        <v>839</v>
      </c>
      <c r="P24" s="92" t="s">
        <v>839</v>
      </c>
      <c r="Q24" s="92" t="s">
        <v>839</v>
      </c>
      <c r="R24" s="94" t="s">
        <v>689</v>
      </c>
    </row>
    <row r="25" spans="1:18" s="92" customFormat="1" ht="9.75" customHeight="1" x14ac:dyDescent="0.15">
      <c r="A25" s="756" t="s">
        <v>678</v>
      </c>
      <c r="B25" s="93">
        <v>32865</v>
      </c>
      <c r="C25" s="92">
        <v>25004</v>
      </c>
      <c r="D25" s="92" t="s">
        <v>839</v>
      </c>
      <c r="E25" s="92" t="s">
        <v>839</v>
      </c>
      <c r="F25" s="92">
        <v>6528</v>
      </c>
      <c r="G25" s="92" t="s">
        <v>839</v>
      </c>
      <c r="H25" s="92" t="s">
        <v>839</v>
      </c>
      <c r="I25" s="92" t="s">
        <v>839</v>
      </c>
      <c r="J25" s="92">
        <v>6528</v>
      </c>
      <c r="K25" s="92" t="s">
        <v>839</v>
      </c>
      <c r="L25" s="92">
        <v>4141</v>
      </c>
      <c r="M25" s="92">
        <v>2387</v>
      </c>
      <c r="N25" s="92" t="s">
        <v>839</v>
      </c>
      <c r="O25" s="92" t="s">
        <v>839</v>
      </c>
      <c r="P25" s="92" t="s">
        <v>839</v>
      </c>
      <c r="Q25" s="92">
        <v>18476</v>
      </c>
      <c r="R25" s="94" t="s">
        <v>77</v>
      </c>
    </row>
    <row r="26" spans="1:18" s="92" customFormat="1" ht="9.75" customHeight="1" x14ac:dyDescent="0.15">
      <c r="A26" s="756" t="s">
        <v>679</v>
      </c>
      <c r="B26" s="93">
        <v>18300</v>
      </c>
      <c r="C26" s="92">
        <v>6854</v>
      </c>
      <c r="D26" s="92" t="s">
        <v>839</v>
      </c>
      <c r="E26" s="92" t="s">
        <v>839</v>
      </c>
      <c r="F26" s="92">
        <v>6854</v>
      </c>
      <c r="G26" s="92" t="s">
        <v>839</v>
      </c>
      <c r="H26" s="92" t="s">
        <v>839</v>
      </c>
      <c r="I26" s="92" t="s">
        <v>839</v>
      </c>
      <c r="J26" s="92">
        <v>6854</v>
      </c>
      <c r="K26" s="92" t="s">
        <v>839</v>
      </c>
      <c r="L26" s="92">
        <v>6854</v>
      </c>
      <c r="M26" s="92" t="s">
        <v>839</v>
      </c>
      <c r="N26" s="92" t="s">
        <v>839</v>
      </c>
      <c r="O26" s="92" t="s">
        <v>839</v>
      </c>
      <c r="P26" s="92" t="s">
        <v>839</v>
      </c>
      <c r="Q26" s="92" t="s">
        <v>839</v>
      </c>
      <c r="R26" s="94" t="s">
        <v>78</v>
      </c>
    </row>
    <row r="27" spans="1:18" s="92" customFormat="1" ht="9.75" customHeight="1" x14ac:dyDescent="0.15">
      <c r="A27" s="756" t="s">
        <v>680</v>
      </c>
      <c r="B27" s="93">
        <v>29013</v>
      </c>
      <c r="C27" s="92">
        <v>20458</v>
      </c>
      <c r="D27" s="92">
        <v>3000</v>
      </c>
      <c r="E27" s="92">
        <v>3000</v>
      </c>
      <c r="F27" s="92">
        <v>981</v>
      </c>
      <c r="G27" s="92" t="s">
        <v>839</v>
      </c>
      <c r="H27" s="92" t="s">
        <v>839</v>
      </c>
      <c r="I27" s="92" t="s">
        <v>839</v>
      </c>
      <c r="J27" s="92">
        <v>981</v>
      </c>
      <c r="K27" s="92" t="s">
        <v>839</v>
      </c>
      <c r="L27" s="92">
        <v>981</v>
      </c>
      <c r="M27" s="92" t="s">
        <v>839</v>
      </c>
      <c r="N27" s="92" t="s">
        <v>839</v>
      </c>
      <c r="O27" s="92" t="s">
        <v>839</v>
      </c>
      <c r="P27" s="92" t="s">
        <v>839</v>
      </c>
      <c r="Q27" s="92" t="s">
        <v>839</v>
      </c>
      <c r="R27" s="94" t="s">
        <v>79</v>
      </c>
    </row>
    <row r="28" spans="1:18" s="92" customFormat="1" ht="9.75" customHeight="1" x14ac:dyDescent="0.15">
      <c r="A28" s="756" t="s">
        <v>681</v>
      </c>
      <c r="B28" s="93">
        <v>66843</v>
      </c>
      <c r="C28" s="92">
        <v>9951</v>
      </c>
      <c r="D28" s="92" t="s">
        <v>839</v>
      </c>
      <c r="E28" s="92" t="s">
        <v>839</v>
      </c>
      <c r="F28" s="92">
        <v>8959</v>
      </c>
      <c r="G28" s="92">
        <v>8959</v>
      </c>
      <c r="H28" s="92" t="s">
        <v>839</v>
      </c>
      <c r="I28" s="92">
        <v>8959</v>
      </c>
      <c r="J28" s="92" t="s">
        <v>839</v>
      </c>
      <c r="K28" s="92" t="s">
        <v>839</v>
      </c>
      <c r="L28" s="92" t="s">
        <v>839</v>
      </c>
      <c r="M28" s="92" t="s">
        <v>839</v>
      </c>
      <c r="N28" s="92" t="s">
        <v>839</v>
      </c>
      <c r="O28" s="92" t="s">
        <v>839</v>
      </c>
      <c r="P28" s="92" t="s">
        <v>839</v>
      </c>
      <c r="Q28" s="92">
        <v>992</v>
      </c>
      <c r="R28" s="95" t="s">
        <v>92</v>
      </c>
    </row>
    <row r="29" spans="1:18" s="92" customFormat="1" ht="9.75" customHeight="1" x14ac:dyDescent="0.15">
      <c r="A29" s="756" t="s">
        <v>682</v>
      </c>
      <c r="B29" s="93">
        <v>21282</v>
      </c>
      <c r="C29" s="92">
        <v>10002</v>
      </c>
      <c r="D29" s="92" t="s">
        <v>839</v>
      </c>
      <c r="E29" s="92" t="s">
        <v>839</v>
      </c>
      <c r="F29" s="92">
        <v>10002</v>
      </c>
      <c r="G29" s="92">
        <v>10002</v>
      </c>
      <c r="H29" s="92" t="s">
        <v>839</v>
      </c>
      <c r="I29" s="92">
        <v>10002</v>
      </c>
      <c r="J29" s="92" t="s">
        <v>839</v>
      </c>
      <c r="K29" s="92" t="s">
        <v>839</v>
      </c>
      <c r="L29" s="92" t="s">
        <v>839</v>
      </c>
      <c r="M29" s="92" t="s">
        <v>839</v>
      </c>
      <c r="N29" s="92" t="s">
        <v>839</v>
      </c>
      <c r="O29" s="92" t="s">
        <v>839</v>
      </c>
      <c r="P29" s="92" t="s">
        <v>839</v>
      </c>
      <c r="Q29" s="92" t="s">
        <v>839</v>
      </c>
      <c r="R29" s="94" t="s">
        <v>93</v>
      </c>
    </row>
    <row r="30" spans="1:18" s="92" customFormat="1" ht="9.75" customHeight="1" x14ac:dyDescent="0.15">
      <c r="A30" s="756" t="s">
        <v>683</v>
      </c>
      <c r="B30" s="93">
        <v>28093</v>
      </c>
      <c r="C30" s="92">
        <v>24706</v>
      </c>
      <c r="D30" s="92" t="s">
        <v>839</v>
      </c>
      <c r="E30" s="92" t="s">
        <v>839</v>
      </c>
      <c r="F30" s="92">
        <v>24706</v>
      </c>
      <c r="G30" s="92">
        <v>9766</v>
      </c>
      <c r="H30" s="92" t="s">
        <v>839</v>
      </c>
      <c r="I30" s="92">
        <v>9766</v>
      </c>
      <c r="J30" s="92">
        <v>14940</v>
      </c>
      <c r="K30" s="92" t="s">
        <v>839</v>
      </c>
      <c r="L30" s="92">
        <v>14940</v>
      </c>
      <c r="M30" s="92" t="s">
        <v>839</v>
      </c>
      <c r="N30" s="92" t="s">
        <v>839</v>
      </c>
      <c r="O30" s="92" t="s">
        <v>839</v>
      </c>
      <c r="P30" s="92" t="s">
        <v>839</v>
      </c>
      <c r="Q30" s="92" t="s">
        <v>839</v>
      </c>
      <c r="R30" s="94" t="s">
        <v>94</v>
      </c>
    </row>
    <row r="31" spans="1:18" s="92" customFormat="1" ht="9.75" customHeight="1" x14ac:dyDescent="0.15">
      <c r="A31" s="756" t="s">
        <v>684</v>
      </c>
      <c r="B31" s="93">
        <v>21741</v>
      </c>
      <c r="C31" s="92">
        <v>13004</v>
      </c>
      <c r="D31" s="92" t="s">
        <v>839</v>
      </c>
      <c r="E31" s="92" t="s">
        <v>839</v>
      </c>
      <c r="F31" s="92">
        <v>13004</v>
      </c>
      <c r="G31" s="92">
        <v>10004</v>
      </c>
      <c r="H31" s="92" t="s">
        <v>839</v>
      </c>
      <c r="I31" s="92">
        <v>10004</v>
      </c>
      <c r="J31" s="92">
        <v>3000</v>
      </c>
      <c r="K31" s="92" t="s">
        <v>839</v>
      </c>
      <c r="L31" s="92">
        <v>3000</v>
      </c>
      <c r="M31" s="92" t="s">
        <v>839</v>
      </c>
      <c r="N31" s="92" t="s">
        <v>839</v>
      </c>
      <c r="O31" s="92" t="s">
        <v>839</v>
      </c>
      <c r="P31" s="92" t="s">
        <v>839</v>
      </c>
      <c r="Q31" s="92" t="s">
        <v>839</v>
      </c>
      <c r="R31" s="94" t="s">
        <v>95</v>
      </c>
    </row>
    <row r="32" spans="1:18" s="92" customFormat="1" ht="9.75" customHeight="1" x14ac:dyDescent="0.15">
      <c r="A32" s="756" t="s">
        <v>685</v>
      </c>
      <c r="B32" s="93">
        <v>18067</v>
      </c>
      <c r="C32" s="92">
        <v>12267</v>
      </c>
      <c r="D32" s="92" t="s">
        <v>839</v>
      </c>
      <c r="E32" s="92" t="s">
        <v>839</v>
      </c>
      <c r="F32" s="92">
        <v>10576</v>
      </c>
      <c r="G32" s="92">
        <v>7516</v>
      </c>
      <c r="H32" s="92" t="s">
        <v>839</v>
      </c>
      <c r="I32" s="92">
        <v>7516</v>
      </c>
      <c r="J32" s="92">
        <v>3060</v>
      </c>
      <c r="K32" s="92" t="s">
        <v>839</v>
      </c>
      <c r="L32" s="92">
        <v>3060</v>
      </c>
      <c r="M32" s="92" t="s">
        <v>839</v>
      </c>
      <c r="N32" s="92" t="s">
        <v>839</v>
      </c>
      <c r="O32" s="92" t="s">
        <v>839</v>
      </c>
      <c r="P32" s="92" t="s">
        <v>839</v>
      </c>
      <c r="Q32" s="92" t="s">
        <v>839</v>
      </c>
      <c r="R32" s="94" t="s">
        <v>96</v>
      </c>
    </row>
    <row r="33" spans="1:18" s="92" customFormat="1" ht="9.75" customHeight="1" x14ac:dyDescent="0.15">
      <c r="A33" s="756" t="s">
        <v>686</v>
      </c>
      <c r="B33" s="93">
        <v>23218</v>
      </c>
      <c r="C33" s="92">
        <v>13002</v>
      </c>
      <c r="D33" s="92" t="s">
        <v>839</v>
      </c>
      <c r="E33" s="92" t="s">
        <v>839</v>
      </c>
      <c r="F33" s="92">
        <v>12607</v>
      </c>
      <c r="G33" s="92">
        <v>12607</v>
      </c>
      <c r="H33" s="92" t="s">
        <v>839</v>
      </c>
      <c r="I33" s="92">
        <v>12607</v>
      </c>
      <c r="J33" s="92" t="s">
        <v>839</v>
      </c>
      <c r="K33" s="92" t="s">
        <v>839</v>
      </c>
      <c r="L33" s="92" t="s">
        <v>839</v>
      </c>
      <c r="M33" s="92" t="s">
        <v>839</v>
      </c>
      <c r="N33" s="92" t="s">
        <v>839</v>
      </c>
      <c r="O33" s="92" t="s">
        <v>839</v>
      </c>
      <c r="P33" s="92" t="s">
        <v>839</v>
      </c>
      <c r="Q33" s="92" t="s">
        <v>839</v>
      </c>
      <c r="R33" s="94" t="s">
        <v>80</v>
      </c>
    </row>
    <row r="34" spans="1:18" s="92" customFormat="1" ht="9.75" customHeight="1" x14ac:dyDescent="0.15">
      <c r="A34" s="756" t="s">
        <v>687</v>
      </c>
      <c r="B34" s="93">
        <v>36776</v>
      </c>
      <c r="C34" s="92">
        <v>28973</v>
      </c>
      <c r="D34" s="92" t="s">
        <v>839</v>
      </c>
      <c r="E34" s="92" t="s">
        <v>839</v>
      </c>
      <c r="F34" s="92">
        <v>28973</v>
      </c>
      <c r="G34" s="92">
        <v>28973</v>
      </c>
      <c r="H34" s="92" t="s">
        <v>839</v>
      </c>
      <c r="I34" s="92">
        <v>28973</v>
      </c>
      <c r="J34" s="92" t="s">
        <v>839</v>
      </c>
      <c r="K34" s="92" t="s">
        <v>839</v>
      </c>
      <c r="L34" s="92" t="s">
        <v>839</v>
      </c>
      <c r="M34" s="92" t="s">
        <v>839</v>
      </c>
      <c r="N34" s="92" t="s">
        <v>839</v>
      </c>
      <c r="O34" s="92" t="s">
        <v>839</v>
      </c>
      <c r="P34" s="92" t="s">
        <v>839</v>
      </c>
      <c r="Q34" s="92" t="s">
        <v>839</v>
      </c>
      <c r="R34" s="94" t="s">
        <v>81</v>
      </c>
    </row>
    <row r="35" spans="1:18" s="92" customFormat="1" ht="9.75" customHeight="1" x14ac:dyDescent="0.15">
      <c r="A35" s="756" t="s">
        <v>688</v>
      </c>
      <c r="B35" s="93">
        <v>24401</v>
      </c>
      <c r="C35" s="92">
        <v>13903</v>
      </c>
      <c r="D35" s="92" t="s">
        <v>839</v>
      </c>
      <c r="E35" s="92" t="s">
        <v>839</v>
      </c>
      <c r="F35" s="92">
        <v>9902</v>
      </c>
      <c r="G35" s="92">
        <v>9902</v>
      </c>
      <c r="H35" s="92">
        <v>6315</v>
      </c>
      <c r="I35" s="92">
        <v>3587</v>
      </c>
      <c r="J35" s="92" t="s">
        <v>839</v>
      </c>
      <c r="K35" s="92" t="s">
        <v>839</v>
      </c>
      <c r="L35" s="92" t="s">
        <v>839</v>
      </c>
      <c r="M35" s="92" t="s">
        <v>839</v>
      </c>
      <c r="N35" s="92" t="s">
        <v>839</v>
      </c>
      <c r="O35" s="92" t="s">
        <v>839</v>
      </c>
      <c r="P35" s="92" t="s">
        <v>839</v>
      </c>
      <c r="Q35" s="92" t="s">
        <v>839</v>
      </c>
      <c r="R35" s="94" t="s">
        <v>82</v>
      </c>
    </row>
    <row r="36" spans="1:18" s="92" customFormat="1" ht="9.75" customHeight="1" x14ac:dyDescent="0.15">
      <c r="A36" s="756" t="s">
        <v>849</v>
      </c>
      <c r="B36" s="93">
        <v>37213</v>
      </c>
      <c r="C36" s="92">
        <v>25766</v>
      </c>
      <c r="D36" s="92" t="s">
        <v>839</v>
      </c>
      <c r="E36" s="92" t="s">
        <v>839</v>
      </c>
      <c r="F36" s="92">
        <v>20765</v>
      </c>
      <c r="G36" s="92">
        <v>17902</v>
      </c>
      <c r="H36" s="92">
        <v>17902</v>
      </c>
      <c r="I36" s="92" t="s">
        <v>839</v>
      </c>
      <c r="J36" s="92">
        <v>2863</v>
      </c>
      <c r="K36" s="92" t="s">
        <v>839</v>
      </c>
      <c r="L36" s="92">
        <v>2863</v>
      </c>
      <c r="M36" s="92" t="s">
        <v>839</v>
      </c>
      <c r="N36" s="92" t="s">
        <v>839</v>
      </c>
      <c r="O36" s="92" t="s">
        <v>839</v>
      </c>
      <c r="P36" s="92" t="s">
        <v>839</v>
      </c>
      <c r="Q36" s="92" t="s">
        <v>839</v>
      </c>
      <c r="R36" s="94" t="s">
        <v>850</v>
      </c>
    </row>
    <row r="37" spans="1:18" s="92" customFormat="1" ht="9.75" customHeight="1" x14ac:dyDescent="0.15">
      <c r="A37" s="756" t="s">
        <v>690</v>
      </c>
      <c r="B37" s="93">
        <v>55817</v>
      </c>
      <c r="C37" s="92">
        <v>48657</v>
      </c>
      <c r="D37" s="92">
        <v>4044</v>
      </c>
      <c r="E37" s="92">
        <v>4044</v>
      </c>
      <c r="F37" s="92">
        <v>16578</v>
      </c>
      <c r="G37" s="92">
        <v>13330</v>
      </c>
      <c r="H37" s="92">
        <v>13330</v>
      </c>
      <c r="I37" s="92" t="s">
        <v>839</v>
      </c>
      <c r="J37" s="92">
        <v>3248</v>
      </c>
      <c r="K37" s="92" t="s">
        <v>839</v>
      </c>
      <c r="L37" s="92">
        <v>3248</v>
      </c>
      <c r="M37" s="92" t="s">
        <v>839</v>
      </c>
      <c r="N37" s="92" t="s">
        <v>839</v>
      </c>
      <c r="O37" s="92" t="s">
        <v>839</v>
      </c>
      <c r="P37" s="92" t="s">
        <v>839</v>
      </c>
      <c r="Q37" s="92" t="s">
        <v>839</v>
      </c>
      <c r="R37" s="94" t="s">
        <v>77</v>
      </c>
    </row>
    <row r="38" spans="1:18" s="92" customFormat="1" ht="9.75" customHeight="1" x14ac:dyDescent="0.15">
      <c r="A38" s="757" t="s">
        <v>691</v>
      </c>
      <c r="B38" s="96">
        <v>15683</v>
      </c>
      <c r="C38" s="97">
        <v>4700</v>
      </c>
      <c r="D38" s="97">
        <v>4653</v>
      </c>
      <c r="E38" s="97">
        <v>4653</v>
      </c>
      <c r="F38" s="97">
        <v>47</v>
      </c>
      <c r="G38" s="97" t="s">
        <v>839</v>
      </c>
      <c r="H38" s="97" t="s">
        <v>839</v>
      </c>
      <c r="I38" s="97" t="s">
        <v>839</v>
      </c>
      <c r="J38" s="97">
        <v>47</v>
      </c>
      <c r="K38" s="97" t="s">
        <v>839</v>
      </c>
      <c r="L38" s="97">
        <v>47</v>
      </c>
      <c r="M38" s="97" t="s">
        <v>839</v>
      </c>
      <c r="N38" s="97" t="s">
        <v>839</v>
      </c>
      <c r="O38" s="97" t="s">
        <v>839</v>
      </c>
      <c r="P38" s="97" t="s">
        <v>839</v>
      </c>
      <c r="Q38" s="97" t="s">
        <v>839</v>
      </c>
      <c r="R38" s="98" t="s">
        <v>78</v>
      </c>
    </row>
    <row r="39" spans="1:18" ht="21.75" customHeight="1" x14ac:dyDescent="0.15">
      <c r="I39" s="31" t="s">
        <v>97</v>
      </c>
    </row>
    <row r="40" spans="1:18" s="86" customFormat="1" ht="12" customHeight="1" x14ac:dyDescent="0.15">
      <c r="A40" s="82"/>
      <c r="B40" s="99" t="s">
        <v>194</v>
      </c>
      <c r="C40" s="85"/>
      <c r="D40" s="85"/>
      <c r="E40" s="85"/>
      <c r="F40" s="85"/>
      <c r="G40" s="85"/>
      <c r="H40" s="85"/>
      <c r="I40" s="85"/>
      <c r="J40" s="82"/>
      <c r="K40" s="84"/>
      <c r="L40" s="85"/>
      <c r="M40" s="85"/>
      <c r="N40" s="85"/>
      <c r="O40" s="85"/>
      <c r="P40" s="85"/>
      <c r="Q40" s="85"/>
      <c r="R40" s="996" t="s">
        <v>83</v>
      </c>
    </row>
    <row r="41" spans="1:18" s="46" customFormat="1" ht="13.5" customHeight="1" x14ac:dyDescent="0.15">
      <c r="A41" s="44"/>
      <c r="B41" s="99" t="s">
        <v>177</v>
      </c>
      <c r="C41" s="87"/>
      <c r="D41" s="87"/>
      <c r="E41" s="88"/>
      <c r="F41" s="719"/>
      <c r="G41" s="87"/>
      <c r="H41" s="87"/>
      <c r="I41" s="87"/>
      <c r="J41" s="88"/>
      <c r="K41" s="37" t="s">
        <v>195</v>
      </c>
      <c r="L41" s="719"/>
      <c r="M41" s="88"/>
      <c r="N41" s="719"/>
      <c r="O41" s="88"/>
      <c r="P41" s="719"/>
      <c r="Q41" s="87"/>
      <c r="R41" s="997"/>
    </row>
    <row r="42" spans="1:18" s="46" customFormat="1" ht="33.75" customHeight="1" x14ac:dyDescent="0.15">
      <c r="A42" s="44" t="s">
        <v>185</v>
      </c>
      <c r="B42" s="35" t="s">
        <v>626</v>
      </c>
      <c r="C42" s="719" t="s">
        <v>178</v>
      </c>
      <c r="D42" s="87"/>
      <c r="E42" s="88"/>
      <c r="F42" s="37" t="s">
        <v>113</v>
      </c>
      <c r="G42" s="719" t="s">
        <v>181</v>
      </c>
      <c r="H42" s="87"/>
      <c r="I42" s="87"/>
      <c r="J42" s="88"/>
      <c r="K42" s="37" t="s">
        <v>196</v>
      </c>
      <c r="L42" s="37" t="s">
        <v>86</v>
      </c>
      <c r="M42" s="100" t="s">
        <v>198</v>
      </c>
      <c r="N42" s="37" t="s">
        <v>170</v>
      </c>
      <c r="O42" s="35" t="s">
        <v>892</v>
      </c>
      <c r="P42" s="37" t="s">
        <v>113</v>
      </c>
      <c r="Q42" s="719" t="s">
        <v>181</v>
      </c>
      <c r="R42" s="997"/>
    </row>
    <row r="43" spans="1:18" s="46" customFormat="1" ht="22.5" customHeight="1" x14ac:dyDescent="0.15">
      <c r="A43" s="44"/>
      <c r="B43" s="35" t="s">
        <v>54</v>
      </c>
      <c r="C43" s="37" t="s">
        <v>27</v>
      </c>
      <c r="D43" s="35" t="s">
        <v>179</v>
      </c>
      <c r="E43" s="35" t="s">
        <v>893</v>
      </c>
      <c r="F43" s="37" t="s">
        <v>55</v>
      </c>
      <c r="G43" s="37" t="s">
        <v>56</v>
      </c>
      <c r="H43" s="35" t="s">
        <v>183</v>
      </c>
      <c r="I43" s="35" t="s">
        <v>184</v>
      </c>
      <c r="J43" s="35" t="s">
        <v>894</v>
      </c>
      <c r="K43" s="37"/>
      <c r="L43" s="37" t="s">
        <v>47</v>
      </c>
      <c r="M43" s="35" t="s">
        <v>895</v>
      </c>
      <c r="N43" s="37" t="s">
        <v>25</v>
      </c>
      <c r="O43" s="35" t="s">
        <v>896</v>
      </c>
      <c r="P43" s="37" t="s">
        <v>55</v>
      </c>
      <c r="Q43" s="721" t="s">
        <v>56</v>
      </c>
      <c r="R43" s="997"/>
    </row>
    <row r="44" spans="1:18" s="46" customFormat="1" ht="13.5" customHeight="1" x14ac:dyDescent="0.15">
      <c r="A44" s="36"/>
      <c r="B44" s="30" t="str">
        <f>PROPER("NILE")</f>
        <v>Nile</v>
      </c>
      <c r="C44" s="30"/>
      <c r="D44" s="30" t="str">
        <f>PROPER("RABI-L")</f>
        <v>Rabi-L</v>
      </c>
      <c r="E44" s="30" t="str">
        <f>PROPER("RABI-BLD")</f>
        <v>Rabi-Bld</v>
      </c>
      <c r="F44" s="30"/>
      <c r="G44" s="30"/>
      <c r="H44" s="30" t="str">
        <f>PROPER("STAG")</f>
        <v>Stag</v>
      </c>
      <c r="I44" s="30" t="str">
        <f>PROPER("ENFIELD")</f>
        <v>Enfield</v>
      </c>
      <c r="J44" s="30" t="str">
        <f>PROPER("VANGOG-B")</f>
        <v>Vangog-B</v>
      </c>
      <c r="K44" s="30"/>
      <c r="L44" s="30"/>
      <c r="M44" s="30" t="str">
        <f>PROPER("SHARJA-C")</f>
        <v>Sharja-C</v>
      </c>
      <c r="N44" s="30"/>
      <c r="O44" s="30" t="str">
        <f>PROPER("TEMANE-C")</f>
        <v>Temane-C</v>
      </c>
      <c r="P44" s="30"/>
      <c r="Q44" s="722"/>
      <c r="R44" s="998"/>
    </row>
    <row r="45" spans="1:18" s="92" customFormat="1" ht="9.75" customHeight="1" x14ac:dyDescent="0.15">
      <c r="A45" s="755" t="s">
        <v>838</v>
      </c>
      <c r="B45" s="89" t="s">
        <v>839</v>
      </c>
      <c r="C45" s="90" t="s">
        <v>839</v>
      </c>
      <c r="D45" s="90" t="s">
        <v>839</v>
      </c>
      <c r="E45" s="90" t="s">
        <v>839</v>
      </c>
      <c r="F45" s="90">
        <v>42686</v>
      </c>
      <c r="G45" s="90">
        <v>42686</v>
      </c>
      <c r="H45" s="90">
        <v>15872</v>
      </c>
      <c r="I45" s="90">
        <v>26814</v>
      </c>
      <c r="J45" s="90" t="s">
        <v>839</v>
      </c>
      <c r="K45" s="90">
        <v>222133</v>
      </c>
      <c r="L45" s="90" t="s">
        <v>839</v>
      </c>
      <c r="M45" s="90" t="s">
        <v>839</v>
      </c>
      <c r="N45" s="90">
        <v>18857</v>
      </c>
      <c r="O45" s="90">
        <v>18857</v>
      </c>
      <c r="P45" s="90">
        <v>203276</v>
      </c>
      <c r="Q45" s="90">
        <v>203276</v>
      </c>
      <c r="R45" s="91" t="s">
        <v>457</v>
      </c>
    </row>
    <row r="46" spans="1:18" s="92" customFormat="1" ht="9.75" customHeight="1" x14ac:dyDescent="0.15">
      <c r="A46" s="756" t="s">
        <v>669</v>
      </c>
      <c r="B46" s="92" t="s">
        <v>839</v>
      </c>
      <c r="C46" s="92">
        <v>339</v>
      </c>
      <c r="D46" s="92">
        <v>1</v>
      </c>
      <c r="E46" s="92">
        <v>338</v>
      </c>
      <c r="F46" s="92" t="s">
        <v>839</v>
      </c>
      <c r="G46" s="92" t="s">
        <v>839</v>
      </c>
      <c r="H46" s="92" t="s">
        <v>839</v>
      </c>
      <c r="I46" s="92" t="s">
        <v>839</v>
      </c>
      <c r="J46" s="92" t="s">
        <v>839</v>
      </c>
      <c r="K46" s="92">
        <v>54012</v>
      </c>
      <c r="L46" s="92" t="s">
        <v>839</v>
      </c>
      <c r="M46" s="92" t="s">
        <v>839</v>
      </c>
      <c r="N46" s="92" t="s">
        <v>839</v>
      </c>
      <c r="O46" s="92" t="s">
        <v>839</v>
      </c>
      <c r="P46" s="92">
        <v>54012</v>
      </c>
      <c r="Q46" s="92">
        <v>54012</v>
      </c>
      <c r="R46" s="94" t="s">
        <v>512</v>
      </c>
    </row>
    <row r="47" spans="1:18" s="92" customFormat="1" ht="9.75" customHeight="1" x14ac:dyDescent="0.15">
      <c r="A47" s="756" t="s">
        <v>670</v>
      </c>
      <c r="B47" s="92" t="s">
        <v>839</v>
      </c>
      <c r="C47" s="92" t="s">
        <v>839</v>
      </c>
      <c r="D47" s="92" t="s">
        <v>839</v>
      </c>
      <c r="E47" s="92" t="s">
        <v>839</v>
      </c>
      <c r="F47" s="92" t="s">
        <v>839</v>
      </c>
      <c r="G47" s="92" t="s">
        <v>839</v>
      </c>
      <c r="H47" s="92" t="s">
        <v>839</v>
      </c>
      <c r="I47" s="92" t="s">
        <v>839</v>
      </c>
      <c r="J47" s="92" t="s">
        <v>839</v>
      </c>
      <c r="K47" s="92" t="s">
        <v>839</v>
      </c>
      <c r="L47" s="92" t="s">
        <v>839</v>
      </c>
      <c r="M47" s="92" t="s">
        <v>839</v>
      </c>
      <c r="N47" s="92" t="s">
        <v>839</v>
      </c>
      <c r="O47" s="92" t="s">
        <v>839</v>
      </c>
      <c r="P47" s="92" t="s">
        <v>839</v>
      </c>
      <c r="Q47" s="92" t="s">
        <v>839</v>
      </c>
      <c r="R47" s="94" t="s">
        <v>620</v>
      </c>
    </row>
    <row r="48" spans="1:18" s="92" customFormat="1" ht="9.75" customHeight="1" x14ac:dyDescent="0.15">
      <c r="A48" s="756" t="s">
        <v>671</v>
      </c>
      <c r="B48" s="92" t="s">
        <v>839</v>
      </c>
      <c r="C48" s="92" t="s">
        <v>839</v>
      </c>
      <c r="D48" s="92" t="s">
        <v>839</v>
      </c>
      <c r="E48" s="92" t="s">
        <v>839</v>
      </c>
      <c r="F48" s="92" t="s">
        <v>839</v>
      </c>
      <c r="G48" s="92" t="s">
        <v>839</v>
      </c>
      <c r="H48" s="92" t="s">
        <v>839</v>
      </c>
      <c r="I48" s="92" t="s">
        <v>839</v>
      </c>
      <c r="J48" s="92" t="s">
        <v>839</v>
      </c>
      <c r="K48" s="92">
        <v>123388</v>
      </c>
      <c r="L48" s="92">
        <v>37026</v>
      </c>
      <c r="M48" s="92">
        <v>37026</v>
      </c>
      <c r="N48" s="92">
        <v>35007</v>
      </c>
      <c r="O48" s="92">
        <v>35007</v>
      </c>
      <c r="P48" s="92">
        <v>51355</v>
      </c>
      <c r="Q48" s="92">
        <v>51355</v>
      </c>
      <c r="R48" s="94" t="s">
        <v>672</v>
      </c>
    </row>
    <row r="49" spans="1:18" s="92" customFormat="1" ht="9.75" customHeight="1" x14ac:dyDescent="0.15">
      <c r="A49" s="756" t="s">
        <v>840</v>
      </c>
      <c r="B49" s="92">
        <v>19468</v>
      </c>
      <c r="C49" s="92" t="s">
        <v>839</v>
      </c>
      <c r="D49" s="92" t="s">
        <v>839</v>
      </c>
      <c r="E49" s="92" t="s">
        <v>839</v>
      </c>
      <c r="F49" s="92">
        <v>22564</v>
      </c>
      <c r="G49" s="92">
        <v>22564</v>
      </c>
      <c r="H49" s="92" t="s">
        <v>839</v>
      </c>
      <c r="I49" s="92" t="s">
        <v>839</v>
      </c>
      <c r="J49" s="92">
        <v>22564</v>
      </c>
      <c r="K49" s="92">
        <v>48240</v>
      </c>
      <c r="L49" s="92" t="s">
        <v>839</v>
      </c>
      <c r="M49" s="92" t="s">
        <v>839</v>
      </c>
      <c r="N49" s="92" t="s">
        <v>839</v>
      </c>
      <c r="O49" s="92" t="s">
        <v>839</v>
      </c>
      <c r="P49" s="92">
        <v>48240</v>
      </c>
      <c r="Q49" s="92">
        <v>48240</v>
      </c>
      <c r="R49" s="94" t="s">
        <v>841</v>
      </c>
    </row>
    <row r="50" spans="1:18" s="92" customFormat="1" ht="9.75" customHeight="1" x14ac:dyDescent="0.15">
      <c r="A50" s="787"/>
      <c r="R50" s="94"/>
    </row>
    <row r="51" spans="1:18" s="92" customFormat="1" ht="9.75" customHeight="1" x14ac:dyDescent="0.15">
      <c r="A51" s="756" t="s">
        <v>842</v>
      </c>
      <c r="B51" s="92">
        <v>18476</v>
      </c>
      <c r="C51" s="92" t="s">
        <v>839</v>
      </c>
      <c r="D51" s="92" t="s">
        <v>839</v>
      </c>
      <c r="E51" s="92" t="s">
        <v>839</v>
      </c>
      <c r="F51" s="92" t="s">
        <v>839</v>
      </c>
      <c r="G51" s="92" t="s">
        <v>839</v>
      </c>
      <c r="H51" s="92" t="s">
        <v>839</v>
      </c>
      <c r="I51" s="92" t="s">
        <v>839</v>
      </c>
      <c r="J51" s="92" t="s">
        <v>839</v>
      </c>
      <c r="K51" s="92">
        <v>123388</v>
      </c>
      <c r="L51" s="92">
        <v>37026</v>
      </c>
      <c r="M51" s="92">
        <v>37026</v>
      </c>
      <c r="N51" s="92">
        <v>35007</v>
      </c>
      <c r="O51" s="92">
        <v>35007</v>
      </c>
      <c r="P51" s="92">
        <v>51355</v>
      </c>
      <c r="Q51" s="92">
        <v>51355</v>
      </c>
      <c r="R51" s="94" t="s">
        <v>673</v>
      </c>
    </row>
    <row r="52" spans="1:18" s="92" customFormat="1" ht="9.75" customHeight="1" x14ac:dyDescent="0.15">
      <c r="A52" s="756" t="s">
        <v>843</v>
      </c>
      <c r="B52" s="92">
        <v>992</v>
      </c>
      <c r="C52" s="92" t="s">
        <v>839</v>
      </c>
      <c r="D52" s="92" t="s">
        <v>839</v>
      </c>
      <c r="E52" s="92" t="s">
        <v>839</v>
      </c>
      <c r="F52" s="92">
        <v>55600</v>
      </c>
      <c r="G52" s="92">
        <v>55600</v>
      </c>
      <c r="H52" s="92" t="s">
        <v>839</v>
      </c>
      <c r="I52" s="92" t="s">
        <v>839</v>
      </c>
      <c r="J52" s="92">
        <v>55600</v>
      </c>
      <c r="K52" s="92">
        <v>48240</v>
      </c>
      <c r="L52" s="92" t="s">
        <v>839</v>
      </c>
      <c r="M52" s="92" t="s">
        <v>839</v>
      </c>
      <c r="N52" s="92" t="s">
        <v>839</v>
      </c>
      <c r="O52" s="92" t="s">
        <v>839</v>
      </c>
      <c r="P52" s="92">
        <v>48240</v>
      </c>
      <c r="Q52" s="92">
        <v>48240</v>
      </c>
      <c r="R52" s="94" t="s">
        <v>844</v>
      </c>
    </row>
    <row r="53" spans="1:18" s="92" customFormat="1" ht="9.75" customHeight="1" x14ac:dyDescent="0.15">
      <c r="A53" s="787"/>
      <c r="R53" s="94"/>
    </row>
    <row r="54" spans="1:18" s="92" customFormat="1" ht="9.75" customHeight="1" x14ac:dyDescent="0.15">
      <c r="A54" s="756" t="s">
        <v>845</v>
      </c>
      <c r="B54" s="92">
        <v>18476</v>
      </c>
      <c r="C54" s="92" t="s">
        <v>839</v>
      </c>
      <c r="D54" s="92" t="s">
        <v>839</v>
      </c>
      <c r="E54" s="92" t="s">
        <v>839</v>
      </c>
      <c r="F54" s="92" t="s">
        <v>839</v>
      </c>
      <c r="G54" s="92" t="s">
        <v>839</v>
      </c>
      <c r="H54" s="92" t="s">
        <v>839</v>
      </c>
      <c r="I54" s="92" t="s">
        <v>839</v>
      </c>
      <c r="J54" s="92" t="s">
        <v>839</v>
      </c>
      <c r="K54" s="92" t="s">
        <v>839</v>
      </c>
      <c r="L54" s="92" t="s">
        <v>839</v>
      </c>
      <c r="M54" s="92" t="s">
        <v>839</v>
      </c>
      <c r="N54" s="92" t="s">
        <v>839</v>
      </c>
      <c r="O54" s="92" t="s">
        <v>839</v>
      </c>
      <c r="P54" s="92" t="s">
        <v>839</v>
      </c>
      <c r="Q54" s="92" t="s">
        <v>839</v>
      </c>
      <c r="R54" s="94" t="s">
        <v>677</v>
      </c>
    </row>
    <row r="55" spans="1:18" s="92" customFormat="1" ht="9.75" customHeight="1" x14ac:dyDescent="0.15">
      <c r="A55" s="756" t="s">
        <v>674</v>
      </c>
      <c r="B55" s="92">
        <v>992</v>
      </c>
      <c r="C55" s="92" t="s">
        <v>839</v>
      </c>
      <c r="D55" s="92" t="s">
        <v>839</v>
      </c>
      <c r="E55" s="92" t="s">
        <v>839</v>
      </c>
      <c r="F55" s="92">
        <v>16477</v>
      </c>
      <c r="G55" s="92">
        <v>16477</v>
      </c>
      <c r="H55" s="92" t="s">
        <v>839</v>
      </c>
      <c r="I55" s="92" t="s">
        <v>839</v>
      </c>
      <c r="J55" s="92">
        <v>16477</v>
      </c>
      <c r="K55" s="92">
        <v>48240</v>
      </c>
      <c r="L55" s="92" t="s">
        <v>839</v>
      </c>
      <c r="M55" s="92" t="s">
        <v>839</v>
      </c>
      <c r="N55" s="92" t="s">
        <v>839</v>
      </c>
      <c r="O55" s="92" t="s">
        <v>839</v>
      </c>
      <c r="P55" s="92">
        <v>48240</v>
      </c>
      <c r="Q55" s="92">
        <v>48240</v>
      </c>
      <c r="R55" s="94" t="s">
        <v>89</v>
      </c>
    </row>
    <row r="56" spans="1:18" s="92" customFormat="1" ht="9.75" customHeight="1" x14ac:dyDescent="0.15">
      <c r="A56" s="756" t="s">
        <v>675</v>
      </c>
      <c r="B56" s="92" t="s">
        <v>839</v>
      </c>
      <c r="C56" s="92" t="s">
        <v>839</v>
      </c>
      <c r="D56" s="92" t="s">
        <v>839</v>
      </c>
      <c r="E56" s="92" t="s">
        <v>839</v>
      </c>
      <c r="F56" s="92">
        <v>1691</v>
      </c>
      <c r="G56" s="92">
        <v>1691</v>
      </c>
      <c r="H56" s="92" t="s">
        <v>839</v>
      </c>
      <c r="I56" s="92" t="s">
        <v>839</v>
      </c>
      <c r="J56" s="92">
        <v>1691</v>
      </c>
      <c r="K56" s="92" t="s">
        <v>839</v>
      </c>
      <c r="L56" s="92" t="s">
        <v>839</v>
      </c>
      <c r="M56" s="92" t="s">
        <v>839</v>
      </c>
      <c r="N56" s="92" t="s">
        <v>839</v>
      </c>
      <c r="O56" s="92" t="s">
        <v>839</v>
      </c>
      <c r="P56" s="92" t="s">
        <v>839</v>
      </c>
      <c r="Q56" s="92" t="s">
        <v>839</v>
      </c>
      <c r="R56" s="94" t="s">
        <v>90</v>
      </c>
    </row>
    <row r="57" spans="1:18" s="92" customFormat="1" ht="9.75" customHeight="1" x14ac:dyDescent="0.15">
      <c r="A57" s="756" t="s">
        <v>676</v>
      </c>
      <c r="B57" s="92" t="s">
        <v>839</v>
      </c>
      <c r="C57" s="92" t="s">
        <v>839</v>
      </c>
      <c r="D57" s="92" t="s">
        <v>839</v>
      </c>
      <c r="E57" s="92" t="s">
        <v>839</v>
      </c>
      <c r="F57" s="92">
        <v>4396</v>
      </c>
      <c r="G57" s="92">
        <v>4396</v>
      </c>
      <c r="H57" s="92" t="s">
        <v>839</v>
      </c>
      <c r="I57" s="92" t="s">
        <v>839</v>
      </c>
      <c r="J57" s="92">
        <v>4396</v>
      </c>
      <c r="K57" s="92" t="s">
        <v>839</v>
      </c>
      <c r="L57" s="92" t="s">
        <v>839</v>
      </c>
      <c r="M57" s="92" t="s">
        <v>839</v>
      </c>
      <c r="N57" s="92" t="s">
        <v>839</v>
      </c>
      <c r="O57" s="92" t="s">
        <v>839</v>
      </c>
      <c r="P57" s="92" t="s">
        <v>839</v>
      </c>
      <c r="Q57" s="92" t="s">
        <v>839</v>
      </c>
      <c r="R57" s="94" t="s">
        <v>91</v>
      </c>
    </row>
    <row r="58" spans="1:18" s="92" customFormat="1" ht="9.75" customHeight="1" x14ac:dyDescent="0.15">
      <c r="A58" s="756" t="s">
        <v>846</v>
      </c>
      <c r="B58" s="92" t="s">
        <v>839</v>
      </c>
      <c r="C58" s="92" t="s">
        <v>839</v>
      </c>
      <c r="D58" s="92" t="s">
        <v>839</v>
      </c>
      <c r="E58" s="92" t="s">
        <v>839</v>
      </c>
      <c r="F58" s="92">
        <v>33036</v>
      </c>
      <c r="G58" s="92">
        <v>33036</v>
      </c>
      <c r="H58" s="92" t="s">
        <v>839</v>
      </c>
      <c r="I58" s="92" t="s">
        <v>839</v>
      </c>
      <c r="J58" s="92">
        <v>33036</v>
      </c>
      <c r="K58" s="92" t="s">
        <v>839</v>
      </c>
      <c r="L58" s="92" t="s">
        <v>839</v>
      </c>
      <c r="M58" s="92" t="s">
        <v>839</v>
      </c>
      <c r="N58" s="92" t="s">
        <v>839</v>
      </c>
      <c r="O58" s="92" t="s">
        <v>839</v>
      </c>
      <c r="P58" s="92" t="s">
        <v>839</v>
      </c>
      <c r="Q58" s="92" t="s">
        <v>839</v>
      </c>
      <c r="R58" s="94" t="s">
        <v>847</v>
      </c>
    </row>
    <row r="59" spans="1:18" s="92" customFormat="1" ht="9.75" customHeight="1" x14ac:dyDescent="0.15">
      <c r="A59" s="787"/>
      <c r="R59" s="94"/>
    </row>
    <row r="60" spans="1:18" s="92" customFormat="1" ht="9.75" customHeight="1" x14ac:dyDescent="0.15">
      <c r="A60" s="756" t="s">
        <v>848</v>
      </c>
      <c r="B60" s="92" t="s">
        <v>839</v>
      </c>
      <c r="C60" s="92" t="s">
        <v>839</v>
      </c>
      <c r="D60" s="92" t="s">
        <v>839</v>
      </c>
      <c r="E60" s="92" t="s">
        <v>839</v>
      </c>
      <c r="F60" s="92" t="s">
        <v>839</v>
      </c>
      <c r="G60" s="92" t="s">
        <v>839</v>
      </c>
      <c r="H60" s="92" t="s">
        <v>839</v>
      </c>
      <c r="I60" s="92" t="s">
        <v>839</v>
      </c>
      <c r="J60" s="92" t="s">
        <v>839</v>
      </c>
      <c r="K60" s="92" t="s">
        <v>839</v>
      </c>
      <c r="L60" s="92" t="s">
        <v>839</v>
      </c>
      <c r="M60" s="92" t="s">
        <v>839</v>
      </c>
      <c r="N60" s="92" t="s">
        <v>839</v>
      </c>
      <c r="O60" s="92" t="s">
        <v>839</v>
      </c>
      <c r="P60" s="92" t="s">
        <v>839</v>
      </c>
      <c r="Q60" s="92" t="s">
        <v>839</v>
      </c>
      <c r="R60" s="94" t="s">
        <v>689</v>
      </c>
    </row>
    <row r="61" spans="1:18" s="92" customFormat="1" ht="9.75" customHeight="1" x14ac:dyDescent="0.15">
      <c r="A61" s="756" t="s">
        <v>678</v>
      </c>
      <c r="B61" s="92">
        <v>18476</v>
      </c>
      <c r="C61" s="92" t="s">
        <v>839</v>
      </c>
      <c r="D61" s="92" t="s">
        <v>839</v>
      </c>
      <c r="E61" s="92" t="s">
        <v>839</v>
      </c>
      <c r="F61" s="92" t="s">
        <v>839</v>
      </c>
      <c r="G61" s="92" t="s">
        <v>839</v>
      </c>
      <c r="H61" s="92" t="s">
        <v>839</v>
      </c>
      <c r="I61" s="92" t="s">
        <v>839</v>
      </c>
      <c r="J61" s="92" t="s">
        <v>839</v>
      </c>
      <c r="K61" s="92" t="s">
        <v>839</v>
      </c>
      <c r="L61" s="92" t="s">
        <v>839</v>
      </c>
      <c r="M61" s="92" t="s">
        <v>839</v>
      </c>
      <c r="N61" s="92" t="s">
        <v>839</v>
      </c>
      <c r="O61" s="92" t="s">
        <v>839</v>
      </c>
      <c r="P61" s="92" t="s">
        <v>839</v>
      </c>
      <c r="Q61" s="92" t="s">
        <v>839</v>
      </c>
      <c r="R61" s="94" t="s">
        <v>77</v>
      </c>
    </row>
    <row r="62" spans="1:18" s="92" customFormat="1" ht="9.75" customHeight="1" x14ac:dyDescent="0.15">
      <c r="A62" s="756" t="s">
        <v>679</v>
      </c>
      <c r="B62" s="92" t="s">
        <v>839</v>
      </c>
      <c r="C62" s="92" t="s">
        <v>839</v>
      </c>
      <c r="D62" s="92" t="s">
        <v>839</v>
      </c>
      <c r="E62" s="92" t="s">
        <v>839</v>
      </c>
      <c r="F62" s="92" t="s">
        <v>839</v>
      </c>
      <c r="G62" s="92" t="s">
        <v>839</v>
      </c>
      <c r="H62" s="92" t="s">
        <v>839</v>
      </c>
      <c r="I62" s="92" t="s">
        <v>839</v>
      </c>
      <c r="J62" s="92" t="s">
        <v>839</v>
      </c>
      <c r="K62" s="92" t="s">
        <v>839</v>
      </c>
      <c r="L62" s="92" t="s">
        <v>839</v>
      </c>
      <c r="M62" s="92" t="s">
        <v>839</v>
      </c>
      <c r="N62" s="92" t="s">
        <v>839</v>
      </c>
      <c r="O62" s="92" t="s">
        <v>839</v>
      </c>
      <c r="P62" s="92" t="s">
        <v>839</v>
      </c>
      <c r="Q62" s="92" t="s">
        <v>839</v>
      </c>
      <c r="R62" s="94" t="s">
        <v>78</v>
      </c>
    </row>
    <row r="63" spans="1:18" s="92" customFormat="1" ht="9.75" customHeight="1" x14ac:dyDescent="0.15">
      <c r="A63" s="756" t="s">
        <v>680</v>
      </c>
      <c r="B63" s="92" t="s">
        <v>839</v>
      </c>
      <c r="C63" s="92" t="s">
        <v>839</v>
      </c>
      <c r="D63" s="92" t="s">
        <v>839</v>
      </c>
      <c r="E63" s="92" t="s">
        <v>839</v>
      </c>
      <c r="F63" s="92">
        <v>16477</v>
      </c>
      <c r="G63" s="92">
        <v>16477</v>
      </c>
      <c r="H63" s="92" t="s">
        <v>839</v>
      </c>
      <c r="I63" s="92" t="s">
        <v>839</v>
      </c>
      <c r="J63" s="92">
        <v>16477</v>
      </c>
      <c r="K63" s="92" t="s">
        <v>839</v>
      </c>
      <c r="L63" s="92" t="s">
        <v>839</v>
      </c>
      <c r="M63" s="92" t="s">
        <v>839</v>
      </c>
      <c r="N63" s="92" t="s">
        <v>839</v>
      </c>
      <c r="O63" s="92" t="s">
        <v>839</v>
      </c>
      <c r="P63" s="92" t="s">
        <v>839</v>
      </c>
      <c r="Q63" s="92" t="s">
        <v>839</v>
      </c>
      <c r="R63" s="94" t="s">
        <v>79</v>
      </c>
    </row>
    <row r="64" spans="1:18" s="92" customFormat="1" ht="9.75" customHeight="1" x14ac:dyDescent="0.15">
      <c r="A64" s="756" t="s">
        <v>681</v>
      </c>
      <c r="B64" s="92">
        <v>992</v>
      </c>
      <c r="C64" s="92" t="s">
        <v>839</v>
      </c>
      <c r="D64" s="92" t="s">
        <v>839</v>
      </c>
      <c r="E64" s="92" t="s">
        <v>839</v>
      </c>
      <c r="F64" s="92" t="s">
        <v>839</v>
      </c>
      <c r="G64" s="92" t="s">
        <v>839</v>
      </c>
      <c r="H64" s="92" t="s">
        <v>839</v>
      </c>
      <c r="I64" s="92" t="s">
        <v>839</v>
      </c>
      <c r="J64" s="92" t="s">
        <v>839</v>
      </c>
      <c r="K64" s="92">
        <v>48240</v>
      </c>
      <c r="L64" s="92" t="s">
        <v>839</v>
      </c>
      <c r="M64" s="92" t="s">
        <v>839</v>
      </c>
      <c r="N64" s="92" t="s">
        <v>839</v>
      </c>
      <c r="O64" s="92" t="s">
        <v>839</v>
      </c>
      <c r="P64" s="92">
        <v>48240</v>
      </c>
      <c r="Q64" s="92">
        <v>48240</v>
      </c>
      <c r="R64" s="95" t="s">
        <v>92</v>
      </c>
    </row>
    <row r="65" spans="1:18" s="92" customFormat="1" ht="9.75" customHeight="1" x14ac:dyDescent="0.15">
      <c r="A65" s="756" t="s">
        <v>682</v>
      </c>
      <c r="B65" s="92" t="s">
        <v>839</v>
      </c>
      <c r="C65" s="92" t="s">
        <v>839</v>
      </c>
      <c r="D65" s="92" t="s">
        <v>839</v>
      </c>
      <c r="E65" s="92" t="s">
        <v>839</v>
      </c>
      <c r="F65" s="92" t="s">
        <v>839</v>
      </c>
      <c r="G65" s="92" t="s">
        <v>839</v>
      </c>
      <c r="H65" s="92" t="s">
        <v>839</v>
      </c>
      <c r="I65" s="92" t="s">
        <v>839</v>
      </c>
      <c r="J65" s="92" t="s">
        <v>839</v>
      </c>
      <c r="K65" s="92" t="s">
        <v>839</v>
      </c>
      <c r="L65" s="92" t="s">
        <v>839</v>
      </c>
      <c r="M65" s="92" t="s">
        <v>839</v>
      </c>
      <c r="N65" s="92" t="s">
        <v>839</v>
      </c>
      <c r="O65" s="92" t="s">
        <v>839</v>
      </c>
      <c r="P65" s="92" t="s">
        <v>839</v>
      </c>
      <c r="Q65" s="92" t="s">
        <v>839</v>
      </c>
      <c r="R65" s="94" t="s">
        <v>93</v>
      </c>
    </row>
    <row r="66" spans="1:18" s="92" customFormat="1" ht="9.75" customHeight="1" x14ac:dyDescent="0.15">
      <c r="A66" s="756" t="s">
        <v>683</v>
      </c>
      <c r="B66" s="92" t="s">
        <v>839</v>
      </c>
      <c r="C66" s="92" t="s">
        <v>839</v>
      </c>
      <c r="D66" s="92" t="s">
        <v>839</v>
      </c>
      <c r="E66" s="92" t="s">
        <v>839</v>
      </c>
      <c r="F66" s="92" t="s">
        <v>839</v>
      </c>
      <c r="G66" s="92" t="s">
        <v>839</v>
      </c>
      <c r="H66" s="92" t="s">
        <v>839</v>
      </c>
      <c r="I66" s="92" t="s">
        <v>839</v>
      </c>
      <c r="J66" s="92" t="s">
        <v>839</v>
      </c>
      <c r="K66" s="92" t="s">
        <v>839</v>
      </c>
      <c r="L66" s="92" t="s">
        <v>839</v>
      </c>
      <c r="M66" s="92" t="s">
        <v>839</v>
      </c>
      <c r="N66" s="92" t="s">
        <v>839</v>
      </c>
      <c r="O66" s="92" t="s">
        <v>839</v>
      </c>
      <c r="P66" s="92" t="s">
        <v>839</v>
      </c>
      <c r="Q66" s="92" t="s">
        <v>839</v>
      </c>
      <c r="R66" s="94" t="s">
        <v>94</v>
      </c>
    </row>
    <row r="67" spans="1:18" s="92" customFormat="1" ht="9.75" customHeight="1" x14ac:dyDescent="0.15">
      <c r="A67" s="756" t="s">
        <v>684</v>
      </c>
      <c r="B67" s="92" t="s">
        <v>839</v>
      </c>
      <c r="C67" s="92" t="s">
        <v>839</v>
      </c>
      <c r="D67" s="92" t="s">
        <v>839</v>
      </c>
      <c r="E67" s="92" t="s">
        <v>839</v>
      </c>
      <c r="F67" s="92" t="s">
        <v>839</v>
      </c>
      <c r="G67" s="92" t="s">
        <v>839</v>
      </c>
      <c r="H67" s="92" t="s">
        <v>839</v>
      </c>
      <c r="I67" s="92" t="s">
        <v>839</v>
      </c>
      <c r="J67" s="92" t="s">
        <v>839</v>
      </c>
      <c r="K67" s="92" t="s">
        <v>839</v>
      </c>
      <c r="L67" s="92" t="s">
        <v>839</v>
      </c>
      <c r="M67" s="92" t="s">
        <v>839</v>
      </c>
      <c r="N67" s="92" t="s">
        <v>839</v>
      </c>
      <c r="O67" s="92" t="s">
        <v>839</v>
      </c>
      <c r="P67" s="92" t="s">
        <v>839</v>
      </c>
      <c r="Q67" s="92" t="s">
        <v>839</v>
      </c>
      <c r="R67" s="94" t="s">
        <v>95</v>
      </c>
    </row>
    <row r="68" spans="1:18" s="92" customFormat="1" ht="9.75" customHeight="1" x14ac:dyDescent="0.15">
      <c r="A68" s="756" t="s">
        <v>685</v>
      </c>
      <c r="B68" s="92" t="s">
        <v>839</v>
      </c>
      <c r="C68" s="92" t="s">
        <v>839</v>
      </c>
      <c r="D68" s="92" t="s">
        <v>839</v>
      </c>
      <c r="E68" s="92" t="s">
        <v>839</v>
      </c>
      <c r="F68" s="92">
        <v>1691</v>
      </c>
      <c r="G68" s="92">
        <v>1691</v>
      </c>
      <c r="H68" s="92" t="s">
        <v>839</v>
      </c>
      <c r="I68" s="92" t="s">
        <v>839</v>
      </c>
      <c r="J68" s="92">
        <v>1691</v>
      </c>
      <c r="K68" s="92" t="s">
        <v>839</v>
      </c>
      <c r="L68" s="92" t="s">
        <v>839</v>
      </c>
      <c r="M68" s="92" t="s">
        <v>839</v>
      </c>
      <c r="N68" s="92" t="s">
        <v>839</v>
      </c>
      <c r="O68" s="92" t="s">
        <v>839</v>
      </c>
      <c r="P68" s="92" t="s">
        <v>839</v>
      </c>
      <c r="Q68" s="92" t="s">
        <v>839</v>
      </c>
      <c r="R68" s="94" t="s">
        <v>96</v>
      </c>
    </row>
    <row r="69" spans="1:18" s="92" customFormat="1" ht="9.75" customHeight="1" x14ac:dyDescent="0.15">
      <c r="A69" s="756" t="s">
        <v>686</v>
      </c>
      <c r="B69" s="92" t="s">
        <v>839</v>
      </c>
      <c r="C69" s="92" t="s">
        <v>839</v>
      </c>
      <c r="D69" s="92" t="s">
        <v>839</v>
      </c>
      <c r="E69" s="92" t="s">
        <v>839</v>
      </c>
      <c r="F69" s="92">
        <v>395</v>
      </c>
      <c r="G69" s="92">
        <v>395</v>
      </c>
      <c r="H69" s="92" t="s">
        <v>839</v>
      </c>
      <c r="I69" s="92" t="s">
        <v>839</v>
      </c>
      <c r="J69" s="92">
        <v>395</v>
      </c>
      <c r="K69" s="92" t="s">
        <v>839</v>
      </c>
      <c r="L69" s="92" t="s">
        <v>839</v>
      </c>
      <c r="M69" s="92" t="s">
        <v>839</v>
      </c>
      <c r="N69" s="92" t="s">
        <v>839</v>
      </c>
      <c r="O69" s="92" t="s">
        <v>839</v>
      </c>
      <c r="P69" s="92" t="s">
        <v>839</v>
      </c>
      <c r="Q69" s="92" t="s">
        <v>839</v>
      </c>
      <c r="R69" s="94" t="s">
        <v>80</v>
      </c>
    </row>
    <row r="70" spans="1:18" s="92" customFormat="1" ht="9.75" customHeight="1" x14ac:dyDescent="0.15">
      <c r="A70" s="756" t="s">
        <v>687</v>
      </c>
      <c r="B70" s="92" t="s">
        <v>839</v>
      </c>
      <c r="C70" s="92" t="s">
        <v>839</v>
      </c>
      <c r="D70" s="92" t="s">
        <v>839</v>
      </c>
      <c r="E70" s="92" t="s">
        <v>839</v>
      </c>
      <c r="F70" s="92" t="s">
        <v>839</v>
      </c>
      <c r="G70" s="92" t="s">
        <v>839</v>
      </c>
      <c r="H70" s="92" t="s">
        <v>839</v>
      </c>
      <c r="I70" s="92" t="s">
        <v>839</v>
      </c>
      <c r="J70" s="92" t="s">
        <v>839</v>
      </c>
      <c r="K70" s="92" t="s">
        <v>839</v>
      </c>
      <c r="L70" s="92" t="s">
        <v>839</v>
      </c>
      <c r="M70" s="92" t="s">
        <v>839</v>
      </c>
      <c r="N70" s="92" t="s">
        <v>839</v>
      </c>
      <c r="O70" s="92" t="s">
        <v>839</v>
      </c>
      <c r="P70" s="92" t="s">
        <v>839</v>
      </c>
      <c r="Q70" s="92" t="s">
        <v>839</v>
      </c>
      <c r="R70" s="94" t="s">
        <v>81</v>
      </c>
    </row>
    <row r="71" spans="1:18" s="92" customFormat="1" ht="9.75" customHeight="1" x14ac:dyDescent="0.15">
      <c r="A71" s="756" t="s">
        <v>688</v>
      </c>
      <c r="B71" s="92" t="s">
        <v>839</v>
      </c>
      <c r="C71" s="92" t="s">
        <v>839</v>
      </c>
      <c r="D71" s="92" t="s">
        <v>839</v>
      </c>
      <c r="E71" s="92" t="s">
        <v>839</v>
      </c>
      <c r="F71" s="92">
        <v>4001</v>
      </c>
      <c r="G71" s="92">
        <v>4001</v>
      </c>
      <c r="H71" s="92" t="s">
        <v>839</v>
      </c>
      <c r="I71" s="92" t="s">
        <v>839</v>
      </c>
      <c r="J71" s="92">
        <v>4001</v>
      </c>
      <c r="K71" s="92" t="s">
        <v>839</v>
      </c>
      <c r="L71" s="92" t="s">
        <v>839</v>
      </c>
      <c r="M71" s="92" t="s">
        <v>839</v>
      </c>
      <c r="N71" s="92" t="s">
        <v>839</v>
      </c>
      <c r="O71" s="92" t="s">
        <v>839</v>
      </c>
      <c r="P71" s="92" t="s">
        <v>839</v>
      </c>
      <c r="Q71" s="92" t="s">
        <v>839</v>
      </c>
      <c r="R71" s="94" t="s">
        <v>82</v>
      </c>
    </row>
    <row r="72" spans="1:18" s="92" customFormat="1" ht="9.75" customHeight="1" x14ac:dyDescent="0.15">
      <c r="A72" s="756" t="s">
        <v>849</v>
      </c>
      <c r="B72" s="92" t="s">
        <v>839</v>
      </c>
      <c r="C72" s="92" t="s">
        <v>839</v>
      </c>
      <c r="D72" s="92" t="s">
        <v>839</v>
      </c>
      <c r="E72" s="92" t="s">
        <v>839</v>
      </c>
      <c r="F72" s="92">
        <v>5001</v>
      </c>
      <c r="G72" s="92">
        <v>5001</v>
      </c>
      <c r="H72" s="92" t="s">
        <v>839</v>
      </c>
      <c r="I72" s="92" t="s">
        <v>839</v>
      </c>
      <c r="J72" s="92">
        <v>5001</v>
      </c>
      <c r="K72" s="92" t="s">
        <v>839</v>
      </c>
      <c r="L72" s="92" t="s">
        <v>839</v>
      </c>
      <c r="M72" s="92" t="s">
        <v>839</v>
      </c>
      <c r="N72" s="92" t="s">
        <v>839</v>
      </c>
      <c r="O72" s="92" t="s">
        <v>839</v>
      </c>
      <c r="P72" s="92" t="s">
        <v>839</v>
      </c>
      <c r="Q72" s="92" t="s">
        <v>839</v>
      </c>
      <c r="R72" s="94" t="s">
        <v>850</v>
      </c>
    </row>
    <row r="73" spans="1:18" s="92" customFormat="1" ht="9.75" customHeight="1" x14ac:dyDescent="0.15">
      <c r="A73" s="756" t="s">
        <v>690</v>
      </c>
      <c r="B73" s="92" t="s">
        <v>839</v>
      </c>
      <c r="C73" s="92" t="s">
        <v>839</v>
      </c>
      <c r="D73" s="92" t="s">
        <v>839</v>
      </c>
      <c r="E73" s="92" t="s">
        <v>839</v>
      </c>
      <c r="F73" s="92">
        <v>28035</v>
      </c>
      <c r="G73" s="92">
        <v>28035</v>
      </c>
      <c r="H73" s="92" t="s">
        <v>839</v>
      </c>
      <c r="I73" s="92" t="s">
        <v>839</v>
      </c>
      <c r="J73" s="92">
        <v>28035</v>
      </c>
      <c r="K73" s="92" t="s">
        <v>839</v>
      </c>
      <c r="L73" s="92" t="s">
        <v>839</v>
      </c>
      <c r="M73" s="92" t="s">
        <v>839</v>
      </c>
      <c r="N73" s="92" t="s">
        <v>839</v>
      </c>
      <c r="O73" s="92" t="s">
        <v>839</v>
      </c>
      <c r="P73" s="92" t="s">
        <v>839</v>
      </c>
      <c r="Q73" s="92" t="s">
        <v>839</v>
      </c>
      <c r="R73" s="94" t="s">
        <v>77</v>
      </c>
    </row>
    <row r="74" spans="1:18" s="92" customFormat="1" ht="9.75" customHeight="1" x14ac:dyDescent="0.15">
      <c r="A74" s="757" t="s">
        <v>691</v>
      </c>
      <c r="B74" s="96" t="s">
        <v>839</v>
      </c>
      <c r="C74" s="97" t="s">
        <v>839</v>
      </c>
      <c r="D74" s="97" t="s">
        <v>839</v>
      </c>
      <c r="E74" s="97" t="s">
        <v>839</v>
      </c>
      <c r="F74" s="97" t="s">
        <v>839</v>
      </c>
      <c r="G74" s="97" t="s">
        <v>839</v>
      </c>
      <c r="H74" s="97" t="s">
        <v>839</v>
      </c>
      <c r="I74" s="97" t="s">
        <v>839</v>
      </c>
      <c r="J74" s="97" t="s">
        <v>839</v>
      </c>
      <c r="K74" s="97" t="s">
        <v>839</v>
      </c>
      <c r="L74" s="97" t="s">
        <v>839</v>
      </c>
      <c r="M74" s="97" t="s">
        <v>839</v>
      </c>
      <c r="N74" s="97" t="s">
        <v>839</v>
      </c>
      <c r="O74" s="97" t="s">
        <v>839</v>
      </c>
      <c r="P74" s="97" t="s">
        <v>839</v>
      </c>
      <c r="Q74" s="97" t="s">
        <v>839</v>
      </c>
      <c r="R74" s="98" t="s">
        <v>78</v>
      </c>
    </row>
    <row r="75" spans="1:18" ht="21.75" customHeight="1" x14ac:dyDescent="0.15">
      <c r="I75" s="31" t="s">
        <v>97</v>
      </c>
      <c r="N75" s="29" t="s">
        <v>76</v>
      </c>
    </row>
    <row r="76" spans="1:18" s="86" customFormat="1" ht="12" customHeight="1" x14ac:dyDescent="0.15">
      <c r="A76" s="82"/>
      <c r="B76" s="99" t="s">
        <v>526</v>
      </c>
      <c r="C76" s="85"/>
      <c r="D76" s="82"/>
      <c r="E76" s="84"/>
      <c r="F76" s="85"/>
      <c r="G76" s="85"/>
      <c r="H76" s="85"/>
      <c r="I76" s="85"/>
      <c r="J76" s="85"/>
      <c r="K76" s="85"/>
      <c r="L76" s="85"/>
      <c r="M76" s="82"/>
      <c r="N76" s="996" t="s">
        <v>83</v>
      </c>
    </row>
    <row r="77" spans="1:18" s="46" customFormat="1" ht="13.5" customHeight="1" x14ac:dyDescent="0.15">
      <c r="A77" s="44"/>
      <c r="B77" s="99" t="s">
        <v>116</v>
      </c>
      <c r="C77" s="87"/>
      <c r="D77" s="88"/>
      <c r="E77" s="37" t="s">
        <v>197</v>
      </c>
      <c r="F77" s="719"/>
      <c r="G77" s="88"/>
      <c r="H77" s="719"/>
      <c r="I77" s="88"/>
      <c r="J77" s="719"/>
      <c r="K77" s="87"/>
      <c r="L77" s="87"/>
      <c r="M77" s="88"/>
      <c r="N77" s="997"/>
    </row>
    <row r="78" spans="1:18" s="46" customFormat="1" ht="33.75" customHeight="1" x14ac:dyDescent="0.15">
      <c r="A78" s="44" t="s">
        <v>185</v>
      </c>
      <c r="B78" s="99" t="s">
        <v>897</v>
      </c>
      <c r="C78" s="87"/>
      <c r="D78" s="88"/>
      <c r="E78" s="37" t="s">
        <v>199</v>
      </c>
      <c r="F78" s="37" t="s">
        <v>85</v>
      </c>
      <c r="G78" s="35" t="s">
        <v>200</v>
      </c>
      <c r="H78" s="37" t="s">
        <v>86</v>
      </c>
      <c r="I78" s="35" t="s">
        <v>701</v>
      </c>
      <c r="J78" s="37" t="s">
        <v>113</v>
      </c>
      <c r="K78" s="719" t="s">
        <v>181</v>
      </c>
      <c r="L78" s="87"/>
      <c r="M78" s="88"/>
      <c r="N78" s="997"/>
    </row>
    <row r="79" spans="1:18" s="46" customFormat="1" ht="22.5" customHeight="1" x14ac:dyDescent="0.15">
      <c r="A79" s="44"/>
      <c r="B79" s="760" t="s">
        <v>898</v>
      </c>
      <c r="C79" s="35" t="s">
        <v>899</v>
      </c>
      <c r="D79" s="35" t="s">
        <v>900</v>
      </c>
      <c r="E79" s="37"/>
      <c r="F79" s="37" t="s">
        <v>88</v>
      </c>
      <c r="G79" s="35" t="s">
        <v>43</v>
      </c>
      <c r="H79" s="37" t="s">
        <v>47</v>
      </c>
      <c r="I79" s="35" t="s">
        <v>51</v>
      </c>
      <c r="J79" s="37" t="s">
        <v>55</v>
      </c>
      <c r="K79" s="37" t="s">
        <v>56</v>
      </c>
      <c r="L79" s="35" t="s">
        <v>182</v>
      </c>
      <c r="M79" s="35" t="s">
        <v>700</v>
      </c>
      <c r="N79" s="997"/>
    </row>
    <row r="80" spans="1:18" s="46" customFormat="1" ht="13.5" customHeight="1" x14ac:dyDescent="0.15">
      <c r="A80" s="36"/>
      <c r="B80" s="30" t="str">
        <f>PROPER("N･W･S-C")</f>
        <v>N･W･S-C</v>
      </c>
      <c r="C80" s="30" t="str">
        <f>PROPER("PLUTO-C")</f>
        <v>Pluto-C</v>
      </c>
      <c r="D80" s="30" t="str">
        <f>PROPER("WHTSTN-C")</f>
        <v>Whtstn-C</v>
      </c>
      <c r="E80" s="30"/>
      <c r="F80" s="30"/>
      <c r="G80" s="30" t="str">
        <f>PROPER("DURI")</f>
        <v>Duri</v>
      </c>
      <c r="H80" s="30"/>
      <c r="I80" s="30" t="str">
        <f>PROPER("ARAB-L")</f>
        <v>Arab-L</v>
      </c>
      <c r="J80" s="30"/>
      <c r="K80" s="30"/>
      <c r="L80" s="30" t="str">
        <f>PROPER("WANDOO")</f>
        <v>Wandoo</v>
      </c>
      <c r="M80" s="30" t="str">
        <f>PROPER("PYRENEES")</f>
        <v>Pyrenees</v>
      </c>
      <c r="N80" s="998"/>
    </row>
    <row r="81" spans="1:14" s="92" customFormat="1" ht="9.75" customHeight="1" x14ac:dyDescent="0.15">
      <c r="A81" s="755" t="s">
        <v>838</v>
      </c>
      <c r="B81" s="89">
        <v>94981</v>
      </c>
      <c r="C81" s="90">
        <v>108295</v>
      </c>
      <c r="D81" s="90" t="s">
        <v>839</v>
      </c>
      <c r="E81" s="90">
        <v>154307</v>
      </c>
      <c r="F81" s="90">
        <v>24376</v>
      </c>
      <c r="G81" s="90">
        <v>24376</v>
      </c>
      <c r="H81" s="90">
        <v>5202</v>
      </c>
      <c r="I81" s="90">
        <v>5202</v>
      </c>
      <c r="J81" s="90">
        <v>124729</v>
      </c>
      <c r="K81" s="90">
        <v>124729</v>
      </c>
      <c r="L81" s="90">
        <v>124729</v>
      </c>
      <c r="M81" s="101" t="s">
        <v>839</v>
      </c>
      <c r="N81" s="91" t="s">
        <v>457</v>
      </c>
    </row>
    <row r="82" spans="1:14" s="92" customFormat="1" ht="9.75" customHeight="1" x14ac:dyDescent="0.15">
      <c r="A82" s="756" t="s">
        <v>669</v>
      </c>
      <c r="B82" s="92" t="s">
        <v>839</v>
      </c>
      <c r="C82" s="92" t="s">
        <v>839</v>
      </c>
      <c r="D82" s="92">
        <v>54012</v>
      </c>
      <c r="E82" s="92">
        <v>136177</v>
      </c>
      <c r="F82" s="92">
        <v>8554</v>
      </c>
      <c r="G82" s="92">
        <v>8554</v>
      </c>
      <c r="H82" s="92">
        <v>5037</v>
      </c>
      <c r="I82" s="92">
        <v>5037</v>
      </c>
      <c r="J82" s="92">
        <v>122586</v>
      </c>
      <c r="K82" s="92">
        <v>122586</v>
      </c>
      <c r="L82" s="92">
        <v>122586</v>
      </c>
      <c r="M82" s="102" t="s">
        <v>839</v>
      </c>
      <c r="N82" s="94" t="s">
        <v>512</v>
      </c>
    </row>
    <row r="83" spans="1:14" s="92" customFormat="1" ht="9.75" customHeight="1" x14ac:dyDescent="0.15">
      <c r="A83" s="756" t="s">
        <v>670</v>
      </c>
      <c r="B83" s="92" t="s">
        <v>839</v>
      </c>
      <c r="C83" s="92" t="s">
        <v>839</v>
      </c>
      <c r="D83" s="92" t="s">
        <v>839</v>
      </c>
      <c r="E83" s="92">
        <v>104211</v>
      </c>
      <c r="F83" s="92" t="s">
        <v>839</v>
      </c>
      <c r="G83" s="92" t="s">
        <v>839</v>
      </c>
      <c r="H83" s="92">
        <v>5050</v>
      </c>
      <c r="I83" s="92">
        <v>5050</v>
      </c>
      <c r="J83" s="92">
        <v>99161</v>
      </c>
      <c r="K83" s="92">
        <v>99161</v>
      </c>
      <c r="L83" s="92">
        <v>99161</v>
      </c>
      <c r="M83" s="102" t="s">
        <v>839</v>
      </c>
      <c r="N83" s="94" t="s">
        <v>620</v>
      </c>
    </row>
    <row r="84" spans="1:14" s="92" customFormat="1" ht="9.75" customHeight="1" x14ac:dyDescent="0.15">
      <c r="A84" s="756" t="s">
        <v>671</v>
      </c>
      <c r="B84" s="92" t="s">
        <v>839</v>
      </c>
      <c r="C84" s="92">
        <v>51355</v>
      </c>
      <c r="D84" s="92" t="s">
        <v>839</v>
      </c>
      <c r="E84" s="92">
        <v>129781</v>
      </c>
      <c r="F84" s="92">
        <v>8947</v>
      </c>
      <c r="G84" s="92">
        <v>8947</v>
      </c>
      <c r="H84" s="92">
        <v>5334</v>
      </c>
      <c r="I84" s="92">
        <v>5334</v>
      </c>
      <c r="J84" s="92">
        <v>115500</v>
      </c>
      <c r="K84" s="92">
        <v>115500</v>
      </c>
      <c r="L84" s="92">
        <v>115500</v>
      </c>
      <c r="M84" s="102" t="s">
        <v>839</v>
      </c>
      <c r="N84" s="94" t="s">
        <v>672</v>
      </c>
    </row>
    <row r="85" spans="1:14" s="92" customFormat="1" ht="9.75" customHeight="1" x14ac:dyDescent="0.15">
      <c r="A85" s="756" t="s">
        <v>840</v>
      </c>
      <c r="B85" s="92">
        <v>48240</v>
      </c>
      <c r="C85" s="92" t="s">
        <v>839</v>
      </c>
      <c r="D85" s="92" t="s">
        <v>839</v>
      </c>
      <c r="E85" s="92">
        <v>101788</v>
      </c>
      <c r="F85" s="92" t="s">
        <v>839</v>
      </c>
      <c r="G85" s="92" t="s">
        <v>839</v>
      </c>
      <c r="H85" s="92">
        <v>400</v>
      </c>
      <c r="I85" s="92">
        <v>400</v>
      </c>
      <c r="J85" s="92">
        <v>101388</v>
      </c>
      <c r="K85" s="92">
        <v>101388</v>
      </c>
      <c r="L85" s="92">
        <v>101388</v>
      </c>
      <c r="M85" s="102" t="s">
        <v>839</v>
      </c>
      <c r="N85" s="94" t="s">
        <v>841</v>
      </c>
    </row>
    <row r="86" spans="1:14" s="92" customFormat="1" ht="9.75" customHeight="1" x14ac:dyDescent="0.15">
      <c r="A86" s="787"/>
      <c r="M86" s="102"/>
      <c r="N86" s="94"/>
    </row>
    <row r="87" spans="1:14" s="92" customFormat="1" ht="9.75" customHeight="1" x14ac:dyDescent="0.15">
      <c r="A87" s="756" t="s">
        <v>842</v>
      </c>
      <c r="B87" s="92" t="s">
        <v>839</v>
      </c>
      <c r="C87" s="92">
        <v>51355</v>
      </c>
      <c r="D87" s="92" t="s">
        <v>839</v>
      </c>
      <c r="E87" s="92">
        <v>122254</v>
      </c>
      <c r="F87" s="92">
        <v>8947</v>
      </c>
      <c r="G87" s="92">
        <v>8947</v>
      </c>
      <c r="H87" s="92">
        <v>4503</v>
      </c>
      <c r="I87" s="92">
        <v>4503</v>
      </c>
      <c r="J87" s="92">
        <v>108804</v>
      </c>
      <c r="K87" s="92">
        <v>108804</v>
      </c>
      <c r="L87" s="92">
        <v>108804</v>
      </c>
      <c r="M87" s="102" t="s">
        <v>839</v>
      </c>
      <c r="N87" s="94" t="s">
        <v>673</v>
      </c>
    </row>
    <row r="88" spans="1:14" s="92" customFormat="1" ht="9.75" customHeight="1" x14ac:dyDescent="0.15">
      <c r="A88" s="756" t="s">
        <v>843</v>
      </c>
      <c r="B88" s="92">
        <v>48240</v>
      </c>
      <c r="C88" s="92" t="s">
        <v>839</v>
      </c>
      <c r="D88" s="92" t="s">
        <v>839</v>
      </c>
      <c r="E88" s="92">
        <v>104518</v>
      </c>
      <c r="F88" s="92" t="s">
        <v>839</v>
      </c>
      <c r="G88" s="92" t="s">
        <v>839</v>
      </c>
      <c r="H88" s="92" t="s">
        <v>839</v>
      </c>
      <c r="I88" s="92" t="s">
        <v>839</v>
      </c>
      <c r="J88" s="92">
        <v>104518</v>
      </c>
      <c r="K88" s="92">
        <v>104518</v>
      </c>
      <c r="L88" s="92">
        <v>98793</v>
      </c>
      <c r="M88" s="102">
        <v>5725</v>
      </c>
      <c r="N88" s="94" t="s">
        <v>844</v>
      </c>
    </row>
    <row r="89" spans="1:14" s="92" customFormat="1" ht="9.75" customHeight="1" x14ac:dyDescent="0.15">
      <c r="A89" s="787"/>
      <c r="M89" s="102"/>
      <c r="N89" s="94"/>
    </row>
    <row r="90" spans="1:14" s="92" customFormat="1" ht="9.75" customHeight="1" x14ac:dyDescent="0.15">
      <c r="A90" s="756" t="s">
        <v>845</v>
      </c>
      <c r="B90" s="92" t="s">
        <v>839</v>
      </c>
      <c r="C90" s="92" t="s">
        <v>839</v>
      </c>
      <c r="D90" s="92" t="s">
        <v>839</v>
      </c>
      <c r="E90" s="92">
        <v>26860</v>
      </c>
      <c r="F90" s="92" t="s">
        <v>839</v>
      </c>
      <c r="G90" s="92" t="s">
        <v>839</v>
      </c>
      <c r="H90" s="92">
        <v>400</v>
      </c>
      <c r="I90" s="92">
        <v>400</v>
      </c>
      <c r="J90" s="92">
        <v>26460</v>
      </c>
      <c r="K90" s="92">
        <v>26460</v>
      </c>
      <c r="L90" s="92">
        <v>26460</v>
      </c>
      <c r="M90" s="102" t="s">
        <v>839</v>
      </c>
      <c r="N90" s="94" t="s">
        <v>677</v>
      </c>
    </row>
    <row r="91" spans="1:14" s="92" customFormat="1" ht="9.75" customHeight="1" x14ac:dyDescent="0.15">
      <c r="A91" s="756" t="s">
        <v>674</v>
      </c>
      <c r="B91" s="92">
        <v>48240</v>
      </c>
      <c r="C91" s="92" t="s">
        <v>839</v>
      </c>
      <c r="D91" s="92" t="s">
        <v>839</v>
      </c>
      <c r="E91" s="92">
        <v>28487</v>
      </c>
      <c r="F91" s="92" t="s">
        <v>839</v>
      </c>
      <c r="G91" s="92" t="s">
        <v>839</v>
      </c>
      <c r="H91" s="92" t="s">
        <v>839</v>
      </c>
      <c r="I91" s="92" t="s">
        <v>839</v>
      </c>
      <c r="J91" s="92">
        <v>28487</v>
      </c>
      <c r="K91" s="92">
        <v>28487</v>
      </c>
      <c r="L91" s="92">
        <v>28487</v>
      </c>
      <c r="M91" s="102" t="s">
        <v>839</v>
      </c>
      <c r="N91" s="94" t="s">
        <v>89</v>
      </c>
    </row>
    <row r="92" spans="1:14" s="92" customFormat="1" ht="9.75" customHeight="1" x14ac:dyDescent="0.15">
      <c r="A92" s="756" t="s">
        <v>675</v>
      </c>
      <c r="B92" s="92" t="s">
        <v>839</v>
      </c>
      <c r="C92" s="92" t="s">
        <v>839</v>
      </c>
      <c r="D92" s="92" t="s">
        <v>839</v>
      </c>
      <c r="E92" s="92">
        <v>17924</v>
      </c>
      <c r="F92" s="92" t="s">
        <v>839</v>
      </c>
      <c r="G92" s="92" t="s">
        <v>839</v>
      </c>
      <c r="H92" s="92" t="s">
        <v>839</v>
      </c>
      <c r="I92" s="92" t="s">
        <v>839</v>
      </c>
      <c r="J92" s="92">
        <v>17924</v>
      </c>
      <c r="K92" s="92">
        <v>17924</v>
      </c>
      <c r="L92" s="92">
        <v>17924</v>
      </c>
      <c r="M92" s="102" t="s">
        <v>839</v>
      </c>
      <c r="N92" s="94" t="s">
        <v>90</v>
      </c>
    </row>
    <row r="93" spans="1:14" s="92" customFormat="1" ht="9.75" customHeight="1" x14ac:dyDescent="0.15">
      <c r="A93" s="756" t="s">
        <v>676</v>
      </c>
      <c r="B93" s="92" t="s">
        <v>839</v>
      </c>
      <c r="C93" s="92" t="s">
        <v>839</v>
      </c>
      <c r="D93" s="92" t="s">
        <v>839</v>
      </c>
      <c r="E93" s="92">
        <v>28517</v>
      </c>
      <c r="F93" s="92" t="s">
        <v>839</v>
      </c>
      <c r="G93" s="92" t="s">
        <v>839</v>
      </c>
      <c r="H93" s="92" t="s">
        <v>839</v>
      </c>
      <c r="I93" s="92" t="s">
        <v>839</v>
      </c>
      <c r="J93" s="92">
        <v>28517</v>
      </c>
      <c r="K93" s="92">
        <v>28517</v>
      </c>
      <c r="L93" s="92">
        <v>28517</v>
      </c>
      <c r="M93" s="102" t="s">
        <v>839</v>
      </c>
      <c r="N93" s="94" t="s">
        <v>91</v>
      </c>
    </row>
    <row r="94" spans="1:14" s="92" customFormat="1" ht="9.75" customHeight="1" x14ac:dyDescent="0.15">
      <c r="A94" s="756" t="s">
        <v>846</v>
      </c>
      <c r="B94" s="92" t="s">
        <v>839</v>
      </c>
      <c r="C94" s="92" t="s">
        <v>839</v>
      </c>
      <c r="D94" s="92" t="s">
        <v>839</v>
      </c>
      <c r="E94" s="92">
        <v>29590</v>
      </c>
      <c r="F94" s="92" t="s">
        <v>839</v>
      </c>
      <c r="G94" s="92" t="s">
        <v>839</v>
      </c>
      <c r="H94" s="92" t="s">
        <v>839</v>
      </c>
      <c r="I94" s="92" t="s">
        <v>839</v>
      </c>
      <c r="J94" s="92">
        <v>29590</v>
      </c>
      <c r="K94" s="92">
        <v>29590</v>
      </c>
      <c r="L94" s="92">
        <v>23865</v>
      </c>
      <c r="M94" s="102">
        <v>5725</v>
      </c>
      <c r="N94" s="94" t="s">
        <v>847</v>
      </c>
    </row>
    <row r="95" spans="1:14" s="92" customFormat="1" ht="9.75" customHeight="1" x14ac:dyDescent="0.15">
      <c r="A95" s="787"/>
      <c r="M95" s="102"/>
      <c r="N95" s="94"/>
    </row>
    <row r="96" spans="1:14" s="92" customFormat="1" ht="9.75" customHeight="1" x14ac:dyDescent="0.15">
      <c r="A96" s="756" t="s">
        <v>848</v>
      </c>
      <c r="B96" s="92" t="s">
        <v>839</v>
      </c>
      <c r="C96" s="92" t="s">
        <v>839</v>
      </c>
      <c r="D96" s="92" t="s">
        <v>839</v>
      </c>
      <c r="E96" s="92">
        <v>7553</v>
      </c>
      <c r="F96" s="92" t="s">
        <v>839</v>
      </c>
      <c r="G96" s="92" t="s">
        <v>839</v>
      </c>
      <c r="H96" s="92" t="s">
        <v>839</v>
      </c>
      <c r="I96" s="92" t="s">
        <v>839</v>
      </c>
      <c r="J96" s="92">
        <v>7553</v>
      </c>
      <c r="K96" s="92">
        <v>7553</v>
      </c>
      <c r="L96" s="92">
        <v>7553</v>
      </c>
      <c r="M96" s="102" t="s">
        <v>839</v>
      </c>
      <c r="N96" s="94" t="s">
        <v>689</v>
      </c>
    </row>
    <row r="97" spans="1:14" s="92" customFormat="1" ht="9.75" customHeight="1" x14ac:dyDescent="0.15">
      <c r="A97" s="756" t="s">
        <v>678</v>
      </c>
      <c r="B97" s="92" t="s">
        <v>839</v>
      </c>
      <c r="C97" s="92" t="s">
        <v>839</v>
      </c>
      <c r="D97" s="92" t="s">
        <v>839</v>
      </c>
      <c r="E97" s="92">
        <v>7861</v>
      </c>
      <c r="F97" s="92" t="s">
        <v>839</v>
      </c>
      <c r="G97" s="92" t="s">
        <v>839</v>
      </c>
      <c r="H97" s="92">
        <v>400</v>
      </c>
      <c r="I97" s="92">
        <v>400</v>
      </c>
      <c r="J97" s="92">
        <v>7461</v>
      </c>
      <c r="K97" s="92">
        <v>7461</v>
      </c>
      <c r="L97" s="92">
        <v>7461</v>
      </c>
      <c r="M97" s="102" t="s">
        <v>839</v>
      </c>
      <c r="N97" s="94" t="s">
        <v>77</v>
      </c>
    </row>
    <row r="98" spans="1:14" s="92" customFormat="1" ht="9.75" customHeight="1" x14ac:dyDescent="0.15">
      <c r="A98" s="756" t="s">
        <v>679</v>
      </c>
      <c r="B98" s="92" t="s">
        <v>839</v>
      </c>
      <c r="C98" s="92" t="s">
        <v>839</v>
      </c>
      <c r="D98" s="92" t="s">
        <v>839</v>
      </c>
      <c r="E98" s="92">
        <v>11446</v>
      </c>
      <c r="F98" s="92" t="s">
        <v>839</v>
      </c>
      <c r="G98" s="92" t="s">
        <v>839</v>
      </c>
      <c r="H98" s="92" t="s">
        <v>839</v>
      </c>
      <c r="I98" s="92" t="s">
        <v>839</v>
      </c>
      <c r="J98" s="92">
        <v>11446</v>
      </c>
      <c r="K98" s="92">
        <v>11446</v>
      </c>
      <c r="L98" s="92">
        <v>11446</v>
      </c>
      <c r="M98" s="102" t="s">
        <v>839</v>
      </c>
      <c r="N98" s="94" t="s">
        <v>78</v>
      </c>
    </row>
    <row r="99" spans="1:14" s="92" customFormat="1" ht="9.75" customHeight="1" x14ac:dyDescent="0.15">
      <c r="A99" s="756" t="s">
        <v>680</v>
      </c>
      <c r="B99" s="92" t="s">
        <v>839</v>
      </c>
      <c r="C99" s="92" t="s">
        <v>839</v>
      </c>
      <c r="D99" s="92" t="s">
        <v>839</v>
      </c>
      <c r="E99" s="92">
        <v>8555</v>
      </c>
      <c r="F99" s="92" t="s">
        <v>839</v>
      </c>
      <c r="G99" s="92" t="s">
        <v>839</v>
      </c>
      <c r="H99" s="92" t="s">
        <v>839</v>
      </c>
      <c r="I99" s="92" t="s">
        <v>839</v>
      </c>
      <c r="J99" s="92">
        <v>8555</v>
      </c>
      <c r="K99" s="92">
        <v>8555</v>
      </c>
      <c r="L99" s="92">
        <v>8555</v>
      </c>
      <c r="M99" s="102" t="s">
        <v>839</v>
      </c>
      <c r="N99" s="94" t="s">
        <v>79</v>
      </c>
    </row>
    <row r="100" spans="1:14" s="92" customFormat="1" ht="9.75" customHeight="1" x14ac:dyDescent="0.15">
      <c r="A100" s="756" t="s">
        <v>681</v>
      </c>
      <c r="B100" s="92">
        <v>48240</v>
      </c>
      <c r="C100" s="92" t="s">
        <v>839</v>
      </c>
      <c r="D100" s="92" t="s">
        <v>839</v>
      </c>
      <c r="E100" s="92">
        <v>8652</v>
      </c>
      <c r="F100" s="92" t="s">
        <v>839</v>
      </c>
      <c r="G100" s="92" t="s">
        <v>839</v>
      </c>
      <c r="H100" s="92" t="s">
        <v>839</v>
      </c>
      <c r="I100" s="92" t="s">
        <v>839</v>
      </c>
      <c r="J100" s="92">
        <v>8652</v>
      </c>
      <c r="K100" s="92">
        <v>8652</v>
      </c>
      <c r="L100" s="92">
        <v>8652</v>
      </c>
      <c r="M100" s="102" t="s">
        <v>839</v>
      </c>
      <c r="N100" s="95" t="s">
        <v>92</v>
      </c>
    </row>
    <row r="101" spans="1:14" s="92" customFormat="1" ht="9.75" customHeight="1" x14ac:dyDescent="0.15">
      <c r="A101" s="756" t="s">
        <v>682</v>
      </c>
      <c r="B101" s="92" t="s">
        <v>839</v>
      </c>
      <c r="C101" s="92" t="s">
        <v>839</v>
      </c>
      <c r="D101" s="92" t="s">
        <v>839</v>
      </c>
      <c r="E101" s="92">
        <v>11280</v>
      </c>
      <c r="F101" s="92" t="s">
        <v>839</v>
      </c>
      <c r="G101" s="92" t="s">
        <v>839</v>
      </c>
      <c r="H101" s="92" t="s">
        <v>839</v>
      </c>
      <c r="I101" s="92" t="s">
        <v>839</v>
      </c>
      <c r="J101" s="92">
        <v>11280</v>
      </c>
      <c r="K101" s="92">
        <v>11280</v>
      </c>
      <c r="L101" s="92">
        <v>11280</v>
      </c>
      <c r="M101" s="102" t="s">
        <v>839</v>
      </c>
      <c r="N101" s="94" t="s">
        <v>93</v>
      </c>
    </row>
    <row r="102" spans="1:14" s="92" customFormat="1" ht="9.75" customHeight="1" x14ac:dyDescent="0.15">
      <c r="A102" s="756" t="s">
        <v>683</v>
      </c>
      <c r="B102" s="92" t="s">
        <v>839</v>
      </c>
      <c r="C102" s="92" t="s">
        <v>839</v>
      </c>
      <c r="D102" s="92" t="s">
        <v>839</v>
      </c>
      <c r="E102" s="92">
        <v>3387</v>
      </c>
      <c r="F102" s="92" t="s">
        <v>839</v>
      </c>
      <c r="G102" s="92" t="s">
        <v>839</v>
      </c>
      <c r="H102" s="92" t="s">
        <v>839</v>
      </c>
      <c r="I102" s="92" t="s">
        <v>839</v>
      </c>
      <c r="J102" s="92">
        <v>3387</v>
      </c>
      <c r="K102" s="92">
        <v>3387</v>
      </c>
      <c r="L102" s="92">
        <v>3387</v>
      </c>
      <c r="M102" s="102" t="s">
        <v>839</v>
      </c>
      <c r="N102" s="94" t="s">
        <v>94</v>
      </c>
    </row>
    <row r="103" spans="1:14" s="92" customFormat="1" ht="9.75" customHeight="1" x14ac:dyDescent="0.15">
      <c r="A103" s="756" t="s">
        <v>684</v>
      </c>
      <c r="B103" s="92" t="s">
        <v>839</v>
      </c>
      <c r="C103" s="92" t="s">
        <v>839</v>
      </c>
      <c r="D103" s="92" t="s">
        <v>839</v>
      </c>
      <c r="E103" s="92">
        <v>8737</v>
      </c>
      <c r="F103" s="92" t="s">
        <v>839</v>
      </c>
      <c r="G103" s="92" t="s">
        <v>839</v>
      </c>
      <c r="H103" s="92" t="s">
        <v>839</v>
      </c>
      <c r="I103" s="92" t="s">
        <v>839</v>
      </c>
      <c r="J103" s="92">
        <v>8737</v>
      </c>
      <c r="K103" s="92">
        <v>8737</v>
      </c>
      <c r="L103" s="92">
        <v>8737</v>
      </c>
      <c r="M103" s="102" t="s">
        <v>839</v>
      </c>
      <c r="N103" s="94" t="s">
        <v>95</v>
      </c>
    </row>
    <row r="104" spans="1:14" s="92" customFormat="1" ht="9.75" customHeight="1" x14ac:dyDescent="0.15">
      <c r="A104" s="756" t="s">
        <v>685</v>
      </c>
      <c r="B104" s="92" t="s">
        <v>839</v>
      </c>
      <c r="C104" s="92" t="s">
        <v>839</v>
      </c>
      <c r="D104" s="92" t="s">
        <v>839</v>
      </c>
      <c r="E104" s="92">
        <v>5800</v>
      </c>
      <c r="F104" s="92" t="s">
        <v>839</v>
      </c>
      <c r="G104" s="92" t="s">
        <v>839</v>
      </c>
      <c r="H104" s="92" t="s">
        <v>839</v>
      </c>
      <c r="I104" s="92" t="s">
        <v>839</v>
      </c>
      <c r="J104" s="92">
        <v>5800</v>
      </c>
      <c r="K104" s="92">
        <v>5800</v>
      </c>
      <c r="L104" s="92">
        <v>5800</v>
      </c>
      <c r="M104" s="102" t="s">
        <v>839</v>
      </c>
      <c r="N104" s="94" t="s">
        <v>96</v>
      </c>
    </row>
    <row r="105" spans="1:14" s="92" customFormat="1" ht="9.75" customHeight="1" x14ac:dyDescent="0.15">
      <c r="A105" s="756" t="s">
        <v>686</v>
      </c>
      <c r="B105" s="92" t="s">
        <v>839</v>
      </c>
      <c r="C105" s="92" t="s">
        <v>839</v>
      </c>
      <c r="D105" s="92" t="s">
        <v>839</v>
      </c>
      <c r="E105" s="92">
        <v>10216</v>
      </c>
      <c r="F105" s="92" t="s">
        <v>839</v>
      </c>
      <c r="G105" s="92" t="s">
        <v>839</v>
      </c>
      <c r="H105" s="92" t="s">
        <v>839</v>
      </c>
      <c r="I105" s="92" t="s">
        <v>839</v>
      </c>
      <c r="J105" s="92">
        <v>10216</v>
      </c>
      <c r="K105" s="92">
        <v>10216</v>
      </c>
      <c r="L105" s="92">
        <v>10216</v>
      </c>
      <c r="M105" s="102" t="s">
        <v>839</v>
      </c>
      <c r="N105" s="94" t="s">
        <v>80</v>
      </c>
    </row>
    <row r="106" spans="1:14" s="92" customFormat="1" ht="9.75" customHeight="1" x14ac:dyDescent="0.15">
      <c r="A106" s="756" t="s">
        <v>687</v>
      </c>
      <c r="B106" s="92" t="s">
        <v>839</v>
      </c>
      <c r="C106" s="92" t="s">
        <v>839</v>
      </c>
      <c r="D106" s="92" t="s">
        <v>839</v>
      </c>
      <c r="E106" s="92">
        <v>7803</v>
      </c>
      <c r="F106" s="92" t="s">
        <v>839</v>
      </c>
      <c r="G106" s="92" t="s">
        <v>839</v>
      </c>
      <c r="H106" s="92" t="s">
        <v>839</v>
      </c>
      <c r="I106" s="92" t="s">
        <v>839</v>
      </c>
      <c r="J106" s="92">
        <v>7803</v>
      </c>
      <c r="K106" s="92">
        <v>7803</v>
      </c>
      <c r="L106" s="92">
        <v>7803</v>
      </c>
      <c r="M106" s="102" t="s">
        <v>839</v>
      </c>
      <c r="N106" s="94" t="s">
        <v>81</v>
      </c>
    </row>
    <row r="107" spans="1:14" s="92" customFormat="1" ht="9.75" customHeight="1" x14ac:dyDescent="0.15">
      <c r="A107" s="756" t="s">
        <v>688</v>
      </c>
      <c r="B107" s="92" t="s">
        <v>839</v>
      </c>
      <c r="C107" s="92" t="s">
        <v>839</v>
      </c>
      <c r="D107" s="92" t="s">
        <v>839</v>
      </c>
      <c r="E107" s="92">
        <v>10498</v>
      </c>
      <c r="F107" s="92" t="s">
        <v>839</v>
      </c>
      <c r="G107" s="92" t="s">
        <v>839</v>
      </c>
      <c r="H107" s="92" t="s">
        <v>839</v>
      </c>
      <c r="I107" s="92" t="s">
        <v>839</v>
      </c>
      <c r="J107" s="92">
        <v>10498</v>
      </c>
      <c r="K107" s="92">
        <v>10498</v>
      </c>
      <c r="L107" s="92">
        <v>10498</v>
      </c>
      <c r="M107" s="102" t="s">
        <v>839</v>
      </c>
      <c r="N107" s="94" t="s">
        <v>82</v>
      </c>
    </row>
    <row r="108" spans="1:14" s="92" customFormat="1" ht="9.75" customHeight="1" x14ac:dyDescent="0.15">
      <c r="A108" s="756" t="s">
        <v>849</v>
      </c>
      <c r="B108" s="92" t="s">
        <v>839</v>
      </c>
      <c r="C108" s="92" t="s">
        <v>839</v>
      </c>
      <c r="D108" s="92" t="s">
        <v>839</v>
      </c>
      <c r="E108" s="92">
        <v>11447</v>
      </c>
      <c r="F108" s="92" t="s">
        <v>839</v>
      </c>
      <c r="G108" s="92" t="s">
        <v>839</v>
      </c>
      <c r="H108" s="92" t="s">
        <v>839</v>
      </c>
      <c r="I108" s="92" t="s">
        <v>839</v>
      </c>
      <c r="J108" s="92">
        <v>11447</v>
      </c>
      <c r="K108" s="92">
        <v>11447</v>
      </c>
      <c r="L108" s="92">
        <v>11447</v>
      </c>
      <c r="M108" s="102" t="s">
        <v>839</v>
      </c>
      <c r="N108" s="94" t="s">
        <v>850</v>
      </c>
    </row>
    <row r="109" spans="1:14" s="92" customFormat="1" ht="9.75" customHeight="1" x14ac:dyDescent="0.15">
      <c r="A109" s="756" t="s">
        <v>690</v>
      </c>
      <c r="B109" s="92" t="s">
        <v>839</v>
      </c>
      <c r="C109" s="92" t="s">
        <v>839</v>
      </c>
      <c r="D109" s="92" t="s">
        <v>839</v>
      </c>
      <c r="E109" s="92">
        <v>7160</v>
      </c>
      <c r="F109" s="92" t="s">
        <v>839</v>
      </c>
      <c r="G109" s="92" t="s">
        <v>839</v>
      </c>
      <c r="H109" s="92" t="s">
        <v>839</v>
      </c>
      <c r="I109" s="92" t="s">
        <v>839</v>
      </c>
      <c r="J109" s="92">
        <v>7160</v>
      </c>
      <c r="K109" s="92">
        <v>7160</v>
      </c>
      <c r="L109" s="92">
        <v>5223</v>
      </c>
      <c r="M109" s="102">
        <v>1937</v>
      </c>
      <c r="N109" s="94" t="s">
        <v>77</v>
      </c>
    </row>
    <row r="110" spans="1:14" s="92" customFormat="1" ht="9.75" customHeight="1" x14ac:dyDescent="0.15">
      <c r="A110" s="757" t="s">
        <v>691</v>
      </c>
      <c r="B110" s="96" t="s">
        <v>839</v>
      </c>
      <c r="C110" s="97" t="s">
        <v>839</v>
      </c>
      <c r="D110" s="97" t="s">
        <v>839</v>
      </c>
      <c r="E110" s="97">
        <v>10983</v>
      </c>
      <c r="F110" s="97" t="s">
        <v>839</v>
      </c>
      <c r="G110" s="97" t="s">
        <v>839</v>
      </c>
      <c r="H110" s="97" t="s">
        <v>839</v>
      </c>
      <c r="I110" s="97" t="s">
        <v>839</v>
      </c>
      <c r="J110" s="97">
        <v>10983</v>
      </c>
      <c r="K110" s="97">
        <v>10983</v>
      </c>
      <c r="L110" s="97">
        <v>7195</v>
      </c>
      <c r="M110" s="103">
        <v>3788</v>
      </c>
      <c r="N110" s="98" t="s">
        <v>78</v>
      </c>
    </row>
    <row r="111" spans="1:14" ht="21.75" customHeight="1" x14ac:dyDescent="0.15"/>
  </sheetData>
  <mergeCells count="3">
    <mergeCell ref="R4:R8"/>
    <mergeCell ref="R40:R44"/>
    <mergeCell ref="N76:N80"/>
  </mergeCells>
  <phoneticPr fontId="32"/>
  <pageMargins left="0.59055118110236227" right="0.59055118110236227" top="0.59055118110236227" bottom="0.59055118110236227" header="0.31496062992125984" footer="0.11811023622047245"/>
  <pageSetup paperSize="9" scale="89" pageOrder="overThenDown" orientation="portrait" r:id="rId1"/>
  <headerFooter alignWithMargins="0"/>
  <rowBreaks count="1" manualBreakCount="1">
    <brk id="74" max="17" man="1"/>
  </rowBreaks>
  <colBreaks count="1" manualBreakCount="1">
    <brk id="9" min="1" max="10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D288-62BF-4D6A-8A8B-27DAE21B9C6E}">
  <dimension ref="A1:Z123"/>
  <sheetViews>
    <sheetView view="pageBreakPreview" zoomScale="80" zoomScaleNormal="100" zoomScaleSheetLayoutView="80" workbookViewId="0">
      <pane xSplit="4" ySplit="9" topLeftCell="E14" activePane="bottomRight" state="frozen"/>
      <selection pane="topRight" activeCell="E1" sqref="E1"/>
      <selection pane="bottomLeft" activeCell="A10" sqref="A10"/>
      <selection pane="bottomRight"/>
    </sheetView>
  </sheetViews>
  <sheetFormatPr defaultRowHeight="13.5" x14ac:dyDescent="0.15"/>
  <cols>
    <col min="1" max="1" width="3.375" style="104" customWidth="1"/>
    <col min="2" max="2" width="3.25" style="104" customWidth="1"/>
    <col min="3" max="3" width="6.125" style="104" customWidth="1"/>
    <col min="4" max="4" width="0.875" style="104" customWidth="1"/>
    <col min="5" max="11" width="10.625" style="104" customWidth="1"/>
    <col min="12" max="16" width="8.625" style="104" customWidth="1"/>
    <col min="17" max="17" width="9.5" style="104" customWidth="1"/>
    <col min="18" max="20" width="8.625" style="104" customWidth="1"/>
    <col min="21" max="21" width="8.375" style="104" customWidth="1"/>
    <col min="22" max="22" width="2.625" style="104" customWidth="1"/>
    <col min="23" max="23" width="14.875" style="104" customWidth="1"/>
    <col min="24" max="24" width="15.125" style="104" customWidth="1"/>
    <col min="25" max="16384" width="9" style="104"/>
  </cols>
  <sheetData>
    <row r="1" spans="1:22" ht="12.75" customHeight="1" x14ac:dyDescent="0.15"/>
    <row r="2" spans="1:22" s="148" customFormat="1" ht="12.75" customHeight="1" x14ac:dyDescent="0.15">
      <c r="A2" s="172" t="s">
        <v>213</v>
      </c>
      <c r="B2" s="172"/>
      <c r="C2" s="172"/>
      <c r="D2" s="172"/>
      <c r="E2" s="172"/>
      <c r="F2" s="621"/>
      <c r="G2" s="622"/>
      <c r="H2" s="622"/>
      <c r="I2" s="170"/>
      <c r="J2" s="170"/>
      <c r="K2" s="170"/>
      <c r="L2" s="170"/>
      <c r="M2" s="170"/>
      <c r="N2" s="170"/>
      <c r="O2" s="170"/>
      <c r="P2" s="170"/>
      <c r="Q2" s="170"/>
    </row>
    <row r="3" spans="1:22" s="148" customFormat="1" ht="12.75" customHeight="1" x14ac:dyDescent="0.15">
      <c r="A3" s="151" t="s">
        <v>212</v>
      </c>
      <c r="B3" s="294"/>
      <c r="C3" s="171"/>
      <c r="D3" s="171"/>
      <c r="E3" s="171"/>
      <c r="F3" s="621"/>
      <c r="G3" s="622"/>
      <c r="H3" s="622"/>
      <c r="I3" s="170"/>
      <c r="J3" s="170"/>
      <c r="K3" s="795" t="s">
        <v>97</v>
      </c>
      <c r="L3" s="170"/>
      <c r="M3" s="170"/>
      <c r="N3" s="170"/>
      <c r="O3" s="170"/>
      <c r="P3" s="150" t="s">
        <v>209</v>
      </c>
      <c r="Q3" s="150"/>
      <c r="R3" s="169"/>
    </row>
    <row r="4" spans="1:22" s="126" customFormat="1" ht="10.5" customHeight="1" x14ac:dyDescent="0.15">
      <c r="A4" s="1005" t="s">
        <v>602</v>
      </c>
      <c r="B4" s="1005"/>
      <c r="C4" s="1005"/>
      <c r="D4" s="1006"/>
      <c r="E4" s="168"/>
      <c r="F4" s="1011"/>
      <c r="G4" s="1011"/>
      <c r="H4" s="1011"/>
      <c r="I4" s="1011"/>
      <c r="J4" s="1011"/>
      <c r="K4" s="1011"/>
      <c r="L4" s="1011"/>
      <c r="M4" s="1011"/>
      <c r="N4" s="1011"/>
      <c r="O4" s="1011"/>
      <c r="P4" s="1012"/>
      <c r="Q4" s="996" t="s">
        <v>628</v>
      </c>
      <c r="R4" s="447"/>
      <c r="S4" s="148"/>
      <c r="T4" s="148"/>
      <c r="U4" s="148"/>
      <c r="V4" s="148"/>
    </row>
    <row r="5" spans="1:22" s="126" customFormat="1" ht="11.45" customHeight="1" x14ac:dyDescent="0.15">
      <c r="A5" s="1007"/>
      <c r="B5" s="1007"/>
      <c r="C5" s="1007"/>
      <c r="D5" s="1008"/>
      <c r="E5" s="131" t="s">
        <v>208</v>
      </c>
      <c r="F5" s="146"/>
      <c r="G5" s="146"/>
      <c r="H5" s="142" t="s">
        <v>207</v>
      </c>
      <c r="I5" s="723"/>
      <c r="J5" s="145"/>
      <c r="K5" s="142" t="s">
        <v>206</v>
      </c>
      <c r="L5" s="723"/>
      <c r="M5" s="724"/>
      <c r="N5" s="142" t="s">
        <v>205</v>
      </c>
      <c r="O5" s="144"/>
      <c r="P5" s="143"/>
      <c r="Q5" s="1013"/>
      <c r="R5" s="447"/>
      <c r="S5" s="148"/>
      <c r="T5" s="148"/>
      <c r="U5" s="148"/>
      <c r="V5" s="148"/>
    </row>
    <row r="6" spans="1:22" s="126" customFormat="1" ht="11.45" customHeight="1" x14ac:dyDescent="0.15">
      <c r="A6" s="1007"/>
      <c r="B6" s="1007"/>
      <c r="C6" s="1007"/>
      <c r="D6" s="1008"/>
      <c r="E6" s="168"/>
      <c r="F6" s="139"/>
      <c r="G6" s="139"/>
      <c r="H6" s="131" t="s">
        <v>202</v>
      </c>
      <c r="I6" s="726"/>
      <c r="J6" s="138"/>
      <c r="K6" s="131" t="s">
        <v>203</v>
      </c>
      <c r="L6" s="167"/>
      <c r="M6" s="727"/>
      <c r="N6" s="131" t="s">
        <v>202</v>
      </c>
      <c r="O6" s="135"/>
      <c r="P6" s="725"/>
      <c r="Q6" s="1013"/>
      <c r="R6" s="447"/>
      <c r="S6" s="148"/>
      <c r="T6" s="148"/>
      <c r="U6" s="148"/>
      <c r="V6" s="148"/>
    </row>
    <row r="7" spans="1:22" s="126" customFormat="1" ht="11.45" customHeight="1" x14ac:dyDescent="0.15">
      <c r="A7" s="1007"/>
      <c r="B7" s="1007"/>
      <c r="C7" s="1007"/>
      <c r="D7" s="1008"/>
      <c r="E7" s="131" t="s">
        <v>494</v>
      </c>
      <c r="F7" s="132" t="s">
        <v>702</v>
      </c>
      <c r="G7" s="132" t="s">
        <v>703</v>
      </c>
      <c r="H7" s="132" t="s">
        <v>211</v>
      </c>
      <c r="I7" s="447" t="s">
        <v>702</v>
      </c>
      <c r="J7" s="130" t="s">
        <v>703</v>
      </c>
      <c r="K7" s="1003" t="s">
        <v>201</v>
      </c>
      <c r="L7" s="130" t="s">
        <v>702</v>
      </c>
      <c r="M7" s="130" t="s">
        <v>703</v>
      </c>
      <c r="N7" s="1003" t="s">
        <v>704</v>
      </c>
      <c r="O7" s="142" t="s">
        <v>702</v>
      </c>
      <c r="P7" s="130" t="s">
        <v>703</v>
      </c>
      <c r="Q7" s="1013"/>
      <c r="R7" s="447"/>
      <c r="S7" s="148"/>
      <c r="T7" s="148"/>
      <c r="U7" s="148"/>
      <c r="V7" s="148"/>
    </row>
    <row r="8" spans="1:22" s="126" customFormat="1" ht="11.45" customHeight="1" x14ac:dyDescent="0.15">
      <c r="A8" s="1007"/>
      <c r="B8" s="1007"/>
      <c r="C8" s="1007"/>
      <c r="D8" s="1008"/>
      <c r="E8" s="1003"/>
      <c r="F8" s="1003" t="s">
        <v>705</v>
      </c>
      <c r="G8" s="1003" t="s">
        <v>706</v>
      </c>
      <c r="H8" s="129" t="s">
        <v>58</v>
      </c>
      <c r="I8" s="1003" t="s">
        <v>705</v>
      </c>
      <c r="J8" s="1003" t="s">
        <v>706</v>
      </c>
      <c r="K8" s="1003"/>
      <c r="L8" s="1003" t="s">
        <v>705</v>
      </c>
      <c r="M8" s="1003" t="s">
        <v>706</v>
      </c>
      <c r="N8" s="1003"/>
      <c r="O8" s="1003" t="s">
        <v>705</v>
      </c>
      <c r="P8" s="1003" t="s">
        <v>706</v>
      </c>
      <c r="Q8" s="1013"/>
      <c r="R8" s="447"/>
      <c r="S8" s="148"/>
      <c r="T8" s="148"/>
      <c r="U8" s="148"/>
      <c r="V8" s="148"/>
    </row>
    <row r="9" spans="1:22" s="126" customFormat="1" ht="11.45" customHeight="1" x14ac:dyDescent="0.15">
      <c r="A9" s="1009"/>
      <c r="B9" s="1009"/>
      <c r="C9" s="1009"/>
      <c r="D9" s="1010"/>
      <c r="E9" s="1014"/>
      <c r="F9" s="1004"/>
      <c r="G9" s="1004"/>
      <c r="H9" s="728"/>
      <c r="I9" s="1004"/>
      <c r="J9" s="1004"/>
      <c r="K9" s="728" t="s">
        <v>494</v>
      </c>
      <c r="L9" s="1004"/>
      <c r="M9" s="1004"/>
      <c r="N9" s="128" t="s">
        <v>494</v>
      </c>
      <c r="O9" s="1004"/>
      <c r="P9" s="1004"/>
      <c r="Q9" s="127"/>
      <c r="S9" s="148"/>
      <c r="T9" s="148"/>
      <c r="U9" s="148"/>
      <c r="V9" s="148"/>
    </row>
    <row r="10" spans="1:22" s="106" customFormat="1" ht="9.75" customHeight="1" x14ac:dyDescent="0.15">
      <c r="A10" s="796" t="s">
        <v>249</v>
      </c>
      <c r="B10" s="290" t="s">
        <v>901</v>
      </c>
      <c r="C10" s="108"/>
      <c r="D10" s="289"/>
      <c r="E10" s="162">
        <v>177770647</v>
      </c>
      <c r="F10" s="161">
        <v>177250238</v>
      </c>
      <c r="G10" s="161">
        <v>520409</v>
      </c>
      <c r="H10" s="161">
        <v>177502877</v>
      </c>
      <c r="I10" s="161">
        <v>176982468</v>
      </c>
      <c r="J10" s="161">
        <v>520409</v>
      </c>
      <c r="K10" s="161">
        <v>267770</v>
      </c>
      <c r="L10" s="161">
        <v>267770</v>
      </c>
      <c r="M10" s="161" t="s">
        <v>599</v>
      </c>
      <c r="N10" s="161" t="s">
        <v>599</v>
      </c>
      <c r="O10" s="161" t="s">
        <v>599</v>
      </c>
      <c r="P10" s="161" t="s">
        <v>599</v>
      </c>
      <c r="Q10" s="125" t="s">
        <v>902</v>
      </c>
      <c r="R10" s="165"/>
      <c r="S10" s="148"/>
      <c r="T10" s="148"/>
      <c r="U10" s="148"/>
      <c r="V10" s="148"/>
    </row>
    <row r="11" spans="1:22" s="106" customFormat="1" ht="9.75" customHeight="1" x14ac:dyDescent="0.15">
      <c r="A11" s="282" t="s">
        <v>903</v>
      </c>
      <c r="B11" s="290" t="s">
        <v>904</v>
      </c>
      <c r="C11" s="108"/>
      <c r="D11" s="289"/>
      <c r="E11" s="162">
        <v>177048024</v>
      </c>
      <c r="F11" s="161">
        <v>176540466</v>
      </c>
      <c r="G11" s="161">
        <v>507558</v>
      </c>
      <c r="H11" s="161">
        <v>176787722</v>
      </c>
      <c r="I11" s="161">
        <v>176280164</v>
      </c>
      <c r="J11" s="161">
        <v>507558</v>
      </c>
      <c r="K11" s="161">
        <v>260302</v>
      </c>
      <c r="L11" s="161">
        <v>260302</v>
      </c>
      <c r="M11" s="161" t="s">
        <v>599</v>
      </c>
      <c r="N11" s="161" t="s">
        <v>599</v>
      </c>
      <c r="O11" s="161" t="s">
        <v>599</v>
      </c>
      <c r="P11" s="161" t="s">
        <v>599</v>
      </c>
      <c r="Q11" s="125" t="s">
        <v>905</v>
      </c>
      <c r="R11" s="165"/>
      <c r="S11" s="148"/>
      <c r="T11" s="148"/>
      <c r="U11" s="148"/>
      <c r="V11" s="148"/>
    </row>
    <row r="12" spans="1:22" s="106" customFormat="1" ht="9.75" customHeight="1" x14ac:dyDescent="0.15">
      <c r="A12" s="282" t="s">
        <v>248</v>
      </c>
      <c r="B12" s="290">
        <v>2</v>
      </c>
      <c r="C12" s="108"/>
      <c r="D12" s="289"/>
      <c r="E12" s="162">
        <v>145229769</v>
      </c>
      <c r="F12" s="161">
        <v>144787326</v>
      </c>
      <c r="G12" s="161">
        <v>442443</v>
      </c>
      <c r="H12" s="161">
        <v>145016852</v>
      </c>
      <c r="I12" s="161">
        <v>144574409</v>
      </c>
      <c r="J12" s="161">
        <v>442443</v>
      </c>
      <c r="K12" s="161">
        <v>212917</v>
      </c>
      <c r="L12" s="161">
        <v>212917</v>
      </c>
      <c r="M12" s="161" t="s">
        <v>599</v>
      </c>
      <c r="N12" s="161" t="s">
        <v>599</v>
      </c>
      <c r="O12" s="161" t="s">
        <v>599</v>
      </c>
      <c r="P12" s="161" t="s">
        <v>599</v>
      </c>
      <c r="Q12" s="125" t="s">
        <v>906</v>
      </c>
      <c r="R12" s="165"/>
      <c r="S12" s="148"/>
      <c r="T12" s="148"/>
      <c r="U12" s="148"/>
      <c r="V12" s="148"/>
    </row>
    <row r="13" spans="1:22" s="106" customFormat="1" ht="9.75" customHeight="1" x14ac:dyDescent="0.15">
      <c r="A13" s="282" t="s">
        <v>248</v>
      </c>
      <c r="B13" s="290">
        <v>3</v>
      </c>
      <c r="C13" s="108"/>
      <c r="D13" s="289"/>
      <c r="E13" s="162">
        <v>144648208</v>
      </c>
      <c r="F13" s="161">
        <v>144149620</v>
      </c>
      <c r="G13" s="161">
        <v>498588</v>
      </c>
      <c r="H13" s="161">
        <v>144402535</v>
      </c>
      <c r="I13" s="161">
        <v>143903947</v>
      </c>
      <c r="J13" s="161">
        <v>498588</v>
      </c>
      <c r="K13" s="161">
        <v>245673</v>
      </c>
      <c r="L13" s="161">
        <v>245673</v>
      </c>
      <c r="M13" s="161" t="s">
        <v>599</v>
      </c>
      <c r="N13" s="161" t="s">
        <v>599</v>
      </c>
      <c r="O13" s="161" t="s">
        <v>599</v>
      </c>
      <c r="P13" s="161" t="s">
        <v>599</v>
      </c>
      <c r="Q13" s="125" t="s">
        <v>907</v>
      </c>
      <c r="R13" s="165"/>
      <c r="S13" s="148"/>
      <c r="T13" s="148"/>
      <c r="U13" s="148"/>
      <c r="V13" s="148"/>
    </row>
    <row r="14" spans="1:22" s="106" customFormat="1" ht="9.75" customHeight="1" x14ac:dyDescent="0.15">
      <c r="A14" s="282" t="s">
        <v>248</v>
      </c>
      <c r="B14" s="290">
        <v>4</v>
      </c>
      <c r="C14" s="108"/>
      <c r="D14" s="289"/>
      <c r="E14" s="162">
        <v>156575830</v>
      </c>
      <c r="F14" s="161">
        <v>156179142</v>
      </c>
      <c r="G14" s="161">
        <v>396688</v>
      </c>
      <c r="H14" s="161">
        <v>156351040</v>
      </c>
      <c r="I14" s="161">
        <v>155954352</v>
      </c>
      <c r="J14" s="161">
        <v>396688</v>
      </c>
      <c r="K14" s="161">
        <v>224790</v>
      </c>
      <c r="L14" s="161">
        <v>224790</v>
      </c>
      <c r="M14" s="161" t="s">
        <v>599</v>
      </c>
      <c r="N14" s="161" t="s">
        <v>599</v>
      </c>
      <c r="O14" s="161" t="s">
        <v>599</v>
      </c>
      <c r="P14" s="161" t="s">
        <v>599</v>
      </c>
      <c r="Q14" s="125" t="s">
        <v>908</v>
      </c>
      <c r="R14" s="165"/>
      <c r="S14" s="148"/>
      <c r="T14" s="148"/>
      <c r="U14" s="148"/>
      <c r="V14" s="148"/>
    </row>
    <row r="15" spans="1:22" s="106" customFormat="1" ht="9.75" customHeight="1" x14ac:dyDescent="0.15">
      <c r="A15" s="282"/>
      <c r="B15" s="282"/>
      <c r="C15" s="86"/>
      <c r="D15" s="285"/>
      <c r="E15" s="162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19"/>
      <c r="R15" s="140"/>
      <c r="S15" s="148"/>
      <c r="T15" s="148"/>
      <c r="U15" s="148"/>
      <c r="V15" s="148"/>
    </row>
    <row r="16" spans="1:22" s="106" customFormat="1" ht="9.75" customHeight="1" x14ac:dyDescent="0.15">
      <c r="A16" s="290" t="s">
        <v>903</v>
      </c>
      <c r="B16" s="290" t="s">
        <v>909</v>
      </c>
      <c r="C16" s="797"/>
      <c r="D16" s="287"/>
      <c r="E16" s="162">
        <v>147484584</v>
      </c>
      <c r="F16" s="161">
        <v>147008601</v>
      </c>
      <c r="G16" s="161">
        <v>475983</v>
      </c>
      <c r="H16" s="161">
        <v>147246342</v>
      </c>
      <c r="I16" s="161">
        <v>146770359</v>
      </c>
      <c r="J16" s="161">
        <v>475983</v>
      </c>
      <c r="K16" s="161">
        <v>238242</v>
      </c>
      <c r="L16" s="161">
        <v>238242</v>
      </c>
      <c r="M16" s="161" t="s">
        <v>599</v>
      </c>
      <c r="N16" s="166" t="s">
        <v>599</v>
      </c>
      <c r="O16" s="161" t="s">
        <v>599</v>
      </c>
      <c r="P16" s="166" t="s">
        <v>599</v>
      </c>
      <c r="Q16" s="124" t="s">
        <v>910</v>
      </c>
      <c r="R16" s="165"/>
      <c r="S16" s="148"/>
      <c r="T16" s="148"/>
      <c r="U16" s="148"/>
      <c r="V16" s="148"/>
    </row>
    <row r="17" spans="1:22" s="106" customFormat="1" ht="9.75" customHeight="1" x14ac:dyDescent="0.15">
      <c r="A17" s="282" t="s">
        <v>248</v>
      </c>
      <c r="B17" s="290">
        <v>4</v>
      </c>
      <c r="C17" s="797"/>
      <c r="D17" s="287"/>
      <c r="E17" s="162">
        <v>156238430</v>
      </c>
      <c r="F17" s="161">
        <v>155857473</v>
      </c>
      <c r="G17" s="161">
        <v>380957</v>
      </c>
      <c r="H17" s="161">
        <v>156015743</v>
      </c>
      <c r="I17" s="161">
        <v>155634786</v>
      </c>
      <c r="J17" s="161">
        <v>380957</v>
      </c>
      <c r="K17" s="161">
        <v>222687</v>
      </c>
      <c r="L17" s="161">
        <v>222687</v>
      </c>
      <c r="M17" s="161" t="s">
        <v>599</v>
      </c>
      <c r="N17" s="166" t="s">
        <v>599</v>
      </c>
      <c r="O17" s="161" t="s">
        <v>599</v>
      </c>
      <c r="P17" s="166" t="s">
        <v>599</v>
      </c>
      <c r="Q17" s="124" t="s">
        <v>911</v>
      </c>
      <c r="R17" s="165"/>
      <c r="S17" s="148"/>
      <c r="T17" s="148"/>
      <c r="U17" s="148"/>
      <c r="V17" s="148"/>
    </row>
    <row r="18" spans="1:22" s="106" customFormat="1" ht="9.75" customHeight="1" x14ac:dyDescent="0.15">
      <c r="A18" s="282"/>
      <c r="B18" s="282"/>
      <c r="C18" s="86"/>
      <c r="D18" s="285"/>
      <c r="E18" s="162"/>
      <c r="F18" s="161"/>
      <c r="G18" s="161"/>
      <c r="H18" s="161"/>
      <c r="I18" s="161"/>
      <c r="J18" s="161"/>
      <c r="K18" s="161"/>
      <c r="L18" s="161"/>
      <c r="M18" s="161"/>
      <c r="N18" s="161"/>
      <c r="O18" s="115"/>
      <c r="P18" s="161"/>
      <c r="Q18" s="119"/>
      <c r="R18" s="140"/>
      <c r="S18" s="163"/>
      <c r="T18" s="148"/>
      <c r="U18" s="148"/>
      <c r="V18" s="148"/>
    </row>
    <row r="19" spans="1:22" s="106" customFormat="1" ht="9.75" customHeight="1" x14ac:dyDescent="0.15">
      <c r="A19" s="290" t="s">
        <v>903</v>
      </c>
      <c r="B19" s="290" t="s">
        <v>912</v>
      </c>
      <c r="C19" s="290" t="s">
        <v>723</v>
      </c>
      <c r="D19" s="287"/>
      <c r="E19" s="162">
        <v>39740328</v>
      </c>
      <c r="F19" s="161">
        <v>39630457</v>
      </c>
      <c r="G19" s="161">
        <v>109871</v>
      </c>
      <c r="H19" s="161">
        <v>39680533</v>
      </c>
      <c r="I19" s="161">
        <v>39570662</v>
      </c>
      <c r="J19" s="161">
        <v>109871</v>
      </c>
      <c r="K19" s="161">
        <v>59795</v>
      </c>
      <c r="L19" s="161">
        <v>59795</v>
      </c>
      <c r="M19" s="161" t="s">
        <v>599</v>
      </c>
      <c r="N19" s="161" t="s">
        <v>599</v>
      </c>
      <c r="O19" s="161" t="s">
        <v>599</v>
      </c>
      <c r="P19" s="161" t="s">
        <v>599</v>
      </c>
      <c r="Q19" s="120" t="s">
        <v>913</v>
      </c>
      <c r="R19" s="165"/>
      <c r="S19" s="163"/>
      <c r="T19" s="148"/>
      <c r="U19" s="148"/>
      <c r="V19" s="148"/>
    </row>
    <row r="20" spans="1:22" s="106" customFormat="1" ht="9.75" customHeight="1" x14ac:dyDescent="0.15">
      <c r="A20" s="282" t="s">
        <v>248</v>
      </c>
      <c r="B20" s="282" t="s">
        <v>248</v>
      </c>
      <c r="C20" s="290" t="s">
        <v>724</v>
      </c>
      <c r="D20" s="287"/>
      <c r="E20" s="162">
        <v>37353438</v>
      </c>
      <c r="F20" s="161">
        <v>37259936</v>
      </c>
      <c r="G20" s="161">
        <v>93502</v>
      </c>
      <c r="H20" s="161">
        <v>37301661</v>
      </c>
      <c r="I20" s="161">
        <v>37208159</v>
      </c>
      <c r="J20" s="161">
        <v>93502</v>
      </c>
      <c r="K20" s="161">
        <v>51777</v>
      </c>
      <c r="L20" s="161">
        <v>51777</v>
      </c>
      <c r="M20" s="161" t="s">
        <v>599</v>
      </c>
      <c r="N20" s="161" t="s">
        <v>599</v>
      </c>
      <c r="O20" s="161" t="s">
        <v>599</v>
      </c>
      <c r="P20" s="161" t="s">
        <v>599</v>
      </c>
      <c r="Q20" s="123" t="s">
        <v>914</v>
      </c>
      <c r="R20" s="165"/>
      <c r="S20" s="163"/>
      <c r="T20" s="148"/>
      <c r="U20" s="148"/>
      <c r="V20" s="148"/>
    </row>
    <row r="21" spans="1:22" s="106" customFormat="1" ht="9.75" customHeight="1" x14ac:dyDescent="0.15">
      <c r="A21" s="282" t="s">
        <v>248</v>
      </c>
      <c r="B21" s="282" t="s">
        <v>248</v>
      </c>
      <c r="C21" s="290" t="s">
        <v>725</v>
      </c>
      <c r="D21" s="287"/>
      <c r="E21" s="162">
        <v>39768813</v>
      </c>
      <c r="F21" s="161">
        <v>39667958</v>
      </c>
      <c r="G21" s="161">
        <v>100855</v>
      </c>
      <c r="H21" s="161">
        <v>39726372</v>
      </c>
      <c r="I21" s="161">
        <v>39625517</v>
      </c>
      <c r="J21" s="161">
        <v>100855</v>
      </c>
      <c r="K21" s="161">
        <v>42441</v>
      </c>
      <c r="L21" s="161">
        <v>42441</v>
      </c>
      <c r="M21" s="161" t="s">
        <v>599</v>
      </c>
      <c r="N21" s="161" t="s">
        <v>599</v>
      </c>
      <c r="O21" s="161" t="s">
        <v>599</v>
      </c>
      <c r="P21" s="161" t="s">
        <v>599</v>
      </c>
      <c r="Q21" s="122" t="s">
        <v>915</v>
      </c>
      <c r="R21" s="155"/>
      <c r="S21" s="163"/>
      <c r="T21" s="148"/>
      <c r="U21" s="148"/>
      <c r="V21" s="148"/>
    </row>
    <row r="22" spans="1:22" s="106" customFormat="1" ht="9.75" customHeight="1" x14ac:dyDescent="0.15">
      <c r="A22" s="282" t="s">
        <v>248</v>
      </c>
      <c r="B22" s="282" t="s">
        <v>248</v>
      </c>
      <c r="C22" s="290" t="s">
        <v>629</v>
      </c>
      <c r="D22" s="287"/>
      <c r="E22" s="162">
        <v>39713251</v>
      </c>
      <c r="F22" s="161">
        <v>39620791</v>
      </c>
      <c r="G22" s="161">
        <v>92460</v>
      </c>
      <c r="H22" s="161">
        <v>39642474</v>
      </c>
      <c r="I22" s="161">
        <v>39550014</v>
      </c>
      <c r="J22" s="161">
        <v>92460</v>
      </c>
      <c r="K22" s="161">
        <v>70777</v>
      </c>
      <c r="L22" s="161">
        <v>70777</v>
      </c>
      <c r="M22" s="161" t="s">
        <v>599</v>
      </c>
      <c r="N22" s="161" t="s">
        <v>599</v>
      </c>
      <c r="O22" s="161" t="s">
        <v>599</v>
      </c>
      <c r="P22" s="161" t="s">
        <v>599</v>
      </c>
      <c r="Q22" s="121" t="s">
        <v>916</v>
      </c>
      <c r="R22" s="155"/>
      <c r="S22" s="163"/>
      <c r="T22" s="148"/>
      <c r="U22" s="148"/>
      <c r="V22" s="148"/>
    </row>
    <row r="23" spans="1:22" s="106" customFormat="1" ht="9.75" customHeight="1" x14ac:dyDescent="0.15">
      <c r="A23" s="290" t="s">
        <v>903</v>
      </c>
      <c r="B23" s="290" t="s">
        <v>917</v>
      </c>
      <c r="C23" s="290" t="s">
        <v>723</v>
      </c>
      <c r="D23" s="287"/>
      <c r="E23" s="162">
        <v>39402928</v>
      </c>
      <c r="F23" s="161">
        <v>39308788</v>
      </c>
      <c r="G23" s="161">
        <v>94140</v>
      </c>
      <c r="H23" s="161">
        <v>39345236</v>
      </c>
      <c r="I23" s="161">
        <v>39251096</v>
      </c>
      <c r="J23" s="161">
        <v>94140</v>
      </c>
      <c r="K23" s="161">
        <v>57692</v>
      </c>
      <c r="L23" s="161">
        <v>57692</v>
      </c>
      <c r="M23" s="161" t="s">
        <v>599</v>
      </c>
      <c r="N23" s="161" t="s">
        <v>599</v>
      </c>
      <c r="O23" s="161" t="s">
        <v>599</v>
      </c>
      <c r="P23" s="161" t="s">
        <v>599</v>
      </c>
      <c r="Q23" s="120" t="s">
        <v>918</v>
      </c>
      <c r="R23" s="155"/>
      <c r="S23" s="163"/>
      <c r="T23" s="148"/>
      <c r="U23" s="148"/>
      <c r="V23" s="148"/>
    </row>
    <row r="24" spans="1:22" s="106" customFormat="1" ht="9.75" customHeight="1" x14ac:dyDescent="0.15">
      <c r="A24" s="282"/>
      <c r="B24" s="282"/>
      <c r="C24" s="86"/>
      <c r="D24" s="285"/>
      <c r="E24" s="162"/>
      <c r="F24" s="161"/>
      <c r="G24" s="161"/>
      <c r="H24" s="161"/>
      <c r="I24" s="161"/>
      <c r="J24" s="161"/>
      <c r="K24" s="161"/>
      <c r="L24" s="161"/>
      <c r="M24" s="161"/>
      <c r="N24" s="161"/>
      <c r="O24" s="115"/>
      <c r="P24" s="161"/>
      <c r="Q24" s="119"/>
      <c r="R24" s="165"/>
      <c r="S24" s="163"/>
      <c r="T24" s="148"/>
      <c r="U24" s="148"/>
      <c r="V24" s="148"/>
    </row>
    <row r="25" spans="1:22" s="106" customFormat="1" ht="9.75" customHeight="1" x14ac:dyDescent="0.15">
      <c r="A25" s="290" t="s">
        <v>903</v>
      </c>
      <c r="B25" s="290" t="s">
        <v>912</v>
      </c>
      <c r="C25" s="282" t="s">
        <v>707</v>
      </c>
      <c r="D25" s="281"/>
      <c r="E25" s="162">
        <v>13937122</v>
      </c>
      <c r="F25" s="161">
        <v>13901171</v>
      </c>
      <c r="G25" s="161">
        <v>35951</v>
      </c>
      <c r="H25" s="161">
        <v>13923377</v>
      </c>
      <c r="I25" s="161">
        <v>13887426</v>
      </c>
      <c r="J25" s="161">
        <v>35951</v>
      </c>
      <c r="K25" s="161">
        <v>13745</v>
      </c>
      <c r="L25" s="161">
        <v>13745</v>
      </c>
      <c r="M25" s="161" t="s">
        <v>599</v>
      </c>
      <c r="N25" s="161" t="s">
        <v>599</v>
      </c>
      <c r="O25" s="161" t="s">
        <v>599</v>
      </c>
      <c r="P25" s="161" t="s">
        <v>599</v>
      </c>
      <c r="Q25" s="118" t="s">
        <v>919</v>
      </c>
      <c r="R25" s="155"/>
      <c r="S25" s="163"/>
      <c r="T25" s="148"/>
      <c r="U25" s="148"/>
      <c r="V25" s="148"/>
    </row>
    <row r="26" spans="1:22" s="106" customFormat="1" ht="9.75" customHeight="1" x14ac:dyDescent="0.15">
      <c r="A26" s="282" t="s">
        <v>248</v>
      </c>
      <c r="B26" s="282" t="s">
        <v>248</v>
      </c>
      <c r="C26" s="282" t="s">
        <v>708</v>
      </c>
      <c r="D26" s="281"/>
      <c r="E26" s="162">
        <v>12470529</v>
      </c>
      <c r="F26" s="161">
        <v>12429293</v>
      </c>
      <c r="G26" s="161">
        <v>41236</v>
      </c>
      <c r="H26" s="161">
        <v>12450095</v>
      </c>
      <c r="I26" s="161">
        <v>12408859</v>
      </c>
      <c r="J26" s="161">
        <v>41236</v>
      </c>
      <c r="K26" s="161">
        <v>20434</v>
      </c>
      <c r="L26" s="161">
        <v>20434</v>
      </c>
      <c r="M26" s="161" t="s">
        <v>599</v>
      </c>
      <c r="N26" s="161" t="s">
        <v>599</v>
      </c>
      <c r="O26" s="161" t="s">
        <v>599</v>
      </c>
      <c r="P26" s="161" t="s">
        <v>599</v>
      </c>
      <c r="Q26" s="113" t="s">
        <v>920</v>
      </c>
      <c r="R26" s="155"/>
      <c r="S26" s="163"/>
      <c r="T26" s="148"/>
      <c r="U26" s="148"/>
      <c r="V26" s="148"/>
    </row>
    <row r="27" spans="1:22" s="106" customFormat="1" ht="9.75" customHeight="1" x14ac:dyDescent="0.15">
      <c r="A27" s="282" t="s">
        <v>248</v>
      </c>
      <c r="B27" s="282" t="s">
        <v>248</v>
      </c>
      <c r="C27" s="282" t="s">
        <v>709</v>
      </c>
      <c r="D27" s="281"/>
      <c r="E27" s="162">
        <v>13332677</v>
      </c>
      <c r="F27" s="161">
        <v>13299993</v>
      </c>
      <c r="G27" s="161">
        <v>32684</v>
      </c>
      <c r="H27" s="161">
        <v>13307061</v>
      </c>
      <c r="I27" s="161">
        <v>13274377</v>
      </c>
      <c r="J27" s="161">
        <v>32684</v>
      </c>
      <c r="K27" s="161">
        <v>25616</v>
      </c>
      <c r="L27" s="161">
        <v>25616</v>
      </c>
      <c r="M27" s="161" t="s">
        <v>599</v>
      </c>
      <c r="N27" s="161" t="s">
        <v>599</v>
      </c>
      <c r="O27" s="161" t="s">
        <v>599</v>
      </c>
      <c r="P27" s="164" t="s">
        <v>599</v>
      </c>
      <c r="Q27" s="113" t="s">
        <v>921</v>
      </c>
      <c r="R27" s="155"/>
      <c r="S27" s="163"/>
      <c r="T27" s="148"/>
      <c r="U27" s="148"/>
      <c r="V27" s="148"/>
    </row>
    <row r="28" spans="1:22" s="106" customFormat="1" ht="9.75" customHeight="1" x14ac:dyDescent="0.15">
      <c r="A28" s="282" t="s">
        <v>248</v>
      </c>
      <c r="B28" s="282" t="s">
        <v>248</v>
      </c>
      <c r="C28" s="282" t="s">
        <v>710</v>
      </c>
      <c r="D28" s="281"/>
      <c r="E28" s="162">
        <v>12882404</v>
      </c>
      <c r="F28" s="161">
        <v>12846999</v>
      </c>
      <c r="G28" s="161">
        <v>35405</v>
      </c>
      <c r="H28" s="161">
        <v>12866471</v>
      </c>
      <c r="I28" s="161">
        <v>12831066</v>
      </c>
      <c r="J28" s="161">
        <v>35405</v>
      </c>
      <c r="K28" s="161">
        <v>15933</v>
      </c>
      <c r="L28" s="161">
        <v>15933</v>
      </c>
      <c r="M28" s="161" t="s">
        <v>599</v>
      </c>
      <c r="N28" s="161" t="s">
        <v>599</v>
      </c>
      <c r="O28" s="161" t="s">
        <v>599</v>
      </c>
      <c r="P28" s="161" t="s">
        <v>599</v>
      </c>
      <c r="Q28" s="113" t="s">
        <v>922</v>
      </c>
      <c r="R28" s="155"/>
      <c r="S28" s="163"/>
      <c r="T28" s="148"/>
      <c r="U28" s="148"/>
      <c r="V28" s="148"/>
    </row>
    <row r="29" spans="1:22" s="106" customFormat="1" ht="9.75" customHeight="1" x14ac:dyDescent="0.15">
      <c r="A29" s="282" t="s">
        <v>248</v>
      </c>
      <c r="B29" s="282" t="s">
        <v>248</v>
      </c>
      <c r="C29" s="282" t="s">
        <v>711</v>
      </c>
      <c r="D29" s="281"/>
      <c r="E29" s="162">
        <v>12960024</v>
      </c>
      <c r="F29" s="161">
        <v>12925831</v>
      </c>
      <c r="G29" s="161">
        <v>34193</v>
      </c>
      <c r="H29" s="161">
        <v>12942691</v>
      </c>
      <c r="I29" s="161">
        <v>12908498</v>
      </c>
      <c r="J29" s="161">
        <v>34193</v>
      </c>
      <c r="K29" s="161">
        <v>17333</v>
      </c>
      <c r="L29" s="161">
        <v>17333</v>
      </c>
      <c r="M29" s="161" t="s">
        <v>599</v>
      </c>
      <c r="N29" s="161" t="s">
        <v>599</v>
      </c>
      <c r="O29" s="161" t="s">
        <v>599</v>
      </c>
      <c r="P29" s="161" t="s">
        <v>599</v>
      </c>
      <c r="Q29" s="113" t="s">
        <v>923</v>
      </c>
      <c r="R29" s="155"/>
      <c r="S29" s="163"/>
      <c r="T29" s="148"/>
      <c r="U29" s="148"/>
      <c r="V29" s="148"/>
    </row>
    <row r="30" spans="1:22" s="106" customFormat="1" ht="9.75" customHeight="1" x14ac:dyDescent="0.15">
      <c r="A30" s="282" t="s">
        <v>248</v>
      </c>
      <c r="B30" s="282" t="s">
        <v>248</v>
      </c>
      <c r="C30" s="282" t="s">
        <v>712</v>
      </c>
      <c r="D30" s="281"/>
      <c r="E30" s="162">
        <v>11511010</v>
      </c>
      <c r="F30" s="161">
        <v>11487106</v>
      </c>
      <c r="G30" s="161">
        <v>23904</v>
      </c>
      <c r="H30" s="161">
        <v>11492499</v>
      </c>
      <c r="I30" s="161">
        <v>11468595</v>
      </c>
      <c r="J30" s="161">
        <v>23904</v>
      </c>
      <c r="K30" s="161">
        <v>18511</v>
      </c>
      <c r="L30" s="161">
        <v>18511</v>
      </c>
      <c r="M30" s="161" t="s">
        <v>599</v>
      </c>
      <c r="N30" s="161" t="s">
        <v>599</v>
      </c>
      <c r="O30" s="161" t="s">
        <v>599</v>
      </c>
      <c r="P30" s="161" t="s">
        <v>599</v>
      </c>
      <c r="Q30" s="113" t="s">
        <v>924</v>
      </c>
      <c r="R30" s="155"/>
      <c r="S30" s="163"/>
      <c r="T30" s="148"/>
      <c r="U30" s="148"/>
      <c r="V30" s="148"/>
    </row>
    <row r="31" spans="1:22" s="106" customFormat="1" ht="9.75" customHeight="1" x14ac:dyDescent="0.15">
      <c r="A31" s="282" t="s">
        <v>248</v>
      </c>
      <c r="B31" s="282" t="s">
        <v>248</v>
      </c>
      <c r="C31" s="282" t="s">
        <v>713</v>
      </c>
      <c r="D31" s="281"/>
      <c r="E31" s="162">
        <v>12561665</v>
      </c>
      <c r="F31" s="161">
        <v>12542636</v>
      </c>
      <c r="G31" s="161">
        <v>19029</v>
      </c>
      <c r="H31" s="161">
        <v>12548398</v>
      </c>
      <c r="I31" s="161">
        <v>12529369</v>
      </c>
      <c r="J31" s="161">
        <v>19029</v>
      </c>
      <c r="K31" s="161">
        <v>13267</v>
      </c>
      <c r="L31" s="161">
        <v>13267</v>
      </c>
      <c r="M31" s="161" t="s">
        <v>599</v>
      </c>
      <c r="N31" s="161" t="s">
        <v>599</v>
      </c>
      <c r="O31" s="161" t="s">
        <v>599</v>
      </c>
      <c r="P31" s="161" t="s">
        <v>599</v>
      </c>
      <c r="Q31" s="113" t="s">
        <v>925</v>
      </c>
      <c r="R31" s="155"/>
      <c r="S31" s="148"/>
      <c r="T31" s="148"/>
      <c r="U31" s="148"/>
      <c r="V31" s="148"/>
    </row>
    <row r="32" spans="1:22" s="106" customFormat="1" ht="9.75" customHeight="1" x14ac:dyDescent="0.15">
      <c r="A32" s="282" t="s">
        <v>248</v>
      </c>
      <c r="B32" s="282" t="s">
        <v>248</v>
      </c>
      <c r="C32" s="282" t="s">
        <v>714</v>
      </c>
      <c r="D32" s="281"/>
      <c r="E32" s="162">
        <v>14251319</v>
      </c>
      <c r="F32" s="161">
        <v>14197638</v>
      </c>
      <c r="G32" s="161">
        <v>53681</v>
      </c>
      <c r="H32" s="161">
        <v>14235514</v>
      </c>
      <c r="I32" s="161">
        <v>14181833</v>
      </c>
      <c r="J32" s="161">
        <v>53681</v>
      </c>
      <c r="K32" s="161">
        <v>15805</v>
      </c>
      <c r="L32" s="161">
        <v>15805</v>
      </c>
      <c r="M32" s="161" t="s">
        <v>599</v>
      </c>
      <c r="N32" s="161" t="s">
        <v>599</v>
      </c>
      <c r="O32" s="161" t="s">
        <v>599</v>
      </c>
      <c r="P32" s="161" t="s">
        <v>599</v>
      </c>
      <c r="Q32" s="113" t="s">
        <v>926</v>
      </c>
      <c r="R32" s="155"/>
      <c r="S32" s="148"/>
      <c r="T32" s="148"/>
      <c r="U32" s="148"/>
      <c r="V32" s="148"/>
    </row>
    <row r="33" spans="1:22" s="106" customFormat="1" ht="9.75" customHeight="1" x14ac:dyDescent="0.15">
      <c r="A33" s="282" t="s">
        <v>248</v>
      </c>
      <c r="B33" s="282" t="s">
        <v>248</v>
      </c>
      <c r="C33" s="282" t="s">
        <v>715</v>
      </c>
      <c r="D33" s="281"/>
      <c r="E33" s="162">
        <v>12955829</v>
      </c>
      <c r="F33" s="161">
        <v>12927684</v>
      </c>
      <c r="G33" s="161">
        <v>28145</v>
      </c>
      <c r="H33" s="161">
        <v>12942460</v>
      </c>
      <c r="I33" s="161">
        <v>12914315</v>
      </c>
      <c r="J33" s="161">
        <v>28145</v>
      </c>
      <c r="K33" s="161">
        <v>13369</v>
      </c>
      <c r="L33" s="161">
        <v>13369</v>
      </c>
      <c r="M33" s="161" t="s">
        <v>599</v>
      </c>
      <c r="N33" s="161" t="s">
        <v>599</v>
      </c>
      <c r="O33" s="161" t="s">
        <v>599</v>
      </c>
      <c r="P33" s="161" t="s">
        <v>599</v>
      </c>
      <c r="Q33" s="113" t="s">
        <v>927</v>
      </c>
      <c r="R33" s="155"/>
      <c r="S33" s="148"/>
      <c r="T33" s="148"/>
      <c r="U33" s="148"/>
      <c r="V33" s="148"/>
    </row>
    <row r="34" spans="1:22" s="106" customFormat="1" ht="9.75" customHeight="1" x14ac:dyDescent="0.15">
      <c r="A34" s="282" t="s">
        <v>248</v>
      </c>
      <c r="B34" s="282" t="s">
        <v>248</v>
      </c>
      <c r="C34" s="798" t="s">
        <v>928</v>
      </c>
      <c r="D34" s="281"/>
      <c r="E34" s="162">
        <v>12782462</v>
      </c>
      <c r="F34" s="161">
        <v>12735251</v>
      </c>
      <c r="G34" s="161">
        <v>47211</v>
      </c>
      <c r="H34" s="161">
        <v>12763521</v>
      </c>
      <c r="I34" s="161">
        <v>12716310</v>
      </c>
      <c r="J34" s="161">
        <v>47211</v>
      </c>
      <c r="K34" s="161">
        <v>18941</v>
      </c>
      <c r="L34" s="161">
        <v>18941</v>
      </c>
      <c r="M34" s="161" t="s">
        <v>599</v>
      </c>
      <c r="N34" s="161" t="s">
        <v>599</v>
      </c>
      <c r="O34" s="161" t="s">
        <v>599</v>
      </c>
      <c r="P34" s="161" t="s">
        <v>599</v>
      </c>
      <c r="Q34" s="113" t="s">
        <v>929</v>
      </c>
      <c r="R34" s="155"/>
      <c r="S34" s="148"/>
      <c r="T34" s="148"/>
      <c r="U34" s="148"/>
      <c r="V34" s="148"/>
    </row>
    <row r="35" spans="1:22" s="106" customFormat="1" ht="9.75" customHeight="1" x14ac:dyDescent="0.15">
      <c r="A35" s="282" t="s">
        <v>248</v>
      </c>
      <c r="B35" s="282" t="s">
        <v>248</v>
      </c>
      <c r="C35" s="798" t="s">
        <v>930</v>
      </c>
      <c r="D35" s="281"/>
      <c r="E35" s="162">
        <v>12999035</v>
      </c>
      <c r="F35" s="161">
        <v>12974066</v>
      </c>
      <c r="G35" s="161">
        <v>24969</v>
      </c>
      <c r="H35" s="161">
        <v>12975019</v>
      </c>
      <c r="I35" s="161">
        <v>12950050</v>
      </c>
      <c r="J35" s="161">
        <v>24969</v>
      </c>
      <c r="K35" s="161">
        <v>24016</v>
      </c>
      <c r="L35" s="161">
        <v>24016</v>
      </c>
      <c r="M35" s="161" t="s">
        <v>599</v>
      </c>
      <c r="N35" s="161" t="s">
        <v>599</v>
      </c>
      <c r="O35" s="161" t="s">
        <v>599</v>
      </c>
      <c r="P35" s="161" t="s">
        <v>599</v>
      </c>
      <c r="Q35" s="113" t="s">
        <v>931</v>
      </c>
      <c r="R35" s="155"/>
      <c r="S35" s="148"/>
      <c r="T35" s="148"/>
      <c r="U35" s="148"/>
      <c r="V35" s="148"/>
    </row>
    <row r="36" spans="1:22" s="106" customFormat="1" ht="9.75" customHeight="1" x14ac:dyDescent="0.15">
      <c r="A36" s="282" t="s">
        <v>248</v>
      </c>
      <c r="B36" s="282" t="s">
        <v>248</v>
      </c>
      <c r="C36" s="798" t="s">
        <v>932</v>
      </c>
      <c r="D36" s="281"/>
      <c r="E36" s="162">
        <v>13931754</v>
      </c>
      <c r="F36" s="161">
        <v>13911474</v>
      </c>
      <c r="G36" s="161">
        <v>20280</v>
      </c>
      <c r="H36" s="161">
        <v>13903934</v>
      </c>
      <c r="I36" s="161">
        <v>13883654</v>
      </c>
      <c r="J36" s="161">
        <v>20280</v>
      </c>
      <c r="K36" s="161">
        <v>27820</v>
      </c>
      <c r="L36" s="161">
        <v>27820</v>
      </c>
      <c r="M36" s="161" t="s">
        <v>599</v>
      </c>
      <c r="N36" s="161" t="s">
        <v>599</v>
      </c>
      <c r="O36" s="161" t="s">
        <v>599</v>
      </c>
      <c r="P36" s="161" t="s">
        <v>599</v>
      </c>
      <c r="Q36" s="113" t="s">
        <v>933</v>
      </c>
      <c r="R36" s="155"/>
      <c r="S36" s="148"/>
      <c r="T36" s="148"/>
      <c r="U36" s="148"/>
      <c r="V36" s="148"/>
    </row>
    <row r="37" spans="1:22" s="106" customFormat="1" ht="9.75" customHeight="1" x14ac:dyDescent="0.15">
      <c r="A37" s="290" t="s">
        <v>903</v>
      </c>
      <c r="B37" s="290" t="s">
        <v>917</v>
      </c>
      <c r="C37" s="282" t="s">
        <v>934</v>
      </c>
      <c r="D37" s="281"/>
      <c r="E37" s="162">
        <v>14084844</v>
      </c>
      <c r="F37" s="161">
        <v>14048121</v>
      </c>
      <c r="G37" s="161">
        <v>36723</v>
      </c>
      <c r="H37" s="161">
        <v>14061167</v>
      </c>
      <c r="I37" s="161">
        <v>14024444</v>
      </c>
      <c r="J37" s="161">
        <v>36723</v>
      </c>
      <c r="K37" s="161">
        <v>23677</v>
      </c>
      <c r="L37" s="161">
        <v>23677</v>
      </c>
      <c r="M37" s="161" t="s">
        <v>599</v>
      </c>
      <c r="N37" s="161" t="s">
        <v>599</v>
      </c>
      <c r="O37" s="161" t="s">
        <v>599</v>
      </c>
      <c r="P37" s="161" t="s">
        <v>599</v>
      </c>
      <c r="Q37" s="118" t="s">
        <v>935</v>
      </c>
      <c r="R37" s="155"/>
      <c r="S37" s="148"/>
      <c r="T37" s="148"/>
      <c r="U37" s="148"/>
      <c r="V37" s="148"/>
    </row>
    <row r="38" spans="1:22" s="106" customFormat="1" ht="9.75" customHeight="1" x14ac:dyDescent="0.15">
      <c r="A38" s="282" t="s">
        <v>248</v>
      </c>
      <c r="B38" s="282" t="s">
        <v>248</v>
      </c>
      <c r="C38" s="282" t="s">
        <v>708</v>
      </c>
      <c r="D38" s="281"/>
      <c r="E38" s="162">
        <v>12351717</v>
      </c>
      <c r="F38" s="161">
        <v>12324353</v>
      </c>
      <c r="G38" s="161">
        <v>27364</v>
      </c>
      <c r="H38" s="161">
        <v>12341887</v>
      </c>
      <c r="I38" s="161">
        <v>12314523</v>
      </c>
      <c r="J38" s="161">
        <v>27364</v>
      </c>
      <c r="K38" s="161">
        <v>9830</v>
      </c>
      <c r="L38" s="161">
        <v>9830</v>
      </c>
      <c r="M38" s="161" t="s">
        <v>599</v>
      </c>
      <c r="N38" s="161" t="s">
        <v>599</v>
      </c>
      <c r="O38" s="161" t="s">
        <v>599</v>
      </c>
      <c r="P38" s="161" t="s">
        <v>599</v>
      </c>
      <c r="Q38" s="113" t="s">
        <v>920</v>
      </c>
      <c r="R38" s="155"/>
      <c r="S38" s="148"/>
      <c r="T38" s="148"/>
      <c r="U38" s="148"/>
      <c r="V38" s="148"/>
    </row>
    <row r="39" spans="1:22" s="106" customFormat="1" ht="9.75" customHeight="1" x14ac:dyDescent="0.15">
      <c r="A39" s="799" t="s">
        <v>248</v>
      </c>
      <c r="B39" s="799" t="s">
        <v>248</v>
      </c>
      <c r="C39" s="800" t="s">
        <v>718</v>
      </c>
      <c r="D39" s="279"/>
      <c r="E39" s="160">
        <v>12966367</v>
      </c>
      <c r="F39" s="159">
        <v>12936314</v>
      </c>
      <c r="G39" s="159">
        <v>30053</v>
      </c>
      <c r="H39" s="159">
        <v>12942182</v>
      </c>
      <c r="I39" s="159">
        <v>12912129</v>
      </c>
      <c r="J39" s="159">
        <v>30053</v>
      </c>
      <c r="K39" s="159">
        <v>24185</v>
      </c>
      <c r="L39" s="159">
        <v>24185</v>
      </c>
      <c r="M39" s="159" t="s">
        <v>599</v>
      </c>
      <c r="N39" s="159" t="s">
        <v>599</v>
      </c>
      <c r="O39" s="159" t="s">
        <v>599</v>
      </c>
      <c r="P39" s="159" t="s">
        <v>599</v>
      </c>
      <c r="Q39" s="109" t="s">
        <v>921</v>
      </c>
      <c r="R39" s="155"/>
      <c r="S39" s="148"/>
      <c r="T39" s="148"/>
      <c r="U39" s="148"/>
      <c r="V39" s="148"/>
    </row>
    <row r="40" spans="1:22" s="106" customFormat="1" ht="9.75" customHeight="1" x14ac:dyDescent="0.15">
      <c r="A40" s="158"/>
      <c r="B40" s="158"/>
      <c r="C40" s="165"/>
      <c r="D40" s="158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6"/>
      <c r="R40" s="155"/>
      <c r="S40" s="148"/>
      <c r="T40" s="148"/>
      <c r="U40" s="148"/>
      <c r="V40" s="148"/>
    </row>
    <row r="41" spans="1:22" s="152" customFormat="1" ht="9.75" customHeight="1" x14ac:dyDescent="0.15">
      <c r="A41" s="154"/>
      <c r="B41" s="154"/>
      <c r="C41" s="154"/>
      <c r="D41" s="154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48"/>
      <c r="T41" s="148"/>
      <c r="U41" s="148"/>
      <c r="V41" s="148"/>
    </row>
    <row r="42" spans="1:22" s="148" customFormat="1" ht="12.75" customHeight="1" x14ac:dyDescent="0.15">
      <c r="A42" s="151" t="s">
        <v>210</v>
      </c>
      <c r="B42" s="623"/>
      <c r="C42" s="149"/>
      <c r="D42" s="149"/>
      <c r="E42" s="149"/>
      <c r="K42" s="795" t="s">
        <v>97</v>
      </c>
      <c r="S42" s="149"/>
      <c r="T42" s="150" t="s">
        <v>209</v>
      </c>
      <c r="U42" s="149"/>
    </row>
    <row r="43" spans="1:22" s="126" customFormat="1" ht="10.5" customHeight="1" x14ac:dyDescent="0.15">
      <c r="A43" s="1005" t="s">
        <v>602</v>
      </c>
      <c r="B43" s="1005"/>
      <c r="C43" s="1005"/>
      <c r="D43" s="1006"/>
      <c r="E43" s="131"/>
      <c r="F43" s="1011"/>
      <c r="G43" s="1011"/>
      <c r="H43" s="1011"/>
      <c r="I43" s="1011"/>
      <c r="J43" s="1011"/>
      <c r="K43" s="1011"/>
      <c r="L43" s="1011"/>
      <c r="M43" s="1011"/>
      <c r="N43" s="1011"/>
      <c r="O43" s="1011"/>
      <c r="P43" s="1011"/>
      <c r="Q43" s="1011"/>
      <c r="R43" s="1011"/>
      <c r="S43" s="147"/>
      <c r="T43" s="88"/>
      <c r="U43" s="996" t="s">
        <v>628</v>
      </c>
    </row>
    <row r="44" spans="1:22" s="126" customFormat="1" ht="11.45" customHeight="1" x14ac:dyDescent="0.15">
      <c r="A44" s="1007"/>
      <c r="B44" s="1007"/>
      <c r="C44" s="1007"/>
      <c r="D44" s="1008"/>
      <c r="E44" s="131" t="s">
        <v>208</v>
      </c>
      <c r="F44" s="146"/>
      <c r="G44" s="724"/>
      <c r="H44" s="142" t="s">
        <v>207</v>
      </c>
      <c r="I44" s="723"/>
      <c r="J44" s="145"/>
      <c r="K44" s="142" t="s">
        <v>206</v>
      </c>
      <c r="L44" s="723"/>
      <c r="M44" s="724"/>
      <c r="N44" s="142" t="s">
        <v>205</v>
      </c>
      <c r="O44" s="144"/>
      <c r="P44" s="143"/>
      <c r="Q44" s="142" t="s">
        <v>719</v>
      </c>
      <c r="R44" s="723"/>
      <c r="S44" s="141"/>
      <c r="T44" s="130" t="s">
        <v>204</v>
      </c>
      <c r="U44" s="1013"/>
      <c r="V44" s="140"/>
    </row>
    <row r="45" spans="1:22" s="126" customFormat="1" ht="21" customHeight="1" x14ac:dyDescent="0.15">
      <c r="A45" s="1007"/>
      <c r="B45" s="1007"/>
      <c r="C45" s="1007"/>
      <c r="D45" s="1008"/>
      <c r="E45" s="131"/>
      <c r="F45" s="139"/>
      <c r="G45" s="725"/>
      <c r="H45" s="131" t="s">
        <v>203</v>
      </c>
      <c r="I45" s="726"/>
      <c r="J45" s="138"/>
      <c r="K45" s="131" t="s">
        <v>203</v>
      </c>
      <c r="L45" s="137"/>
      <c r="M45" s="136"/>
      <c r="N45" s="131" t="s">
        <v>202</v>
      </c>
      <c r="O45" s="135"/>
      <c r="P45" s="725"/>
      <c r="Q45" s="129" t="s">
        <v>202</v>
      </c>
      <c r="R45" s="134"/>
      <c r="S45" s="133"/>
      <c r="T45" s="728" t="s">
        <v>720</v>
      </c>
      <c r="U45" s="1013"/>
    </row>
    <row r="46" spans="1:22" s="126" customFormat="1" ht="15" customHeight="1" x14ac:dyDescent="0.15">
      <c r="A46" s="1007"/>
      <c r="B46" s="1007"/>
      <c r="C46" s="1007"/>
      <c r="D46" s="1008"/>
      <c r="E46" s="131" t="s">
        <v>494</v>
      </c>
      <c r="F46" s="132" t="s">
        <v>702</v>
      </c>
      <c r="G46" s="132" t="s">
        <v>703</v>
      </c>
      <c r="H46" s="131" t="s">
        <v>721</v>
      </c>
      <c r="I46" s="130" t="s">
        <v>702</v>
      </c>
      <c r="J46" s="130" t="s">
        <v>703</v>
      </c>
      <c r="K46" s="1003" t="s">
        <v>201</v>
      </c>
      <c r="L46" s="130" t="s">
        <v>702</v>
      </c>
      <c r="M46" s="130" t="s">
        <v>703</v>
      </c>
      <c r="N46" s="1003" t="s">
        <v>704</v>
      </c>
      <c r="O46" s="130" t="s">
        <v>702</v>
      </c>
      <c r="P46" s="130" t="s">
        <v>703</v>
      </c>
      <c r="Q46" s="1016" t="s">
        <v>936</v>
      </c>
      <c r="R46" s="130" t="s">
        <v>702</v>
      </c>
      <c r="S46" s="130" t="s">
        <v>703</v>
      </c>
      <c r="T46" s="130" t="s">
        <v>703</v>
      </c>
      <c r="U46" s="1013"/>
    </row>
    <row r="47" spans="1:22" s="126" customFormat="1" ht="14.25" customHeight="1" x14ac:dyDescent="0.15">
      <c r="A47" s="1007"/>
      <c r="B47" s="1007"/>
      <c r="C47" s="1007"/>
      <c r="D47" s="1008"/>
      <c r="E47" s="1003"/>
      <c r="F47" s="1003" t="s">
        <v>705</v>
      </c>
      <c r="G47" s="1003" t="s">
        <v>706</v>
      </c>
      <c r="H47" s="129" t="s">
        <v>58</v>
      </c>
      <c r="I47" s="1003" t="s">
        <v>705</v>
      </c>
      <c r="J47" s="1003" t="s">
        <v>706</v>
      </c>
      <c r="K47" s="1003"/>
      <c r="L47" s="1003" t="s">
        <v>705</v>
      </c>
      <c r="M47" s="1003" t="s">
        <v>706</v>
      </c>
      <c r="N47" s="1003"/>
      <c r="O47" s="1003" t="s">
        <v>705</v>
      </c>
      <c r="P47" s="1003" t="s">
        <v>706</v>
      </c>
      <c r="Q47" s="1016"/>
      <c r="R47" s="1003" t="s">
        <v>705</v>
      </c>
      <c r="S47" s="1003" t="s">
        <v>706</v>
      </c>
      <c r="T47" s="1003" t="s">
        <v>706</v>
      </c>
      <c r="U47" s="1013"/>
    </row>
    <row r="48" spans="1:22" s="126" customFormat="1" ht="11.45" customHeight="1" x14ac:dyDescent="0.15">
      <c r="A48" s="1009"/>
      <c r="B48" s="1009"/>
      <c r="C48" s="1009"/>
      <c r="D48" s="1010"/>
      <c r="E48" s="1015"/>
      <c r="F48" s="1004"/>
      <c r="G48" s="1004"/>
      <c r="H48" s="728"/>
      <c r="I48" s="1004"/>
      <c r="J48" s="1004"/>
      <c r="K48" s="728" t="s">
        <v>494</v>
      </c>
      <c r="L48" s="1004"/>
      <c r="M48" s="1004"/>
      <c r="N48" s="128" t="s">
        <v>494</v>
      </c>
      <c r="O48" s="1004"/>
      <c r="P48" s="1004"/>
      <c r="Q48" s="728" t="s">
        <v>494</v>
      </c>
      <c r="R48" s="1004"/>
      <c r="S48" s="1004"/>
      <c r="T48" s="1004"/>
      <c r="U48" s="127"/>
    </row>
    <row r="49" spans="1:26" s="106" customFormat="1" ht="9.75" customHeight="1" x14ac:dyDescent="0.15">
      <c r="A49" s="290" t="s">
        <v>249</v>
      </c>
      <c r="B49" s="290" t="s">
        <v>901</v>
      </c>
      <c r="C49" s="108"/>
      <c r="D49" s="289"/>
      <c r="E49" s="117">
        <v>12659407</v>
      </c>
      <c r="F49" s="115">
        <v>12587807</v>
      </c>
      <c r="G49" s="115">
        <v>71600</v>
      </c>
      <c r="H49" s="115">
        <v>9365920</v>
      </c>
      <c r="I49" s="115">
        <v>9338176</v>
      </c>
      <c r="J49" s="115">
        <v>27744</v>
      </c>
      <c r="K49" s="115">
        <v>8692</v>
      </c>
      <c r="L49" s="115">
        <v>8692</v>
      </c>
      <c r="M49" s="115" t="s">
        <v>599</v>
      </c>
      <c r="N49" s="115" t="s">
        <v>599</v>
      </c>
      <c r="O49" s="115" t="s">
        <v>599</v>
      </c>
      <c r="P49" s="115" t="s">
        <v>599</v>
      </c>
      <c r="Q49" s="115">
        <v>3250976</v>
      </c>
      <c r="R49" s="115">
        <v>3240939</v>
      </c>
      <c r="S49" s="115">
        <v>10037</v>
      </c>
      <c r="T49" s="114">
        <v>33819</v>
      </c>
      <c r="U49" s="125" t="s">
        <v>902</v>
      </c>
      <c r="V49" s="108"/>
      <c r="W49" s="302"/>
      <c r="X49" s="633"/>
      <c r="Y49" s="634"/>
      <c r="Z49" s="634"/>
    </row>
    <row r="50" spans="1:26" s="106" customFormat="1" ht="9.75" customHeight="1" x14ac:dyDescent="0.15">
      <c r="A50" s="282" t="s">
        <v>903</v>
      </c>
      <c r="B50" s="290" t="s">
        <v>904</v>
      </c>
      <c r="C50" s="108"/>
      <c r="D50" s="289"/>
      <c r="E50" s="117">
        <v>11745857</v>
      </c>
      <c r="F50" s="115">
        <v>11672724</v>
      </c>
      <c r="G50" s="115">
        <v>73133</v>
      </c>
      <c r="H50" s="115">
        <v>9867893</v>
      </c>
      <c r="I50" s="115">
        <v>9830995</v>
      </c>
      <c r="J50" s="115">
        <v>36898</v>
      </c>
      <c r="K50" s="115">
        <v>12293</v>
      </c>
      <c r="L50" s="115">
        <v>12293</v>
      </c>
      <c r="M50" s="115" t="s">
        <v>599</v>
      </c>
      <c r="N50" s="115" t="s">
        <v>599</v>
      </c>
      <c r="O50" s="115" t="s">
        <v>599</v>
      </c>
      <c r="P50" s="115" t="s">
        <v>599</v>
      </c>
      <c r="Q50" s="115">
        <v>1838252</v>
      </c>
      <c r="R50" s="115">
        <v>1829436</v>
      </c>
      <c r="S50" s="115">
        <v>8816</v>
      </c>
      <c r="T50" s="114">
        <v>27419</v>
      </c>
      <c r="U50" s="125" t="s">
        <v>905</v>
      </c>
      <c r="V50" s="108"/>
      <c r="W50" s="302"/>
      <c r="X50" s="633"/>
      <c r="Y50" s="634"/>
      <c r="Z50" s="634"/>
    </row>
    <row r="51" spans="1:26" s="106" customFormat="1" ht="9.75" customHeight="1" x14ac:dyDescent="0.15">
      <c r="A51" s="282" t="s">
        <v>248</v>
      </c>
      <c r="B51" s="290">
        <v>2</v>
      </c>
      <c r="C51" s="108"/>
      <c r="D51" s="289"/>
      <c r="E51" s="117">
        <v>10603153</v>
      </c>
      <c r="F51" s="115">
        <v>10481207</v>
      </c>
      <c r="G51" s="115">
        <v>121946</v>
      </c>
      <c r="H51" s="115">
        <v>7998782</v>
      </c>
      <c r="I51" s="115">
        <v>7945265</v>
      </c>
      <c r="J51" s="115">
        <v>53517</v>
      </c>
      <c r="K51" s="115">
        <v>7834</v>
      </c>
      <c r="L51" s="115">
        <v>7834</v>
      </c>
      <c r="M51" s="115" t="s">
        <v>599</v>
      </c>
      <c r="N51" s="115" t="s">
        <v>599</v>
      </c>
      <c r="O51" s="115" t="s">
        <v>599</v>
      </c>
      <c r="P51" s="115" t="s">
        <v>599</v>
      </c>
      <c r="Q51" s="115">
        <v>2557914</v>
      </c>
      <c r="R51" s="115">
        <v>2528108</v>
      </c>
      <c r="S51" s="115">
        <v>29806</v>
      </c>
      <c r="T51" s="114">
        <v>38623</v>
      </c>
      <c r="U51" s="125" t="s">
        <v>906</v>
      </c>
      <c r="V51" s="108"/>
      <c r="W51" s="302"/>
      <c r="X51" s="633"/>
      <c r="Y51" s="634"/>
      <c r="Z51" s="634"/>
    </row>
    <row r="52" spans="1:26" s="106" customFormat="1" ht="9.75" customHeight="1" x14ac:dyDescent="0.15">
      <c r="A52" s="282" t="s">
        <v>248</v>
      </c>
      <c r="B52" s="290">
        <v>3</v>
      </c>
      <c r="C52" s="108"/>
      <c r="D52" s="289"/>
      <c r="E52" s="117">
        <v>9623233</v>
      </c>
      <c r="F52" s="115">
        <v>9556452</v>
      </c>
      <c r="G52" s="115">
        <v>66781</v>
      </c>
      <c r="H52" s="115">
        <v>8345118</v>
      </c>
      <c r="I52" s="115">
        <v>8328435</v>
      </c>
      <c r="J52" s="115">
        <v>16683</v>
      </c>
      <c r="K52" s="115">
        <v>5901</v>
      </c>
      <c r="L52" s="115">
        <v>5901</v>
      </c>
      <c r="M52" s="115" t="s">
        <v>599</v>
      </c>
      <c r="N52" s="115" t="s">
        <v>599</v>
      </c>
      <c r="O52" s="115" t="s">
        <v>599</v>
      </c>
      <c r="P52" s="115" t="s">
        <v>599</v>
      </c>
      <c r="Q52" s="115">
        <v>1237692</v>
      </c>
      <c r="R52" s="115">
        <v>1222116</v>
      </c>
      <c r="S52" s="115">
        <v>15576</v>
      </c>
      <c r="T52" s="114">
        <v>34522</v>
      </c>
      <c r="U52" s="125" t="s">
        <v>907</v>
      </c>
      <c r="V52" s="108"/>
      <c r="W52" s="302"/>
      <c r="X52" s="633"/>
      <c r="Y52" s="634"/>
      <c r="Z52" s="634"/>
    </row>
    <row r="53" spans="1:26" s="106" customFormat="1" ht="9.75" customHeight="1" x14ac:dyDescent="0.15">
      <c r="A53" s="282" t="s">
        <v>248</v>
      </c>
      <c r="B53" s="290">
        <v>4</v>
      </c>
      <c r="C53" s="108"/>
      <c r="D53" s="289"/>
      <c r="E53" s="117">
        <v>11362314</v>
      </c>
      <c r="F53" s="115">
        <v>11290857</v>
      </c>
      <c r="G53" s="115">
        <v>71457</v>
      </c>
      <c r="H53" s="115">
        <v>8920402</v>
      </c>
      <c r="I53" s="115">
        <v>8895856</v>
      </c>
      <c r="J53" s="115">
        <v>24546</v>
      </c>
      <c r="K53" s="115">
        <v>5361</v>
      </c>
      <c r="L53" s="115">
        <v>5361</v>
      </c>
      <c r="M53" s="115" t="s">
        <v>599</v>
      </c>
      <c r="N53" s="115" t="s">
        <v>599</v>
      </c>
      <c r="O53" s="115" t="s">
        <v>599</v>
      </c>
      <c r="P53" s="115" t="s">
        <v>599</v>
      </c>
      <c r="Q53" s="115">
        <v>2408940</v>
      </c>
      <c r="R53" s="115">
        <v>2389640</v>
      </c>
      <c r="S53" s="115">
        <v>19300</v>
      </c>
      <c r="T53" s="114">
        <v>27611</v>
      </c>
      <c r="U53" s="125" t="s">
        <v>908</v>
      </c>
      <c r="V53" s="108"/>
      <c r="W53" s="302"/>
      <c r="X53" s="633"/>
      <c r="Y53" s="634"/>
      <c r="Z53" s="634"/>
    </row>
    <row r="54" spans="1:26" s="106" customFormat="1" ht="9.75" customHeight="1" x14ac:dyDescent="0.15">
      <c r="A54" s="282"/>
      <c r="B54" s="282"/>
      <c r="C54" s="86"/>
      <c r="D54" s="285"/>
      <c r="E54" s="117"/>
      <c r="F54" s="115"/>
      <c r="G54" s="115">
        <v>0</v>
      </c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4"/>
      <c r="U54" s="119"/>
      <c r="V54" s="108"/>
      <c r="W54" s="302"/>
      <c r="X54" s="633"/>
      <c r="Y54" s="634"/>
      <c r="Z54" s="634"/>
    </row>
    <row r="55" spans="1:26" s="106" customFormat="1" ht="9.75" customHeight="1" x14ac:dyDescent="0.15">
      <c r="A55" s="290" t="s">
        <v>903</v>
      </c>
      <c r="B55" s="290" t="s">
        <v>909</v>
      </c>
      <c r="C55" s="797"/>
      <c r="D55" s="287"/>
      <c r="E55" s="117">
        <v>9658740</v>
      </c>
      <c r="F55" s="115">
        <v>9582268</v>
      </c>
      <c r="G55" s="115">
        <v>76472</v>
      </c>
      <c r="H55" s="115">
        <v>8063840</v>
      </c>
      <c r="I55" s="115">
        <v>8041030</v>
      </c>
      <c r="J55" s="115">
        <v>22810</v>
      </c>
      <c r="K55" s="115">
        <v>2650</v>
      </c>
      <c r="L55" s="115">
        <v>2650</v>
      </c>
      <c r="M55" s="115" t="s">
        <v>599</v>
      </c>
      <c r="N55" s="115" t="s">
        <v>599</v>
      </c>
      <c r="O55" s="115" t="s">
        <v>599</v>
      </c>
      <c r="P55" s="115" t="s">
        <v>599</v>
      </c>
      <c r="Q55" s="115">
        <v>1556538</v>
      </c>
      <c r="R55" s="115">
        <v>1538588</v>
      </c>
      <c r="S55" s="115">
        <v>17950</v>
      </c>
      <c r="T55" s="114">
        <v>35712</v>
      </c>
      <c r="U55" s="124" t="s">
        <v>910</v>
      </c>
      <c r="V55" s="115"/>
      <c r="W55" s="115"/>
      <c r="X55" s="633"/>
      <c r="Y55" s="634"/>
      <c r="Z55" s="634"/>
    </row>
    <row r="56" spans="1:26" s="106" customFormat="1" ht="9.75" customHeight="1" x14ac:dyDescent="0.15">
      <c r="A56" s="282" t="s">
        <v>248</v>
      </c>
      <c r="B56" s="290">
        <v>4</v>
      </c>
      <c r="C56" s="797"/>
      <c r="D56" s="287"/>
      <c r="E56" s="117">
        <v>9893035</v>
      </c>
      <c r="F56" s="115">
        <v>9813595</v>
      </c>
      <c r="G56" s="115">
        <v>79440</v>
      </c>
      <c r="H56" s="115">
        <v>7681019</v>
      </c>
      <c r="I56" s="115">
        <v>7645873</v>
      </c>
      <c r="J56" s="115">
        <v>35146</v>
      </c>
      <c r="K56" s="115">
        <v>3609</v>
      </c>
      <c r="L56" s="115">
        <v>3609</v>
      </c>
      <c r="M56" s="115" t="s">
        <v>599</v>
      </c>
      <c r="N56" s="115" t="s">
        <v>599</v>
      </c>
      <c r="O56" s="115" t="s">
        <v>599</v>
      </c>
      <c r="P56" s="115" t="s">
        <v>599</v>
      </c>
      <c r="Q56" s="115">
        <v>2179986</v>
      </c>
      <c r="R56" s="115">
        <v>2164113</v>
      </c>
      <c r="S56" s="115">
        <v>15873</v>
      </c>
      <c r="T56" s="114">
        <v>28421</v>
      </c>
      <c r="U56" s="124" t="s">
        <v>911</v>
      </c>
      <c r="V56" s="108"/>
      <c r="W56" s="302"/>
      <c r="X56" s="633"/>
      <c r="Y56" s="634"/>
      <c r="Z56" s="634"/>
    </row>
    <row r="57" spans="1:26" s="106" customFormat="1" ht="9.75" customHeight="1" x14ac:dyDescent="0.15">
      <c r="A57" s="282"/>
      <c r="B57" s="282"/>
      <c r="C57" s="86"/>
      <c r="D57" s="285"/>
      <c r="E57" s="117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4"/>
      <c r="U57" s="119"/>
      <c r="V57" s="108"/>
      <c r="W57" s="302"/>
      <c r="X57" s="633"/>
      <c r="Y57" s="634"/>
      <c r="Z57" s="634"/>
    </row>
    <row r="58" spans="1:26" s="106" customFormat="1" ht="9.75" customHeight="1" x14ac:dyDescent="0.15">
      <c r="A58" s="290" t="s">
        <v>903</v>
      </c>
      <c r="B58" s="290" t="s">
        <v>912</v>
      </c>
      <c r="C58" s="290" t="s">
        <v>937</v>
      </c>
      <c r="D58" s="287"/>
      <c r="E58" s="117">
        <v>9658740</v>
      </c>
      <c r="F58" s="115">
        <v>9582268</v>
      </c>
      <c r="G58" s="115">
        <v>76472</v>
      </c>
      <c r="H58" s="115">
        <v>8063840</v>
      </c>
      <c r="I58" s="115">
        <v>8041030</v>
      </c>
      <c r="J58" s="115">
        <v>22810</v>
      </c>
      <c r="K58" s="115">
        <v>2650</v>
      </c>
      <c r="L58" s="115">
        <v>2650</v>
      </c>
      <c r="M58" s="115" t="s">
        <v>599</v>
      </c>
      <c r="N58" s="115" t="s">
        <v>599</v>
      </c>
      <c r="O58" s="115" t="s">
        <v>599</v>
      </c>
      <c r="P58" s="115" t="s">
        <v>599</v>
      </c>
      <c r="Q58" s="115">
        <v>1556538</v>
      </c>
      <c r="R58" s="115">
        <v>1538588</v>
      </c>
      <c r="S58" s="115">
        <v>17950</v>
      </c>
      <c r="T58" s="114">
        <v>35712</v>
      </c>
      <c r="U58" s="120" t="s">
        <v>913</v>
      </c>
      <c r="V58" s="108"/>
      <c r="W58" s="302"/>
      <c r="X58" s="633"/>
      <c r="Y58" s="634"/>
      <c r="Z58" s="634"/>
    </row>
    <row r="59" spans="1:26" s="106" customFormat="1" ht="9.75" customHeight="1" x14ac:dyDescent="0.15">
      <c r="A59" s="282" t="s">
        <v>248</v>
      </c>
      <c r="B59" s="282" t="s">
        <v>248</v>
      </c>
      <c r="C59" s="290" t="s">
        <v>938</v>
      </c>
      <c r="D59" s="287"/>
      <c r="E59" s="117">
        <v>9535598</v>
      </c>
      <c r="F59" s="115">
        <v>9462873</v>
      </c>
      <c r="G59" s="115">
        <v>72725</v>
      </c>
      <c r="H59" s="115">
        <v>7584232</v>
      </c>
      <c r="I59" s="115">
        <v>7554014</v>
      </c>
      <c r="J59" s="115">
        <v>30218</v>
      </c>
      <c r="K59" s="115">
        <v>4042</v>
      </c>
      <c r="L59" s="115">
        <v>4042</v>
      </c>
      <c r="M59" s="115" t="s">
        <v>599</v>
      </c>
      <c r="N59" s="115" t="s">
        <v>599</v>
      </c>
      <c r="O59" s="115" t="s">
        <v>599</v>
      </c>
      <c r="P59" s="115" t="s">
        <v>599</v>
      </c>
      <c r="Q59" s="115">
        <v>1924096</v>
      </c>
      <c r="R59" s="115">
        <v>1904817</v>
      </c>
      <c r="S59" s="115">
        <v>19279</v>
      </c>
      <c r="T59" s="114">
        <v>23228</v>
      </c>
      <c r="U59" s="123" t="s">
        <v>914</v>
      </c>
      <c r="V59" s="108"/>
      <c r="W59" s="302"/>
      <c r="X59" s="633"/>
      <c r="Y59" s="634"/>
      <c r="Z59" s="634"/>
    </row>
    <row r="60" spans="1:26" s="106" customFormat="1" ht="9.75" customHeight="1" x14ac:dyDescent="0.15">
      <c r="A60" s="282" t="s">
        <v>248</v>
      </c>
      <c r="B60" s="282" t="s">
        <v>248</v>
      </c>
      <c r="C60" s="290" t="s">
        <v>939</v>
      </c>
      <c r="D60" s="287"/>
      <c r="E60" s="117">
        <v>10752590</v>
      </c>
      <c r="F60" s="115">
        <v>10683653</v>
      </c>
      <c r="G60" s="115">
        <v>68937</v>
      </c>
      <c r="H60" s="115">
        <v>8495903</v>
      </c>
      <c r="I60" s="115">
        <v>8477969</v>
      </c>
      <c r="J60" s="115">
        <v>17934</v>
      </c>
      <c r="K60" s="115">
        <v>1646</v>
      </c>
      <c r="L60" s="115">
        <v>1646</v>
      </c>
      <c r="M60" s="115" t="s">
        <v>599</v>
      </c>
      <c r="N60" s="115" t="s">
        <v>599</v>
      </c>
      <c r="O60" s="115" t="s">
        <v>599</v>
      </c>
      <c r="P60" s="115" t="s">
        <v>599</v>
      </c>
      <c r="Q60" s="115">
        <v>2227627</v>
      </c>
      <c r="R60" s="115">
        <v>2204038</v>
      </c>
      <c r="S60" s="115">
        <v>23589</v>
      </c>
      <c r="T60" s="114">
        <v>27414</v>
      </c>
      <c r="U60" s="122" t="s">
        <v>915</v>
      </c>
      <c r="V60" s="108"/>
      <c r="W60" s="302"/>
      <c r="X60" s="633"/>
      <c r="Y60" s="634"/>
      <c r="Z60" s="634"/>
    </row>
    <row r="61" spans="1:26" s="106" customFormat="1" ht="9.75" customHeight="1" x14ac:dyDescent="0.15">
      <c r="A61" s="282" t="s">
        <v>248</v>
      </c>
      <c r="B61" s="282" t="s">
        <v>248</v>
      </c>
      <c r="C61" s="290" t="s">
        <v>940</v>
      </c>
      <c r="D61" s="287"/>
      <c r="E61" s="117">
        <v>11362314</v>
      </c>
      <c r="F61" s="115">
        <v>11290857</v>
      </c>
      <c r="G61" s="115">
        <v>71457</v>
      </c>
      <c r="H61" s="115">
        <v>8920402</v>
      </c>
      <c r="I61" s="115">
        <v>8895856</v>
      </c>
      <c r="J61" s="115">
        <v>24546</v>
      </c>
      <c r="K61" s="115">
        <v>5361</v>
      </c>
      <c r="L61" s="115">
        <v>5361</v>
      </c>
      <c r="M61" s="115" t="s">
        <v>599</v>
      </c>
      <c r="N61" s="115" t="s">
        <v>599</v>
      </c>
      <c r="O61" s="115" t="s">
        <v>599</v>
      </c>
      <c r="P61" s="115" t="s">
        <v>599</v>
      </c>
      <c r="Q61" s="115">
        <v>2408940</v>
      </c>
      <c r="R61" s="115">
        <v>2389640</v>
      </c>
      <c r="S61" s="115">
        <v>19300</v>
      </c>
      <c r="T61" s="114">
        <v>27611</v>
      </c>
      <c r="U61" s="121" t="s">
        <v>916</v>
      </c>
      <c r="V61" s="108"/>
      <c r="W61" s="302"/>
      <c r="X61" s="633"/>
      <c r="Y61" s="634"/>
      <c r="Z61" s="634"/>
    </row>
    <row r="62" spans="1:26" s="106" customFormat="1" ht="9.75" customHeight="1" x14ac:dyDescent="0.15">
      <c r="A62" s="290" t="s">
        <v>903</v>
      </c>
      <c r="B62" s="290" t="s">
        <v>917</v>
      </c>
      <c r="C62" s="290" t="s">
        <v>937</v>
      </c>
      <c r="D62" s="287"/>
      <c r="E62" s="117">
        <v>9893035</v>
      </c>
      <c r="F62" s="115">
        <v>9813595</v>
      </c>
      <c r="G62" s="115">
        <v>79440</v>
      </c>
      <c r="H62" s="115">
        <v>7681019</v>
      </c>
      <c r="I62" s="115">
        <v>7645873</v>
      </c>
      <c r="J62" s="115">
        <v>35146</v>
      </c>
      <c r="K62" s="115">
        <v>3609</v>
      </c>
      <c r="L62" s="115">
        <v>3609</v>
      </c>
      <c r="M62" s="115" t="s">
        <v>599</v>
      </c>
      <c r="N62" s="115" t="s">
        <v>599</v>
      </c>
      <c r="O62" s="115" t="s">
        <v>599</v>
      </c>
      <c r="P62" s="115" t="s">
        <v>599</v>
      </c>
      <c r="Q62" s="115">
        <v>2179986</v>
      </c>
      <c r="R62" s="115">
        <v>2164113</v>
      </c>
      <c r="S62" s="115">
        <v>15873</v>
      </c>
      <c r="T62" s="114">
        <v>28421</v>
      </c>
      <c r="U62" s="120" t="s">
        <v>918</v>
      </c>
      <c r="V62" s="108"/>
      <c r="W62" s="302"/>
      <c r="X62" s="633"/>
      <c r="Y62" s="634"/>
      <c r="Z62" s="634"/>
    </row>
    <row r="63" spans="1:26" s="106" customFormat="1" ht="9.75" customHeight="1" x14ac:dyDescent="0.15">
      <c r="A63" s="282"/>
      <c r="B63" s="282"/>
      <c r="C63" s="86"/>
      <c r="D63" s="285"/>
      <c r="E63" s="117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4"/>
      <c r="U63" s="119"/>
      <c r="V63" s="108"/>
      <c r="W63" s="302"/>
      <c r="X63" s="633"/>
      <c r="Y63" s="634"/>
      <c r="Z63" s="634"/>
    </row>
    <row r="64" spans="1:26" s="106" customFormat="1" ht="9.75" customHeight="1" x14ac:dyDescent="0.15">
      <c r="A64" s="290" t="s">
        <v>903</v>
      </c>
      <c r="B64" s="290" t="s">
        <v>912</v>
      </c>
      <c r="C64" s="282" t="s">
        <v>941</v>
      </c>
      <c r="D64" s="281"/>
      <c r="E64" s="117">
        <v>8925055</v>
      </c>
      <c r="F64" s="115">
        <v>8860031</v>
      </c>
      <c r="G64" s="115">
        <v>65024</v>
      </c>
      <c r="H64" s="115">
        <v>7983191</v>
      </c>
      <c r="I64" s="115">
        <v>7964418</v>
      </c>
      <c r="J64" s="115">
        <v>18773</v>
      </c>
      <c r="K64" s="115">
        <v>9652</v>
      </c>
      <c r="L64" s="115">
        <v>9652</v>
      </c>
      <c r="M64" s="115" t="s">
        <v>599</v>
      </c>
      <c r="N64" s="115" t="s">
        <v>599</v>
      </c>
      <c r="O64" s="115" t="s">
        <v>599</v>
      </c>
      <c r="P64" s="115" t="s">
        <v>599</v>
      </c>
      <c r="Q64" s="116">
        <v>901380</v>
      </c>
      <c r="R64" s="116">
        <v>885961</v>
      </c>
      <c r="S64" s="115">
        <v>15419</v>
      </c>
      <c r="T64" s="114">
        <v>30832</v>
      </c>
      <c r="U64" s="118" t="s">
        <v>919</v>
      </c>
      <c r="V64" s="108"/>
      <c r="W64" s="302"/>
      <c r="X64" s="633"/>
      <c r="Y64" s="634"/>
      <c r="Z64" s="634"/>
    </row>
    <row r="65" spans="1:26" s="106" customFormat="1" ht="9.75" customHeight="1" x14ac:dyDescent="0.15">
      <c r="A65" s="282" t="s">
        <v>248</v>
      </c>
      <c r="B65" s="282" t="s">
        <v>248</v>
      </c>
      <c r="C65" s="282" t="s">
        <v>942</v>
      </c>
      <c r="D65" s="281"/>
      <c r="E65" s="117">
        <v>8936051</v>
      </c>
      <c r="F65" s="115">
        <v>8867492</v>
      </c>
      <c r="G65" s="115">
        <v>68559</v>
      </c>
      <c r="H65" s="115">
        <v>7637739</v>
      </c>
      <c r="I65" s="115">
        <v>7619922</v>
      </c>
      <c r="J65" s="115">
        <v>17817</v>
      </c>
      <c r="K65" s="115">
        <v>2884</v>
      </c>
      <c r="L65" s="115">
        <v>2884</v>
      </c>
      <c r="M65" s="115" t="s">
        <v>599</v>
      </c>
      <c r="N65" s="115" t="s">
        <v>599</v>
      </c>
      <c r="O65" s="115" t="s">
        <v>599</v>
      </c>
      <c r="P65" s="115" t="s">
        <v>599</v>
      </c>
      <c r="Q65" s="116">
        <v>1264157</v>
      </c>
      <c r="R65" s="116">
        <v>1244686</v>
      </c>
      <c r="S65" s="115">
        <v>19471</v>
      </c>
      <c r="T65" s="114">
        <v>31271</v>
      </c>
      <c r="U65" s="113" t="s">
        <v>920</v>
      </c>
      <c r="V65" s="108"/>
      <c r="W65" s="302"/>
      <c r="X65" s="633"/>
      <c r="Y65" s="634"/>
      <c r="Z65" s="634"/>
    </row>
    <row r="66" spans="1:26" s="106" customFormat="1" ht="9.75" customHeight="1" x14ac:dyDescent="0.15">
      <c r="A66" s="282" t="s">
        <v>248</v>
      </c>
      <c r="B66" s="282" t="s">
        <v>248</v>
      </c>
      <c r="C66" s="282" t="s">
        <v>709</v>
      </c>
      <c r="D66" s="281"/>
      <c r="E66" s="117">
        <v>9658740</v>
      </c>
      <c r="F66" s="115">
        <v>9582268</v>
      </c>
      <c r="G66" s="115">
        <v>76472</v>
      </c>
      <c r="H66" s="115">
        <v>8063840</v>
      </c>
      <c r="I66" s="115">
        <v>8041030</v>
      </c>
      <c r="J66" s="115">
        <v>22810</v>
      </c>
      <c r="K66" s="115">
        <v>2650</v>
      </c>
      <c r="L66" s="115">
        <v>2650</v>
      </c>
      <c r="M66" s="115" t="s">
        <v>599</v>
      </c>
      <c r="N66" s="115" t="s">
        <v>599</v>
      </c>
      <c r="O66" s="115" t="s">
        <v>599</v>
      </c>
      <c r="P66" s="115" t="s">
        <v>599</v>
      </c>
      <c r="Q66" s="116">
        <v>1556538</v>
      </c>
      <c r="R66" s="116">
        <v>1538588</v>
      </c>
      <c r="S66" s="115">
        <v>17950</v>
      </c>
      <c r="T66" s="114">
        <v>35712</v>
      </c>
      <c r="U66" s="113" t="s">
        <v>921</v>
      </c>
      <c r="V66" s="108"/>
      <c r="W66" s="302"/>
      <c r="X66" s="633"/>
      <c r="Y66" s="634"/>
      <c r="Z66" s="634"/>
    </row>
    <row r="67" spans="1:26" s="106" customFormat="1" ht="9.75" customHeight="1" x14ac:dyDescent="0.15">
      <c r="A67" s="282" t="s">
        <v>248</v>
      </c>
      <c r="B67" s="282" t="s">
        <v>248</v>
      </c>
      <c r="C67" s="282" t="s">
        <v>710</v>
      </c>
      <c r="D67" s="281"/>
      <c r="E67" s="117">
        <v>10332537</v>
      </c>
      <c r="F67" s="115">
        <v>10264927</v>
      </c>
      <c r="G67" s="115">
        <v>67610</v>
      </c>
      <c r="H67" s="115">
        <v>8598159</v>
      </c>
      <c r="I67" s="115">
        <v>8572591</v>
      </c>
      <c r="J67" s="115">
        <v>25568</v>
      </c>
      <c r="K67" s="115">
        <v>6084</v>
      </c>
      <c r="L67" s="115">
        <v>6084</v>
      </c>
      <c r="M67" s="115" t="s">
        <v>599</v>
      </c>
      <c r="N67" s="115" t="s">
        <v>599</v>
      </c>
      <c r="O67" s="115" t="s">
        <v>599</v>
      </c>
      <c r="P67" s="115" t="s">
        <v>599</v>
      </c>
      <c r="Q67" s="116">
        <v>1699170</v>
      </c>
      <c r="R67" s="116">
        <v>1686252</v>
      </c>
      <c r="S67" s="115">
        <v>12918</v>
      </c>
      <c r="T67" s="114">
        <v>29124</v>
      </c>
      <c r="U67" s="113" t="s">
        <v>922</v>
      </c>
      <c r="V67" s="108"/>
      <c r="W67" s="302"/>
      <c r="X67" s="633"/>
      <c r="Y67" s="634"/>
      <c r="Z67" s="634"/>
    </row>
    <row r="68" spans="1:26" s="106" customFormat="1" ht="9.75" customHeight="1" x14ac:dyDescent="0.15">
      <c r="A68" s="282" t="s">
        <v>248</v>
      </c>
      <c r="B68" s="282" t="s">
        <v>248</v>
      </c>
      <c r="C68" s="282" t="s">
        <v>711</v>
      </c>
      <c r="D68" s="281"/>
      <c r="E68" s="117">
        <v>10190870</v>
      </c>
      <c r="F68" s="115">
        <v>10121770</v>
      </c>
      <c r="G68" s="115">
        <v>69100</v>
      </c>
      <c r="H68" s="115">
        <v>7910753</v>
      </c>
      <c r="I68" s="115">
        <v>7888502</v>
      </c>
      <c r="J68" s="115">
        <v>22251</v>
      </c>
      <c r="K68" s="115">
        <v>13636</v>
      </c>
      <c r="L68" s="115">
        <v>13636</v>
      </c>
      <c r="M68" s="115" t="s">
        <v>599</v>
      </c>
      <c r="N68" s="115" t="s">
        <v>599</v>
      </c>
      <c r="O68" s="115" t="s">
        <v>599</v>
      </c>
      <c r="P68" s="115" t="s">
        <v>599</v>
      </c>
      <c r="Q68" s="116">
        <v>2235663</v>
      </c>
      <c r="R68" s="116">
        <v>2219632</v>
      </c>
      <c r="S68" s="115">
        <v>16031</v>
      </c>
      <c r="T68" s="114">
        <v>30818</v>
      </c>
      <c r="U68" s="113" t="s">
        <v>923</v>
      </c>
      <c r="V68" s="108"/>
      <c r="W68" s="302"/>
      <c r="X68" s="633"/>
      <c r="Y68" s="634"/>
      <c r="Z68" s="634"/>
    </row>
    <row r="69" spans="1:26" s="106" customFormat="1" ht="9.75" customHeight="1" x14ac:dyDescent="0.15">
      <c r="A69" s="282" t="s">
        <v>248</v>
      </c>
      <c r="B69" s="282" t="s">
        <v>248</v>
      </c>
      <c r="C69" s="282" t="s">
        <v>712</v>
      </c>
      <c r="D69" s="281"/>
      <c r="E69" s="117">
        <v>9535598</v>
      </c>
      <c r="F69" s="115">
        <v>9462873</v>
      </c>
      <c r="G69" s="115">
        <v>72725</v>
      </c>
      <c r="H69" s="115">
        <v>7584232</v>
      </c>
      <c r="I69" s="115">
        <v>7554014</v>
      </c>
      <c r="J69" s="115">
        <v>30218</v>
      </c>
      <c r="K69" s="115">
        <v>4042</v>
      </c>
      <c r="L69" s="115">
        <v>4042</v>
      </c>
      <c r="M69" s="115" t="s">
        <v>599</v>
      </c>
      <c r="N69" s="115" t="s">
        <v>599</v>
      </c>
      <c r="O69" s="115" t="s">
        <v>599</v>
      </c>
      <c r="P69" s="115" t="s">
        <v>599</v>
      </c>
      <c r="Q69" s="116">
        <v>1924096</v>
      </c>
      <c r="R69" s="116">
        <v>1904817</v>
      </c>
      <c r="S69" s="115">
        <v>19279</v>
      </c>
      <c r="T69" s="114">
        <v>23228</v>
      </c>
      <c r="U69" s="113" t="s">
        <v>924</v>
      </c>
      <c r="V69" s="108"/>
      <c r="W69" s="302"/>
      <c r="X69" s="633"/>
      <c r="Y69" s="634"/>
      <c r="Z69" s="634"/>
    </row>
    <row r="70" spans="1:26" s="106" customFormat="1" ht="9.75" customHeight="1" x14ac:dyDescent="0.15">
      <c r="A70" s="282" t="s">
        <v>248</v>
      </c>
      <c r="B70" s="282" t="s">
        <v>248</v>
      </c>
      <c r="C70" s="282" t="s">
        <v>713</v>
      </c>
      <c r="D70" s="281"/>
      <c r="E70" s="117">
        <v>9583582</v>
      </c>
      <c r="F70" s="115">
        <v>9499507</v>
      </c>
      <c r="G70" s="115">
        <v>84075</v>
      </c>
      <c r="H70" s="115">
        <v>7928808</v>
      </c>
      <c r="I70" s="115">
        <v>7889845</v>
      </c>
      <c r="J70" s="115">
        <v>38963</v>
      </c>
      <c r="K70" s="115">
        <v>5509</v>
      </c>
      <c r="L70" s="115">
        <v>5509</v>
      </c>
      <c r="M70" s="115" t="s">
        <v>599</v>
      </c>
      <c r="N70" s="115" t="s">
        <v>599</v>
      </c>
      <c r="O70" s="115" t="s">
        <v>599</v>
      </c>
      <c r="P70" s="115" t="s">
        <v>599</v>
      </c>
      <c r="Q70" s="116">
        <v>1625861</v>
      </c>
      <c r="R70" s="116">
        <v>1604153</v>
      </c>
      <c r="S70" s="115">
        <v>21708</v>
      </c>
      <c r="T70" s="114">
        <v>23404</v>
      </c>
      <c r="U70" s="113" t="s">
        <v>925</v>
      </c>
      <c r="V70" s="108"/>
      <c r="W70" s="302"/>
      <c r="X70" s="633"/>
      <c r="Y70" s="634"/>
      <c r="Z70" s="634"/>
    </row>
    <row r="71" spans="1:26" s="106" customFormat="1" ht="9.75" customHeight="1" x14ac:dyDescent="0.15">
      <c r="A71" s="282" t="s">
        <v>248</v>
      </c>
      <c r="B71" s="282" t="s">
        <v>248</v>
      </c>
      <c r="C71" s="282" t="s">
        <v>714</v>
      </c>
      <c r="D71" s="281"/>
      <c r="E71" s="117">
        <v>10242019</v>
      </c>
      <c r="F71" s="115">
        <v>10172131</v>
      </c>
      <c r="G71" s="115">
        <v>69888</v>
      </c>
      <c r="H71" s="115">
        <v>8112242</v>
      </c>
      <c r="I71" s="115">
        <v>8093635</v>
      </c>
      <c r="J71" s="115">
        <v>18607</v>
      </c>
      <c r="K71" s="115">
        <v>5701</v>
      </c>
      <c r="L71" s="115">
        <v>5701</v>
      </c>
      <c r="M71" s="115" t="s">
        <v>599</v>
      </c>
      <c r="N71" s="115" t="s">
        <v>599</v>
      </c>
      <c r="O71" s="115" t="s">
        <v>599</v>
      </c>
      <c r="P71" s="115" t="s">
        <v>599</v>
      </c>
      <c r="Q71" s="116">
        <v>2095417</v>
      </c>
      <c r="R71" s="116">
        <v>2072795</v>
      </c>
      <c r="S71" s="115">
        <v>22622</v>
      </c>
      <c r="T71" s="114">
        <v>28659</v>
      </c>
      <c r="U71" s="113" t="s">
        <v>926</v>
      </c>
      <c r="V71" s="108"/>
      <c r="W71" s="302"/>
      <c r="X71" s="633"/>
      <c r="Y71" s="634"/>
      <c r="Z71" s="634"/>
    </row>
    <row r="72" spans="1:26" s="106" customFormat="1" ht="9.75" customHeight="1" x14ac:dyDescent="0.15">
      <c r="A72" s="282" t="s">
        <v>248</v>
      </c>
      <c r="B72" s="282" t="s">
        <v>248</v>
      </c>
      <c r="C72" s="282" t="s">
        <v>715</v>
      </c>
      <c r="D72" s="281"/>
      <c r="E72" s="117">
        <v>10752590</v>
      </c>
      <c r="F72" s="115">
        <v>10683653</v>
      </c>
      <c r="G72" s="115">
        <v>68937</v>
      </c>
      <c r="H72" s="115">
        <v>8495903</v>
      </c>
      <c r="I72" s="115">
        <v>8477969</v>
      </c>
      <c r="J72" s="115">
        <v>17934</v>
      </c>
      <c r="K72" s="115">
        <v>1646</v>
      </c>
      <c r="L72" s="115">
        <v>1646</v>
      </c>
      <c r="M72" s="115" t="s">
        <v>599</v>
      </c>
      <c r="N72" s="115" t="s">
        <v>599</v>
      </c>
      <c r="O72" s="115" t="s">
        <v>599</v>
      </c>
      <c r="P72" s="115" t="s">
        <v>599</v>
      </c>
      <c r="Q72" s="116">
        <v>2227627</v>
      </c>
      <c r="R72" s="116">
        <v>2204038</v>
      </c>
      <c r="S72" s="115">
        <v>23589</v>
      </c>
      <c r="T72" s="114">
        <v>27414</v>
      </c>
      <c r="U72" s="113" t="s">
        <v>927</v>
      </c>
      <c r="V72" s="108"/>
      <c r="W72" s="302"/>
      <c r="X72" s="633"/>
      <c r="Y72" s="634"/>
      <c r="Z72" s="634"/>
    </row>
    <row r="73" spans="1:26" s="106" customFormat="1" ht="9.75" customHeight="1" x14ac:dyDescent="0.15">
      <c r="A73" s="282" t="s">
        <v>248</v>
      </c>
      <c r="B73" s="282" t="s">
        <v>248</v>
      </c>
      <c r="C73" s="282" t="s">
        <v>943</v>
      </c>
      <c r="D73" s="281"/>
      <c r="E73" s="117">
        <v>11405477</v>
      </c>
      <c r="F73" s="115">
        <v>11352090</v>
      </c>
      <c r="G73" s="115">
        <v>53387</v>
      </c>
      <c r="H73" s="115">
        <v>8823201</v>
      </c>
      <c r="I73" s="115">
        <v>8813281</v>
      </c>
      <c r="J73" s="115">
        <v>9920</v>
      </c>
      <c r="K73" s="115">
        <v>5526</v>
      </c>
      <c r="L73" s="115">
        <v>5526</v>
      </c>
      <c r="M73" s="115" t="s">
        <v>599</v>
      </c>
      <c r="N73" s="115" t="s">
        <v>599</v>
      </c>
      <c r="O73" s="115" t="s">
        <v>599</v>
      </c>
      <c r="P73" s="115" t="s">
        <v>599</v>
      </c>
      <c r="Q73" s="116">
        <v>2552644</v>
      </c>
      <c r="R73" s="116">
        <v>2533283</v>
      </c>
      <c r="S73" s="115">
        <v>19361</v>
      </c>
      <c r="T73" s="114">
        <v>24106</v>
      </c>
      <c r="U73" s="113" t="s">
        <v>929</v>
      </c>
      <c r="V73" s="108"/>
      <c r="W73" s="302"/>
      <c r="X73" s="633"/>
      <c r="Y73" s="634"/>
      <c r="Z73" s="634"/>
    </row>
    <row r="74" spans="1:26" s="106" customFormat="1" ht="9.75" customHeight="1" x14ac:dyDescent="0.15">
      <c r="A74" s="282" t="s">
        <v>248</v>
      </c>
      <c r="B74" s="282" t="s">
        <v>248</v>
      </c>
      <c r="C74" s="282" t="s">
        <v>944</v>
      </c>
      <c r="D74" s="281"/>
      <c r="E74" s="117">
        <v>10705954</v>
      </c>
      <c r="F74" s="115">
        <v>10641136</v>
      </c>
      <c r="G74" s="115">
        <v>64818</v>
      </c>
      <c r="H74" s="115">
        <v>8461029</v>
      </c>
      <c r="I74" s="115">
        <v>8449324</v>
      </c>
      <c r="J74" s="115">
        <v>11705</v>
      </c>
      <c r="K74" s="115">
        <v>5704</v>
      </c>
      <c r="L74" s="115">
        <v>5704</v>
      </c>
      <c r="M74" s="115" t="s">
        <v>599</v>
      </c>
      <c r="N74" s="115" t="s">
        <v>599</v>
      </c>
      <c r="O74" s="115" t="s">
        <v>599</v>
      </c>
      <c r="P74" s="115" t="s">
        <v>599</v>
      </c>
      <c r="Q74" s="116">
        <v>2207983</v>
      </c>
      <c r="R74" s="116">
        <v>2186108</v>
      </c>
      <c r="S74" s="115">
        <v>21875</v>
      </c>
      <c r="T74" s="114">
        <v>31238</v>
      </c>
      <c r="U74" s="113" t="s">
        <v>931</v>
      </c>
      <c r="V74" s="108"/>
      <c r="W74" s="302"/>
      <c r="X74" s="633"/>
      <c r="Y74" s="634"/>
      <c r="Z74" s="634"/>
    </row>
    <row r="75" spans="1:26" s="106" customFormat="1" ht="9.75" customHeight="1" x14ac:dyDescent="0.15">
      <c r="A75" s="282" t="s">
        <v>248</v>
      </c>
      <c r="B75" s="282" t="s">
        <v>248</v>
      </c>
      <c r="C75" s="282" t="s">
        <v>945</v>
      </c>
      <c r="D75" s="281"/>
      <c r="E75" s="117">
        <v>11362314</v>
      </c>
      <c r="F75" s="115">
        <v>11290857</v>
      </c>
      <c r="G75" s="115">
        <v>71457</v>
      </c>
      <c r="H75" s="115">
        <v>8920402</v>
      </c>
      <c r="I75" s="115">
        <v>8895856</v>
      </c>
      <c r="J75" s="115">
        <v>24546</v>
      </c>
      <c r="K75" s="115">
        <v>5361</v>
      </c>
      <c r="L75" s="115">
        <v>5361</v>
      </c>
      <c r="M75" s="115" t="s">
        <v>599</v>
      </c>
      <c r="N75" s="115" t="s">
        <v>599</v>
      </c>
      <c r="O75" s="115" t="s">
        <v>599</v>
      </c>
      <c r="P75" s="115" t="s">
        <v>599</v>
      </c>
      <c r="Q75" s="116">
        <v>2408940</v>
      </c>
      <c r="R75" s="116">
        <v>2389640</v>
      </c>
      <c r="S75" s="115">
        <v>19300</v>
      </c>
      <c r="T75" s="114">
        <v>27611</v>
      </c>
      <c r="U75" s="113" t="s">
        <v>933</v>
      </c>
      <c r="V75" s="108"/>
      <c r="W75" s="302"/>
      <c r="X75" s="633"/>
      <c r="Y75" s="634"/>
      <c r="Z75" s="634"/>
    </row>
    <row r="76" spans="1:26" s="106" customFormat="1" ht="9.75" customHeight="1" x14ac:dyDescent="0.15">
      <c r="A76" s="290" t="s">
        <v>903</v>
      </c>
      <c r="B76" s="290" t="s">
        <v>917</v>
      </c>
      <c r="C76" s="282" t="s">
        <v>941</v>
      </c>
      <c r="D76" s="281"/>
      <c r="E76" s="117">
        <v>10714752</v>
      </c>
      <c r="F76" s="115">
        <v>10636296</v>
      </c>
      <c r="G76" s="115">
        <v>78456</v>
      </c>
      <c r="H76" s="115">
        <v>8308833</v>
      </c>
      <c r="I76" s="115">
        <v>8284050</v>
      </c>
      <c r="J76" s="115">
        <v>24783</v>
      </c>
      <c r="K76" s="115">
        <v>6134</v>
      </c>
      <c r="L76" s="115">
        <v>6134</v>
      </c>
      <c r="M76" s="115" t="s">
        <v>599</v>
      </c>
      <c r="N76" s="115" t="s">
        <v>599</v>
      </c>
      <c r="O76" s="115" t="s">
        <v>599</v>
      </c>
      <c r="P76" s="115" t="s">
        <v>599</v>
      </c>
      <c r="Q76" s="116">
        <v>2364082</v>
      </c>
      <c r="R76" s="116">
        <v>2346112</v>
      </c>
      <c r="S76" s="115">
        <v>17970</v>
      </c>
      <c r="T76" s="114">
        <v>35703</v>
      </c>
      <c r="U76" s="118" t="s">
        <v>935</v>
      </c>
      <c r="V76" s="108"/>
      <c r="W76" s="302"/>
      <c r="X76" s="633"/>
      <c r="Y76" s="634"/>
      <c r="Z76" s="634"/>
    </row>
    <row r="77" spans="1:26" s="106" customFormat="1" ht="9.75" customHeight="1" x14ac:dyDescent="0.15">
      <c r="A77" s="282" t="s">
        <v>248</v>
      </c>
      <c r="B77" s="282" t="s">
        <v>248</v>
      </c>
      <c r="C77" s="282" t="s">
        <v>942</v>
      </c>
      <c r="D77" s="281"/>
      <c r="E77" s="117">
        <v>10476142</v>
      </c>
      <c r="F77" s="115">
        <v>10395331</v>
      </c>
      <c r="G77" s="115">
        <v>80811</v>
      </c>
      <c r="H77" s="115">
        <v>7727631</v>
      </c>
      <c r="I77" s="115">
        <v>7696716</v>
      </c>
      <c r="J77" s="115">
        <v>30915</v>
      </c>
      <c r="K77" s="115">
        <v>3451</v>
      </c>
      <c r="L77" s="115">
        <v>3451</v>
      </c>
      <c r="M77" s="115" t="s">
        <v>599</v>
      </c>
      <c r="N77" s="115" t="s">
        <v>599</v>
      </c>
      <c r="O77" s="115" t="s">
        <v>599</v>
      </c>
      <c r="P77" s="115" t="s">
        <v>599</v>
      </c>
      <c r="Q77" s="116">
        <v>2716248</v>
      </c>
      <c r="R77" s="116">
        <v>2695164</v>
      </c>
      <c r="S77" s="115">
        <v>21084</v>
      </c>
      <c r="T77" s="114">
        <v>28812</v>
      </c>
      <c r="U77" s="113" t="s">
        <v>920</v>
      </c>
      <c r="V77" s="108"/>
      <c r="W77" s="302"/>
      <c r="X77" s="633"/>
      <c r="Y77" s="634"/>
      <c r="Z77" s="634"/>
    </row>
    <row r="78" spans="1:26" s="106" customFormat="1" ht="9.75" customHeight="1" x14ac:dyDescent="0.15">
      <c r="A78" s="799" t="s">
        <v>248</v>
      </c>
      <c r="B78" s="799" t="s">
        <v>248</v>
      </c>
      <c r="C78" s="800" t="s">
        <v>709</v>
      </c>
      <c r="D78" s="279"/>
      <c r="E78" s="112">
        <v>9893035</v>
      </c>
      <c r="F78" s="111">
        <v>9813595</v>
      </c>
      <c r="G78" s="111">
        <v>79440</v>
      </c>
      <c r="H78" s="111">
        <v>7681019</v>
      </c>
      <c r="I78" s="111">
        <v>7645873</v>
      </c>
      <c r="J78" s="111">
        <v>35146</v>
      </c>
      <c r="K78" s="111">
        <v>3609</v>
      </c>
      <c r="L78" s="111">
        <v>3609</v>
      </c>
      <c r="M78" s="111" t="s">
        <v>599</v>
      </c>
      <c r="N78" s="111" t="s">
        <v>599</v>
      </c>
      <c r="O78" s="111" t="s">
        <v>599</v>
      </c>
      <c r="P78" s="111" t="s">
        <v>599</v>
      </c>
      <c r="Q78" s="111">
        <v>2179986</v>
      </c>
      <c r="R78" s="111">
        <v>2164113</v>
      </c>
      <c r="S78" s="111">
        <v>15873</v>
      </c>
      <c r="T78" s="110">
        <v>28421</v>
      </c>
      <c r="U78" s="109" t="s">
        <v>921</v>
      </c>
      <c r="V78" s="108"/>
      <c r="W78" s="302"/>
      <c r="X78" s="633"/>
      <c r="Y78" s="634"/>
      <c r="Z78" s="634"/>
    </row>
    <row r="79" spans="1:26" s="106" customFormat="1" ht="9.9499999999999993" customHeight="1" x14ac:dyDescent="0.15">
      <c r="N79" s="107"/>
      <c r="O79" s="107"/>
      <c r="P79" s="107"/>
    </row>
    <row r="80" spans="1:26" s="105" customFormat="1" ht="11.45" customHeight="1" x14ac:dyDescent="0.15"/>
    <row r="81" s="105" customFormat="1" ht="11.45" customHeight="1" x14ac:dyDescent="0.15"/>
    <row r="82" s="105" customFormat="1" ht="11.45" customHeight="1" x14ac:dyDescent="0.15"/>
    <row r="83" s="105" customFormat="1" ht="11.45" customHeight="1" x14ac:dyDescent="0.15"/>
    <row r="84" s="105" customFormat="1" ht="11.45" customHeight="1" x14ac:dyDescent="0.15"/>
    <row r="85" s="105" customFormat="1" ht="11.45" customHeight="1" x14ac:dyDescent="0.15"/>
    <row r="86" s="105" customFormat="1" ht="11.45" customHeight="1" x14ac:dyDescent="0.15"/>
    <row r="87" s="105" customFormat="1" ht="11.45" customHeight="1" x14ac:dyDescent="0.15"/>
    <row r="88" s="105" customFormat="1" ht="11.45" customHeight="1" x14ac:dyDescent="0.15"/>
    <row r="89" s="105" customFormat="1" ht="11.45" customHeight="1" x14ac:dyDescent="0.15"/>
    <row r="90" s="105" customFormat="1" ht="11.45" customHeight="1" x14ac:dyDescent="0.15"/>
    <row r="91" s="105" customFormat="1" ht="11.45" customHeight="1" x14ac:dyDescent="0.15"/>
    <row r="92" ht="11.45" customHeight="1" x14ac:dyDescent="0.15"/>
    <row r="93" ht="11.45" customHeight="1" x14ac:dyDescent="0.15"/>
    <row r="94" ht="11.45" customHeight="1" x14ac:dyDescent="0.15"/>
    <row r="95" ht="11.45" customHeight="1" x14ac:dyDescent="0.15"/>
    <row r="96" ht="11.45" customHeight="1" x14ac:dyDescent="0.15"/>
    <row r="97" ht="11.45" customHeight="1" x14ac:dyDescent="0.15"/>
    <row r="98" ht="11.45" customHeight="1" x14ac:dyDescent="0.15"/>
    <row r="99" ht="11.45" customHeight="1" x14ac:dyDescent="0.15"/>
    <row r="100" ht="11.45" customHeight="1" x14ac:dyDescent="0.15"/>
    <row r="101" ht="11.45" customHeight="1" x14ac:dyDescent="0.15"/>
    <row r="102" ht="11.45" customHeight="1" x14ac:dyDescent="0.15"/>
    <row r="103" ht="11.45" customHeight="1" x14ac:dyDescent="0.15"/>
    <row r="104" ht="11.45" customHeight="1" x14ac:dyDescent="0.15"/>
    <row r="105" ht="11.45" customHeight="1" x14ac:dyDescent="0.15"/>
    <row r="106" ht="11.45" customHeight="1" x14ac:dyDescent="0.15"/>
    <row r="107" ht="11.45" customHeight="1" x14ac:dyDescent="0.15"/>
    <row r="108" ht="11.45" customHeight="1" x14ac:dyDescent="0.15"/>
    <row r="109" ht="11.45" customHeight="1" x14ac:dyDescent="0.15"/>
    <row r="110" ht="12.95" customHeight="1" x14ac:dyDescent="0.15"/>
    <row r="111" ht="12.95" customHeight="1" x14ac:dyDescent="0.15"/>
    <row r="112" ht="12.95" customHeight="1" x14ac:dyDescent="0.15"/>
    <row r="113" ht="12.95" customHeight="1" x14ac:dyDescent="0.15"/>
    <row r="114" ht="12.95" customHeight="1" x14ac:dyDescent="0.15"/>
    <row r="115" ht="12.95" customHeight="1" x14ac:dyDescent="0.15"/>
    <row r="116" ht="12.9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</sheetData>
  <mergeCells count="32">
    <mergeCell ref="T47:T48"/>
    <mergeCell ref="U43:U47"/>
    <mergeCell ref="K46:K47"/>
    <mergeCell ref="N46:N47"/>
    <mergeCell ref="Q46:Q47"/>
    <mergeCell ref="L47:L48"/>
    <mergeCell ref="F47:F48"/>
    <mergeCell ref="G47:G48"/>
    <mergeCell ref="I47:I48"/>
    <mergeCell ref="J47:J48"/>
    <mergeCell ref="S47:S48"/>
    <mergeCell ref="M8:M9"/>
    <mergeCell ref="O8:O9"/>
    <mergeCell ref="P8:P9"/>
    <mergeCell ref="A43:D48"/>
    <mergeCell ref="F43:R43"/>
    <mergeCell ref="M47:M48"/>
    <mergeCell ref="O47:O48"/>
    <mergeCell ref="P47:P48"/>
    <mergeCell ref="R47:R48"/>
    <mergeCell ref="A4:D9"/>
    <mergeCell ref="F4:P4"/>
    <mergeCell ref="Q4:Q8"/>
    <mergeCell ref="K7:K8"/>
    <mergeCell ref="N7:N8"/>
    <mergeCell ref="E8:E9"/>
    <mergeCell ref="E47:E48"/>
    <mergeCell ref="F8:F9"/>
    <mergeCell ref="G8:G9"/>
    <mergeCell ref="I8:I9"/>
    <mergeCell ref="J8:J9"/>
    <mergeCell ref="L8:L9"/>
  </mergeCells>
  <phoneticPr fontId="32"/>
  <pageMargins left="0.59055118110236227" right="0.59055118110236227" top="0.59055118110236227" bottom="0.59055118110236227" header="0.59055118110236227" footer="0.15748031496062992"/>
  <pageSetup paperSize="9" fitToHeight="0" orientation="portrait" r:id="rId1"/>
  <headerFooter alignWithMargins="0"/>
  <colBreaks count="1" manualBreakCount="1">
    <brk id="11" max="7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D934-3357-4DF2-A47C-00874C828994}">
  <dimension ref="A1:T48"/>
  <sheetViews>
    <sheetView view="pageBreakPreview" zoomScaleNormal="50" zoomScaleSheetLayoutView="100" workbookViewId="0"/>
  </sheetViews>
  <sheetFormatPr defaultRowHeight="17.25" x14ac:dyDescent="0.2"/>
  <cols>
    <col min="1" max="1" width="2.625" style="173" customWidth="1"/>
    <col min="2" max="2" width="12.375" style="173" customWidth="1"/>
    <col min="3" max="3" width="9.75" style="173" customWidth="1"/>
    <col min="4" max="4" width="8.625" style="173" customWidth="1"/>
    <col min="5" max="18" width="8.375" style="173" customWidth="1"/>
    <col min="19" max="19" width="18.625" style="670" customWidth="1"/>
    <col min="20" max="20" width="12.125" style="174" customWidth="1"/>
    <col min="21" max="16384" width="9" style="173"/>
  </cols>
  <sheetData>
    <row r="1" spans="1:20" s="637" customFormat="1" ht="17.25" customHeight="1" x14ac:dyDescent="0.15">
      <c r="A1" s="635"/>
      <c r="B1" s="635" t="s">
        <v>241</v>
      </c>
      <c r="C1" s="636"/>
      <c r="D1" s="172"/>
      <c r="E1" s="172"/>
      <c r="F1" s="172"/>
      <c r="G1" s="172"/>
      <c r="H1" s="172"/>
      <c r="I1" s="635"/>
      <c r="J1" s="635"/>
      <c r="K1" s="172"/>
      <c r="L1" s="761"/>
      <c r="M1" s="761"/>
      <c r="N1" s="761"/>
      <c r="O1" s="761"/>
      <c r="P1" s="761"/>
      <c r="Q1" s="761"/>
      <c r="T1" s="761"/>
    </row>
    <row r="2" spans="1:20" s="639" customFormat="1" ht="17.25" customHeight="1" x14ac:dyDescent="0.15">
      <c r="A2" s="172"/>
      <c r="B2" s="635" t="s">
        <v>527</v>
      </c>
      <c r="C2" s="636"/>
      <c r="D2" s="172"/>
      <c r="E2" s="172"/>
      <c r="F2" s="172"/>
      <c r="G2" s="635"/>
      <c r="H2" s="635"/>
      <c r="I2" s="635"/>
      <c r="J2" s="635"/>
      <c r="K2" s="172"/>
      <c r="L2" s="638"/>
      <c r="M2" s="638"/>
      <c r="N2" s="638"/>
      <c r="O2" s="638"/>
      <c r="T2" s="638"/>
    </row>
    <row r="3" spans="1:20" s="104" customFormat="1" ht="17.25" customHeight="1" x14ac:dyDescent="0.15">
      <c r="A3" s="172"/>
      <c r="B3" s="214" t="s">
        <v>946</v>
      </c>
      <c r="C3" s="213"/>
      <c r="D3" s="171"/>
      <c r="E3" s="171"/>
      <c r="F3" s="171"/>
      <c r="G3" s="171"/>
      <c r="H3" s="171"/>
      <c r="I3" s="171"/>
      <c r="J3" s="171"/>
      <c r="K3" s="171"/>
      <c r="L3" s="640"/>
      <c r="M3" s="640"/>
      <c r="N3" s="640"/>
      <c r="O3" s="640"/>
      <c r="P3" s="640"/>
      <c r="Q3" s="137"/>
      <c r="R3" s="150" t="s">
        <v>722</v>
      </c>
      <c r="S3" s="150"/>
      <c r="T3" s="454"/>
    </row>
    <row r="4" spans="1:20" s="645" customFormat="1" ht="16.5" customHeight="1" x14ac:dyDescent="0.15">
      <c r="A4" s="641"/>
      <c r="B4" s="642"/>
      <c r="C4" s="643"/>
      <c r="D4" s="212"/>
      <c r="E4" s="212"/>
      <c r="F4" s="212"/>
      <c r="G4" s="212"/>
      <c r="H4" s="212"/>
      <c r="I4" s="212"/>
      <c r="J4" s="212"/>
      <c r="K4" s="211"/>
      <c r="L4" s="210"/>
      <c r="M4" s="209"/>
      <c r="N4" s="209"/>
      <c r="O4" s="209"/>
      <c r="P4" s="209"/>
      <c r="Q4" s="208"/>
      <c r="R4" s="207"/>
      <c r="S4" s="644"/>
      <c r="T4" s="140"/>
    </row>
    <row r="5" spans="1:20" s="645" customFormat="1" ht="16.5" customHeight="1" x14ac:dyDescent="0.15">
      <c r="A5" s="646"/>
      <c r="B5" s="647" t="s">
        <v>528</v>
      </c>
      <c r="C5" s="200" t="s">
        <v>240</v>
      </c>
      <c r="D5" s="195" t="s">
        <v>529</v>
      </c>
      <c r="E5" s="195" t="s">
        <v>530</v>
      </c>
      <c r="F5" s="195" t="s">
        <v>531</v>
      </c>
      <c r="G5" s="195" t="s">
        <v>532</v>
      </c>
      <c r="H5" s="195" t="s">
        <v>533</v>
      </c>
      <c r="I5" s="195" t="s">
        <v>534</v>
      </c>
      <c r="J5" s="205"/>
      <c r="K5" s="204"/>
      <c r="L5" s="197" t="s">
        <v>535</v>
      </c>
      <c r="M5" s="198" t="s">
        <v>536</v>
      </c>
      <c r="N5" s="198" t="s">
        <v>537</v>
      </c>
      <c r="O5" s="198" t="s">
        <v>538</v>
      </c>
      <c r="P5" s="203" t="s">
        <v>539</v>
      </c>
      <c r="Q5" s="202"/>
      <c r="R5" s="201"/>
      <c r="S5" s="195" t="s">
        <v>239</v>
      </c>
      <c r="T5" s="140"/>
    </row>
    <row r="6" spans="1:20" s="645" customFormat="1" ht="16.5" customHeight="1" x14ac:dyDescent="0.15">
      <c r="A6" s="646"/>
      <c r="B6" s="647"/>
      <c r="C6" s="200"/>
      <c r="D6" s="195" t="s">
        <v>237</v>
      </c>
      <c r="E6" s="195" t="s">
        <v>237</v>
      </c>
      <c r="F6" s="195" t="s">
        <v>238</v>
      </c>
      <c r="G6" s="195"/>
      <c r="H6" s="195"/>
      <c r="I6" s="195" t="s">
        <v>237</v>
      </c>
      <c r="J6" s="195" t="s">
        <v>236</v>
      </c>
      <c r="K6" s="199" t="s">
        <v>235</v>
      </c>
      <c r="L6" s="197"/>
      <c r="M6" s="198"/>
      <c r="N6" s="198"/>
      <c r="O6" s="198"/>
      <c r="P6" s="198"/>
      <c r="Q6" s="198" t="s">
        <v>540</v>
      </c>
      <c r="R6" s="197" t="s">
        <v>541</v>
      </c>
      <c r="S6" s="195"/>
      <c r="T6" s="140"/>
    </row>
    <row r="7" spans="1:20" s="645" customFormat="1" ht="33.75" customHeight="1" x14ac:dyDescent="0.15">
      <c r="A7" s="646"/>
      <c r="B7" s="648"/>
      <c r="C7" s="194" t="s">
        <v>947</v>
      </c>
      <c r="D7" s="194" t="s">
        <v>234</v>
      </c>
      <c r="E7" s="194" t="s">
        <v>550</v>
      </c>
      <c r="F7" s="194" t="s">
        <v>551</v>
      </c>
      <c r="G7" s="194" t="s">
        <v>233</v>
      </c>
      <c r="H7" s="194" t="s">
        <v>542</v>
      </c>
      <c r="I7" s="194" t="s">
        <v>948</v>
      </c>
      <c r="J7" s="194" t="s">
        <v>552</v>
      </c>
      <c r="K7" s="193" t="s">
        <v>572</v>
      </c>
      <c r="L7" s="192" t="s">
        <v>543</v>
      </c>
      <c r="M7" s="192" t="s">
        <v>232</v>
      </c>
      <c r="N7" s="192" t="s">
        <v>231</v>
      </c>
      <c r="O7" s="191" t="s">
        <v>230</v>
      </c>
      <c r="P7" s="729" t="s">
        <v>554</v>
      </c>
      <c r="Q7" s="190"/>
      <c r="R7" s="190"/>
      <c r="S7" s="649"/>
      <c r="T7" s="140"/>
    </row>
    <row r="8" spans="1:20" s="126" customFormat="1" ht="15.6" customHeight="1" x14ac:dyDescent="0.15">
      <c r="A8" s="650"/>
      <c r="B8" s="642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652"/>
      <c r="O8" s="652"/>
      <c r="P8" s="652"/>
      <c r="Q8" s="652"/>
      <c r="R8" s="801"/>
      <c r="S8" s="653"/>
      <c r="T8" s="169"/>
    </row>
    <row r="9" spans="1:20" s="656" customFormat="1" ht="15.6" customHeight="1" x14ac:dyDescent="0.15">
      <c r="A9" s="650"/>
      <c r="B9" s="654" t="s">
        <v>229</v>
      </c>
      <c r="C9" s="185">
        <v>9416910</v>
      </c>
      <c r="D9" s="184">
        <v>1674269</v>
      </c>
      <c r="E9" s="184">
        <v>1280711</v>
      </c>
      <c r="F9" s="184">
        <v>857671</v>
      </c>
      <c r="G9" s="184">
        <v>2194059</v>
      </c>
      <c r="H9" s="184">
        <v>1441308</v>
      </c>
      <c r="I9" s="184">
        <v>1968892</v>
      </c>
      <c r="J9" s="184">
        <v>757485</v>
      </c>
      <c r="K9" s="184">
        <v>1211407</v>
      </c>
      <c r="L9" s="184">
        <v>450916</v>
      </c>
      <c r="M9" s="184">
        <v>217366</v>
      </c>
      <c r="N9" s="184">
        <v>8984</v>
      </c>
      <c r="O9" s="184">
        <v>16015</v>
      </c>
      <c r="P9" s="184">
        <v>1672402</v>
      </c>
      <c r="Q9" s="184">
        <v>1116188</v>
      </c>
      <c r="R9" s="183">
        <v>556214</v>
      </c>
      <c r="S9" s="655" t="s">
        <v>228</v>
      </c>
      <c r="T9" s="650"/>
    </row>
    <row r="10" spans="1:20" s="126" customFormat="1" ht="15.6" customHeight="1" x14ac:dyDescent="0.15">
      <c r="A10" s="650"/>
      <c r="B10" s="642" t="s">
        <v>227</v>
      </c>
      <c r="C10" s="182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7"/>
      <c r="Q10" s="187"/>
      <c r="R10" s="186"/>
      <c r="S10" s="657"/>
      <c r="T10" s="650"/>
    </row>
    <row r="11" spans="1:20" s="126" customFormat="1" ht="15.6" customHeight="1" x14ac:dyDescent="0.15">
      <c r="A11" s="650"/>
      <c r="B11" s="658" t="s">
        <v>555</v>
      </c>
      <c r="C11" s="182">
        <v>5055813</v>
      </c>
      <c r="D11" s="181">
        <v>903941</v>
      </c>
      <c r="E11" s="189">
        <v>988663</v>
      </c>
      <c r="F11" s="189">
        <v>513465</v>
      </c>
      <c r="G11" s="189">
        <v>775865</v>
      </c>
      <c r="H11" s="189">
        <v>759428</v>
      </c>
      <c r="I11" s="181">
        <v>1114451</v>
      </c>
      <c r="J11" s="189">
        <v>304433</v>
      </c>
      <c r="K11" s="189">
        <v>810018</v>
      </c>
      <c r="L11" s="189">
        <v>168202</v>
      </c>
      <c r="M11" s="189">
        <v>162164</v>
      </c>
      <c r="N11" s="189" t="s">
        <v>599</v>
      </c>
      <c r="O11" s="189">
        <v>4418</v>
      </c>
      <c r="P11" s="181">
        <v>212437</v>
      </c>
      <c r="Q11" s="181">
        <v>69766</v>
      </c>
      <c r="R11" s="180">
        <v>142671</v>
      </c>
      <c r="S11" s="653" t="s">
        <v>211</v>
      </c>
      <c r="T11" s="650"/>
    </row>
    <row r="12" spans="1:20" s="126" customFormat="1" ht="15.6" customHeight="1" x14ac:dyDescent="0.15">
      <c r="A12" s="650"/>
      <c r="B12" s="658"/>
      <c r="C12" s="182"/>
      <c r="D12" s="181"/>
      <c r="E12" s="189"/>
      <c r="F12" s="189"/>
      <c r="G12" s="189"/>
      <c r="H12" s="189"/>
      <c r="I12" s="181"/>
      <c r="J12" s="189"/>
      <c r="K12" s="189"/>
      <c r="L12" s="189"/>
      <c r="M12" s="189"/>
      <c r="N12" s="189"/>
      <c r="O12" s="189"/>
      <c r="P12" s="189"/>
      <c r="Q12" s="189"/>
      <c r="R12" s="188"/>
      <c r="S12" s="653"/>
      <c r="T12" s="650"/>
    </row>
    <row r="13" spans="1:20" s="126" customFormat="1" ht="23.25" customHeight="1" x14ac:dyDescent="0.15">
      <c r="A13" s="650"/>
      <c r="B13" s="658" t="s">
        <v>949</v>
      </c>
      <c r="C13" s="182">
        <v>4361097</v>
      </c>
      <c r="D13" s="181">
        <v>770328</v>
      </c>
      <c r="E13" s="181">
        <v>292048</v>
      </c>
      <c r="F13" s="181">
        <v>344206</v>
      </c>
      <c r="G13" s="181">
        <v>1418194</v>
      </c>
      <c r="H13" s="181">
        <v>681880</v>
      </c>
      <c r="I13" s="181">
        <v>854441</v>
      </c>
      <c r="J13" s="181">
        <v>453052</v>
      </c>
      <c r="K13" s="181">
        <v>401389</v>
      </c>
      <c r="L13" s="181">
        <v>282714</v>
      </c>
      <c r="M13" s="181">
        <v>55202</v>
      </c>
      <c r="N13" s="181">
        <v>8984</v>
      </c>
      <c r="O13" s="181">
        <v>11597</v>
      </c>
      <c r="P13" s="189">
        <v>1459965</v>
      </c>
      <c r="Q13" s="189">
        <v>1046422</v>
      </c>
      <c r="R13" s="188">
        <v>413543</v>
      </c>
      <c r="S13" s="653" t="s">
        <v>215</v>
      </c>
      <c r="T13" s="650"/>
    </row>
    <row r="14" spans="1:20" s="126" customFormat="1" ht="15.6" customHeight="1" x14ac:dyDescent="0.15">
      <c r="A14" s="650"/>
      <c r="B14" s="642" t="s">
        <v>227</v>
      </c>
      <c r="C14" s="182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7"/>
      <c r="Q14" s="187"/>
      <c r="R14" s="186"/>
      <c r="S14" s="657"/>
      <c r="T14" s="650"/>
    </row>
    <row r="15" spans="1:20" s="126" customFormat="1" ht="15.6" customHeight="1" x14ac:dyDescent="0.15">
      <c r="A15" s="650"/>
      <c r="B15" s="659" t="s">
        <v>226</v>
      </c>
      <c r="C15" s="185">
        <v>184617088</v>
      </c>
      <c r="D15" s="184">
        <v>49149380</v>
      </c>
      <c r="E15" s="184">
        <v>40036269</v>
      </c>
      <c r="F15" s="184">
        <v>10727562</v>
      </c>
      <c r="G15" s="184">
        <v>14337594</v>
      </c>
      <c r="H15" s="184">
        <v>39885419</v>
      </c>
      <c r="I15" s="184">
        <v>30480864</v>
      </c>
      <c r="J15" s="184">
        <v>10806319</v>
      </c>
      <c r="K15" s="184">
        <v>19674545</v>
      </c>
      <c r="L15" s="184">
        <v>2764359</v>
      </c>
      <c r="M15" s="184">
        <v>2383202</v>
      </c>
      <c r="N15" s="184">
        <v>68386</v>
      </c>
      <c r="O15" s="184">
        <v>86020</v>
      </c>
      <c r="P15" s="184">
        <v>14037404</v>
      </c>
      <c r="Q15" s="184">
        <v>10849694</v>
      </c>
      <c r="R15" s="183">
        <v>3187710</v>
      </c>
      <c r="S15" s="660" t="s">
        <v>556</v>
      </c>
      <c r="T15" s="650"/>
    </row>
    <row r="16" spans="1:20" s="126" customFormat="1" ht="15.6" customHeight="1" x14ac:dyDescent="0.15">
      <c r="A16" s="650"/>
      <c r="B16" s="642"/>
      <c r="C16" s="182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7"/>
      <c r="Q16" s="187"/>
      <c r="R16" s="186"/>
      <c r="S16" s="653"/>
      <c r="T16" s="650"/>
    </row>
    <row r="17" spans="1:20" s="126" customFormat="1" ht="15.6" customHeight="1" x14ac:dyDescent="0.15">
      <c r="A17" s="650"/>
      <c r="B17" s="658" t="s">
        <v>950</v>
      </c>
      <c r="C17" s="182">
        <v>150079505</v>
      </c>
      <c r="D17" s="181">
        <v>46338615</v>
      </c>
      <c r="E17" s="181">
        <v>14186276</v>
      </c>
      <c r="F17" s="181">
        <v>10441872</v>
      </c>
      <c r="G17" s="181">
        <v>12196789</v>
      </c>
      <c r="H17" s="181">
        <v>38957748</v>
      </c>
      <c r="I17" s="181">
        <v>27958205</v>
      </c>
      <c r="J17" s="181">
        <v>10421213</v>
      </c>
      <c r="K17" s="181">
        <v>17536992</v>
      </c>
      <c r="L17" s="181">
        <v>2537781</v>
      </c>
      <c r="M17" s="181">
        <v>2349836</v>
      </c>
      <c r="N17" s="181">
        <v>57733</v>
      </c>
      <c r="O17" s="181">
        <v>71141</v>
      </c>
      <c r="P17" s="181">
        <v>3069771</v>
      </c>
      <c r="Q17" s="181">
        <v>1728169</v>
      </c>
      <c r="R17" s="180">
        <v>1341602</v>
      </c>
      <c r="S17" s="653" t="s">
        <v>225</v>
      </c>
      <c r="T17" s="650"/>
    </row>
    <row r="18" spans="1:20" s="126" customFormat="1" ht="15.6" customHeight="1" x14ac:dyDescent="0.15">
      <c r="A18" s="650"/>
      <c r="B18" s="658"/>
      <c r="C18" s="182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0"/>
      <c r="S18" s="653"/>
      <c r="T18" s="650"/>
    </row>
    <row r="19" spans="1:20" s="126" customFormat="1" ht="15.6" customHeight="1" x14ac:dyDescent="0.15">
      <c r="A19" s="650"/>
      <c r="B19" s="658" t="s">
        <v>557</v>
      </c>
      <c r="C19" s="182">
        <v>32841517</v>
      </c>
      <c r="D19" s="181">
        <v>2339243</v>
      </c>
      <c r="E19" s="181">
        <v>25844993</v>
      </c>
      <c r="F19" s="181">
        <v>71898</v>
      </c>
      <c r="G19" s="181">
        <v>1857368</v>
      </c>
      <c r="H19" s="181">
        <v>636740</v>
      </c>
      <c r="I19" s="181">
        <v>2091275</v>
      </c>
      <c r="J19" s="181">
        <v>12370</v>
      </c>
      <c r="K19" s="181">
        <v>2078905</v>
      </c>
      <c r="L19" s="181">
        <v>217626</v>
      </c>
      <c r="M19" s="181">
        <v>16036</v>
      </c>
      <c r="N19" s="181">
        <v>2065</v>
      </c>
      <c r="O19" s="181">
        <v>14830</v>
      </c>
      <c r="P19" s="181">
        <v>10769227</v>
      </c>
      <c r="Q19" s="181">
        <v>8994285</v>
      </c>
      <c r="R19" s="180">
        <v>1774942</v>
      </c>
      <c r="S19" s="661" t="s">
        <v>224</v>
      </c>
      <c r="T19" s="650"/>
    </row>
    <row r="20" spans="1:20" s="126" customFormat="1" ht="15.6" customHeight="1" x14ac:dyDescent="0.15">
      <c r="A20" s="650"/>
      <c r="B20" s="658"/>
      <c r="C20" s="182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7"/>
      <c r="Q20" s="187"/>
      <c r="R20" s="186"/>
      <c r="S20" s="661"/>
      <c r="T20" s="650"/>
    </row>
    <row r="21" spans="1:20" s="126" customFormat="1" ht="30.75" customHeight="1" x14ac:dyDescent="0.15">
      <c r="A21" s="650"/>
      <c r="B21" s="658" t="s">
        <v>951</v>
      </c>
      <c r="C21" s="182">
        <v>236777</v>
      </c>
      <c r="D21" s="181">
        <v>19723</v>
      </c>
      <c r="E21" s="181">
        <v>5000</v>
      </c>
      <c r="F21" s="181">
        <v>9231</v>
      </c>
      <c r="G21" s="181">
        <v>36773</v>
      </c>
      <c r="H21" s="181">
        <v>71955</v>
      </c>
      <c r="I21" s="181">
        <v>94095</v>
      </c>
      <c r="J21" s="181">
        <v>90544</v>
      </c>
      <c r="K21" s="181">
        <v>3551</v>
      </c>
      <c r="L21" s="181" t="s">
        <v>599</v>
      </c>
      <c r="M21" s="181" t="s">
        <v>599</v>
      </c>
      <c r="N21" s="181">
        <v>8588</v>
      </c>
      <c r="O21" s="181" t="s">
        <v>599</v>
      </c>
      <c r="P21" s="181">
        <v>35148</v>
      </c>
      <c r="Q21" s="181" t="s">
        <v>599</v>
      </c>
      <c r="R21" s="180">
        <v>35148</v>
      </c>
      <c r="S21" s="661" t="s">
        <v>544</v>
      </c>
      <c r="T21" s="650"/>
    </row>
    <row r="22" spans="1:20" s="126" customFormat="1" ht="15.6" customHeight="1" x14ac:dyDescent="0.15">
      <c r="A22" s="650"/>
      <c r="B22" s="658"/>
      <c r="C22" s="182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7"/>
      <c r="Q22" s="187"/>
      <c r="R22" s="186"/>
      <c r="S22" s="661"/>
      <c r="T22" s="650"/>
    </row>
    <row r="23" spans="1:20" s="126" customFormat="1" ht="22.5" customHeight="1" x14ac:dyDescent="0.15">
      <c r="A23" s="650"/>
      <c r="B23" s="658" t="s">
        <v>952</v>
      </c>
      <c r="C23" s="182" t="s">
        <v>599</v>
      </c>
      <c r="D23" s="181" t="s">
        <v>599</v>
      </c>
      <c r="E23" s="181" t="s">
        <v>599</v>
      </c>
      <c r="F23" s="181" t="s">
        <v>599</v>
      </c>
      <c r="G23" s="181" t="s">
        <v>599</v>
      </c>
      <c r="H23" s="181" t="s">
        <v>599</v>
      </c>
      <c r="I23" s="181" t="s">
        <v>599</v>
      </c>
      <c r="J23" s="181" t="s">
        <v>599</v>
      </c>
      <c r="K23" s="181" t="s">
        <v>599</v>
      </c>
      <c r="L23" s="181" t="s">
        <v>599</v>
      </c>
      <c r="M23" s="181" t="s">
        <v>599</v>
      </c>
      <c r="N23" s="181" t="s">
        <v>599</v>
      </c>
      <c r="O23" s="181" t="s">
        <v>599</v>
      </c>
      <c r="P23" s="181" t="s">
        <v>599</v>
      </c>
      <c r="Q23" s="181" t="s">
        <v>599</v>
      </c>
      <c r="R23" s="180" t="s">
        <v>599</v>
      </c>
      <c r="S23" s="661" t="s">
        <v>545</v>
      </c>
      <c r="T23" s="650"/>
    </row>
    <row r="24" spans="1:20" s="126" customFormat="1" ht="15.6" customHeight="1" x14ac:dyDescent="0.15">
      <c r="A24" s="650"/>
      <c r="B24" s="658"/>
      <c r="C24" s="182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7"/>
      <c r="Q24" s="187"/>
      <c r="R24" s="186"/>
      <c r="S24" s="661"/>
      <c r="T24" s="650"/>
    </row>
    <row r="25" spans="1:20" s="126" customFormat="1" ht="15.6" customHeight="1" x14ac:dyDescent="0.15">
      <c r="A25" s="650"/>
      <c r="B25" s="662" t="s">
        <v>546</v>
      </c>
      <c r="C25" s="182">
        <v>1459289</v>
      </c>
      <c r="D25" s="181">
        <v>451799</v>
      </c>
      <c r="E25" s="181" t="s">
        <v>599</v>
      </c>
      <c r="F25" s="181">
        <v>204561</v>
      </c>
      <c r="G25" s="181">
        <v>246664</v>
      </c>
      <c r="H25" s="181">
        <v>218976</v>
      </c>
      <c r="I25" s="181">
        <v>337289</v>
      </c>
      <c r="J25" s="181">
        <v>282192</v>
      </c>
      <c r="K25" s="181">
        <v>55097</v>
      </c>
      <c r="L25" s="181">
        <v>8952</v>
      </c>
      <c r="M25" s="181">
        <v>17330</v>
      </c>
      <c r="N25" s="181" t="s">
        <v>599</v>
      </c>
      <c r="O25" s="181">
        <v>49</v>
      </c>
      <c r="P25" s="181">
        <v>163258</v>
      </c>
      <c r="Q25" s="181">
        <v>127240</v>
      </c>
      <c r="R25" s="180">
        <v>36018</v>
      </c>
      <c r="S25" s="661" t="s">
        <v>223</v>
      </c>
      <c r="T25" s="650"/>
    </row>
    <row r="26" spans="1:20" s="126" customFormat="1" ht="15.6" customHeight="1" x14ac:dyDescent="0.15">
      <c r="A26" s="650"/>
      <c r="B26" s="663"/>
      <c r="C26" s="182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0"/>
      <c r="S26" s="661"/>
      <c r="T26" s="650"/>
    </row>
    <row r="27" spans="1:20" s="126" customFormat="1" ht="15.6" customHeight="1" x14ac:dyDescent="0.15">
      <c r="A27" s="650"/>
      <c r="B27" s="659" t="s">
        <v>222</v>
      </c>
      <c r="C27" s="185">
        <v>184630303</v>
      </c>
      <c r="D27" s="184">
        <v>49198269</v>
      </c>
      <c r="E27" s="184">
        <v>39726840</v>
      </c>
      <c r="F27" s="184">
        <v>10794229</v>
      </c>
      <c r="G27" s="184">
        <v>14411254</v>
      </c>
      <c r="H27" s="184">
        <v>39924226</v>
      </c>
      <c r="I27" s="184">
        <v>30575485</v>
      </c>
      <c r="J27" s="184">
        <v>10876329</v>
      </c>
      <c r="K27" s="184">
        <v>19699156</v>
      </c>
      <c r="L27" s="184">
        <v>2726300</v>
      </c>
      <c r="M27" s="184">
        <v>2374946</v>
      </c>
      <c r="N27" s="184">
        <v>67393</v>
      </c>
      <c r="O27" s="184">
        <v>88040</v>
      </c>
      <c r="P27" s="184">
        <v>13916322</v>
      </c>
      <c r="Q27" s="184">
        <v>10779375</v>
      </c>
      <c r="R27" s="183">
        <v>3136947</v>
      </c>
      <c r="S27" s="655" t="s">
        <v>558</v>
      </c>
      <c r="T27" s="650"/>
    </row>
    <row r="28" spans="1:20" s="126" customFormat="1" ht="15.6" customHeight="1" x14ac:dyDescent="0.15">
      <c r="A28" s="650"/>
      <c r="B28" s="642"/>
      <c r="C28" s="182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7"/>
      <c r="Q28" s="187"/>
      <c r="R28" s="186"/>
      <c r="S28" s="661"/>
      <c r="T28" s="650"/>
    </row>
    <row r="29" spans="1:20" s="126" customFormat="1" ht="15.6" customHeight="1" x14ac:dyDescent="0.15">
      <c r="A29" s="169"/>
      <c r="B29" s="658" t="s">
        <v>221</v>
      </c>
      <c r="C29" s="182">
        <v>151804975</v>
      </c>
      <c r="D29" s="181">
        <v>44781215</v>
      </c>
      <c r="E29" s="181">
        <v>37984725</v>
      </c>
      <c r="F29" s="181">
        <v>3805717</v>
      </c>
      <c r="G29" s="181">
        <v>13038904</v>
      </c>
      <c r="H29" s="181">
        <v>32039292</v>
      </c>
      <c r="I29" s="181">
        <v>20155122</v>
      </c>
      <c r="J29" s="181">
        <v>10527568</v>
      </c>
      <c r="K29" s="181">
        <v>9627554</v>
      </c>
      <c r="L29" s="181">
        <v>1748819</v>
      </c>
      <c r="M29" s="181">
        <v>1718544</v>
      </c>
      <c r="N29" s="181">
        <v>48730</v>
      </c>
      <c r="O29" s="181">
        <v>44148</v>
      </c>
      <c r="P29" s="181">
        <v>12730683</v>
      </c>
      <c r="Q29" s="181">
        <v>10349368</v>
      </c>
      <c r="R29" s="180">
        <v>2381315</v>
      </c>
      <c r="S29" s="661" t="s">
        <v>220</v>
      </c>
      <c r="T29" s="169"/>
    </row>
    <row r="30" spans="1:20" s="126" customFormat="1" ht="15.6" customHeight="1" x14ac:dyDescent="0.15">
      <c r="A30" s="169"/>
      <c r="B30" s="658"/>
      <c r="C30" s="182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0"/>
      <c r="S30" s="661"/>
      <c r="T30" s="169"/>
    </row>
    <row r="31" spans="1:20" s="126" customFormat="1" ht="15.6" customHeight="1" x14ac:dyDescent="0.15">
      <c r="A31" s="650"/>
      <c r="B31" s="658" t="s">
        <v>559</v>
      </c>
      <c r="C31" s="182">
        <v>28584890</v>
      </c>
      <c r="D31" s="181">
        <v>4400750</v>
      </c>
      <c r="E31" s="181" t="s">
        <v>599</v>
      </c>
      <c r="F31" s="181">
        <v>6797549</v>
      </c>
      <c r="G31" s="181">
        <v>1033947</v>
      </c>
      <c r="H31" s="181">
        <v>7805554</v>
      </c>
      <c r="I31" s="181">
        <v>8547090</v>
      </c>
      <c r="J31" s="181">
        <v>204144</v>
      </c>
      <c r="K31" s="181">
        <v>8342946</v>
      </c>
      <c r="L31" s="181">
        <v>794064</v>
      </c>
      <c r="M31" s="181">
        <v>11421</v>
      </c>
      <c r="N31" s="181">
        <v>677</v>
      </c>
      <c r="O31" s="181">
        <v>42975</v>
      </c>
      <c r="P31" s="181">
        <v>236149</v>
      </c>
      <c r="Q31" s="181">
        <v>227133</v>
      </c>
      <c r="R31" s="180">
        <v>9016</v>
      </c>
      <c r="S31" s="661" t="s">
        <v>219</v>
      </c>
      <c r="T31" s="650"/>
    </row>
    <row r="32" spans="1:20" s="126" customFormat="1" ht="15.6" customHeight="1" x14ac:dyDescent="0.15">
      <c r="A32" s="650"/>
      <c r="B32" s="658"/>
      <c r="C32" s="182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0"/>
      <c r="S32" s="661"/>
      <c r="T32" s="650"/>
    </row>
    <row r="33" spans="1:20" s="126" customFormat="1" ht="31.5" customHeight="1" x14ac:dyDescent="0.15">
      <c r="A33" s="650"/>
      <c r="B33" s="658" t="s">
        <v>953</v>
      </c>
      <c r="C33" s="182">
        <v>1485918</v>
      </c>
      <c r="D33" s="181">
        <v>252</v>
      </c>
      <c r="E33" s="181">
        <v>999200</v>
      </c>
      <c r="F33" s="181">
        <v>116890</v>
      </c>
      <c r="G33" s="181">
        <v>200310</v>
      </c>
      <c r="H33" s="181">
        <v>34537</v>
      </c>
      <c r="I33" s="181">
        <v>134729</v>
      </c>
      <c r="J33" s="181" t="s">
        <v>599</v>
      </c>
      <c r="K33" s="181">
        <v>134729</v>
      </c>
      <c r="L33" s="181">
        <v>10289</v>
      </c>
      <c r="M33" s="181">
        <v>24071</v>
      </c>
      <c r="N33" s="181" t="s">
        <v>599</v>
      </c>
      <c r="O33" s="181" t="s">
        <v>599</v>
      </c>
      <c r="P33" s="181">
        <v>539019</v>
      </c>
      <c r="Q33" s="181">
        <v>49912</v>
      </c>
      <c r="R33" s="180">
        <v>489107</v>
      </c>
      <c r="S33" s="661" t="s">
        <v>547</v>
      </c>
      <c r="T33" s="650"/>
    </row>
    <row r="34" spans="1:20" s="126" customFormat="1" ht="15.6" customHeight="1" x14ac:dyDescent="0.15">
      <c r="A34" s="650"/>
      <c r="B34" s="658"/>
      <c r="C34" s="182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0"/>
      <c r="S34" s="661"/>
      <c r="T34" s="650"/>
    </row>
    <row r="35" spans="1:20" s="126" customFormat="1" ht="15.6" customHeight="1" x14ac:dyDescent="0.15">
      <c r="A35" s="650"/>
      <c r="B35" s="658" t="s">
        <v>560</v>
      </c>
      <c r="C35" s="182">
        <v>1660013</v>
      </c>
      <c r="D35" s="181">
        <v>348</v>
      </c>
      <c r="E35" s="181">
        <v>40298</v>
      </c>
      <c r="F35" s="181" t="s">
        <v>599</v>
      </c>
      <c r="G35" s="181">
        <v>68643</v>
      </c>
      <c r="H35" s="181">
        <v>1198</v>
      </c>
      <c r="I35" s="181">
        <v>1549526</v>
      </c>
      <c r="J35" s="181">
        <v>144617</v>
      </c>
      <c r="K35" s="181">
        <v>1404909</v>
      </c>
      <c r="L35" s="181">
        <v>60134</v>
      </c>
      <c r="M35" s="181">
        <v>608024</v>
      </c>
      <c r="N35" s="181">
        <v>2</v>
      </c>
      <c r="O35" s="181" t="s">
        <v>599</v>
      </c>
      <c r="P35" s="181">
        <v>213507</v>
      </c>
      <c r="Q35" s="181">
        <v>13875</v>
      </c>
      <c r="R35" s="180">
        <v>199632</v>
      </c>
      <c r="S35" s="661" t="s">
        <v>218</v>
      </c>
      <c r="T35" s="650"/>
    </row>
    <row r="36" spans="1:20" s="126" customFormat="1" ht="15.6" customHeight="1" x14ac:dyDescent="0.15">
      <c r="A36" s="650"/>
      <c r="B36" s="658"/>
      <c r="C36" s="182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0"/>
      <c r="S36" s="661"/>
      <c r="T36" s="650"/>
    </row>
    <row r="37" spans="1:20" s="126" customFormat="1" ht="15.6" customHeight="1" x14ac:dyDescent="0.15">
      <c r="A37" s="650"/>
      <c r="B37" s="658" t="s">
        <v>561</v>
      </c>
      <c r="C37" s="182">
        <v>1094507</v>
      </c>
      <c r="D37" s="181">
        <v>15704</v>
      </c>
      <c r="E37" s="181">
        <v>702617</v>
      </c>
      <c r="F37" s="181">
        <v>74073</v>
      </c>
      <c r="G37" s="181">
        <v>69450</v>
      </c>
      <c r="H37" s="181">
        <v>43645</v>
      </c>
      <c r="I37" s="181">
        <v>189018</v>
      </c>
      <c r="J37" s="181" t="s">
        <v>599</v>
      </c>
      <c r="K37" s="181">
        <v>189018</v>
      </c>
      <c r="L37" s="181">
        <v>112994</v>
      </c>
      <c r="M37" s="181">
        <v>12886</v>
      </c>
      <c r="N37" s="181">
        <v>17984</v>
      </c>
      <c r="O37" s="181">
        <v>917</v>
      </c>
      <c r="P37" s="181">
        <v>196964</v>
      </c>
      <c r="Q37" s="181">
        <v>139087</v>
      </c>
      <c r="R37" s="180">
        <v>57877</v>
      </c>
      <c r="S37" s="661" t="s">
        <v>217</v>
      </c>
      <c r="T37" s="650"/>
    </row>
    <row r="38" spans="1:20" s="126" customFormat="1" ht="15.6" customHeight="1" x14ac:dyDescent="0.15">
      <c r="A38" s="650"/>
      <c r="B38" s="642"/>
      <c r="C38" s="182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0"/>
      <c r="S38" s="661"/>
      <c r="T38" s="650"/>
    </row>
    <row r="39" spans="1:20" s="126" customFormat="1" ht="15.6" customHeight="1" x14ac:dyDescent="0.15">
      <c r="A39" s="650"/>
      <c r="B39" s="659" t="s">
        <v>216</v>
      </c>
      <c r="C39" s="185">
        <v>9403695</v>
      </c>
      <c r="D39" s="184">
        <v>1625380</v>
      </c>
      <c r="E39" s="184">
        <v>1590140</v>
      </c>
      <c r="F39" s="184">
        <v>791004</v>
      </c>
      <c r="G39" s="184">
        <v>2120399</v>
      </c>
      <c r="H39" s="184">
        <v>1402501</v>
      </c>
      <c r="I39" s="184">
        <v>1874271</v>
      </c>
      <c r="J39" s="184">
        <v>687475</v>
      </c>
      <c r="K39" s="184">
        <v>1186796</v>
      </c>
      <c r="L39" s="184">
        <v>488975</v>
      </c>
      <c r="M39" s="184">
        <v>225622</v>
      </c>
      <c r="N39" s="184">
        <v>9977</v>
      </c>
      <c r="O39" s="184">
        <v>13995</v>
      </c>
      <c r="P39" s="184">
        <v>1793484</v>
      </c>
      <c r="Q39" s="184">
        <v>1186507</v>
      </c>
      <c r="R39" s="183">
        <v>606977</v>
      </c>
      <c r="S39" s="655" t="s">
        <v>562</v>
      </c>
      <c r="T39" s="650"/>
    </row>
    <row r="40" spans="1:20" s="126" customFormat="1" ht="15.6" customHeight="1" x14ac:dyDescent="0.15">
      <c r="A40" s="650"/>
      <c r="B40" s="642"/>
      <c r="C40" s="182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0"/>
      <c r="S40" s="661"/>
      <c r="T40" s="650"/>
    </row>
    <row r="41" spans="1:20" s="126" customFormat="1" ht="15.6" customHeight="1" x14ac:dyDescent="0.15">
      <c r="A41" s="650"/>
      <c r="B41" s="658" t="s">
        <v>555</v>
      </c>
      <c r="C41" s="182">
        <v>5116893</v>
      </c>
      <c r="D41" s="181">
        <v>857246</v>
      </c>
      <c r="E41" s="181">
        <v>1102736</v>
      </c>
      <c r="F41" s="181">
        <v>431266</v>
      </c>
      <c r="G41" s="181">
        <v>790935</v>
      </c>
      <c r="H41" s="181">
        <v>841368</v>
      </c>
      <c r="I41" s="181">
        <v>1093342</v>
      </c>
      <c r="J41" s="181">
        <v>278932</v>
      </c>
      <c r="K41" s="181">
        <v>814410</v>
      </c>
      <c r="L41" s="181">
        <v>171799</v>
      </c>
      <c r="M41" s="181">
        <v>184950</v>
      </c>
      <c r="N41" s="181" t="s">
        <v>599</v>
      </c>
      <c r="O41" s="181">
        <v>3036</v>
      </c>
      <c r="P41" s="181">
        <v>198207</v>
      </c>
      <c r="Q41" s="181">
        <v>73934</v>
      </c>
      <c r="R41" s="180">
        <v>124273</v>
      </c>
      <c r="S41" s="653" t="s">
        <v>211</v>
      </c>
      <c r="T41" s="650"/>
    </row>
    <row r="42" spans="1:20" s="126" customFormat="1" ht="15.6" customHeight="1" x14ac:dyDescent="0.15">
      <c r="A42" s="650"/>
      <c r="B42" s="658"/>
      <c r="C42" s="182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0"/>
      <c r="S42" s="653"/>
      <c r="T42" s="650"/>
    </row>
    <row r="43" spans="1:20" s="126" customFormat="1" ht="21" customHeight="1" x14ac:dyDescent="0.15">
      <c r="A43" s="650"/>
      <c r="B43" s="658" t="s">
        <v>949</v>
      </c>
      <c r="C43" s="182">
        <v>4286802</v>
      </c>
      <c r="D43" s="181">
        <v>768134</v>
      </c>
      <c r="E43" s="181">
        <v>487404</v>
      </c>
      <c r="F43" s="181">
        <v>359738</v>
      </c>
      <c r="G43" s="181">
        <v>1329464</v>
      </c>
      <c r="H43" s="181">
        <v>561133</v>
      </c>
      <c r="I43" s="181">
        <v>780929</v>
      </c>
      <c r="J43" s="181">
        <v>408543</v>
      </c>
      <c r="K43" s="181">
        <v>372386</v>
      </c>
      <c r="L43" s="181">
        <v>317176</v>
      </c>
      <c r="M43" s="181">
        <v>40672</v>
      </c>
      <c r="N43" s="181">
        <v>9977</v>
      </c>
      <c r="O43" s="181">
        <v>10959</v>
      </c>
      <c r="P43" s="181">
        <v>1595277</v>
      </c>
      <c r="Q43" s="181">
        <v>1112573</v>
      </c>
      <c r="R43" s="180">
        <v>482704</v>
      </c>
      <c r="S43" s="653" t="s">
        <v>215</v>
      </c>
      <c r="T43" s="650"/>
    </row>
    <row r="44" spans="1:20" s="126" customFormat="1" ht="15.6" customHeight="1" x14ac:dyDescent="0.15">
      <c r="A44" s="650"/>
      <c r="B44" s="664"/>
      <c r="C44" s="179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7"/>
      <c r="S44" s="665"/>
      <c r="T44" s="169"/>
    </row>
    <row r="45" spans="1:20" s="175" customFormat="1" ht="15.6" customHeight="1" x14ac:dyDescent="0.15">
      <c r="A45" s="666"/>
      <c r="B45" s="176" t="s">
        <v>214</v>
      </c>
      <c r="C45" s="667"/>
      <c r="D45" s="667"/>
      <c r="E45" s="667"/>
      <c r="F45" s="667"/>
      <c r="G45" s="667"/>
      <c r="H45" s="667"/>
      <c r="I45" s="667"/>
      <c r="K45" s="176"/>
      <c r="L45" s="176" t="s">
        <v>548</v>
      </c>
      <c r="M45" s="667"/>
      <c r="N45" s="176"/>
      <c r="O45" s="667"/>
      <c r="P45" s="667"/>
      <c r="Q45" s="667"/>
      <c r="R45" s="667"/>
      <c r="S45" s="667"/>
      <c r="T45" s="668"/>
    </row>
    <row r="46" spans="1:20" s="175" customFormat="1" ht="15.6" customHeight="1" x14ac:dyDescent="0.15">
      <c r="A46" s="666"/>
      <c r="B46" s="175" t="s">
        <v>563</v>
      </c>
      <c r="C46" s="667"/>
      <c r="D46" s="667"/>
      <c r="E46" s="667"/>
      <c r="F46" s="666"/>
      <c r="K46" s="176"/>
      <c r="L46" s="176" t="s">
        <v>549</v>
      </c>
      <c r="M46" s="667"/>
      <c r="N46" s="667"/>
      <c r="O46" s="667"/>
      <c r="P46" s="667"/>
      <c r="Q46" s="667"/>
      <c r="R46" s="667"/>
      <c r="S46" s="667"/>
      <c r="T46" s="668"/>
    </row>
    <row r="47" spans="1:20" s="175" customFormat="1" ht="15.6" customHeight="1" x14ac:dyDescent="0.15">
      <c r="A47" s="666"/>
      <c r="B47" s="175" t="s">
        <v>564</v>
      </c>
      <c r="C47" s="667"/>
      <c r="D47" s="667"/>
      <c r="E47" s="667"/>
      <c r="F47" s="667"/>
      <c r="G47" s="667"/>
      <c r="H47" s="667"/>
      <c r="I47" s="667"/>
      <c r="J47" s="667"/>
      <c r="K47" s="667"/>
      <c r="L47" s="802" t="s">
        <v>954</v>
      </c>
      <c r="M47" s="667"/>
      <c r="N47" s="667"/>
      <c r="O47" s="667"/>
      <c r="P47" s="667"/>
      <c r="Q47" s="667"/>
      <c r="R47" s="667"/>
      <c r="S47" s="667"/>
      <c r="T47" s="668"/>
    </row>
    <row r="48" spans="1:20" s="175" customFormat="1" ht="17.100000000000001" customHeight="1" x14ac:dyDescent="0.15">
      <c r="A48" s="666"/>
      <c r="B48" s="176" t="s">
        <v>955</v>
      </c>
      <c r="C48" s="669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8"/>
    </row>
  </sheetData>
  <phoneticPr fontId="32"/>
  <pageMargins left="0.59055118110236227" right="0.55118110236220474" top="0.59055118110236227" bottom="0.59055118110236227" header="0.59055118110236227" footer="0.59055118110236227"/>
  <pageSetup paperSize="9" scale="92" orientation="portrait" r:id="rId1"/>
  <headerFooter alignWithMargins="0">
    <oddHeader xml:space="preserve">&amp;R
</oddHeader>
  </headerFooter>
  <colBreaks count="1" manualBreakCount="1">
    <brk id="11" max="4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FE72-994D-42C4-9402-BC566493E0B3}">
  <dimension ref="A1:T49"/>
  <sheetViews>
    <sheetView view="pageBreakPreview" zoomScaleNormal="55" zoomScaleSheetLayoutView="55" workbookViewId="0"/>
  </sheetViews>
  <sheetFormatPr defaultRowHeight="17.25" x14ac:dyDescent="0.2"/>
  <cols>
    <col min="1" max="1" width="2.625" style="173" customWidth="1"/>
    <col min="2" max="2" width="12.25" style="173" customWidth="1"/>
    <col min="3" max="3" width="8.875" style="173" customWidth="1"/>
    <col min="4" max="18" width="8.375" style="173" customWidth="1"/>
    <col min="19" max="19" width="18.625" style="670" customWidth="1"/>
    <col min="20" max="20" width="12.125" style="174" customWidth="1"/>
    <col min="21" max="16384" width="9" style="173"/>
  </cols>
  <sheetData>
    <row r="1" spans="1:20" s="637" customFormat="1" ht="17.25" customHeight="1" x14ac:dyDescent="0.1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671"/>
      <c r="M1" s="671"/>
      <c r="N1" s="671"/>
      <c r="O1" s="671"/>
      <c r="P1" s="671"/>
      <c r="Q1" s="671"/>
      <c r="R1" s="656"/>
      <c r="S1" s="656"/>
      <c r="T1" s="671"/>
    </row>
    <row r="2" spans="1:20" s="639" customFormat="1" ht="17.25" customHeight="1" x14ac:dyDescent="0.1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671"/>
      <c r="M2" s="671"/>
      <c r="N2" s="671"/>
      <c r="O2" s="671"/>
      <c r="P2" s="656"/>
      <c r="Q2" s="656"/>
      <c r="R2" s="656"/>
      <c r="S2" s="656"/>
      <c r="T2" s="671"/>
    </row>
    <row r="3" spans="1:20" s="104" customFormat="1" ht="17.25" customHeight="1" x14ac:dyDescent="0.15">
      <c r="A3" s="126"/>
      <c r="B3" s="214" t="s">
        <v>956</v>
      </c>
      <c r="C3" s="762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50" t="s">
        <v>722</v>
      </c>
      <c r="S3" s="150"/>
      <c r="T3" s="140"/>
    </row>
    <row r="4" spans="1:20" s="126" customFormat="1" ht="17.25" customHeight="1" x14ac:dyDescent="0.15">
      <c r="A4" s="641"/>
      <c r="B4" s="642"/>
      <c r="C4" s="643"/>
      <c r="D4" s="212"/>
      <c r="E4" s="212"/>
      <c r="F4" s="212"/>
      <c r="G4" s="212"/>
      <c r="H4" s="212"/>
      <c r="I4" s="212"/>
      <c r="J4" s="212"/>
      <c r="K4" s="211"/>
      <c r="L4" s="210"/>
      <c r="M4" s="209"/>
      <c r="N4" s="209"/>
      <c r="O4" s="209"/>
      <c r="P4" s="209"/>
      <c r="Q4" s="208"/>
      <c r="R4" s="207"/>
      <c r="S4" s="644"/>
      <c r="T4" s="140"/>
    </row>
    <row r="5" spans="1:20" s="126" customFormat="1" ht="17.25" customHeight="1" x14ac:dyDescent="0.15">
      <c r="A5" s="646"/>
      <c r="B5" s="647" t="s">
        <v>528</v>
      </c>
      <c r="C5" s="200" t="s">
        <v>240</v>
      </c>
      <c r="D5" s="195" t="s">
        <v>529</v>
      </c>
      <c r="E5" s="195" t="s">
        <v>530</v>
      </c>
      <c r="F5" s="195" t="s">
        <v>531</v>
      </c>
      <c r="G5" s="195" t="s">
        <v>532</v>
      </c>
      <c r="H5" s="195" t="s">
        <v>533</v>
      </c>
      <c r="I5" s="195" t="s">
        <v>534</v>
      </c>
      <c r="J5" s="205"/>
      <c r="K5" s="204"/>
      <c r="L5" s="197" t="s">
        <v>535</v>
      </c>
      <c r="M5" s="198" t="s">
        <v>536</v>
      </c>
      <c r="N5" s="198" t="s">
        <v>537</v>
      </c>
      <c r="O5" s="198" t="s">
        <v>538</v>
      </c>
      <c r="P5" s="203" t="s">
        <v>539</v>
      </c>
      <c r="Q5" s="202"/>
      <c r="R5" s="201"/>
      <c r="S5" s="195" t="s">
        <v>239</v>
      </c>
      <c r="T5" s="140"/>
    </row>
    <row r="6" spans="1:20" s="126" customFormat="1" ht="17.25" customHeight="1" x14ac:dyDescent="0.15">
      <c r="A6" s="646"/>
      <c r="B6" s="647"/>
      <c r="C6" s="200"/>
      <c r="D6" s="195" t="s">
        <v>237</v>
      </c>
      <c r="E6" s="195" t="s">
        <v>237</v>
      </c>
      <c r="F6" s="195" t="s">
        <v>238</v>
      </c>
      <c r="G6" s="195"/>
      <c r="H6" s="195"/>
      <c r="I6" s="195" t="s">
        <v>237</v>
      </c>
      <c r="J6" s="195" t="s">
        <v>236</v>
      </c>
      <c r="K6" s="199" t="s">
        <v>235</v>
      </c>
      <c r="L6" s="197"/>
      <c r="M6" s="198"/>
      <c r="N6" s="198"/>
      <c r="O6" s="198"/>
      <c r="P6" s="198"/>
      <c r="Q6" s="198" t="s">
        <v>540</v>
      </c>
      <c r="R6" s="197" t="s">
        <v>541</v>
      </c>
      <c r="S6" s="195"/>
      <c r="T6" s="140"/>
    </row>
    <row r="7" spans="1:20" s="126" customFormat="1" ht="34.5" customHeight="1" x14ac:dyDescent="0.15">
      <c r="A7" s="646"/>
      <c r="B7" s="648"/>
      <c r="C7" s="194" t="s">
        <v>947</v>
      </c>
      <c r="D7" s="194" t="s">
        <v>234</v>
      </c>
      <c r="E7" s="194" t="s">
        <v>550</v>
      </c>
      <c r="F7" s="194" t="s">
        <v>551</v>
      </c>
      <c r="G7" s="194" t="s">
        <v>233</v>
      </c>
      <c r="H7" s="194" t="s">
        <v>542</v>
      </c>
      <c r="I7" s="194" t="s">
        <v>948</v>
      </c>
      <c r="J7" s="194" t="s">
        <v>552</v>
      </c>
      <c r="K7" s="193" t="s">
        <v>553</v>
      </c>
      <c r="L7" s="192" t="s">
        <v>242</v>
      </c>
      <c r="M7" s="192" t="s">
        <v>232</v>
      </c>
      <c r="N7" s="192" t="s">
        <v>231</v>
      </c>
      <c r="O7" s="191" t="s">
        <v>230</v>
      </c>
      <c r="P7" s="729" t="s">
        <v>554</v>
      </c>
      <c r="Q7" s="190"/>
      <c r="R7" s="190"/>
      <c r="S7" s="649"/>
      <c r="T7" s="140"/>
    </row>
    <row r="8" spans="1:20" s="126" customFormat="1" ht="15.2" customHeight="1" x14ac:dyDescent="0.15">
      <c r="A8" s="650"/>
      <c r="B8" s="642"/>
      <c r="C8" s="219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803"/>
      <c r="S8" s="653"/>
      <c r="T8" s="169"/>
    </row>
    <row r="9" spans="1:20" s="126" customFormat="1" ht="15.2" customHeight="1" x14ac:dyDescent="0.15">
      <c r="A9" s="650"/>
      <c r="B9" s="654" t="s">
        <v>229</v>
      </c>
      <c r="C9" s="185">
        <v>7574603</v>
      </c>
      <c r="D9" s="184">
        <v>1568093</v>
      </c>
      <c r="E9" s="184">
        <v>1342405</v>
      </c>
      <c r="F9" s="184">
        <v>736627</v>
      </c>
      <c r="G9" s="184">
        <v>1137694</v>
      </c>
      <c r="H9" s="184">
        <v>1188467</v>
      </c>
      <c r="I9" s="184">
        <v>1601317</v>
      </c>
      <c r="J9" s="184">
        <v>645851</v>
      </c>
      <c r="K9" s="184">
        <v>955466</v>
      </c>
      <c r="L9" s="184">
        <v>445765</v>
      </c>
      <c r="M9" s="184">
        <v>197149</v>
      </c>
      <c r="N9" s="184">
        <v>9322</v>
      </c>
      <c r="O9" s="184">
        <v>14424</v>
      </c>
      <c r="P9" s="184">
        <v>1571974</v>
      </c>
      <c r="Q9" s="184">
        <v>944894</v>
      </c>
      <c r="R9" s="183">
        <v>627080</v>
      </c>
      <c r="S9" s="655" t="s">
        <v>228</v>
      </c>
      <c r="T9" s="650"/>
    </row>
    <row r="10" spans="1:20" s="126" customFormat="1" ht="15.2" customHeight="1" x14ac:dyDescent="0.15">
      <c r="A10" s="650"/>
      <c r="B10" s="642" t="s">
        <v>227</v>
      </c>
      <c r="C10" s="182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7"/>
      <c r="Q10" s="187"/>
      <c r="R10" s="186"/>
      <c r="S10" s="657"/>
      <c r="T10" s="650"/>
    </row>
    <row r="11" spans="1:20" s="126" customFormat="1" ht="15.2" customHeight="1" x14ac:dyDescent="0.15">
      <c r="A11" s="650"/>
      <c r="B11" s="658" t="s">
        <v>555</v>
      </c>
      <c r="C11" s="182">
        <v>4100564</v>
      </c>
      <c r="D11" s="181">
        <v>731112</v>
      </c>
      <c r="E11" s="189">
        <v>979865</v>
      </c>
      <c r="F11" s="189">
        <v>438655</v>
      </c>
      <c r="G11" s="189">
        <v>443957</v>
      </c>
      <c r="H11" s="189">
        <v>571374</v>
      </c>
      <c r="I11" s="181">
        <v>935601</v>
      </c>
      <c r="J11" s="189">
        <v>247704</v>
      </c>
      <c r="K11" s="189">
        <v>687897</v>
      </c>
      <c r="L11" s="189">
        <v>162812</v>
      </c>
      <c r="M11" s="189">
        <v>138550</v>
      </c>
      <c r="N11" s="189" t="s">
        <v>599</v>
      </c>
      <c r="O11" s="189">
        <v>3710</v>
      </c>
      <c r="P11" s="181">
        <v>199965</v>
      </c>
      <c r="Q11" s="181">
        <v>72552</v>
      </c>
      <c r="R11" s="180">
        <v>127413</v>
      </c>
      <c r="S11" s="653" t="s">
        <v>211</v>
      </c>
      <c r="T11" s="650"/>
    </row>
    <row r="12" spans="1:20" s="126" customFormat="1" ht="15.2" customHeight="1" x14ac:dyDescent="0.15">
      <c r="A12" s="650"/>
      <c r="B12" s="658"/>
      <c r="C12" s="182"/>
      <c r="D12" s="181"/>
      <c r="E12" s="189"/>
      <c r="F12" s="189"/>
      <c r="G12" s="189"/>
      <c r="H12" s="189"/>
      <c r="I12" s="181"/>
      <c r="J12" s="189"/>
      <c r="K12" s="189"/>
      <c r="L12" s="189"/>
      <c r="M12" s="189"/>
      <c r="N12" s="189"/>
      <c r="O12" s="189"/>
      <c r="P12" s="189"/>
      <c r="Q12" s="189"/>
      <c r="R12" s="188"/>
      <c r="S12" s="653"/>
      <c r="T12" s="650"/>
    </row>
    <row r="13" spans="1:20" s="126" customFormat="1" ht="21" customHeight="1" x14ac:dyDescent="0.15">
      <c r="A13" s="650"/>
      <c r="B13" s="658" t="s">
        <v>949</v>
      </c>
      <c r="C13" s="182">
        <v>3474039</v>
      </c>
      <c r="D13" s="181">
        <v>836981</v>
      </c>
      <c r="E13" s="181">
        <v>362540</v>
      </c>
      <c r="F13" s="181">
        <v>297972</v>
      </c>
      <c r="G13" s="181">
        <v>693737</v>
      </c>
      <c r="H13" s="181">
        <v>617093</v>
      </c>
      <c r="I13" s="181">
        <v>665716</v>
      </c>
      <c r="J13" s="181">
        <v>398147</v>
      </c>
      <c r="K13" s="181">
        <v>267569</v>
      </c>
      <c r="L13" s="181">
        <v>282953</v>
      </c>
      <c r="M13" s="181">
        <v>58599</v>
      </c>
      <c r="N13" s="181">
        <v>9322</v>
      </c>
      <c r="O13" s="181">
        <v>10714</v>
      </c>
      <c r="P13" s="189">
        <v>1372009</v>
      </c>
      <c r="Q13" s="189">
        <v>872342</v>
      </c>
      <c r="R13" s="188">
        <v>499667</v>
      </c>
      <c r="S13" s="653" t="s">
        <v>215</v>
      </c>
      <c r="T13" s="650"/>
    </row>
    <row r="14" spans="1:20" s="126" customFormat="1" ht="15.2" customHeight="1" x14ac:dyDescent="0.15">
      <c r="A14" s="650"/>
      <c r="B14" s="642" t="s">
        <v>227</v>
      </c>
      <c r="C14" s="182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7"/>
      <c r="Q14" s="187"/>
      <c r="R14" s="186"/>
      <c r="S14" s="657"/>
      <c r="T14" s="650"/>
    </row>
    <row r="15" spans="1:20" s="126" customFormat="1" ht="15.2" customHeight="1" x14ac:dyDescent="0.15">
      <c r="A15" s="650"/>
      <c r="B15" s="659" t="s">
        <v>226</v>
      </c>
      <c r="C15" s="185">
        <v>184764723</v>
      </c>
      <c r="D15" s="184">
        <v>49192243</v>
      </c>
      <c r="E15" s="184">
        <v>40028436</v>
      </c>
      <c r="F15" s="184">
        <v>11305031</v>
      </c>
      <c r="G15" s="184">
        <v>13844072</v>
      </c>
      <c r="H15" s="184">
        <v>39778943</v>
      </c>
      <c r="I15" s="184">
        <v>30615998</v>
      </c>
      <c r="J15" s="184">
        <v>10780980</v>
      </c>
      <c r="K15" s="184">
        <v>19835018</v>
      </c>
      <c r="L15" s="184">
        <v>2782656</v>
      </c>
      <c r="M15" s="184">
        <v>2280287</v>
      </c>
      <c r="N15" s="184">
        <v>67100</v>
      </c>
      <c r="O15" s="184">
        <v>71099</v>
      </c>
      <c r="P15" s="184">
        <v>14089536</v>
      </c>
      <c r="Q15" s="184">
        <v>10915464</v>
      </c>
      <c r="R15" s="183">
        <v>3174072</v>
      </c>
      <c r="S15" s="660" t="s">
        <v>556</v>
      </c>
      <c r="T15" s="650"/>
    </row>
    <row r="16" spans="1:20" s="126" customFormat="1" ht="15.2" customHeight="1" x14ac:dyDescent="0.15">
      <c r="A16" s="650"/>
      <c r="B16" s="642"/>
      <c r="C16" s="182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7"/>
      <c r="Q16" s="187"/>
      <c r="R16" s="186"/>
      <c r="S16" s="653"/>
      <c r="T16" s="650"/>
    </row>
    <row r="17" spans="1:20" s="126" customFormat="1" ht="15.2" customHeight="1" x14ac:dyDescent="0.15">
      <c r="A17" s="650"/>
      <c r="B17" s="658" t="s">
        <v>950</v>
      </c>
      <c r="C17" s="182">
        <v>150129089</v>
      </c>
      <c r="D17" s="181">
        <v>46400294</v>
      </c>
      <c r="E17" s="181">
        <v>14160936</v>
      </c>
      <c r="F17" s="181">
        <v>10972634</v>
      </c>
      <c r="G17" s="181">
        <v>11532621</v>
      </c>
      <c r="H17" s="181">
        <v>39003928</v>
      </c>
      <c r="I17" s="181">
        <v>28058676</v>
      </c>
      <c r="J17" s="181">
        <v>10440594</v>
      </c>
      <c r="K17" s="181">
        <v>17618082</v>
      </c>
      <c r="L17" s="181">
        <v>2597144</v>
      </c>
      <c r="M17" s="181">
        <v>2249635</v>
      </c>
      <c r="N17" s="303">
        <v>56441</v>
      </c>
      <c r="O17" s="181">
        <v>56756</v>
      </c>
      <c r="P17" s="181">
        <v>2937331</v>
      </c>
      <c r="Q17" s="181">
        <v>1674915</v>
      </c>
      <c r="R17" s="180">
        <v>1262416</v>
      </c>
      <c r="S17" s="653" t="s">
        <v>225</v>
      </c>
      <c r="T17" s="650"/>
    </row>
    <row r="18" spans="1:20" s="126" customFormat="1" ht="15.2" customHeight="1" x14ac:dyDescent="0.15">
      <c r="A18" s="650"/>
      <c r="B18" s="658"/>
      <c r="C18" s="182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0"/>
      <c r="S18" s="653"/>
      <c r="T18" s="650"/>
    </row>
    <row r="19" spans="1:20" s="126" customFormat="1" ht="15.2" customHeight="1" x14ac:dyDescent="0.15">
      <c r="A19" s="650"/>
      <c r="B19" s="658" t="s">
        <v>557</v>
      </c>
      <c r="C19" s="182">
        <v>32863248</v>
      </c>
      <c r="D19" s="181">
        <v>2361452</v>
      </c>
      <c r="E19" s="181">
        <v>25867500</v>
      </c>
      <c r="F19" s="181">
        <v>118131</v>
      </c>
      <c r="G19" s="181">
        <v>2001761</v>
      </c>
      <c r="H19" s="181">
        <v>490277</v>
      </c>
      <c r="I19" s="181">
        <v>2024127</v>
      </c>
      <c r="J19" s="181" t="s">
        <v>599</v>
      </c>
      <c r="K19" s="181">
        <v>2024127</v>
      </c>
      <c r="L19" s="181">
        <v>184058</v>
      </c>
      <c r="M19" s="181">
        <v>16726</v>
      </c>
      <c r="N19" s="181">
        <v>2091</v>
      </c>
      <c r="O19" s="181">
        <v>14193</v>
      </c>
      <c r="P19" s="181">
        <v>10916074</v>
      </c>
      <c r="Q19" s="181">
        <v>9093721</v>
      </c>
      <c r="R19" s="180">
        <v>1822353</v>
      </c>
      <c r="S19" s="661" t="s">
        <v>224</v>
      </c>
      <c r="T19" s="650"/>
    </row>
    <row r="20" spans="1:20" s="126" customFormat="1" ht="15.2" customHeight="1" x14ac:dyDescent="0.15">
      <c r="A20" s="650"/>
      <c r="B20" s="658"/>
      <c r="C20" s="182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7"/>
      <c r="Q20" s="187"/>
      <c r="R20" s="186"/>
      <c r="S20" s="661"/>
      <c r="T20" s="650"/>
    </row>
    <row r="21" spans="1:20" s="126" customFormat="1" ht="30.75" customHeight="1" x14ac:dyDescent="0.15">
      <c r="A21" s="650"/>
      <c r="B21" s="658" t="s">
        <v>951</v>
      </c>
      <c r="C21" s="182">
        <v>244486</v>
      </c>
      <c r="D21" s="181">
        <v>19723</v>
      </c>
      <c r="E21" s="181" t="s">
        <v>599</v>
      </c>
      <c r="F21" s="181" t="s">
        <v>599</v>
      </c>
      <c r="G21" s="181">
        <v>99578</v>
      </c>
      <c r="H21" s="181">
        <v>63424</v>
      </c>
      <c r="I21" s="181">
        <v>61761</v>
      </c>
      <c r="J21" s="181">
        <v>60131</v>
      </c>
      <c r="K21" s="181">
        <v>1630</v>
      </c>
      <c r="L21" s="181" t="s">
        <v>599</v>
      </c>
      <c r="M21" s="181" t="s">
        <v>599</v>
      </c>
      <c r="N21" s="181">
        <v>8568</v>
      </c>
      <c r="O21" s="181" t="s">
        <v>599</v>
      </c>
      <c r="P21" s="181">
        <v>35119</v>
      </c>
      <c r="Q21" s="181" t="s">
        <v>599</v>
      </c>
      <c r="R21" s="180">
        <v>35119</v>
      </c>
      <c r="S21" s="661" t="s">
        <v>544</v>
      </c>
      <c r="T21" s="650"/>
    </row>
    <row r="22" spans="1:20" s="126" customFormat="1" ht="15.2" customHeight="1" x14ac:dyDescent="0.15">
      <c r="A22" s="650"/>
      <c r="B22" s="658"/>
      <c r="C22" s="182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7"/>
      <c r="Q22" s="187"/>
      <c r="R22" s="186"/>
      <c r="S22" s="661"/>
      <c r="T22" s="650"/>
    </row>
    <row r="23" spans="1:20" s="126" customFormat="1" ht="23.25" customHeight="1" x14ac:dyDescent="0.15">
      <c r="A23" s="650"/>
      <c r="B23" s="658" t="s">
        <v>957</v>
      </c>
      <c r="C23" s="182" t="s">
        <v>599</v>
      </c>
      <c r="D23" s="181" t="s">
        <v>599</v>
      </c>
      <c r="E23" s="181" t="s">
        <v>599</v>
      </c>
      <c r="F23" s="181" t="s">
        <v>599</v>
      </c>
      <c r="G23" s="181" t="s">
        <v>599</v>
      </c>
      <c r="H23" s="181" t="s">
        <v>599</v>
      </c>
      <c r="I23" s="181" t="s">
        <v>599</v>
      </c>
      <c r="J23" s="181" t="s">
        <v>599</v>
      </c>
      <c r="K23" s="181" t="s">
        <v>599</v>
      </c>
      <c r="L23" s="181" t="s">
        <v>599</v>
      </c>
      <c r="M23" s="181" t="s">
        <v>599</v>
      </c>
      <c r="N23" s="181" t="s">
        <v>599</v>
      </c>
      <c r="O23" s="181" t="s">
        <v>599</v>
      </c>
      <c r="P23" s="181" t="s">
        <v>599</v>
      </c>
      <c r="Q23" s="181" t="s">
        <v>599</v>
      </c>
      <c r="R23" s="180" t="s">
        <v>599</v>
      </c>
      <c r="S23" s="661" t="s">
        <v>545</v>
      </c>
      <c r="T23" s="650"/>
    </row>
    <row r="24" spans="1:20" s="126" customFormat="1" ht="15.2" customHeight="1" x14ac:dyDescent="0.15">
      <c r="A24" s="650"/>
      <c r="B24" s="658"/>
      <c r="C24" s="182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7"/>
      <c r="Q24" s="187"/>
      <c r="R24" s="186"/>
      <c r="S24" s="661"/>
      <c r="T24" s="650"/>
    </row>
    <row r="25" spans="1:20" s="126" customFormat="1" ht="15.2" customHeight="1" x14ac:dyDescent="0.15">
      <c r="A25" s="650"/>
      <c r="B25" s="662" t="s">
        <v>546</v>
      </c>
      <c r="C25" s="182">
        <v>1527900</v>
      </c>
      <c r="D25" s="181">
        <v>410774</v>
      </c>
      <c r="E25" s="181" t="s">
        <v>599</v>
      </c>
      <c r="F25" s="181">
        <v>214266</v>
      </c>
      <c r="G25" s="181">
        <v>210112</v>
      </c>
      <c r="H25" s="181">
        <v>221314</v>
      </c>
      <c r="I25" s="181">
        <v>471434</v>
      </c>
      <c r="J25" s="181">
        <v>280255</v>
      </c>
      <c r="K25" s="181">
        <v>191179</v>
      </c>
      <c r="L25" s="181">
        <v>1454</v>
      </c>
      <c r="M25" s="181">
        <v>13926</v>
      </c>
      <c r="N25" s="181" t="s">
        <v>599</v>
      </c>
      <c r="O25" s="181">
        <v>150</v>
      </c>
      <c r="P25" s="181">
        <v>201012</v>
      </c>
      <c r="Q25" s="181">
        <v>146828</v>
      </c>
      <c r="R25" s="180">
        <v>54184</v>
      </c>
      <c r="S25" s="661" t="s">
        <v>223</v>
      </c>
      <c r="T25" s="650"/>
    </row>
    <row r="26" spans="1:20" s="126" customFormat="1" ht="15.2" customHeight="1" x14ac:dyDescent="0.15">
      <c r="A26" s="650"/>
      <c r="B26" s="663"/>
      <c r="C26" s="182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7"/>
      <c r="Q26" s="187"/>
      <c r="R26" s="186"/>
      <c r="S26" s="661"/>
      <c r="T26" s="650"/>
    </row>
    <row r="27" spans="1:20" s="126" customFormat="1" ht="15.2" customHeight="1" x14ac:dyDescent="0.15">
      <c r="A27" s="650"/>
      <c r="B27" s="659" t="s">
        <v>222</v>
      </c>
      <c r="C27" s="185">
        <v>184448473</v>
      </c>
      <c r="D27" s="184">
        <v>49164577</v>
      </c>
      <c r="E27" s="184">
        <v>39962631</v>
      </c>
      <c r="F27" s="184">
        <v>11408523</v>
      </c>
      <c r="G27" s="184">
        <v>13708571</v>
      </c>
      <c r="H27" s="184">
        <v>39805776</v>
      </c>
      <c r="I27" s="184">
        <v>30398395</v>
      </c>
      <c r="J27" s="184">
        <v>10727974</v>
      </c>
      <c r="K27" s="184">
        <v>19670421</v>
      </c>
      <c r="L27" s="184">
        <v>2735469</v>
      </c>
      <c r="M27" s="184">
        <v>2258785</v>
      </c>
      <c r="N27" s="184">
        <v>66724</v>
      </c>
      <c r="O27" s="184">
        <v>70881</v>
      </c>
      <c r="P27" s="184">
        <v>13924870</v>
      </c>
      <c r="Q27" s="184">
        <v>10696045</v>
      </c>
      <c r="R27" s="183">
        <v>3228825</v>
      </c>
      <c r="S27" s="655" t="s">
        <v>558</v>
      </c>
      <c r="T27" s="650"/>
    </row>
    <row r="28" spans="1:20" s="126" customFormat="1" ht="15.2" customHeight="1" x14ac:dyDescent="0.15">
      <c r="A28" s="650"/>
      <c r="B28" s="642"/>
      <c r="C28" s="182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7"/>
      <c r="Q28" s="187"/>
      <c r="R28" s="186"/>
      <c r="S28" s="661"/>
      <c r="T28" s="650"/>
    </row>
    <row r="29" spans="1:20" s="126" customFormat="1" ht="15.2" customHeight="1" x14ac:dyDescent="0.15">
      <c r="A29" s="169"/>
      <c r="B29" s="658" t="s">
        <v>221</v>
      </c>
      <c r="C29" s="182">
        <v>150824842</v>
      </c>
      <c r="D29" s="181">
        <v>44774484</v>
      </c>
      <c r="E29" s="181">
        <v>38232113</v>
      </c>
      <c r="F29" s="181">
        <v>4027425</v>
      </c>
      <c r="G29" s="181">
        <v>12249240</v>
      </c>
      <c r="H29" s="181">
        <v>31664668</v>
      </c>
      <c r="I29" s="181">
        <v>19876912</v>
      </c>
      <c r="J29" s="181">
        <v>10420716</v>
      </c>
      <c r="K29" s="181">
        <v>9456196</v>
      </c>
      <c r="L29" s="181">
        <v>1811340</v>
      </c>
      <c r="M29" s="181">
        <v>1658037</v>
      </c>
      <c r="N29" s="181">
        <v>47832</v>
      </c>
      <c r="O29" s="181">
        <v>39008</v>
      </c>
      <c r="P29" s="181">
        <v>12744636</v>
      </c>
      <c r="Q29" s="181">
        <v>10296441</v>
      </c>
      <c r="R29" s="180">
        <v>2448195</v>
      </c>
      <c r="S29" s="661" t="s">
        <v>220</v>
      </c>
      <c r="T29" s="169"/>
    </row>
    <row r="30" spans="1:20" s="126" customFormat="1" ht="15.2" customHeight="1" x14ac:dyDescent="0.15">
      <c r="A30" s="169"/>
      <c r="B30" s="658"/>
      <c r="C30" s="182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0"/>
      <c r="S30" s="661"/>
      <c r="T30" s="169"/>
    </row>
    <row r="31" spans="1:20" s="126" customFormat="1" ht="15.2" customHeight="1" x14ac:dyDescent="0.15">
      <c r="A31" s="650"/>
      <c r="B31" s="658" t="s">
        <v>559</v>
      </c>
      <c r="C31" s="182">
        <v>29347208</v>
      </c>
      <c r="D31" s="181">
        <v>4360883</v>
      </c>
      <c r="E31" s="181" t="s">
        <v>599</v>
      </c>
      <c r="F31" s="181">
        <v>7234623</v>
      </c>
      <c r="G31" s="181">
        <v>1122791</v>
      </c>
      <c r="H31" s="181">
        <v>7995993</v>
      </c>
      <c r="I31" s="181">
        <v>8632918</v>
      </c>
      <c r="J31" s="181">
        <v>173141</v>
      </c>
      <c r="K31" s="181">
        <v>8459777</v>
      </c>
      <c r="L31" s="181">
        <v>765879</v>
      </c>
      <c r="M31" s="181">
        <v>11421</v>
      </c>
      <c r="N31" s="181">
        <v>683</v>
      </c>
      <c r="O31" s="181">
        <v>31107</v>
      </c>
      <c r="P31" s="181">
        <v>249331</v>
      </c>
      <c r="Q31" s="181">
        <v>241818</v>
      </c>
      <c r="R31" s="180">
        <v>7513</v>
      </c>
      <c r="S31" s="661" t="s">
        <v>219</v>
      </c>
      <c r="T31" s="650"/>
    </row>
    <row r="32" spans="1:20" s="126" customFormat="1" ht="15.2" customHeight="1" x14ac:dyDescent="0.15">
      <c r="A32" s="650"/>
      <c r="B32" s="658"/>
      <c r="C32" s="182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0"/>
      <c r="S32" s="661"/>
      <c r="T32" s="650"/>
    </row>
    <row r="33" spans="1:20" s="126" customFormat="1" ht="32.25" customHeight="1" x14ac:dyDescent="0.15">
      <c r="A33" s="650"/>
      <c r="B33" s="658" t="s">
        <v>953</v>
      </c>
      <c r="C33" s="182">
        <v>1520482</v>
      </c>
      <c r="D33" s="181">
        <v>1296</v>
      </c>
      <c r="E33" s="181">
        <v>1019430</v>
      </c>
      <c r="F33" s="181">
        <v>95616</v>
      </c>
      <c r="G33" s="181">
        <v>184587</v>
      </c>
      <c r="H33" s="181">
        <v>99295</v>
      </c>
      <c r="I33" s="181">
        <v>120258</v>
      </c>
      <c r="J33" s="181" t="s">
        <v>599</v>
      </c>
      <c r="K33" s="181">
        <v>120258</v>
      </c>
      <c r="L33" s="181">
        <v>8294</v>
      </c>
      <c r="M33" s="181">
        <v>21458</v>
      </c>
      <c r="N33" s="181" t="s">
        <v>599</v>
      </c>
      <c r="O33" s="181" t="s">
        <v>599</v>
      </c>
      <c r="P33" s="181">
        <v>594782</v>
      </c>
      <c r="Q33" s="181">
        <v>56376</v>
      </c>
      <c r="R33" s="180">
        <v>538406</v>
      </c>
      <c r="S33" s="661" t="s">
        <v>547</v>
      </c>
      <c r="T33" s="650"/>
    </row>
    <row r="34" spans="1:20" s="126" customFormat="1" ht="15.2" customHeight="1" x14ac:dyDescent="0.15">
      <c r="A34" s="650"/>
      <c r="B34" s="658"/>
      <c r="C34" s="182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0"/>
      <c r="S34" s="661"/>
      <c r="T34" s="650"/>
    </row>
    <row r="35" spans="1:20" s="126" customFormat="1" ht="15.2" customHeight="1" x14ac:dyDescent="0.15">
      <c r="A35" s="650"/>
      <c r="B35" s="658" t="s">
        <v>560</v>
      </c>
      <c r="C35" s="182">
        <v>1734303</v>
      </c>
      <c r="D35" s="181">
        <v>409</v>
      </c>
      <c r="E35" s="181">
        <v>40325</v>
      </c>
      <c r="F35" s="181" t="s">
        <v>599</v>
      </c>
      <c r="G35" s="181">
        <v>68793</v>
      </c>
      <c r="H35" s="181">
        <v>1236</v>
      </c>
      <c r="I35" s="181">
        <v>1623540</v>
      </c>
      <c r="J35" s="181">
        <v>134117</v>
      </c>
      <c r="K35" s="181">
        <v>1489423</v>
      </c>
      <c r="L35" s="181">
        <v>54761</v>
      </c>
      <c r="M35" s="181">
        <v>554098</v>
      </c>
      <c r="N35" s="181">
        <v>1</v>
      </c>
      <c r="O35" s="181" t="s">
        <v>599</v>
      </c>
      <c r="P35" s="181">
        <v>200631</v>
      </c>
      <c r="Q35" s="181">
        <v>15647</v>
      </c>
      <c r="R35" s="180">
        <v>184984</v>
      </c>
      <c r="S35" s="661" t="s">
        <v>218</v>
      </c>
      <c r="T35" s="650"/>
    </row>
    <row r="36" spans="1:20" s="126" customFormat="1" ht="15.2" customHeight="1" x14ac:dyDescent="0.15">
      <c r="A36" s="650"/>
      <c r="B36" s="658"/>
      <c r="C36" s="182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0"/>
      <c r="S36" s="661"/>
      <c r="T36" s="650"/>
    </row>
    <row r="37" spans="1:20" s="126" customFormat="1" ht="15.2" customHeight="1" x14ac:dyDescent="0.15">
      <c r="A37" s="650"/>
      <c r="B37" s="662" t="s">
        <v>561</v>
      </c>
      <c r="C37" s="182">
        <v>1021638</v>
      </c>
      <c r="D37" s="181">
        <v>27505</v>
      </c>
      <c r="E37" s="181">
        <v>670763</v>
      </c>
      <c r="F37" s="181">
        <v>50859</v>
      </c>
      <c r="G37" s="181">
        <v>83160</v>
      </c>
      <c r="H37" s="181">
        <v>44584</v>
      </c>
      <c r="I37" s="181">
        <v>144767</v>
      </c>
      <c r="J37" s="181" t="s">
        <v>599</v>
      </c>
      <c r="K37" s="181">
        <v>144767</v>
      </c>
      <c r="L37" s="181">
        <v>95195</v>
      </c>
      <c r="M37" s="181">
        <v>13771</v>
      </c>
      <c r="N37" s="181">
        <v>18208</v>
      </c>
      <c r="O37" s="181">
        <v>766</v>
      </c>
      <c r="P37" s="181">
        <v>135490</v>
      </c>
      <c r="Q37" s="181">
        <v>85763</v>
      </c>
      <c r="R37" s="180">
        <v>49727</v>
      </c>
      <c r="S37" s="661" t="s">
        <v>217</v>
      </c>
      <c r="T37" s="650"/>
    </row>
    <row r="38" spans="1:20" s="126" customFormat="1" ht="15.2" customHeight="1" x14ac:dyDescent="0.15">
      <c r="A38" s="650"/>
      <c r="B38" s="642"/>
      <c r="C38" s="182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0"/>
      <c r="S38" s="661"/>
      <c r="T38" s="650"/>
    </row>
    <row r="39" spans="1:20" s="126" customFormat="1" ht="15.2" customHeight="1" x14ac:dyDescent="0.15">
      <c r="A39" s="650"/>
      <c r="B39" s="659" t="s">
        <v>216</v>
      </c>
      <c r="C39" s="185">
        <v>7890853</v>
      </c>
      <c r="D39" s="184">
        <v>1595759</v>
      </c>
      <c r="E39" s="184">
        <v>1408210</v>
      </c>
      <c r="F39" s="184">
        <v>633135</v>
      </c>
      <c r="G39" s="184">
        <v>1273195</v>
      </c>
      <c r="H39" s="184">
        <v>1161634</v>
      </c>
      <c r="I39" s="184">
        <v>1818920</v>
      </c>
      <c r="J39" s="184">
        <v>698857</v>
      </c>
      <c r="K39" s="184">
        <v>1120063</v>
      </c>
      <c r="L39" s="184">
        <v>492952</v>
      </c>
      <c r="M39" s="184">
        <v>218651</v>
      </c>
      <c r="N39" s="184">
        <v>9698</v>
      </c>
      <c r="O39" s="184">
        <v>14642</v>
      </c>
      <c r="P39" s="184">
        <v>1736640</v>
      </c>
      <c r="Q39" s="184">
        <v>1164313</v>
      </c>
      <c r="R39" s="183">
        <v>572327</v>
      </c>
      <c r="S39" s="655" t="s">
        <v>562</v>
      </c>
      <c r="T39" s="650"/>
    </row>
    <row r="40" spans="1:20" s="126" customFormat="1" ht="15.2" customHeight="1" x14ac:dyDescent="0.15">
      <c r="A40" s="650"/>
      <c r="B40" s="642"/>
      <c r="C40" s="182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0"/>
      <c r="S40" s="661"/>
      <c r="T40" s="650"/>
    </row>
    <row r="41" spans="1:20" s="126" customFormat="1" ht="15.2" customHeight="1" x14ac:dyDescent="0.15">
      <c r="A41" s="650"/>
      <c r="B41" s="658" t="s">
        <v>555</v>
      </c>
      <c r="C41" s="182">
        <v>4404496</v>
      </c>
      <c r="D41" s="181">
        <v>833568</v>
      </c>
      <c r="E41" s="181">
        <v>1114374</v>
      </c>
      <c r="F41" s="181">
        <v>348322</v>
      </c>
      <c r="G41" s="181">
        <v>562872</v>
      </c>
      <c r="H41" s="181">
        <v>540871</v>
      </c>
      <c r="I41" s="181">
        <v>1004489</v>
      </c>
      <c r="J41" s="181">
        <v>292857</v>
      </c>
      <c r="K41" s="181">
        <v>711632</v>
      </c>
      <c r="L41" s="181">
        <v>176856</v>
      </c>
      <c r="M41" s="181">
        <v>168766</v>
      </c>
      <c r="N41" s="181" t="s">
        <v>599</v>
      </c>
      <c r="O41" s="181">
        <v>5284</v>
      </c>
      <c r="P41" s="181">
        <v>213947</v>
      </c>
      <c r="Q41" s="181">
        <v>79762</v>
      </c>
      <c r="R41" s="180">
        <v>134185</v>
      </c>
      <c r="S41" s="653" t="s">
        <v>211</v>
      </c>
      <c r="T41" s="650"/>
    </row>
    <row r="42" spans="1:20" s="126" customFormat="1" ht="15.2" customHeight="1" x14ac:dyDescent="0.15">
      <c r="A42" s="650"/>
      <c r="B42" s="658"/>
      <c r="C42" s="182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0"/>
      <c r="S42" s="653"/>
      <c r="T42" s="650"/>
    </row>
    <row r="43" spans="1:20" s="126" customFormat="1" ht="21" customHeight="1" x14ac:dyDescent="0.15">
      <c r="A43" s="650"/>
      <c r="B43" s="658" t="s">
        <v>949</v>
      </c>
      <c r="C43" s="217">
        <v>3486357</v>
      </c>
      <c r="D43" s="216">
        <v>762191</v>
      </c>
      <c r="E43" s="215">
        <v>293836</v>
      </c>
      <c r="F43" s="216">
        <v>284813</v>
      </c>
      <c r="G43" s="216">
        <v>710323</v>
      </c>
      <c r="H43" s="216">
        <v>620763</v>
      </c>
      <c r="I43" s="215">
        <v>814431</v>
      </c>
      <c r="J43" s="215">
        <v>406000</v>
      </c>
      <c r="K43" s="216">
        <v>408431</v>
      </c>
      <c r="L43" s="215">
        <v>316096</v>
      </c>
      <c r="M43" s="215">
        <v>49885</v>
      </c>
      <c r="N43" s="215">
        <v>9698</v>
      </c>
      <c r="O43" s="215">
        <v>9358</v>
      </c>
      <c r="P43" s="215">
        <v>1522693</v>
      </c>
      <c r="Q43" s="215">
        <v>1084551</v>
      </c>
      <c r="R43" s="804">
        <v>438142</v>
      </c>
      <c r="S43" s="653" t="s">
        <v>215</v>
      </c>
      <c r="T43" s="650"/>
    </row>
    <row r="44" spans="1:20" s="126" customFormat="1" ht="15.2" customHeight="1" x14ac:dyDescent="0.15">
      <c r="A44" s="650"/>
      <c r="B44" s="664"/>
      <c r="C44" s="179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665"/>
      <c r="T44" s="169"/>
    </row>
    <row r="45" spans="1:20" s="175" customFormat="1" ht="15.2" customHeight="1" x14ac:dyDescent="0.15">
      <c r="A45" s="666"/>
      <c r="B45" s="176" t="s">
        <v>214</v>
      </c>
      <c r="C45" s="667"/>
      <c r="D45" s="667"/>
      <c r="E45" s="667"/>
      <c r="F45" s="667"/>
      <c r="G45" s="667"/>
      <c r="H45" s="667"/>
      <c r="I45" s="667"/>
      <c r="K45" s="176"/>
      <c r="L45" s="176" t="s">
        <v>548</v>
      </c>
      <c r="M45" s="667"/>
      <c r="N45" s="176"/>
      <c r="O45" s="667"/>
      <c r="P45" s="667"/>
      <c r="Q45" s="667"/>
      <c r="R45" s="667"/>
      <c r="S45" s="667"/>
      <c r="T45" s="668"/>
    </row>
    <row r="46" spans="1:20" s="175" customFormat="1" ht="15.2" customHeight="1" x14ac:dyDescent="0.15">
      <c r="A46" s="666"/>
      <c r="B46" s="175" t="s">
        <v>563</v>
      </c>
      <c r="C46" s="667"/>
      <c r="D46" s="667"/>
      <c r="E46" s="667"/>
      <c r="F46" s="666"/>
      <c r="K46" s="176"/>
      <c r="L46" s="176" t="s">
        <v>549</v>
      </c>
      <c r="M46" s="667"/>
      <c r="N46" s="667"/>
      <c r="O46" s="667"/>
      <c r="P46" s="667"/>
      <c r="Q46" s="667"/>
      <c r="R46" s="667"/>
      <c r="S46" s="667"/>
      <c r="T46" s="668"/>
    </row>
    <row r="47" spans="1:20" s="175" customFormat="1" ht="15.2" customHeight="1" x14ac:dyDescent="0.15">
      <c r="A47" s="666"/>
      <c r="B47" s="175" t="s">
        <v>564</v>
      </c>
      <c r="C47" s="667"/>
      <c r="D47" s="667"/>
      <c r="E47" s="667"/>
      <c r="F47" s="666"/>
      <c r="G47" s="176"/>
      <c r="H47" s="667"/>
      <c r="I47" s="667"/>
      <c r="J47" s="667"/>
      <c r="K47" s="805"/>
      <c r="L47" s="802" t="s">
        <v>954</v>
      </c>
      <c r="M47" s="806"/>
      <c r="N47" s="806"/>
      <c r="O47" s="806"/>
      <c r="P47" s="806"/>
      <c r="Q47" s="806"/>
      <c r="R47" s="667"/>
      <c r="S47" s="667"/>
      <c r="T47" s="668"/>
    </row>
    <row r="48" spans="1:20" s="175" customFormat="1" ht="15.2" customHeight="1" x14ac:dyDescent="0.15">
      <c r="A48" s="666"/>
      <c r="B48" s="807" t="s">
        <v>958</v>
      </c>
      <c r="C48" s="667"/>
      <c r="D48" s="667"/>
      <c r="E48" s="667"/>
      <c r="F48" s="667"/>
      <c r="G48" s="667"/>
      <c r="H48" s="667"/>
      <c r="I48" s="667"/>
      <c r="J48" s="667"/>
      <c r="K48" s="667"/>
      <c r="L48" s="667"/>
      <c r="M48" s="667"/>
      <c r="N48" s="667"/>
      <c r="O48" s="667"/>
      <c r="P48" s="667"/>
      <c r="Q48" s="667"/>
      <c r="R48" s="667"/>
      <c r="S48" s="667"/>
      <c r="T48" s="668"/>
    </row>
    <row r="49" spans="20:20" s="175" customFormat="1" ht="15.2" customHeight="1" x14ac:dyDescent="0.15">
      <c r="T49" s="273"/>
    </row>
  </sheetData>
  <phoneticPr fontId="32"/>
  <pageMargins left="0.59055118110236227" right="0.59055118110236227" top="0.59055118110236227" bottom="0.59055118110236227" header="0.59055118110236227" footer="0.15748031496062992"/>
  <pageSetup paperSize="9" scale="92" fitToHeight="0" orientation="portrait" r:id="rId1"/>
  <headerFooter alignWithMargins="0">
    <oddHeader xml:space="preserve">&amp;R
</oddHeader>
  </headerFooter>
  <colBreaks count="1" manualBreakCount="1">
    <brk id="11" max="4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0AED-BE1F-44F2-9C9E-BA5F4BB19849}">
  <dimension ref="A1:U45"/>
  <sheetViews>
    <sheetView view="pageBreakPreview" zoomScale="130" zoomScaleNormal="50" zoomScaleSheetLayoutView="130" workbookViewId="0"/>
  </sheetViews>
  <sheetFormatPr defaultRowHeight="17.25" x14ac:dyDescent="0.2"/>
  <cols>
    <col min="1" max="1" width="2.625" style="220" customWidth="1"/>
    <col min="2" max="2" width="12.375" style="220" customWidth="1"/>
    <col min="3" max="3" width="8.875" style="220" customWidth="1"/>
    <col min="4" max="18" width="8.375" style="220" customWidth="1"/>
    <col min="19" max="19" width="18.625" style="222" customWidth="1"/>
    <col min="20" max="20" width="2.625" style="221" customWidth="1"/>
    <col min="21" max="21" width="6.5" style="220" customWidth="1"/>
    <col min="22" max="16384" width="9" style="220"/>
  </cols>
  <sheetData>
    <row r="1" spans="1:20" s="265" customFormat="1" ht="17.25" customHeight="1" x14ac:dyDescent="0.2">
      <c r="A1" s="267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S1" s="266"/>
      <c r="T1" s="256"/>
    </row>
    <row r="2" spans="1:20" s="256" customFormat="1" ht="17.25" customHeight="1" x14ac:dyDescent="0.2">
      <c r="A2" s="262"/>
      <c r="B2" s="264" t="s">
        <v>630</v>
      </c>
      <c r="C2" s="261"/>
      <c r="D2" s="261"/>
      <c r="E2" s="257"/>
      <c r="F2" s="263"/>
      <c r="G2" s="262"/>
      <c r="H2" s="262"/>
      <c r="I2" s="216"/>
      <c r="J2" s="257"/>
      <c r="K2" s="257"/>
      <c r="L2" s="260"/>
      <c r="M2" s="257"/>
      <c r="N2" s="259"/>
      <c r="O2" s="259"/>
      <c r="P2" s="259"/>
      <c r="Q2" s="259"/>
      <c r="R2" s="259"/>
      <c r="S2" s="258"/>
      <c r="T2" s="257"/>
    </row>
    <row r="3" spans="1:20" s="256" customFormat="1" ht="17.25" customHeight="1" x14ac:dyDescent="0.2">
      <c r="A3" s="262"/>
      <c r="B3" s="264" t="s">
        <v>565</v>
      </c>
      <c r="C3" s="261"/>
      <c r="D3" s="261"/>
      <c r="E3" s="257"/>
      <c r="F3" s="263"/>
      <c r="G3" s="262"/>
      <c r="H3" s="262"/>
      <c r="I3" s="261"/>
      <c r="J3" s="257"/>
      <c r="K3" s="257"/>
      <c r="L3" s="260"/>
      <c r="M3" s="257"/>
      <c r="N3" s="259"/>
      <c r="O3" s="259"/>
      <c r="P3" s="259"/>
      <c r="Q3" s="259"/>
      <c r="R3" s="259"/>
      <c r="S3" s="258"/>
      <c r="T3" s="257"/>
    </row>
    <row r="4" spans="1:20" ht="17.25" customHeight="1" x14ac:dyDescent="0.2">
      <c r="A4" s="255"/>
      <c r="B4" s="214" t="s">
        <v>946</v>
      </c>
      <c r="C4" s="253"/>
      <c r="D4" s="253"/>
      <c r="E4" s="253"/>
      <c r="F4" s="254" t="s">
        <v>227</v>
      </c>
      <c r="G4" s="253" t="s">
        <v>227</v>
      </c>
      <c r="H4" s="253"/>
      <c r="I4" s="253"/>
      <c r="J4" s="253"/>
      <c r="K4" s="253"/>
      <c r="L4" s="252"/>
      <c r="M4" s="252"/>
      <c r="N4" s="251"/>
      <c r="O4" s="640"/>
      <c r="P4" s="640"/>
      <c r="Q4" s="137"/>
      <c r="R4" s="150" t="s">
        <v>722</v>
      </c>
      <c r="S4" s="250"/>
      <c r="T4" s="249"/>
    </row>
    <row r="5" spans="1:20" s="223" customFormat="1" ht="17.25" customHeight="1" x14ac:dyDescent="0.15">
      <c r="A5" s="226"/>
      <c r="B5" s="248"/>
      <c r="C5" s="643"/>
      <c r="D5" s="212"/>
      <c r="E5" s="212"/>
      <c r="F5" s="212"/>
      <c r="G5" s="212"/>
      <c r="H5" s="212"/>
      <c r="I5" s="212"/>
      <c r="J5" s="212"/>
      <c r="K5" s="211"/>
      <c r="L5" s="210"/>
      <c r="M5" s="209"/>
      <c r="N5" s="209"/>
      <c r="O5" s="209"/>
      <c r="P5" s="209"/>
      <c r="Q5" s="208"/>
      <c r="R5" s="207"/>
      <c r="S5" s="644"/>
      <c r="T5" s="208"/>
    </row>
    <row r="6" spans="1:20" s="223" customFormat="1" ht="17.25" customHeight="1" x14ac:dyDescent="0.15">
      <c r="A6" s="246"/>
      <c r="B6" s="247" t="s">
        <v>528</v>
      </c>
      <c r="C6" s="200" t="s">
        <v>240</v>
      </c>
      <c r="D6" s="195" t="s">
        <v>529</v>
      </c>
      <c r="E6" s="195" t="s">
        <v>530</v>
      </c>
      <c r="F6" s="195" t="s">
        <v>531</v>
      </c>
      <c r="G6" s="195" t="s">
        <v>532</v>
      </c>
      <c r="H6" s="195" t="s">
        <v>533</v>
      </c>
      <c r="I6" s="195" t="s">
        <v>534</v>
      </c>
      <c r="J6" s="205"/>
      <c r="K6" s="204"/>
      <c r="L6" s="197" t="s">
        <v>535</v>
      </c>
      <c r="M6" s="198" t="s">
        <v>536</v>
      </c>
      <c r="N6" s="198" t="s">
        <v>537</v>
      </c>
      <c r="O6" s="198" t="s">
        <v>538</v>
      </c>
      <c r="P6" s="203" t="s">
        <v>571</v>
      </c>
      <c r="Q6" s="202"/>
      <c r="R6" s="201"/>
      <c r="S6" s="195" t="s">
        <v>239</v>
      </c>
      <c r="T6" s="208"/>
    </row>
    <row r="7" spans="1:20" s="223" customFormat="1" ht="17.25" customHeight="1" x14ac:dyDescent="0.15">
      <c r="A7" s="246"/>
      <c r="B7" s="247"/>
      <c r="C7" s="200"/>
      <c r="D7" s="195" t="s">
        <v>237</v>
      </c>
      <c r="E7" s="195" t="s">
        <v>237</v>
      </c>
      <c r="F7" s="195" t="s">
        <v>238</v>
      </c>
      <c r="G7" s="195"/>
      <c r="H7" s="195"/>
      <c r="I7" s="195" t="s">
        <v>237</v>
      </c>
      <c r="J7" s="195" t="s">
        <v>236</v>
      </c>
      <c r="K7" s="199" t="s">
        <v>235</v>
      </c>
      <c r="L7" s="197"/>
      <c r="M7" s="198"/>
      <c r="N7" s="198"/>
      <c r="O7" s="198"/>
      <c r="P7" s="198"/>
      <c r="Q7" s="198" t="s">
        <v>540</v>
      </c>
      <c r="R7" s="197" t="s">
        <v>541</v>
      </c>
      <c r="S7" s="195"/>
      <c r="T7" s="208"/>
    </row>
    <row r="8" spans="1:20" s="223" customFormat="1" ht="34.5" customHeight="1" x14ac:dyDescent="0.15">
      <c r="A8" s="246"/>
      <c r="B8" s="245"/>
      <c r="C8" s="194" t="s">
        <v>947</v>
      </c>
      <c r="D8" s="194" t="s">
        <v>234</v>
      </c>
      <c r="E8" s="194" t="s">
        <v>550</v>
      </c>
      <c r="F8" s="194" t="s">
        <v>551</v>
      </c>
      <c r="G8" s="194" t="s">
        <v>233</v>
      </c>
      <c r="H8" s="194" t="s">
        <v>542</v>
      </c>
      <c r="I8" s="194" t="s">
        <v>948</v>
      </c>
      <c r="J8" s="194" t="s">
        <v>552</v>
      </c>
      <c r="K8" s="193" t="s">
        <v>572</v>
      </c>
      <c r="L8" s="192" t="s">
        <v>566</v>
      </c>
      <c r="M8" s="192" t="s">
        <v>232</v>
      </c>
      <c r="N8" s="192" t="s">
        <v>231</v>
      </c>
      <c r="O8" s="191" t="s">
        <v>230</v>
      </c>
      <c r="P8" s="729" t="s">
        <v>554</v>
      </c>
      <c r="Q8" s="190"/>
      <c r="R8" s="190"/>
      <c r="S8" s="649"/>
      <c r="T8" s="208"/>
    </row>
    <row r="9" spans="1:20" s="223" customFormat="1" ht="15" customHeight="1" x14ac:dyDescent="0.15">
      <c r="A9" s="215"/>
      <c r="B9" s="236"/>
      <c r="C9" s="244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2"/>
      <c r="Q9" s="242"/>
      <c r="R9" s="808"/>
      <c r="S9" s="208"/>
      <c r="T9" s="215"/>
    </row>
    <row r="10" spans="1:20" s="223" customFormat="1" ht="15" customHeight="1" x14ac:dyDescent="0.15">
      <c r="A10" s="215"/>
      <c r="B10" s="236" t="s">
        <v>573</v>
      </c>
      <c r="C10" s="235">
        <v>4361097</v>
      </c>
      <c r="D10" s="216">
        <v>770328</v>
      </c>
      <c r="E10" s="216">
        <v>292048</v>
      </c>
      <c r="F10" s="216">
        <v>344206</v>
      </c>
      <c r="G10" s="216">
        <v>1418194</v>
      </c>
      <c r="H10" s="216">
        <v>681880</v>
      </c>
      <c r="I10" s="216">
        <v>854441</v>
      </c>
      <c r="J10" s="216">
        <v>453052</v>
      </c>
      <c r="K10" s="216">
        <v>401389</v>
      </c>
      <c r="L10" s="216">
        <v>282714</v>
      </c>
      <c r="M10" s="216">
        <v>55202</v>
      </c>
      <c r="N10" s="216">
        <v>8984</v>
      </c>
      <c r="O10" s="216">
        <v>11597</v>
      </c>
      <c r="P10" s="216">
        <v>1459965</v>
      </c>
      <c r="Q10" s="216">
        <v>1046422</v>
      </c>
      <c r="R10" s="233">
        <v>413543</v>
      </c>
      <c r="S10" s="225" t="s">
        <v>228</v>
      </c>
      <c r="T10" s="215"/>
    </row>
    <row r="11" spans="1:20" s="223" customFormat="1" ht="15" customHeight="1" x14ac:dyDescent="0.15">
      <c r="A11" s="215"/>
      <c r="B11" s="236"/>
      <c r="C11" s="235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33"/>
      <c r="S11" s="225"/>
      <c r="T11" s="215"/>
    </row>
    <row r="12" spans="1:20" s="223" customFormat="1" ht="15" customHeight="1" x14ac:dyDescent="0.15">
      <c r="A12" s="215"/>
      <c r="B12" s="240" t="s">
        <v>226</v>
      </c>
      <c r="C12" s="239">
        <v>373931932</v>
      </c>
      <c r="D12" s="238">
        <v>104064879</v>
      </c>
      <c r="E12" s="238">
        <v>69005174</v>
      </c>
      <c r="F12" s="238">
        <v>19325171</v>
      </c>
      <c r="G12" s="238">
        <v>35207381</v>
      </c>
      <c r="H12" s="238">
        <v>85472231</v>
      </c>
      <c r="I12" s="238">
        <v>60857096</v>
      </c>
      <c r="J12" s="238">
        <v>24749243</v>
      </c>
      <c r="K12" s="238">
        <v>36107853</v>
      </c>
      <c r="L12" s="238">
        <v>6094236</v>
      </c>
      <c r="M12" s="238">
        <v>3556169</v>
      </c>
      <c r="N12" s="238">
        <v>107676</v>
      </c>
      <c r="O12" s="238">
        <v>130936</v>
      </c>
      <c r="P12" s="238">
        <v>31592259</v>
      </c>
      <c r="Q12" s="238">
        <v>25036583</v>
      </c>
      <c r="R12" s="809">
        <v>6555676</v>
      </c>
      <c r="S12" s="810" t="s">
        <v>556</v>
      </c>
      <c r="T12" s="215"/>
    </row>
    <row r="13" spans="1:20" s="223" customFormat="1" ht="15" customHeight="1" x14ac:dyDescent="0.15">
      <c r="A13" s="215"/>
      <c r="B13" s="236"/>
      <c r="C13" s="23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33"/>
      <c r="S13" s="225"/>
      <c r="T13" s="215"/>
    </row>
    <row r="14" spans="1:20" s="223" customFormat="1" ht="21" customHeight="1" x14ac:dyDescent="0.15">
      <c r="A14" s="215"/>
      <c r="B14" s="237" t="s">
        <v>959</v>
      </c>
      <c r="C14" s="235">
        <v>175903838</v>
      </c>
      <c r="D14" s="216">
        <v>48190247</v>
      </c>
      <c r="E14" s="216">
        <v>35147847</v>
      </c>
      <c r="F14" s="216">
        <v>10794239</v>
      </c>
      <c r="G14" s="216">
        <v>13553761</v>
      </c>
      <c r="H14" s="216">
        <v>40007599</v>
      </c>
      <c r="I14" s="216">
        <v>28210145</v>
      </c>
      <c r="J14" s="216">
        <v>10606634</v>
      </c>
      <c r="K14" s="216">
        <v>17603511</v>
      </c>
      <c r="L14" s="216">
        <v>2678678</v>
      </c>
      <c r="M14" s="216">
        <v>1798061</v>
      </c>
      <c r="N14" s="216">
        <v>57733</v>
      </c>
      <c r="O14" s="216">
        <v>84372</v>
      </c>
      <c r="P14" s="216">
        <v>4194019</v>
      </c>
      <c r="Q14" s="216">
        <v>2588896</v>
      </c>
      <c r="R14" s="233">
        <v>1605123</v>
      </c>
      <c r="S14" s="225" t="s">
        <v>225</v>
      </c>
      <c r="T14" s="215"/>
    </row>
    <row r="15" spans="1:20" s="223" customFormat="1" ht="15" customHeight="1" x14ac:dyDescent="0.15">
      <c r="A15" s="215"/>
      <c r="B15" s="237"/>
      <c r="C15" s="23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33"/>
      <c r="S15" s="225"/>
      <c r="T15" s="215"/>
    </row>
    <row r="16" spans="1:20" s="223" customFormat="1" ht="15" customHeight="1" x14ac:dyDescent="0.15">
      <c r="A16" s="215"/>
      <c r="B16" s="237" t="s">
        <v>631</v>
      </c>
      <c r="C16" s="235">
        <v>32841517</v>
      </c>
      <c r="D16" s="216">
        <v>2339243</v>
      </c>
      <c r="E16" s="216">
        <v>25844993</v>
      </c>
      <c r="F16" s="216">
        <v>71898</v>
      </c>
      <c r="G16" s="216">
        <v>1857368</v>
      </c>
      <c r="H16" s="216">
        <v>636740</v>
      </c>
      <c r="I16" s="216">
        <v>2091275</v>
      </c>
      <c r="J16" s="216">
        <v>12370</v>
      </c>
      <c r="K16" s="216">
        <v>2078905</v>
      </c>
      <c r="L16" s="216">
        <v>217626</v>
      </c>
      <c r="M16" s="216">
        <v>16036</v>
      </c>
      <c r="N16" s="216">
        <v>2065</v>
      </c>
      <c r="O16" s="216">
        <v>14830</v>
      </c>
      <c r="P16" s="216">
        <v>10769227</v>
      </c>
      <c r="Q16" s="216">
        <v>8994285</v>
      </c>
      <c r="R16" s="233">
        <v>1774942</v>
      </c>
      <c r="S16" s="225" t="s">
        <v>224</v>
      </c>
      <c r="T16" s="215"/>
    </row>
    <row r="17" spans="1:20" s="223" customFormat="1" ht="15" customHeight="1" x14ac:dyDescent="0.15">
      <c r="A17" s="215"/>
      <c r="B17" s="237"/>
      <c r="C17" s="23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33"/>
      <c r="S17" s="225"/>
      <c r="T17" s="215"/>
    </row>
    <row r="18" spans="1:20" s="223" customFormat="1" ht="31.5" customHeight="1" x14ac:dyDescent="0.15">
      <c r="A18" s="215"/>
      <c r="B18" s="241" t="s">
        <v>247</v>
      </c>
      <c r="C18" s="235">
        <v>100806250</v>
      </c>
      <c r="D18" s="216">
        <v>28777216</v>
      </c>
      <c r="E18" s="216">
        <v>6640281</v>
      </c>
      <c r="F18" s="216">
        <v>5197572</v>
      </c>
      <c r="G18" s="216">
        <v>11684900</v>
      </c>
      <c r="H18" s="216">
        <v>27783397</v>
      </c>
      <c r="I18" s="216">
        <v>20722884</v>
      </c>
      <c r="J18" s="216">
        <v>7821419</v>
      </c>
      <c r="K18" s="216">
        <v>12901465</v>
      </c>
      <c r="L18" s="216">
        <v>1547544</v>
      </c>
      <c r="M18" s="216">
        <v>1151604</v>
      </c>
      <c r="N18" s="216">
        <v>14169</v>
      </c>
      <c r="O18" s="216">
        <v>7834</v>
      </c>
      <c r="P18" s="216">
        <v>10159754</v>
      </c>
      <c r="Q18" s="216">
        <v>7593950</v>
      </c>
      <c r="R18" s="233">
        <v>2565804</v>
      </c>
      <c r="S18" s="225" t="s">
        <v>632</v>
      </c>
      <c r="T18" s="215"/>
    </row>
    <row r="19" spans="1:20" s="223" customFormat="1" ht="15" customHeight="1" x14ac:dyDescent="0.15">
      <c r="A19" s="215"/>
      <c r="B19" s="237"/>
      <c r="C19" s="23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33"/>
      <c r="S19" s="225"/>
      <c r="T19" s="215"/>
    </row>
    <row r="20" spans="1:20" s="223" customFormat="1" ht="25.5" customHeight="1" x14ac:dyDescent="0.15">
      <c r="A20" s="215"/>
      <c r="B20" s="237" t="s">
        <v>960</v>
      </c>
      <c r="C20" s="235">
        <v>11062014</v>
      </c>
      <c r="D20" s="216">
        <v>4259154</v>
      </c>
      <c r="E20" s="216">
        <v>515744</v>
      </c>
      <c r="F20" s="216">
        <v>1024</v>
      </c>
      <c r="G20" s="216">
        <v>1590710</v>
      </c>
      <c r="H20" s="216">
        <v>1842747</v>
      </c>
      <c r="I20" s="216">
        <v>2852635</v>
      </c>
      <c r="J20" s="216">
        <v>1476881</v>
      </c>
      <c r="K20" s="216">
        <v>1375754</v>
      </c>
      <c r="L20" s="216">
        <v>459780</v>
      </c>
      <c r="M20" s="216">
        <v>119748</v>
      </c>
      <c r="N20" s="216">
        <v>7361</v>
      </c>
      <c r="O20" s="216">
        <v>21286</v>
      </c>
      <c r="P20" s="216">
        <v>2166121</v>
      </c>
      <c r="Q20" s="216">
        <v>1928875</v>
      </c>
      <c r="R20" s="233">
        <v>237246</v>
      </c>
      <c r="S20" s="225" t="s">
        <v>633</v>
      </c>
      <c r="T20" s="215"/>
    </row>
    <row r="21" spans="1:20" s="223" customFormat="1" ht="15" customHeight="1" x14ac:dyDescent="0.15">
      <c r="A21" s="215"/>
      <c r="B21" s="237"/>
      <c r="C21" s="235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33"/>
      <c r="S21" s="225"/>
      <c r="T21" s="215"/>
    </row>
    <row r="22" spans="1:20" s="223" customFormat="1" ht="30.75" customHeight="1" x14ac:dyDescent="0.15">
      <c r="A22" s="215"/>
      <c r="B22" s="237" t="s">
        <v>961</v>
      </c>
      <c r="C22" s="235">
        <v>215296</v>
      </c>
      <c r="D22" s="216" t="s">
        <v>599</v>
      </c>
      <c r="E22" s="216">
        <v>5000</v>
      </c>
      <c r="F22" s="216">
        <v>2153</v>
      </c>
      <c r="G22" s="216">
        <v>30113</v>
      </c>
      <c r="H22" s="216">
        <v>85525</v>
      </c>
      <c r="I22" s="216">
        <v>92505</v>
      </c>
      <c r="J22" s="216">
        <v>88246</v>
      </c>
      <c r="K22" s="216">
        <v>4259</v>
      </c>
      <c r="L22" s="216">
        <v>314</v>
      </c>
      <c r="M22" s="216" t="s">
        <v>599</v>
      </c>
      <c r="N22" s="216">
        <v>8589</v>
      </c>
      <c r="O22" s="216" t="s">
        <v>599</v>
      </c>
      <c r="P22" s="216">
        <v>35148</v>
      </c>
      <c r="Q22" s="216" t="s">
        <v>599</v>
      </c>
      <c r="R22" s="233">
        <v>35148</v>
      </c>
      <c r="S22" s="225" t="s">
        <v>574</v>
      </c>
      <c r="T22" s="215"/>
    </row>
    <row r="23" spans="1:20" s="223" customFormat="1" ht="15" customHeight="1" x14ac:dyDescent="0.15">
      <c r="A23" s="215"/>
      <c r="B23" s="237"/>
      <c r="C23" s="23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33"/>
      <c r="S23" s="225"/>
      <c r="T23" s="215"/>
    </row>
    <row r="24" spans="1:20" s="223" customFormat="1" ht="21" customHeight="1" x14ac:dyDescent="0.15">
      <c r="A24" s="215"/>
      <c r="B24" s="658" t="s">
        <v>952</v>
      </c>
      <c r="C24" s="235" t="s">
        <v>599</v>
      </c>
      <c r="D24" s="216" t="s">
        <v>599</v>
      </c>
      <c r="E24" s="216" t="s">
        <v>599</v>
      </c>
      <c r="F24" s="216" t="s">
        <v>599</v>
      </c>
      <c r="G24" s="216" t="s">
        <v>599</v>
      </c>
      <c r="H24" s="216" t="s">
        <v>599</v>
      </c>
      <c r="I24" s="216" t="s">
        <v>599</v>
      </c>
      <c r="J24" s="216" t="s">
        <v>599</v>
      </c>
      <c r="K24" s="216" t="s">
        <v>599</v>
      </c>
      <c r="L24" s="216" t="s">
        <v>599</v>
      </c>
      <c r="M24" s="216" t="s">
        <v>599</v>
      </c>
      <c r="N24" s="216" t="s">
        <v>599</v>
      </c>
      <c r="O24" s="216" t="s">
        <v>599</v>
      </c>
      <c r="P24" s="216" t="s">
        <v>599</v>
      </c>
      <c r="Q24" s="216" t="s">
        <v>599</v>
      </c>
      <c r="R24" s="233" t="s">
        <v>599</v>
      </c>
      <c r="S24" s="225" t="s">
        <v>246</v>
      </c>
      <c r="T24" s="215"/>
    </row>
    <row r="25" spans="1:20" s="223" customFormat="1" ht="15" customHeight="1" x14ac:dyDescent="0.15">
      <c r="A25" s="215"/>
      <c r="B25" s="237"/>
      <c r="C25" s="23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33"/>
      <c r="S25" s="225"/>
      <c r="T25" s="215"/>
    </row>
    <row r="26" spans="1:20" s="223" customFormat="1" ht="15" customHeight="1" x14ac:dyDescent="0.15">
      <c r="A26" s="215"/>
      <c r="B26" s="237" t="s">
        <v>634</v>
      </c>
      <c r="C26" s="235">
        <v>53103017</v>
      </c>
      <c r="D26" s="216">
        <v>20499019</v>
      </c>
      <c r="E26" s="216">
        <v>851309</v>
      </c>
      <c r="F26" s="216">
        <v>3258285</v>
      </c>
      <c r="G26" s="216">
        <v>6490529</v>
      </c>
      <c r="H26" s="216">
        <v>15116223</v>
      </c>
      <c r="I26" s="216">
        <v>6887652</v>
      </c>
      <c r="J26" s="216">
        <v>4743693</v>
      </c>
      <c r="K26" s="216">
        <v>2143959</v>
      </c>
      <c r="L26" s="216">
        <v>1190294</v>
      </c>
      <c r="M26" s="216">
        <v>470720</v>
      </c>
      <c r="N26" s="216">
        <v>17759</v>
      </c>
      <c r="O26" s="216">
        <v>2614</v>
      </c>
      <c r="P26" s="216">
        <v>4267990</v>
      </c>
      <c r="Q26" s="216">
        <v>3930577</v>
      </c>
      <c r="R26" s="233">
        <v>337413</v>
      </c>
      <c r="S26" s="225" t="s">
        <v>575</v>
      </c>
      <c r="T26" s="215"/>
    </row>
    <row r="27" spans="1:20" s="223" customFormat="1" ht="15" customHeight="1" x14ac:dyDescent="0.15">
      <c r="A27" s="215"/>
      <c r="B27" s="236"/>
      <c r="C27" s="23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33"/>
      <c r="S27" s="225"/>
      <c r="T27" s="215"/>
    </row>
    <row r="28" spans="1:20" s="223" customFormat="1" ht="15" customHeight="1" x14ac:dyDescent="0.15">
      <c r="A28" s="215"/>
      <c r="B28" s="240" t="s">
        <v>222</v>
      </c>
      <c r="C28" s="239">
        <v>374006227</v>
      </c>
      <c r="D28" s="238">
        <v>104067073</v>
      </c>
      <c r="E28" s="238">
        <v>68809818</v>
      </c>
      <c r="F28" s="238">
        <v>19309639</v>
      </c>
      <c r="G28" s="238">
        <v>35296111</v>
      </c>
      <c r="H28" s="238">
        <v>85592978</v>
      </c>
      <c r="I28" s="238">
        <v>60930608</v>
      </c>
      <c r="J28" s="238">
        <v>24793752</v>
      </c>
      <c r="K28" s="238">
        <v>36136856</v>
      </c>
      <c r="L28" s="238">
        <v>6059774</v>
      </c>
      <c r="M28" s="238">
        <v>3570699</v>
      </c>
      <c r="N28" s="238">
        <v>106683</v>
      </c>
      <c r="O28" s="238">
        <v>131574</v>
      </c>
      <c r="P28" s="238">
        <v>31456947</v>
      </c>
      <c r="Q28" s="238">
        <v>24970432</v>
      </c>
      <c r="R28" s="809">
        <v>6486515</v>
      </c>
      <c r="S28" s="811" t="s">
        <v>558</v>
      </c>
      <c r="T28" s="215"/>
    </row>
    <row r="29" spans="1:20" s="223" customFormat="1" ht="15" customHeight="1" x14ac:dyDescent="0.15">
      <c r="A29" s="215"/>
      <c r="B29" s="236"/>
      <c r="C29" s="23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33"/>
      <c r="S29" s="225"/>
      <c r="T29" s="215"/>
    </row>
    <row r="30" spans="1:20" s="223" customFormat="1" ht="21" customHeight="1" x14ac:dyDescent="0.15">
      <c r="A30" s="215"/>
      <c r="B30" s="237" t="s">
        <v>245</v>
      </c>
      <c r="C30" s="235">
        <v>191612126</v>
      </c>
      <c r="D30" s="216">
        <v>55726202</v>
      </c>
      <c r="E30" s="216">
        <v>43793683</v>
      </c>
      <c r="F30" s="216">
        <v>4363653</v>
      </c>
      <c r="G30" s="216">
        <v>18473570</v>
      </c>
      <c r="H30" s="216">
        <v>41445774</v>
      </c>
      <c r="I30" s="216">
        <v>27809244</v>
      </c>
      <c r="J30" s="216">
        <v>15301701</v>
      </c>
      <c r="K30" s="216">
        <v>12507543</v>
      </c>
      <c r="L30" s="216">
        <v>2173357</v>
      </c>
      <c r="M30" s="216">
        <v>2425622</v>
      </c>
      <c r="N30" s="216">
        <v>56615</v>
      </c>
      <c r="O30" s="216">
        <v>58695</v>
      </c>
      <c r="P30" s="216">
        <v>16914674</v>
      </c>
      <c r="Q30" s="216">
        <v>13918323</v>
      </c>
      <c r="R30" s="233">
        <v>2996351</v>
      </c>
      <c r="S30" s="225" t="s">
        <v>576</v>
      </c>
      <c r="T30" s="215"/>
    </row>
    <row r="31" spans="1:20" s="223" customFormat="1" ht="15" customHeight="1" x14ac:dyDescent="0.15">
      <c r="A31" s="215"/>
      <c r="B31" s="237"/>
      <c r="C31" s="235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33"/>
      <c r="S31" s="225"/>
      <c r="T31" s="215"/>
    </row>
    <row r="32" spans="1:20" s="223" customFormat="1" ht="31.5" customHeight="1" x14ac:dyDescent="0.15">
      <c r="A32" s="215"/>
      <c r="B32" s="237" t="s">
        <v>244</v>
      </c>
      <c r="C32" s="235">
        <v>100821692</v>
      </c>
      <c r="D32" s="216">
        <v>23876947</v>
      </c>
      <c r="E32" s="216">
        <v>23462154</v>
      </c>
      <c r="F32" s="216">
        <v>4978943</v>
      </c>
      <c r="G32" s="216">
        <v>9362795</v>
      </c>
      <c r="H32" s="216">
        <v>21378653</v>
      </c>
      <c r="I32" s="216">
        <v>17762200</v>
      </c>
      <c r="J32" s="216">
        <v>4808002</v>
      </c>
      <c r="K32" s="216">
        <v>12954198</v>
      </c>
      <c r="L32" s="216">
        <v>1733711</v>
      </c>
      <c r="M32" s="216">
        <v>667133</v>
      </c>
      <c r="N32" s="216">
        <v>13645</v>
      </c>
      <c r="O32" s="216">
        <v>26422</v>
      </c>
      <c r="P32" s="216">
        <v>9969212</v>
      </c>
      <c r="Q32" s="216">
        <v>6847336</v>
      </c>
      <c r="R32" s="233">
        <v>3121876</v>
      </c>
      <c r="S32" s="225" t="s">
        <v>577</v>
      </c>
      <c r="T32" s="215"/>
    </row>
    <row r="33" spans="1:21" s="223" customFormat="1" ht="15" customHeight="1" x14ac:dyDescent="0.15">
      <c r="A33" s="215"/>
      <c r="B33" s="237"/>
      <c r="C33" s="235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33"/>
      <c r="S33" s="225"/>
      <c r="T33" s="215"/>
    </row>
    <row r="34" spans="1:21" s="223" customFormat="1" ht="15" customHeight="1" x14ac:dyDescent="0.15">
      <c r="A34" s="215"/>
      <c r="B34" s="237" t="s">
        <v>567</v>
      </c>
      <c r="C34" s="235">
        <v>28584890</v>
      </c>
      <c r="D34" s="216">
        <v>4400750</v>
      </c>
      <c r="E34" s="216" t="s">
        <v>599</v>
      </c>
      <c r="F34" s="216">
        <v>6797549</v>
      </c>
      <c r="G34" s="216">
        <v>1033947</v>
      </c>
      <c r="H34" s="216">
        <v>7805554</v>
      </c>
      <c r="I34" s="216">
        <v>8547090</v>
      </c>
      <c r="J34" s="216">
        <v>204144</v>
      </c>
      <c r="K34" s="216">
        <v>8342946</v>
      </c>
      <c r="L34" s="216">
        <v>794064</v>
      </c>
      <c r="M34" s="216">
        <v>11421</v>
      </c>
      <c r="N34" s="216">
        <v>677</v>
      </c>
      <c r="O34" s="216">
        <v>42975</v>
      </c>
      <c r="P34" s="216">
        <v>236149</v>
      </c>
      <c r="Q34" s="216">
        <v>227133</v>
      </c>
      <c r="R34" s="233">
        <v>9016</v>
      </c>
      <c r="S34" s="225" t="s">
        <v>219</v>
      </c>
      <c r="T34" s="215"/>
    </row>
    <row r="35" spans="1:21" s="223" customFormat="1" ht="15" customHeight="1" x14ac:dyDescent="0.15">
      <c r="A35" s="215"/>
      <c r="B35" s="237"/>
      <c r="C35" s="235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33"/>
      <c r="S35" s="225"/>
      <c r="T35" s="215"/>
    </row>
    <row r="36" spans="1:21" s="223" customFormat="1" ht="31.5" customHeight="1" x14ac:dyDescent="0.15">
      <c r="A36" s="215"/>
      <c r="B36" s="237" t="s">
        <v>962</v>
      </c>
      <c r="C36" s="235">
        <v>215609</v>
      </c>
      <c r="D36" s="216">
        <v>101</v>
      </c>
      <c r="E36" s="216" t="s">
        <v>599</v>
      </c>
      <c r="F36" s="216">
        <v>41697</v>
      </c>
      <c r="G36" s="216">
        <v>109121</v>
      </c>
      <c r="H36" s="216">
        <v>21595</v>
      </c>
      <c r="I36" s="216">
        <v>43095</v>
      </c>
      <c r="J36" s="216">
        <v>314</v>
      </c>
      <c r="K36" s="216">
        <v>42781</v>
      </c>
      <c r="L36" s="216">
        <v>8589</v>
      </c>
      <c r="M36" s="216" t="s">
        <v>599</v>
      </c>
      <c r="N36" s="216">
        <v>1</v>
      </c>
      <c r="O36" s="216" t="s">
        <v>599</v>
      </c>
      <c r="P36" s="216">
        <v>35216</v>
      </c>
      <c r="Q36" s="216">
        <v>35216</v>
      </c>
      <c r="R36" s="233" t="s">
        <v>599</v>
      </c>
      <c r="S36" s="225" t="s">
        <v>568</v>
      </c>
      <c r="T36" s="215"/>
    </row>
    <row r="37" spans="1:21" s="223" customFormat="1" ht="15" customHeight="1" x14ac:dyDescent="0.15">
      <c r="A37" s="215"/>
      <c r="B37" s="237"/>
      <c r="C37" s="235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33"/>
      <c r="S37" s="225"/>
      <c r="T37" s="215"/>
    </row>
    <row r="38" spans="1:21" s="223" customFormat="1" ht="15" customHeight="1" x14ac:dyDescent="0.15">
      <c r="A38" s="215"/>
      <c r="B38" s="237" t="s">
        <v>569</v>
      </c>
      <c r="C38" s="235">
        <v>33675</v>
      </c>
      <c r="D38" s="216">
        <v>149</v>
      </c>
      <c r="E38" s="216">
        <v>55</v>
      </c>
      <c r="F38" s="216" t="s">
        <v>599</v>
      </c>
      <c r="G38" s="216">
        <v>3363</v>
      </c>
      <c r="H38" s="216">
        <v>510</v>
      </c>
      <c r="I38" s="216">
        <v>29598</v>
      </c>
      <c r="J38" s="216">
        <v>18090</v>
      </c>
      <c r="K38" s="216">
        <v>11508</v>
      </c>
      <c r="L38" s="216">
        <v>55717</v>
      </c>
      <c r="M38" s="216">
        <v>247</v>
      </c>
      <c r="N38" s="216">
        <v>2</v>
      </c>
      <c r="O38" s="216" t="s">
        <v>599</v>
      </c>
      <c r="P38" s="216" t="s">
        <v>599</v>
      </c>
      <c r="Q38" s="216" t="s">
        <v>599</v>
      </c>
      <c r="R38" s="233" t="s">
        <v>599</v>
      </c>
      <c r="S38" s="225" t="s">
        <v>218</v>
      </c>
      <c r="T38" s="215"/>
    </row>
    <row r="39" spans="1:21" s="223" customFormat="1" ht="15" customHeight="1" x14ac:dyDescent="0.15">
      <c r="A39" s="215"/>
      <c r="B39" s="237"/>
      <c r="C39" s="235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33"/>
      <c r="S39" s="225"/>
      <c r="T39" s="215"/>
    </row>
    <row r="40" spans="1:21" s="223" customFormat="1" ht="15" customHeight="1" x14ac:dyDescent="0.15">
      <c r="A40" s="215"/>
      <c r="B40" s="237" t="s">
        <v>635</v>
      </c>
      <c r="C40" s="235">
        <v>52738235</v>
      </c>
      <c r="D40" s="216">
        <v>20062924</v>
      </c>
      <c r="E40" s="216">
        <v>1553926</v>
      </c>
      <c r="F40" s="216">
        <v>3127797</v>
      </c>
      <c r="G40" s="216">
        <v>6313315</v>
      </c>
      <c r="H40" s="216">
        <v>14940892</v>
      </c>
      <c r="I40" s="216">
        <v>6739381</v>
      </c>
      <c r="J40" s="216">
        <v>4461501</v>
      </c>
      <c r="K40" s="216">
        <v>2277880</v>
      </c>
      <c r="L40" s="216">
        <v>1294336</v>
      </c>
      <c r="M40" s="216">
        <v>466276</v>
      </c>
      <c r="N40" s="216">
        <v>35743</v>
      </c>
      <c r="O40" s="216">
        <v>3482</v>
      </c>
      <c r="P40" s="216">
        <v>4301696</v>
      </c>
      <c r="Q40" s="216">
        <v>3942424</v>
      </c>
      <c r="R40" s="233">
        <v>359272</v>
      </c>
      <c r="S40" s="225" t="s">
        <v>217</v>
      </c>
      <c r="T40" s="215"/>
    </row>
    <row r="41" spans="1:21" s="223" customFormat="1" ht="15" customHeight="1" x14ac:dyDescent="0.15">
      <c r="A41" s="215"/>
      <c r="B41" s="236"/>
      <c r="C41" s="235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33"/>
      <c r="S41" s="225"/>
      <c r="T41" s="215"/>
    </row>
    <row r="42" spans="1:21" ht="15" customHeight="1" x14ac:dyDescent="0.15">
      <c r="A42" s="215"/>
      <c r="B42" s="234" t="s">
        <v>570</v>
      </c>
      <c r="C42" s="216">
        <v>4286802</v>
      </c>
      <c r="D42" s="216">
        <v>768134</v>
      </c>
      <c r="E42" s="216">
        <v>487404</v>
      </c>
      <c r="F42" s="216">
        <v>359738</v>
      </c>
      <c r="G42" s="216">
        <v>1329464</v>
      </c>
      <c r="H42" s="216">
        <v>561133</v>
      </c>
      <c r="I42" s="216">
        <v>780929</v>
      </c>
      <c r="J42" s="216">
        <v>408543</v>
      </c>
      <c r="K42" s="216">
        <v>372386</v>
      </c>
      <c r="L42" s="216">
        <v>317176</v>
      </c>
      <c r="M42" s="216">
        <v>40672</v>
      </c>
      <c r="N42" s="216">
        <v>9977</v>
      </c>
      <c r="O42" s="216">
        <v>10959</v>
      </c>
      <c r="P42" s="216">
        <v>1595277</v>
      </c>
      <c r="Q42" s="216">
        <v>1112573</v>
      </c>
      <c r="R42" s="233">
        <v>482704</v>
      </c>
      <c r="S42" s="225" t="s">
        <v>243</v>
      </c>
      <c r="T42" s="215"/>
    </row>
    <row r="43" spans="1:21" ht="15" customHeight="1" x14ac:dyDescent="0.2">
      <c r="A43" s="232"/>
      <c r="B43" s="231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29"/>
      <c r="S43" s="230"/>
      <c r="T43" s="228"/>
      <c r="U43" s="227"/>
    </row>
    <row r="44" spans="1:21" s="223" customFormat="1" ht="15" customHeight="1" x14ac:dyDescent="0.15">
      <c r="A44" s="224"/>
      <c r="B44" s="175" t="s">
        <v>578</v>
      </c>
      <c r="C44" s="206"/>
      <c r="D44" s="206"/>
      <c r="E44" s="206"/>
      <c r="F44" s="206"/>
      <c r="G44" s="206"/>
      <c r="H44" s="206"/>
      <c r="I44" s="206"/>
      <c r="J44" s="206"/>
      <c r="K44" s="206"/>
      <c r="L44" s="176" t="s">
        <v>579</v>
      </c>
      <c r="M44" s="206"/>
      <c r="N44" s="206"/>
      <c r="O44" s="206"/>
      <c r="P44" s="206"/>
      <c r="Q44" s="206"/>
      <c r="R44" s="206"/>
      <c r="S44" s="226"/>
      <c r="T44" s="225"/>
      <c r="U44" s="224"/>
    </row>
    <row r="45" spans="1:21" x14ac:dyDescent="0.2">
      <c r="B45" s="175" t="s">
        <v>582</v>
      </c>
    </row>
  </sheetData>
  <phoneticPr fontId="32"/>
  <pageMargins left="0.59055118110236227" right="0.59055118110236227" top="0.59055118110236227" bottom="0.59055118110236227" header="0.59055118110236227" footer="0.11811023622047245"/>
  <pageSetup paperSize="9" scale="92" orientation="portrait" r:id="rId1"/>
  <headerFooter alignWithMargins="0"/>
  <colBreaks count="1" manualBreakCount="1">
    <brk id="11" max="4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0FC0-6A80-40FA-80F9-EB39CE6A3BC4}">
  <dimension ref="A1:U44"/>
  <sheetViews>
    <sheetView view="pageBreakPreview" zoomScale="130" zoomScaleNormal="50" zoomScaleSheetLayoutView="130" workbookViewId="0"/>
  </sheetViews>
  <sheetFormatPr defaultRowHeight="17.25" x14ac:dyDescent="0.2"/>
  <cols>
    <col min="1" max="1" width="2.625" style="220" customWidth="1"/>
    <col min="2" max="2" width="12.375" style="220" customWidth="1"/>
    <col min="3" max="3" width="8.875" style="220" customWidth="1"/>
    <col min="4" max="6" width="8.375" style="220" customWidth="1"/>
    <col min="7" max="7" width="8.875" style="220" customWidth="1"/>
    <col min="8" max="18" width="8.375" style="220" customWidth="1"/>
    <col min="19" max="19" width="18.625" style="222" customWidth="1"/>
    <col min="20" max="20" width="2.625" style="221" customWidth="1"/>
    <col min="21" max="21" width="6.5" style="220" customWidth="1"/>
    <col min="22" max="16384" width="9" style="220"/>
  </cols>
  <sheetData>
    <row r="1" spans="1:20" s="265" customFormat="1" ht="17.25" customHeight="1" x14ac:dyDescent="0.2">
      <c r="A1" s="812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S1" s="266"/>
      <c r="T1" s="256"/>
    </row>
    <row r="2" spans="1:20" s="256" customFormat="1" ht="17.25" customHeight="1" x14ac:dyDescent="0.2">
      <c r="A2" s="262"/>
      <c r="B2" s="271"/>
      <c r="C2" s="261"/>
      <c r="D2" s="261"/>
      <c r="E2" s="257"/>
      <c r="F2" s="270"/>
      <c r="G2" s="269"/>
      <c r="H2" s="269"/>
      <c r="I2" s="261"/>
      <c r="J2" s="257"/>
      <c r="K2" s="257"/>
      <c r="L2" s="268"/>
      <c r="M2" s="257"/>
      <c r="N2" s="259"/>
      <c r="O2" s="259"/>
      <c r="P2" s="259"/>
      <c r="Q2" s="259"/>
      <c r="R2" s="259"/>
      <c r="S2" s="258"/>
      <c r="T2" s="257"/>
    </row>
    <row r="3" spans="1:20" ht="17.25" customHeight="1" x14ac:dyDescent="0.2">
      <c r="A3" s="255"/>
      <c r="B3" s="214" t="s">
        <v>956</v>
      </c>
      <c r="C3" s="253"/>
      <c r="D3" s="253"/>
      <c r="E3" s="253"/>
      <c r="F3" s="763" t="s">
        <v>227</v>
      </c>
      <c r="G3" s="253" t="s">
        <v>227</v>
      </c>
      <c r="H3" s="253"/>
      <c r="I3" s="253"/>
      <c r="J3" s="253"/>
      <c r="K3" s="253"/>
      <c r="L3" s="252"/>
      <c r="M3" s="252"/>
      <c r="N3" s="251"/>
      <c r="O3" s="640"/>
      <c r="P3" s="640"/>
      <c r="Q3" s="137"/>
      <c r="R3" s="150" t="s">
        <v>722</v>
      </c>
      <c r="S3" s="250"/>
      <c r="T3" s="249"/>
    </row>
    <row r="4" spans="1:20" s="223" customFormat="1" ht="17.25" customHeight="1" x14ac:dyDescent="0.15">
      <c r="A4" s="226"/>
      <c r="B4" s="248"/>
      <c r="C4" s="643"/>
      <c r="D4" s="212"/>
      <c r="E4" s="212"/>
      <c r="F4" s="212"/>
      <c r="G4" s="212"/>
      <c r="H4" s="212"/>
      <c r="I4" s="212"/>
      <c r="J4" s="212"/>
      <c r="K4" s="211"/>
      <c r="L4" s="210"/>
      <c r="M4" s="209"/>
      <c r="N4" s="209"/>
      <c r="O4" s="209"/>
      <c r="P4" s="209"/>
      <c r="Q4" s="208"/>
      <c r="R4" s="207"/>
      <c r="S4" s="644"/>
      <c r="T4" s="208"/>
    </row>
    <row r="5" spans="1:20" s="223" customFormat="1" ht="17.25" customHeight="1" x14ac:dyDescent="0.15">
      <c r="A5" s="246"/>
      <c r="B5" s="247" t="s">
        <v>528</v>
      </c>
      <c r="C5" s="200" t="s">
        <v>240</v>
      </c>
      <c r="D5" s="195" t="s">
        <v>529</v>
      </c>
      <c r="E5" s="195" t="s">
        <v>530</v>
      </c>
      <c r="F5" s="195" t="s">
        <v>531</v>
      </c>
      <c r="G5" s="195" t="s">
        <v>532</v>
      </c>
      <c r="H5" s="195" t="s">
        <v>533</v>
      </c>
      <c r="I5" s="195" t="s">
        <v>534</v>
      </c>
      <c r="J5" s="205"/>
      <c r="K5" s="204"/>
      <c r="L5" s="197" t="s">
        <v>535</v>
      </c>
      <c r="M5" s="198" t="s">
        <v>536</v>
      </c>
      <c r="N5" s="198" t="s">
        <v>537</v>
      </c>
      <c r="O5" s="198" t="s">
        <v>538</v>
      </c>
      <c r="P5" s="203" t="s">
        <v>571</v>
      </c>
      <c r="Q5" s="202"/>
      <c r="R5" s="201"/>
      <c r="S5" s="195" t="s">
        <v>239</v>
      </c>
      <c r="T5" s="208"/>
    </row>
    <row r="6" spans="1:20" s="223" customFormat="1" ht="17.25" customHeight="1" x14ac:dyDescent="0.15">
      <c r="A6" s="246"/>
      <c r="B6" s="247"/>
      <c r="C6" s="200"/>
      <c r="D6" s="195" t="s">
        <v>237</v>
      </c>
      <c r="E6" s="195" t="s">
        <v>237</v>
      </c>
      <c r="F6" s="195" t="s">
        <v>238</v>
      </c>
      <c r="G6" s="195"/>
      <c r="H6" s="195"/>
      <c r="I6" s="195" t="s">
        <v>237</v>
      </c>
      <c r="J6" s="195" t="s">
        <v>236</v>
      </c>
      <c r="K6" s="199" t="s">
        <v>235</v>
      </c>
      <c r="L6" s="197"/>
      <c r="M6" s="198"/>
      <c r="N6" s="198"/>
      <c r="O6" s="198"/>
      <c r="P6" s="198"/>
      <c r="Q6" s="198" t="s">
        <v>540</v>
      </c>
      <c r="R6" s="197" t="s">
        <v>541</v>
      </c>
      <c r="S6" s="195"/>
      <c r="T6" s="208"/>
    </row>
    <row r="7" spans="1:20" s="223" customFormat="1" ht="34.5" customHeight="1" x14ac:dyDescent="0.15">
      <c r="A7" s="246"/>
      <c r="B7" s="245"/>
      <c r="C7" s="194" t="s">
        <v>947</v>
      </c>
      <c r="D7" s="194" t="s">
        <v>234</v>
      </c>
      <c r="E7" s="194" t="s">
        <v>550</v>
      </c>
      <c r="F7" s="194" t="s">
        <v>551</v>
      </c>
      <c r="G7" s="194" t="s">
        <v>233</v>
      </c>
      <c r="H7" s="194" t="s">
        <v>542</v>
      </c>
      <c r="I7" s="194" t="s">
        <v>948</v>
      </c>
      <c r="J7" s="194" t="s">
        <v>552</v>
      </c>
      <c r="K7" s="193" t="s">
        <v>572</v>
      </c>
      <c r="L7" s="192" t="s">
        <v>566</v>
      </c>
      <c r="M7" s="192" t="s">
        <v>232</v>
      </c>
      <c r="N7" s="192" t="s">
        <v>231</v>
      </c>
      <c r="O7" s="191" t="s">
        <v>230</v>
      </c>
      <c r="P7" s="729" t="s">
        <v>554</v>
      </c>
      <c r="Q7" s="190"/>
      <c r="R7" s="190"/>
      <c r="S7" s="649"/>
      <c r="T7" s="208"/>
    </row>
    <row r="8" spans="1:20" s="223" customFormat="1" ht="15" customHeight="1" x14ac:dyDescent="0.15">
      <c r="A8" s="246"/>
      <c r="B8" s="236"/>
      <c r="C8" s="244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2"/>
      <c r="Q8" s="242"/>
      <c r="R8" s="808"/>
      <c r="S8" s="208"/>
      <c r="T8" s="215"/>
    </row>
    <row r="9" spans="1:20" s="223" customFormat="1" ht="15" customHeight="1" x14ac:dyDescent="0.15">
      <c r="A9" s="215"/>
      <c r="B9" s="236" t="s">
        <v>573</v>
      </c>
      <c r="C9" s="235">
        <v>3474039</v>
      </c>
      <c r="D9" s="216">
        <v>836981</v>
      </c>
      <c r="E9" s="216">
        <v>362540</v>
      </c>
      <c r="F9" s="216">
        <v>297972</v>
      </c>
      <c r="G9" s="216">
        <v>693737</v>
      </c>
      <c r="H9" s="216">
        <v>617093</v>
      </c>
      <c r="I9" s="216">
        <v>665716</v>
      </c>
      <c r="J9" s="216">
        <v>398147</v>
      </c>
      <c r="K9" s="216">
        <v>267569</v>
      </c>
      <c r="L9" s="216">
        <v>282953</v>
      </c>
      <c r="M9" s="216">
        <v>58599</v>
      </c>
      <c r="N9" s="216">
        <v>9322</v>
      </c>
      <c r="O9" s="216">
        <v>10714</v>
      </c>
      <c r="P9" s="216">
        <v>1372009</v>
      </c>
      <c r="Q9" s="216">
        <v>872342</v>
      </c>
      <c r="R9" s="233">
        <v>499667</v>
      </c>
      <c r="S9" s="225" t="s">
        <v>228</v>
      </c>
      <c r="T9" s="215"/>
    </row>
    <row r="10" spans="1:20" s="223" customFormat="1" ht="15" customHeight="1" x14ac:dyDescent="0.15">
      <c r="A10" s="215"/>
      <c r="B10" s="236"/>
      <c r="C10" s="235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33"/>
      <c r="S10" s="225"/>
      <c r="T10" s="215"/>
    </row>
    <row r="11" spans="1:20" s="223" customFormat="1" ht="15" customHeight="1" x14ac:dyDescent="0.15">
      <c r="A11" s="215"/>
      <c r="B11" s="240" t="s">
        <v>226</v>
      </c>
      <c r="C11" s="239">
        <v>373540758</v>
      </c>
      <c r="D11" s="238">
        <v>103994940</v>
      </c>
      <c r="E11" s="238">
        <v>69034452</v>
      </c>
      <c r="F11" s="238">
        <v>20510148</v>
      </c>
      <c r="G11" s="238">
        <v>34232801</v>
      </c>
      <c r="H11" s="238">
        <v>85517326</v>
      </c>
      <c r="I11" s="238">
        <v>60251091</v>
      </c>
      <c r="J11" s="238">
        <v>24562087</v>
      </c>
      <c r="K11" s="238">
        <v>35689004</v>
      </c>
      <c r="L11" s="238">
        <v>5891785</v>
      </c>
      <c r="M11" s="238">
        <v>3407953</v>
      </c>
      <c r="N11" s="238">
        <v>104677</v>
      </c>
      <c r="O11" s="238">
        <v>115180</v>
      </c>
      <c r="P11" s="238">
        <v>31846712</v>
      </c>
      <c r="Q11" s="238">
        <v>25303379</v>
      </c>
      <c r="R11" s="809">
        <v>6543333</v>
      </c>
      <c r="S11" s="810" t="s">
        <v>556</v>
      </c>
      <c r="T11" s="215"/>
    </row>
    <row r="12" spans="1:20" s="223" customFormat="1" ht="15" customHeight="1" x14ac:dyDescent="0.15">
      <c r="A12" s="215"/>
      <c r="B12" s="236"/>
      <c r="C12" s="235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33"/>
      <c r="S12" s="225"/>
      <c r="T12" s="215"/>
    </row>
    <row r="13" spans="1:20" s="223" customFormat="1" ht="21" customHeight="1" x14ac:dyDescent="0.15">
      <c r="A13" s="215"/>
      <c r="B13" s="237" t="s">
        <v>959</v>
      </c>
      <c r="C13" s="235">
        <v>175557295</v>
      </c>
      <c r="D13" s="216">
        <v>47962552</v>
      </c>
      <c r="E13" s="216">
        <v>35175775</v>
      </c>
      <c r="F13" s="216">
        <v>11322657</v>
      </c>
      <c r="G13" s="216">
        <v>13033863</v>
      </c>
      <c r="H13" s="216">
        <v>39975944</v>
      </c>
      <c r="I13" s="216">
        <v>28086504</v>
      </c>
      <c r="J13" s="216">
        <v>10529266</v>
      </c>
      <c r="K13" s="216">
        <v>17557238</v>
      </c>
      <c r="L13" s="216">
        <v>2597144</v>
      </c>
      <c r="M13" s="216">
        <v>1752697</v>
      </c>
      <c r="N13" s="216">
        <v>56441</v>
      </c>
      <c r="O13" s="216">
        <v>66530</v>
      </c>
      <c r="P13" s="216">
        <v>4030387</v>
      </c>
      <c r="Q13" s="216">
        <v>2507950</v>
      </c>
      <c r="R13" s="233">
        <v>1522437</v>
      </c>
      <c r="S13" s="225" t="s">
        <v>225</v>
      </c>
      <c r="T13" s="215"/>
    </row>
    <row r="14" spans="1:20" s="223" customFormat="1" ht="15" customHeight="1" x14ac:dyDescent="0.15">
      <c r="A14" s="215"/>
      <c r="B14" s="237"/>
      <c r="C14" s="23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33"/>
      <c r="S14" s="225"/>
      <c r="T14" s="215"/>
    </row>
    <row r="15" spans="1:20" s="223" customFormat="1" ht="15" customHeight="1" x14ac:dyDescent="0.15">
      <c r="A15" s="215"/>
      <c r="B15" s="237" t="s">
        <v>631</v>
      </c>
      <c r="C15" s="235">
        <v>32863248</v>
      </c>
      <c r="D15" s="216">
        <v>2361452</v>
      </c>
      <c r="E15" s="216">
        <v>25867500</v>
      </c>
      <c r="F15" s="216">
        <v>118131</v>
      </c>
      <c r="G15" s="216">
        <v>2001761</v>
      </c>
      <c r="H15" s="216">
        <v>490277</v>
      </c>
      <c r="I15" s="216">
        <v>2024127</v>
      </c>
      <c r="J15" s="216" t="s">
        <v>599</v>
      </c>
      <c r="K15" s="216">
        <v>2024127</v>
      </c>
      <c r="L15" s="216">
        <v>184058</v>
      </c>
      <c r="M15" s="216">
        <v>16726</v>
      </c>
      <c r="N15" s="216">
        <v>2091</v>
      </c>
      <c r="O15" s="216">
        <v>14193</v>
      </c>
      <c r="P15" s="216">
        <v>10916074</v>
      </c>
      <c r="Q15" s="216">
        <v>9093721</v>
      </c>
      <c r="R15" s="233">
        <v>1822353</v>
      </c>
      <c r="S15" s="225" t="s">
        <v>224</v>
      </c>
      <c r="T15" s="215"/>
    </row>
    <row r="16" spans="1:20" s="223" customFormat="1" ht="15" customHeight="1" x14ac:dyDescent="0.15">
      <c r="A16" s="215"/>
      <c r="B16" s="237"/>
      <c r="C16" s="23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33"/>
      <c r="S16" s="225"/>
      <c r="T16" s="215"/>
    </row>
    <row r="17" spans="1:20" s="223" customFormat="1" ht="31.5" customHeight="1" x14ac:dyDescent="0.15">
      <c r="A17" s="215"/>
      <c r="B17" s="241" t="s">
        <v>636</v>
      </c>
      <c r="C17" s="235">
        <v>100863309</v>
      </c>
      <c r="D17" s="216">
        <v>29060270</v>
      </c>
      <c r="E17" s="216">
        <v>6584938</v>
      </c>
      <c r="F17" s="216">
        <v>5445389</v>
      </c>
      <c r="G17" s="216">
        <v>11282371</v>
      </c>
      <c r="H17" s="216">
        <v>28278643</v>
      </c>
      <c r="I17" s="216">
        <v>20211698</v>
      </c>
      <c r="J17" s="216">
        <v>7826958</v>
      </c>
      <c r="K17" s="216">
        <v>12384740</v>
      </c>
      <c r="L17" s="216">
        <v>1507379</v>
      </c>
      <c r="M17" s="216">
        <v>1133206</v>
      </c>
      <c r="N17" s="216">
        <v>13622</v>
      </c>
      <c r="O17" s="216">
        <v>9780</v>
      </c>
      <c r="P17" s="216">
        <v>10102806</v>
      </c>
      <c r="Q17" s="216">
        <v>7546397</v>
      </c>
      <c r="R17" s="233">
        <v>2556409</v>
      </c>
      <c r="S17" s="225" t="s">
        <v>632</v>
      </c>
      <c r="T17" s="215"/>
    </row>
    <row r="18" spans="1:20" s="223" customFormat="1" ht="15" customHeight="1" x14ac:dyDescent="0.15">
      <c r="A18" s="215"/>
      <c r="B18" s="237"/>
      <c r="C18" s="23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33"/>
      <c r="S18" s="225"/>
      <c r="T18" s="215"/>
    </row>
    <row r="19" spans="1:20" s="223" customFormat="1" ht="25.5" customHeight="1" x14ac:dyDescent="0.15">
      <c r="A19" s="215"/>
      <c r="B19" s="237" t="s">
        <v>960</v>
      </c>
      <c r="C19" s="235">
        <v>10913683</v>
      </c>
      <c r="D19" s="216">
        <v>4139647</v>
      </c>
      <c r="E19" s="216">
        <v>496231</v>
      </c>
      <c r="F19" s="216">
        <v>1024</v>
      </c>
      <c r="G19" s="216">
        <v>1545559</v>
      </c>
      <c r="H19" s="216">
        <v>1789244</v>
      </c>
      <c r="I19" s="216">
        <v>2941978</v>
      </c>
      <c r="J19" s="216">
        <v>1478732</v>
      </c>
      <c r="K19" s="216">
        <v>1463246</v>
      </c>
      <c r="L19" s="216">
        <v>455312</v>
      </c>
      <c r="M19" s="216">
        <v>107966</v>
      </c>
      <c r="N19" s="216">
        <v>6810</v>
      </c>
      <c r="O19" s="216">
        <v>21592</v>
      </c>
      <c r="P19" s="216">
        <v>2342706</v>
      </c>
      <c r="Q19" s="216">
        <v>2099283</v>
      </c>
      <c r="R19" s="233">
        <v>243423</v>
      </c>
      <c r="S19" s="225" t="s">
        <v>633</v>
      </c>
      <c r="T19" s="215"/>
    </row>
    <row r="20" spans="1:20" s="223" customFormat="1" ht="15" customHeight="1" x14ac:dyDescent="0.15">
      <c r="A20" s="215"/>
      <c r="B20" s="237"/>
      <c r="C20" s="23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33"/>
      <c r="S20" s="225"/>
      <c r="T20" s="215"/>
    </row>
    <row r="21" spans="1:20" s="223" customFormat="1" ht="31.5" customHeight="1" x14ac:dyDescent="0.15">
      <c r="A21" s="215"/>
      <c r="B21" s="237" t="s">
        <v>961</v>
      </c>
      <c r="C21" s="235">
        <v>214054</v>
      </c>
      <c r="D21" s="216" t="s">
        <v>599</v>
      </c>
      <c r="E21" s="216" t="s">
        <v>599</v>
      </c>
      <c r="F21" s="216">
        <v>2153</v>
      </c>
      <c r="G21" s="216">
        <v>98699</v>
      </c>
      <c r="H21" s="216">
        <v>67187</v>
      </c>
      <c r="I21" s="216">
        <v>46015</v>
      </c>
      <c r="J21" s="216">
        <v>45763</v>
      </c>
      <c r="K21" s="216">
        <v>252</v>
      </c>
      <c r="L21" s="216">
        <v>274</v>
      </c>
      <c r="M21" s="216" t="s">
        <v>599</v>
      </c>
      <c r="N21" s="216">
        <v>8568</v>
      </c>
      <c r="O21" s="216" t="s">
        <v>599</v>
      </c>
      <c r="P21" s="216">
        <v>35119</v>
      </c>
      <c r="Q21" s="216" t="s">
        <v>599</v>
      </c>
      <c r="R21" s="233">
        <v>35119</v>
      </c>
      <c r="S21" s="225" t="s">
        <v>574</v>
      </c>
      <c r="T21" s="215"/>
    </row>
    <row r="22" spans="1:20" s="223" customFormat="1" ht="15" customHeight="1" x14ac:dyDescent="0.15">
      <c r="A22" s="215"/>
      <c r="B22" s="237"/>
      <c r="C22" s="235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33"/>
      <c r="S22" s="225"/>
      <c r="T22" s="215"/>
    </row>
    <row r="23" spans="1:20" s="223" customFormat="1" ht="21" customHeight="1" x14ac:dyDescent="0.15">
      <c r="A23" s="215"/>
      <c r="B23" s="658" t="s">
        <v>952</v>
      </c>
      <c r="C23" s="235" t="s">
        <v>599</v>
      </c>
      <c r="D23" s="216" t="s">
        <v>599</v>
      </c>
      <c r="E23" s="216" t="s">
        <v>599</v>
      </c>
      <c r="F23" s="216" t="s">
        <v>599</v>
      </c>
      <c r="G23" s="216" t="s">
        <v>599</v>
      </c>
      <c r="H23" s="216" t="s">
        <v>599</v>
      </c>
      <c r="I23" s="216" t="s">
        <v>599</v>
      </c>
      <c r="J23" s="216" t="s">
        <v>599</v>
      </c>
      <c r="K23" s="216" t="s">
        <v>599</v>
      </c>
      <c r="L23" s="216" t="s">
        <v>599</v>
      </c>
      <c r="M23" s="216" t="s">
        <v>599</v>
      </c>
      <c r="N23" s="216" t="s">
        <v>599</v>
      </c>
      <c r="O23" s="216" t="s">
        <v>599</v>
      </c>
      <c r="P23" s="216" t="s">
        <v>599</v>
      </c>
      <c r="Q23" s="216" t="s">
        <v>599</v>
      </c>
      <c r="R23" s="233" t="s">
        <v>599</v>
      </c>
      <c r="S23" s="225" t="s">
        <v>246</v>
      </c>
      <c r="T23" s="215"/>
    </row>
    <row r="24" spans="1:20" s="223" customFormat="1" ht="15" customHeight="1" x14ac:dyDescent="0.15">
      <c r="A24" s="215"/>
      <c r="B24" s="237"/>
      <c r="C24" s="23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33"/>
      <c r="S24" s="225"/>
      <c r="T24" s="215"/>
    </row>
    <row r="25" spans="1:20" s="223" customFormat="1" ht="15" customHeight="1" x14ac:dyDescent="0.15">
      <c r="A25" s="215"/>
      <c r="B25" s="237" t="s">
        <v>634</v>
      </c>
      <c r="C25" s="235">
        <v>53129169</v>
      </c>
      <c r="D25" s="216">
        <v>20471019</v>
      </c>
      <c r="E25" s="216">
        <v>910008</v>
      </c>
      <c r="F25" s="216">
        <v>3620794</v>
      </c>
      <c r="G25" s="216">
        <v>6270548</v>
      </c>
      <c r="H25" s="216">
        <v>14916031</v>
      </c>
      <c r="I25" s="216">
        <v>6940769</v>
      </c>
      <c r="J25" s="216">
        <v>4681368</v>
      </c>
      <c r="K25" s="216">
        <v>2259401</v>
      </c>
      <c r="L25" s="216">
        <v>1147618</v>
      </c>
      <c r="M25" s="216">
        <v>397358</v>
      </c>
      <c r="N25" s="216">
        <v>17145</v>
      </c>
      <c r="O25" s="216">
        <v>3085</v>
      </c>
      <c r="P25" s="216">
        <v>4419620</v>
      </c>
      <c r="Q25" s="216">
        <v>4056028</v>
      </c>
      <c r="R25" s="233">
        <v>363592</v>
      </c>
      <c r="S25" s="225" t="s">
        <v>575</v>
      </c>
      <c r="T25" s="215"/>
    </row>
    <row r="26" spans="1:20" s="223" customFormat="1" ht="15" customHeight="1" x14ac:dyDescent="0.15">
      <c r="A26" s="215"/>
      <c r="B26" s="236"/>
      <c r="C26" s="23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33"/>
      <c r="S26" s="225"/>
      <c r="T26" s="215"/>
    </row>
    <row r="27" spans="1:20" s="223" customFormat="1" ht="15" customHeight="1" x14ac:dyDescent="0.15">
      <c r="A27" s="215"/>
      <c r="B27" s="240" t="s">
        <v>222</v>
      </c>
      <c r="C27" s="239">
        <v>373528440</v>
      </c>
      <c r="D27" s="238">
        <v>104069730</v>
      </c>
      <c r="E27" s="238">
        <v>69103156</v>
      </c>
      <c r="F27" s="238">
        <v>20523307</v>
      </c>
      <c r="G27" s="238">
        <v>34216215</v>
      </c>
      <c r="H27" s="238">
        <v>85513656</v>
      </c>
      <c r="I27" s="238">
        <v>60102376</v>
      </c>
      <c r="J27" s="238">
        <v>24554234</v>
      </c>
      <c r="K27" s="238">
        <v>35548142</v>
      </c>
      <c r="L27" s="238">
        <v>5858642</v>
      </c>
      <c r="M27" s="238">
        <v>3416667</v>
      </c>
      <c r="N27" s="238">
        <v>104301</v>
      </c>
      <c r="O27" s="238">
        <v>116536</v>
      </c>
      <c r="P27" s="238">
        <v>31696028</v>
      </c>
      <c r="Q27" s="238">
        <v>25091170</v>
      </c>
      <c r="R27" s="809">
        <v>6604858</v>
      </c>
      <c r="S27" s="811" t="s">
        <v>558</v>
      </c>
      <c r="T27" s="215"/>
    </row>
    <row r="28" spans="1:20" s="223" customFormat="1" ht="15" customHeight="1" x14ac:dyDescent="0.15">
      <c r="A28" s="215"/>
      <c r="B28" s="236"/>
      <c r="C28" s="23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33"/>
      <c r="S28" s="225"/>
      <c r="T28" s="215"/>
    </row>
    <row r="29" spans="1:20" s="223" customFormat="1" ht="21" customHeight="1" x14ac:dyDescent="0.15">
      <c r="A29" s="215"/>
      <c r="B29" s="237" t="s">
        <v>245</v>
      </c>
      <c r="C29" s="235">
        <v>189881154</v>
      </c>
      <c r="D29" s="216">
        <v>55775961</v>
      </c>
      <c r="E29" s="216">
        <v>43850350</v>
      </c>
      <c r="F29" s="216">
        <v>4645740</v>
      </c>
      <c r="G29" s="216">
        <v>17523777</v>
      </c>
      <c r="H29" s="216">
        <v>41251067</v>
      </c>
      <c r="I29" s="216">
        <v>26834259</v>
      </c>
      <c r="J29" s="216">
        <v>15126816</v>
      </c>
      <c r="K29" s="216">
        <v>11707443</v>
      </c>
      <c r="L29" s="216">
        <v>2125067</v>
      </c>
      <c r="M29" s="216">
        <v>2336842</v>
      </c>
      <c r="N29" s="216">
        <v>54745</v>
      </c>
      <c r="O29" s="216">
        <v>59195</v>
      </c>
      <c r="P29" s="216">
        <v>17139040</v>
      </c>
      <c r="Q29" s="216">
        <v>14043569</v>
      </c>
      <c r="R29" s="233">
        <v>3095471</v>
      </c>
      <c r="S29" s="225" t="s">
        <v>576</v>
      </c>
      <c r="T29" s="215"/>
    </row>
    <row r="30" spans="1:20" s="223" customFormat="1" ht="15" customHeight="1" x14ac:dyDescent="0.15">
      <c r="A30" s="215"/>
      <c r="B30" s="237"/>
      <c r="C30" s="235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33"/>
      <c r="S30" s="225"/>
      <c r="T30" s="215"/>
    </row>
    <row r="31" spans="1:20" s="223" customFormat="1" ht="31.5" customHeight="1" x14ac:dyDescent="0.15">
      <c r="A31" s="215"/>
      <c r="B31" s="237" t="s">
        <v>244</v>
      </c>
      <c r="C31" s="235">
        <v>101430278</v>
      </c>
      <c r="D31" s="216">
        <v>23844968</v>
      </c>
      <c r="E31" s="216">
        <v>23671981</v>
      </c>
      <c r="F31" s="216">
        <v>5153390</v>
      </c>
      <c r="G31" s="216">
        <v>9353216</v>
      </c>
      <c r="H31" s="216">
        <v>21458406</v>
      </c>
      <c r="I31" s="216">
        <v>17948317</v>
      </c>
      <c r="J31" s="216">
        <v>4835320</v>
      </c>
      <c r="K31" s="216">
        <v>13112997</v>
      </c>
      <c r="L31" s="216">
        <v>1663008</v>
      </c>
      <c r="M31" s="216">
        <v>670958</v>
      </c>
      <c r="N31" s="216">
        <v>13519</v>
      </c>
      <c r="O31" s="216">
        <v>22533</v>
      </c>
      <c r="P31" s="216">
        <v>9918440</v>
      </c>
      <c r="Q31" s="216">
        <v>6775701</v>
      </c>
      <c r="R31" s="233">
        <v>3142739</v>
      </c>
      <c r="S31" s="225" t="s">
        <v>577</v>
      </c>
      <c r="T31" s="215"/>
    </row>
    <row r="32" spans="1:20" s="223" customFormat="1" ht="15" customHeight="1" x14ac:dyDescent="0.15">
      <c r="A32" s="215"/>
      <c r="B32" s="237"/>
      <c r="C32" s="235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33"/>
      <c r="S32" s="225"/>
      <c r="T32" s="215"/>
    </row>
    <row r="33" spans="1:21" s="223" customFormat="1" ht="15" customHeight="1" x14ac:dyDescent="0.15">
      <c r="A33" s="215"/>
      <c r="B33" s="237" t="s">
        <v>567</v>
      </c>
      <c r="C33" s="235">
        <v>29347208</v>
      </c>
      <c r="D33" s="216">
        <v>4360883</v>
      </c>
      <c r="E33" s="216" t="s">
        <v>599</v>
      </c>
      <c r="F33" s="216">
        <v>7234623</v>
      </c>
      <c r="G33" s="216">
        <v>1122791</v>
      </c>
      <c r="H33" s="216">
        <v>7995993</v>
      </c>
      <c r="I33" s="216">
        <v>8632918</v>
      </c>
      <c r="J33" s="216">
        <v>173141</v>
      </c>
      <c r="K33" s="216">
        <v>8459777</v>
      </c>
      <c r="L33" s="216">
        <v>765879</v>
      </c>
      <c r="M33" s="216">
        <v>11421</v>
      </c>
      <c r="N33" s="216">
        <v>683</v>
      </c>
      <c r="O33" s="216">
        <v>31107</v>
      </c>
      <c r="P33" s="216">
        <v>249331</v>
      </c>
      <c r="Q33" s="216">
        <v>241818</v>
      </c>
      <c r="R33" s="233">
        <v>7513</v>
      </c>
      <c r="S33" s="225" t="s">
        <v>219</v>
      </c>
      <c r="T33" s="215"/>
    </row>
    <row r="34" spans="1:21" s="223" customFormat="1" ht="15" customHeight="1" x14ac:dyDescent="0.15">
      <c r="A34" s="215"/>
      <c r="B34" s="237"/>
      <c r="C34" s="235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33"/>
      <c r="S34" s="225"/>
      <c r="T34" s="215"/>
    </row>
    <row r="35" spans="1:21" s="223" customFormat="1" ht="31.5" customHeight="1" x14ac:dyDescent="0.15">
      <c r="A35" s="215"/>
      <c r="B35" s="237" t="s">
        <v>962</v>
      </c>
      <c r="C35" s="235">
        <v>214328</v>
      </c>
      <c r="D35" s="216">
        <v>1</v>
      </c>
      <c r="E35" s="216" t="s">
        <v>599</v>
      </c>
      <c r="F35" s="216">
        <v>32167</v>
      </c>
      <c r="G35" s="216">
        <v>69614</v>
      </c>
      <c r="H35" s="216">
        <v>68333</v>
      </c>
      <c r="I35" s="216">
        <v>44213</v>
      </c>
      <c r="J35" s="216">
        <v>249</v>
      </c>
      <c r="K35" s="216">
        <v>43964</v>
      </c>
      <c r="L35" s="216">
        <v>8568</v>
      </c>
      <c r="M35" s="216" t="s">
        <v>599</v>
      </c>
      <c r="N35" s="216" t="s">
        <v>599</v>
      </c>
      <c r="O35" s="216" t="s">
        <v>599</v>
      </c>
      <c r="P35" s="216">
        <v>35119</v>
      </c>
      <c r="Q35" s="216">
        <v>35119</v>
      </c>
      <c r="R35" s="233" t="s">
        <v>599</v>
      </c>
      <c r="S35" s="225" t="s">
        <v>568</v>
      </c>
      <c r="T35" s="215"/>
    </row>
    <row r="36" spans="1:21" s="223" customFormat="1" ht="15" customHeight="1" x14ac:dyDescent="0.15">
      <c r="A36" s="215"/>
      <c r="B36" s="237"/>
      <c r="C36" s="235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33"/>
      <c r="S36" s="225"/>
      <c r="T36" s="215"/>
    </row>
    <row r="37" spans="1:21" s="223" customFormat="1" ht="15" customHeight="1" x14ac:dyDescent="0.15">
      <c r="A37" s="215"/>
      <c r="B37" s="237" t="s">
        <v>569</v>
      </c>
      <c r="C37" s="235">
        <v>32565</v>
      </c>
      <c r="D37" s="216">
        <v>167</v>
      </c>
      <c r="E37" s="216">
        <v>54</v>
      </c>
      <c r="F37" s="216" t="s">
        <v>599</v>
      </c>
      <c r="G37" s="216">
        <v>3221</v>
      </c>
      <c r="H37" s="216">
        <v>556</v>
      </c>
      <c r="I37" s="216">
        <v>28567</v>
      </c>
      <c r="J37" s="216">
        <v>17595</v>
      </c>
      <c r="K37" s="216">
        <v>10972</v>
      </c>
      <c r="L37" s="216">
        <v>54761</v>
      </c>
      <c r="M37" s="216">
        <v>243</v>
      </c>
      <c r="N37" s="216">
        <v>1</v>
      </c>
      <c r="O37" s="216" t="s">
        <v>599</v>
      </c>
      <c r="P37" s="216" t="s">
        <v>599</v>
      </c>
      <c r="Q37" s="216" t="s">
        <v>599</v>
      </c>
      <c r="R37" s="233" t="s">
        <v>599</v>
      </c>
      <c r="S37" s="225" t="s">
        <v>218</v>
      </c>
      <c r="T37" s="215"/>
    </row>
    <row r="38" spans="1:21" s="223" customFormat="1" ht="15" customHeight="1" x14ac:dyDescent="0.15">
      <c r="A38" s="215"/>
      <c r="B38" s="237"/>
      <c r="C38" s="235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33"/>
      <c r="S38" s="225"/>
      <c r="T38" s="215"/>
    </row>
    <row r="39" spans="1:21" s="223" customFormat="1" ht="15" customHeight="1" x14ac:dyDescent="0.15">
      <c r="A39" s="215"/>
      <c r="B39" s="237" t="s">
        <v>635</v>
      </c>
      <c r="C39" s="235">
        <v>52622907</v>
      </c>
      <c r="D39" s="216">
        <v>20087750</v>
      </c>
      <c r="E39" s="216">
        <v>1580771</v>
      </c>
      <c r="F39" s="216">
        <v>3457387</v>
      </c>
      <c r="G39" s="216">
        <v>6143596</v>
      </c>
      <c r="H39" s="216">
        <v>14739301</v>
      </c>
      <c r="I39" s="216">
        <v>6614102</v>
      </c>
      <c r="J39" s="216">
        <v>4401113</v>
      </c>
      <c r="K39" s="216">
        <v>2212989</v>
      </c>
      <c r="L39" s="216">
        <v>1241359</v>
      </c>
      <c r="M39" s="216">
        <v>397203</v>
      </c>
      <c r="N39" s="216">
        <v>35353</v>
      </c>
      <c r="O39" s="216">
        <v>3701</v>
      </c>
      <c r="P39" s="216">
        <v>4354098</v>
      </c>
      <c r="Q39" s="216">
        <v>3994963</v>
      </c>
      <c r="R39" s="233">
        <v>359135</v>
      </c>
      <c r="S39" s="225" t="s">
        <v>217</v>
      </c>
      <c r="T39" s="215"/>
    </row>
    <row r="40" spans="1:21" s="223" customFormat="1" ht="15" customHeight="1" x14ac:dyDescent="0.15">
      <c r="A40" s="215"/>
      <c r="B40" s="236"/>
      <c r="C40" s="235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33"/>
      <c r="S40" s="225"/>
      <c r="T40" s="215"/>
    </row>
    <row r="41" spans="1:21" ht="15" customHeight="1" x14ac:dyDescent="0.15">
      <c r="A41" s="215"/>
      <c r="B41" s="234" t="s">
        <v>570</v>
      </c>
      <c r="C41" s="216">
        <v>3486357</v>
      </c>
      <c r="D41" s="216">
        <v>762191</v>
      </c>
      <c r="E41" s="216">
        <v>293836</v>
      </c>
      <c r="F41" s="216">
        <v>284813</v>
      </c>
      <c r="G41" s="216">
        <v>710323</v>
      </c>
      <c r="H41" s="216">
        <v>620763</v>
      </c>
      <c r="I41" s="216">
        <v>814431</v>
      </c>
      <c r="J41" s="216">
        <v>406000</v>
      </c>
      <c r="K41" s="216">
        <v>408431</v>
      </c>
      <c r="L41" s="216">
        <v>316096</v>
      </c>
      <c r="M41" s="216">
        <v>49885</v>
      </c>
      <c r="N41" s="216">
        <v>9698</v>
      </c>
      <c r="O41" s="216">
        <v>9358</v>
      </c>
      <c r="P41" s="216">
        <v>1522693</v>
      </c>
      <c r="Q41" s="216">
        <v>1084551</v>
      </c>
      <c r="R41" s="233">
        <v>438142</v>
      </c>
      <c r="S41" s="225" t="s">
        <v>243</v>
      </c>
      <c r="T41" s="215"/>
    </row>
    <row r="42" spans="1:21" ht="15" customHeight="1" x14ac:dyDescent="0.2">
      <c r="A42" s="232"/>
      <c r="B42" s="231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29"/>
      <c r="S42" s="230"/>
      <c r="T42" s="228"/>
      <c r="U42" s="227"/>
    </row>
    <row r="43" spans="1:21" s="223" customFormat="1" ht="15" customHeight="1" x14ac:dyDescent="0.15">
      <c r="A43" s="224"/>
      <c r="B43" s="175" t="s">
        <v>578</v>
      </c>
      <c r="C43" s="206"/>
      <c r="D43" s="206"/>
      <c r="E43" s="206"/>
      <c r="F43" s="206"/>
      <c r="G43" s="206"/>
      <c r="H43" s="206"/>
      <c r="I43" s="206"/>
      <c r="J43" s="206"/>
      <c r="K43" s="206"/>
      <c r="L43" s="176" t="s">
        <v>579</v>
      </c>
      <c r="M43" s="206"/>
      <c r="N43" s="206"/>
      <c r="O43" s="206"/>
      <c r="P43" s="206"/>
      <c r="Q43" s="206"/>
      <c r="R43" s="206"/>
      <c r="S43" s="226"/>
      <c r="T43" s="225"/>
      <c r="U43" s="224"/>
    </row>
    <row r="44" spans="1:21" x14ac:dyDescent="0.2">
      <c r="B44" s="175" t="s">
        <v>582</v>
      </c>
    </row>
  </sheetData>
  <phoneticPr fontId="32"/>
  <pageMargins left="0.59055118110236227" right="0.59055118110236227" top="0.59055118110236227" bottom="0.59055118110236227" header="0.59055118110236227" footer="0.11811023622047245"/>
  <pageSetup paperSize="9" scale="92" orientation="portrait" r:id="rId1"/>
  <headerFooter alignWithMargins="0"/>
  <colBreaks count="1" manualBreakCount="1">
    <brk id="11" max="4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B5C6-2FAB-43E4-B30D-E377811CF461}">
  <dimension ref="A1:X42"/>
  <sheetViews>
    <sheetView view="pageBreakPreview" zoomScaleNormal="70" zoomScaleSheetLayoutView="100" workbookViewId="0"/>
  </sheetViews>
  <sheetFormatPr defaultRowHeight="13.5" x14ac:dyDescent="0.15"/>
  <cols>
    <col min="1" max="1" width="2.625" style="220" customWidth="1"/>
    <col min="2" max="2" width="3.375" style="220" customWidth="1"/>
    <col min="3" max="3" width="3.25" style="220" customWidth="1"/>
    <col min="4" max="4" width="6.125" style="220" customWidth="1"/>
    <col min="5" max="5" width="0.875" style="220" customWidth="1"/>
    <col min="6" max="6" width="9.25" style="220" customWidth="1"/>
    <col min="7" max="12" width="8.375" style="220" customWidth="1"/>
    <col min="13" max="13" width="8.125" style="220" customWidth="1"/>
    <col min="14" max="18" width="8.375" style="220" customWidth="1"/>
    <col min="19" max="19" width="10.125" style="220" customWidth="1"/>
    <col min="20" max="21" width="9.625" style="220" customWidth="1"/>
    <col min="22" max="22" width="8.25" style="220" customWidth="1"/>
    <col min="23" max="23" width="2.625" style="221" customWidth="1"/>
    <col min="24" max="24" width="6.875" style="220" customWidth="1"/>
    <col min="25" max="16384" width="9" style="220"/>
  </cols>
  <sheetData>
    <row r="1" spans="1:24" ht="16.5" customHeight="1" x14ac:dyDescent="0.2">
      <c r="G1" s="301"/>
      <c r="I1" s="300"/>
      <c r="T1" s="672"/>
      <c r="W1" s="220"/>
    </row>
    <row r="2" spans="1:24" s="295" customFormat="1" ht="16.5" customHeight="1" x14ac:dyDescent="0.15">
      <c r="R2" s="299"/>
      <c r="T2" s="298"/>
      <c r="U2" s="298"/>
      <c r="W2" s="297"/>
      <c r="X2" s="296"/>
    </row>
    <row r="3" spans="1:24" s="173" customFormat="1" ht="16.5" customHeight="1" x14ac:dyDescent="0.15">
      <c r="A3" s="685"/>
      <c r="B3" s="294" t="s">
        <v>963</v>
      </c>
      <c r="C3" s="673"/>
      <c r="D3" s="673"/>
      <c r="E3" s="673"/>
      <c r="F3" s="293"/>
      <c r="G3" s="674"/>
      <c r="H3" s="293"/>
      <c r="I3" s="293"/>
      <c r="J3" s="675"/>
      <c r="K3" s="675"/>
      <c r="L3" s="293"/>
      <c r="M3" s="293"/>
      <c r="N3" s="293"/>
      <c r="O3" s="764"/>
      <c r="P3" s="293"/>
      <c r="Q3" s="293"/>
      <c r="R3" s="676"/>
      <c r="S3" s="677"/>
      <c r="T3" s="640"/>
      <c r="U3" s="150" t="s">
        <v>476</v>
      </c>
      <c r="V3" s="293"/>
      <c r="W3" s="174"/>
    </row>
    <row r="4" spans="1:24" s="678" customFormat="1" ht="21.95" customHeight="1" x14ac:dyDescent="0.15">
      <c r="A4" s="292"/>
      <c r="B4" s="447"/>
      <c r="C4" s="447"/>
      <c r="D4" s="447"/>
      <c r="E4" s="725"/>
      <c r="F4" s="643"/>
      <c r="G4" s="212"/>
      <c r="H4" s="212"/>
      <c r="I4" s="212"/>
      <c r="J4" s="212"/>
      <c r="K4" s="212"/>
      <c r="L4" s="212"/>
      <c r="M4" s="212"/>
      <c r="N4" s="211"/>
      <c r="O4" s="210"/>
      <c r="P4" s="209"/>
      <c r="Q4" s="209"/>
      <c r="R4" s="209"/>
      <c r="S4" s="209"/>
      <c r="T4" s="208"/>
      <c r="U4" s="207"/>
      <c r="V4" s="1017" t="s">
        <v>580</v>
      </c>
      <c r="W4" s="273"/>
    </row>
    <row r="5" spans="1:24" s="678" customFormat="1" ht="21.95" customHeight="1" x14ac:dyDescent="0.15">
      <c r="A5" s="447"/>
      <c r="B5" s="1007" t="s">
        <v>581</v>
      </c>
      <c r="C5" s="1007"/>
      <c r="D5" s="1007"/>
      <c r="E5" s="1008"/>
      <c r="F5" s="200" t="s">
        <v>240</v>
      </c>
      <c r="G5" s="195" t="s">
        <v>529</v>
      </c>
      <c r="H5" s="195" t="s">
        <v>530</v>
      </c>
      <c r="I5" s="195" t="s">
        <v>531</v>
      </c>
      <c r="J5" s="195" t="s">
        <v>532</v>
      </c>
      <c r="K5" s="195" t="s">
        <v>533</v>
      </c>
      <c r="L5" s="195" t="s">
        <v>534</v>
      </c>
      <c r="M5" s="205"/>
      <c r="N5" s="204"/>
      <c r="O5" s="197" t="s">
        <v>535</v>
      </c>
      <c r="P5" s="198" t="s">
        <v>536</v>
      </c>
      <c r="Q5" s="198" t="s">
        <v>537</v>
      </c>
      <c r="R5" s="198" t="s">
        <v>538</v>
      </c>
      <c r="S5" s="203" t="s">
        <v>539</v>
      </c>
      <c r="T5" s="202"/>
      <c r="U5" s="201"/>
      <c r="V5" s="1018"/>
      <c r="W5" s="273"/>
      <c r="X5" s="679" t="s">
        <v>237</v>
      </c>
    </row>
    <row r="6" spans="1:24" s="681" customFormat="1" ht="21.95" customHeight="1" x14ac:dyDescent="0.15">
      <c r="A6" s="447"/>
      <c r="B6" s="447"/>
      <c r="C6" s="447"/>
      <c r="D6" s="447"/>
      <c r="E6" s="725"/>
      <c r="F6" s="200"/>
      <c r="G6" s="195" t="s">
        <v>237</v>
      </c>
      <c r="H6" s="195" t="s">
        <v>237</v>
      </c>
      <c r="I6" s="680" t="s">
        <v>238</v>
      </c>
      <c r="J6" s="195"/>
      <c r="K6" s="195"/>
      <c r="L6" s="195" t="s">
        <v>237</v>
      </c>
      <c r="M6" s="195" t="s">
        <v>236</v>
      </c>
      <c r="N6" s="199" t="s">
        <v>235</v>
      </c>
      <c r="O6" s="197"/>
      <c r="P6" s="198"/>
      <c r="Q6" s="198"/>
      <c r="R6" s="198"/>
      <c r="S6" s="198"/>
      <c r="T6" s="198" t="s">
        <v>540</v>
      </c>
      <c r="U6" s="197" t="s">
        <v>541</v>
      </c>
      <c r="V6" s="1018"/>
      <c r="W6" s="273"/>
      <c r="X6" s="679" t="s">
        <v>237</v>
      </c>
    </row>
    <row r="7" spans="1:24" s="678" customFormat="1" ht="33.75" customHeight="1" x14ac:dyDescent="0.15">
      <c r="A7" s="292"/>
      <c r="B7" s="726"/>
      <c r="C7" s="726"/>
      <c r="D7" s="726"/>
      <c r="E7" s="727"/>
      <c r="F7" s="194" t="s">
        <v>947</v>
      </c>
      <c r="G7" s="194" t="s">
        <v>234</v>
      </c>
      <c r="H7" s="194" t="s">
        <v>550</v>
      </c>
      <c r="I7" s="194" t="s">
        <v>551</v>
      </c>
      <c r="J7" s="194" t="s">
        <v>233</v>
      </c>
      <c r="K7" s="194" t="s">
        <v>542</v>
      </c>
      <c r="L7" s="194" t="s">
        <v>948</v>
      </c>
      <c r="M7" s="194" t="s">
        <v>552</v>
      </c>
      <c r="N7" s="193" t="s">
        <v>553</v>
      </c>
      <c r="O7" s="192" t="s">
        <v>242</v>
      </c>
      <c r="P7" s="192" t="s">
        <v>232</v>
      </c>
      <c r="Q7" s="192" t="s">
        <v>231</v>
      </c>
      <c r="R7" s="191" t="s">
        <v>230</v>
      </c>
      <c r="S7" s="729" t="s">
        <v>554</v>
      </c>
      <c r="T7" s="190"/>
      <c r="U7" s="190"/>
      <c r="V7" s="1019"/>
      <c r="W7" s="273"/>
      <c r="X7" s="679" t="s">
        <v>237</v>
      </c>
    </row>
    <row r="8" spans="1:24" s="86" customFormat="1" ht="21" customHeight="1" x14ac:dyDescent="0.15">
      <c r="A8" s="169"/>
      <c r="B8" s="796" t="s">
        <v>249</v>
      </c>
      <c r="C8" s="796" t="s">
        <v>901</v>
      </c>
      <c r="D8" s="813"/>
      <c r="E8" s="291"/>
      <c r="F8" s="280">
        <v>169778881</v>
      </c>
      <c r="G8" s="280">
        <v>50999119</v>
      </c>
      <c r="H8" s="280">
        <v>43329516</v>
      </c>
      <c r="I8" s="280">
        <v>4848157</v>
      </c>
      <c r="J8" s="280">
        <v>15357622</v>
      </c>
      <c r="K8" s="280">
        <v>33851517</v>
      </c>
      <c r="L8" s="280">
        <v>21392950</v>
      </c>
      <c r="M8" s="280">
        <v>11364175</v>
      </c>
      <c r="N8" s="280">
        <v>10028775</v>
      </c>
      <c r="O8" s="280">
        <v>1562538</v>
      </c>
      <c r="P8" s="280">
        <v>1982356</v>
      </c>
      <c r="Q8" s="280">
        <v>54123</v>
      </c>
      <c r="R8" s="280">
        <v>43858</v>
      </c>
      <c r="S8" s="187">
        <v>11961198</v>
      </c>
      <c r="T8" s="187">
        <v>9723578</v>
      </c>
      <c r="U8" s="814">
        <v>2237620</v>
      </c>
      <c r="V8" s="815" t="s">
        <v>902</v>
      </c>
      <c r="W8" s="108"/>
      <c r="X8" s="730"/>
    </row>
    <row r="9" spans="1:24" s="86" customFormat="1" ht="21" customHeight="1" x14ac:dyDescent="0.15">
      <c r="A9" s="169"/>
      <c r="B9" s="282" t="s">
        <v>903</v>
      </c>
      <c r="C9" s="290">
        <v>1</v>
      </c>
      <c r="D9" s="108"/>
      <c r="E9" s="289"/>
      <c r="F9" s="280">
        <v>165514014</v>
      </c>
      <c r="G9" s="280">
        <v>49784797</v>
      </c>
      <c r="H9" s="280">
        <v>43768988</v>
      </c>
      <c r="I9" s="280">
        <v>5198787</v>
      </c>
      <c r="J9" s="280">
        <v>14354693</v>
      </c>
      <c r="K9" s="280">
        <v>34041510</v>
      </c>
      <c r="L9" s="280">
        <v>18365239</v>
      </c>
      <c r="M9" s="280">
        <v>10620746</v>
      </c>
      <c r="N9" s="280">
        <v>7744493</v>
      </c>
      <c r="O9" s="280">
        <v>1578055</v>
      </c>
      <c r="P9" s="280">
        <v>1872588</v>
      </c>
      <c r="Q9" s="280">
        <v>48606</v>
      </c>
      <c r="R9" s="280">
        <v>43514</v>
      </c>
      <c r="S9" s="187">
        <v>10937270</v>
      </c>
      <c r="T9" s="187">
        <v>9351592</v>
      </c>
      <c r="U9" s="186">
        <v>1585678</v>
      </c>
      <c r="V9" s="125" t="s">
        <v>905</v>
      </c>
      <c r="W9" s="108"/>
      <c r="X9" s="730"/>
    </row>
    <row r="10" spans="1:24" s="86" customFormat="1" ht="21" customHeight="1" x14ac:dyDescent="0.15">
      <c r="A10" s="169"/>
      <c r="B10" s="282" t="s">
        <v>248</v>
      </c>
      <c r="C10" s="290">
        <v>2</v>
      </c>
      <c r="D10" s="108"/>
      <c r="E10" s="289"/>
      <c r="F10" s="280">
        <v>151715317</v>
      </c>
      <c r="G10" s="280">
        <v>46051586</v>
      </c>
      <c r="H10" s="280">
        <v>40055286</v>
      </c>
      <c r="I10" s="280">
        <v>3244887</v>
      </c>
      <c r="J10" s="280">
        <v>14074518</v>
      </c>
      <c r="K10" s="280">
        <v>32036730</v>
      </c>
      <c r="L10" s="280">
        <v>16252310</v>
      </c>
      <c r="M10" s="280">
        <v>10028445</v>
      </c>
      <c r="N10" s="280">
        <v>6223865</v>
      </c>
      <c r="O10" s="280">
        <v>1419764</v>
      </c>
      <c r="P10" s="280">
        <v>1917093</v>
      </c>
      <c r="Q10" s="280">
        <v>45723</v>
      </c>
      <c r="R10" s="280">
        <v>39833</v>
      </c>
      <c r="S10" s="187">
        <v>10302518</v>
      </c>
      <c r="T10" s="187">
        <v>9164956</v>
      </c>
      <c r="U10" s="186">
        <v>1137562</v>
      </c>
      <c r="V10" s="125" t="s">
        <v>906</v>
      </c>
      <c r="W10" s="108"/>
      <c r="X10" s="730"/>
    </row>
    <row r="11" spans="1:24" s="86" customFormat="1" ht="21" customHeight="1" x14ac:dyDescent="0.15">
      <c r="A11" s="169"/>
      <c r="B11" s="282" t="s">
        <v>248</v>
      </c>
      <c r="C11" s="290">
        <v>3</v>
      </c>
      <c r="D11" s="108"/>
      <c r="E11" s="289"/>
      <c r="F11" s="280">
        <v>154214620</v>
      </c>
      <c r="G11" s="280">
        <v>44767547</v>
      </c>
      <c r="H11" s="280">
        <v>42790793</v>
      </c>
      <c r="I11" s="280">
        <v>3174862</v>
      </c>
      <c r="J11" s="280">
        <v>13508544</v>
      </c>
      <c r="K11" s="280">
        <v>32139599</v>
      </c>
      <c r="L11" s="280">
        <v>17833275</v>
      </c>
      <c r="M11" s="280">
        <v>10000213</v>
      </c>
      <c r="N11" s="280">
        <v>7833062</v>
      </c>
      <c r="O11" s="280">
        <v>1469039</v>
      </c>
      <c r="P11" s="280">
        <v>1797846</v>
      </c>
      <c r="Q11" s="280">
        <v>50335</v>
      </c>
      <c r="R11" s="280">
        <v>44366</v>
      </c>
      <c r="S11" s="816">
        <v>11366012</v>
      </c>
      <c r="T11" s="816">
        <v>9629866</v>
      </c>
      <c r="U11" s="817">
        <v>1736146</v>
      </c>
      <c r="V11" s="125" t="s">
        <v>907</v>
      </c>
      <c r="W11" s="108"/>
      <c r="X11" s="730"/>
    </row>
    <row r="12" spans="1:24" s="86" customFormat="1" ht="21" customHeight="1" x14ac:dyDescent="0.15">
      <c r="A12" s="169"/>
      <c r="B12" s="282" t="s">
        <v>248</v>
      </c>
      <c r="C12" s="290">
        <v>4</v>
      </c>
      <c r="D12" s="108"/>
      <c r="E12" s="289"/>
      <c r="F12" s="280">
        <v>151804975</v>
      </c>
      <c r="G12" s="280">
        <v>44781215</v>
      </c>
      <c r="H12" s="280">
        <v>37984725</v>
      </c>
      <c r="I12" s="280">
        <v>3805717</v>
      </c>
      <c r="J12" s="280">
        <v>13038904</v>
      </c>
      <c r="K12" s="280">
        <v>32039292</v>
      </c>
      <c r="L12" s="280">
        <v>20155122</v>
      </c>
      <c r="M12" s="280">
        <v>10527568</v>
      </c>
      <c r="N12" s="280">
        <v>9627554</v>
      </c>
      <c r="O12" s="280">
        <v>1748819</v>
      </c>
      <c r="P12" s="280">
        <v>1718544</v>
      </c>
      <c r="Q12" s="280">
        <v>48730</v>
      </c>
      <c r="R12" s="280">
        <v>44148</v>
      </c>
      <c r="S12" s="187">
        <v>12730683</v>
      </c>
      <c r="T12" s="187">
        <v>10349368</v>
      </c>
      <c r="U12" s="186">
        <v>2381315</v>
      </c>
      <c r="V12" s="125" t="s">
        <v>908</v>
      </c>
      <c r="W12" s="108"/>
      <c r="X12" s="108"/>
    </row>
    <row r="13" spans="1:24" s="86" customFormat="1" ht="21" customHeight="1" x14ac:dyDescent="0.15">
      <c r="A13" s="169"/>
      <c r="B13" s="282"/>
      <c r="C13" s="282"/>
      <c r="E13" s="285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6"/>
      <c r="V13" s="818"/>
      <c r="W13" s="108"/>
      <c r="X13" s="730"/>
    </row>
    <row r="14" spans="1:24" s="86" customFormat="1" ht="21" customHeight="1" x14ac:dyDescent="0.15">
      <c r="A14" s="169"/>
      <c r="B14" s="290" t="s">
        <v>903</v>
      </c>
      <c r="C14" s="290" t="s">
        <v>909</v>
      </c>
      <c r="D14" s="797"/>
      <c r="E14" s="287"/>
      <c r="F14" s="280">
        <v>153754228</v>
      </c>
      <c r="G14" s="280">
        <v>44508923</v>
      </c>
      <c r="H14" s="280">
        <v>41660421</v>
      </c>
      <c r="I14" s="280">
        <v>3312653</v>
      </c>
      <c r="J14" s="280">
        <v>13518452</v>
      </c>
      <c r="K14" s="280">
        <v>32074993</v>
      </c>
      <c r="L14" s="280">
        <v>18678786</v>
      </c>
      <c r="M14" s="280">
        <v>10134548</v>
      </c>
      <c r="N14" s="280">
        <v>8544238</v>
      </c>
      <c r="O14" s="280">
        <v>1444278</v>
      </c>
      <c r="P14" s="280">
        <v>1750602</v>
      </c>
      <c r="Q14" s="280">
        <v>49911</v>
      </c>
      <c r="R14" s="280">
        <v>46759</v>
      </c>
      <c r="S14" s="280">
        <v>11958955</v>
      </c>
      <c r="T14" s="280">
        <v>9959991</v>
      </c>
      <c r="U14" s="286">
        <v>1998964</v>
      </c>
      <c r="V14" s="124" t="s">
        <v>910</v>
      </c>
      <c r="W14" s="108"/>
      <c r="X14" s="274" t="s">
        <v>237</v>
      </c>
    </row>
    <row r="15" spans="1:24" s="86" customFormat="1" ht="21" customHeight="1" x14ac:dyDescent="0.15">
      <c r="A15" s="169"/>
      <c r="B15" s="282" t="s">
        <v>248</v>
      </c>
      <c r="C15" s="290">
        <v>4</v>
      </c>
      <c r="D15" s="797"/>
      <c r="E15" s="287"/>
      <c r="F15" s="280">
        <v>150824842</v>
      </c>
      <c r="G15" s="280">
        <v>44774484</v>
      </c>
      <c r="H15" s="280">
        <v>38232113</v>
      </c>
      <c r="I15" s="280">
        <v>4027425</v>
      </c>
      <c r="J15" s="280">
        <v>12249240</v>
      </c>
      <c r="K15" s="280">
        <v>31664668</v>
      </c>
      <c r="L15" s="280">
        <v>19876912</v>
      </c>
      <c r="M15" s="280">
        <v>10420716</v>
      </c>
      <c r="N15" s="280">
        <v>9456196</v>
      </c>
      <c r="O15" s="280">
        <v>1811340</v>
      </c>
      <c r="P15" s="280">
        <v>1658037</v>
      </c>
      <c r="Q15" s="280">
        <v>47832</v>
      </c>
      <c r="R15" s="280">
        <v>39008</v>
      </c>
      <c r="S15" s="280">
        <v>12744636</v>
      </c>
      <c r="T15" s="280">
        <v>10296441</v>
      </c>
      <c r="U15" s="286">
        <v>2448195</v>
      </c>
      <c r="V15" s="124" t="s">
        <v>911</v>
      </c>
      <c r="W15" s="108"/>
      <c r="X15" s="274"/>
    </row>
    <row r="16" spans="1:24" s="86" customFormat="1" ht="21" customHeight="1" x14ac:dyDescent="0.15">
      <c r="A16" s="169"/>
      <c r="B16" s="282"/>
      <c r="C16" s="282"/>
      <c r="E16" s="285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6"/>
      <c r="V16" s="119"/>
      <c r="W16" s="108"/>
      <c r="X16" s="274"/>
    </row>
    <row r="17" spans="1:24" s="86" customFormat="1" ht="21" customHeight="1" x14ac:dyDescent="0.15">
      <c r="A17" s="169"/>
      <c r="B17" s="290" t="s">
        <v>903</v>
      </c>
      <c r="C17" s="290" t="s">
        <v>912</v>
      </c>
      <c r="D17" s="290" t="s">
        <v>723</v>
      </c>
      <c r="E17" s="287"/>
      <c r="F17" s="280">
        <v>41129790</v>
      </c>
      <c r="G17" s="280">
        <v>10555811</v>
      </c>
      <c r="H17" s="280">
        <v>9580730</v>
      </c>
      <c r="I17" s="280">
        <v>790036</v>
      </c>
      <c r="J17" s="280">
        <v>6124025</v>
      </c>
      <c r="K17" s="280">
        <v>7994844</v>
      </c>
      <c r="L17" s="280">
        <v>6084344</v>
      </c>
      <c r="M17" s="280">
        <v>3189496</v>
      </c>
      <c r="N17" s="280">
        <v>2894848</v>
      </c>
      <c r="O17" s="280">
        <v>359181</v>
      </c>
      <c r="P17" s="280">
        <v>498549</v>
      </c>
      <c r="Q17" s="280">
        <v>12163</v>
      </c>
      <c r="R17" s="280">
        <v>12142</v>
      </c>
      <c r="S17" s="280">
        <v>3728959</v>
      </c>
      <c r="T17" s="280">
        <v>3271837</v>
      </c>
      <c r="U17" s="286">
        <v>457122</v>
      </c>
      <c r="V17" s="120" t="s">
        <v>913</v>
      </c>
      <c r="W17" s="108"/>
      <c r="X17" s="274"/>
    </row>
    <row r="18" spans="1:24" s="86" customFormat="1" ht="21" customHeight="1" x14ac:dyDescent="0.15">
      <c r="A18" s="169"/>
      <c r="B18" s="282" t="s">
        <v>248</v>
      </c>
      <c r="C18" s="282" t="s">
        <v>248</v>
      </c>
      <c r="D18" s="290" t="s">
        <v>724</v>
      </c>
      <c r="E18" s="287"/>
      <c r="F18" s="280">
        <v>33904458</v>
      </c>
      <c r="G18" s="280">
        <v>10770439</v>
      </c>
      <c r="H18" s="280">
        <v>8709023</v>
      </c>
      <c r="I18" s="280">
        <v>941422</v>
      </c>
      <c r="J18" s="280">
        <v>1519191</v>
      </c>
      <c r="K18" s="280">
        <v>7643646</v>
      </c>
      <c r="L18" s="280">
        <v>4320737</v>
      </c>
      <c r="M18" s="280">
        <v>2267650</v>
      </c>
      <c r="N18" s="280">
        <v>2053087</v>
      </c>
      <c r="O18" s="280">
        <v>502134</v>
      </c>
      <c r="P18" s="280">
        <v>364811</v>
      </c>
      <c r="Q18" s="280">
        <v>12096</v>
      </c>
      <c r="R18" s="280">
        <v>11879</v>
      </c>
      <c r="S18" s="280">
        <v>2948095</v>
      </c>
      <c r="T18" s="280">
        <v>2353235</v>
      </c>
      <c r="U18" s="286">
        <v>594860</v>
      </c>
      <c r="V18" s="123" t="s">
        <v>914</v>
      </c>
      <c r="W18" s="108"/>
      <c r="X18" s="274"/>
    </row>
    <row r="19" spans="1:24" s="86" customFormat="1" ht="21" customHeight="1" x14ac:dyDescent="0.15">
      <c r="A19" s="169"/>
      <c r="B19" s="282" t="s">
        <v>248</v>
      </c>
      <c r="C19" s="282" t="s">
        <v>248</v>
      </c>
      <c r="D19" s="290" t="s">
        <v>725</v>
      </c>
      <c r="E19" s="287"/>
      <c r="F19" s="280">
        <v>36429363</v>
      </c>
      <c r="G19" s="280">
        <v>11942966</v>
      </c>
      <c r="H19" s="280">
        <v>9646373</v>
      </c>
      <c r="I19" s="280">
        <v>1104356</v>
      </c>
      <c r="J19" s="280">
        <v>1159302</v>
      </c>
      <c r="K19" s="280">
        <v>8133548</v>
      </c>
      <c r="L19" s="280">
        <v>4442818</v>
      </c>
      <c r="M19" s="280">
        <v>2237558</v>
      </c>
      <c r="N19" s="280">
        <v>2205260</v>
      </c>
      <c r="O19" s="280">
        <v>448683</v>
      </c>
      <c r="P19" s="280">
        <v>407535</v>
      </c>
      <c r="Q19" s="280">
        <v>12644</v>
      </c>
      <c r="R19" s="280">
        <v>8932</v>
      </c>
      <c r="S19" s="280">
        <v>2752065</v>
      </c>
      <c r="T19" s="280">
        <v>2047864</v>
      </c>
      <c r="U19" s="286">
        <v>704201</v>
      </c>
      <c r="V19" s="122" t="s">
        <v>915</v>
      </c>
      <c r="W19" s="108"/>
      <c r="X19" s="274" t="s">
        <v>237</v>
      </c>
    </row>
    <row r="20" spans="1:24" s="86" customFormat="1" ht="21" customHeight="1" x14ac:dyDescent="0.15">
      <c r="A20" s="169"/>
      <c r="B20" s="282" t="s">
        <v>248</v>
      </c>
      <c r="C20" s="282" t="s">
        <v>248</v>
      </c>
      <c r="D20" s="290" t="s">
        <v>629</v>
      </c>
      <c r="E20" s="287"/>
      <c r="F20" s="280">
        <v>40341364</v>
      </c>
      <c r="G20" s="280">
        <v>11511999</v>
      </c>
      <c r="H20" s="280">
        <v>10048599</v>
      </c>
      <c r="I20" s="280">
        <v>969903</v>
      </c>
      <c r="J20" s="280">
        <v>4236386</v>
      </c>
      <c r="K20" s="280">
        <v>8267254</v>
      </c>
      <c r="L20" s="280">
        <v>5307223</v>
      </c>
      <c r="M20" s="280">
        <v>2832864</v>
      </c>
      <c r="N20" s="280">
        <v>2474359</v>
      </c>
      <c r="O20" s="280">
        <v>438821</v>
      </c>
      <c r="P20" s="280">
        <v>447649</v>
      </c>
      <c r="Q20" s="280">
        <v>11827</v>
      </c>
      <c r="R20" s="280">
        <v>11195</v>
      </c>
      <c r="S20" s="280">
        <v>3301564</v>
      </c>
      <c r="T20" s="280">
        <v>2676432</v>
      </c>
      <c r="U20" s="286">
        <v>625132</v>
      </c>
      <c r="V20" s="121" t="s">
        <v>916</v>
      </c>
      <c r="W20" s="108"/>
      <c r="X20" s="274" t="s">
        <v>237</v>
      </c>
    </row>
    <row r="21" spans="1:24" s="86" customFormat="1" ht="21" customHeight="1" x14ac:dyDescent="0.15">
      <c r="A21" s="169"/>
      <c r="B21" s="290" t="s">
        <v>903</v>
      </c>
      <c r="C21" s="290" t="s">
        <v>917</v>
      </c>
      <c r="D21" s="290" t="s">
        <v>726</v>
      </c>
      <c r="E21" s="287"/>
      <c r="F21" s="280">
        <v>40149657</v>
      </c>
      <c r="G21" s="280">
        <v>10549080</v>
      </c>
      <c r="H21" s="280">
        <v>9828118</v>
      </c>
      <c r="I21" s="280">
        <v>1011744</v>
      </c>
      <c r="J21" s="280">
        <v>5334361</v>
      </c>
      <c r="K21" s="280">
        <v>7620220</v>
      </c>
      <c r="L21" s="280">
        <v>5806134</v>
      </c>
      <c r="M21" s="280">
        <v>3082644</v>
      </c>
      <c r="N21" s="280">
        <v>2723490</v>
      </c>
      <c r="O21" s="280">
        <v>421702</v>
      </c>
      <c r="P21" s="280">
        <v>438042</v>
      </c>
      <c r="Q21" s="280">
        <v>11265</v>
      </c>
      <c r="R21" s="280">
        <v>7002</v>
      </c>
      <c r="S21" s="280">
        <v>3742912</v>
      </c>
      <c r="T21" s="280">
        <v>3218910</v>
      </c>
      <c r="U21" s="286">
        <v>524002</v>
      </c>
      <c r="V21" s="120" t="s">
        <v>918</v>
      </c>
      <c r="W21" s="108"/>
      <c r="X21" s="274"/>
    </row>
    <row r="22" spans="1:24" s="86" customFormat="1" ht="21" customHeight="1" x14ac:dyDescent="0.15">
      <c r="A22" s="169"/>
      <c r="B22" s="282"/>
      <c r="C22" s="282"/>
      <c r="E22" s="285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186"/>
      <c r="V22" s="119"/>
      <c r="W22" s="108"/>
      <c r="X22" s="274"/>
    </row>
    <row r="23" spans="1:24" s="86" customFormat="1" ht="21" customHeight="1" x14ac:dyDescent="0.15">
      <c r="A23" s="169"/>
      <c r="B23" s="290" t="s">
        <v>903</v>
      </c>
      <c r="C23" s="290" t="s">
        <v>912</v>
      </c>
      <c r="D23" s="282" t="s">
        <v>707</v>
      </c>
      <c r="E23" s="281"/>
      <c r="F23" s="280">
        <v>14525666</v>
      </c>
      <c r="G23" s="280">
        <v>3581330</v>
      </c>
      <c r="H23" s="280">
        <v>3581493</v>
      </c>
      <c r="I23" s="280">
        <v>277941</v>
      </c>
      <c r="J23" s="280">
        <v>2385168</v>
      </c>
      <c r="K23" s="280">
        <v>2574987</v>
      </c>
      <c r="L23" s="280">
        <v>2124747</v>
      </c>
      <c r="M23" s="280">
        <v>1091158</v>
      </c>
      <c r="N23" s="280">
        <v>1033589</v>
      </c>
      <c r="O23" s="280">
        <v>104243</v>
      </c>
      <c r="P23" s="280">
        <v>155884</v>
      </c>
      <c r="Q23" s="280">
        <v>3627</v>
      </c>
      <c r="R23" s="280">
        <v>3670</v>
      </c>
      <c r="S23" s="187">
        <v>1276224</v>
      </c>
      <c r="T23" s="187">
        <v>1133132</v>
      </c>
      <c r="U23" s="186">
        <v>143092</v>
      </c>
      <c r="V23" s="118" t="s">
        <v>919</v>
      </c>
      <c r="W23" s="108"/>
      <c r="X23" s="274" t="s">
        <v>237</v>
      </c>
    </row>
    <row r="24" spans="1:24" s="86" customFormat="1" ht="21" customHeight="1" x14ac:dyDescent="0.15">
      <c r="A24" s="169"/>
      <c r="B24" s="282" t="s">
        <v>248</v>
      </c>
      <c r="C24" s="282" t="s">
        <v>248</v>
      </c>
      <c r="D24" s="282" t="s">
        <v>708</v>
      </c>
      <c r="E24" s="281"/>
      <c r="F24" s="280">
        <v>13296559</v>
      </c>
      <c r="G24" s="280">
        <v>3246027</v>
      </c>
      <c r="H24" s="280">
        <v>3012418</v>
      </c>
      <c r="I24" s="280">
        <v>220725</v>
      </c>
      <c r="J24" s="280">
        <v>2233912</v>
      </c>
      <c r="K24" s="280">
        <v>2575172</v>
      </c>
      <c r="L24" s="280">
        <v>2008305</v>
      </c>
      <c r="M24" s="280">
        <v>1047585</v>
      </c>
      <c r="N24" s="280">
        <v>960720</v>
      </c>
      <c r="O24" s="280">
        <v>127473</v>
      </c>
      <c r="P24" s="280">
        <v>168919</v>
      </c>
      <c r="Q24" s="280">
        <v>3901</v>
      </c>
      <c r="R24" s="280">
        <v>3232</v>
      </c>
      <c r="S24" s="187">
        <v>1246532</v>
      </c>
      <c r="T24" s="187">
        <v>1080345</v>
      </c>
      <c r="U24" s="186">
        <v>166187</v>
      </c>
      <c r="V24" s="113" t="s">
        <v>920</v>
      </c>
      <c r="W24" s="108"/>
      <c r="X24" s="274"/>
    </row>
    <row r="25" spans="1:24" s="86" customFormat="1" ht="21" customHeight="1" x14ac:dyDescent="0.15">
      <c r="A25" s="169"/>
      <c r="B25" s="282" t="s">
        <v>248</v>
      </c>
      <c r="C25" s="282" t="s">
        <v>248</v>
      </c>
      <c r="D25" s="282" t="s">
        <v>709</v>
      </c>
      <c r="E25" s="281"/>
      <c r="F25" s="280">
        <v>13307565</v>
      </c>
      <c r="G25" s="280">
        <v>3728454</v>
      </c>
      <c r="H25" s="280">
        <v>2986819</v>
      </c>
      <c r="I25" s="280">
        <v>291370</v>
      </c>
      <c r="J25" s="280">
        <v>1504945</v>
      </c>
      <c r="K25" s="280">
        <v>2844685</v>
      </c>
      <c r="L25" s="280">
        <v>1951292</v>
      </c>
      <c r="M25" s="280">
        <v>1050753</v>
      </c>
      <c r="N25" s="280">
        <v>900539</v>
      </c>
      <c r="O25" s="280">
        <v>127465</v>
      </c>
      <c r="P25" s="280">
        <v>173746</v>
      </c>
      <c r="Q25" s="280">
        <v>4635</v>
      </c>
      <c r="R25" s="280">
        <v>5240</v>
      </c>
      <c r="S25" s="187">
        <v>1206203</v>
      </c>
      <c r="T25" s="187">
        <v>1058360</v>
      </c>
      <c r="U25" s="186">
        <v>147843</v>
      </c>
      <c r="V25" s="113" t="s">
        <v>921</v>
      </c>
      <c r="W25" s="108"/>
      <c r="X25" s="274" t="s">
        <v>237</v>
      </c>
    </row>
    <row r="26" spans="1:24" s="86" customFormat="1" ht="21" customHeight="1" x14ac:dyDescent="0.15">
      <c r="A26" s="169"/>
      <c r="B26" s="282" t="s">
        <v>248</v>
      </c>
      <c r="C26" s="282" t="s">
        <v>248</v>
      </c>
      <c r="D26" s="282" t="s">
        <v>710</v>
      </c>
      <c r="E26" s="281"/>
      <c r="F26" s="280">
        <v>11353622</v>
      </c>
      <c r="G26" s="280">
        <v>3525668</v>
      </c>
      <c r="H26" s="280">
        <v>2763318</v>
      </c>
      <c r="I26" s="280">
        <v>268311</v>
      </c>
      <c r="J26" s="280">
        <v>712817</v>
      </c>
      <c r="K26" s="280">
        <v>2549838</v>
      </c>
      <c r="L26" s="280">
        <v>1533670</v>
      </c>
      <c r="M26" s="280">
        <v>790230</v>
      </c>
      <c r="N26" s="280">
        <v>743440</v>
      </c>
      <c r="O26" s="280">
        <v>193528</v>
      </c>
      <c r="P26" s="280">
        <v>107890</v>
      </c>
      <c r="Q26" s="280">
        <v>4020</v>
      </c>
      <c r="R26" s="280">
        <v>3646</v>
      </c>
      <c r="S26" s="187">
        <v>1062386</v>
      </c>
      <c r="T26" s="187">
        <v>850310</v>
      </c>
      <c r="U26" s="186">
        <v>212076</v>
      </c>
      <c r="V26" s="113" t="s">
        <v>922</v>
      </c>
      <c r="W26" s="108"/>
      <c r="X26" s="274"/>
    </row>
    <row r="27" spans="1:24" s="86" customFormat="1" ht="21" customHeight="1" x14ac:dyDescent="0.15">
      <c r="A27" s="169"/>
      <c r="B27" s="282" t="s">
        <v>248</v>
      </c>
      <c r="C27" s="282" t="s">
        <v>248</v>
      </c>
      <c r="D27" s="282" t="s">
        <v>711</v>
      </c>
      <c r="E27" s="281"/>
      <c r="F27" s="280">
        <v>11114344</v>
      </c>
      <c r="G27" s="280">
        <v>3626506</v>
      </c>
      <c r="H27" s="280">
        <v>2886472</v>
      </c>
      <c r="I27" s="280">
        <v>334893</v>
      </c>
      <c r="J27" s="280">
        <v>463994</v>
      </c>
      <c r="K27" s="280">
        <v>2454168</v>
      </c>
      <c r="L27" s="280">
        <v>1348311</v>
      </c>
      <c r="M27" s="280">
        <v>733209</v>
      </c>
      <c r="N27" s="280">
        <v>615102</v>
      </c>
      <c r="O27" s="280">
        <v>128938</v>
      </c>
      <c r="P27" s="280">
        <v>117759</v>
      </c>
      <c r="Q27" s="280">
        <v>3647</v>
      </c>
      <c r="R27" s="280">
        <v>3853</v>
      </c>
      <c r="S27" s="187">
        <v>994679</v>
      </c>
      <c r="T27" s="187">
        <v>791339</v>
      </c>
      <c r="U27" s="186">
        <v>203340</v>
      </c>
      <c r="V27" s="113" t="s">
        <v>477</v>
      </c>
      <c r="W27" s="108"/>
      <c r="X27" s="274" t="s">
        <v>237</v>
      </c>
    </row>
    <row r="28" spans="1:24" s="86" customFormat="1" ht="21" customHeight="1" x14ac:dyDescent="0.15">
      <c r="A28" s="169"/>
      <c r="B28" s="282" t="s">
        <v>248</v>
      </c>
      <c r="C28" s="282" t="s">
        <v>248</v>
      </c>
      <c r="D28" s="282" t="s">
        <v>712</v>
      </c>
      <c r="E28" s="281"/>
      <c r="F28" s="280">
        <v>11436492</v>
      </c>
      <c r="G28" s="280">
        <v>3618265</v>
      </c>
      <c r="H28" s="280">
        <v>3059233</v>
      </c>
      <c r="I28" s="280">
        <v>338218</v>
      </c>
      <c r="J28" s="280">
        <v>342380</v>
      </c>
      <c r="K28" s="280">
        <v>2639640</v>
      </c>
      <c r="L28" s="280">
        <v>1438756</v>
      </c>
      <c r="M28" s="280">
        <v>744211</v>
      </c>
      <c r="N28" s="280">
        <v>694545</v>
      </c>
      <c r="O28" s="280">
        <v>179668</v>
      </c>
      <c r="P28" s="280">
        <v>139162</v>
      </c>
      <c r="Q28" s="280">
        <v>4429</v>
      </c>
      <c r="R28" s="280">
        <v>4380</v>
      </c>
      <c r="S28" s="187">
        <v>891030</v>
      </c>
      <c r="T28" s="187">
        <v>711586</v>
      </c>
      <c r="U28" s="186">
        <v>179444</v>
      </c>
      <c r="V28" s="113" t="s">
        <v>924</v>
      </c>
      <c r="W28" s="108"/>
      <c r="X28" s="274"/>
    </row>
    <row r="29" spans="1:24" s="86" customFormat="1" ht="21" customHeight="1" x14ac:dyDescent="0.15">
      <c r="A29" s="169"/>
      <c r="B29" s="282" t="s">
        <v>248</v>
      </c>
      <c r="C29" s="282" t="s">
        <v>248</v>
      </c>
      <c r="D29" s="282" t="s">
        <v>713</v>
      </c>
      <c r="E29" s="281"/>
      <c r="F29" s="280">
        <v>12120500</v>
      </c>
      <c r="G29" s="280">
        <v>4047450</v>
      </c>
      <c r="H29" s="280">
        <v>3228380</v>
      </c>
      <c r="I29" s="280">
        <v>366514</v>
      </c>
      <c r="J29" s="280">
        <v>331827</v>
      </c>
      <c r="K29" s="280">
        <v>2731490</v>
      </c>
      <c r="L29" s="280">
        <v>1414839</v>
      </c>
      <c r="M29" s="280">
        <v>753449</v>
      </c>
      <c r="N29" s="280">
        <v>661390</v>
      </c>
      <c r="O29" s="280">
        <v>137667</v>
      </c>
      <c r="P29" s="280">
        <v>109393</v>
      </c>
      <c r="Q29" s="280">
        <v>4040</v>
      </c>
      <c r="R29" s="280">
        <v>3454</v>
      </c>
      <c r="S29" s="187">
        <v>857033</v>
      </c>
      <c r="T29" s="187">
        <v>626725</v>
      </c>
      <c r="U29" s="186">
        <v>230308</v>
      </c>
      <c r="V29" s="113" t="s">
        <v>925</v>
      </c>
      <c r="W29" s="108"/>
      <c r="X29" s="274" t="s">
        <v>237</v>
      </c>
    </row>
    <row r="30" spans="1:24" s="86" customFormat="1" ht="21" customHeight="1" x14ac:dyDescent="0.15">
      <c r="A30" s="169"/>
      <c r="B30" s="282" t="s">
        <v>248</v>
      </c>
      <c r="C30" s="282" t="s">
        <v>248</v>
      </c>
      <c r="D30" s="282" t="s">
        <v>714</v>
      </c>
      <c r="E30" s="281"/>
      <c r="F30" s="280">
        <v>12842017</v>
      </c>
      <c r="G30" s="280">
        <v>4164976</v>
      </c>
      <c r="H30" s="280">
        <v>3576692</v>
      </c>
      <c r="I30" s="280">
        <v>370194</v>
      </c>
      <c r="J30" s="280">
        <v>382577</v>
      </c>
      <c r="K30" s="280">
        <v>2760545</v>
      </c>
      <c r="L30" s="280">
        <v>1587033</v>
      </c>
      <c r="M30" s="280">
        <v>754688</v>
      </c>
      <c r="N30" s="280">
        <v>832345</v>
      </c>
      <c r="O30" s="280">
        <v>123593</v>
      </c>
      <c r="P30" s="280">
        <v>123799</v>
      </c>
      <c r="Q30" s="280">
        <v>3889</v>
      </c>
      <c r="R30" s="280">
        <v>3023</v>
      </c>
      <c r="S30" s="187">
        <v>959612</v>
      </c>
      <c r="T30" s="187">
        <v>712386</v>
      </c>
      <c r="U30" s="186">
        <v>247226</v>
      </c>
      <c r="V30" s="113" t="s">
        <v>926</v>
      </c>
      <c r="W30" s="108"/>
      <c r="X30" s="274"/>
    </row>
    <row r="31" spans="1:24" s="86" customFormat="1" ht="21" customHeight="1" x14ac:dyDescent="0.15">
      <c r="A31" s="169"/>
      <c r="B31" s="282" t="s">
        <v>248</v>
      </c>
      <c r="C31" s="282" t="s">
        <v>248</v>
      </c>
      <c r="D31" s="282" t="s">
        <v>715</v>
      </c>
      <c r="E31" s="281"/>
      <c r="F31" s="280">
        <v>11466846</v>
      </c>
      <c r="G31" s="280">
        <v>3730540</v>
      </c>
      <c r="H31" s="280">
        <v>2841301</v>
      </c>
      <c r="I31" s="280">
        <v>367648</v>
      </c>
      <c r="J31" s="280">
        <v>444898</v>
      </c>
      <c r="K31" s="280">
        <v>2641513</v>
      </c>
      <c r="L31" s="280">
        <v>1440946</v>
      </c>
      <c r="M31" s="280">
        <v>729421</v>
      </c>
      <c r="N31" s="280">
        <v>711525</v>
      </c>
      <c r="O31" s="280">
        <v>187423</v>
      </c>
      <c r="P31" s="280">
        <v>174343</v>
      </c>
      <c r="Q31" s="280">
        <v>4715</v>
      </c>
      <c r="R31" s="280">
        <v>2455</v>
      </c>
      <c r="S31" s="187">
        <v>935420</v>
      </c>
      <c r="T31" s="187">
        <v>708753</v>
      </c>
      <c r="U31" s="186">
        <v>226667</v>
      </c>
      <c r="V31" s="113" t="s">
        <v>927</v>
      </c>
      <c r="W31" s="108"/>
      <c r="X31" s="274" t="s">
        <v>237</v>
      </c>
    </row>
    <row r="32" spans="1:24" s="86" customFormat="1" ht="21" customHeight="1" x14ac:dyDescent="0.15">
      <c r="A32" s="169"/>
      <c r="B32" s="282" t="s">
        <v>248</v>
      </c>
      <c r="C32" s="282" t="s">
        <v>248</v>
      </c>
      <c r="D32" s="798" t="s">
        <v>928</v>
      </c>
      <c r="E32" s="281"/>
      <c r="F32" s="280">
        <v>12477908</v>
      </c>
      <c r="G32" s="280">
        <v>3808445</v>
      </c>
      <c r="H32" s="280">
        <v>3319516</v>
      </c>
      <c r="I32" s="280">
        <v>280749</v>
      </c>
      <c r="J32" s="280">
        <v>862256</v>
      </c>
      <c r="K32" s="280">
        <v>2673581</v>
      </c>
      <c r="L32" s="280">
        <v>1533361</v>
      </c>
      <c r="M32" s="280">
        <v>807061</v>
      </c>
      <c r="N32" s="280">
        <v>726300</v>
      </c>
      <c r="O32" s="280">
        <v>138647</v>
      </c>
      <c r="P32" s="280">
        <v>149324</v>
      </c>
      <c r="Q32" s="280">
        <v>4002</v>
      </c>
      <c r="R32" s="280">
        <v>3706</v>
      </c>
      <c r="S32" s="187">
        <v>932571</v>
      </c>
      <c r="T32" s="187">
        <v>723776</v>
      </c>
      <c r="U32" s="186">
        <v>208795</v>
      </c>
      <c r="V32" s="113" t="s">
        <v>929</v>
      </c>
      <c r="W32" s="108"/>
      <c r="X32" s="274"/>
    </row>
    <row r="33" spans="1:24" s="86" customFormat="1" ht="21" customHeight="1" x14ac:dyDescent="0.15">
      <c r="A33" s="169"/>
      <c r="B33" s="282" t="s">
        <v>248</v>
      </c>
      <c r="C33" s="282" t="s">
        <v>248</v>
      </c>
      <c r="D33" s="798" t="s">
        <v>930</v>
      </c>
      <c r="E33" s="281"/>
      <c r="F33" s="280">
        <v>12761631</v>
      </c>
      <c r="G33" s="280">
        <v>3579021</v>
      </c>
      <c r="H33" s="280">
        <v>3337962</v>
      </c>
      <c r="I33" s="280">
        <v>371512</v>
      </c>
      <c r="J33" s="280">
        <v>1055129</v>
      </c>
      <c r="K33" s="280">
        <v>2700948</v>
      </c>
      <c r="L33" s="280">
        <v>1717059</v>
      </c>
      <c r="M33" s="280">
        <v>894938</v>
      </c>
      <c r="N33" s="280">
        <v>822121</v>
      </c>
      <c r="O33" s="280">
        <v>155356</v>
      </c>
      <c r="P33" s="280">
        <v>162289</v>
      </c>
      <c r="Q33" s="280">
        <v>4073</v>
      </c>
      <c r="R33" s="280">
        <v>3725</v>
      </c>
      <c r="S33" s="187">
        <v>1091639</v>
      </c>
      <c r="T33" s="187">
        <v>879300</v>
      </c>
      <c r="U33" s="186">
        <v>212339</v>
      </c>
      <c r="V33" s="113" t="s">
        <v>931</v>
      </c>
      <c r="W33" s="108"/>
      <c r="X33" s="274"/>
    </row>
    <row r="34" spans="1:24" s="86" customFormat="1" ht="21" customHeight="1" x14ac:dyDescent="0.15">
      <c r="A34" s="169"/>
      <c r="B34" s="282" t="s">
        <v>248</v>
      </c>
      <c r="C34" s="282" t="s">
        <v>248</v>
      </c>
      <c r="D34" s="798" t="s">
        <v>932</v>
      </c>
      <c r="E34" s="281"/>
      <c r="F34" s="280">
        <v>15101825</v>
      </c>
      <c r="G34" s="280">
        <v>4124533</v>
      </c>
      <c r="H34" s="280">
        <v>3391121</v>
      </c>
      <c r="I34" s="280">
        <v>317642</v>
      </c>
      <c r="J34" s="280">
        <v>2319001</v>
      </c>
      <c r="K34" s="280">
        <v>2892725</v>
      </c>
      <c r="L34" s="280">
        <v>2056803</v>
      </c>
      <c r="M34" s="280">
        <v>1130865</v>
      </c>
      <c r="N34" s="280">
        <v>925938</v>
      </c>
      <c r="O34" s="280">
        <v>144818</v>
      </c>
      <c r="P34" s="280">
        <v>136036</v>
      </c>
      <c r="Q34" s="280">
        <v>3752</v>
      </c>
      <c r="R34" s="280">
        <v>3764</v>
      </c>
      <c r="S34" s="187">
        <v>1277354</v>
      </c>
      <c r="T34" s="187">
        <v>1073356</v>
      </c>
      <c r="U34" s="186">
        <v>203998</v>
      </c>
      <c r="V34" s="113" t="s">
        <v>933</v>
      </c>
      <c r="W34" s="108"/>
      <c r="X34" s="274" t="s">
        <v>237</v>
      </c>
    </row>
    <row r="35" spans="1:24" s="86" customFormat="1" ht="21" customHeight="1" x14ac:dyDescent="0.15">
      <c r="A35" s="169"/>
      <c r="B35" s="282"/>
      <c r="C35" s="282"/>
      <c r="D35" s="282"/>
      <c r="E35" s="281"/>
      <c r="F35" s="280"/>
      <c r="G35" s="284"/>
      <c r="H35" s="284"/>
      <c r="I35" s="284"/>
      <c r="J35" s="280"/>
      <c r="K35" s="280"/>
      <c r="L35" s="280"/>
      <c r="M35" s="280"/>
      <c r="N35" s="280"/>
      <c r="O35" s="280"/>
      <c r="P35" s="280"/>
      <c r="Q35" s="280"/>
      <c r="R35" s="280"/>
      <c r="S35" s="187"/>
      <c r="T35" s="187"/>
      <c r="U35" s="186"/>
      <c r="V35" s="283"/>
      <c r="W35" s="108"/>
      <c r="X35" s="274"/>
    </row>
    <row r="36" spans="1:24" s="86" customFormat="1" ht="21" customHeight="1" x14ac:dyDescent="0.15">
      <c r="A36" s="169"/>
      <c r="B36" s="290" t="s">
        <v>903</v>
      </c>
      <c r="C36" s="290" t="s">
        <v>917</v>
      </c>
      <c r="D36" s="282" t="s">
        <v>716</v>
      </c>
      <c r="E36" s="281"/>
      <c r="F36" s="280">
        <v>14007338</v>
      </c>
      <c r="G36" s="280">
        <v>3523687</v>
      </c>
      <c r="H36" s="280">
        <v>3480736</v>
      </c>
      <c r="I36" s="280">
        <v>323529</v>
      </c>
      <c r="J36" s="280">
        <v>2126374</v>
      </c>
      <c r="K36" s="280">
        <v>2425210</v>
      </c>
      <c r="L36" s="280">
        <v>2127802</v>
      </c>
      <c r="M36" s="280">
        <v>1026672</v>
      </c>
      <c r="N36" s="280">
        <v>1101130</v>
      </c>
      <c r="O36" s="280">
        <v>133861</v>
      </c>
      <c r="P36" s="280">
        <v>132601</v>
      </c>
      <c r="Q36" s="280">
        <v>3277</v>
      </c>
      <c r="R36" s="280">
        <v>2835</v>
      </c>
      <c r="S36" s="187">
        <v>1284352</v>
      </c>
      <c r="T36" s="187">
        <v>1124937</v>
      </c>
      <c r="U36" s="186">
        <v>159415</v>
      </c>
      <c r="V36" s="118" t="s">
        <v>935</v>
      </c>
      <c r="W36" s="108"/>
      <c r="X36" s="274" t="s">
        <v>237</v>
      </c>
    </row>
    <row r="37" spans="1:24" s="86" customFormat="1" ht="21" customHeight="1" x14ac:dyDescent="0.15">
      <c r="A37" s="169"/>
      <c r="B37" s="282" t="s">
        <v>248</v>
      </c>
      <c r="C37" s="282" t="s">
        <v>248</v>
      </c>
      <c r="D37" s="282" t="s">
        <v>708</v>
      </c>
      <c r="E37" s="281"/>
      <c r="F37" s="280">
        <v>13106188</v>
      </c>
      <c r="G37" s="280">
        <v>3385411</v>
      </c>
      <c r="H37" s="280">
        <v>2948164</v>
      </c>
      <c r="I37" s="280">
        <v>256508</v>
      </c>
      <c r="J37" s="280">
        <v>2048385</v>
      </c>
      <c r="K37" s="280">
        <v>2522863</v>
      </c>
      <c r="L37" s="280">
        <v>1944857</v>
      </c>
      <c r="M37" s="280">
        <v>1041788</v>
      </c>
      <c r="N37" s="280">
        <v>903069</v>
      </c>
      <c r="O37" s="280">
        <v>111559</v>
      </c>
      <c r="P37" s="280">
        <v>155404</v>
      </c>
      <c r="Q37" s="280">
        <v>3394</v>
      </c>
      <c r="R37" s="280">
        <v>2227</v>
      </c>
      <c r="S37" s="187">
        <v>1251545</v>
      </c>
      <c r="T37" s="187">
        <v>1089416</v>
      </c>
      <c r="U37" s="186">
        <v>162129</v>
      </c>
      <c r="V37" s="113" t="s">
        <v>920</v>
      </c>
      <c r="W37" s="108"/>
      <c r="X37" s="274"/>
    </row>
    <row r="38" spans="1:24" s="86" customFormat="1" ht="21" customHeight="1" x14ac:dyDescent="0.15">
      <c r="A38" s="169"/>
      <c r="B38" s="799" t="s">
        <v>248</v>
      </c>
      <c r="C38" s="799" t="s">
        <v>248</v>
      </c>
      <c r="D38" s="800" t="s">
        <v>718</v>
      </c>
      <c r="E38" s="279"/>
      <c r="F38" s="278">
        <v>13036131</v>
      </c>
      <c r="G38" s="277">
        <v>3639982</v>
      </c>
      <c r="H38" s="277">
        <v>3399218</v>
      </c>
      <c r="I38" s="277">
        <v>431707</v>
      </c>
      <c r="J38" s="277">
        <v>1159602</v>
      </c>
      <c r="K38" s="277">
        <v>2672147</v>
      </c>
      <c r="L38" s="277">
        <v>1733475</v>
      </c>
      <c r="M38" s="277">
        <v>1014184</v>
      </c>
      <c r="N38" s="277">
        <v>719291</v>
      </c>
      <c r="O38" s="277">
        <v>176282</v>
      </c>
      <c r="P38" s="277">
        <v>150037</v>
      </c>
      <c r="Q38" s="277">
        <v>4594</v>
      </c>
      <c r="R38" s="277">
        <v>1940</v>
      </c>
      <c r="S38" s="276">
        <v>1207015</v>
      </c>
      <c r="T38" s="276">
        <v>1004557</v>
      </c>
      <c r="U38" s="275">
        <v>202458</v>
      </c>
      <c r="V38" s="109" t="s">
        <v>921</v>
      </c>
      <c r="W38" s="108"/>
      <c r="X38" s="274" t="s">
        <v>237</v>
      </c>
    </row>
    <row r="39" spans="1:24" s="682" customFormat="1" ht="0.75" customHeight="1" x14ac:dyDescent="0.15">
      <c r="A39" s="447"/>
      <c r="C39" s="165"/>
      <c r="D39" s="165"/>
      <c r="E39" s="165"/>
      <c r="F39" s="273"/>
      <c r="G39" s="273"/>
      <c r="H39" s="273"/>
      <c r="I39" s="175"/>
      <c r="J39" s="175"/>
      <c r="K39" s="175"/>
      <c r="L39" s="175"/>
      <c r="M39" s="175"/>
      <c r="N39" s="175"/>
      <c r="P39" s="175"/>
      <c r="Q39" s="175"/>
      <c r="R39" s="175"/>
      <c r="S39" s="175"/>
      <c r="T39" s="175"/>
      <c r="U39" s="175"/>
      <c r="V39" s="272"/>
      <c r="W39" s="447"/>
    </row>
    <row r="40" spans="1:24" s="106" customFormat="1" ht="12" customHeight="1" x14ac:dyDescent="0.15">
      <c r="A40" s="126"/>
      <c r="B40" s="175" t="s">
        <v>964</v>
      </c>
      <c r="C40" s="126"/>
      <c r="D40" s="126"/>
      <c r="E40" s="126"/>
      <c r="F40" s="126"/>
      <c r="G40" s="126"/>
      <c r="H40" s="683"/>
      <c r="I40" s="126"/>
      <c r="J40" s="126"/>
      <c r="K40" s="126"/>
      <c r="L40" s="126"/>
      <c r="M40" s="126"/>
      <c r="N40" s="126"/>
      <c r="O40" s="802" t="s">
        <v>965</v>
      </c>
      <c r="P40" s="86"/>
      <c r="Q40" s="86"/>
      <c r="R40" s="86"/>
      <c r="S40" s="86"/>
      <c r="T40" s="86"/>
      <c r="U40" s="126"/>
      <c r="V40" s="272"/>
      <c r="W40" s="126"/>
    </row>
    <row r="41" spans="1:24" x14ac:dyDescent="0.15">
      <c r="B41" s="175" t="s">
        <v>966</v>
      </c>
      <c r="O41" s="802" t="s">
        <v>967</v>
      </c>
    </row>
    <row r="42" spans="1:24" x14ac:dyDescent="0.15">
      <c r="B42" s="175" t="s">
        <v>968</v>
      </c>
    </row>
  </sheetData>
  <mergeCells count="2">
    <mergeCell ref="V4:V7"/>
    <mergeCell ref="B5:E5"/>
  </mergeCells>
  <phoneticPr fontId="32"/>
  <pageMargins left="0.59055118110236227" right="0.59055118110236227" top="0.59055118110236227" bottom="0.59055118110236227" header="0.59055118110236227" footer="0.15748031496062992"/>
  <pageSetup paperSize="9" scale="91" orientation="portrait" r:id="rId1"/>
  <headerFooter alignWithMargins="0"/>
  <colBreaks count="1" manualBreakCount="1">
    <brk id="14" max="41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A527-D7B5-43A3-8101-921F04864827}">
  <dimension ref="A1:W68"/>
  <sheetViews>
    <sheetView view="pageBreakPreview" topLeftCell="A31" zoomScaleNormal="75" zoomScaleSheetLayoutView="100" workbookViewId="0">
      <selection activeCell="C12" sqref="C12"/>
    </sheetView>
  </sheetViews>
  <sheetFormatPr defaultRowHeight="13.5" x14ac:dyDescent="0.15"/>
  <cols>
    <col min="1" max="1" width="2.625" style="220" customWidth="1"/>
    <col min="2" max="2" width="3.375" style="220" customWidth="1"/>
    <col min="3" max="3" width="3.25" style="220" customWidth="1"/>
    <col min="4" max="4" width="6.125" style="220" customWidth="1"/>
    <col min="5" max="5" width="0.875" style="220" customWidth="1"/>
    <col min="6" max="6" width="9.125" style="220" customWidth="1"/>
    <col min="7" max="10" width="8.125" style="220" customWidth="1"/>
    <col min="11" max="21" width="8.375" style="220" customWidth="1"/>
    <col min="22" max="22" width="8.25" style="220" customWidth="1"/>
    <col min="23" max="23" width="2.625" style="220" customWidth="1"/>
    <col min="24" max="16384" width="9" style="220"/>
  </cols>
  <sheetData>
    <row r="1" spans="1:23" ht="13.5" customHeight="1" x14ac:dyDescent="0.15">
      <c r="I1" s="374"/>
    </row>
    <row r="2" spans="1:23" ht="13.5" customHeight="1" x14ac:dyDescent="0.2">
      <c r="A2" s="765"/>
      <c r="B2" s="765" t="s">
        <v>637</v>
      </c>
      <c r="C2" s="24"/>
      <c r="D2" s="24"/>
      <c r="E2" s="24"/>
      <c r="F2" s="24"/>
      <c r="G2" s="300"/>
      <c r="J2" s="300"/>
      <c r="K2" s="324"/>
      <c r="L2" s="324"/>
      <c r="P2" s="300"/>
      <c r="S2" s="766"/>
      <c r="V2" s="295"/>
    </row>
    <row r="3" spans="1:23" s="223" customFormat="1" ht="12" customHeight="1" x14ac:dyDescent="0.15">
      <c r="A3" s="373"/>
      <c r="B3" s="372" t="s">
        <v>638</v>
      </c>
      <c r="C3" s="371"/>
      <c r="D3" s="371"/>
      <c r="E3" s="371"/>
      <c r="F3" s="214"/>
      <c r="G3" s="368"/>
      <c r="H3" s="368"/>
      <c r="I3" s="368"/>
      <c r="J3" s="368"/>
      <c r="K3" s="370" t="s">
        <v>237</v>
      </c>
      <c r="L3" s="368"/>
      <c r="M3" s="368" t="s">
        <v>237</v>
      </c>
      <c r="N3" s="368"/>
      <c r="O3" s="368"/>
      <c r="P3" s="368"/>
      <c r="Q3" s="368"/>
      <c r="R3" s="368"/>
      <c r="S3" s="369"/>
      <c r="T3" s="368"/>
      <c r="U3" s="150" t="s">
        <v>727</v>
      </c>
      <c r="V3" s="368"/>
    </row>
    <row r="4" spans="1:23" s="43" customFormat="1" ht="11.25" customHeight="1" x14ac:dyDescent="0.15">
      <c r="A4" s="736"/>
      <c r="B4" s="730"/>
      <c r="C4" s="730"/>
      <c r="D4" s="730"/>
      <c r="E4" s="731"/>
      <c r="F4" s="367"/>
      <c r="G4" s="366"/>
      <c r="H4" s="366"/>
      <c r="I4" s="366"/>
      <c r="J4" s="366"/>
      <c r="K4" s="366"/>
      <c r="L4" s="366"/>
      <c r="M4" s="366"/>
      <c r="N4" s="365"/>
      <c r="O4" s="210"/>
      <c r="P4" s="209"/>
      <c r="Q4" s="209"/>
      <c r="R4" s="209"/>
      <c r="S4" s="209"/>
      <c r="T4" s="208"/>
      <c r="U4" s="207"/>
      <c r="V4" s="1020" t="s">
        <v>580</v>
      </c>
    </row>
    <row r="5" spans="1:23" s="43" customFormat="1" ht="11.25" customHeight="1" x14ac:dyDescent="0.15">
      <c r="A5" s="730"/>
      <c r="B5" s="1021" t="s">
        <v>581</v>
      </c>
      <c r="C5" s="1021"/>
      <c r="D5" s="1021"/>
      <c r="E5" s="1022"/>
      <c r="F5" s="196" t="s">
        <v>240</v>
      </c>
      <c r="G5" s="198" t="s">
        <v>529</v>
      </c>
      <c r="H5" s="198" t="s">
        <v>530</v>
      </c>
      <c r="I5" s="198" t="s">
        <v>531</v>
      </c>
      <c r="J5" s="198" t="s">
        <v>532</v>
      </c>
      <c r="K5" s="198" t="s">
        <v>533</v>
      </c>
      <c r="L5" s="198" t="s">
        <v>534</v>
      </c>
      <c r="M5" s="364"/>
      <c r="N5" s="245"/>
      <c r="O5" s="197" t="s">
        <v>535</v>
      </c>
      <c r="P5" s="198" t="s">
        <v>536</v>
      </c>
      <c r="Q5" s="198" t="s">
        <v>537</v>
      </c>
      <c r="R5" s="198" t="s">
        <v>538</v>
      </c>
      <c r="S5" s="203" t="s">
        <v>583</v>
      </c>
      <c r="T5" s="202"/>
      <c r="U5" s="201"/>
      <c r="V5" s="1018"/>
    </row>
    <row r="6" spans="1:23" s="43" customFormat="1" ht="11.25" customHeight="1" x14ac:dyDescent="0.15">
      <c r="A6" s="730"/>
      <c r="B6" s="730"/>
      <c r="C6" s="730"/>
      <c r="D6" s="730"/>
      <c r="E6" s="731"/>
      <c r="F6" s="196"/>
      <c r="G6" s="198" t="s">
        <v>237</v>
      </c>
      <c r="H6" s="198" t="s">
        <v>237</v>
      </c>
      <c r="I6" s="198" t="s">
        <v>238</v>
      </c>
      <c r="J6" s="198"/>
      <c r="K6" s="198"/>
      <c r="L6" s="198" t="s">
        <v>237</v>
      </c>
      <c r="M6" s="198" t="s">
        <v>236</v>
      </c>
      <c r="N6" s="363" t="s">
        <v>235</v>
      </c>
      <c r="O6" s="197"/>
      <c r="P6" s="198"/>
      <c r="Q6" s="198"/>
      <c r="R6" s="198"/>
      <c r="S6" s="198"/>
      <c r="T6" s="198" t="s">
        <v>540</v>
      </c>
      <c r="U6" s="197" t="s">
        <v>541</v>
      </c>
      <c r="V6" s="1018"/>
    </row>
    <row r="7" spans="1:23" s="43" customFormat="1" ht="33.75" customHeight="1" x14ac:dyDescent="0.15">
      <c r="A7" s="736"/>
      <c r="B7" s="749"/>
      <c r="C7" s="749"/>
      <c r="D7" s="749"/>
      <c r="E7" s="746"/>
      <c r="F7" s="362" t="s">
        <v>947</v>
      </c>
      <c r="G7" s="362" t="s">
        <v>234</v>
      </c>
      <c r="H7" s="362" t="s">
        <v>550</v>
      </c>
      <c r="I7" s="362" t="s">
        <v>551</v>
      </c>
      <c r="J7" s="362" t="s">
        <v>233</v>
      </c>
      <c r="K7" s="362" t="s">
        <v>542</v>
      </c>
      <c r="L7" s="362" t="s">
        <v>948</v>
      </c>
      <c r="M7" s="362" t="s">
        <v>552</v>
      </c>
      <c r="N7" s="361" t="s">
        <v>553</v>
      </c>
      <c r="O7" s="192" t="s">
        <v>242</v>
      </c>
      <c r="P7" s="192" t="s">
        <v>232</v>
      </c>
      <c r="Q7" s="192" t="s">
        <v>231</v>
      </c>
      <c r="R7" s="191" t="s">
        <v>230</v>
      </c>
      <c r="S7" s="360" t="s">
        <v>554</v>
      </c>
      <c r="T7" s="744"/>
      <c r="U7" s="744"/>
      <c r="V7" s="1019"/>
      <c r="W7" s="43" t="s">
        <v>639</v>
      </c>
    </row>
    <row r="8" spans="1:23" s="304" customFormat="1" ht="14.25" customHeight="1" x14ac:dyDescent="0.15">
      <c r="A8" s="730"/>
      <c r="B8" s="819"/>
      <c r="C8" s="819"/>
      <c r="D8" s="820"/>
      <c r="E8" s="821"/>
      <c r="F8" s="320">
        <v>1461081</v>
      </c>
      <c r="G8" s="319">
        <v>137</v>
      </c>
      <c r="H8" s="337"/>
      <c r="I8" s="319">
        <v>1434046</v>
      </c>
      <c r="J8" s="337"/>
      <c r="K8" s="337">
        <v>10479</v>
      </c>
      <c r="L8" s="319">
        <v>16419</v>
      </c>
      <c r="M8" s="319">
        <v>200</v>
      </c>
      <c r="N8" s="319">
        <v>16219</v>
      </c>
      <c r="O8" s="319">
        <v>16182</v>
      </c>
      <c r="P8" s="331"/>
      <c r="Q8" s="331"/>
      <c r="R8" s="328"/>
      <c r="S8" s="335"/>
      <c r="T8" s="335"/>
      <c r="U8" s="822"/>
      <c r="V8" s="359"/>
      <c r="W8" s="108"/>
    </row>
    <row r="9" spans="1:23" s="355" customFormat="1" ht="10.5" customHeight="1" x14ac:dyDescent="0.15">
      <c r="A9" s="307"/>
      <c r="B9" s="823" t="s">
        <v>249</v>
      </c>
      <c r="C9" s="823" t="s">
        <v>901</v>
      </c>
      <c r="D9" s="307"/>
      <c r="E9" s="824"/>
      <c r="F9" s="326">
        <v>36211123</v>
      </c>
      <c r="G9" s="324">
        <v>2092508</v>
      </c>
      <c r="H9" s="324">
        <v>28329187</v>
      </c>
      <c r="I9" s="324">
        <v>335557</v>
      </c>
      <c r="J9" s="324">
        <v>2158301</v>
      </c>
      <c r="K9" s="324">
        <v>725308</v>
      </c>
      <c r="L9" s="325">
        <v>2570262</v>
      </c>
      <c r="M9" s="324">
        <v>71561</v>
      </c>
      <c r="N9" s="324">
        <v>2498701</v>
      </c>
      <c r="O9" s="324">
        <v>225524</v>
      </c>
      <c r="P9" s="324">
        <v>69534</v>
      </c>
      <c r="Q9" s="324">
        <v>1711</v>
      </c>
      <c r="R9" s="324">
        <v>15103</v>
      </c>
      <c r="S9" s="323">
        <v>10919571</v>
      </c>
      <c r="T9" s="323">
        <v>9103028</v>
      </c>
      <c r="U9" s="322">
        <v>1816543</v>
      </c>
      <c r="V9" s="356" t="s">
        <v>902</v>
      </c>
      <c r="W9" s="307"/>
    </row>
    <row r="10" spans="1:23" s="304" customFormat="1" ht="14.25" customHeight="1" x14ac:dyDescent="0.15">
      <c r="A10" s="108"/>
      <c r="B10" s="825"/>
      <c r="C10" s="826"/>
      <c r="D10" s="29"/>
      <c r="E10" s="827"/>
      <c r="F10" s="320">
        <v>1142896</v>
      </c>
      <c r="G10" s="319"/>
      <c r="H10" s="319"/>
      <c r="I10" s="319">
        <v>1058274</v>
      </c>
      <c r="J10" s="319"/>
      <c r="K10" s="319"/>
      <c r="L10" s="319">
        <v>84622</v>
      </c>
      <c r="M10" s="319">
        <v>2650</v>
      </c>
      <c r="N10" s="319">
        <v>81972</v>
      </c>
      <c r="O10" s="319">
        <v>18654</v>
      </c>
      <c r="P10" s="331"/>
      <c r="Q10" s="331"/>
      <c r="R10" s="331"/>
      <c r="S10" s="317"/>
      <c r="T10" s="317"/>
      <c r="U10" s="316"/>
      <c r="V10" s="357"/>
      <c r="W10" s="108"/>
    </row>
    <row r="11" spans="1:23" s="355" customFormat="1" ht="10.5" customHeight="1" x14ac:dyDescent="0.15">
      <c r="A11" s="307"/>
      <c r="B11" s="823" t="s">
        <v>903</v>
      </c>
      <c r="C11" s="823" t="s">
        <v>969</v>
      </c>
      <c r="D11" s="307"/>
      <c r="E11" s="824"/>
      <c r="F11" s="280">
        <v>31720740</v>
      </c>
      <c r="G11" s="324">
        <v>2306235</v>
      </c>
      <c r="H11" s="324">
        <v>25968884</v>
      </c>
      <c r="I11" s="324">
        <v>240422</v>
      </c>
      <c r="J11" s="324">
        <v>1692406</v>
      </c>
      <c r="K11" s="324">
        <v>707459</v>
      </c>
      <c r="L11" s="280">
        <v>805334</v>
      </c>
      <c r="M11" s="324">
        <v>114834</v>
      </c>
      <c r="N11" s="280">
        <v>690500</v>
      </c>
      <c r="O11" s="324">
        <v>235247</v>
      </c>
      <c r="P11" s="324">
        <v>44425</v>
      </c>
      <c r="Q11" s="324">
        <v>1817</v>
      </c>
      <c r="R11" s="324">
        <v>11871</v>
      </c>
      <c r="S11" s="323">
        <v>10762268</v>
      </c>
      <c r="T11" s="323">
        <v>8831688</v>
      </c>
      <c r="U11" s="322">
        <v>1930580</v>
      </c>
      <c r="V11" s="356" t="s">
        <v>905</v>
      </c>
      <c r="W11" s="307"/>
    </row>
    <row r="12" spans="1:23" s="304" customFormat="1" ht="14.25" customHeight="1" x14ac:dyDescent="0.15">
      <c r="A12" s="108"/>
      <c r="B12" s="825"/>
      <c r="C12" s="825"/>
      <c r="D12" s="29"/>
      <c r="E12" s="827"/>
      <c r="F12" s="320">
        <v>827444</v>
      </c>
      <c r="G12" s="319"/>
      <c r="H12" s="319"/>
      <c r="I12" s="319">
        <v>819586</v>
      </c>
      <c r="J12" s="319"/>
      <c r="K12" s="319">
        <v>7858</v>
      </c>
      <c r="L12" s="319"/>
      <c r="M12" s="319"/>
      <c r="N12" s="319"/>
      <c r="O12" s="319">
        <v>14077</v>
      </c>
      <c r="P12" s="331"/>
      <c r="Q12" s="331"/>
      <c r="R12" s="331"/>
      <c r="S12" s="317"/>
      <c r="T12" s="317"/>
      <c r="U12" s="316"/>
      <c r="V12" s="357"/>
      <c r="W12" s="108"/>
    </row>
    <row r="13" spans="1:23" s="355" customFormat="1" ht="10.5" customHeight="1" x14ac:dyDescent="0.15">
      <c r="A13" s="307"/>
      <c r="B13" s="823" t="s">
        <v>248</v>
      </c>
      <c r="C13" s="823" t="s">
        <v>970</v>
      </c>
      <c r="D13" s="307"/>
      <c r="E13" s="824"/>
      <c r="F13" s="280">
        <v>34955953</v>
      </c>
      <c r="G13" s="324">
        <v>3127198</v>
      </c>
      <c r="H13" s="324">
        <v>27977796</v>
      </c>
      <c r="I13" s="324">
        <v>92324</v>
      </c>
      <c r="J13" s="324">
        <v>2103609</v>
      </c>
      <c r="K13" s="324">
        <v>1217469</v>
      </c>
      <c r="L13" s="280">
        <v>437557</v>
      </c>
      <c r="M13" s="324">
        <v>123613</v>
      </c>
      <c r="N13" s="280">
        <v>313944</v>
      </c>
      <c r="O13" s="324">
        <v>195920</v>
      </c>
      <c r="P13" s="324">
        <v>8030</v>
      </c>
      <c r="Q13" s="324">
        <v>1735</v>
      </c>
      <c r="R13" s="324">
        <v>9153</v>
      </c>
      <c r="S13" s="358">
        <v>9885612</v>
      </c>
      <c r="T13" s="323">
        <v>8247619</v>
      </c>
      <c r="U13" s="828">
        <v>1637993</v>
      </c>
      <c r="V13" s="356" t="s">
        <v>906</v>
      </c>
      <c r="W13" s="307"/>
    </row>
    <row r="14" spans="1:23" s="304" customFormat="1" ht="14.25" customHeight="1" x14ac:dyDescent="0.15">
      <c r="A14" s="108"/>
      <c r="B14" s="825"/>
      <c r="C14" s="829"/>
      <c r="D14" s="29"/>
      <c r="E14" s="827"/>
      <c r="F14" s="320">
        <v>901449</v>
      </c>
      <c r="G14" s="319"/>
      <c r="H14" s="319"/>
      <c r="I14" s="319">
        <v>890924</v>
      </c>
      <c r="J14" s="319"/>
      <c r="K14" s="319">
        <v>9800</v>
      </c>
      <c r="L14" s="319">
        <v>725</v>
      </c>
      <c r="M14" s="319">
        <v>725</v>
      </c>
      <c r="N14" s="319"/>
      <c r="O14" s="319">
        <v>19738</v>
      </c>
      <c r="P14" s="331"/>
      <c r="Q14" s="331"/>
      <c r="R14" s="331"/>
      <c r="S14" s="317"/>
      <c r="T14" s="317"/>
      <c r="U14" s="316"/>
      <c r="V14" s="357"/>
      <c r="W14" s="108"/>
    </row>
    <row r="15" spans="1:23" s="355" customFormat="1" ht="10.5" customHeight="1" x14ac:dyDescent="0.15">
      <c r="A15" s="307"/>
      <c r="B15" s="823" t="s">
        <v>248</v>
      </c>
      <c r="C15" s="823" t="s">
        <v>971</v>
      </c>
      <c r="D15" s="307"/>
      <c r="E15" s="824"/>
      <c r="F15" s="326">
        <v>39136664</v>
      </c>
      <c r="G15" s="324">
        <v>2926721</v>
      </c>
      <c r="H15" s="324">
        <v>30646454</v>
      </c>
      <c r="I15" s="324">
        <v>167858</v>
      </c>
      <c r="J15" s="324">
        <v>2232720</v>
      </c>
      <c r="K15" s="324">
        <v>1980952</v>
      </c>
      <c r="L15" s="325">
        <v>1181959</v>
      </c>
      <c r="M15" s="324">
        <v>153230</v>
      </c>
      <c r="N15" s="324">
        <v>1028729</v>
      </c>
      <c r="O15" s="324">
        <v>270105</v>
      </c>
      <c r="P15" s="324">
        <v>19051</v>
      </c>
      <c r="Q15" s="324">
        <v>1804</v>
      </c>
      <c r="R15" s="324">
        <v>12043</v>
      </c>
      <c r="S15" s="358">
        <v>10382862</v>
      </c>
      <c r="T15" s="323">
        <v>8878848</v>
      </c>
      <c r="U15" s="828">
        <v>1504014</v>
      </c>
      <c r="V15" s="356" t="s">
        <v>907</v>
      </c>
      <c r="W15" s="307"/>
    </row>
    <row r="16" spans="1:23" s="304" customFormat="1" ht="14.25" customHeight="1" x14ac:dyDescent="0.15">
      <c r="A16" s="108"/>
      <c r="B16" s="825"/>
      <c r="C16" s="829"/>
      <c r="D16" s="29"/>
      <c r="E16" s="827"/>
      <c r="F16" s="320">
        <v>631559</v>
      </c>
      <c r="G16" s="319"/>
      <c r="H16" s="319"/>
      <c r="I16" s="319">
        <v>630259</v>
      </c>
      <c r="J16" s="319"/>
      <c r="K16" s="319">
        <v>1300</v>
      </c>
      <c r="L16" s="319"/>
      <c r="M16" s="319"/>
      <c r="N16" s="319"/>
      <c r="O16" s="319">
        <v>17702</v>
      </c>
      <c r="P16" s="331"/>
      <c r="Q16" s="331"/>
      <c r="R16" s="331"/>
      <c r="S16" s="317"/>
      <c r="T16" s="317"/>
      <c r="U16" s="316"/>
      <c r="V16" s="357"/>
      <c r="W16" s="108"/>
    </row>
    <row r="17" spans="1:23" s="355" customFormat="1" ht="10.5" customHeight="1" x14ac:dyDescent="0.15">
      <c r="A17" s="307"/>
      <c r="B17" s="823" t="s">
        <v>248</v>
      </c>
      <c r="C17" s="823" t="s">
        <v>972</v>
      </c>
      <c r="D17" s="307"/>
      <c r="E17" s="824"/>
      <c r="F17" s="326">
        <v>32841517</v>
      </c>
      <c r="G17" s="324">
        <v>2339243</v>
      </c>
      <c r="H17" s="324">
        <v>25844993</v>
      </c>
      <c r="I17" s="324">
        <v>71898</v>
      </c>
      <c r="J17" s="324">
        <v>1857368</v>
      </c>
      <c r="K17" s="324">
        <v>636740</v>
      </c>
      <c r="L17" s="325">
        <v>2091275</v>
      </c>
      <c r="M17" s="324">
        <v>12370</v>
      </c>
      <c r="N17" s="324">
        <v>2078905</v>
      </c>
      <c r="O17" s="324">
        <v>217626</v>
      </c>
      <c r="P17" s="324">
        <v>16036</v>
      </c>
      <c r="Q17" s="324">
        <v>2065</v>
      </c>
      <c r="R17" s="324">
        <v>14830</v>
      </c>
      <c r="S17" s="323">
        <v>10769227</v>
      </c>
      <c r="T17" s="323">
        <v>8994285</v>
      </c>
      <c r="U17" s="322">
        <v>1774942</v>
      </c>
      <c r="V17" s="356" t="s">
        <v>908</v>
      </c>
      <c r="W17" s="307"/>
    </row>
    <row r="18" spans="1:23" s="304" customFormat="1" ht="6.75" customHeight="1" x14ac:dyDescent="0.15">
      <c r="A18" s="108"/>
      <c r="B18" s="825"/>
      <c r="C18" s="825"/>
      <c r="D18" s="43"/>
      <c r="E18" s="480"/>
      <c r="F18" s="339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17"/>
      <c r="T18" s="317"/>
      <c r="U18" s="316"/>
      <c r="V18" s="338"/>
      <c r="W18" s="108"/>
    </row>
    <row r="19" spans="1:23" s="43" customFormat="1" ht="14.25" customHeight="1" x14ac:dyDescent="0.15">
      <c r="A19" s="108"/>
      <c r="B19" s="825"/>
      <c r="C19" s="825"/>
      <c r="E19" s="480"/>
      <c r="F19" s="320">
        <v>786475</v>
      </c>
      <c r="G19" s="319"/>
      <c r="H19" s="319"/>
      <c r="I19" s="319">
        <v>777650</v>
      </c>
      <c r="J19" s="319"/>
      <c r="K19" s="319">
        <v>8100</v>
      </c>
      <c r="L19" s="319">
        <v>725</v>
      </c>
      <c r="M19" s="319">
        <v>725</v>
      </c>
      <c r="N19" s="319"/>
      <c r="O19" s="319">
        <v>19426</v>
      </c>
      <c r="P19" s="331"/>
      <c r="Q19" s="317"/>
      <c r="R19" s="317"/>
      <c r="S19" s="335"/>
      <c r="T19" s="335"/>
      <c r="U19" s="334"/>
      <c r="V19" s="354"/>
      <c r="W19" s="108"/>
    </row>
    <row r="20" spans="1:23" s="306" customFormat="1" ht="10.5" customHeight="1" x14ac:dyDescent="0.15">
      <c r="A20" s="307"/>
      <c r="B20" s="823" t="s">
        <v>903</v>
      </c>
      <c r="C20" s="823" t="s">
        <v>909</v>
      </c>
      <c r="D20" s="830"/>
      <c r="E20" s="831"/>
      <c r="F20" s="343">
        <v>37001857</v>
      </c>
      <c r="G20" s="342">
        <v>2800701</v>
      </c>
      <c r="H20" s="342">
        <v>29351002</v>
      </c>
      <c r="I20" s="324">
        <v>127101</v>
      </c>
      <c r="J20" s="342">
        <v>1522164</v>
      </c>
      <c r="K20" s="342">
        <v>1713115</v>
      </c>
      <c r="L20" s="325">
        <v>1487774</v>
      </c>
      <c r="M20" s="342">
        <v>143574</v>
      </c>
      <c r="N20" s="342">
        <v>1344200</v>
      </c>
      <c r="O20" s="342">
        <v>279529</v>
      </c>
      <c r="P20" s="342">
        <v>18092</v>
      </c>
      <c r="Q20" s="342">
        <v>1890</v>
      </c>
      <c r="R20" s="342">
        <v>11711</v>
      </c>
      <c r="S20" s="323">
        <v>10243431</v>
      </c>
      <c r="T20" s="323">
        <v>8721592</v>
      </c>
      <c r="U20" s="322">
        <v>1521839</v>
      </c>
      <c r="V20" s="353" t="s">
        <v>910</v>
      </c>
      <c r="W20" s="307"/>
    </row>
    <row r="21" spans="1:23" s="43" customFormat="1" ht="14.25" customHeight="1" x14ac:dyDescent="0.15">
      <c r="A21" s="108"/>
      <c r="B21" s="825"/>
      <c r="C21" s="826"/>
      <c r="D21" s="832"/>
      <c r="E21" s="833"/>
      <c r="F21" s="320">
        <v>785910</v>
      </c>
      <c r="G21" s="319"/>
      <c r="H21" s="319"/>
      <c r="I21" s="319">
        <v>785910</v>
      </c>
      <c r="J21" s="319"/>
      <c r="K21" s="319"/>
      <c r="L21" s="319"/>
      <c r="M21" s="319"/>
      <c r="N21" s="319"/>
      <c r="O21" s="319">
        <v>17984</v>
      </c>
      <c r="P21" s="331"/>
      <c r="Q21" s="317"/>
      <c r="R21" s="317"/>
      <c r="S21" s="335"/>
      <c r="T21" s="335"/>
      <c r="U21" s="334"/>
      <c r="V21" s="354"/>
      <c r="W21" s="108"/>
    </row>
    <row r="22" spans="1:23" s="306" customFormat="1" ht="10.5" customHeight="1" x14ac:dyDescent="0.15">
      <c r="A22" s="307"/>
      <c r="B22" s="823" t="s">
        <v>248</v>
      </c>
      <c r="C22" s="823" t="s">
        <v>972</v>
      </c>
      <c r="D22" s="830"/>
      <c r="E22" s="831"/>
      <c r="F22" s="343">
        <v>32863248</v>
      </c>
      <c r="G22" s="342">
        <v>2361452</v>
      </c>
      <c r="H22" s="342">
        <v>25867500</v>
      </c>
      <c r="I22" s="324">
        <v>118131</v>
      </c>
      <c r="J22" s="342">
        <v>2001761</v>
      </c>
      <c r="K22" s="342">
        <v>490277</v>
      </c>
      <c r="L22" s="325">
        <v>2024127</v>
      </c>
      <c r="M22" s="342" t="s">
        <v>599</v>
      </c>
      <c r="N22" s="342">
        <v>2024127</v>
      </c>
      <c r="O22" s="342">
        <v>184058</v>
      </c>
      <c r="P22" s="342">
        <v>16726</v>
      </c>
      <c r="Q22" s="342">
        <v>2091</v>
      </c>
      <c r="R22" s="342">
        <v>14193</v>
      </c>
      <c r="S22" s="323">
        <v>10916074</v>
      </c>
      <c r="T22" s="323">
        <v>9093721</v>
      </c>
      <c r="U22" s="322">
        <v>1822353</v>
      </c>
      <c r="V22" s="353" t="s">
        <v>911</v>
      </c>
      <c r="W22" s="307"/>
    </row>
    <row r="23" spans="1:23" s="43" customFormat="1" ht="6.75" customHeight="1" x14ac:dyDescent="0.15">
      <c r="A23" s="108"/>
      <c r="B23" s="825"/>
      <c r="C23" s="825"/>
      <c r="D23" s="832"/>
      <c r="E23" s="480"/>
      <c r="F23" s="352"/>
      <c r="G23" s="317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35"/>
      <c r="T23" s="335"/>
      <c r="U23" s="334"/>
      <c r="V23" s="336"/>
      <c r="W23" s="108"/>
    </row>
    <row r="24" spans="1:23" s="43" customFormat="1" ht="14.25" customHeight="1" x14ac:dyDescent="0.15">
      <c r="A24" s="108"/>
      <c r="B24" s="825"/>
      <c r="C24" s="825"/>
      <c r="E24" s="480"/>
      <c r="F24" s="320">
        <v>284683</v>
      </c>
      <c r="G24" s="319"/>
      <c r="H24" s="319"/>
      <c r="I24" s="319">
        <v>283383</v>
      </c>
      <c r="J24" s="319"/>
      <c r="K24" s="319">
        <v>1300</v>
      </c>
      <c r="L24" s="319"/>
      <c r="M24" s="319"/>
      <c r="N24" s="319"/>
      <c r="O24" s="319">
        <v>4287</v>
      </c>
      <c r="P24" s="319"/>
      <c r="Q24" s="319"/>
      <c r="R24" s="319"/>
      <c r="S24" s="319"/>
      <c r="T24" s="319"/>
      <c r="U24" s="333"/>
      <c r="V24" s="336"/>
      <c r="W24" s="108"/>
    </row>
    <row r="25" spans="1:23" s="306" customFormat="1" ht="10.5" customHeight="1" x14ac:dyDescent="0.15">
      <c r="A25" s="307"/>
      <c r="B25" s="823" t="s">
        <v>903</v>
      </c>
      <c r="C25" s="823" t="s">
        <v>912</v>
      </c>
      <c r="D25" s="834" t="s">
        <v>723</v>
      </c>
      <c r="E25" s="831"/>
      <c r="F25" s="326">
        <v>8044350</v>
      </c>
      <c r="G25" s="324">
        <v>307888</v>
      </c>
      <c r="H25" s="324">
        <v>6166293</v>
      </c>
      <c r="I25" s="324" t="s">
        <v>599</v>
      </c>
      <c r="J25" s="324">
        <v>664207</v>
      </c>
      <c r="K25" s="324">
        <v>224966</v>
      </c>
      <c r="L25" s="324">
        <v>680996</v>
      </c>
      <c r="M25" s="324">
        <v>12370</v>
      </c>
      <c r="N25" s="324">
        <v>668626</v>
      </c>
      <c r="O25" s="324">
        <v>63250</v>
      </c>
      <c r="P25" s="324">
        <v>3017</v>
      </c>
      <c r="Q25" s="324">
        <v>485</v>
      </c>
      <c r="R25" s="324">
        <v>2187</v>
      </c>
      <c r="S25" s="324">
        <v>3144529</v>
      </c>
      <c r="T25" s="324">
        <v>2727910</v>
      </c>
      <c r="U25" s="346">
        <v>416619</v>
      </c>
      <c r="V25" s="340" t="s">
        <v>913</v>
      </c>
      <c r="W25" s="307"/>
    </row>
    <row r="26" spans="1:23" s="43" customFormat="1" ht="14.25" customHeight="1" x14ac:dyDescent="0.15">
      <c r="A26" s="108"/>
      <c r="B26" s="825"/>
      <c r="C26" s="826"/>
      <c r="D26" s="832"/>
      <c r="E26" s="833"/>
      <c r="F26" s="320">
        <v>49978</v>
      </c>
      <c r="G26" s="319"/>
      <c r="H26" s="319"/>
      <c r="I26" s="319">
        <v>49978</v>
      </c>
      <c r="J26" s="319"/>
      <c r="K26" s="319"/>
      <c r="L26" s="319"/>
      <c r="M26" s="319"/>
      <c r="N26" s="319"/>
      <c r="O26" s="319">
        <v>3904</v>
      </c>
      <c r="P26" s="319"/>
      <c r="Q26" s="319"/>
      <c r="R26" s="319"/>
      <c r="S26" s="319"/>
      <c r="T26" s="319"/>
      <c r="U26" s="333"/>
      <c r="V26" s="351"/>
      <c r="W26" s="108"/>
    </row>
    <row r="27" spans="1:23" s="306" customFormat="1" ht="10.5" customHeight="1" x14ac:dyDescent="0.15">
      <c r="A27" s="307"/>
      <c r="B27" s="823" t="s">
        <v>248</v>
      </c>
      <c r="C27" s="823" t="s">
        <v>248</v>
      </c>
      <c r="D27" s="834" t="s">
        <v>724</v>
      </c>
      <c r="E27" s="831"/>
      <c r="F27" s="326">
        <v>7375831</v>
      </c>
      <c r="G27" s="324">
        <v>595083</v>
      </c>
      <c r="H27" s="324">
        <v>6139027</v>
      </c>
      <c r="I27" s="324">
        <v>5859</v>
      </c>
      <c r="J27" s="324">
        <v>63627</v>
      </c>
      <c r="K27" s="324">
        <v>157307</v>
      </c>
      <c r="L27" s="324">
        <v>414928</v>
      </c>
      <c r="M27" s="324" t="s">
        <v>599</v>
      </c>
      <c r="N27" s="324">
        <v>414928</v>
      </c>
      <c r="O27" s="324">
        <v>70317</v>
      </c>
      <c r="P27" s="324">
        <v>1754</v>
      </c>
      <c r="Q27" s="324">
        <v>504</v>
      </c>
      <c r="R27" s="324">
        <v>3627</v>
      </c>
      <c r="S27" s="324">
        <v>2505697</v>
      </c>
      <c r="T27" s="324">
        <v>2096350</v>
      </c>
      <c r="U27" s="346">
        <v>409347</v>
      </c>
      <c r="V27" s="350" t="s">
        <v>914</v>
      </c>
      <c r="W27" s="307"/>
    </row>
    <row r="28" spans="1:23" s="43" customFormat="1" ht="14.25" customHeight="1" x14ac:dyDescent="0.15">
      <c r="A28" s="108"/>
      <c r="B28" s="825"/>
      <c r="C28" s="825"/>
      <c r="D28" s="832"/>
      <c r="E28" s="833"/>
      <c r="F28" s="320"/>
      <c r="G28" s="319"/>
      <c r="H28" s="319"/>
      <c r="I28" s="319"/>
      <c r="J28" s="319"/>
      <c r="K28" s="319"/>
      <c r="L28" s="319"/>
      <c r="M28" s="324"/>
      <c r="N28" s="319"/>
      <c r="O28" s="319">
        <v>4194</v>
      </c>
      <c r="P28" s="319"/>
      <c r="Q28" s="319"/>
      <c r="R28" s="319"/>
      <c r="S28" s="319"/>
      <c r="T28" s="319"/>
      <c r="U28" s="333"/>
      <c r="V28" s="349"/>
      <c r="W28" s="108"/>
    </row>
    <row r="29" spans="1:23" s="306" customFormat="1" ht="10.5" customHeight="1" x14ac:dyDescent="0.15">
      <c r="A29" s="307"/>
      <c r="B29" s="823" t="s">
        <v>248</v>
      </c>
      <c r="C29" s="823" t="s">
        <v>248</v>
      </c>
      <c r="D29" s="834" t="s">
        <v>725</v>
      </c>
      <c r="E29" s="831"/>
      <c r="F29" s="326">
        <v>8392040</v>
      </c>
      <c r="G29" s="324">
        <v>747008</v>
      </c>
      <c r="H29" s="324">
        <v>6735444</v>
      </c>
      <c r="I29" s="324">
        <v>5865</v>
      </c>
      <c r="J29" s="324">
        <v>215818</v>
      </c>
      <c r="K29" s="324">
        <v>158571</v>
      </c>
      <c r="L29" s="324">
        <v>529334</v>
      </c>
      <c r="M29" s="324" t="s">
        <v>599</v>
      </c>
      <c r="N29" s="324">
        <v>529334</v>
      </c>
      <c r="O29" s="324">
        <v>33205</v>
      </c>
      <c r="P29" s="324">
        <v>1999</v>
      </c>
      <c r="Q29" s="324">
        <v>601</v>
      </c>
      <c r="R29" s="324">
        <v>7347</v>
      </c>
      <c r="S29" s="324">
        <v>2481770</v>
      </c>
      <c r="T29" s="324">
        <v>2032333</v>
      </c>
      <c r="U29" s="346">
        <v>449437</v>
      </c>
      <c r="V29" s="348" t="s">
        <v>915</v>
      </c>
      <c r="W29" s="307"/>
    </row>
    <row r="30" spans="1:23" s="43" customFormat="1" ht="14.25" customHeight="1" x14ac:dyDescent="0.15">
      <c r="A30" s="108"/>
      <c r="B30" s="825"/>
      <c r="C30" s="825"/>
      <c r="D30" s="832"/>
      <c r="E30" s="833"/>
      <c r="F30" s="320">
        <v>296898</v>
      </c>
      <c r="G30" s="319"/>
      <c r="H30" s="319"/>
      <c r="I30" s="319">
        <v>296898</v>
      </c>
      <c r="J30" s="319"/>
      <c r="K30" s="319"/>
      <c r="L30" s="319"/>
      <c r="M30" s="324"/>
      <c r="N30" s="319"/>
      <c r="O30" s="319">
        <v>5317</v>
      </c>
      <c r="P30" s="319"/>
      <c r="Q30" s="319"/>
      <c r="R30" s="319"/>
      <c r="S30" s="319"/>
      <c r="T30" s="319"/>
      <c r="U30" s="333"/>
      <c r="V30" s="347"/>
      <c r="W30" s="108"/>
    </row>
    <row r="31" spans="1:23" s="306" customFormat="1" ht="10.5" customHeight="1" x14ac:dyDescent="0.15">
      <c r="A31" s="307"/>
      <c r="B31" s="823" t="s">
        <v>248</v>
      </c>
      <c r="C31" s="823" t="s">
        <v>248</v>
      </c>
      <c r="D31" s="834" t="s">
        <v>629</v>
      </c>
      <c r="E31" s="831"/>
      <c r="F31" s="326">
        <v>9029296</v>
      </c>
      <c r="G31" s="324">
        <v>689264</v>
      </c>
      <c r="H31" s="324">
        <v>6804229</v>
      </c>
      <c r="I31" s="324">
        <v>60174</v>
      </c>
      <c r="J31" s="324">
        <v>913716</v>
      </c>
      <c r="K31" s="324">
        <v>95896</v>
      </c>
      <c r="L31" s="324">
        <v>466017</v>
      </c>
      <c r="M31" s="324" t="s">
        <v>599</v>
      </c>
      <c r="N31" s="324">
        <v>466017</v>
      </c>
      <c r="O31" s="324">
        <v>50854</v>
      </c>
      <c r="P31" s="324">
        <v>9266</v>
      </c>
      <c r="Q31" s="324">
        <v>475</v>
      </c>
      <c r="R31" s="324">
        <v>1669</v>
      </c>
      <c r="S31" s="324">
        <v>2637231</v>
      </c>
      <c r="T31" s="324">
        <v>2137692</v>
      </c>
      <c r="U31" s="346">
        <v>499539</v>
      </c>
      <c r="V31" s="345" t="s">
        <v>916</v>
      </c>
      <c r="W31" s="307"/>
    </row>
    <row r="32" spans="1:23" s="43" customFormat="1" ht="14.25" customHeight="1" x14ac:dyDescent="0.15">
      <c r="A32" s="108"/>
      <c r="B32" s="825"/>
      <c r="C32" s="825"/>
      <c r="D32" s="832"/>
      <c r="E32" s="833"/>
      <c r="F32" s="320">
        <v>439034</v>
      </c>
      <c r="G32" s="319"/>
      <c r="H32" s="319"/>
      <c r="I32" s="319">
        <v>439034</v>
      </c>
      <c r="J32" s="319"/>
      <c r="K32" s="319"/>
      <c r="L32" s="319"/>
      <c r="M32" s="324"/>
      <c r="N32" s="319"/>
      <c r="O32" s="319">
        <v>4569</v>
      </c>
      <c r="P32" s="319"/>
      <c r="Q32" s="319"/>
      <c r="R32" s="319"/>
      <c r="S32" s="319"/>
      <c r="T32" s="319"/>
      <c r="U32" s="333"/>
      <c r="V32" s="344"/>
      <c r="W32" s="108"/>
    </row>
    <row r="33" spans="1:23" s="306" customFormat="1" ht="10.5" customHeight="1" x14ac:dyDescent="0.15">
      <c r="A33" s="307"/>
      <c r="B33" s="823" t="s">
        <v>903</v>
      </c>
      <c r="C33" s="823" t="s">
        <v>917</v>
      </c>
      <c r="D33" s="834" t="s">
        <v>726</v>
      </c>
      <c r="E33" s="834"/>
      <c r="F33" s="343">
        <v>8066081</v>
      </c>
      <c r="G33" s="342">
        <v>330097</v>
      </c>
      <c r="H33" s="342">
        <v>6188800</v>
      </c>
      <c r="I33" s="342">
        <v>46233</v>
      </c>
      <c r="J33" s="342">
        <v>808600</v>
      </c>
      <c r="K33" s="342">
        <v>78503</v>
      </c>
      <c r="L33" s="342">
        <v>613848</v>
      </c>
      <c r="M33" s="342" t="s">
        <v>599</v>
      </c>
      <c r="N33" s="342">
        <v>613848</v>
      </c>
      <c r="O33" s="342">
        <v>29682</v>
      </c>
      <c r="P33" s="342">
        <v>3707</v>
      </c>
      <c r="Q33" s="342">
        <v>511</v>
      </c>
      <c r="R33" s="342">
        <v>1550</v>
      </c>
      <c r="S33" s="342">
        <v>3291376</v>
      </c>
      <c r="T33" s="342">
        <v>2827346</v>
      </c>
      <c r="U33" s="341">
        <v>464030</v>
      </c>
      <c r="V33" s="340" t="s">
        <v>918</v>
      </c>
      <c r="W33" s="307"/>
    </row>
    <row r="34" spans="1:23" s="43" customFormat="1" ht="6.75" customHeight="1" x14ac:dyDescent="0.15">
      <c r="A34" s="108"/>
      <c r="B34" s="825"/>
      <c r="C34" s="825"/>
      <c r="E34" s="480"/>
      <c r="F34" s="339"/>
      <c r="G34" s="338"/>
      <c r="H34" s="338"/>
      <c r="I34" s="338"/>
      <c r="J34" s="338"/>
      <c r="K34" s="338"/>
      <c r="L34" s="331"/>
      <c r="M34" s="338"/>
      <c r="N34" s="338"/>
      <c r="O34" s="338"/>
      <c r="P34" s="338"/>
      <c r="Q34" s="338"/>
      <c r="R34" s="338"/>
      <c r="S34" s="317"/>
      <c r="T34" s="317"/>
      <c r="U34" s="316"/>
      <c r="V34" s="336"/>
      <c r="W34" s="108"/>
    </row>
    <row r="35" spans="1:23" s="43" customFormat="1" ht="14.25" customHeight="1" x14ac:dyDescent="0.15">
      <c r="A35" s="108"/>
      <c r="B35" s="825"/>
      <c r="C35" s="825"/>
      <c r="E35" s="480"/>
      <c r="F35" s="320">
        <v>122133</v>
      </c>
      <c r="G35" s="319"/>
      <c r="H35" s="319"/>
      <c r="I35" s="319">
        <v>122133</v>
      </c>
      <c r="J35" s="319"/>
      <c r="K35" s="319"/>
      <c r="L35" s="319"/>
      <c r="M35" s="319"/>
      <c r="N35" s="319"/>
      <c r="O35" s="337">
        <v>1652</v>
      </c>
      <c r="P35" s="328"/>
      <c r="Q35" s="328"/>
      <c r="R35" s="328"/>
      <c r="S35" s="317"/>
      <c r="T35" s="317"/>
      <c r="U35" s="316"/>
      <c r="V35" s="336"/>
      <c r="W35" s="108"/>
    </row>
    <row r="36" spans="1:23" s="306" customFormat="1" ht="10.5" customHeight="1" x14ac:dyDescent="0.15">
      <c r="A36" s="307"/>
      <c r="B36" s="823" t="s">
        <v>903</v>
      </c>
      <c r="C36" s="823" t="s">
        <v>912</v>
      </c>
      <c r="D36" s="823" t="s">
        <v>707</v>
      </c>
      <c r="E36" s="835"/>
      <c r="F36" s="326">
        <v>3378430</v>
      </c>
      <c r="G36" s="324">
        <v>120003</v>
      </c>
      <c r="H36" s="324">
        <v>2558776</v>
      </c>
      <c r="I36" s="324" t="s">
        <v>599</v>
      </c>
      <c r="J36" s="324">
        <v>319279</v>
      </c>
      <c r="K36" s="324">
        <v>101296</v>
      </c>
      <c r="L36" s="325">
        <v>279076</v>
      </c>
      <c r="M36" s="324">
        <v>6171</v>
      </c>
      <c r="N36" s="324">
        <v>272905</v>
      </c>
      <c r="O36" s="324">
        <v>14676</v>
      </c>
      <c r="P36" s="324">
        <v>1002</v>
      </c>
      <c r="Q36" s="324">
        <v>163</v>
      </c>
      <c r="R36" s="324">
        <v>225</v>
      </c>
      <c r="S36" s="323">
        <v>1097183</v>
      </c>
      <c r="T36" s="323">
        <v>945310</v>
      </c>
      <c r="U36" s="322">
        <v>151873</v>
      </c>
      <c r="V36" s="329" t="s">
        <v>919</v>
      </c>
      <c r="W36" s="307"/>
    </row>
    <row r="37" spans="1:23" s="43" customFormat="1" ht="14.25" customHeight="1" x14ac:dyDescent="0.15">
      <c r="A37" s="108"/>
      <c r="B37" s="825"/>
      <c r="C37" s="826"/>
      <c r="D37" s="836"/>
      <c r="E37" s="837"/>
      <c r="F37" s="320">
        <v>112685</v>
      </c>
      <c r="G37" s="319"/>
      <c r="H37" s="319"/>
      <c r="I37" s="319">
        <v>111385</v>
      </c>
      <c r="J37" s="319"/>
      <c r="K37" s="319">
        <v>1300</v>
      </c>
      <c r="L37" s="319"/>
      <c r="M37" s="319"/>
      <c r="N37" s="319"/>
      <c r="O37" s="319">
        <v>1347</v>
      </c>
      <c r="P37" s="328"/>
      <c r="Q37" s="328"/>
      <c r="R37" s="328"/>
      <c r="S37" s="317"/>
      <c r="T37" s="317"/>
      <c r="U37" s="316"/>
      <c r="V37" s="327"/>
      <c r="W37" s="108"/>
    </row>
    <row r="38" spans="1:23" s="306" customFormat="1" ht="10.5" customHeight="1" x14ac:dyDescent="0.15">
      <c r="A38" s="307"/>
      <c r="B38" s="823" t="s">
        <v>248</v>
      </c>
      <c r="C38" s="823" t="s">
        <v>248</v>
      </c>
      <c r="D38" s="823" t="s">
        <v>708</v>
      </c>
      <c r="E38" s="835"/>
      <c r="F38" s="326">
        <v>2569511</v>
      </c>
      <c r="G38" s="324">
        <v>126904</v>
      </c>
      <c r="H38" s="324">
        <v>1866632</v>
      </c>
      <c r="I38" s="324" t="s">
        <v>599</v>
      </c>
      <c r="J38" s="324">
        <v>275958</v>
      </c>
      <c r="K38" s="324">
        <v>65460</v>
      </c>
      <c r="L38" s="325">
        <v>234557</v>
      </c>
      <c r="M38" s="324" t="s">
        <v>599</v>
      </c>
      <c r="N38" s="324">
        <v>234557</v>
      </c>
      <c r="O38" s="324">
        <v>29472</v>
      </c>
      <c r="P38" s="324">
        <v>1017</v>
      </c>
      <c r="Q38" s="324">
        <v>102</v>
      </c>
      <c r="R38" s="324">
        <v>1388</v>
      </c>
      <c r="S38" s="323">
        <v>913905</v>
      </c>
      <c r="T38" s="323">
        <v>769727</v>
      </c>
      <c r="U38" s="322">
        <v>144178</v>
      </c>
      <c r="V38" s="321" t="s">
        <v>920</v>
      </c>
      <c r="W38" s="307"/>
    </row>
    <row r="39" spans="1:23" s="43" customFormat="1" ht="14.25" customHeight="1" x14ac:dyDescent="0.15">
      <c r="A39" s="108"/>
      <c r="B39" s="825"/>
      <c r="C39" s="825"/>
      <c r="D39" s="836"/>
      <c r="E39" s="333"/>
      <c r="F39" s="320">
        <v>49865</v>
      </c>
      <c r="G39" s="319"/>
      <c r="H39" s="319"/>
      <c r="I39" s="319">
        <v>49865</v>
      </c>
      <c r="J39" s="319"/>
      <c r="K39" s="319"/>
      <c r="L39" s="319"/>
      <c r="M39" s="319"/>
      <c r="N39" s="319"/>
      <c r="O39" s="319">
        <v>1288</v>
      </c>
      <c r="P39" s="328"/>
      <c r="Q39" s="328"/>
      <c r="R39" s="328"/>
      <c r="S39" s="335"/>
      <c r="T39" s="335"/>
      <c r="U39" s="334"/>
      <c r="V39" s="315"/>
      <c r="W39" s="108"/>
    </row>
    <row r="40" spans="1:23" s="306" customFormat="1" ht="10.5" customHeight="1" x14ac:dyDescent="0.15">
      <c r="A40" s="307"/>
      <c r="B40" s="823" t="s">
        <v>248</v>
      </c>
      <c r="C40" s="823" t="s">
        <v>248</v>
      </c>
      <c r="D40" s="823" t="s">
        <v>709</v>
      </c>
      <c r="E40" s="835"/>
      <c r="F40" s="326">
        <v>2096409</v>
      </c>
      <c r="G40" s="324">
        <v>60981</v>
      </c>
      <c r="H40" s="324">
        <v>1740885</v>
      </c>
      <c r="I40" s="324" t="s">
        <v>599</v>
      </c>
      <c r="J40" s="324">
        <v>68970</v>
      </c>
      <c r="K40" s="324">
        <v>58210</v>
      </c>
      <c r="L40" s="325">
        <v>167363</v>
      </c>
      <c r="M40" s="324">
        <v>6199</v>
      </c>
      <c r="N40" s="324">
        <v>161164</v>
      </c>
      <c r="O40" s="324">
        <v>19102</v>
      </c>
      <c r="P40" s="324">
        <v>998</v>
      </c>
      <c r="Q40" s="324">
        <v>220</v>
      </c>
      <c r="R40" s="324">
        <v>574</v>
      </c>
      <c r="S40" s="323">
        <v>1133441</v>
      </c>
      <c r="T40" s="323">
        <v>1012873</v>
      </c>
      <c r="U40" s="322">
        <v>120568</v>
      </c>
      <c r="V40" s="321" t="s">
        <v>921</v>
      </c>
      <c r="W40" s="307"/>
    </row>
    <row r="41" spans="1:23" s="43" customFormat="1" ht="14.25" customHeight="1" x14ac:dyDescent="0.15">
      <c r="A41" s="108"/>
      <c r="B41" s="825"/>
      <c r="C41" s="825"/>
      <c r="D41" s="836"/>
      <c r="E41" s="837"/>
      <c r="F41" s="320"/>
      <c r="G41" s="319"/>
      <c r="H41" s="319"/>
      <c r="I41" s="319"/>
      <c r="J41" s="319"/>
      <c r="K41" s="319"/>
      <c r="L41" s="319"/>
      <c r="M41" s="319"/>
      <c r="N41" s="319"/>
      <c r="O41" s="319">
        <v>1614</v>
      </c>
      <c r="P41" s="328"/>
      <c r="Q41" s="328"/>
      <c r="R41" s="328"/>
      <c r="S41" s="317"/>
      <c r="T41" s="317"/>
      <c r="U41" s="316"/>
      <c r="V41" s="315"/>
      <c r="W41" s="108"/>
    </row>
    <row r="42" spans="1:23" s="306" customFormat="1" ht="10.5" customHeight="1" x14ac:dyDescent="0.15">
      <c r="A42" s="307"/>
      <c r="B42" s="823" t="s">
        <v>248</v>
      </c>
      <c r="C42" s="823" t="s">
        <v>248</v>
      </c>
      <c r="D42" s="823" t="s">
        <v>710</v>
      </c>
      <c r="E42" s="835"/>
      <c r="F42" s="326">
        <v>2400090</v>
      </c>
      <c r="G42" s="324">
        <v>240117</v>
      </c>
      <c r="H42" s="324">
        <v>1913601</v>
      </c>
      <c r="I42" s="324">
        <v>5859</v>
      </c>
      <c r="J42" s="324">
        <v>33347</v>
      </c>
      <c r="K42" s="324">
        <v>18629</v>
      </c>
      <c r="L42" s="325">
        <v>188537</v>
      </c>
      <c r="M42" s="324" t="s">
        <v>599</v>
      </c>
      <c r="N42" s="324">
        <v>188537</v>
      </c>
      <c r="O42" s="324">
        <v>28554</v>
      </c>
      <c r="P42" s="324">
        <v>750</v>
      </c>
      <c r="Q42" s="324">
        <v>164</v>
      </c>
      <c r="R42" s="324">
        <v>1716</v>
      </c>
      <c r="S42" s="323">
        <v>892792</v>
      </c>
      <c r="T42" s="323">
        <v>753454</v>
      </c>
      <c r="U42" s="322">
        <v>139338</v>
      </c>
      <c r="V42" s="321" t="s">
        <v>922</v>
      </c>
      <c r="W42" s="307"/>
    </row>
    <row r="43" spans="1:23" s="43" customFormat="1" ht="14.25" customHeight="1" x14ac:dyDescent="0.15">
      <c r="A43" s="108"/>
      <c r="B43" s="825"/>
      <c r="C43" s="825"/>
      <c r="D43" s="836"/>
      <c r="E43" s="837"/>
      <c r="F43" s="320">
        <v>49978</v>
      </c>
      <c r="G43" s="319"/>
      <c r="H43" s="319"/>
      <c r="I43" s="319">
        <v>49978</v>
      </c>
      <c r="J43" s="319"/>
      <c r="K43" s="319"/>
      <c r="L43" s="319"/>
      <c r="M43" s="319"/>
      <c r="N43" s="319"/>
      <c r="O43" s="319">
        <v>894</v>
      </c>
      <c r="P43" s="328"/>
      <c r="Q43" s="328"/>
      <c r="R43" s="328"/>
      <c r="S43" s="335"/>
      <c r="T43" s="335"/>
      <c r="U43" s="334"/>
      <c r="V43" s="315"/>
      <c r="W43" s="108"/>
    </row>
    <row r="44" spans="1:23" s="306" customFormat="1" ht="10.5" customHeight="1" x14ac:dyDescent="0.15">
      <c r="A44" s="307"/>
      <c r="B44" s="823" t="s">
        <v>248</v>
      </c>
      <c r="C44" s="823" t="s">
        <v>248</v>
      </c>
      <c r="D44" s="823" t="s">
        <v>711</v>
      </c>
      <c r="E44" s="835"/>
      <c r="F44" s="326">
        <v>2495228</v>
      </c>
      <c r="G44" s="324">
        <v>227023</v>
      </c>
      <c r="H44" s="324">
        <v>2062887</v>
      </c>
      <c r="I44" s="324" t="s">
        <v>599</v>
      </c>
      <c r="J44" s="324">
        <v>30280</v>
      </c>
      <c r="K44" s="324">
        <v>71739</v>
      </c>
      <c r="L44" s="325">
        <v>103299</v>
      </c>
      <c r="M44" s="324" t="s">
        <v>599</v>
      </c>
      <c r="N44" s="324">
        <v>103299</v>
      </c>
      <c r="O44" s="324">
        <v>15008</v>
      </c>
      <c r="P44" s="324">
        <v>1004</v>
      </c>
      <c r="Q44" s="324">
        <v>194</v>
      </c>
      <c r="R44" s="324">
        <v>216</v>
      </c>
      <c r="S44" s="323">
        <v>856877</v>
      </c>
      <c r="T44" s="323">
        <v>709504</v>
      </c>
      <c r="U44" s="322">
        <v>147373</v>
      </c>
      <c r="V44" s="321" t="s">
        <v>477</v>
      </c>
      <c r="W44" s="307"/>
    </row>
    <row r="45" spans="1:23" s="43" customFormat="1" ht="14.25" customHeight="1" x14ac:dyDescent="0.15">
      <c r="A45" s="108"/>
      <c r="B45" s="825"/>
      <c r="C45" s="825"/>
      <c r="D45" s="836"/>
      <c r="E45" s="837"/>
      <c r="F45" s="320"/>
      <c r="G45" s="319"/>
      <c r="H45" s="319"/>
      <c r="I45" s="319"/>
      <c r="J45" s="319"/>
      <c r="K45" s="319"/>
      <c r="L45" s="319"/>
      <c r="M45" s="319"/>
      <c r="N45" s="319"/>
      <c r="O45" s="319">
        <v>1396</v>
      </c>
      <c r="P45" s="328"/>
      <c r="Q45" s="328"/>
      <c r="R45" s="328"/>
      <c r="S45" s="317"/>
      <c r="T45" s="317"/>
      <c r="U45" s="316"/>
      <c r="V45" s="315"/>
      <c r="W45" s="108"/>
    </row>
    <row r="46" spans="1:23" s="306" customFormat="1" ht="10.5" customHeight="1" x14ac:dyDescent="0.15">
      <c r="A46" s="307"/>
      <c r="B46" s="823" t="s">
        <v>248</v>
      </c>
      <c r="C46" s="823" t="s">
        <v>248</v>
      </c>
      <c r="D46" s="823" t="s">
        <v>712</v>
      </c>
      <c r="E46" s="835"/>
      <c r="F46" s="326">
        <v>2480513</v>
      </c>
      <c r="G46" s="324">
        <v>127943</v>
      </c>
      <c r="H46" s="324">
        <v>2162539</v>
      </c>
      <c r="I46" s="324" t="s">
        <v>599</v>
      </c>
      <c r="J46" s="324" t="s">
        <v>599</v>
      </c>
      <c r="K46" s="324">
        <v>66939</v>
      </c>
      <c r="L46" s="325">
        <v>123092</v>
      </c>
      <c r="M46" s="324" t="s">
        <v>599</v>
      </c>
      <c r="N46" s="324">
        <v>123092</v>
      </c>
      <c r="O46" s="324">
        <v>26755</v>
      </c>
      <c r="P46" s="324" t="s">
        <v>599</v>
      </c>
      <c r="Q46" s="324">
        <v>146</v>
      </c>
      <c r="R46" s="324">
        <v>1695</v>
      </c>
      <c r="S46" s="323">
        <v>756028</v>
      </c>
      <c r="T46" s="323">
        <v>633392</v>
      </c>
      <c r="U46" s="322">
        <v>122636</v>
      </c>
      <c r="V46" s="321" t="s">
        <v>924</v>
      </c>
      <c r="W46" s="307"/>
    </row>
    <row r="47" spans="1:23" s="43" customFormat="1" ht="14.25" customHeight="1" x14ac:dyDescent="0.15">
      <c r="A47" s="108"/>
      <c r="B47" s="825"/>
      <c r="C47" s="825"/>
      <c r="D47" s="836"/>
      <c r="E47" s="837"/>
      <c r="F47" s="320"/>
      <c r="G47" s="319"/>
      <c r="H47" s="319"/>
      <c r="I47" s="319"/>
      <c r="J47" s="319"/>
      <c r="K47" s="319"/>
      <c r="L47" s="319"/>
      <c r="M47" s="319"/>
      <c r="N47" s="319"/>
      <c r="O47" s="319">
        <v>918</v>
      </c>
      <c r="P47" s="328"/>
      <c r="Q47" s="328"/>
      <c r="R47" s="328"/>
      <c r="S47" s="317"/>
      <c r="T47" s="317"/>
      <c r="U47" s="316"/>
      <c r="V47" s="315"/>
      <c r="W47" s="108"/>
    </row>
    <row r="48" spans="1:23" s="306" customFormat="1" ht="10.5" customHeight="1" x14ac:dyDescent="0.15">
      <c r="A48" s="307"/>
      <c r="B48" s="823" t="s">
        <v>248</v>
      </c>
      <c r="C48" s="823" t="s">
        <v>248</v>
      </c>
      <c r="D48" s="823" t="s">
        <v>713</v>
      </c>
      <c r="E48" s="835"/>
      <c r="F48" s="326">
        <v>2585248</v>
      </c>
      <c r="G48" s="324">
        <v>138766</v>
      </c>
      <c r="H48" s="324">
        <v>2253915</v>
      </c>
      <c r="I48" s="324">
        <v>5865</v>
      </c>
      <c r="J48" s="324">
        <v>49836</v>
      </c>
      <c r="K48" s="324">
        <v>30828</v>
      </c>
      <c r="L48" s="325">
        <v>106038</v>
      </c>
      <c r="M48" s="324" t="s">
        <v>599</v>
      </c>
      <c r="N48" s="324">
        <v>106038</v>
      </c>
      <c r="O48" s="324">
        <v>11769</v>
      </c>
      <c r="P48" s="324">
        <v>995</v>
      </c>
      <c r="Q48" s="324">
        <v>184</v>
      </c>
      <c r="R48" s="324">
        <v>2561</v>
      </c>
      <c r="S48" s="323">
        <v>822758</v>
      </c>
      <c r="T48" s="323">
        <v>695255</v>
      </c>
      <c r="U48" s="322">
        <v>127503</v>
      </c>
      <c r="V48" s="321" t="s">
        <v>925</v>
      </c>
      <c r="W48" s="307"/>
    </row>
    <row r="49" spans="1:23" s="43" customFormat="1" ht="14.25" customHeight="1" x14ac:dyDescent="0.15">
      <c r="A49" s="108"/>
      <c r="B49" s="825"/>
      <c r="C49" s="825"/>
      <c r="D49" s="836"/>
      <c r="E49" s="837"/>
      <c r="F49" s="320"/>
      <c r="G49" s="319"/>
      <c r="H49" s="319"/>
      <c r="I49" s="319"/>
      <c r="J49" s="319"/>
      <c r="K49" s="319"/>
      <c r="L49" s="319"/>
      <c r="M49" s="319"/>
      <c r="N49" s="319"/>
      <c r="O49" s="319">
        <v>1390</v>
      </c>
      <c r="P49" s="328"/>
      <c r="Q49" s="328"/>
      <c r="R49" s="328"/>
      <c r="S49" s="317"/>
      <c r="T49" s="317"/>
      <c r="U49" s="316"/>
      <c r="V49" s="315"/>
      <c r="W49" s="108"/>
    </row>
    <row r="50" spans="1:23" s="306" customFormat="1" ht="10.5" customHeight="1" x14ac:dyDescent="0.15">
      <c r="A50" s="307"/>
      <c r="B50" s="823" t="s">
        <v>248</v>
      </c>
      <c r="C50" s="823" t="s">
        <v>248</v>
      </c>
      <c r="D50" s="823" t="s">
        <v>714</v>
      </c>
      <c r="E50" s="835"/>
      <c r="F50" s="326">
        <v>2917739</v>
      </c>
      <c r="G50" s="324">
        <v>279009</v>
      </c>
      <c r="H50" s="324">
        <v>2348453</v>
      </c>
      <c r="I50" s="324" t="s">
        <v>599</v>
      </c>
      <c r="J50" s="324">
        <v>49909</v>
      </c>
      <c r="K50" s="324">
        <v>20361</v>
      </c>
      <c r="L50" s="325">
        <v>220007</v>
      </c>
      <c r="M50" s="324" t="s">
        <v>599</v>
      </c>
      <c r="N50" s="324">
        <v>220007</v>
      </c>
      <c r="O50" s="324">
        <v>14449</v>
      </c>
      <c r="P50" s="324">
        <v>1004</v>
      </c>
      <c r="Q50" s="324">
        <v>219</v>
      </c>
      <c r="R50" s="324">
        <v>2081</v>
      </c>
      <c r="S50" s="323">
        <v>830357</v>
      </c>
      <c r="T50" s="323">
        <v>667818</v>
      </c>
      <c r="U50" s="322">
        <v>162539</v>
      </c>
      <c r="V50" s="321" t="s">
        <v>926</v>
      </c>
      <c r="W50" s="307"/>
    </row>
    <row r="51" spans="1:23" s="43" customFormat="1" ht="14.25" customHeight="1" x14ac:dyDescent="0.15">
      <c r="A51" s="108"/>
      <c r="B51" s="825"/>
      <c r="C51" s="825"/>
      <c r="D51" s="836"/>
      <c r="E51" s="333"/>
      <c r="F51" s="320"/>
      <c r="G51" s="319"/>
      <c r="H51" s="319"/>
      <c r="I51" s="319"/>
      <c r="J51" s="319"/>
      <c r="K51" s="319"/>
      <c r="L51" s="319"/>
      <c r="M51" s="319"/>
      <c r="N51" s="319"/>
      <c r="O51" s="319">
        <v>1886</v>
      </c>
      <c r="P51" s="328"/>
      <c r="Q51" s="328"/>
      <c r="R51" s="328"/>
      <c r="S51" s="317"/>
      <c r="T51" s="317"/>
      <c r="U51" s="316"/>
      <c r="V51" s="315"/>
      <c r="W51" s="108"/>
    </row>
    <row r="52" spans="1:23" s="306" customFormat="1" ht="10.5" customHeight="1" x14ac:dyDescent="0.15">
      <c r="A52" s="307"/>
      <c r="B52" s="823" t="s">
        <v>248</v>
      </c>
      <c r="C52" s="823" t="s">
        <v>248</v>
      </c>
      <c r="D52" s="823" t="s">
        <v>715</v>
      </c>
      <c r="E52" s="835"/>
      <c r="F52" s="326">
        <v>2889053</v>
      </c>
      <c r="G52" s="324">
        <v>329233</v>
      </c>
      <c r="H52" s="324">
        <v>2133076</v>
      </c>
      <c r="I52" s="324" t="s">
        <v>599</v>
      </c>
      <c r="J52" s="324">
        <v>116073</v>
      </c>
      <c r="K52" s="324">
        <v>107382</v>
      </c>
      <c r="L52" s="325">
        <v>203289</v>
      </c>
      <c r="M52" s="324" t="s">
        <v>599</v>
      </c>
      <c r="N52" s="324">
        <v>203289</v>
      </c>
      <c r="O52" s="324">
        <v>6987</v>
      </c>
      <c r="P52" s="324" t="s">
        <v>599</v>
      </c>
      <c r="Q52" s="324">
        <v>198</v>
      </c>
      <c r="R52" s="324">
        <v>2705</v>
      </c>
      <c r="S52" s="323">
        <v>828655</v>
      </c>
      <c r="T52" s="323">
        <v>669260</v>
      </c>
      <c r="U52" s="322">
        <v>159395</v>
      </c>
      <c r="V52" s="321" t="s">
        <v>927</v>
      </c>
      <c r="W52" s="307"/>
    </row>
    <row r="53" spans="1:23" s="43" customFormat="1" ht="14.25" customHeight="1" x14ac:dyDescent="0.15">
      <c r="A53" s="108"/>
      <c r="B53" s="825"/>
      <c r="C53" s="825"/>
      <c r="D53" s="836"/>
      <c r="E53" s="837"/>
      <c r="F53" s="320">
        <v>35009</v>
      </c>
      <c r="G53" s="319"/>
      <c r="H53" s="319"/>
      <c r="I53" s="319">
        <v>35009</v>
      </c>
      <c r="J53" s="319"/>
      <c r="K53" s="319"/>
      <c r="L53" s="319"/>
      <c r="M53" s="319"/>
      <c r="N53" s="319"/>
      <c r="O53" s="319">
        <v>2037</v>
      </c>
      <c r="P53" s="328"/>
      <c r="Q53" s="328"/>
      <c r="R53" s="328"/>
      <c r="S53" s="317"/>
      <c r="T53" s="317"/>
      <c r="U53" s="316"/>
      <c r="V53" s="315"/>
      <c r="W53" s="108"/>
    </row>
    <row r="54" spans="1:23" s="306" customFormat="1" ht="10.5" customHeight="1" x14ac:dyDescent="0.15">
      <c r="A54" s="307"/>
      <c r="B54" s="823" t="s">
        <v>248</v>
      </c>
      <c r="C54" s="823" t="s">
        <v>248</v>
      </c>
      <c r="D54" s="838" t="s">
        <v>928</v>
      </c>
      <c r="E54" s="835"/>
      <c r="F54" s="326">
        <v>3006342</v>
      </c>
      <c r="G54" s="324">
        <v>263709</v>
      </c>
      <c r="H54" s="324">
        <v>2380140</v>
      </c>
      <c r="I54" s="324">
        <v>5844</v>
      </c>
      <c r="J54" s="324">
        <v>190543</v>
      </c>
      <c r="K54" s="324">
        <v>32960</v>
      </c>
      <c r="L54" s="325">
        <v>133146</v>
      </c>
      <c r="M54" s="324" t="s">
        <v>599</v>
      </c>
      <c r="N54" s="324">
        <v>133146</v>
      </c>
      <c r="O54" s="324">
        <v>23751</v>
      </c>
      <c r="P54" s="324">
        <v>988</v>
      </c>
      <c r="Q54" s="324">
        <v>171</v>
      </c>
      <c r="R54" s="324">
        <v>966</v>
      </c>
      <c r="S54" s="323">
        <v>799182</v>
      </c>
      <c r="T54" s="323">
        <v>652980</v>
      </c>
      <c r="U54" s="322">
        <v>146202</v>
      </c>
      <c r="V54" s="321" t="s">
        <v>929</v>
      </c>
      <c r="W54" s="307"/>
    </row>
    <row r="55" spans="1:23" s="43" customFormat="1" ht="14.25" customHeight="1" x14ac:dyDescent="0.15">
      <c r="A55" s="108"/>
      <c r="B55" s="825"/>
      <c r="C55" s="825"/>
      <c r="D55" s="836"/>
      <c r="E55" s="837"/>
      <c r="F55" s="320">
        <v>64841</v>
      </c>
      <c r="G55" s="319"/>
      <c r="H55" s="319"/>
      <c r="I55" s="319">
        <v>64841</v>
      </c>
      <c r="J55" s="319"/>
      <c r="K55" s="319"/>
      <c r="L55" s="319"/>
      <c r="M55" s="319"/>
      <c r="N55" s="319"/>
      <c r="O55" s="319">
        <v>2535</v>
      </c>
      <c r="P55" s="328"/>
      <c r="Q55" s="328"/>
      <c r="R55" s="328"/>
      <c r="S55" s="317"/>
      <c r="T55" s="317"/>
      <c r="U55" s="316"/>
      <c r="V55" s="315"/>
      <c r="W55" s="108"/>
    </row>
    <row r="56" spans="1:23" s="306" customFormat="1" ht="10.5" customHeight="1" x14ac:dyDescent="0.15">
      <c r="A56" s="307"/>
      <c r="B56" s="823" t="s">
        <v>248</v>
      </c>
      <c r="C56" s="823" t="s">
        <v>248</v>
      </c>
      <c r="D56" s="838" t="s">
        <v>930</v>
      </c>
      <c r="E56" s="835"/>
      <c r="F56" s="326">
        <v>2900516</v>
      </c>
      <c r="G56" s="324">
        <v>229249</v>
      </c>
      <c r="H56" s="324">
        <v>2151350</v>
      </c>
      <c r="I56" s="324">
        <v>48465</v>
      </c>
      <c r="J56" s="324">
        <v>303508</v>
      </c>
      <c r="K56" s="324">
        <v>39364</v>
      </c>
      <c r="L56" s="325">
        <v>128580</v>
      </c>
      <c r="M56" s="324" t="s">
        <v>599</v>
      </c>
      <c r="N56" s="324">
        <v>128580</v>
      </c>
      <c r="O56" s="324">
        <v>4355</v>
      </c>
      <c r="P56" s="324">
        <v>7294</v>
      </c>
      <c r="Q56" s="324">
        <v>233</v>
      </c>
      <c r="R56" s="324">
        <v>121</v>
      </c>
      <c r="S56" s="323">
        <v>887588</v>
      </c>
      <c r="T56" s="323">
        <v>714829</v>
      </c>
      <c r="U56" s="322">
        <v>172759</v>
      </c>
      <c r="V56" s="321" t="s">
        <v>931</v>
      </c>
      <c r="W56" s="307"/>
    </row>
    <row r="57" spans="1:23" s="43" customFormat="1" ht="14.25" customHeight="1" x14ac:dyDescent="0.15">
      <c r="A57" s="108"/>
      <c r="B57" s="825"/>
      <c r="C57" s="825"/>
      <c r="D57" s="836"/>
      <c r="E57" s="837"/>
      <c r="F57" s="320">
        <v>197048</v>
      </c>
      <c r="G57" s="319"/>
      <c r="H57" s="319"/>
      <c r="I57" s="319">
        <v>197048</v>
      </c>
      <c r="J57" s="319"/>
      <c r="K57" s="319"/>
      <c r="L57" s="319"/>
      <c r="M57" s="319"/>
      <c r="N57" s="319"/>
      <c r="O57" s="319">
        <v>745</v>
      </c>
      <c r="P57" s="328"/>
      <c r="Q57" s="328"/>
      <c r="R57" s="328"/>
      <c r="S57" s="317"/>
      <c r="T57" s="317"/>
      <c r="U57" s="316"/>
      <c r="V57" s="315"/>
      <c r="W57" s="108"/>
    </row>
    <row r="58" spans="1:23" s="306" customFormat="1" ht="10.5" customHeight="1" x14ac:dyDescent="0.15">
      <c r="A58" s="307"/>
      <c r="B58" s="823" t="s">
        <v>248</v>
      </c>
      <c r="C58" s="823" t="s">
        <v>248</v>
      </c>
      <c r="D58" s="838" t="s">
        <v>932</v>
      </c>
      <c r="E58" s="835"/>
      <c r="F58" s="326">
        <v>3122438</v>
      </c>
      <c r="G58" s="324">
        <v>196306</v>
      </c>
      <c r="H58" s="324">
        <v>2272739</v>
      </c>
      <c r="I58" s="324">
        <v>5865</v>
      </c>
      <c r="J58" s="324">
        <v>419665</v>
      </c>
      <c r="K58" s="324">
        <v>23572</v>
      </c>
      <c r="L58" s="325">
        <v>204291</v>
      </c>
      <c r="M58" s="324" t="s">
        <v>599</v>
      </c>
      <c r="N58" s="324">
        <v>204291</v>
      </c>
      <c r="O58" s="324">
        <v>22748</v>
      </c>
      <c r="P58" s="324">
        <v>984</v>
      </c>
      <c r="Q58" s="324">
        <v>71</v>
      </c>
      <c r="R58" s="324">
        <v>582</v>
      </c>
      <c r="S58" s="323">
        <v>950461</v>
      </c>
      <c r="T58" s="323">
        <v>769883</v>
      </c>
      <c r="U58" s="322">
        <v>180578</v>
      </c>
      <c r="V58" s="321" t="s">
        <v>933</v>
      </c>
      <c r="W58" s="307"/>
    </row>
    <row r="59" spans="1:23" s="43" customFormat="1" ht="6.75" customHeight="1" x14ac:dyDescent="0.15">
      <c r="A59" s="108"/>
      <c r="B59" s="825"/>
      <c r="C59" s="825"/>
      <c r="D59" s="836"/>
      <c r="E59" s="837"/>
      <c r="F59" s="332"/>
      <c r="G59" s="328"/>
      <c r="H59" s="328"/>
      <c r="I59" s="328"/>
      <c r="J59" s="328"/>
      <c r="K59" s="328"/>
      <c r="L59" s="331"/>
      <c r="M59" s="328"/>
      <c r="N59" s="328"/>
      <c r="O59" s="328"/>
      <c r="P59" s="328"/>
      <c r="Q59" s="328"/>
      <c r="R59" s="328"/>
      <c r="S59" s="317"/>
      <c r="T59" s="317"/>
      <c r="U59" s="316"/>
      <c r="V59" s="330"/>
      <c r="W59" s="108"/>
    </row>
    <row r="60" spans="1:23" s="43" customFormat="1" ht="14.25" customHeight="1" x14ac:dyDescent="0.15">
      <c r="A60" s="108"/>
      <c r="B60" s="825"/>
      <c r="C60" s="825"/>
      <c r="D60" s="836"/>
      <c r="E60" s="837"/>
      <c r="F60" s="320">
        <v>185702</v>
      </c>
      <c r="G60" s="319"/>
      <c r="H60" s="319"/>
      <c r="I60" s="319">
        <v>185702</v>
      </c>
      <c r="J60" s="319"/>
      <c r="K60" s="319"/>
      <c r="L60" s="319"/>
      <c r="M60" s="319"/>
      <c r="N60" s="319"/>
      <c r="O60" s="319">
        <v>1691</v>
      </c>
      <c r="P60" s="328"/>
      <c r="Q60" s="328"/>
      <c r="R60" s="328"/>
      <c r="S60" s="317"/>
      <c r="T60" s="317"/>
      <c r="U60" s="316"/>
      <c r="V60" s="330"/>
      <c r="W60" s="108"/>
    </row>
    <row r="61" spans="1:23" s="306" customFormat="1" ht="10.5" customHeight="1" x14ac:dyDescent="0.15">
      <c r="A61" s="307"/>
      <c r="B61" s="823" t="s">
        <v>903</v>
      </c>
      <c r="C61" s="823" t="s">
        <v>917</v>
      </c>
      <c r="D61" s="823" t="s">
        <v>716</v>
      </c>
      <c r="E61" s="835"/>
      <c r="F61" s="326">
        <v>3033272</v>
      </c>
      <c r="G61" s="324">
        <v>140953</v>
      </c>
      <c r="H61" s="324">
        <v>2216749</v>
      </c>
      <c r="I61" s="324">
        <v>19958</v>
      </c>
      <c r="J61" s="324">
        <v>450893</v>
      </c>
      <c r="K61" s="324">
        <v>23256</v>
      </c>
      <c r="L61" s="325">
        <v>181463</v>
      </c>
      <c r="M61" s="324" t="s">
        <v>599</v>
      </c>
      <c r="N61" s="324">
        <v>181463</v>
      </c>
      <c r="O61" s="324">
        <v>9316</v>
      </c>
      <c r="P61" s="324">
        <v>1514</v>
      </c>
      <c r="Q61" s="324">
        <v>225</v>
      </c>
      <c r="R61" s="324">
        <v>552</v>
      </c>
      <c r="S61" s="323">
        <v>994863</v>
      </c>
      <c r="T61" s="323">
        <v>834294</v>
      </c>
      <c r="U61" s="322">
        <v>160569</v>
      </c>
      <c r="V61" s="329" t="s">
        <v>935</v>
      </c>
      <c r="W61" s="307"/>
    </row>
    <row r="62" spans="1:23" s="43" customFormat="1" ht="14.25" customHeight="1" x14ac:dyDescent="0.15">
      <c r="A62" s="108"/>
      <c r="B62" s="825"/>
      <c r="C62" s="826"/>
      <c r="D62" s="836"/>
      <c r="E62" s="837"/>
      <c r="F62" s="320">
        <v>203333</v>
      </c>
      <c r="G62" s="319"/>
      <c r="H62" s="319"/>
      <c r="I62" s="319">
        <v>203333</v>
      </c>
      <c r="J62" s="319"/>
      <c r="K62" s="319"/>
      <c r="L62" s="319"/>
      <c r="M62" s="319"/>
      <c r="N62" s="319"/>
      <c r="O62" s="319">
        <v>1290</v>
      </c>
      <c r="P62" s="328"/>
      <c r="Q62" s="328"/>
      <c r="R62" s="328"/>
      <c r="S62" s="317"/>
      <c r="T62" s="317"/>
      <c r="U62" s="316"/>
      <c r="V62" s="327"/>
      <c r="W62" s="108"/>
    </row>
    <row r="63" spans="1:23" s="306" customFormat="1" ht="10.5" customHeight="1" x14ac:dyDescent="0.15">
      <c r="A63" s="307"/>
      <c r="B63" s="823" t="s">
        <v>248</v>
      </c>
      <c r="C63" s="823" t="s">
        <v>248</v>
      </c>
      <c r="D63" s="823" t="s">
        <v>708</v>
      </c>
      <c r="E63" s="835"/>
      <c r="F63" s="326">
        <v>2491170</v>
      </c>
      <c r="G63" s="324">
        <v>119488</v>
      </c>
      <c r="H63" s="324">
        <v>1784184</v>
      </c>
      <c r="I63" s="324">
        <v>26275</v>
      </c>
      <c r="J63" s="324">
        <v>264146</v>
      </c>
      <c r="K63" s="324">
        <v>27712</v>
      </c>
      <c r="L63" s="325">
        <v>269365</v>
      </c>
      <c r="M63" s="324" t="s">
        <v>599</v>
      </c>
      <c r="N63" s="324">
        <v>269365</v>
      </c>
      <c r="O63" s="324">
        <v>11138</v>
      </c>
      <c r="P63" s="324">
        <v>1101</v>
      </c>
      <c r="Q63" s="324">
        <v>156</v>
      </c>
      <c r="R63" s="324">
        <v>257</v>
      </c>
      <c r="S63" s="323">
        <v>974098</v>
      </c>
      <c r="T63" s="323">
        <v>831500</v>
      </c>
      <c r="U63" s="322">
        <v>142598</v>
      </c>
      <c r="V63" s="321" t="s">
        <v>920</v>
      </c>
      <c r="W63" s="307"/>
    </row>
    <row r="64" spans="1:23" s="43" customFormat="1" ht="14.25" customHeight="1" x14ac:dyDescent="0.15">
      <c r="A64" s="108"/>
      <c r="B64" s="825"/>
      <c r="C64" s="825"/>
      <c r="D64" s="836"/>
      <c r="E64" s="837"/>
      <c r="F64" s="320">
        <v>49999</v>
      </c>
      <c r="G64" s="319"/>
      <c r="H64" s="319"/>
      <c r="I64" s="319">
        <v>49999</v>
      </c>
      <c r="J64" s="319"/>
      <c r="K64" s="319"/>
      <c r="L64" s="319"/>
      <c r="M64" s="319"/>
      <c r="N64" s="319"/>
      <c r="O64" s="319">
        <v>1588</v>
      </c>
      <c r="P64" s="318"/>
      <c r="Q64" s="318"/>
      <c r="R64" s="318"/>
      <c r="S64" s="317"/>
      <c r="T64" s="317"/>
      <c r="U64" s="316"/>
      <c r="V64" s="315"/>
      <c r="W64" s="108"/>
    </row>
    <row r="65" spans="1:23" s="306" customFormat="1" ht="10.5" customHeight="1" x14ac:dyDescent="0.15">
      <c r="A65" s="307"/>
      <c r="B65" s="839" t="s">
        <v>248</v>
      </c>
      <c r="C65" s="839" t="s">
        <v>248</v>
      </c>
      <c r="D65" s="840" t="s">
        <v>718</v>
      </c>
      <c r="E65" s="841"/>
      <c r="F65" s="314">
        <v>2541639</v>
      </c>
      <c r="G65" s="311">
        <v>69656</v>
      </c>
      <c r="H65" s="311">
        <v>2187867</v>
      </c>
      <c r="I65" s="312" t="s">
        <v>599</v>
      </c>
      <c r="J65" s="311">
        <v>93561</v>
      </c>
      <c r="K65" s="311">
        <v>27535</v>
      </c>
      <c r="L65" s="313">
        <v>163020</v>
      </c>
      <c r="M65" s="311" t="s">
        <v>599</v>
      </c>
      <c r="N65" s="311">
        <v>163020</v>
      </c>
      <c r="O65" s="311">
        <v>9228</v>
      </c>
      <c r="P65" s="312">
        <v>1092</v>
      </c>
      <c r="Q65" s="311">
        <v>130</v>
      </c>
      <c r="R65" s="311">
        <v>741</v>
      </c>
      <c r="S65" s="310">
        <v>1322415</v>
      </c>
      <c r="T65" s="310">
        <v>1161552</v>
      </c>
      <c r="U65" s="309">
        <v>160863</v>
      </c>
      <c r="V65" s="308" t="s">
        <v>921</v>
      </c>
      <c r="W65" s="307"/>
    </row>
    <row r="66" spans="1:23" s="302" customFormat="1" ht="12" customHeight="1" x14ac:dyDescent="0.15">
      <c r="A66" s="86"/>
      <c r="B66" s="290" t="s">
        <v>728</v>
      </c>
      <c r="C66" s="290"/>
      <c r="D66" s="290"/>
      <c r="E66" s="290"/>
      <c r="F66" s="290"/>
      <c r="G66" s="290"/>
      <c r="H66" s="290"/>
      <c r="I66" s="86"/>
      <c r="J66" s="86"/>
      <c r="K66" s="86"/>
      <c r="L66" s="86"/>
      <c r="M66" s="86"/>
      <c r="N66" s="86"/>
      <c r="O66" s="43" t="s">
        <v>729</v>
      </c>
      <c r="P66" s="86"/>
      <c r="Q66" s="86"/>
      <c r="R66" s="86"/>
      <c r="S66" s="86"/>
      <c r="T66" s="86"/>
      <c r="U66" s="86"/>
      <c r="V66" s="305"/>
      <c r="W66" s="86"/>
    </row>
    <row r="67" spans="1:23" s="304" customFormat="1" ht="12" customHeight="1" x14ac:dyDescent="0.15">
      <c r="A67" s="730"/>
      <c r="B67" s="175" t="s">
        <v>730</v>
      </c>
      <c r="C67" s="126"/>
      <c r="D67" s="282"/>
      <c r="E67" s="282"/>
      <c r="F67" s="475"/>
      <c r="G67" s="475"/>
      <c r="H67" s="475"/>
      <c r="I67" s="43"/>
      <c r="J67" s="43"/>
      <c r="K67" s="43"/>
      <c r="L67" s="43"/>
      <c r="M67" s="43"/>
      <c r="N67" s="43"/>
      <c r="O67" s="176" t="s">
        <v>731</v>
      </c>
      <c r="P67" s="43"/>
      <c r="Q67" s="43"/>
      <c r="R67" s="43"/>
      <c r="S67" s="43"/>
      <c r="T67" s="43"/>
      <c r="U67" s="43"/>
      <c r="V67" s="86"/>
      <c r="W67" s="730"/>
    </row>
    <row r="68" spans="1:23" s="302" customFormat="1" ht="11.25" customHeight="1" x14ac:dyDescent="0.15">
      <c r="A68" s="86"/>
      <c r="B68" s="175" t="s">
        <v>564</v>
      </c>
      <c r="C68" s="220"/>
      <c r="D68" s="86"/>
      <c r="E68" s="86"/>
      <c r="F68" s="86"/>
      <c r="G68" s="86"/>
      <c r="H68" s="303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</row>
  </sheetData>
  <mergeCells count="2">
    <mergeCell ref="V4:V7"/>
    <mergeCell ref="B5:E5"/>
  </mergeCells>
  <phoneticPr fontId="32"/>
  <pageMargins left="0.59055118110236227" right="0.59055118110236227" top="0.59055118110236227" bottom="0.59055118110236227" header="0.59055118110236227" footer="0.15748031496062992"/>
  <pageSetup paperSize="9" scale="92" orientation="portrait" r:id="rId1"/>
  <headerFooter alignWithMargins="0"/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1B90-19EC-4D20-9958-F3F8E88E0722}">
  <dimension ref="A1:W433"/>
  <sheetViews>
    <sheetView view="pageBreakPreview" topLeftCell="A370" zoomScale="124" zoomScaleNormal="100" zoomScaleSheetLayoutView="124" workbookViewId="0">
      <selection activeCell="P335" sqref="P335"/>
    </sheetView>
  </sheetViews>
  <sheetFormatPr defaultColWidth="7.625" defaultRowHeight="13.5" x14ac:dyDescent="0.15"/>
  <cols>
    <col min="1" max="1" width="14.375" style="375" customWidth="1"/>
    <col min="2" max="23" width="7.625" style="375" customWidth="1"/>
    <col min="24" max="16384" width="7.625" style="375"/>
  </cols>
  <sheetData>
    <row r="1" spans="1:23" ht="15" customHeight="1" x14ac:dyDescent="0.15">
      <c r="A1" s="842" t="s">
        <v>326</v>
      </c>
      <c r="C1" s="767"/>
      <c r="D1" s="767"/>
      <c r="E1" s="767"/>
      <c r="F1" s="767"/>
      <c r="G1" s="767"/>
      <c r="H1" s="767"/>
      <c r="I1" s="767"/>
      <c r="J1" s="767"/>
      <c r="K1" s="768" t="s">
        <v>451</v>
      </c>
      <c r="L1" s="767"/>
      <c r="M1" s="767"/>
      <c r="N1" s="767"/>
      <c r="O1" s="767"/>
      <c r="P1" s="769"/>
      <c r="Q1" s="770"/>
      <c r="R1" s="770"/>
      <c r="S1" s="770"/>
      <c r="T1" s="770"/>
      <c r="U1" s="771"/>
      <c r="V1" s="772" t="s">
        <v>973</v>
      </c>
    </row>
    <row r="2" spans="1:23" s="387" customFormat="1" ht="21" customHeight="1" x14ac:dyDescent="0.15">
      <c r="A2" s="1023" t="s">
        <v>185</v>
      </c>
      <c r="B2" s="733" t="s">
        <v>325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1026" t="s">
        <v>83</v>
      </c>
    </row>
    <row r="3" spans="1:23" s="387" customFormat="1" ht="21" customHeight="1" x14ac:dyDescent="0.15">
      <c r="A3" s="1024"/>
      <c r="B3" s="1029" t="s">
        <v>974</v>
      </c>
      <c r="C3" s="733" t="s">
        <v>279</v>
      </c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1027"/>
    </row>
    <row r="4" spans="1:23" s="387" customFormat="1" ht="52.5" customHeight="1" x14ac:dyDescent="0.15">
      <c r="A4" s="1025"/>
      <c r="B4" s="1030"/>
      <c r="C4" s="735" t="s">
        <v>975</v>
      </c>
      <c r="D4" s="388" t="s">
        <v>270</v>
      </c>
      <c r="E4" s="388" t="s">
        <v>976</v>
      </c>
      <c r="F4" s="388" t="s">
        <v>285</v>
      </c>
      <c r="G4" s="388" t="s">
        <v>291</v>
      </c>
      <c r="H4" s="388" t="s">
        <v>290</v>
      </c>
      <c r="I4" s="388" t="s">
        <v>269</v>
      </c>
      <c r="J4" s="388" t="s">
        <v>268</v>
      </c>
      <c r="K4" s="388" t="s">
        <v>267</v>
      </c>
      <c r="L4" s="388" t="s">
        <v>318</v>
      </c>
      <c r="M4" s="388" t="s">
        <v>266</v>
      </c>
      <c r="N4" s="388" t="s">
        <v>295</v>
      </c>
      <c r="O4" s="388" t="s">
        <v>317</v>
      </c>
      <c r="P4" s="388" t="s">
        <v>316</v>
      </c>
      <c r="Q4" s="388" t="s">
        <v>640</v>
      </c>
      <c r="R4" s="388" t="s">
        <v>278</v>
      </c>
      <c r="S4" s="388" t="s">
        <v>277</v>
      </c>
      <c r="T4" s="388" t="s">
        <v>276</v>
      </c>
      <c r="U4" s="388" t="s">
        <v>265</v>
      </c>
      <c r="V4" s="392" t="s">
        <v>264</v>
      </c>
      <c r="W4" s="1028"/>
    </row>
    <row r="5" spans="1:23" s="376" customFormat="1" ht="9.75" customHeight="1" x14ac:dyDescent="0.15">
      <c r="A5" s="755" t="s">
        <v>838</v>
      </c>
      <c r="B5" s="386">
        <v>36211123</v>
      </c>
      <c r="C5" s="385">
        <v>30654347</v>
      </c>
      <c r="D5" s="385">
        <v>8903065</v>
      </c>
      <c r="E5" s="385">
        <v>368401</v>
      </c>
      <c r="F5" s="385" t="s">
        <v>839</v>
      </c>
      <c r="G5" s="385" t="s">
        <v>839</v>
      </c>
      <c r="H5" s="385">
        <v>275795</v>
      </c>
      <c r="I5" s="385">
        <v>994645</v>
      </c>
      <c r="J5" s="385">
        <v>1025541</v>
      </c>
      <c r="K5" s="385" t="s">
        <v>839</v>
      </c>
      <c r="L5" s="385" t="s">
        <v>839</v>
      </c>
      <c r="M5" s="385">
        <v>27528</v>
      </c>
      <c r="N5" s="385">
        <v>1877785</v>
      </c>
      <c r="O5" s="385">
        <v>75598</v>
      </c>
      <c r="P5" s="385" t="s">
        <v>839</v>
      </c>
      <c r="Q5" s="385" t="s">
        <v>839</v>
      </c>
      <c r="R5" s="385">
        <v>1382832</v>
      </c>
      <c r="S5" s="385">
        <v>1904538</v>
      </c>
      <c r="T5" s="385">
        <v>1982056</v>
      </c>
      <c r="U5" s="385">
        <v>5729861</v>
      </c>
      <c r="V5" s="385" t="s">
        <v>839</v>
      </c>
      <c r="W5" s="383" t="s">
        <v>457</v>
      </c>
    </row>
    <row r="6" spans="1:23" s="376" customFormat="1" ht="9.75" customHeight="1" x14ac:dyDescent="0.15">
      <c r="A6" s="756" t="s">
        <v>669</v>
      </c>
      <c r="B6" s="376">
        <v>31720740</v>
      </c>
      <c r="C6" s="376">
        <v>25775780</v>
      </c>
      <c r="D6" s="376">
        <v>7973868</v>
      </c>
      <c r="E6" s="376">
        <v>540025</v>
      </c>
      <c r="F6" s="376">
        <v>286590</v>
      </c>
      <c r="G6" s="376" t="s">
        <v>839</v>
      </c>
      <c r="H6" s="376">
        <v>195369</v>
      </c>
      <c r="I6" s="376">
        <v>336369</v>
      </c>
      <c r="J6" s="376">
        <v>473681</v>
      </c>
      <c r="K6" s="376" t="s">
        <v>839</v>
      </c>
      <c r="L6" s="376" t="s">
        <v>839</v>
      </c>
      <c r="M6" s="376">
        <v>15768</v>
      </c>
      <c r="N6" s="376">
        <v>1423988</v>
      </c>
      <c r="O6" s="376">
        <v>20107</v>
      </c>
      <c r="P6" s="376" t="s">
        <v>839</v>
      </c>
      <c r="Q6" s="376" t="s">
        <v>839</v>
      </c>
      <c r="R6" s="376">
        <v>973185</v>
      </c>
      <c r="S6" s="376">
        <v>1759035</v>
      </c>
      <c r="T6" s="376">
        <v>1671365</v>
      </c>
      <c r="U6" s="376">
        <v>4840238</v>
      </c>
      <c r="V6" s="376" t="s">
        <v>839</v>
      </c>
      <c r="W6" s="381" t="s">
        <v>512</v>
      </c>
    </row>
    <row r="7" spans="1:23" s="376" customFormat="1" ht="9.75" customHeight="1" x14ac:dyDescent="0.15">
      <c r="A7" s="756" t="s">
        <v>670</v>
      </c>
      <c r="B7" s="376">
        <v>34955953</v>
      </c>
      <c r="C7" s="376">
        <v>27207175</v>
      </c>
      <c r="D7" s="376">
        <v>8750545</v>
      </c>
      <c r="E7" s="376">
        <v>520309</v>
      </c>
      <c r="F7" s="376">
        <v>82439</v>
      </c>
      <c r="G7" s="376">
        <v>26763</v>
      </c>
      <c r="H7" s="376">
        <v>91836</v>
      </c>
      <c r="I7" s="376">
        <v>335606</v>
      </c>
      <c r="J7" s="376">
        <v>514310</v>
      </c>
      <c r="K7" s="376">
        <v>122549</v>
      </c>
      <c r="L7" s="376">
        <v>21661</v>
      </c>
      <c r="M7" s="376" t="s">
        <v>839</v>
      </c>
      <c r="N7" s="376">
        <v>1882304</v>
      </c>
      <c r="O7" s="376">
        <v>14825</v>
      </c>
      <c r="P7" s="376">
        <v>30593</v>
      </c>
      <c r="Q7" s="376">
        <v>91803</v>
      </c>
      <c r="R7" s="376">
        <v>939424</v>
      </c>
      <c r="S7" s="376">
        <v>1222091</v>
      </c>
      <c r="T7" s="376">
        <v>2044535</v>
      </c>
      <c r="U7" s="376">
        <v>5859243</v>
      </c>
      <c r="V7" s="376">
        <v>31678</v>
      </c>
      <c r="W7" s="381" t="s">
        <v>620</v>
      </c>
    </row>
    <row r="8" spans="1:23" s="376" customFormat="1" ht="9.75" customHeight="1" x14ac:dyDescent="0.15">
      <c r="A8" s="756" t="s">
        <v>671</v>
      </c>
      <c r="B8" s="376">
        <v>39136664</v>
      </c>
      <c r="C8" s="376">
        <v>30987931</v>
      </c>
      <c r="D8" s="376">
        <v>9254242</v>
      </c>
      <c r="E8" s="376">
        <v>687661</v>
      </c>
      <c r="F8" s="376" t="s">
        <v>839</v>
      </c>
      <c r="G8" s="376" t="s">
        <v>839</v>
      </c>
      <c r="H8" s="376">
        <v>145148</v>
      </c>
      <c r="I8" s="376">
        <v>509738</v>
      </c>
      <c r="J8" s="376">
        <v>1169575</v>
      </c>
      <c r="K8" s="376">
        <v>235299</v>
      </c>
      <c r="L8" s="376" t="s">
        <v>839</v>
      </c>
      <c r="M8" s="376" t="s">
        <v>839</v>
      </c>
      <c r="N8" s="376">
        <v>1562807</v>
      </c>
      <c r="O8" s="376" t="s">
        <v>839</v>
      </c>
      <c r="P8" s="376">
        <v>11553</v>
      </c>
      <c r="Q8" s="376">
        <v>103033</v>
      </c>
      <c r="R8" s="376">
        <v>1268082</v>
      </c>
      <c r="S8" s="376">
        <v>2325577</v>
      </c>
      <c r="T8" s="376">
        <v>2172238</v>
      </c>
      <c r="U8" s="376">
        <v>5185461</v>
      </c>
      <c r="V8" s="376">
        <v>552695</v>
      </c>
      <c r="W8" s="381" t="s">
        <v>672</v>
      </c>
    </row>
    <row r="9" spans="1:23" s="376" customFormat="1" ht="9.75" customHeight="1" x14ac:dyDescent="0.15">
      <c r="A9" s="756" t="s">
        <v>840</v>
      </c>
      <c r="B9" s="376">
        <v>32841517</v>
      </c>
      <c r="C9" s="376">
        <v>27309477</v>
      </c>
      <c r="D9" s="376">
        <v>7113643</v>
      </c>
      <c r="E9" s="376">
        <v>413586</v>
      </c>
      <c r="F9" s="376">
        <v>154064</v>
      </c>
      <c r="G9" s="376" t="s">
        <v>839</v>
      </c>
      <c r="H9" s="376">
        <v>85698</v>
      </c>
      <c r="I9" s="376">
        <v>1233568</v>
      </c>
      <c r="J9" s="376">
        <v>1201128</v>
      </c>
      <c r="K9" s="376" t="s">
        <v>839</v>
      </c>
      <c r="L9" s="376" t="s">
        <v>839</v>
      </c>
      <c r="M9" s="376">
        <v>7487</v>
      </c>
      <c r="N9" s="376">
        <v>688517</v>
      </c>
      <c r="O9" s="376">
        <v>93614</v>
      </c>
      <c r="P9" s="376" t="s">
        <v>839</v>
      </c>
      <c r="Q9" s="376" t="s">
        <v>839</v>
      </c>
      <c r="R9" s="376">
        <v>1110367</v>
      </c>
      <c r="S9" s="376">
        <v>1864046</v>
      </c>
      <c r="T9" s="376">
        <v>2328791</v>
      </c>
      <c r="U9" s="376">
        <v>4508497</v>
      </c>
      <c r="V9" s="376">
        <v>15896</v>
      </c>
      <c r="W9" s="381" t="s">
        <v>841</v>
      </c>
    </row>
    <row r="10" spans="1:23" s="376" customFormat="1" ht="6.75" customHeight="1" x14ac:dyDescent="0.15">
      <c r="A10" s="787"/>
      <c r="W10" s="381"/>
    </row>
    <row r="11" spans="1:23" s="376" customFormat="1" ht="9.75" customHeight="1" x14ac:dyDescent="0.15">
      <c r="A11" s="756" t="s">
        <v>842</v>
      </c>
      <c r="B11" s="376">
        <v>37001857</v>
      </c>
      <c r="C11" s="376">
        <v>29365159</v>
      </c>
      <c r="D11" s="376">
        <v>8196286</v>
      </c>
      <c r="E11" s="376">
        <v>530111</v>
      </c>
      <c r="F11" s="376" t="s">
        <v>839</v>
      </c>
      <c r="G11" s="376" t="s">
        <v>839</v>
      </c>
      <c r="H11" s="376">
        <v>100376</v>
      </c>
      <c r="I11" s="376">
        <v>902880</v>
      </c>
      <c r="J11" s="376">
        <v>975216</v>
      </c>
      <c r="K11" s="376">
        <v>140969</v>
      </c>
      <c r="L11" s="376" t="s">
        <v>839</v>
      </c>
      <c r="M11" s="376" t="s">
        <v>839</v>
      </c>
      <c r="N11" s="376">
        <v>1339458</v>
      </c>
      <c r="O11" s="376">
        <v>47987</v>
      </c>
      <c r="P11" s="376">
        <v>11553</v>
      </c>
      <c r="Q11" s="376">
        <v>103033</v>
      </c>
      <c r="R11" s="376">
        <v>967926</v>
      </c>
      <c r="S11" s="376">
        <v>2413087</v>
      </c>
      <c r="T11" s="376">
        <v>2198620</v>
      </c>
      <c r="U11" s="376">
        <v>4726673</v>
      </c>
      <c r="V11" s="376">
        <v>552695</v>
      </c>
      <c r="W11" s="381" t="s">
        <v>673</v>
      </c>
    </row>
    <row r="12" spans="1:23" s="376" customFormat="1" ht="9.75" customHeight="1" x14ac:dyDescent="0.15">
      <c r="A12" s="756" t="s">
        <v>843</v>
      </c>
      <c r="B12" s="376">
        <v>32863248</v>
      </c>
      <c r="C12" s="376">
        <v>28260624</v>
      </c>
      <c r="D12" s="376">
        <v>7174913</v>
      </c>
      <c r="E12" s="376">
        <v>606360</v>
      </c>
      <c r="F12" s="376">
        <v>154064</v>
      </c>
      <c r="G12" s="376" t="s">
        <v>839</v>
      </c>
      <c r="H12" s="376">
        <v>134958</v>
      </c>
      <c r="I12" s="376">
        <v>985618</v>
      </c>
      <c r="J12" s="376">
        <v>1283075</v>
      </c>
      <c r="K12" s="376" t="s">
        <v>839</v>
      </c>
      <c r="L12" s="376" t="s">
        <v>839</v>
      </c>
      <c r="M12" s="376">
        <v>7487</v>
      </c>
      <c r="N12" s="376">
        <v>502326</v>
      </c>
      <c r="O12" s="376">
        <v>45627</v>
      </c>
      <c r="P12" s="376" t="s">
        <v>839</v>
      </c>
      <c r="Q12" s="376" t="s">
        <v>839</v>
      </c>
      <c r="R12" s="376">
        <v>1241147</v>
      </c>
      <c r="S12" s="376">
        <v>2155029</v>
      </c>
      <c r="T12" s="376">
        <v>2782178</v>
      </c>
      <c r="U12" s="376">
        <v>4653808</v>
      </c>
      <c r="V12" s="376">
        <v>15896</v>
      </c>
      <c r="W12" s="381" t="s">
        <v>844</v>
      </c>
    </row>
    <row r="13" spans="1:23" s="376" customFormat="1" ht="6.75" customHeight="1" x14ac:dyDescent="0.15">
      <c r="A13" s="787"/>
      <c r="W13" s="381"/>
    </row>
    <row r="14" spans="1:23" s="376" customFormat="1" ht="9.75" customHeight="1" x14ac:dyDescent="0.15">
      <c r="A14" s="756" t="s">
        <v>845</v>
      </c>
      <c r="B14" s="376">
        <v>8044350</v>
      </c>
      <c r="C14" s="376">
        <v>6275435</v>
      </c>
      <c r="D14" s="376">
        <v>1631266</v>
      </c>
      <c r="E14" s="376">
        <v>83361</v>
      </c>
      <c r="F14" s="376" t="s">
        <v>839</v>
      </c>
      <c r="G14" s="376" t="s">
        <v>839</v>
      </c>
      <c r="H14" s="376" t="s">
        <v>839</v>
      </c>
      <c r="I14" s="376">
        <v>491482</v>
      </c>
      <c r="J14" s="376">
        <v>200810</v>
      </c>
      <c r="K14" s="376" t="s">
        <v>839</v>
      </c>
      <c r="L14" s="376" t="s">
        <v>839</v>
      </c>
      <c r="M14" s="376" t="s">
        <v>839</v>
      </c>
      <c r="N14" s="376">
        <v>226373</v>
      </c>
      <c r="O14" s="376">
        <v>47987</v>
      </c>
      <c r="P14" s="376" t="s">
        <v>839</v>
      </c>
      <c r="Q14" s="376" t="s">
        <v>839</v>
      </c>
      <c r="R14" s="376">
        <v>200553</v>
      </c>
      <c r="S14" s="376">
        <v>403042</v>
      </c>
      <c r="T14" s="376">
        <v>463444</v>
      </c>
      <c r="U14" s="376">
        <v>1042086</v>
      </c>
      <c r="V14" s="376" t="s">
        <v>839</v>
      </c>
      <c r="W14" s="381" t="s">
        <v>677</v>
      </c>
    </row>
    <row r="15" spans="1:23" s="376" customFormat="1" ht="9.75" customHeight="1" x14ac:dyDescent="0.15">
      <c r="A15" s="756" t="s">
        <v>674</v>
      </c>
      <c r="B15" s="376">
        <v>7375831</v>
      </c>
      <c r="C15" s="376">
        <v>6204326</v>
      </c>
      <c r="D15" s="376">
        <v>1315655</v>
      </c>
      <c r="E15" s="376" t="s">
        <v>839</v>
      </c>
      <c r="F15" s="376">
        <v>36433</v>
      </c>
      <c r="G15" s="376" t="s">
        <v>839</v>
      </c>
      <c r="H15" s="376">
        <v>43606</v>
      </c>
      <c r="I15" s="376">
        <v>156113</v>
      </c>
      <c r="J15" s="376">
        <v>391937</v>
      </c>
      <c r="K15" s="376" t="s">
        <v>839</v>
      </c>
      <c r="L15" s="376" t="s">
        <v>839</v>
      </c>
      <c r="M15" s="376" t="s">
        <v>839</v>
      </c>
      <c r="N15" s="376">
        <v>141729</v>
      </c>
      <c r="O15" s="376" t="s">
        <v>839</v>
      </c>
      <c r="P15" s="376" t="s">
        <v>839</v>
      </c>
      <c r="Q15" s="376" t="s">
        <v>839</v>
      </c>
      <c r="R15" s="376">
        <v>334589</v>
      </c>
      <c r="S15" s="376">
        <v>320622</v>
      </c>
      <c r="T15" s="376">
        <v>552816</v>
      </c>
      <c r="U15" s="376">
        <v>1365445</v>
      </c>
      <c r="V15" s="376">
        <v>15896</v>
      </c>
      <c r="W15" s="381" t="s">
        <v>89</v>
      </c>
    </row>
    <row r="16" spans="1:23" s="376" customFormat="1" ht="9.75" customHeight="1" x14ac:dyDescent="0.15">
      <c r="A16" s="756" t="s">
        <v>675</v>
      </c>
      <c r="B16" s="376">
        <v>8392040</v>
      </c>
      <c r="C16" s="376">
        <v>7382761</v>
      </c>
      <c r="D16" s="376">
        <v>1956286</v>
      </c>
      <c r="E16" s="376" t="s">
        <v>839</v>
      </c>
      <c r="F16" s="376">
        <v>78841</v>
      </c>
      <c r="G16" s="376" t="s">
        <v>839</v>
      </c>
      <c r="H16" s="376">
        <v>42092</v>
      </c>
      <c r="I16" s="376">
        <v>372271</v>
      </c>
      <c r="J16" s="376">
        <v>370697</v>
      </c>
      <c r="K16" s="376" t="s">
        <v>839</v>
      </c>
      <c r="L16" s="376" t="s">
        <v>839</v>
      </c>
      <c r="M16" s="376" t="s">
        <v>839</v>
      </c>
      <c r="N16" s="376">
        <v>183340</v>
      </c>
      <c r="O16" s="376" t="s">
        <v>839</v>
      </c>
      <c r="P16" s="376" t="s">
        <v>839</v>
      </c>
      <c r="Q16" s="376" t="s">
        <v>839</v>
      </c>
      <c r="R16" s="376">
        <v>352420</v>
      </c>
      <c r="S16" s="376">
        <v>473533</v>
      </c>
      <c r="T16" s="376">
        <v>659550</v>
      </c>
      <c r="U16" s="376">
        <v>1075913</v>
      </c>
      <c r="V16" s="376" t="s">
        <v>839</v>
      </c>
      <c r="W16" s="381" t="s">
        <v>90</v>
      </c>
    </row>
    <row r="17" spans="1:23" s="376" customFormat="1" ht="9.75" customHeight="1" x14ac:dyDescent="0.15">
      <c r="A17" s="756" t="s">
        <v>676</v>
      </c>
      <c r="B17" s="376">
        <v>9029296</v>
      </c>
      <c r="C17" s="376">
        <v>7446955</v>
      </c>
      <c r="D17" s="376">
        <v>2210436</v>
      </c>
      <c r="E17" s="376">
        <v>330225</v>
      </c>
      <c r="F17" s="376">
        <v>38790</v>
      </c>
      <c r="G17" s="376" t="s">
        <v>839</v>
      </c>
      <c r="H17" s="376" t="s">
        <v>839</v>
      </c>
      <c r="I17" s="376">
        <v>213702</v>
      </c>
      <c r="J17" s="376">
        <v>237684</v>
      </c>
      <c r="K17" s="376" t="s">
        <v>839</v>
      </c>
      <c r="L17" s="376" t="s">
        <v>839</v>
      </c>
      <c r="M17" s="376">
        <v>7487</v>
      </c>
      <c r="N17" s="376">
        <v>137075</v>
      </c>
      <c r="O17" s="376">
        <v>45627</v>
      </c>
      <c r="P17" s="376" t="s">
        <v>839</v>
      </c>
      <c r="Q17" s="376" t="s">
        <v>839</v>
      </c>
      <c r="R17" s="376">
        <v>222805</v>
      </c>
      <c r="S17" s="376">
        <v>666849</v>
      </c>
      <c r="T17" s="376">
        <v>652981</v>
      </c>
      <c r="U17" s="376">
        <v>1025053</v>
      </c>
      <c r="V17" s="376" t="s">
        <v>839</v>
      </c>
      <c r="W17" s="381" t="s">
        <v>91</v>
      </c>
    </row>
    <row r="18" spans="1:23" s="376" customFormat="1" ht="9.75" customHeight="1" x14ac:dyDescent="0.15">
      <c r="A18" s="756" t="s">
        <v>846</v>
      </c>
      <c r="B18" s="376">
        <v>8066081</v>
      </c>
      <c r="C18" s="376">
        <v>7226582</v>
      </c>
      <c r="D18" s="376">
        <v>1692536</v>
      </c>
      <c r="E18" s="376">
        <v>276135</v>
      </c>
      <c r="F18" s="376" t="s">
        <v>839</v>
      </c>
      <c r="G18" s="376" t="s">
        <v>839</v>
      </c>
      <c r="H18" s="376">
        <v>49260</v>
      </c>
      <c r="I18" s="376">
        <v>243532</v>
      </c>
      <c r="J18" s="376">
        <v>282757</v>
      </c>
      <c r="K18" s="376" t="s">
        <v>839</v>
      </c>
      <c r="L18" s="376" t="s">
        <v>839</v>
      </c>
      <c r="M18" s="376" t="s">
        <v>839</v>
      </c>
      <c r="N18" s="376">
        <v>40182</v>
      </c>
      <c r="O18" s="376" t="s">
        <v>839</v>
      </c>
      <c r="P18" s="376" t="s">
        <v>839</v>
      </c>
      <c r="Q18" s="376" t="s">
        <v>839</v>
      </c>
      <c r="R18" s="376">
        <v>331333</v>
      </c>
      <c r="S18" s="376">
        <v>694025</v>
      </c>
      <c r="T18" s="376">
        <v>916831</v>
      </c>
      <c r="U18" s="376">
        <v>1187397</v>
      </c>
      <c r="V18" s="376" t="s">
        <v>839</v>
      </c>
      <c r="W18" s="381" t="s">
        <v>847</v>
      </c>
    </row>
    <row r="19" spans="1:23" s="376" customFormat="1" ht="6.75" customHeight="1" x14ac:dyDescent="0.15">
      <c r="A19" s="787"/>
      <c r="W19" s="381"/>
    </row>
    <row r="20" spans="1:23" s="376" customFormat="1" ht="9.75" customHeight="1" x14ac:dyDescent="0.15">
      <c r="A20" s="756" t="s">
        <v>848</v>
      </c>
      <c r="B20" s="376">
        <v>3378430</v>
      </c>
      <c r="C20" s="376">
        <v>2477683</v>
      </c>
      <c r="D20" s="376">
        <v>599821</v>
      </c>
      <c r="E20" s="376">
        <v>83361</v>
      </c>
      <c r="F20" s="376" t="s">
        <v>839</v>
      </c>
      <c r="G20" s="376" t="s">
        <v>839</v>
      </c>
      <c r="H20" s="376" t="s">
        <v>839</v>
      </c>
      <c r="I20" s="376">
        <v>151902</v>
      </c>
      <c r="J20" s="376">
        <v>67801</v>
      </c>
      <c r="K20" s="376" t="s">
        <v>839</v>
      </c>
      <c r="L20" s="376" t="s">
        <v>839</v>
      </c>
      <c r="M20" s="376" t="s">
        <v>839</v>
      </c>
      <c r="N20" s="376">
        <v>47503</v>
      </c>
      <c r="O20" s="376" t="s">
        <v>839</v>
      </c>
      <c r="P20" s="376" t="s">
        <v>839</v>
      </c>
      <c r="Q20" s="376" t="s">
        <v>839</v>
      </c>
      <c r="R20" s="376">
        <v>52245</v>
      </c>
      <c r="S20" s="376">
        <v>354451</v>
      </c>
      <c r="T20" s="376">
        <v>311766</v>
      </c>
      <c r="U20" s="376">
        <v>292540</v>
      </c>
      <c r="V20" s="376" t="s">
        <v>839</v>
      </c>
      <c r="W20" s="381" t="s">
        <v>689</v>
      </c>
    </row>
    <row r="21" spans="1:23" s="376" customFormat="1" ht="9.75" customHeight="1" x14ac:dyDescent="0.15">
      <c r="A21" s="756" t="s">
        <v>678</v>
      </c>
      <c r="B21" s="376">
        <v>2569511</v>
      </c>
      <c r="C21" s="376">
        <v>2135291</v>
      </c>
      <c r="D21" s="376">
        <v>659292</v>
      </c>
      <c r="E21" s="376" t="s">
        <v>839</v>
      </c>
      <c r="F21" s="376" t="s">
        <v>839</v>
      </c>
      <c r="G21" s="376" t="s">
        <v>839</v>
      </c>
      <c r="H21" s="376" t="s">
        <v>839</v>
      </c>
      <c r="I21" s="376">
        <v>149808</v>
      </c>
      <c r="J21" s="376">
        <v>105054</v>
      </c>
      <c r="K21" s="376" t="s">
        <v>839</v>
      </c>
      <c r="L21" s="376" t="s">
        <v>839</v>
      </c>
      <c r="M21" s="376" t="s">
        <v>839</v>
      </c>
      <c r="N21" s="376">
        <v>154759</v>
      </c>
      <c r="O21" s="376" t="s">
        <v>839</v>
      </c>
      <c r="P21" s="376" t="s">
        <v>839</v>
      </c>
      <c r="Q21" s="376" t="s">
        <v>839</v>
      </c>
      <c r="R21" s="376">
        <v>38868</v>
      </c>
      <c r="S21" s="376" t="s">
        <v>839</v>
      </c>
      <c r="T21" s="376">
        <v>119815</v>
      </c>
      <c r="U21" s="376">
        <v>293824</v>
      </c>
      <c r="V21" s="376" t="s">
        <v>839</v>
      </c>
      <c r="W21" s="381" t="s">
        <v>77</v>
      </c>
    </row>
    <row r="22" spans="1:23" s="376" customFormat="1" ht="9.75" customHeight="1" x14ac:dyDescent="0.15">
      <c r="A22" s="756" t="s">
        <v>679</v>
      </c>
      <c r="B22" s="376">
        <v>2096409</v>
      </c>
      <c r="C22" s="376">
        <v>1662461</v>
      </c>
      <c r="D22" s="376">
        <v>372153</v>
      </c>
      <c r="E22" s="376" t="s">
        <v>839</v>
      </c>
      <c r="F22" s="376" t="s">
        <v>839</v>
      </c>
      <c r="G22" s="376" t="s">
        <v>839</v>
      </c>
      <c r="H22" s="376" t="s">
        <v>839</v>
      </c>
      <c r="I22" s="376">
        <v>189772</v>
      </c>
      <c r="J22" s="376">
        <v>27955</v>
      </c>
      <c r="K22" s="376" t="s">
        <v>839</v>
      </c>
      <c r="L22" s="376" t="s">
        <v>839</v>
      </c>
      <c r="M22" s="376" t="s">
        <v>839</v>
      </c>
      <c r="N22" s="376">
        <v>24111</v>
      </c>
      <c r="O22" s="376">
        <v>47987</v>
      </c>
      <c r="P22" s="376" t="s">
        <v>839</v>
      </c>
      <c r="Q22" s="376" t="s">
        <v>839</v>
      </c>
      <c r="R22" s="376">
        <v>109440</v>
      </c>
      <c r="S22" s="376">
        <v>48591</v>
      </c>
      <c r="T22" s="376">
        <v>31863</v>
      </c>
      <c r="U22" s="376">
        <v>455722</v>
      </c>
      <c r="V22" s="376" t="s">
        <v>839</v>
      </c>
      <c r="W22" s="381" t="s">
        <v>78</v>
      </c>
    </row>
    <row r="23" spans="1:23" s="376" customFormat="1" ht="9.75" customHeight="1" x14ac:dyDescent="0.15">
      <c r="A23" s="756" t="s">
        <v>680</v>
      </c>
      <c r="B23" s="376">
        <v>2400090</v>
      </c>
      <c r="C23" s="376">
        <v>1812449</v>
      </c>
      <c r="D23" s="376">
        <v>480528</v>
      </c>
      <c r="E23" s="376" t="s">
        <v>839</v>
      </c>
      <c r="F23" s="376" t="s">
        <v>839</v>
      </c>
      <c r="G23" s="376" t="s">
        <v>839</v>
      </c>
      <c r="H23" s="376">
        <v>43606</v>
      </c>
      <c r="I23" s="376">
        <v>51897</v>
      </c>
      <c r="J23" s="376">
        <v>182856</v>
      </c>
      <c r="K23" s="376" t="s">
        <v>839</v>
      </c>
      <c r="L23" s="376" t="s">
        <v>839</v>
      </c>
      <c r="M23" s="376" t="s">
        <v>839</v>
      </c>
      <c r="N23" s="376">
        <v>59584</v>
      </c>
      <c r="O23" s="376" t="s">
        <v>839</v>
      </c>
      <c r="P23" s="376" t="s">
        <v>839</v>
      </c>
      <c r="Q23" s="376" t="s">
        <v>839</v>
      </c>
      <c r="R23" s="376">
        <v>79463</v>
      </c>
      <c r="S23" s="376">
        <v>80108</v>
      </c>
      <c r="T23" s="376">
        <v>164886</v>
      </c>
      <c r="U23" s="376">
        <v>444916</v>
      </c>
      <c r="V23" s="376">
        <v>15896</v>
      </c>
      <c r="W23" s="381" t="s">
        <v>79</v>
      </c>
    </row>
    <row r="24" spans="1:23" s="376" customFormat="1" ht="9.75" customHeight="1" x14ac:dyDescent="0.15">
      <c r="A24" s="756" t="s">
        <v>681</v>
      </c>
      <c r="B24" s="376">
        <v>2495228</v>
      </c>
      <c r="C24" s="376">
        <v>2257608</v>
      </c>
      <c r="D24" s="376">
        <v>556070</v>
      </c>
      <c r="E24" s="376" t="s">
        <v>839</v>
      </c>
      <c r="F24" s="376" t="s">
        <v>839</v>
      </c>
      <c r="G24" s="376" t="s">
        <v>839</v>
      </c>
      <c r="H24" s="376" t="s">
        <v>839</v>
      </c>
      <c r="I24" s="376">
        <v>104216</v>
      </c>
      <c r="J24" s="376">
        <v>57735</v>
      </c>
      <c r="K24" s="376" t="s">
        <v>839</v>
      </c>
      <c r="L24" s="376" t="s">
        <v>839</v>
      </c>
      <c r="M24" s="376" t="s">
        <v>839</v>
      </c>
      <c r="N24" s="376">
        <v>82145</v>
      </c>
      <c r="O24" s="376" t="s">
        <v>839</v>
      </c>
      <c r="P24" s="376" t="s">
        <v>839</v>
      </c>
      <c r="Q24" s="376" t="s">
        <v>839</v>
      </c>
      <c r="R24" s="376">
        <v>77967</v>
      </c>
      <c r="S24" s="376">
        <v>100951</v>
      </c>
      <c r="T24" s="376">
        <v>35423</v>
      </c>
      <c r="U24" s="376">
        <v>365877</v>
      </c>
      <c r="V24" s="376" t="s">
        <v>839</v>
      </c>
      <c r="W24" s="381" t="s">
        <v>92</v>
      </c>
    </row>
    <row r="25" spans="1:23" s="376" customFormat="1" ht="9.75" customHeight="1" x14ac:dyDescent="0.15">
      <c r="A25" s="756" t="s">
        <v>682</v>
      </c>
      <c r="B25" s="376">
        <v>2480513</v>
      </c>
      <c r="C25" s="376">
        <v>2134269</v>
      </c>
      <c r="D25" s="376">
        <v>279057</v>
      </c>
      <c r="E25" s="376" t="s">
        <v>839</v>
      </c>
      <c r="F25" s="376">
        <v>36433</v>
      </c>
      <c r="G25" s="376" t="s">
        <v>839</v>
      </c>
      <c r="H25" s="376" t="s">
        <v>839</v>
      </c>
      <c r="I25" s="376" t="s">
        <v>839</v>
      </c>
      <c r="J25" s="376">
        <v>151346</v>
      </c>
      <c r="K25" s="376" t="s">
        <v>839</v>
      </c>
      <c r="L25" s="376" t="s">
        <v>839</v>
      </c>
      <c r="M25" s="376" t="s">
        <v>839</v>
      </c>
      <c r="N25" s="376" t="s">
        <v>839</v>
      </c>
      <c r="O25" s="376" t="s">
        <v>839</v>
      </c>
      <c r="P25" s="376" t="s">
        <v>839</v>
      </c>
      <c r="Q25" s="376" t="s">
        <v>839</v>
      </c>
      <c r="R25" s="376">
        <v>177159</v>
      </c>
      <c r="S25" s="376">
        <v>139563</v>
      </c>
      <c r="T25" s="376">
        <v>352507</v>
      </c>
      <c r="U25" s="376">
        <v>554652</v>
      </c>
      <c r="V25" s="376" t="s">
        <v>839</v>
      </c>
      <c r="W25" s="381" t="s">
        <v>93</v>
      </c>
    </row>
    <row r="26" spans="1:23" s="376" customFormat="1" ht="9.75" customHeight="1" x14ac:dyDescent="0.15">
      <c r="A26" s="756" t="s">
        <v>683</v>
      </c>
      <c r="B26" s="376">
        <v>2585248</v>
      </c>
      <c r="C26" s="376">
        <v>2218439</v>
      </c>
      <c r="D26" s="376">
        <v>636106</v>
      </c>
      <c r="E26" s="376" t="s">
        <v>839</v>
      </c>
      <c r="F26" s="376" t="s">
        <v>839</v>
      </c>
      <c r="G26" s="376" t="s">
        <v>839</v>
      </c>
      <c r="H26" s="376" t="s">
        <v>839</v>
      </c>
      <c r="I26" s="376">
        <v>77206</v>
      </c>
      <c r="J26" s="376">
        <v>69277</v>
      </c>
      <c r="K26" s="376" t="s">
        <v>839</v>
      </c>
      <c r="L26" s="376" t="s">
        <v>839</v>
      </c>
      <c r="M26" s="376" t="s">
        <v>839</v>
      </c>
      <c r="N26" s="376">
        <v>102013</v>
      </c>
      <c r="O26" s="376" t="s">
        <v>839</v>
      </c>
      <c r="P26" s="376" t="s">
        <v>839</v>
      </c>
      <c r="Q26" s="376" t="s">
        <v>839</v>
      </c>
      <c r="R26" s="376">
        <v>137935</v>
      </c>
      <c r="S26" s="376">
        <v>16706</v>
      </c>
      <c r="T26" s="376">
        <v>291834</v>
      </c>
      <c r="U26" s="376">
        <v>283334</v>
      </c>
      <c r="V26" s="376" t="s">
        <v>839</v>
      </c>
      <c r="W26" s="381" t="s">
        <v>94</v>
      </c>
    </row>
    <row r="27" spans="1:23" s="376" customFormat="1" ht="9.75" customHeight="1" x14ac:dyDescent="0.15">
      <c r="A27" s="756" t="s">
        <v>684</v>
      </c>
      <c r="B27" s="376">
        <v>2917739</v>
      </c>
      <c r="C27" s="376">
        <v>2579396</v>
      </c>
      <c r="D27" s="376">
        <v>564448</v>
      </c>
      <c r="E27" s="376" t="s">
        <v>839</v>
      </c>
      <c r="F27" s="376" t="s">
        <v>839</v>
      </c>
      <c r="G27" s="376" t="s">
        <v>839</v>
      </c>
      <c r="H27" s="376">
        <v>42092</v>
      </c>
      <c r="I27" s="376">
        <v>210049</v>
      </c>
      <c r="J27" s="376">
        <v>172367</v>
      </c>
      <c r="K27" s="376" t="s">
        <v>839</v>
      </c>
      <c r="L27" s="376" t="s">
        <v>839</v>
      </c>
      <c r="M27" s="376" t="s">
        <v>839</v>
      </c>
      <c r="N27" s="376">
        <v>81327</v>
      </c>
      <c r="O27" s="376" t="s">
        <v>839</v>
      </c>
      <c r="P27" s="376" t="s">
        <v>839</v>
      </c>
      <c r="Q27" s="376" t="s">
        <v>839</v>
      </c>
      <c r="R27" s="376">
        <v>75403</v>
      </c>
      <c r="S27" s="376">
        <v>258201</v>
      </c>
      <c r="T27" s="376">
        <v>154874</v>
      </c>
      <c r="U27" s="376">
        <v>442047</v>
      </c>
      <c r="V27" s="376" t="s">
        <v>839</v>
      </c>
      <c r="W27" s="381" t="s">
        <v>95</v>
      </c>
    </row>
    <row r="28" spans="1:23" s="376" customFormat="1" ht="9.75" customHeight="1" x14ac:dyDescent="0.15">
      <c r="A28" s="756" t="s">
        <v>685</v>
      </c>
      <c r="B28" s="376">
        <v>2889053</v>
      </c>
      <c r="C28" s="376">
        <v>2584926</v>
      </c>
      <c r="D28" s="376">
        <v>755732</v>
      </c>
      <c r="E28" s="376" t="s">
        <v>839</v>
      </c>
      <c r="F28" s="376">
        <v>78841</v>
      </c>
      <c r="G28" s="376" t="s">
        <v>839</v>
      </c>
      <c r="H28" s="376" t="s">
        <v>839</v>
      </c>
      <c r="I28" s="376">
        <v>85016</v>
      </c>
      <c r="J28" s="376">
        <v>129053</v>
      </c>
      <c r="K28" s="376" t="s">
        <v>839</v>
      </c>
      <c r="L28" s="376" t="s">
        <v>839</v>
      </c>
      <c r="M28" s="376" t="s">
        <v>839</v>
      </c>
      <c r="N28" s="376" t="s">
        <v>839</v>
      </c>
      <c r="O28" s="376" t="s">
        <v>839</v>
      </c>
      <c r="P28" s="376" t="s">
        <v>839</v>
      </c>
      <c r="Q28" s="376" t="s">
        <v>839</v>
      </c>
      <c r="R28" s="376">
        <v>139082</v>
      </c>
      <c r="S28" s="376">
        <v>198626</v>
      </c>
      <c r="T28" s="376">
        <v>212842</v>
      </c>
      <c r="U28" s="376">
        <v>350532</v>
      </c>
      <c r="V28" s="376" t="s">
        <v>839</v>
      </c>
      <c r="W28" s="381" t="s">
        <v>96</v>
      </c>
    </row>
    <row r="29" spans="1:23" s="376" customFormat="1" ht="9.75" customHeight="1" x14ac:dyDescent="0.15">
      <c r="A29" s="756" t="s">
        <v>686</v>
      </c>
      <c r="B29" s="376">
        <v>3006342</v>
      </c>
      <c r="C29" s="376">
        <v>2627890</v>
      </c>
      <c r="D29" s="376">
        <v>723472</v>
      </c>
      <c r="E29" s="376">
        <v>42791</v>
      </c>
      <c r="F29" s="376">
        <v>38790</v>
      </c>
      <c r="G29" s="376" t="s">
        <v>839</v>
      </c>
      <c r="H29" s="376" t="s">
        <v>839</v>
      </c>
      <c r="I29" s="376">
        <v>8987</v>
      </c>
      <c r="J29" s="376">
        <v>63364</v>
      </c>
      <c r="K29" s="376" t="s">
        <v>839</v>
      </c>
      <c r="L29" s="376" t="s">
        <v>839</v>
      </c>
      <c r="M29" s="376">
        <v>7487</v>
      </c>
      <c r="N29" s="376">
        <v>51602</v>
      </c>
      <c r="O29" s="376" t="s">
        <v>839</v>
      </c>
      <c r="P29" s="376" t="s">
        <v>839</v>
      </c>
      <c r="Q29" s="376" t="s">
        <v>839</v>
      </c>
      <c r="R29" s="376">
        <v>48958</v>
      </c>
      <c r="S29" s="376">
        <v>311930</v>
      </c>
      <c r="T29" s="376">
        <v>228976</v>
      </c>
      <c r="U29" s="376">
        <v>294556</v>
      </c>
      <c r="V29" s="376" t="s">
        <v>839</v>
      </c>
      <c r="W29" s="381" t="s">
        <v>80</v>
      </c>
    </row>
    <row r="30" spans="1:23" s="376" customFormat="1" ht="9.75" customHeight="1" x14ac:dyDescent="0.15">
      <c r="A30" s="756" t="s">
        <v>687</v>
      </c>
      <c r="B30" s="376">
        <v>2900516</v>
      </c>
      <c r="C30" s="376">
        <v>2237473</v>
      </c>
      <c r="D30" s="376">
        <v>724387</v>
      </c>
      <c r="E30" s="376">
        <v>179562</v>
      </c>
      <c r="F30" s="376" t="s">
        <v>839</v>
      </c>
      <c r="G30" s="376" t="s">
        <v>839</v>
      </c>
      <c r="H30" s="376" t="s">
        <v>839</v>
      </c>
      <c r="I30" s="376">
        <v>69097</v>
      </c>
      <c r="J30" s="376">
        <v>65220</v>
      </c>
      <c r="K30" s="376" t="s">
        <v>839</v>
      </c>
      <c r="L30" s="376" t="s">
        <v>839</v>
      </c>
      <c r="M30" s="376" t="s">
        <v>839</v>
      </c>
      <c r="N30" s="376" t="s">
        <v>839</v>
      </c>
      <c r="O30" s="376" t="s">
        <v>839</v>
      </c>
      <c r="P30" s="376" t="s">
        <v>839</v>
      </c>
      <c r="Q30" s="376" t="s">
        <v>839</v>
      </c>
      <c r="R30" s="376">
        <v>138410</v>
      </c>
      <c r="S30" s="376">
        <v>197022</v>
      </c>
      <c r="T30" s="376">
        <v>232802</v>
      </c>
      <c r="U30" s="376">
        <v>366095</v>
      </c>
      <c r="V30" s="376" t="s">
        <v>839</v>
      </c>
      <c r="W30" s="381" t="s">
        <v>81</v>
      </c>
    </row>
    <row r="31" spans="1:23" s="376" customFormat="1" ht="9.75" customHeight="1" x14ac:dyDescent="0.15">
      <c r="A31" s="756" t="s">
        <v>688</v>
      </c>
      <c r="B31" s="376">
        <v>3122438</v>
      </c>
      <c r="C31" s="376">
        <v>2581592</v>
      </c>
      <c r="D31" s="376">
        <v>762577</v>
      </c>
      <c r="E31" s="376">
        <v>107872</v>
      </c>
      <c r="F31" s="376" t="s">
        <v>839</v>
      </c>
      <c r="G31" s="376" t="s">
        <v>839</v>
      </c>
      <c r="H31" s="376" t="s">
        <v>839</v>
      </c>
      <c r="I31" s="376">
        <v>135618</v>
      </c>
      <c r="J31" s="376">
        <v>109100</v>
      </c>
      <c r="K31" s="376" t="s">
        <v>839</v>
      </c>
      <c r="L31" s="376" t="s">
        <v>839</v>
      </c>
      <c r="M31" s="376" t="s">
        <v>839</v>
      </c>
      <c r="N31" s="376">
        <v>85473</v>
      </c>
      <c r="O31" s="376">
        <v>45627</v>
      </c>
      <c r="P31" s="376" t="s">
        <v>839</v>
      </c>
      <c r="Q31" s="376" t="s">
        <v>839</v>
      </c>
      <c r="R31" s="376">
        <v>35437</v>
      </c>
      <c r="S31" s="376">
        <v>157897</v>
      </c>
      <c r="T31" s="376">
        <v>191203</v>
      </c>
      <c r="U31" s="376">
        <v>364402</v>
      </c>
      <c r="V31" s="376" t="s">
        <v>839</v>
      </c>
      <c r="W31" s="381" t="s">
        <v>82</v>
      </c>
    </row>
    <row r="32" spans="1:23" s="376" customFormat="1" ht="9.75" customHeight="1" x14ac:dyDescent="0.15">
      <c r="A32" s="756" t="s">
        <v>849</v>
      </c>
      <c r="B32" s="376">
        <v>3033272</v>
      </c>
      <c r="C32" s="376">
        <v>2733140</v>
      </c>
      <c r="D32" s="376">
        <v>709895</v>
      </c>
      <c r="E32" s="376">
        <v>173341</v>
      </c>
      <c r="F32" s="376" t="s">
        <v>839</v>
      </c>
      <c r="G32" s="376" t="s">
        <v>839</v>
      </c>
      <c r="H32" s="376" t="s">
        <v>839</v>
      </c>
      <c r="I32" s="376">
        <v>47546</v>
      </c>
      <c r="J32" s="376">
        <v>122756</v>
      </c>
      <c r="K32" s="376" t="s">
        <v>839</v>
      </c>
      <c r="L32" s="376" t="s">
        <v>839</v>
      </c>
      <c r="M32" s="376" t="s">
        <v>839</v>
      </c>
      <c r="N32" s="376" t="s">
        <v>839</v>
      </c>
      <c r="O32" s="376" t="s">
        <v>839</v>
      </c>
      <c r="P32" s="376" t="s">
        <v>839</v>
      </c>
      <c r="Q32" s="376" t="s">
        <v>839</v>
      </c>
      <c r="R32" s="376">
        <v>111749</v>
      </c>
      <c r="S32" s="376">
        <v>147149</v>
      </c>
      <c r="T32" s="376">
        <v>391073</v>
      </c>
      <c r="U32" s="376">
        <v>318217</v>
      </c>
      <c r="V32" s="376" t="s">
        <v>839</v>
      </c>
      <c r="W32" s="381" t="s">
        <v>850</v>
      </c>
    </row>
    <row r="33" spans="1:23" s="376" customFormat="1" ht="9.75" customHeight="1" x14ac:dyDescent="0.15">
      <c r="A33" s="756" t="s">
        <v>690</v>
      </c>
      <c r="B33" s="376">
        <v>2491170</v>
      </c>
      <c r="C33" s="376">
        <v>2216268</v>
      </c>
      <c r="D33" s="376">
        <v>585015</v>
      </c>
      <c r="E33" s="376">
        <v>61024</v>
      </c>
      <c r="F33" s="376" t="s">
        <v>839</v>
      </c>
      <c r="G33" s="376" t="s">
        <v>839</v>
      </c>
      <c r="H33" s="376">
        <v>49260</v>
      </c>
      <c r="I33" s="376">
        <v>154162</v>
      </c>
      <c r="J33" s="376">
        <v>59736</v>
      </c>
      <c r="K33" s="376" t="s">
        <v>839</v>
      </c>
      <c r="L33" s="376" t="s">
        <v>839</v>
      </c>
      <c r="M33" s="376" t="s">
        <v>839</v>
      </c>
      <c r="N33" s="376" t="s">
        <v>839</v>
      </c>
      <c r="O33" s="376" t="s">
        <v>839</v>
      </c>
      <c r="P33" s="376" t="s">
        <v>839</v>
      </c>
      <c r="Q33" s="376" t="s">
        <v>839</v>
      </c>
      <c r="R33" s="376">
        <v>101552</v>
      </c>
      <c r="S33" s="376">
        <v>341707</v>
      </c>
      <c r="T33" s="376">
        <v>128834</v>
      </c>
      <c r="U33" s="376">
        <v>391180</v>
      </c>
      <c r="V33" s="376" t="s">
        <v>839</v>
      </c>
      <c r="W33" s="381" t="s">
        <v>77</v>
      </c>
    </row>
    <row r="34" spans="1:23" s="376" customFormat="1" ht="9.75" customHeight="1" x14ac:dyDescent="0.15">
      <c r="A34" s="757" t="s">
        <v>691</v>
      </c>
      <c r="B34" s="380">
        <v>2541639</v>
      </c>
      <c r="C34" s="379">
        <v>2277174</v>
      </c>
      <c r="D34" s="379">
        <v>397626</v>
      </c>
      <c r="E34" s="379">
        <v>41770</v>
      </c>
      <c r="F34" s="379" t="s">
        <v>839</v>
      </c>
      <c r="G34" s="379" t="s">
        <v>839</v>
      </c>
      <c r="H34" s="379" t="s">
        <v>839</v>
      </c>
      <c r="I34" s="379">
        <v>41824</v>
      </c>
      <c r="J34" s="379">
        <v>100265</v>
      </c>
      <c r="K34" s="379" t="s">
        <v>839</v>
      </c>
      <c r="L34" s="379" t="s">
        <v>839</v>
      </c>
      <c r="M34" s="379" t="s">
        <v>839</v>
      </c>
      <c r="N34" s="379">
        <v>40182</v>
      </c>
      <c r="O34" s="379" t="s">
        <v>839</v>
      </c>
      <c r="P34" s="379" t="s">
        <v>839</v>
      </c>
      <c r="Q34" s="379" t="s">
        <v>839</v>
      </c>
      <c r="R34" s="379">
        <v>118032</v>
      </c>
      <c r="S34" s="379">
        <v>205169</v>
      </c>
      <c r="T34" s="379">
        <v>396924</v>
      </c>
      <c r="U34" s="379">
        <v>478000</v>
      </c>
      <c r="V34" s="379" t="s">
        <v>839</v>
      </c>
      <c r="W34" s="377" t="s">
        <v>78</v>
      </c>
    </row>
    <row r="35" spans="1:23" ht="12" customHeight="1" x14ac:dyDescent="0.15"/>
    <row r="36" spans="1:23" ht="12" customHeight="1" x14ac:dyDescent="0.15"/>
    <row r="37" spans="1:23" ht="12" customHeight="1" x14ac:dyDescent="0.15">
      <c r="K37" s="391" t="s">
        <v>97</v>
      </c>
    </row>
    <row r="38" spans="1:23" s="387" customFormat="1" ht="21" customHeight="1" x14ac:dyDescent="0.15">
      <c r="A38" s="1023" t="s">
        <v>185</v>
      </c>
      <c r="B38" s="390" t="s">
        <v>324</v>
      </c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1026" t="s">
        <v>83</v>
      </c>
    </row>
    <row r="39" spans="1:23" s="387" customFormat="1" ht="21" customHeight="1" x14ac:dyDescent="0.15">
      <c r="A39" s="1024"/>
      <c r="B39" s="684" t="s">
        <v>274</v>
      </c>
      <c r="C39" s="733" t="s">
        <v>273</v>
      </c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732"/>
      <c r="P39" s="733" t="s">
        <v>272</v>
      </c>
      <c r="Q39" s="389"/>
      <c r="R39" s="732"/>
      <c r="S39" s="733" t="s">
        <v>271</v>
      </c>
      <c r="T39" s="732"/>
      <c r="U39" s="733" t="s">
        <v>256</v>
      </c>
      <c r="V39" s="389"/>
      <c r="W39" s="1027"/>
    </row>
    <row r="40" spans="1:23" s="387" customFormat="1" ht="52.5" customHeight="1" x14ac:dyDescent="0.15">
      <c r="A40" s="1025"/>
      <c r="B40" s="393" t="s">
        <v>977</v>
      </c>
      <c r="C40" s="735" t="s">
        <v>106</v>
      </c>
      <c r="D40" s="388" t="s">
        <v>263</v>
      </c>
      <c r="E40" s="388" t="s">
        <v>978</v>
      </c>
      <c r="F40" s="393" t="s">
        <v>979</v>
      </c>
      <c r="G40" s="388" t="s">
        <v>262</v>
      </c>
      <c r="H40" s="388" t="s">
        <v>260</v>
      </c>
      <c r="I40" s="388" t="s">
        <v>294</v>
      </c>
      <c r="J40" s="388" t="s">
        <v>732</v>
      </c>
      <c r="K40" s="388" t="s">
        <v>319</v>
      </c>
      <c r="L40" s="388" t="s">
        <v>259</v>
      </c>
      <c r="M40" s="388" t="s">
        <v>313</v>
      </c>
      <c r="N40" s="388" t="s">
        <v>641</v>
      </c>
      <c r="O40" s="388" t="s">
        <v>642</v>
      </c>
      <c r="P40" s="735" t="s">
        <v>980</v>
      </c>
      <c r="Q40" s="388" t="s">
        <v>981</v>
      </c>
      <c r="R40" s="388" t="s">
        <v>311</v>
      </c>
      <c r="S40" s="735" t="s">
        <v>982</v>
      </c>
      <c r="T40" s="388" t="s">
        <v>257</v>
      </c>
      <c r="U40" s="735" t="s">
        <v>983</v>
      </c>
      <c r="V40" s="392" t="s">
        <v>253</v>
      </c>
      <c r="W40" s="1028"/>
    </row>
    <row r="41" spans="1:23" s="376" customFormat="1" ht="9.75" customHeight="1" x14ac:dyDescent="0.15">
      <c r="A41" s="755" t="s">
        <v>838</v>
      </c>
      <c r="B41" s="386">
        <v>6106702</v>
      </c>
      <c r="C41" s="385">
        <v>2994489</v>
      </c>
      <c r="D41" s="385">
        <v>305491</v>
      </c>
      <c r="E41" s="385" t="s">
        <v>839</v>
      </c>
      <c r="F41" s="385">
        <v>279931</v>
      </c>
      <c r="G41" s="385" t="s">
        <v>839</v>
      </c>
      <c r="H41" s="385">
        <v>89484</v>
      </c>
      <c r="I41" s="385" t="s">
        <v>839</v>
      </c>
      <c r="J41" s="385" t="s">
        <v>839</v>
      </c>
      <c r="K41" s="385">
        <v>31</v>
      </c>
      <c r="L41" s="385">
        <v>2197537</v>
      </c>
      <c r="M41" s="385">
        <v>122015</v>
      </c>
      <c r="N41" s="385" t="s">
        <v>839</v>
      </c>
      <c r="O41" s="385" t="s">
        <v>839</v>
      </c>
      <c r="P41" s="385">
        <v>1236171</v>
      </c>
      <c r="Q41" s="385">
        <v>1104165</v>
      </c>
      <c r="R41" s="385">
        <v>132006</v>
      </c>
      <c r="S41" s="385">
        <v>391362</v>
      </c>
      <c r="T41" s="385">
        <v>391362</v>
      </c>
      <c r="U41" s="385">
        <v>482442</v>
      </c>
      <c r="V41" s="385">
        <v>159613</v>
      </c>
      <c r="W41" s="383" t="s">
        <v>457</v>
      </c>
    </row>
    <row r="42" spans="1:23" s="376" customFormat="1" ht="9.75" customHeight="1" x14ac:dyDescent="0.15">
      <c r="A42" s="756" t="s">
        <v>669</v>
      </c>
      <c r="B42" s="376">
        <v>5266192</v>
      </c>
      <c r="C42" s="376">
        <v>2301112</v>
      </c>
      <c r="D42" s="376">
        <v>421693</v>
      </c>
      <c r="E42" s="376" t="s">
        <v>839</v>
      </c>
      <c r="F42" s="376" t="s">
        <v>839</v>
      </c>
      <c r="G42" s="376" t="s">
        <v>839</v>
      </c>
      <c r="H42" s="376">
        <v>290240</v>
      </c>
      <c r="I42" s="376" t="s">
        <v>839</v>
      </c>
      <c r="J42" s="376" t="s">
        <v>839</v>
      </c>
      <c r="K42" s="376">
        <v>31</v>
      </c>
      <c r="L42" s="376">
        <v>1506894</v>
      </c>
      <c r="M42" s="376">
        <v>82254</v>
      </c>
      <c r="N42" s="376" t="s">
        <v>839</v>
      </c>
      <c r="O42" s="376" t="s">
        <v>839</v>
      </c>
      <c r="P42" s="376">
        <v>1804378</v>
      </c>
      <c r="Q42" s="376">
        <v>1504576</v>
      </c>
      <c r="R42" s="376">
        <v>299802</v>
      </c>
      <c r="S42" s="376">
        <v>506857</v>
      </c>
      <c r="T42" s="376">
        <v>506857</v>
      </c>
      <c r="U42" s="376">
        <v>505917</v>
      </c>
      <c r="V42" s="376">
        <v>345615</v>
      </c>
      <c r="W42" s="381" t="s">
        <v>512</v>
      </c>
    </row>
    <row r="43" spans="1:23" s="376" customFormat="1" ht="9.75" customHeight="1" x14ac:dyDescent="0.15">
      <c r="A43" s="756" t="s">
        <v>670</v>
      </c>
      <c r="B43" s="376">
        <v>4624661</v>
      </c>
      <c r="C43" s="376">
        <v>2013760</v>
      </c>
      <c r="D43" s="376">
        <v>332435</v>
      </c>
      <c r="E43" s="376" t="s">
        <v>839</v>
      </c>
      <c r="F43" s="376" t="s">
        <v>839</v>
      </c>
      <c r="G43" s="376">
        <v>2</v>
      </c>
      <c r="H43" s="376">
        <v>153215</v>
      </c>
      <c r="I43" s="376" t="s">
        <v>839</v>
      </c>
      <c r="J43" s="376" t="s">
        <v>839</v>
      </c>
      <c r="K43" s="376" t="s">
        <v>839</v>
      </c>
      <c r="L43" s="376">
        <v>1358524</v>
      </c>
      <c r="M43" s="376">
        <v>129163</v>
      </c>
      <c r="N43" s="376">
        <v>40421</v>
      </c>
      <c r="O43" s="376" t="s">
        <v>839</v>
      </c>
      <c r="P43" s="376">
        <v>2513447</v>
      </c>
      <c r="Q43" s="376">
        <v>2271347</v>
      </c>
      <c r="R43" s="376">
        <v>242100</v>
      </c>
      <c r="S43" s="376">
        <v>1027905</v>
      </c>
      <c r="T43" s="376">
        <v>1027905</v>
      </c>
      <c r="U43" s="376">
        <v>1180307</v>
      </c>
      <c r="V43" s="376">
        <v>500734</v>
      </c>
      <c r="W43" s="381" t="s">
        <v>620</v>
      </c>
    </row>
    <row r="44" spans="1:23" s="376" customFormat="1" ht="9.75" customHeight="1" x14ac:dyDescent="0.15">
      <c r="A44" s="756" t="s">
        <v>671</v>
      </c>
      <c r="B44" s="376">
        <v>5804822</v>
      </c>
      <c r="C44" s="376">
        <v>2006490</v>
      </c>
      <c r="D44" s="376">
        <v>100565</v>
      </c>
      <c r="E44" s="376" t="s">
        <v>839</v>
      </c>
      <c r="F44" s="376">
        <v>4787</v>
      </c>
      <c r="G44" s="376" t="s">
        <v>839</v>
      </c>
      <c r="H44" s="376">
        <v>853387</v>
      </c>
      <c r="I44" s="376">
        <v>34699</v>
      </c>
      <c r="J44" s="376">
        <v>45340</v>
      </c>
      <c r="K44" s="376" t="s">
        <v>839</v>
      </c>
      <c r="L44" s="376">
        <v>868769</v>
      </c>
      <c r="M44" s="376" t="s">
        <v>839</v>
      </c>
      <c r="N44" s="376" t="s">
        <v>839</v>
      </c>
      <c r="O44" s="376">
        <v>98943</v>
      </c>
      <c r="P44" s="376">
        <v>2584037</v>
      </c>
      <c r="Q44" s="376">
        <v>2584037</v>
      </c>
      <c r="R44" s="376" t="s">
        <v>839</v>
      </c>
      <c r="S44" s="376">
        <v>1257626</v>
      </c>
      <c r="T44" s="376">
        <v>1257626</v>
      </c>
      <c r="U44" s="376">
        <v>969199</v>
      </c>
      <c r="V44" s="376">
        <v>680446</v>
      </c>
      <c r="W44" s="381" t="s">
        <v>672</v>
      </c>
    </row>
    <row r="45" spans="1:23" s="376" customFormat="1" ht="9.75" customHeight="1" x14ac:dyDescent="0.15">
      <c r="A45" s="756" t="s">
        <v>840</v>
      </c>
      <c r="B45" s="376">
        <v>6490575</v>
      </c>
      <c r="C45" s="376">
        <v>1252125</v>
      </c>
      <c r="D45" s="376">
        <v>43547</v>
      </c>
      <c r="E45" s="376">
        <v>80648</v>
      </c>
      <c r="F45" s="376">
        <v>114982</v>
      </c>
      <c r="G45" s="376">
        <v>51372</v>
      </c>
      <c r="H45" s="376">
        <v>535178</v>
      </c>
      <c r="I45" s="376">
        <v>151378</v>
      </c>
      <c r="J45" s="376" t="s">
        <v>839</v>
      </c>
      <c r="K45" s="376" t="s">
        <v>839</v>
      </c>
      <c r="L45" s="376">
        <v>184554</v>
      </c>
      <c r="M45" s="376">
        <v>90466</v>
      </c>
      <c r="N45" s="376" t="s">
        <v>839</v>
      </c>
      <c r="O45" s="376" t="s">
        <v>839</v>
      </c>
      <c r="P45" s="376">
        <v>1284444</v>
      </c>
      <c r="Q45" s="376">
        <v>1284444</v>
      </c>
      <c r="R45" s="376" t="s">
        <v>839</v>
      </c>
      <c r="S45" s="376">
        <v>1279585</v>
      </c>
      <c r="T45" s="376">
        <v>1279585</v>
      </c>
      <c r="U45" s="376">
        <v>986716</v>
      </c>
      <c r="V45" s="376">
        <v>844447</v>
      </c>
      <c r="W45" s="381" t="s">
        <v>841</v>
      </c>
    </row>
    <row r="46" spans="1:23" s="376" customFormat="1" ht="6.75" customHeight="1" x14ac:dyDescent="0.15">
      <c r="A46" s="787"/>
      <c r="W46" s="381"/>
    </row>
    <row r="47" spans="1:23" s="376" customFormat="1" ht="9.75" customHeight="1" x14ac:dyDescent="0.15">
      <c r="A47" s="756" t="s">
        <v>842</v>
      </c>
      <c r="B47" s="376">
        <v>6158289</v>
      </c>
      <c r="C47" s="376">
        <v>2080868</v>
      </c>
      <c r="D47" s="376">
        <v>43547</v>
      </c>
      <c r="E47" s="376">
        <v>80648</v>
      </c>
      <c r="F47" s="376">
        <v>119541</v>
      </c>
      <c r="G47" s="376" t="s">
        <v>839</v>
      </c>
      <c r="H47" s="376">
        <v>901284</v>
      </c>
      <c r="I47" s="376">
        <v>34699</v>
      </c>
      <c r="J47" s="376">
        <v>45340</v>
      </c>
      <c r="K47" s="376" t="s">
        <v>839</v>
      </c>
      <c r="L47" s="376">
        <v>765343</v>
      </c>
      <c r="M47" s="376">
        <v>90466</v>
      </c>
      <c r="N47" s="376" t="s">
        <v>839</v>
      </c>
      <c r="O47" s="376" t="s">
        <v>839</v>
      </c>
      <c r="P47" s="376">
        <v>2105791</v>
      </c>
      <c r="Q47" s="376">
        <v>2105791</v>
      </c>
      <c r="R47" s="376" t="s">
        <v>839</v>
      </c>
      <c r="S47" s="376">
        <v>1360458</v>
      </c>
      <c r="T47" s="376">
        <v>1360458</v>
      </c>
      <c r="U47" s="376">
        <v>899820</v>
      </c>
      <c r="V47" s="376">
        <v>514622</v>
      </c>
      <c r="W47" s="381" t="s">
        <v>673</v>
      </c>
    </row>
    <row r="48" spans="1:23" s="376" customFormat="1" ht="9.75" customHeight="1" x14ac:dyDescent="0.15">
      <c r="A48" s="756" t="s">
        <v>843</v>
      </c>
      <c r="B48" s="376">
        <v>6518138</v>
      </c>
      <c r="C48" s="376">
        <v>743738</v>
      </c>
      <c r="D48" s="376" t="s">
        <v>839</v>
      </c>
      <c r="E48" s="376" t="s">
        <v>839</v>
      </c>
      <c r="F48" s="376">
        <v>252</v>
      </c>
      <c r="G48" s="376">
        <v>51372</v>
      </c>
      <c r="H48" s="376">
        <v>455937</v>
      </c>
      <c r="I48" s="376">
        <v>151378</v>
      </c>
      <c r="J48" s="376" t="s">
        <v>839</v>
      </c>
      <c r="K48" s="376" t="s">
        <v>839</v>
      </c>
      <c r="L48" s="376">
        <v>84799</v>
      </c>
      <c r="M48" s="376" t="s">
        <v>839</v>
      </c>
      <c r="N48" s="376" t="s">
        <v>839</v>
      </c>
      <c r="O48" s="376" t="s">
        <v>839</v>
      </c>
      <c r="P48" s="376">
        <v>861533</v>
      </c>
      <c r="Q48" s="376">
        <v>861533</v>
      </c>
      <c r="R48" s="376" t="s">
        <v>839</v>
      </c>
      <c r="S48" s="376">
        <v>1117357</v>
      </c>
      <c r="T48" s="376">
        <v>1117357</v>
      </c>
      <c r="U48" s="376">
        <v>1199057</v>
      </c>
      <c r="V48" s="376">
        <v>1153233</v>
      </c>
      <c r="W48" s="381" t="s">
        <v>844</v>
      </c>
    </row>
    <row r="49" spans="1:23" s="376" customFormat="1" ht="6.75" customHeight="1" x14ac:dyDescent="0.15">
      <c r="A49" s="787"/>
      <c r="W49" s="381"/>
    </row>
    <row r="50" spans="1:23" s="376" customFormat="1" ht="9.75" customHeight="1" x14ac:dyDescent="0.15">
      <c r="A50" s="756" t="s">
        <v>845</v>
      </c>
      <c r="B50" s="376">
        <v>1485031</v>
      </c>
      <c r="C50" s="376">
        <v>583050</v>
      </c>
      <c r="D50" s="376">
        <v>43547</v>
      </c>
      <c r="E50" s="376">
        <v>80648</v>
      </c>
      <c r="F50" s="376">
        <v>114754</v>
      </c>
      <c r="G50" s="376" t="s">
        <v>839</v>
      </c>
      <c r="H50" s="376">
        <v>153880</v>
      </c>
      <c r="I50" s="376" t="s">
        <v>839</v>
      </c>
      <c r="J50" s="376" t="s">
        <v>839</v>
      </c>
      <c r="K50" s="376" t="s">
        <v>839</v>
      </c>
      <c r="L50" s="376">
        <v>99755</v>
      </c>
      <c r="M50" s="376">
        <v>90466</v>
      </c>
      <c r="N50" s="376" t="s">
        <v>839</v>
      </c>
      <c r="O50" s="376" t="s">
        <v>839</v>
      </c>
      <c r="P50" s="376">
        <v>547133</v>
      </c>
      <c r="Q50" s="376">
        <v>547133</v>
      </c>
      <c r="R50" s="376" t="s">
        <v>839</v>
      </c>
      <c r="S50" s="376">
        <v>361992</v>
      </c>
      <c r="T50" s="376">
        <v>361992</v>
      </c>
      <c r="U50" s="376">
        <v>96445</v>
      </c>
      <c r="V50" s="376" t="s">
        <v>839</v>
      </c>
      <c r="W50" s="381" t="s">
        <v>677</v>
      </c>
    </row>
    <row r="51" spans="1:23" s="376" customFormat="1" ht="9.75" customHeight="1" x14ac:dyDescent="0.15">
      <c r="A51" s="756" t="s">
        <v>674</v>
      </c>
      <c r="B51" s="376">
        <v>1529485</v>
      </c>
      <c r="C51" s="376">
        <v>317709</v>
      </c>
      <c r="D51" s="376" t="s">
        <v>839</v>
      </c>
      <c r="E51" s="376" t="s">
        <v>839</v>
      </c>
      <c r="F51" s="376">
        <v>89</v>
      </c>
      <c r="G51" s="376" t="s">
        <v>839</v>
      </c>
      <c r="H51" s="376">
        <v>232821</v>
      </c>
      <c r="I51" s="376" t="s">
        <v>839</v>
      </c>
      <c r="J51" s="376" t="s">
        <v>839</v>
      </c>
      <c r="K51" s="376" t="s">
        <v>839</v>
      </c>
      <c r="L51" s="376">
        <v>84799</v>
      </c>
      <c r="M51" s="376" t="s">
        <v>839</v>
      </c>
      <c r="N51" s="376" t="s">
        <v>839</v>
      </c>
      <c r="O51" s="376" t="s">
        <v>839</v>
      </c>
      <c r="P51" s="376">
        <v>241024</v>
      </c>
      <c r="Q51" s="376">
        <v>241024</v>
      </c>
      <c r="R51" s="376" t="s">
        <v>839</v>
      </c>
      <c r="S51" s="376">
        <v>257634</v>
      </c>
      <c r="T51" s="376">
        <v>257634</v>
      </c>
      <c r="U51" s="376">
        <v>203111</v>
      </c>
      <c r="V51" s="376">
        <v>203111</v>
      </c>
      <c r="W51" s="381" t="s">
        <v>89</v>
      </c>
    </row>
    <row r="52" spans="1:23" s="376" customFormat="1" ht="9.75" customHeight="1" x14ac:dyDescent="0.15">
      <c r="A52" s="756" t="s">
        <v>675</v>
      </c>
      <c r="B52" s="376">
        <v>1817818</v>
      </c>
      <c r="C52" s="376">
        <v>163185</v>
      </c>
      <c r="D52" s="376" t="s">
        <v>839</v>
      </c>
      <c r="E52" s="376" t="s">
        <v>839</v>
      </c>
      <c r="F52" s="376">
        <v>70</v>
      </c>
      <c r="G52" s="376" t="s">
        <v>839</v>
      </c>
      <c r="H52" s="376">
        <v>73584</v>
      </c>
      <c r="I52" s="376">
        <v>89531</v>
      </c>
      <c r="J52" s="376" t="s">
        <v>839</v>
      </c>
      <c r="K52" s="376" t="s">
        <v>839</v>
      </c>
      <c r="L52" s="376" t="s">
        <v>839</v>
      </c>
      <c r="M52" s="376" t="s">
        <v>839</v>
      </c>
      <c r="N52" s="376" t="s">
        <v>839</v>
      </c>
      <c r="O52" s="376" t="s">
        <v>839</v>
      </c>
      <c r="P52" s="376">
        <v>200686</v>
      </c>
      <c r="Q52" s="376">
        <v>200686</v>
      </c>
      <c r="R52" s="376" t="s">
        <v>839</v>
      </c>
      <c r="S52" s="376">
        <v>304805</v>
      </c>
      <c r="T52" s="376">
        <v>304805</v>
      </c>
      <c r="U52" s="376">
        <v>176103</v>
      </c>
      <c r="V52" s="376">
        <v>176103</v>
      </c>
      <c r="W52" s="381" t="s">
        <v>90</v>
      </c>
    </row>
    <row r="53" spans="1:23" s="376" customFormat="1" ht="9.75" customHeight="1" x14ac:dyDescent="0.15">
      <c r="A53" s="756" t="s">
        <v>676</v>
      </c>
      <c r="B53" s="376">
        <v>1658241</v>
      </c>
      <c r="C53" s="376">
        <v>188181</v>
      </c>
      <c r="D53" s="376" t="s">
        <v>839</v>
      </c>
      <c r="E53" s="376" t="s">
        <v>839</v>
      </c>
      <c r="F53" s="376">
        <v>69</v>
      </c>
      <c r="G53" s="376">
        <v>51372</v>
      </c>
      <c r="H53" s="376">
        <v>74893</v>
      </c>
      <c r="I53" s="376">
        <v>61847</v>
      </c>
      <c r="J53" s="376" t="s">
        <v>839</v>
      </c>
      <c r="K53" s="376" t="s">
        <v>839</v>
      </c>
      <c r="L53" s="376" t="s">
        <v>839</v>
      </c>
      <c r="M53" s="376" t="s">
        <v>839</v>
      </c>
      <c r="N53" s="376" t="s">
        <v>839</v>
      </c>
      <c r="O53" s="376" t="s">
        <v>839</v>
      </c>
      <c r="P53" s="376">
        <v>295601</v>
      </c>
      <c r="Q53" s="376">
        <v>295601</v>
      </c>
      <c r="R53" s="376" t="s">
        <v>839</v>
      </c>
      <c r="S53" s="376">
        <v>355154</v>
      </c>
      <c r="T53" s="376">
        <v>355154</v>
      </c>
      <c r="U53" s="376">
        <v>511057</v>
      </c>
      <c r="V53" s="376">
        <v>465233</v>
      </c>
      <c r="W53" s="381" t="s">
        <v>91</v>
      </c>
    </row>
    <row r="54" spans="1:23" s="376" customFormat="1" ht="9.75" customHeight="1" x14ac:dyDescent="0.15">
      <c r="A54" s="756" t="s">
        <v>846</v>
      </c>
      <c r="B54" s="376">
        <v>1512594</v>
      </c>
      <c r="C54" s="376">
        <v>74663</v>
      </c>
      <c r="D54" s="376" t="s">
        <v>839</v>
      </c>
      <c r="E54" s="376" t="s">
        <v>839</v>
      </c>
      <c r="F54" s="376">
        <v>24</v>
      </c>
      <c r="G54" s="376" t="s">
        <v>839</v>
      </c>
      <c r="H54" s="376">
        <v>74639</v>
      </c>
      <c r="I54" s="376" t="s">
        <v>839</v>
      </c>
      <c r="J54" s="376" t="s">
        <v>839</v>
      </c>
      <c r="K54" s="376" t="s">
        <v>839</v>
      </c>
      <c r="L54" s="376" t="s">
        <v>839</v>
      </c>
      <c r="M54" s="376" t="s">
        <v>839</v>
      </c>
      <c r="N54" s="376" t="s">
        <v>839</v>
      </c>
      <c r="O54" s="376" t="s">
        <v>839</v>
      </c>
      <c r="P54" s="376">
        <v>124222</v>
      </c>
      <c r="Q54" s="376">
        <v>124222</v>
      </c>
      <c r="R54" s="376" t="s">
        <v>839</v>
      </c>
      <c r="S54" s="376">
        <v>199764</v>
      </c>
      <c r="T54" s="376">
        <v>199764</v>
      </c>
      <c r="U54" s="376">
        <v>308786</v>
      </c>
      <c r="V54" s="376">
        <v>308786</v>
      </c>
      <c r="W54" s="381" t="s">
        <v>847</v>
      </c>
    </row>
    <row r="55" spans="1:23" s="376" customFormat="1" ht="6.75" customHeight="1" x14ac:dyDescent="0.15">
      <c r="A55" s="787"/>
      <c r="W55" s="381"/>
    </row>
    <row r="56" spans="1:23" s="376" customFormat="1" ht="9.75" customHeight="1" x14ac:dyDescent="0.15">
      <c r="A56" s="756" t="s">
        <v>848</v>
      </c>
      <c r="B56" s="376">
        <v>516293</v>
      </c>
      <c r="C56" s="376">
        <v>254027</v>
      </c>
      <c r="D56" s="376" t="s">
        <v>839</v>
      </c>
      <c r="E56" s="376" t="s">
        <v>839</v>
      </c>
      <c r="F56" s="376">
        <v>114731</v>
      </c>
      <c r="G56" s="376" t="s">
        <v>839</v>
      </c>
      <c r="H56" s="376">
        <v>79751</v>
      </c>
      <c r="I56" s="376" t="s">
        <v>839</v>
      </c>
      <c r="J56" s="376" t="s">
        <v>839</v>
      </c>
      <c r="K56" s="376" t="s">
        <v>839</v>
      </c>
      <c r="L56" s="376">
        <v>59545</v>
      </c>
      <c r="M56" s="376" t="s">
        <v>839</v>
      </c>
      <c r="N56" s="376" t="s">
        <v>839</v>
      </c>
      <c r="O56" s="376" t="s">
        <v>839</v>
      </c>
      <c r="P56" s="376">
        <v>316754</v>
      </c>
      <c r="Q56" s="376">
        <v>316754</v>
      </c>
      <c r="R56" s="376" t="s">
        <v>839</v>
      </c>
      <c r="S56" s="376">
        <v>154149</v>
      </c>
      <c r="T56" s="376">
        <v>154149</v>
      </c>
      <c r="U56" s="376">
        <v>96445</v>
      </c>
      <c r="V56" s="376" t="s">
        <v>839</v>
      </c>
      <c r="W56" s="381" t="s">
        <v>689</v>
      </c>
    </row>
    <row r="57" spans="1:23" s="376" customFormat="1" ht="9.75" customHeight="1" x14ac:dyDescent="0.15">
      <c r="A57" s="756" t="s">
        <v>678</v>
      </c>
      <c r="B57" s="376">
        <v>613871</v>
      </c>
      <c r="C57" s="376">
        <v>83780</v>
      </c>
      <c r="D57" s="376">
        <v>43547</v>
      </c>
      <c r="E57" s="376" t="s">
        <v>839</v>
      </c>
      <c r="F57" s="376">
        <v>23</v>
      </c>
      <c r="G57" s="376" t="s">
        <v>839</v>
      </c>
      <c r="H57" s="376" t="s">
        <v>839</v>
      </c>
      <c r="I57" s="376" t="s">
        <v>839</v>
      </c>
      <c r="J57" s="376" t="s">
        <v>839</v>
      </c>
      <c r="K57" s="376" t="s">
        <v>839</v>
      </c>
      <c r="L57" s="376">
        <v>40210</v>
      </c>
      <c r="M57" s="376" t="s">
        <v>839</v>
      </c>
      <c r="N57" s="376" t="s">
        <v>839</v>
      </c>
      <c r="O57" s="376" t="s">
        <v>839</v>
      </c>
      <c r="P57" s="376">
        <v>186321</v>
      </c>
      <c r="Q57" s="376">
        <v>186321</v>
      </c>
      <c r="R57" s="376" t="s">
        <v>839</v>
      </c>
      <c r="S57" s="376">
        <v>104404</v>
      </c>
      <c r="T57" s="376">
        <v>104404</v>
      </c>
      <c r="U57" s="376" t="s">
        <v>839</v>
      </c>
      <c r="V57" s="376" t="s">
        <v>839</v>
      </c>
      <c r="W57" s="381" t="s">
        <v>77</v>
      </c>
    </row>
    <row r="58" spans="1:23" s="376" customFormat="1" ht="9.75" customHeight="1" x14ac:dyDescent="0.15">
      <c r="A58" s="756" t="s">
        <v>679</v>
      </c>
      <c r="B58" s="376">
        <v>354867</v>
      </c>
      <c r="C58" s="376">
        <v>245243</v>
      </c>
      <c r="D58" s="376" t="s">
        <v>839</v>
      </c>
      <c r="E58" s="376">
        <v>80648</v>
      </c>
      <c r="F58" s="376" t="s">
        <v>839</v>
      </c>
      <c r="G58" s="376" t="s">
        <v>839</v>
      </c>
      <c r="H58" s="376">
        <v>74129</v>
      </c>
      <c r="I58" s="376" t="s">
        <v>839</v>
      </c>
      <c r="J58" s="376" t="s">
        <v>839</v>
      </c>
      <c r="K58" s="376" t="s">
        <v>839</v>
      </c>
      <c r="L58" s="376" t="s">
        <v>839</v>
      </c>
      <c r="M58" s="376">
        <v>90466</v>
      </c>
      <c r="N58" s="376" t="s">
        <v>839</v>
      </c>
      <c r="O58" s="376" t="s">
        <v>839</v>
      </c>
      <c r="P58" s="376">
        <v>44058</v>
      </c>
      <c r="Q58" s="376">
        <v>44058</v>
      </c>
      <c r="R58" s="376" t="s">
        <v>839</v>
      </c>
      <c r="S58" s="376">
        <v>103439</v>
      </c>
      <c r="T58" s="376">
        <v>103439</v>
      </c>
      <c r="U58" s="376" t="s">
        <v>839</v>
      </c>
      <c r="V58" s="376" t="s">
        <v>839</v>
      </c>
      <c r="W58" s="381" t="s">
        <v>78</v>
      </c>
    </row>
    <row r="59" spans="1:23" s="376" customFormat="1" ht="9.75" customHeight="1" x14ac:dyDescent="0.15">
      <c r="A59" s="756" t="s">
        <v>680</v>
      </c>
      <c r="B59" s="376">
        <v>208709</v>
      </c>
      <c r="C59" s="376">
        <v>240802</v>
      </c>
      <c r="D59" s="376" t="s">
        <v>839</v>
      </c>
      <c r="E59" s="376" t="s">
        <v>839</v>
      </c>
      <c r="F59" s="376" t="s">
        <v>839</v>
      </c>
      <c r="G59" s="376" t="s">
        <v>839</v>
      </c>
      <c r="H59" s="376">
        <v>156003</v>
      </c>
      <c r="I59" s="376" t="s">
        <v>839</v>
      </c>
      <c r="J59" s="376" t="s">
        <v>839</v>
      </c>
      <c r="K59" s="376" t="s">
        <v>839</v>
      </c>
      <c r="L59" s="376">
        <v>84799</v>
      </c>
      <c r="M59" s="376" t="s">
        <v>839</v>
      </c>
      <c r="N59" s="376" t="s">
        <v>839</v>
      </c>
      <c r="O59" s="376" t="s">
        <v>839</v>
      </c>
      <c r="P59" s="376">
        <v>90533</v>
      </c>
      <c r="Q59" s="376">
        <v>90533</v>
      </c>
      <c r="R59" s="376" t="s">
        <v>839</v>
      </c>
      <c r="S59" s="376">
        <v>50572</v>
      </c>
      <c r="T59" s="376">
        <v>50572</v>
      </c>
      <c r="U59" s="376">
        <v>105002</v>
      </c>
      <c r="V59" s="376">
        <v>105002</v>
      </c>
      <c r="W59" s="381" t="s">
        <v>79</v>
      </c>
    </row>
    <row r="60" spans="1:23" s="376" customFormat="1" ht="9.75" customHeight="1" x14ac:dyDescent="0.15">
      <c r="A60" s="756" t="s">
        <v>681</v>
      </c>
      <c r="B60" s="376">
        <v>877224</v>
      </c>
      <c r="C60" s="376">
        <v>14947</v>
      </c>
      <c r="D60" s="376" t="s">
        <v>839</v>
      </c>
      <c r="E60" s="376" t="s">
        <v>839</v>
      </c>
      <c r="F60" s="376">
        <v>67</v>
      </c>
      <c r="G60" s="376" t="s">
        <v>839</v>
      </c>
      <c r="H60" s="376">
        <v>14880</v>
      </c>
      <c r="I60" s="376" t="s">
        <v>839</v>
      </c>
      <c r="J60" s="376" t="s">
        <v>839</v>
      </c>
      <c r="K60" s="376" t="s">
        <v>839</v>
      </c>
      <c r="L60" s="376" t="s">
        <v>839</v>
      </c>
      <c r="M60" s="376" t="s">
        <v>839</v>
      </c>
      <c r="N60" s="376" t="s">
        <v>839</v>
      </c>
      <c r="O60" s="376" t="s">
        <v>839</v>
      </c>
      <c r="P60" s="376">
        <v>59228</v>
      </c>
      <c r="Q60" s="376">
        <v>59228</v>
      </c>
      <c r="R60" s="376" t="s">
        <v>839</v>
      </c>
      <c r="S60" s="376">
        <v>103364</v>
      </c>
      <c r="T60" s="376">
        <v>103364</v>
      </c>
      <c r="U60" s="376">
        <v>32400</v>
      </c>
      <c r="V60" s="376">
        <v>32400</v>
      </c>
      <c r="W60" s="381" t="s">
        <v>92</v>
      </c>
    </row>
    <row r="61" spans="1:23" s="376" customFormat="1" ht="9.75" customHeight="1" x14ac:dyDescent="0.15">
      <c r="A61" s="756" t="s">
        <v>682</v>
      </c>
      <c r="B61" s="376">
        <v>443552</v>
      </c>
      <c r="C61" s="376">
        <v>61960</v>
      </c>
      <c r="D61" s="376" t="s">
        <v>839</v>
      </c>
      <c r="E61" s="376" t="s">
        <v>839</v>
      </c>
      <c r="F61" s="376">
        <v>22</v>
      </c>
      <c r="G61" s="376" t="s">
        <v>839</v>
      </c>
      <c r="H61" s="376">
        <v>61938</v>
      </c>
      <c r="I61" s="376" t="s">
        <v>839</v>
      </c>
      <c r="J61" s="376" t="s">
        <v>839</v>
      </c>
      <c r="K61" s="376" t="s">
        <v>839</v>
      </c>
      <c r="L61" s="376" t="s">
        <v>839</v>
      </c>
      <c r="M61" s="376" t="s">
        <v>839</v>
      </c>
      <c r="N61" s="376" t="s">
        <v>839</v>
      </c>
      <c r="O61" s="376" t="s">
        <v>839</v>
      </c>
      <c r="P61" s="376">
        <v>91263</v>
      </c>
      <c r="Q61" s="376">
        <v>91263</v>
      </c>
      <c r="R61" s="376" t="s">
        <v>839</v>
      </c>
      <c r="S61" s="376">
        <v>103698</v>
      </c>
      <c r="T61" s="376">
        <v>103698</v>
      </c>
      <c r="U61" s="376">
        <v>65709</v>
      </c>
      <c r="V61" s="376">
        <v>65709</v>
      </c>
      <c r="W61" s="381" t="s">
        <v>93</v>
      </c>
    </row>
    <row r="62" spans="1:23" s="376" customFormat="1" ht="9.75" customHeight="1" x14ac:dyDescent="0.15">
      <c r="A62" s="756" t="s">
        <v>683</v>
      </c>
      <c r="B62" s="376">
        <v>604028</v>
      </c>
      <c r="C62" s="376">
        <v>23</v>
      </c>
      <c r="D62" s="376" t="s">
        <v>839</v>
      </c>
      <c r="E62" s="376" t="s">
        <v>839</v>
      </c>
      <c r="F62" s="376">
        <v>23</v>
      </c>
      <c r="G62" s="376" t="s">
        <v>839</v>
      </c>
      <c r="H62" s="376" t="s">
        <v>839</v>
      </c>
      <c r="I62" s="376" t="s">
        <v>839</v>
      </c>
      <c r="J62" s="376" t="s">
        <v>839</v>
      </c>
      <c r="K62" s="376" t="s">
        <v>839</v>
      </c>
      <c r="L62" s="376" t="s">
        <v>839</v>
      </c>
      <c r="M62" s="376" t="s">
        <v>839</v>
      </c>
      <c r="N62" s="376" t="s">
        <v>839</v>
      </c>
      <c r="O62" s="376" t="s">
        <v>839</v>
      </c>
      <c r="P62" s="376">
        <v>52377</v>
      </c>
      <c r="Q62" s="376">
        <v>52377</v>
      </c>
      <c r="R62" s="376" t="s">
        <v>839</v>
      </c>
      <c r="S62" s="376">
        <v>99925</v>
      </c>
      <c r="T62" s="376">
        <v>99925</v>
      </c>
      <c r="U62" s="376">
        <v>134555</v>
      </c>
      <c r="V62" s="376">
        <v>134555</v>
      </c>
      <c r="W62" s="381" t="s">
        <v>94</v>
      </c>
    </row>
    <row r="63" spans="1:23" s="376" customFormat="1" ht="9.75" customHeight="1" x14ac:dyDescent="0.15">
      <c r="A63" s="756" t="s">
        <v>684</v>
      </c>
      <c r="B63" s="376">
        <v>578588</v>
      </c>
      <c r="C63" s="376">
        <v>66883</v>
      </c>
      <c r="D63" s="376" t="s">
        <v>839</v>
      </c>
      <c r="E63" s="376" t="s">
        <v>839</v>
      </c>
      <c r="F63" s="376">
        <v>47</v>
      </c>
      <c r="G63" s="376" t="s">
        <v>839</v>
      </c>
      <c r="H63" s="376" t="s">
        <v>839</v>
      </c>
      <c r="I63" s="376">
        <v>66836</v>
      </c>
      <c r="J63" s="376" t="s">
        <v>839</v>
      </c>
      <c r="K63" s="376" t="s">
        <v>839</v>
      </c>
      <c r="L63" s="376" t="s">
        <v>839</v>
      </c>
      <c r="M63" s="376" t="s">
        <v>839</v>
      </c>
      <c r="N63" s="376" t="s">
        <v>839</v>
      </c>
      <c r="O63" s="376" t="s">
        <v>839</v>
      </c>
      <c r="P63" s="376">
        <v>83094</v>
      </c>
      <c r="Q63" s="376">
        <v>83094</v>
      </c>
      <c r="R63" s="376" t="s">
        <v>839</v>
      </c>
      <c r="S63" s="376">
        <v>156332</v>
      </c>
      <c r="T63" s="376">
        <v>156332</v>
      </c>
      <c r="U63" s="376" t="s">
        <v>839</v>
      </c>
      <c r="V63" s="376" t="s">
        <v>839</v>
      </c>
      <c r="W63" s="381" t="s">
        <v>95</v>
      </c>
    </row>
    <row r="64" spans="1:23" s="376" customFormat="1" ht="9.75" customHeight="1" x14ac:dyDescent="0.15">
      <c r="A64" s="756" t="s">
        <v>685</v>
      </c>
      <c r="B64" s="376">
        <v>635202</v>
      </c>
      <c r="C64" s="376">
        <v>96279</v>
      </c>
      <c r="D64" s="376" t="s">
        <v>839</v>
      </c>
      <c r="E64" s="376" t="s">
        <v>839</v>
      </c>
      <c r="F64" s="376" t="s">
        <v>839</v>
      </c>
      <c r="G64" s="376" t="s">
        <v>839</v>
      </c>
      <c r="H64" s="376">
        <v>73584</v>
      </c>
      <c r="I64" s="376">
        <v>22695</v>
      </c>
      <c r="J64" s="376" t="s">
        <v>839</v>
      </c>
      <c r="K64" s="376" t="s">
        <v>839</v>
      </c>
      <c r="L64" s="376" t="s">
        <v>839</v>
      </c>
      <c r="M64" s="376" t="s">
        <v>839</v>
      </c>
      <c r="N64" s="376" t="s">
        <v>839</v>
      </c>
      <c r="O64" s="376" t="s">
        <v>839</v>
      </c>
      <c r="P64" s="376">
        <v>65215</v>
      </c>
      <c r="Q64" s="376">
        <v>65215</v>
      </c>
      <c r="R64" s="376" t="s">
        <v>839</v>
      </c>
      <c r="S64" s="376">
        <v>48548</v>
      </c>
      <c r="T64" s="376">
        <v>48548</v>
      </c>
      <c r="U64" s="376">
        <v>41548</v>
      </c>
      <c r="V64" s="376">
        <v>41548</v>
      </c>
      <c r="W64" s="381" t="s">
        <v>96</v>
      </c>
    </row>
    <row r="65" spans="1:23" s="376" customFormat="1" ht="9.75" customHeight="1" x14ac:dyDescent="0.15">
      <c r="A65" s="756" t="s">
        <v>686</v>
      </c>
      <c r="B65" s="376">
        <v>806977</v>
      </c>
      <c r="C65" s="376">
        <v>110738</v>
      </c>
      <c r="D65" s="376" t="s">
        <v>839</v>
      </c>
      <c r="E65" s="376" t="s">
        <v>839</v>
      </c>
      <c r="F65" s="376" t="s">
        <v>839</v>
      </c>
      <c r="G65" s="376" t="s">
        <v>839</v>
      </c>
      <c r="H65" s="376">
        <v>51968</v>
      </c>
      <c r="I65" s="376">
        <v>58770</v>
      </c>
      <c r="J65" s="376" t="s">
        <v>839</v>
      </c>
      <c r="K65" s="376" t="s">
        <v>839</v>
      </c>
      <c r="L65" s="376" t="s">
        <v>839</v>
      </c>
      <c r="M65" s="376" t="s">
        <v>839</v>
      </c>
      <c r="N65" s="376" t="s">
        <v>839</v>
      </c>
      <c r="O65" s="376" t="s">
        <v>839</v>
      </c>
      <c r="P65" s="376" t="s">
        <v>839</v>
      </c>
      <c r="Q65" s="376" t="s">
        <v>839</v>
      </c>
      <c r="R65" s="376" t="s">
        <v>839</v>
      </c>
      <c r="S65" s="376">
        <v>98462</v>
      </c>
      <c r="T65" s="376">
        <v>98462</v>
      </c>
      <c r="U65" s="376">
        <v>118950</v>
      </c>
      <c r="V65" s="376">
        <v>118950</v>
      </c>
      <c r="W65" s="381" t="s">
        <v>80</v>
      </c>
    </row>
    <row r="66" spans="1:23" s="376" customFormat="1" ht="9.75" customHeight="1" x14ac:dyDescent="0.15">
      <c r="A66" s="756" t="s">
        <v>687</v>
      </c>
      <c r="B66" s="376">
        <v>264878</v>
      </c>
      <c r="C66" s="376">
        <v>26048</v>
      </c>
      <c r="D66" s="376" t="s">
        <v>839</v>
      </c>
      <c r="E66" s="376" t="s">
        <v>839</v>
      </c>
      <c r="F66" s="376">
        <v>46</v>
      </c>
      <c r="G66" s="376" t="s">
        <v>839</v>
      </c>
      <c r="H66" s="376">
        <v>22925</v>
      </c>
      <c r="I66" s="376">
        <v>3077</v>
      </c>
      <c r="J66" s="376" t="s">
        <v>839</v>
      </c>
      <c r="K66" s="376" t="s">
        <v>839</v>
      </c>
      <c r="L66" s="376" t="s">
        <v>839</v>
      </c>
      <c r="M66" s="376" t="s">
        <v>839</v>
      </c>
      <c r="N66" s="376" t="s">
        <v>839</v>
      </c>
      <c r="O66" s="376" t="s">
        <v>839</v>
      </c>
      <c r="P66" s="376">
        <v>154375</v>
      </c>
      <c r="Q66" s="376">
        <v>154375</v>
      </c>
      <c r="R66" s="376" t="s">
        <v>839</v>
      </c>
      <c r="S66" s="376">
        <v>148471</v>
      </c>
      <c r="T66" s="376">
        <v>148471</v>
      </c>
      <c r="U66" s="376">
        <v>181073</v>
      </c>
      <c r="V66" s="376">
        <v>135249</v>
      </c>
      <c r="W66" s="381" t="s">
        <v>81</v>
      </c>
    </row>
    <row r="67" spans="1:23" s="376" customFormat="1" ht="9.75" customHeight="1" x14ac:dyDescent="0.15">
      <c r="A67" s="756" t="s">
        <v>688</v>
      </c>
      <c r="B67" s="376">
        <v>586386</v>
      </c>
      <c r="C67" s="376">
        <v>51395</v>
      </c>
      <c r="D67" s="376" t="s">
        <v>839</v>
      </c>
      <c r="E67" s="376" t="s">
        <v>839</v>
      </c>
      <c r="F67" s="376">
        <v>23</v>
      </c>
      <c r="G67" s="376">
        <v>51372</v>
      </c>
      <c r="H67" s="376" t="s">
        <v>839</v>
      </c>
      <c r="I67" s="376" t="s">
        <v>839</v>
      </c>
      <c r="J67" s="376" t="s">
        <v>839</v>
      </c>
      <c r="K67" s="376" t="s">
        <v>839</v>
      </c>
      <c r="L67" s="376" t="s">
        <v>839</v>
      </c>
      <c r="M67" s="376" t="s">
        <v>839</v>
      </c>
      <c r="N67" s="376" t="s">
        <v>839</v>
      </c>
      <c r="O67" s="376" t="s">
        <v>839</v>
      </c>
      <c r="P67" s="376">
        <v>141226</v>
      </c>
      <c r="Q67" s="376">
        <v>141226</v>
      </c>
      <c r="R67" s="376" t="s">
        <v>839</v>
      </c>
      <c r="S67" s="376">
        <v>108221</v>
      </c>
      <c r="T67" s="376">
        <v>108221</v>
      </c>
      <c r="U67" s="376">
        <v>211034</v>
      </c>
      <c r="V67" s="376">
        <v>211034</v>
      </c>
      <c r="W67" s="381" t="s">
        <v>82</v>
      </c>
    </row>
    <row r="68" spans="1:23" s="376" customFormat="1" ht="9.75" customHeight="1" x14ac:dyDescent="0.15">
      <c r="A68" s="756" t="s">
        <v>849</v>
      </c>
      <c r="B68" s="376">
        <v>711414</v>
      </c>
      <c r="C68" s="376">
        <v>74663</v>
      </c>
      <c r="D68" s="376" t="s">
        <v>839</v>
      </c>
      <c r="E68" s="376" t="s">
        <v>839</v>
      </c>
      <c r="F68" s="376">
        <v>24</v>
      </c>
      <c r="G68" s="376" t="s">
        <v>839</v>
      </c>
      <c r="H68" s="376">
        <v>74639</v>
      </c>
      <c r="I68" s="376" t="s">
        <v>839</v>
      </c>
      <c r="J68" s="376" t="s">
        <v>839</v>
      </c>
      <c r="K68" s="376" t="s">
        <v>839</v>
      </c>
      <c r="L68" s="376" t="s">
        <v>839</v>
      </c>
      <c r="M68" s="376" t="s">
        <v>839</v>
      </c>
      <c r="N68" s="376" t="s">
        <v>839</v>
      </c>
      <c r="O68" s="376" t="s">
        <v>839</v>
      </c>
      <c r="P68" s="376">
        <v>124222</v>
      </c>
      <c r="Q68" s="376">
        <v>124222</v>
      </c>
      <c r="R68" s="376" t="s">
        <v>839</v>
      </c>
      <c r="S68" s="376" t="s">
        <v>839</v>
      </c>
      <c r="T68" s="376" t="s">
        <v>839</v>
      </c>
      <c r="U68" s="376">
        <v>49577</v>
      </c>
      <c r="V68" s="376">
        <v>49577</v>
      </c>
      <c r="W68" s="381" t="s">
        <v>850</v>
      </c>
    </row>
    <row r="69" spans="1:23" s="376" customFormat="1" ht="9.75" customHeight="1" x14ac:dyDescent="0.15">
      <c r="A69" s="756" t="s">
        <v>690</v>
      </c>
      <c r="B69" s="376">
        <v>343798</v>
      </c>
      <c r="C69" s="376" t="s">
        <v>839</v>
      </c>
      <c r="D69" s="376" t="s">
        <v>839</v>
      </c>
      <c r="E69" s="376" t="s">
        <v>839</v>
      </c>
      <c r="F69" s="376" t="s">
        <v>839</v>
      </c>
      <c r="G69" s="376" t="s">
        <v>839</v>
      </c>
      <c r="H69" s="376" t="s">
        <v>839</v>
      </c>
      <c r="I69" s="376" t="s">
        <v>839</v>
      </c>
      <c r="J69" s="376" t="s">
        <v>839</v>
      </c>
      <c r="K69" s="376" t="s">
        <v>839</v>
      </c>
      <c r="L69" s="376" t="s">
        <v>839</v>
      </c>
      <c r="M69" s="376" t="s">
        <v>839</v>
      </c>
      <c r="N69" s="376" t="s">
        <v>839</v>
      </c>
      <c r="O69" s="376" t="s">
        <v>839</v>
      </c>
      <c r="P69" s="376" t="s">
        <v>839</v>
      </c>
      <c r="Q69" s="376" t="s">
        <v>839</v>
      </c>
      <c r="R69" s="376" t="s">
        <v>839</v>
      </c>
      <c r="S69" s="376">
        <v>102379</v>
      </c>
      <c r="T69" s="376">
        <v>102379</v>
      </c>
      <c r="U69" s="376">
        <v>172523</v>
      </c>
      <c r="V69" s="376">
        <v>172523</v>
      </c>
      <c r="W69" s="381" t="s">
        <v>77</v>
      </c>
    </row>
    <row r="70" spans="1:23" s="376" customFormat="1" ht="9.75" customHeight="1" x14ac:dyDescent="0.15">
      <c r="A70" s="757" t="s">
        <v>691</v>
      </c>
      <c r="B70" s="380">
        <v>457382</v>
      </c>
      <c r="C70" s="379" t="s">
        <v>839</v>
      </c>
      <c r="D70" s="379" t="s">
        <v>839</v>
      </c>
      <c r="E70" s="379" t="s">
        <v>839</v>
      </c>
      <c r="F70" s="379" t="s">
        <v>839</v>
      </c>
      <c r="G70" s="379" t="s">
        <v>839</v>
      </c>
      <c r="H70" s="379" t="s">
        <v>839</v>
      </c>
      <c r="I70" s="379" t="s">
        <v>839</v>
      </c>
      <c r="J70" s="379" t="s">
        <v>839</v>
      </c>
      <c r="K70" s="379" t="s">
        <v>839</v>
      </c>
      <c r="L70" s="379" t="s">
        <v>839</v>
      </c>
      <c r="M70" s="379" t="s">
        <v>839</v>
      </c>
      <c r="N70" s="379" t="s">
        <v>839</v>
      </c>
      <c r="O70" s="379" t="s">
        <v>839</v>
      </c>
      <c r="P70" s="379" t="s">
        <v>839</v>
      </c>
      <c r="Q70" s="379" t="s">
        <v>839</v>
      </c>
      <c r="R70" s="379" t="s">
        <v>839</v>
      </c>
      <c r="S70" s="379">
        <v>97385</v>
      </c>
      <c r="T70" s="379">
        <v>97385</v>
      </c>
      <c r="U70" s="379">
        <v>86686</v>
      </c>
      <c r="V70" s="379">
        <v>86686</v>
      </c>
      <c r="W70" s="377" t="s">
        <v>78</v>
      </c>
    </row>
    <row r="71" spans="1:23" ht="12" customHeight="1" x14ac:dyDescent="0.15"/>
    <row r="72" spans="1:23" ht="12" customHeight="1" x14ac:dyDescent="0.15"/>
    <row r="73" spans="1:23" ht="12" customHeight="1" x14ac:dyDescent="0.15">
      <c r="K73" s="391" t="s">
        <v>97</v>
      </c>
      <c r="V73" s="394" t="s">
        <v>984</v>
      </c>
    </row>
    <row r="74" spans="1:23" s="387" customFormat="1" ht="21" customHeight="1" x14ac:dyDescent="0.15">
      <c r="A74" s="1023" t="s">
        <v>185</v>
      </c>
      <c r="B74" s="390" t="s">
        <v>324</v>
      </c>
      <c r="C74" s="389"/>
      <c r="D74" s="389"/>
      <c r="E74" s="389"/>
      <c r="F74" s="389"/>
      <c r="G74" s="389"/>
      <c r="H74" s="732"/>
      <c r="I74" s="733" t="s">
        <v>323</v>
      </c>
      <c r="J74" s="389"/>
      <c r="K74" s="389"/>
      <c r="L74" s="389"/>
      <c r="M74" s="389"/>
      <c r="N74" s="389"/>
      <c r="O74" s="389"/>
      <c r="P74" s="389"/>
      <c r="Q74" s="389"/>
      <c r="R74" s="389"/>
      <c r="S74" s="732"/>
      <c r="T74" s="733" t="s">
        <v>322</v>
      </c>
      <c r="U74" s="389"/>
      <c r="V74" s="389"/>
      <c r="W74" s="1026" t="s">
        <v>83</v>
      </c>
    </row>
    <row r="75" spans="1:23" s="387" customFormat="1" ht="21" customHeight="1" x14ac:dyDescent="0.15">
      <c r="A75" s="1024"/>
      <c r="B75" s="390" t="s">
        <v>308</v>
      </c>
      <c r="C75" s="389"/>
      <c r="D75" s="389"/>
      <c r="E75" s="732"/>
      <c r="F75" s="733" t="s">
        <v>255</v>
      </c>
      <c r="G75" s="389"/>
      <c r="H75" s="732"/>
      <c r="I75" s="1029" t="s">
        <v>321</v>
      </c>
      <c r="J75" s="733" t="s">
        <v>279</v>
      </c>
      <c r="K75" s="389"/>
      <c r="L75" s="389"/>
      <c r="M75" s="389"/>
      <c r="N75" s="389"/>
      <c r="O75" s="732"/>
      <c r="P75" s="733" t="s">
        <v>273</v>
      </c>
      <c r="Q75" s="732"/>
      <c r="R75" s="733" t="s">
        <v>272</v>
      </c>
      <c r="S75" s="732"/>
      <c r="T75" s="1029" t="s">
        <v>320</v>
      </c>
      <c r="U75" s="733" t="s">
        <v>279</v>
      </c>
      <c r="V75" s="389"/>
      <c r="W75" s="1027"/>
    </row>
    <row r="76" spans="1:23" s="387" customFormat="1" ht="52.5" customHeight="1" x14ac:dyDescent="0.15">
      <c r="A76" s="1025"/>
      <c r="B76" s="388" t="s">
        <v>252</v>
      </c>
      <c r="C76" s="388" t="s">
        <v>251</v>
      </c>
      <c r="D76" s="388" t="s">
        <v>448</v>
      </c>
      <c r="E76" s="388" t="s">
        <v>985</v>
      </c>
      <c r="F76" s="735" t="s">
        <v>986</v>
      </c>
      <c r="G76" s="388" t="s">
        <v>250</v>
      </c>
      <c r="H76" s="388" t="s">
        <v>987</v>
      </c>
      <c r="I76" s="1030"/>
      <c r="J76" s="735" t="s">
        <v>975</v>
      </c>
      <c r="K76" s="388" t="s">
        <v>270</v>
      </c>
      <c r="L76" s="388" t="s">
        <v>976</v>
      </c>
      <c r="M76" s="388" t="s">
        <v>269</v>
      </c>
      <c r="N76" s="388" t="s">
        <v>268</v>
      </c>
      <c r="O76" s="393" t="s">
        <v>977</v>
      </c>
      <c r="P76" s="735" t="s">
        <v>106</v>
      </c>
      <c r="Q76" s="388" t="s">
        <v>319</v>
      </c>
      <c r="R76" s="735" t="s">
        <v>980</v>
      </c>
      <c r="S76" s="388" t="s">
        <v>258</v>
      </c>
      <c r="T76" s="1030"/>
      <c r="U76" s="735" t="s">
        <v>975</v>
      </c>
      <c r="V76" s="392" t="s">
        <v>270</v>
      </c>
      <c r="W76" s="1028"/>
    </row>
    <row r="77" spans="1:23" s="376" customFormat="1" ht="9.75" customHeight="1" x14ac:dyDescent="0.15">
      <c r="A77" s="755" t="s">
        <v>838</v>
      </c>
      <c r="B77" s="386">
        <v>273089</v>
      </c>
      <c r="C77" s="385" t="s">
        <v>839</v>
      </c>
      <c r="D77" s="385">
        <v>8663</v>
      </c>
      <c r="E77" s="385">
        <v>41077</v>
      </c>
      <c r="F77" s="385">
        <v>452312</v>
      </c>
      <c r="G77" s="385">
        <v>204021</v>
      </c>
      <c r="H77" s="385">
        <v>248291</v>
      </c>
      <c r="I77" s="385">
        <v>2092508</v>
      </c>
      <c r="J77" s="385">
        <v>2092218</v>
      </c>
      <c r="K77" s="385">
        <v>1847870</v>
      </c>
      <c r="L77" s="385">
        <v>151597</v>
      </c>
      <c r="M77" s="385">
        <v>92751</v>
      </c>
      <c r="N77" s="385" t="s">
        <v>839</v>
      </c>
      <c r="O77" s="385" t="s">
        <v>839</v>
      </c>
      <c r="P77" s="385">
        <v>31</v>
      </c>
      <c r="Q77" s="385">
        <v>31</v>
      </c>
      <c r="R77" s="385">
        <v>259</v>
      </c>
      <c r="S77" s="385">
        <v>259</v>
      </c>
      <c r="T77" s="385">
        <v>28329187</v>
      </c>
      <c r="U77" s="385">
        <v>23018009</v>
      </c>
      <c r="V77" s="385">
        <v>3574650</v>
      </c>
      <c r="W77" s="383" t="s">
        <v>457</v>
      </c>
    </row>
    <row r="78" spans="1:23" s="376" customFormat="1" ht="9.75" customHeight="1" x14ac:dyDescent="0.15">
      <c r="A78" s="756" t="s">
        <v>669</v>
      </c>
      <c r="B78" s="376">
        <v>148543</v>
      </c>
      <c r="C78" s="376" t="s">
        <v>839</v>
      </c>
      <c r="D78" s="376" t="s">
        <v>839</v>
      </c>
      <c r="E78" s="376">
        <v>11759</v>
      </c>
      <c r="F78" s="376">
        <v>826696</v>
      </c>
      <c r="G78" s="376">
        <v>599225</v>
      </c>
      <c r="H78" s="376">
        <v>227471</v>
      </c>
      <c r="I78" s="376">
        <v>2306235</v>
      </c>
      <c r="J78" s="376">
        <v>2305992</v>
      </c>
      <c r="K78" s="376">
        <v>1859917</v>
      </c>
      <c r="L78" s="376">
        <v>357496</v>
      </c>
      <c r="M78" s="376">
        <v>88175</v>
      </c>
      <c r="N78" s="376" t="s">
        <v>839</v>
      </c>
      <c r="O78" s="376">
        <v>404</v>
      </c>
      <c r="P78" s="376">
        <v>31</v>
      </c>
      <c r="Q78" s="376">
        <v>31</v>
      </c>
      <c r="R78" s="376">
        <v>212</v>
      </c>
      <c r="S78" s="376">
        <v>212</v>
      </c>
      <c r="T78" s="376">
        <v>25968884</v>
      </c>
      <c r="U78" s="376">
        <v>20078695</v>
      </c>
      <c r="V78" s="376">
        <v>3372253</v>
      </c>
      <c r="W78" s="381" t="s">
        <v>512</v>
      </c>
    </row>
    <row r="79" spans="1:23" s="376" customFormat="1" ht="9.75" customHeight="1" x14ac:dyDescent="0.15">
      <c r="A79" s="756" t="s">
        <v>670</v>
      </c>
      <c r="B79" s="376">
        <v>638148</v>
      </c>
      <c r="C79" s="376">
        <v>41425</v>
      </c>
      <c r="D79" s="376" t="s">
        <v>839</v>
      </c>
      <c r="E79" s="376" t="s">
        <v>839</v>
      </c>
      <c r="F79" s="376">
        <v>1013359</v>
      </c>
      <c r="G79" s="376">
        <v>614950</v>
      </c>
      <c r="H79" s="376">
        <v>398409</v>
      </c>
      <c r="I79" s="376">
        <v>3127198</v>
      </c>
      <c r="J79" s="376">
        <v>3077701</v>
      </c>
      <c r="K79" s="376">
        <v>2446721</v>
      </c>
      <c r="L79" s="376">
        <v>389872</v>
      </c>
      <c r="M79" s="376">
        <v>193125</v>
      </c>
      <c r="N79" s="376" t="s">
        <v>839</v>
      </c>
      <c r="O79" s="376">
        <v>47983</v>
      </c>
      <c r="P79" s="376" t="s">
        <v>839</v>
      </c>
      <c r="Q79" s="376" t="s">
        <v>839</v>
      </c>
      <c r="R79" s="376">
        <v>49497</v>
      </c>
      <c r="S79" s="376">
        <v>49497</v>
      </c>
      <c r="T79" s="376">
        <v>27977796</v>
      </c>
      <c r="U79" s="376">
        <v>20364650</v>
      </c>
      <c r="V79" s="376">
        <v>2905201</v>
      </c>
      <c r="W79" s="381" t="s">
        <v>620</v>
      </c>
    </row>
    <row r="80" spans="1:23" s="376" customFormat="1" ht="9.75" customHeight="1" x14ac:dyDescent="0.15">
      <c r="A80" s="756" t="s">
        <v>671</v>
      </c>
      <c r="B80" s="376">
        <v>288753</v>
      </c>
      <c r="C80" s="376" t="s">
        <v>839</v>
      </c>
      <c r="D80" s="376" t="s">
        <v>839</v>
      </c>
      <c r="E80" s="376" t="s">
        <v>839</v>
      </c>
      <c r="F80" s="376">
        <v>1331381</v>
      </c>
      <c r="G80" s="376">
        <v>706988</v>
      </c>
      <c r="H80" s="376">
        <v>624393</v>
      </c>
      <c r="I80" s="376">
        <v>2926721</v>
      </c>
      <c r="J80" s="376">
        <v>2897605</v>
      </c>
      <c r="K80" s="376">
        <v>2153681</v>
      </c>
      <c r="L80" s="376">
        <v>468571</v>
      </c>
      <c r="M80" s="376">
        <v>134555</v>
      </c>
      <c r="N80" s="376">
        <v>140798</v>
      </c>
      <c r="O80" s="376" t="s">
        <v>839</v>
      </c>
      <c r="P80" s="376" t="s">
        <v>839</v>
      </c>
      <c r="Q80" s="376" t="s">
        <v>839</v>
      </c>
      <c r="R80" s="376">
        <v>29116</v>
      </c>
      <c r="S80" s="376">
        <v>29116</v>
      </c>
      <c r="T80" s="376">
        <v>30646454</v>
      </c>
      <c r="U80" s="376">
        <v>22526998</v>
      </c>
      <c r="V80" s="376">
        <v>2645622</v>
      </c>
      <c r="W80" s="381" t="s">
        <v>672</v>
      </c>
    </row>
    <row r="81" spans="1:23" s="376" customFormat="1" ht="9.75" customHeight="1" x14ac:dyDescent="0.15">
      <c r="A81" s="756" t="s">
        <v>840</v>
      </c>
      <c r="B81" s="376">
        <v>142269</v>
      </c>
      <c r="C81" s="376" t="s">
        <v>839</v>
      </c>
      <c r="D81" s="376" t="s">
        <v>839</v>
      </c>
      <c r="E81" s="376" t="s">
        <v>839</v>
      </c>
      <c r="F81" s="376">
        <v>729170</v>
      </c>
      <c r="G81" s="376">
        <v>437527</v>
      </c>
      <c r="H81" s="376">
        <v>291643</v>
      </c>
      <c r="I81" s="376">
        <v>2339243</v>
      </c>
      <c r="J81" s="376">
        <v>2339151</v>
      </c>
      <c r="K81" s="376">
        <v>2107354</v>
      </c>
      <c r="L81" s="376">
        <v>36591</v>
      </c>
      <c r="M81" s="376">
        <v>63301</v>
      </c>
      <c r="N81" s="376">
        <v>131905</v>
      </c>
      <c r="O81" s="376" t="s">
        <v>839</v>
      </c>
      <c r="P81" s="376" t="s">
        <v>839</v>
      </c>
      <c r="Q81" s="376" t="s">
        <v>839</v>
      </c>
      <c r="R81" s="376">
        <v>92</v>
      </c>
      <c r="S81" s="376">
        <v>92</v>
      </c>
      <c r="T81" s="376">
        <v>25844993</v>
      </c>
      <c r="U81" s="376">
        <v>20313327</v>
      </c>
      <c r="V81" s="376">
        <v>2089167</v>
      </c>
      <c r="W81" s="381" t="s">
        <v>841</v>
      </c>
    </row>
    <row r="82" spans="1:23" s="376" customFormat="1" ht="6.75" customHeight="1" x14ac:dyDescent="0.15">
      <c r="A82" s="787"/>
      <c r="W82" s="381"/>
    </row>
    <row r="83" spans="1:23" s="376" customFormat="1" ht="9.75" customHeight="1" x14ac:dyDescent="0.15">
      <c r="A83" s="756" t="s">
        <v>842</v>
      </c>
      <c r="B83" s="376">
        <v>385198</v>
      </c>
      <c r="C83" s="376" t="s">
        <v>839</v>
      </c>
      <c r="D83" s="376" t="s">
        <v>839</v>
      </c>
      <c r="E83" s="376" t="s">
        <v>839</v>
      </c>
      <c r="F83" s="376">
        <v>1189761</v>
      </c>
      <c r="G83" s="376">
        <v>604514</v>
      </c>
      <c r="H83" s="376">
        <v>585247</v>
      </c>
      <c r="I83" s="376">
        <v>2800701</v>
      </c>
      <c r="J83" s="376">
        <v>2800586</v>
      </c>
      <c r="K83" s="376">
        <v>2143129</v>
      </c>
      <c r="L83" s="376">
        <v>382104</v>
      </c>
      <c r="M83" s="376">
        <v>134555</v>
      </c>
      <c r="N83" s="376">
        <v>140798</v>
      </c>
      <c r="O83" s="376" t="s">
        <v>839</v>
      </c>
      <c r="P83" s="376" t="s">
        <v>839</v>
      </c>
      <c r="Q83" s="376" t="s">
        <v>839</v>
      </c>
      <c r="R83" s="376">
        <v>115</v>
      </c>
      <c r="S83" s="376">
        <v>115</v>
      </c>
      <c r="T83" s="376">
        <v>29351002</v>
      </c>
      <c r="U83" s="376">
        <v>21714603</v>
      </c>
      <c r="V83" s="376">
        <v>2264135</v>
      </c>
      <c r="W83" s="381" t="s">
        <v>673</v>
      </c>
    </row>
    <row r="84" spans="1:23" s="376" customFormat="1" ht="9.75" customHeight="1" x14ac:dyDescent="0.15">
      <c r="A84" s="756" t="s">
        <v>843</v>
      </c>
      <c r="B84" s="376">
        <v>45824</v>
      </c>
      <c r="C84" s="376" t="s">
        <v>839</v>
      </c>
      <c r="D84" s="376" t="s">
        <v>839</v>
      </c>
      <c r="E84" s="376" t="s">
        <v>839</v>
      </c>
      <c r="F84" s="376">
        <v>680939</v>
      </c>
      <c r="G84" s="376">
        <v>468353</v>
      </c>
      <c r="H84" s="376">
        <v>212586</v>
      </c>
      <c r="I84" s="376">
        <v>2361452</v>
      </c>
      <c r="J84" s="376">
        <v>2361383</v>
      </c>
      <c r="K84" s="376">
        <v>2129586</v>
      </c>
      <c r="L84" s="376">
        <v>36591</v>
      </c>
      <c r="M84" s="376">
        <v>63301</v>
      </c>
      <c r="N84" s="376">
        <v>131905</v>
      </c>
      <c r="O84" s="376" t="s">
        <v>839</v>
      </c>
      <c r="P84" s="376" t="s">
        <v>839</v>
      </c>
      <c r="Q84" s="376" t="s">
        <v>839</v>
      </c>
      <c r="R84" s="376">
        <v>69</v>
      </c>
      <c r="S84" s="376">
        <v>69</v>
      </c>
      <c r="T84" s="376">
        <v>25867500</v>
      </c>
      <c r="U84" s="376">
        <v>21265228</v>
      </c>
      <c r="V84" s="376">
        <v>2379544</v>
      </c>
      <c r="W84" s="381" t="s">
        <v>844</v>
      </c>
    </row>
    <row r="85" spans="1:23" s="376" customFormat="1" ht="6.75" customHeight="1" x14ac:dyDescent="0.15">
      <c r="A85" s="787"/>
      <c r="W85" s="381"/>
    </row>
    <row r="86" spans="1:23" s="376" customFormat="1" ht="9.75" customHeight="1" x14ac:dyDescent="0.15">
      <c r="A86" s="756" t="s">
        <v>845</v>
      </c>
      <c r="B86" s="376">
        <v>96445</v>
      </c>
      <c r="C86" s="376" t="s">
        <v>839</v>
      </c>
      <c r="D86" s="376" t="s">
        <v>839</v>
      </c>
      <c r="E86" s="376" t="s">
        <v>839</v>
      </c>
      <c r="F86" s="376">
        <v>180295</v>
      </c>
      <c r="G86" s="376">
        <v>101238</v>
      </c>
      <c r="H86" s="376">
        <v>79057</v>
      </c>
      <c r="I86" s="376">
        <v>307888</v>
      </c>
      <c r="J86" s="376">
        <v>307865</v>
      </c>
      <c r="K86" s="376">
        <v>307865</v>
      </c>
      <c r="L86" s="376" t="s">
        <v>839</v>
      </c>
      <c r="M86" s="376" t="s">
        <v>839</v>
      </c>
      <c r="N86" s="376" t="s">
        <v>839</v>
      </c>
      <c r="O86" s="376" t="s">
        <v>839</v>
      </c>
      <c r="P86" s="376" t="s">
        <v>839</v>
      </c>
      <c r="Q86" s="376" t="s">
        <v>839</v>
      </c>
      <c r="R86" s="376">
        <v>23</v>
      </c>
      <c r="S86" s="376">
        <v>23</v>
      </c>
      <c r="T86" s="376">
        <v>6166293</v>
      </c>
      <c r="U86" s="376">
        <v>4397424</v>
      </c>
      <c r="V86" s="376">
        <v>234721</v>
      </c>
      <c r="W86" s="381" t="s">
        <v>677</v>
      </c>
    </row>
    <row r="87" spans="1:23" s="376" customFormat="1" ht="9.75" customHeight="1" x14ac:dyDescent="0.15">
      <c r="A87" s="756" t="s">
        <v>674</v>
      </c>
      <c r="B87" s="376" t="s">
        <v>839</v>
      </c>
      <c r="C87" s="376" t="s">
        <v>839</v>
      </c>
      <c r="D87" s="376" t="s">
        <v>839</v>
      </c>
      <c r="E87" s="376" t="s">
        <v>839</v>
      </c>
      <c r="F87" s="376">
        <v>152027</v>
      </c>
      <c r="G87" s="376">
        <v>79541</v>
      </c>
      <c r="H87" s="376">
        <v>72486</v>
      </c>
      <c r="I87" s="376">
        <v>595083</v>
      </c>
      <c r="J87" s="376">
        <v>595060</v>
      </c>
      <c r="K87" s="376">
        <v>546076</v>
      </c>
      <c r="L87" s="376" t="s">
        <v>839</v>
      </c>
      <c r="M87" s="376" t="s">
        <v>839</v>
      </c>
      <c r="N87" s="376">
        <v>48984</v>
      </c>
      <c r="O87" s="376" t="s">
        <v>839</v>
      </c>
      <c r="P87" s="376" t="s">
        <v>839</v>
      </c>
      <c r="Q87" s="376" t="s">
        <v>839</v>
      </c>
      <c r="R87" s="376">
        <v>23</v>
      </c>
      <c r="S87" s="376">
        <v>23</v>
      </c>
      <c r="T87" s="376">
        <v>6139027</v>
      </c>
      <c r="U87" s="376">
        <v>4967634</v>
      </c>
      <c r="V87" s="376">
        <v>420716</v>
      </c>
      <c r="W87" s="381" t="s">
        <v>89</v>
      </c>
    </row>
    <row r="88" spans="1:23" s="376" customFormat="1" ht="9.75" customHeight="1" x14ac:dyDescent="0.15">
      <c r="A88" s="756" t="s">
        <v>675</v>
      </c>
      <c r="B88" s="376" t="s">
        <v>839</v>
      </c>
      <c r="C88" s="376" t="s">
        <v>839</v>
      </c>
      <c r="D88" s="376" t="s">
        <v>839</v>
      </c>
      <c r="E88" s="376" t="s">
        <v>839</v>
      </c>
      <c r="F88" s="376">
        <v>164500</v>
      </c>
      <c r="G88" s="376">
        <v>105311</v>
      </c>
      <c r="H88" s="376">
        <v>59189</v>
      </c>
      <c r="I88" s="376">
        <v>747008</v>
      </c>
      <c r="J88" s="376">
        <v>746985</v>
      </c>
      <c r="K88" s="376">
        <v>600763</v>
      </c>
      <c r="L88" s="376" t="s">
        <v>839</v>
      </c>
      <c r="M88" s="376">
        <v>63301</v>
      </c>
      <c r="N88" s="376">
        <v>82921</v>
      </c>
      <c r="O88" s="376" t="s">
        <v>839</v>
      </c>
      <c r="P88" s="376" t="s">
        <v>839</v>
      </c>
      <c r="Q88" s="376" t="s">
        <v>839</v>
      </c>
      <c r="R88" s="376">
        <v>23</v>
      </c>
      <c r="S88" s="376">
        <v>23</v>
      </c>
      <c r="T88" s="376">
        <v>6735444</v>
      </c>
      <c r="U88" s="376">
        <v>5726258</v>
      </c>
      <c r="V88" s="376">
        <v>822549</v>
      </c>
      <c r="W88" s="381" t="s">
        <v>90</v>
      </c>
    </row>
    <row r="89" spans="1:23" s="376" customFormat="1" ht="9.75" customHeight="1" x14ac:dyDescent="0.15">
      <c r="A89" s="756" t="s">
        <v>676</v>
      </c>
      <c r="B89" s="376">
        <v>45824</v>
      </c>
      <c r="C89" s="376" t="s">
        <v>839</v>
      </c>
      <c r="D89" s="376" t="s">
        <v>839</v>
      </c>
      <c r="E89" s="376" t="s">
        <v>839</v>
      </c>
      <c r="F89" s="376">
        <v>232348</v>
      </c>
      <c r="G89" s="376">
        <v>151437</v>
      </c>
      <c r="H89" s="376">
        <v>80911</v>
      </c>
      <c r="I89" s="376">
        <v>689264</v>
      </c>
      <c r="J89" s="376">
        <v>689241</v>
      </c>
      <c r="K89" s="376">
        <v>652650</v>
      </c>
      <c r="L89" s="376">
        <v>36591</v>
      </c>
      <c r="M89" s="376" t="s">
        <v>839</v>
      </c>
      <c r="N89" s="376" t="s">
        <v>839</v>
      </c>
      <c r="O89" s="376" t="s">
        <v>839</v>
      </c>
      <c r="P89" s="376" t="s">
        <v>839</v>
      </c>
      <c r="Q89" s="376" t="s">
        <v>839</v>
      </c>
      <c r="R89" s="376">
        <v>23</v>
      </c>
      <c r="S89" s="376">
        <v>23</v>
      </c>
      <c r="T89" s="376">
        <v>6804229</v>
      </c>
      <c r="U89" s="376">
        <v>5222011</v>
      </c>
      <c r="V89" s="376">
        <v>611181</v>
      </c>
      <c r="W89" s="381" t="s">
        <v>91</v>
      </c>
    </row>
    <row r="90" spans="1:23" s="376" customFormat="1" ht="9.75" customHeight="1" x14ac:dyDescent="0.15">
      <c r="A90" s="756" t="s">
        <v>846</v>
      </c>
      <c r="B90" s="376" t="s">
        <v>839</v>
      </c>
      <c r="C90" s="376" t="s">
        <v>839</v>
      </c>
      <c r="D90" s="376" t="s">
        <v>839</v>
      </c>
      <c r="E90" s="376" t="s">
        <v>839</v>
      </c>
      <c r="F90" s="376">
        <v>132064</v>
      </c>
      <c r="G90" s="376">
        <v>132064</v>
      </c>
      <c r="H90" s="376" t="s">
        <v>839</v>
      </c>
      <c r="I90" s="376">
        <v>330097</v>
      </c>
      <c r="J90" s="376">
        <v>330097</v>
      </c>
      <c r="K90" s="376">
        <v>330097</v>
      </c>
      <c r="L90" s="376" t="s">
        <v>839</v>
      </c>
      <c r="M90" s="376" t="s">
        <v>839</v>
      </c>
      <c r="N90" s="376" t="s">
        <v>839</v>
      </c>
      <c r="O90" s="376" t="s">
        <v>839</v>
      </c>
      <c r="P90" s="376" t="s">
        <v>839</v>
      </c>
      <c r="Q90" s="376" t="s">
        <v>839</v>
      </c>
      <c r="R90" s="376" t="s">
        <v>839</v>
      </c>
      <c r="S90" s="376" t="s">
        <v>839</v>
      </c>
      <c r="T90" s="376">
        <v>6188800</v>
      </c>
      <c r="U90" s="376">
        <v>5349325</v>
      </c>
      <c r="V90" s="376">
        <v>525098</v>
      </c>
      <c r="W90" s="381" t="s">
        <v>847</v>
      </c>
    </row>
    <row r="91" spans="1:23" s="376" customFormat="1" ht="6.75" customHeight="1" x14ac:dyDescent="0.15">
      <c r="A91" s="787"/>
      <c r="W91" s="381"/>
    </row>
    <row r="92" spans="1:23" s="376" customFormat="1" ht="9.75" customHeight="1" x14ac:dyDescent="0.15">
      <c r="A92" s="756" t="s">
        <v>848</v>
      </c>
      <c r="B92" s="376">
        <v>96445</v>
      </c>
      <c r="C92" s="376" t="s">
        <v>839</v>
      </c>
      <c r="D92" s="376" t="s">
        <v>839</v>
      </c>
      <c r="E92" s="376" t="s">
        <v>839</v>
      </c>
      <c r="F92" s="376">
        <v>79372</v>
      </c>
      <c r="G92" s="376">
        <v>50976</v>
      </c>
      <c r="H92" s="376">
        <v>28396</v>
      </c>
      <c r="I92" s="376">
        <v>120003</v>
      </c>
      <c r="J92" s="376">
        <v>120003</v>
      </c>
      <c r="K92" s="376">
        <v>120003</v>
      </c>
      <c r="L92" s="376" t="s">
        <v>839</v>
      </c>
      <c r="M92" s="376" t="s">
        <v>839</v>
      </c>
      <c r="N92" s="376" t="s">
        <v>839</v>
      </c>
      <c r="O92" s="376" t="s">
        <v>839</v>
      </c>
      <c r="P92" s="376" t="s">
        <v>839</v>
      </c>
      <c r="Q92" s="376" t="s">
        <v>839</v>
      </c>
      <c r="R92" s="376" t="s">
        <v>839</v>
      </c>
      <c r="S92" s="376" t="s">
        <v>839</v>
      </c>
      <c r="T92" s="376">
        <v>2558776</v>
      </c>
      <c r="U92" s="376">
        <v>1658029</v>
      </c>
      <c r="V92" s="376">
        <v>48654</v>
      </c>
      <c r="W92" s="381" t="s">
        <v>689</v>
      </c>
    </row>
    <row r="93" spans="1:23" s="376" customFormat="1" ht="9.75" customHeight="1" x14ac:dyDescent="0.15">
      <c r="A93" s="756" t="s">
        <v>678</v>
      </c>
      <c r="B93" s="376" t="s">
        <v>839</v>
      </c>
      <c r="C93" s="376" t="s">
        <v>839</v>
      </c>
      <c r="D93" s="376" t="s">
        <v>839</v>
      </c>
      <c r="E93" s="376" t="s">
        <v>839</v>
      </c>
      <c r="F93" s="376">
        <v>59715</v>
      </c>
      <c r="G93" s="376">
        <v>50262</v>
      </c>
      <c r="H93" s="376">
        <v>9453</v>
      </c>
      <c r="I93" s="376">
        <v>126904</v>
      </c>
      <c r="J93" s="376">
        <v>126881</v>
      </c>
      <c r="K93" s="376">
        <v>126881</v>
      </c>
      <c r="L93" s="376" t="s">
        <v>839</v>
      </c>
      <c r="M93" s="376" t="s">
        <v>839</v>
      </c>
      <c r="N93" s="376" t="s">
        <v>839</v>
      </c>
      <c r="O93" s="376" t="s">
        <v>839</v>
      </c>
      <c r="P93" s="376" t="s">
        <v>839</v>
      </c>
      <c r="Q93" s="376" t="s">
        <v>839</v>
      </c>
      <c r="R93" s="376">
        <v>23</v>
      </c>
      <c r="S93" s="376">
        <v>23</v>
      </c>
      <c r="T93" s="376">
        <v>1866632</v>
      </c>
      <c r="U93" s="376">
        <v>1432458</v>
      </c>
      <c r="V93" s="376">
        <v>87061</v>
      </c>
      <c r="W93" s="381" t="s">
        <v>77</v>
      </c>
    </row>
    <row r="94" spans="1:23" s="376" customFormat="1" ht="9.75" customHeight="1" x14ac:dyDescent="0.15">
      <c r="A94" s="756" t="s">
        <v>679</v>
      </c>
      <c r="B94" s="376" t="s">
        <v>839</v>
      </c>
      <c r="C94" s="376" t="s">
        <v>839</v>
      </c>
      <c r="D94" s="376" t="s">
        <v>839</v>
      </c>
      <c r="E94" s="376" t="s">
        <v>839</v>
      </c>
      <c r="F94" s="376">
        <v>41208</v>
      </c>
      <c r="G94" s="376" t="s">
        <v>839</v>
      </c>
      <c r="H94" s="376">
        <v>41208</v>
      </c>
      <c r="I94" s="376">
        <v>60981</v>
      </c>
      <c r="J94" s="376">
        <v>60981</v>
      </c>
      <c r="K94" s="376">
        <v>60981</v>
      </c>
      <c r="L94" s="376" t="s">
        <v>839</v>
      </c>
      <c r="M94" s="376" t="s">
        <v>839</v>
      </c>
      <c r="N94" s="376" t="s">
        <v>839</v>
      </c>
      <c r="O94" s="376" t="s">
        <v>839</v>
      </c>
      <c r="P94" s="376" t="s">
        <v>839</v>
      </c>
      <c r="Q94" s="376" t="s">
        <v>839</v>
      </c>
      <c r="R94" s="376" t="s">
        <v>839</v>
      </c>
      <c r="S94" s="376" t="s">
        <v>839</v>
      </c>
      <c r="T94" s="376">
        <v>1740885</v>
      </c>
      <c r="U94" s="376">
        <v>1306937</v>
      </c>
      <c r="V94" s="376">
        <v>99006</v>
      </c>
      <c r="W94" s="381" t="s">
        <v>78</v>
      </c>
    </row>
    <row r="95" spans="1:23" s="376" customFormat="1" ht="9.75" customHeight="1" x14ac:dyDescent="0.15">
      <c r="A95" s="756" t="s">
        <v>680</v>
      </c>
      <c r="B95" s="376" t="s">
        <v>839</v>
      </c>
      <c r="C95" s="376" t="s">
        <v>839</v>
      </c>
      <c r="D95" s="376" t="s">
        <v>839</v>
      </c>
      <c r="E95" s="376" t="s">
        <v>839</v>
      </c>
      <c r="F95" s="376">
        <v>100732</v>
      </c>
      <c r="G95" s="376">
        <v>51860</v>
      </c>
      <c r="H95" s="376">
        <v>48872</v>
      </c>
      <c r="I95" s="376">
        <v>240117</v>
      </c>
      <c r="J95" s="376">
        <v>240117</v>
      </c>
      <c r="K95" s="376">
        <v>191133</v>
      </c>
      <c r="L95" s="376" t="s">
        <v>839</v>
      </c>
      <c r="M95" s="376" t="s">
        <v>839</v>
      </c>
      <c r="N95" s="376">
        <v>48984</v>
      </c>
      <c r="O95" s="376" t="s">
        <v>839</v>
      </c>
      <c r="P95" s="376" t="s">
        <v>839</v>
      </c>
      <c r="Q95" s="376" t="s">
        <v>839</v>
      </c>
      <c r="R95" s="376" t="s">
        <v>839</v>
      </c>
      <c r="S95" s="376" t="s">
        <v>839</v>
      </c>
      <c r="T95" s="376">
        <v>1913601</v>
      </c>
      <c r="U95" s="376">
        <v>1325960</v>
      </c>
      <c r="V95" s="376">
        <v>176895</v>
      </c>
      <c r="W95" s="381" t="s">
        <v>79</v>
      </c>
    </row>
    <row r="96" spans="1:23" s="376" customFormat="1" ht="9.75" customHeight="1" x14ac:dyDescent="0.15">
      <c r="A96" s="756" t="s">
        <v>681</v>
      </c>
      <c r="B96" s="376" t="s">
        <v>839</v>
      </c>
      <c r="C96" s="376" t="s">
        <v>839</v>
      </c>
      <c r="D96" s="376" t="s">
        <v>839</v>
      </c>
      <c r="E96" s="376" t="s">
        <v>839</v>
      </c>
      <c r="F96" s="376">
        <v>27681</v>
      </c>
      <c r="G96" s="376">
        <v>27681</v>
      </c>
      <c r="H96" s="376" t="s">
        <v>839</v>
      </c>
      <c r="I96" s="376">
        <v>227023</v>
      </c>
      <c r="J96" s="376">
        <v>227023</v>
      </c>
      <c r="K96" s="376">
        <v>227023</v>
      </c>
      <c r="L96" s="376" t="s">
        <v>839</v>
      </c>
      <c r="M96" s="376" t="s">
        <v>839</v>
      </c>
      <c r="N96" s="376" t="s">
        <v>839</v>
      </c>
      <c r="O96" s="376" t="s">
        <v>839</v>
      </c>
      <c r="P96" s="376" t="s">
        <v>839</v>
      </c>
      <c r="Q96" s="376" t="s">
        <v>839</v>
      </c>
      <c r="R96" s="376" t="s">
        <v>839</v>
      </c>
      <c r="S96" s="376" t="s">
        <v>839</v>
      </c>
      <c r="T96" s="376">
        <v>2062887</v>
      </c>
      <c r="U96" s="376">
        <v>1825334</v>
      </c>
      <c r="V96" s="376">
        <v>181531</v>
      </c>
      <c r="W96" s="381" t="s">
        <v>92</v>
      </c>
    </row>
    <row r="97" spans="1:23" s="376" customFormat="1" ht="9.75" customHeight="1" x14ac:dyDescent="0.15">
      <c r="A97" s="756" t="s">
        <v>682</v>
      </c>
      <c r="B97" s="376" t="s">
        <v>839</v>
      </c>
      <c r="C97" s="376" t="s">
        <v>839</v>
      </c>
      <c r="D97" s="376" t="s">
        <v>839</v>
      </c>
      <c r="E97" s="376" t="s">
        <v>839</v>
      </c>
      <c r="F97" s="376">
        <v>23614</v>
      </c>
      <c r="G97" s="376" t="s">
        <v>839</v>
      </c>
      <c r="H97" s="376">
        <v>23614</v>
      </c>
      <c r="I97" s="376">
        <v>127943</v>
      </c>
      <c r="J97" s="376">
        <v>127920</v>
      </c>
      <c r="K97" s="376">
        <v>127920</v>
      </c>
      <c r="L97" s="376" t="s">
        <v>839</v>
      </c>
      <c r="M97" s="376" t="s">
        <v>839</v>
      </c>
      <c r="N97" s="376" t="s">
        <v>839</v>
      </c>
      <c r="O97" s="376" t="s">
        <v>839</v>
      </c>
      <c r="P97" s="376" t="s">
        <v>839</v>
      </c>
      <c r="Q97" s="376" t="s">
        <v>839</v>
      </c>
      <c r="R97" s="376">
        <v>23</v>
      </c>
      <c r="S97" s="376">
        <v>23</v>
      </c>
      <c r="T97" s="376">
        <v>2162539</v>
      </c>
      <c r="U97" s="376">
        <v>1816340</v>
      </c>
      <c r="V97" s="376">
        <v>62290</v>
      </c>
      <c r="W97" s="381" t="s">
        <v>93</v>
      </c>
    </row>
    <row r="98" spans="1:23" s="376" customFormat="1" ht="9.75" customHeight="1" x14ac:dyDescent="0.15">
      <c r="A98" s="756" t="s">
        <v>683</v>
      </c>
      <c r="B98" s="376" t="s">
        <v>839</v>
      </c>
      <c r="C98" s="376" t="s">
        <v>839</v>
      </c>
      <c r="D98" s="376" t="s">
        <v>839</v>
      </c>
      <c r="E98" s="376" t="s">
        <v>839</v>
      </c>
      <c r="F98" s="376">
        <v>79929</v>
      </c>
      <c r="G98" s="376">
        <v>52774</v>
      </c>
      <c r="H98" s="376">
        <v>27155</v>
      </c>
      <c r="I98" s="376">
        <v>138766</v>
      </c>
      <c r="J98" s="376">
        <v>138766</v>
      </c>
      <c r="K98" s="376">
        <v>138766</v>
      </c>
      <c r="L98" s="376" t="s">
        <v>839</v>
      </c>
      <c r="M98" s="376" t="s">
        <v>839</v>
      </c>
      <c r="N98" s="376" t="s">
        <v>839</v>
      </c>
      <c r="O98" s="376" t="s">
        <v>839</v>
      </c>
      <c r="P98" s="376" t="s">
        <v>839</v>
      </c>
      <c r="Q98" s="376" t="s">
        <v>839</v>
      </c>
      <c r="R98" s="376" t="s">
        <v>839</v>
      </c>
      <c r="S98" s="376" t="s">
        <v>839</v>
      </c>
      <c r="T98" s="376">
        <v>2253915</v>
      </c>
      <c r="U98" s="376">
        <v>1887129</v>
      </c>
      <c r="V98" s="376">
        <v>368904</v>
      </c>
      <c r="W98" s="381" t="s">
        <v>94</v>
      </c>
    </row>
    <row r="99" spans="1:23" s="376" customFormat="1" ht="9.75" customHeight="1" x14ac:dyDescent="0.15">
      <c r="A99" s="756" t="s">
        <v>684</v>
      </c>
      <c r="B99" s="376" t="s">
        <v>839</v>
      </c>
      <c r="C99" s="376" t="s">
        <v>839</v>
      </c>
      <c r="D99" s="376" t="s">
        <v>839</v>
      </c>
      <c r="E99" s="376" t="s">
        <v>839</v>
      </c>
      <c r="F99" s="376">
        <v>32034</v>
      </c>
      <c r="G99" s="376" t="s">
        <v>839</v>
      </c>
      <c r="H99" s="376">
        <v>32034</v>
      </c>
      <c r="I99" s="376">
        <v>279009</v>
      </c>
      <c r="J99" s="376">
        <v>279009</v>
      </c>
      <c r="K99" s="376">
        <v>197641</v>
      </c>
      <c r="L99" s="376" t="s">
        <v>839</v>
      </c>
      <c r="M99" s="376">
        <v>13455</v>
      </c>
      <c r="N99" s="376">
        <v>67913</v>
      </c>
      <c r="O99" s="376" t="s">
        <v>839</v>
      </c>
      <c r="P99" s="376" t="s">
        <v>839</v>
      </c>
      <c r="Q99" s="376" t="s">
        <v>839</v>
      </c>
      <c r="R99" s="376" t="s">
        <v>839</v>
      </c>
      <c r="S99" s="376" t="s">
        <v>839</v>
      </c>
      <c r="T99" s="376">
        <v>2348453</v>
      </c>
      <c r="U99" s="376">
        <v>2010157</v>
      </c>
      <c r="V99" s="376">
        <v>239798</v>
      </c>
      <c r="W99" s="381" t="s">
        <v>95</v>
      </c>
    </row>
    <row r="100" spans="1:23" s="376" customFormat="1" ht="9.75" customHeight="1" x14ac:dyDescent="0.15">
      <c r="A100" s="756" t="s">
        <v>685</v>
      </c>
      <c r="B100" s="376" t="s">
        <v>839</v>
      </c>
      <c r="C100" s="376" t="s">
        <v>839</v>
      </c>
      <c r="D100" s="376" t="s">
        <v>839</v>
      </c>
      <c r="E100" s="376" t="s">
        <v>839</v>
      </c>
      <c r="F100" s="376">
        <v>52537</v>
      </c>
      <c r="G100" s="376">
        <v>52537</v>
      </c>
      <c r="H100" s="376" t="s">
        <v>839</v>
      </c>
      <c r="I100" s="376">
        <v>329233</v>
      </c>
      <c r="J100" s="376">
        <v>329210</v>
      </c>
      <c r="K100" s="376">
        <v>264356</v>
      </c>
      <c r="L100" s="376" t="s">
        <v>839</v>
      </c>
      <c r="M100" s="376">
        <v>49846</v>
      </c>
      <c r="N100" s="376">
        <v>15008</v>
      </c>
      <c r="O100" s="376" t="s">
        <v>839</v>
      </c>
      <c r="P100" s="376" t="s">
        <v>839</v>
      </c>
      <c r="Q100" s="376" t="s">
        <v>839</v>
      </c>
      <c r="R100" s="376">
        <v>23</v>
      </c>
      <c r="S100" s="376">
        <v>23</v>
      </c>
      <c r="T100" s="376">
        <v>2133076</v>
      </c>
      <c r="U100" s="376">
        <v>1828972</v>
      </c>
      <c r="V100" s="376">
        <v>213847</v>
      </c>
      <c r="W100" s="381" t="s">
        <v>96</v>
      </c>
    </row>
    <row r="101" spans="1:23" s="376" customFormat="1" ht="9.75" customHeight="1" x14ac:dyDescent="0.15">
      <c r="A101" s="756" t="s">
        <v>686</v>
      </c>
      <c r="B101" s="376" t="s">
        <v>839</v>
      </c>
      <c r="C101" s="376" t="s">
        <v>839</v>
      </c>
      <c r="D101" s="376" t="s">
        <v>839</v>
      </c>
      <c r="E101" s="376" t="s">
        <v>839</v>
      </c>
      <c r="F101" s="376">
        <v>50302</v>
      </c>
      <c r="G101" s="376">
        <v>50302</v>
      </c>
      <c r="H101" s="376" t="s">
        <v>839</v>
      </c>
      <c r="I101" s="376">
        <v>263709</v>
      </c>
      <c r="J101" s="376">
        <v>263709</v>
      </c>
      <c r="K101" s="376">
        <v>263709</v>
      </c>
      <c r="L101" s="376" t="s">
        <v>839</v>
      </c>
      <c r="M101" s="376" t="s">
        <v>839</v>
      </c>
      <c r="N101" s="376" t="s">
        <v>839</v>
      </c>
      <c r="O101" s="376" t="s">
        <v>839</v>
      </c>
      <c r="P101" s="376" t="s">
        <v>839</v>
      </c>
      <c r="Q101" s="376" t="s">
        <v>839</v>
      </c>
      <c r="R101" s="376" t="s">
        <v>839</v>
      </c>
      <c r="S101" s="376" t="s">
        <v>839</v>
      </c>
      <c r="T101" s="376">
        <v>2380140</v>
      </c>
      <c r="U101" s="376">
        <v>2001688</v>
      </c>
      <c r="V101" s="376">
        <v>203425</v>
      </c>
      <c r="W101" s="381" t="s">
        <v>80</v>
      </c>
    </row>
    <row r="102" spans="1:23" s="376" customFormat="1" ht="9.75" customHeight="1" x14ac:dyDescent="0.15">
      <c r="A102" s="756" t="s">
        <v>687</v>
      </c>
      <c r="B102" s="376">
        <v>45824</v>
      </c>
      <c r="C102" s="376" t="s">
        <v>839</v>
      </c>
      <c r="D102" s="376" t="s">
        <v>839</v>
      </c>
      <c r="E102" s="376" t="s">
        <v>839</v>
      </c>
      <c r="F102" s="376">
        <v>153076</v>
      </c>
      <c r="G102" s="376">
        <v>101135</v>
      </c>
      <c r="H102" s="376">
        <v>51941</v>
      </c>
      <c r="I102" s="376">
        <v>229249</v>
      </c>
      <c r="J102" s="376">
        <v>229249</v>
      </c>
      <c r="K102" s="376">
        <v>192658</v>
      </c>
      <c r="L102" s="376">
        <v>36591</v>
      </c>
      <c r="M102" s="376" t="s">
        <v>839</v>
      </c>
      <c r="N102" s="376" t="s">
        <v>839</v>
      </c>
      <c r="O102" s="376" t="s">
        <v>839</v>
      </c>
      <c r="P102" s="376" t="s">
        <v>839</v>
      </c>
      <c r="Q102" s="376" t="s">
        <v>839</v>
      </c>
      <c r="R102" s="376" t="s">
        <v>839</v>
      </c>
      <c r="S102" s="376" t="s">
        <v>839</v>
      </c>
      <c r="T102" s="376">
        <v>2151350</v>
      </c>
      <c r="U102" s="376">
        <v>1488353</v>
      </c>
      <c r="V102" s="376">
        <v>220049</v>
      </c>
      <c r="W102" s="381" t="s">
        <v>81</v>
      </c>
    </row>
    <row r="103" spans="1:23" s="376" customFormat="1" ht="9.75" customHeight="1" x14ac:dyDescent="0.15">
      <c r="A103" s="756" t="s">
        <v>688</v>
      </c>
      <c r="B103" s="376" t="s">
        <v>839</v>
      </c>
      <c r="C103" s="376" t="s">
        <v>839</v>
      </c>
      <c r="D103" s="376" t="s">
        <v>839</v>
      </c>
      <c r="E103" s="376" t="s">
        <v>839</v>
      </c>
      <c r="F103" s="376">
        <v>28970</v>
      </c>
      <c r="G103" s="376" t="s">
        <v>839</v>
      </c>
      <c r="H103" s="376">
        <v>28970</v>
      </c>
      <c r="I103" s="376">
        <v>196306</v>
      </c>
      <c r="J103" s="376">
        <v>196283</v>
      </c>
      <c r="K103" s="376">
        <v>196283</v>
      </c>
      <c r="L103" s="376" t="s">
        <v>839</v>
      </c>
      <c r="M103" s="376" t="s">
        <v>839</v>
      </c>
      <c r="N103" s="376" t="s">
        <v>839</v>
      </c>
      <c r="O103" s="376" t="s">
        <v>839</v>
      </c>
      <c r="P103" s="376" t="s">
        <v>839</v>
      </c>
      <c r="Q103" s="376" t="s">
        <v>839</v>
      </c>
      <c r="R103" s="376">
        <v>23</v>
      </c>
      <c r="S103" s="376">
        <v>23</v>
      </c>
      <c r="T103" s="376">
        <v>2272739</v>
      </c>
      <c r="U103" s="376">
        <v>1731970</v>
      </c>
      <c r="V103" s="376">
        <v>187707</v>
      </c>
      <c r="W103" s="381" t="s">
        <v>82</v>
      </c>
    </row>
    <row r="104" spans="1:23" s="376" customFormat="1" ht="9.75" customHeight="1" x14ac:dyDescent="0.15">
      <c r="A104" s="756" t="s">
        <v>849</v>
      </c>
      <c r="B104" s="376" t="s">
        <v>839</v>
      </c>
      <c r="C104" s="376" t="s">
        <v>839</v>
      </c>
      <c r="D104" s="376" t="s">
        <v>839</v>
      </c>
      <c r="E104" s="376" t="s">
        <v>839</v>
      </c>
      <c r="F104" s="376">
        <v>51670</v>
      </c>
      <c r="G104" s="376">
        <v>51670</v>
      </c>
      <c r="H104" s="376" t="s">
        <v>839</v>
      </c>
      <c r="I104" s="376">
        <v>140953</v>
      </c>
      <c r="J104" s="376">
        <v>140953</v>
      </c>
      <c r="K104" s="376">
        <v>140953</v>
      </c>
      <c r="L104" s="376" t="s">
        <v>839</v>
      </c>
      <c r="M104" s="376" t="s">
        <v>839</v>
      </c>
      <c r="N104" s="376" t="s">
        <v>839</v>
      </c>
      <c r="O104" s="376" t="s">
        <v>839</v>
      </c>
      <c r="P104" s="376" t="s">
        <v>839</v>
      </c>
      <c r="Q104" s="376" t="s">
        <v>839</v>
      </c>
      <c r="R104" s="376" t="s">
        <v>839</v>
      </c>
      <c r="S104" s="376" t="s">
        <v>839</v>
      </c>
      <c r="T104" s="376">
        <v>2216749</v>
      </c>
      <c r="U104" s="376">
        <v>1916641</v>
      </c>
      <c r="V104" s="376">
        <v>184798</v>
      </c>
      <c r="W104" s="381" t="s">
        <v>850</v>
      </c>
    </row>
    <row r="105" spans="1:23" s="376" customFormat="1" ht="9.75" customHeight="1" x14ac:dyDescent="0.15">
      <c r="A105" s="756" t="s">
        <v>690</v>
      </c>
      <c r="B105" s="376" t="s">
        <v>839</v>
      </c>
      <c r="C105" s="376" t="s">
        <v>839</v>
      </c>
      <c r="D105" s="376" t="s">
        <v>839</v>
      </c>
      <c r="E105" s="376" t="s">
        <v>839</v>
      </c>
      <c r="F105" s="376" t="s">
        <v>839</v>
      </c>
      <c r="G105" s="376" t="s">
        <v>839</v>
      </c>
      <c r="H105" s="376" t="s">
        <v>839</v>
      </c>
      <c r="I105" s="376">
        <v>119488</v>
      </c>
      <c r="J105" s="376">
        <v>119488</v>
      </c>
      <c r="K105" s="376">
        <v>119488</v>
      </c>
      <c r="L105" s="376" t="s">
        <v>839</v>
      </c>
      <c r="M105" s="376" t="s">
        <v>839</v>
      </c>
      <c r="N105" s="376" t="s">
        <v>839</v>
      </c>
      <c r="O105" s="376" t="s">
        <v>839</v>
      </c>
      <c r="P105" s="376" t="s">
        <v>839</v>
      </c>
      <c r="Q105" s="376" t="s">
        <v>839</v>
      </c>
      <c r="R105" s="376" t="s">
        <v>839</v>
      </c>
      <c r="S105" s="376" t="s">
        <v>839</v>
      </c>
      <c r="T105" s="376">
        <v>1784184</v>
      </c>
      <c r="U105" s="376">
        <v>1509282</v>
      </c>
      <c r="V105" s="376">
        <v>152951</v>
      </c>
      <c r="W105" s="381" t="s">
        <v>77</v>
      </c>
    </row>
    <row r="106" spans="1:23" s="376" customFormat="1" ht="9.75" customHeight="1" x14ac:dyDescent="0.15">
      <c r="A106" s="757" t="s">
        <v>691</v>
      </c>
      <c r="B106" s="380" t="s">
        <v>839</v>
      </c>
      <c r="C106" s="379" t="s">
        <v>839</v>
      </c>
      <c r="D106" s="379" t="s">
        <v>839</v>
      </c>
      <c r="E106" s="379" t="s">
        <v>839</v>
      </c>
      <c r="F106" s="379">
        <v>80394</v>
      </c>
      <c r="G106" s="379">
        <v>80394</v>
      </c>
      <c r="H106" s="379" t="s">
        <v>839</v>
      </c>
      <c r="I106" s="379">
        <v>69656</v>
      </c>
      <c r="J106" s="379">
        <v>69656</v>
      </c>
      <c r="K106" s="379">
        <v>69656</v>
      </c>
      <c r="L106" s="379" t="s">
        <v>839</v>
      </c>
      <c r="M106" s="379" t="s">
        <v>839</v>
      </c>
      <c r="N106" s="379" t="s">
        <v>839</v>
      </c>
      <c r="O106" s="379" t="s">
        <v>839</v>
      </c>
      <c r="P106" s="379" t="s">
        <v>839</v>
      </c>
      <c r="Q106" s="379" t="s">
        <v>839</v>
      </c>
      <c r="R106" s="379" t="s">
        <v>839</v>
      </c>
      <c r="S106" s="379" t="s">
        <v>839</v>
      </c>
      <c r="T106" s="379">
        <v>2187867</v>
      </c>
      <c r="U106" s="379">
        <v>1923402</v>
      </c>
      <c r="V106" s="379">
        <v>187349</v>
      </c>
      <c r="W106" s="377" t="s">
        <v>78</v>
      </c>
    </row>
    <row r="107" spans="1:23" ht="12" customHeight="1" x14ac:dyDescent="0.15"/>
    <row r="108" spans="1:23" ht="12" customHeight="1" x14ac:dyDescent="0.15"/>
    <row r="109" spans="1:23" ht="12" customHeight="1" x14ac:dyDescent="0.15">
      <c r="K109" s="391" t="s">
        <v>97</v>
      </c>
    </row>
    <row r="110" spans="1:23" s="387" customFormat="1" ht="21" customHeight="1" x14ac:dyDescent="0.15">
      <c r="A110" s="1023" t="s">
        <v>185</v>
      </c>
      <c r="B110" s="390" t="s">
        <v>310</v>
      </c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1026" t="s">
        <v>83</v>
      </c>
    </row>
    <row r="111" spans="1:23" s="387" customFormat="1" ht="21" customHeight="1" x14ac:dyDescent="0.15">
      <c r="A111" s="1024"/>
      <c r="B111" s="390" t="s">
        <v>274</v>
      </c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732"/>
      <c r="U111" s="733" t="s">
        <v>273</v>
      </c>
      <c r="V111" s="389"/>
      <c r="W111" s="1027"/>
    </row>
    <row r="112" spans="1:23" s="387" customFormat="1" ht="52.5" customHeight="1" x14ac:dyDescent="0.15">
      <c r="A112" s="1025"/>
      <c r="B112" s="388" t="s">
        <v>976</v>
      </c>
      <c r="C112" s="388" t="s">
        <v>285</v>
      </c>
      <c r="D112" s="388" t="s">
        <v>291</v>
      </c>
      <c r="E112" s="388" t="s">
        <v>290</v>
      </c>
      <c r="F112" s="388" t="s">
        <v>269</v>
      </c>
      <c r="G112" s="388" t="s">
        <v>268</v>
      </c>
      <c r="H112" s="388" t="s">
        <v>267</v>
      </c>
      <c r="I112" s="388" t="s">
        <v>318</v>
      </c>
      <c r="J112" s="388" t="s">
        <v>266</v>
      </c>
      <c r="K112" s="388" t="s">
        <v>295</v>
      </c>
      <c r="L112" s="388" t="s">
        <v>317</v>
      </c>
      <c r="M112" s="388" t="s">
        <v>316</v>
      </c>
      <c r="N112" s="388" t="s">
        <v>640</v>
      </c>
      <c r="O112" s="388" t="s">
        <v>278</v>
      </c>
      <c r="P112" s="388" t="s">
        <v>277</v>
      </c>
      <c r="Q112" s="388" t="s">
        <v>276</v>
      </c>
      <c r="R112" s="388" t="s">
        <v>265</v>
      </c>
      <c r="S112" s="388" t="s">
        <v>264</v>
      </c>
      <c r="T112" s="393" t="s">
        <v>977</v>
      </c>
      <c r="U112" s="735" t="s">
        <v>106</v>
      </c>
      <c r="V112" s="392" t="s">
        <v>263</v>
      </c>
      <c r="W112" s="1028"/>
    </row>
    <row r="113" spans="1:23" s="376" customFormat="1" ht="9.75" customHeight="1" x14ac:dyDescent="0.15">
      <c r="A113" s="755" t="s">
        <v>838</v>
      </c>
      <c r="B113" s="386">
        <v>27613</v>
      </c>
      <c r="C113" s="385" t="s">
        <v>839</v>
      </c>
      <c r="D113" s="385" t="s">
        <v>839</v>
      </c>
      <c r="E113" s="385">
        <v>232099</v>
      </c>
      <c r="F113" s="385">
        <v>39954</v>
      </c>
      <c r="G113" s="385">
        <v>65620</v>
      </c>
      <c r="H113" s="385" t="s">
        <v>839</v>
      </c>
      <c r="I113" s="385" t="s">
        <v>839</v>
      </c>
      <c r="J113" s="385">
        <v>18701</v>
      </c>
      <c r="K113" s="385">
        <v>1877785</v>
      </c>
      <c r="L113" s="385">
        <v>75598</v>
      </c>
      <c r="M113" s="385" t="s">
        <v>839</v>
      </c>
      <c r="N113" s="385" t="s">
        <v>839</v>
      </c>
      <c r="O113" s="385">
        <v>1382832</v>
      </c>
      <c r="P113" s="385">
        <v>1904538</v>
      </c>
      <c r="Q113" s="385">
        <v>1982056</v>
      </c>
      <c r="R113" s="385">
        <v>5729861</v>
      </c>
      <c r="S113" s="385" t="s">
        <v>839</v>
      </c>
      <c r="T113" s="385">
        <v>6106702</v>
      </c>
      <c r="U113" s="385">
        <v>2814051</v>
      </c>
      <c r="V113" s="385">
        <v>305491</v>
      </c>
      <c r="W113" s="383" t="s">
        <v>457</v>
      </c>
    </row>
    <row r="114" spans="1:23" s="376" customFormat="1" ht="9.75" customHeight="1" x14ac:dyDescent="0.15">
      <c r="A114" s="756" t="s">
        <v>669</v>
      </c>
      <c r="B114" s="376" t="s">
        <v>839</v>
      </c>
      <c r="C114" s="376">
        <v>251122</v>
      </c>
      <c r="D114" s="376" t="s">
        <v>839</v>
      </c>
      <c r="E114" s="376">
        <v>195369</v>
      </c>
      <c r="F114" s="376">
        <v>82406</v>
      </c>
      <c r="G114" s="376">
        <v>208071</v>
      </c>
      <c r="H114" s="376" t="s">
        <v>839</v>
      </c>
      <c r="I114" s="376" t="s">
        <v>839</v>
      </c>
      <c r="J114" s="376">
        <v>15768</v>
      </c>
      <c r="K114" s="376">
        <v>1423988</v>
      </c>
      <c r="L114" s="376">
        <v>20107</v>
      </c>
      <c r="M114" s="376" t="s">
        <v>839</v>
      </c>
      <c r="N114" s="376" t="s">
        <v>839</v>
      </c>
      <c r="O114" s="376">
        <v>973185</v>
      </c>
      <c r="P114" s="376">
        <v>1759035</v>
      </c>
      <c r="Q114" s="376">
        <v>1671365</v>
      </c>
      <c r="R114" s="376">
        <v>4840238</v>
      </c>
      <c r="S114" s="376" t="s">
        <v>839</v>
      </c>
      <c r="T114" s="376">
        <v>5265788</v>
      </c>
      <c r="U114" s="376">
        <v>2301081</v>
      </c>
      <c r="V114" s="376">
        <v>421693</v>
      </c>
      <c r="W114" s="381" t="s">
        <v>512</v>
      </c>
    </row>
    <row r="115" spans="1:23" s="376" customFormat="1" ht="9.75" customHeight="1" x14ac:dyDescent="0.15">
      <c r="A115" s="756" t="s">
        <v>670</v>
      </c>
      <c r="B115" s="376" t="s">
        <v>839</v>
      </c>
      <c r="C115" s="376">
        <v>82439</v>
      </c>
      <c r="D115" s="376">
        <v>26763</v>
      </c>
      <c r="E115" s="376">
        <v>91836</v>
      </c>
      <c r="F115" s="376">
        <v>94780</v>
      </c>
      <c r="G115" s="376">
        <v>326247</v>
      </c>
      <c r="H115" s="376">
        <v>122549</v>
      </c>
      <c r="I115" s="376">
        <v>21661</v>
      </c>
      <c r="J115" s="376" t="s">
        <v>839</v>
      </c>
      <c r="K115" s="376">
        <v>1882304</v>
      </c>
      <c r="L115" s="376">
        <v>14825</v>
      </c>
      <c r="M115" s="376">
        <v>30593</v>
      </c>
      <c r="N115" s="376">
        <v>91803</v>
      </c>
      <c r="O115" s="376">
        <v>939424</v>
      </c>
      <c r="P115" s="376">
        <v>1222091</v>
      </c>
      <c r="Q115" s="376">
        <v>2044535</v>
      </c>
      <c r="R115" s="376">
        <v>5859243</v>
      </c>
      <c r="S115" s="376">
        <v>31678</v>
      </c>
      <c r="T115" s="376">
        <v>4576678</v>
      </c>
      <c r="U115" s="376">
        <v>1947894</v>
      </c>
      <c r="V115" s="376">
        <v>332435</v>
      </c>
      <c r="W115" s="381" t="s">
        <v>620</v>
      </c>
    </row>
    <row r="116" spans="1:23" s="376" customFormat="1" ht="9.75" customHeight="1" x14ac:dyDescent="0.15">
      <c r="A116" s="756" t="s">
        <v>671</v>
      </c>
      <c r="B116" s="376" t="s">
        <v>839</v>
      </c>
      <c r="C116" s="376" t="s">
        <v>839</v>
      </c>
      <c r="D116" s="376" t="s">
        <v>839</v>
      </c>
      <c r="E116" s="376">
        <v>145148</v>
      </c>
      <c r="F116" s="376">
        <v>165342</v>
      </c>
      <c r="G116" s="376">
        <v>349319</v>
      </c>
      <c r="H116" s="376">
        <v>235299</v>
      </c>
      <c r="I116" s="376" t="s">
        <v>839</v>
      </c>
      <c r="J116" s="376" t="s">
        <v>839</v>
      </c>
      <c r="K116" s="376">
        <v>1562807</v>
      </c>
      <c r="L116" s="376" t="s">
        <v>839</v>
      </c>
      <c r="M116" s="376">
        <v>11553</v>
      </c>
      <c r="N116" s="376">
        <v>103033</v>
      </c>
      <c r="O116" s="376">
        <v>1268082</v>
      </c>
      <c r="P116" s="376">
        <v>2325577</v>
      </c>
      <c r="Q116" s="376">
        <v>2172238</v>
      </c>
      <c r="R116" s="376">
        <v>5185461</v>
      </c>
      <c r="S116" s="376">
        <v>552695</v>
      </c>
      <c r="T116" s="376">
        <v>5804822</v>
      </c>
      <c r="U116" s="376">
        <v>2006329</v>
      </c>
      <c r="V116" s="376">
        <v>100565</v>
      </c>
      <c r="W116" s="381" t="s">
        <v>672</v>
      </c>
    </row>
    <row r="117" spans="1:23" s="376" customFormat="1" ht="9.75" customHeight="1" x14ac:dyDescent="0.15">
      <c r="A117" s="756" t="s">
        <v>840</v>
      </c>
      <c r="B117" s="376" t="s">
        <v>839</v>
      </c>
      <c r="C117" s="376">
        <v>117631</v>
      </c>
      <c r="D117" s="376" t="s">
        <v>839</v>
      </c>
      <c r="E117" s="376">
        <v>85698</v>
      </c>
      <c r="F117" s="376">
        <v>666071</v>
      </c>
      <c r="G117" s="376">
        <v>246970</v>
      </c>
      <c r="H117" s="376" t="s">
        <v>839</v>
      </c>
      <c r="I117" s="376" t="s">
        <v>839</v>
      </c>
      <c r="J117" s="376">
        <v>7487</v>
      </c>
      <c r="K117" s="376">
        <v>688517</v>
      </c>
      <c r="L117" s="376">
        <v>93614</v>
      </c>
      <c r="M117" s="376" t="s">
        <v>839</v>
      </c>
      <c r="N117" s="376" t="s">
        <v>839</v>
      </c>
      <c r="O117" s="376">
        <v>1110367</v>
      </c>
      <c r="P117" s="376">
        <v>1864046</v>
      </c>
      <c r="Q117" s="376">
        <v>2328791</v>
      </c>
      <c r="R117" s="376">
        <v>4508497</v>
      </c>
      <c r="S117" s="376">
        <v>15896</v>
      </c>
      <c r="T117" s="376">
        <v>6490575</v>
      </c>
      <c r="U117" s="376">
        <v>1251843</v>
      </c>
      <c r="V117" s="376">
        <v>43547</v>
      </c>
      <c r="W117" s="381" t="s">
        <v>841</v>
      </c>
    </row>
    <row r="118" spans="1:23" s="376" customFormat="1" ht="6.75" customHeight="1" x14ac:dyDescent="0.15">
      <c r="A118" s="787"/>
      <c r="W118" s="381"/>
    </row>
    <row r="119" spans="1:23" s="376" customFormat="1" ht="9.75" customHeight="1" x14ac:dyDescent="0.15">
      <c r="A119" s="756" t="s">
        <v>842</v>
      </c>
      <c r="B119" s="376" t="s">
        <v>839</v>
      </c>
      <c r="C119" s="376" t="s">
        <v>839</v>
      </c>
      <c r="D119" s="376" t="s">
        <v>839</v>
      </c>
      <c r="E119" s="376">
        <v>100376</v>
      </c>
      <c r="F119" s="376">
        <v>320893</v>
      </c>
      <c r="G119" s="376">
        <v>368909</v>
      </c>
      <c r="H119" s="376">
        <v>140969</v>
      </c>
      <c r="I119" s="376" t="s">
        <v>839</v>
      </c>
      <c r="J119" s="376" t="s">
        <v>839</v>
      </c>
      <c r="K119" s="376">
        <v>1339458</v>
      </c>
      <c r="L119" s="376">
        <v>47987</v>
      </c>
      <c r="M119" s="376">
        <v>11553</v>
      </c>
      <c r="N119" s="376">
        <v>103033</v>
      </c>
      <c r="O119" s="376">
        <v>967926</v>
      </c>
      <c r="P119" s="376">
        <v>2413087</v>
      </c>
      <c r="Q119" s="376">
        <v>2198620</v>
      </c>
      <c r="R119" s="376">
        <v>4726673</v>
      </c>
      <c r="S119" s="376">
        <v>552695</v>
      </c>
      <c r="T119" s="376">
        <v>6158289</v>
      </c>
      <c r="U119" s="376">
        <v>2080684</v>
      </c>
      <c r="V119" s="376">
        <v>43547</v>
      </c>
      <c r="W119" s="381" t="s">
        <v>673</v>
      </c>
    </row>
    <row r="120" spans="1:23" s="376" customFormat="1" ht="9.75" customHeight="1" x14ac:dyDescent="0.15">
      <c r="A120" s="756" t="s">
        <v>843</v>
      </c>
      <c r="B120" s="376" t="s">
        <v>839</v>
      </c>
      <c r="C120" s="376">
        <v>117631</v>
      </c>
      <c r="D120" s="376" t="s">
        <v>839</v>
      </c>
      <c r="E120" s="376">
        <v>134958</v>
      </c>
      <c r="F120" s="376">
        <v>517739</v>
      </c>
      <c r="G120" s="376">
        <v>193720</v>
      </c>
      <c r="H120" s="376" t="s">
        <v>839</v>
      </c>
      <c r="I120" s="376" t="s">
        <v>839</v>
      </c>
      <c r="J120" s="376">
        <v>7487</v>
      </c>
      <c r="K120" s="376">
        <v>502326</v>
      </c>
      <c r="L120" s="376">
        <v>45627</v>
      </c>
      <c r="M120" s="376" t="s">
        <v>839</v>
      </c>
      <c r="N120" s="376" t="s">
        <v>839</v>
      </c>
      <c r="O120" s="376">
        <v>1241147</v>
      </c>
      <c r="P120" s="376">
        <v>2155029</v>
      </c>
      <c r="Q120" s="376">
        <v>2782178</v>
      </c>
      <c r="R120" s="376">
        <v>4653808</v>
      </c>
      <c r="S120" s="376">
        <v>15896</v>
      </c>
      <c r="T120" s="376">
        <v>6518138</v>
      </c>
      <c r="U120" s="376">
        <v>743455</v>
      </c>
      <c r="V120" s="376" t="s">
        <v>839</v>
      </c>
      <c r="W120" s="381" t="s">
        <v>844</v>
      </c>
    </row>
    <row r="121" spans="1:23" s="376" customFormat="1" ht="6.75" customHeight="1" x14ac:dyDescent="0.15">
      <c r="A121" s="787"/>
      <c r="W121" s="381"/>
    </row>
    <row r="122" spans="1:23" s="376" customFormat="1" ht="9.75" customHeight="1" x14ac:dyDescent="0.15">
      <c r="A122" s="756" t="s">
        <v>845</v>
      </c>
      <c r="B122" s="376" t="s">
        <v>839</v>
      </c>
      <c r="C122" s="376" t="s">
        <v>839</v>
      </c>
      <c r="D122" s="376" t="s">
        <v>839</v>
      </c>
      <c r="E122" s="376" t="s">
        <v>839</v>
      </c>
      <c r="F122" s="376">
        <v>195878</v>
      </c>
      <c r="G122" s="376">
        <v>98309</v>
      </c>
      <c r="H122" s="376" t="s">
        <v>839</v>
      </c>
      <c r="I122" s="376" t="s">
        <v>839</v>
      </c>
      <c r="J122" s="376" t="s">
        <v>839</v>
      </c>
      <c r="K122" s="376">
        <v>226373</v>
      </c>
      <c r="L122" s="376">
        <v>47987</v>
      </c>
      <c r="M122" s="376" t="s">
        <v>839</v>
      </c>
      <c r="N122" s="376" t="s">
        <v>839</v>
      </c>
      <c r="O122" s="376">
        <v>200553</v>
      </c>
      <c r="P122" s="376">
        <v>403042</v>
      </c>
      <c r="Q122" s="376">
        <v>463444</v>
      </c>
      <c r="R122" s="376">
        <v>1042086</v>
      </c>
      <c r="S122" s="376" t="s">
        <v>839</v>
      </c>
      <c r="T122" s="376">
        <v>1485031</v>
      </c>
      <c r="U122" s="376">
        <v>583027</v>
      </c>
      <c r="V122" s="376">
        <v>43547</v>
      </c>
      <c r="W122" s="381" t="s">
        <v>677</v>
      </c>
    </row>
    <row r="123" spans="1:23" s="376" customFormat="1" ht="9.75" customHeight="1" x14ac:dyDescent="0.15">
      <c r="A123" s="756" t="s">
        <v>674</v>
      </c>
      <c r="B123" s="376" t="s">
        <v>839</v>
      </c>
      <c r="C123" s="376" t="s">
        <v>839</v>
      </c>
      <c r="D123" s="376" t="s">
        <v>839</v>
      </c>
      <c r="E123" s="376">
        <v>43606</v>
      </c>
      <c r="F123" s="376">
        <v>156113</v>
      </c>
      <c r="G123" s="376">
        <v>86617</v>
      </c>
      <c r="H123" s="376" t="s">
        <v>839</v>
      </c>
      <c r="I123" s="376" t="s">
        <v>839</v>
      </c>
      <c r="J123" s="376" t="s">
        <v>839</v>
      </c>
      <c r="K123" s="376">
        <v>141729</v>
      </c>
      <c r="L123" s="376" t="s">
        <v>839</v>
      </c>
      <c r="M123" s="376" t="s">
        <v>839</v>
      </c>
      <c r="N123" s="376" t="s">
        <v>839</v>
      </c>
      <c r="O123" s="376">
        <v>334589</v>
      </c>
      <c r="P123" s="376">
        <v>320622</v>
      </c>
      <c r="Q123" s="376">
        <v>552816</v>
      </c>
      <c r="R123" s="376">
        <v>1365445</v>
      </c>
      <c r="S123" s="376">
        <v>15896</v>
      </c>
      <c r="T123" s="376">
        <v>1529485</v>
      </c>
      <c r="U123" s="376">
        <v>317620</v>
      </c>
      <c r="V123" s="376" t="s">
        <v>839</v>
      </c>
      <c r="W123" s="381" t="s">
        <v>89</v>
      </c>
    </row>
    <row r="124" spans="1:23" s="376" customFormat="1" ht="9.75" customHeight="1" x14ac:dyDescent="0.15">
      <c r="A124" s="756" t="s">
        <v>675</v>
      </c>
      <c r="B124" s="376" t="s">
        <v>839</v>
      </c>
      <c r="C124" s="376">
        <v>78841</v>
      </c>
      <c r="D124" s="376" t="s">
        <v>839</v>
      </c>
      <c r="E124" s="376">
        <v>42092</v>
      </c>
      <c r="F124" s="376">
        <v>158158</v>
      </c>
      <c r="G124" s="376">
        <v>62044</v>
      </c>
      <c r="H124" s="376" t="s">
        <v>839</v>
      </c>
      <c r="I124" s="376" t="s">
        <v>839</v>
      </c>
      <c r="J124" s="376" t="s">
        <v>839</v>
      </c>
      <c r="K124" s="376">
        <v>183340</v>
      </c>
      <c r="L124" s="376" t="s">
        <v>839</v>
      </c>
      <c r="M124" s="376" t="s">
        <v>839</v>
      </c>
      <c r="N124" s="376" t="s">
        <v>839</v>
      </c>
      <c r="O124" s="376">
        <v>352420</v>
      </c>
      <c r="P124" s="376">
        <v>473533</v>
      </c>
      <c r="Q124" s="376">
        <v>659550</v>
      </c>
      <c r="R124" s="376">
        <v>1075913</v>
      </c>
      <c r="S124" s="376" t="s">
        <v>839</v>
      </c>
      <c r="T124" s="376">
        <v>1817818</v>
      </c>
      <c r="U124" s="376">
        <v>163115</v>
      </c>
      <c r="V124" s="376" t="s">
        <v>839</v>
      </c>
      <c r="W124" s="381" t="s">
        <v>90</v>
      </c>
    </row>
    <row r="125" spans="1:23" s="376" customFormat="1" ht="9.75" customHeight="1" x14ac:dyDescent="0.15">
      <c r="A125" s="756" t="s">
        <v>676</v>
      </c>
      <c r="B125" s="376" t="s">
        <v>839</v>
      </c>
      <c r="C125" s="376">
        <v>38790</v>
      </c>
      <c r="D125" s="376" t="s">
        <v>839</v>
      </c>
      <c r="E125" s="376" t="s">
        <v>839</v>
      </c>
      <c r="F125" s="376">
        <v>155922</v>
      </c>
      <c r="G125" s="376" t="s">
        <v>839</v>
      </c>
      <c r="H125" s="376" t="s">
        <v>839</v>
      </c>
      <c r="I125" s="376" t="s">
        <v>839</v>
      </c>
      <c r="J125" s="376">
        <v>7487</v>
      </c>
      <c r="K125" s="376">
        <v>137075</v>
      </c>
      <c r="L125" s="376">
        <v>45627</v>
      </c>
      <c r="M125" s="376" t="s">
        <v>839</v>
      </c>
      <c r="N125" s="376" t="s">
        <v>839</v>
      </c>
      <c r="O125" s="376">
        <v>222805</v>
      </c>
      <c r="P125" s="376">
        <v>666849</v>
      </c>
      <c r="Q125" s="376">
        <v>652981</v>
      </c>
      <c r="R125" s="376">
        <v>1025053</v>
      </c>
      <c r="S125" s="376" t="s">
        <v>839</v>
      </c>
      <c r="T125" s="376">
        <v>1658241</v>
      </c>
      <c r="U125" s="376">
        <v>188081</v>
      </c>
      <c r="V125" s="376" t="s">
        <v>839</v>
      </c>
      <c r="W125" s="381" t="s">
        <v>91</v>
      </c>
    </row>
    <row r="126" spans="1:23" s="376" customFormat="1" ht="9.75" customHeight="1" x14ac:dyDescent="0.15">
      <c r="A126" s="756" t="s">
        <v>846</v>
      </c>
      <c r="B126" s="376" t="s">
        <v>839</v>
      </c>
      <c r="C126" s="376" t="s">
        <v>839</v>
      </c>
      <c r="D126" s="376" t="s">
        <v>839</v>
      </c>
      <c r="E126" s="376">
        <v>49260</v>
      </c>
      <c r="F126" s="376">
        <v>47546</v>
      </c>
      <c r="G126" s="376">
        <v>45059</v>
      </c>
      <c r="H126" s="376" t="s">
        <v>839</v>
      </c>
      <c r="I126" s="376" t="s">
        <v>839</v>
      </c>
      <c r="J126" s="376" t="s">
        <v>839</v>
      </c>
      <c r="K126" s="376">
        <v>40182</v>
      </c>
      <c r="L126" s="376" t="s">
        <v>839</v>
      </c>
      <c r="M126" s="376" t="s">
        <v>839</v>
      </c>
      <c r="N126" s="376" t="s">
        <v>839</v>
      </c>
      <c r="O126" s="376">
        <v>331333</v>
      </c>
      <c r="P126" s="376">
        <v>694025</v>
      </c>
      <c r="Q126" s="376">
        <v>916831</v>
      </c>
      <c r="R126" s="376">
        <v>1187397</v>
      </c>
      <c r="S126" s="376" t="s">
        <v>839</v>
      </c>
      <c r="T126" s="376">
        <v>1512594</v>
      </c>
      <c r="U126" s="376">
        <v>74639</v>
      </c>
      <c r="V126" s="376" t="s">
        <v>839</v>
      </c>
      <c r="W126" s="381" t="s">
        <v>847</v>
      </c>
    </row>
    <row r="127" spans="1:23" s="376" customFormat="1" ht="6.75" customHeight="1" x14ac:dyDescent="0.15">
      <c r="A127" s="787"/>
      <c r="W127" s="381"/>
    </row>
    <row r="128" spans="1:23" s="376" customFormat="1" ht="9.75" customHeight="1" x14ac:dyDescent="0.15">
      <c r="A128" s="756" t="s">
        <v>848</v>
      </c>
      <c r="B128" s="376" t="s">
        <v>839</v>
      </c>
      <c r="C128" s="376" t="s">
        <v>839</v>
      </c>
      <c r="D128" s="376" t="s">
        <v>839</v>
      </c>
      <c r="E128" s="376" t="s">
        <v>839</v>
      </c>
      <c r="F128" s="376" t="s">
        <v>839</v>
      </c>
      <c r="G128" s="376">
        <v>34577</v>
      </c>
      <c r="H128" s="376" t="s">
        <v>839</v>
      </c>
      <c r="I128" s="376" t="s">
        <v>839</v>
      </c>
      <c r="J128" s="376" t="s">
        <v>839</v>
      </c>
      <c r="K128" s="376">
        <v>47503</v>
      </c>
      <c r="L128" s="376" t="s">
        <v>839</v>
      </c>
      <c r="M128" s="376" t="s">
        <v>839</v>
      </c>
      <c r="N128" s="376" t="s">
        <v>839</v>
      </c>
      <c r="O128" s="376">
        <v>52245</v>
      </c>
      <c r="P128" s="376">
        <v>354451</v>
      </c>
      <c r="Q128" s="376">
        <v>311766</v>
      </c>
      <c r="R128" s="376">
        <v>292540</v>
      </c>
      <c r="S128" s="376" t="s">
        <v>839</v>
      </c>
      <c r="T128" s="376">
        <v>516293</v>
      </c>
      <c r="U128" s="376">
        <v>254027</v>
      </c>
      <c r="V128" s="376" t="s">
        <v>839</v>
      </c>
      <c r="W128" s="381" t="s">
        <v>689</v>
      </c>
    </row>
    <row r="129" spans="1:23" s="376" customFormat="1" ht="9.75" customHeight="1" x14ac:dyDescent="0.15">
      <c r="A129" s="756" t="s">
        <v>678</v>
      </c>
      <c r="B129" s="376" t="s">
        <v>839</v>
      </c>
      <c r="C129" s="376" t="s">
        <v>839</v>
      </c>
      <c r="D129" s="376" t="s">
        <v>839</v>
      </c>
      <c r="E129" s="376" t="s">
        <v>839</v>
      </c>
      <c r="F129" s="376">
        <v>60528</v>
      </c>
      <c r="G129" s="376">
        <v>63732</v>
      </c>
      <c r="H129" s="376" t="s">
        <v>839</v>
      </c>
      <c r="I129" s="376" t="s">
        <v>839</v>
      </c>
      <c r="J129" s="376" t="s">
        <v>839</v>
      </c>
      <c r="K129" s="376">
        <v>154759</v>
      </c>
      <c r="L129" s="376" t="s">
        <v>839</v>
      </c>
      <c r="M129" s="376" t="s">
        <v>839</v>
      </c>
      <c r="N129" s="376" t="s">
        <v>839</v>
      </c>
      <c r="O129" s="376">
        <v>38868</v>
      </c>
      <c r="P129" s="376" t="s">
        <v>839</v>
      </c>
      <c r="Q129" s="376">
        <v>119815</v>
      </c>
      <c r="R129" s="376">
        <v>293824</v>
      </c>
      <c r="S129" s="376" t="s">
        <v>839</v>
      </c>
      <c r="T129" s="376">
        <v>613871</v>
      </c>
      <c r="U129" s="376">
        <v>83757</v>
      </c>
      <c r="V129" s="376">
        <v>43547</v>
      </c>
      <c r="W129" s="381" t="s">
        <v>77</v>
      </c>
    </row>
    <row r="130" spans="1:23" s="376" customFormat="1" ht="9.75" customHeight="1" x14ac:dyDescent="0.15">
      <c r="A130" s="756" t="s">
        <v>679</v>
      </c>
      <c r="B130" s="376" t="s">
        <v>839</v>
      </c>
      <c r="C130" s="376" t="s">
        <v>839</v>
      </c>
      <c r="D130" s="376" t="s">
        <v>839</v>
      </c>
      <c r="E130" s="376" t="s">
        <v>839</v>
      </c>
      <c r="F130" s="376">
        <v>135350</v>
      </c>
      <c r="G130" s="376" t="s">
        <v>839</v>
      </c>
      <c r="H130" s="376" t="s">
        <v>839</v>
      </c>
      <c r="I130" s="376" t="s">
        <v>839</v>
      </c>
      <c r="J130" s="376" t="s">
        <v>839</v>
      </c>
      <c r="K130" s="376">
        <v>24111</v>
      </c>
      <c r="L130" s="376">
        <v>47987</v>
      </c>
      <c r="M130" s="376" t="s">
        <v>839</v>
      </c>
      <c r="N130" s="376" t="s">
        <v>839</v>
      </c>
      <c r="O130" s="376">
        <v>109440</v>
      </c>
      <c r="P130" s="376">
        <v>48591</v>
      </c>
      <c r="Q130" s="376">
        <v>31863</v>
      </c>
      <c r="R130" s="376">
        <v>455722</v>
      </c>
      <c r="S130" s="376" t="s">
        <v>839</v>
      </c>
      <c r="T130" s="376">
        <v>354867</v>
      </c>
      <c r="U130" s="376">
        <v>245243</v>
      </c>
      <c r="V130" s="376" t="s">
        <v>839</v>
      </c>
      <c r="W130" s="381" t="s">
        <v>78</v>
      </c>
    </row>
    <row r="131" spans="1:23" s="376" customFormat="1" ht="9.75" customHeight="1" x14ac:dyDescent="0.15">
      <c r="A131" s="756" t="s">
        <v>680</v>
      </c>
      <c r="B131" s="376" t="s">
        <v>839</v>
      </c>
      <c r="C131" s="376" t="s">
        <v>839</v>
      </c>
      <c r="D131" s="376" t="s">
        <v>839</v>
      </c>
      <c r="E131" s="376">
        <v>43606</v>
      </c>
      <c r="F131" s="376">
        <v>51897</v>
      </c>
      <c r="G131" s="376" t="s">
        <v>839</v>
      </c>
      <c r="H131" s="376" t="s">
        <v>839</v>
      </c>
      <c r="I131" s="376" t="s">
        <v>839</v>
      </c>
      <c r="J131" s="376" t="s">
        <v>839</v>
      </c>
      <c r="K131" s="376">
        <v>59584</v>
      </c>
      <c r="L131" s="376" t="s">
        <v>839</v>
      </c>
      <c r="M131" s="376" t="s">
        <v>839</v>
      </c>
      <c r="N131" s="376" t="s">
        <v>839</v>
      </c>
      <c r="O131" s="376">
        <v>79463</v>
      </c>
      <c r="P131" s="376">
        <v>80108</v>
      </c>
      <c r="Q131" s="376">
        <v>164886</v>
      </c>
      <c r="R131" s="376">
        <v>444916</v>
      </c>
      <c r="S131" s="376">
        <v>15896</v>
      </c>
      <c r="T131" s="376">
        <v>208709</v>
      </c>
      <c r="U131" s="376">
        <v>240802</v>
      </c>
      <c r="V131" s="376" t="s">
        <v>839</v>
      </c>
      <c r="W131" s="381" t="s">
        <v>79</v>
      </c>
    </row>
    <row r="132" spans="1:23" s="376" customFormat="1" ht="9.75" customHeight="1" x14ac:dyDescent="0.15">
      <c r="A132" s="756" t="s">
        <v>681</v>
      </c>
      <c r="B132" s="376" t="s">
        <v>839</v>
      </c>
      <c r="C132" s="376" t="s">
        <v>839</v>
      </c>
      <c r="D132" s="376" t="s">
        <v>839</v>
      </c>
      <c r="E132" s="376" t="s">
        <v>839</v>
      </c>
      <c r="F132" s="376">
        <v>104216</v>
      </c>
      <c r="G132" s="376" t="s">
        <v>839</v>
      </c>
      <c r="H132" s="376" t="s">
        <v>839</v>
      </c>
      <c r="I132" s="376" t="s">
        <v>839</v>
      </c>
      <c r="J132" s="376" t="s">
        <v>839</v>
      </c>
      <c r="K132" s="376">
        <v>82145</v>
      </c>
      <c r="L132" s="376" t="s">
        <v>839</v>
      </c>
      <c r="M132" s="376" t="s">
        <v>839</v>
      </c>
      <c r="N132" s="376" t="s">
        <v>839</v>
      </c>
      <c r="O132" s="376">
        <v>77967</v>
      </c>
      <c r="P132" s="376">
        <v>100951</v>
      </c>
      <c r="Q132" s="376">
        <v>35423</v>
      </c>
      <c r="R132" s="376">
        <v>365877</v>
      </c>
      <c r="S132" s="376" t="s">
        <v>839</v>
      </c>
      <c r="T132" s="376">
        <v>877224</v>
      </c>
      <c r="U132" s="376">
        <v>14880</v>
      </c>
      <c r="V132" s="376" t="s">
        <v>839</v>
      </c>
      <c r="W132" s="381" t="s">
        <v>92</v>
      </c>
    </row>
    <row r="133" spans="1:23" s="376" customFormat="1" ht="9.75" customHeight="1" x14ac:dyDescent="0.15">
      <c r="A133" s="756" t="s">
        <v>682</v>
      </c>
      <c r="B133" s="376" t="s">
        <v>839</v>
      </c>
      <c r="C133" s="376" t="s">
        <v>839</v>
      </c>
      <c r="D133" s="376" t="s">
        <v>839</v>
      </c>
      <c r="E133" s="376" t="s">
        <v>839</v>
      </c>
      <c r="F133" s="376" t="s">
        <v>839</v>
      </c>
      <c r="G133" s="376">
        <v>86617</v>
      </c>
      <c r="H133" s="376" t="s">
        <v>839</v>
      </c>
      <c r="I133" s="376" t="s">
        <v>839</v>
      </c>
      <c r="J133" s="376" t="s">
        <v>839</v>
      </c>
      <c r="K133" s="376" t="s">
        <v>839</v>
      </c>
      <c r="L133" s="376" t="s">
        <v>839</v>
      </c>
      <c r="M133" s="376" t="s">
        <v>839</v>
      </c>
      <c r="N133" s="376" t="s">
        <v>839</v>
      </c>
      <c r="O133" s="376">
        <v>177159</v>
      </c>
      <c r="P133" s="376">
        <v>139563</v>
      </c>
      <c r="Q133" s="376">
        <v>352507</v>
      </c>
      <c r="R133" s="376">
        <v>554652</v>
      </c>
      <c r="S133" s="376" t="s">
        <v>839</v>
      </c>
      <c r="T133" s="376">
        <v>443552</v>
      </c>
      <c r="U133" s="376">
        <v>61938</v>
      </c>
      <c r="V133" s="376" t="s">
        <v>839</v>
      </c>
      <c r="W133" s="381" t="s">
        <v>93</v>
      </c>
    </row>
    <row r="134" spans="1:23" s="376" customFormat="1" ht="9.75" customHeight="1" x14ac:dyDescent="0.15">
      <c r="A134" s="756" t="s">
        <v>683</v>
      </c>
      <c r="B134" s="376" t="s">
        <v>839</v>
      </c>
      <c r="C134" s="376" t="s">
        <v>839</v>
      </c>
      <c r="D134" s="376" t="s">
        <v>839</v>
      </c>
      <c r="E134" s="376" t="s">
        <v>839</v>
      </c>
      <c r="F134" s="376">
        <v>47483</v>
      </c>
      <c r="G134" s="376">
        <v>34892</v>
      </c>
      <c r="H134" s="376" t="s">
        <v>839</v>
      </c>
      <c r="I134" s="376" t="s">
        <v>839</v>
      </c>
      <c r="J134" s="376" t="s">
        <v>839</v>
      </c>
      <c r="K134" s="376">
        <v>102013</v>
      </c>
      <c r="L134" s="376" t="s">
        <v>839</v>
      </c>
      <c r="M134" s="376" t="s">
        <v>839</v>
      </c>
      <c r="N134" s="376" t="s">
        <v>839</v>
      </c>
      <c r="O134" s="376">
        <v>137935</v>
      </c>
      <c r="P134" s="376">
        <v>16706</v>
      </c>
      <c r="Q134" s="376">
        <v>291834</v>
      </c>
      <c r="R134" s="376">
        <v>283334</v>
      </c>
      <c r="S134" s="376" t="s">
        <v>839</v>
      </c>
      <c r="T134" s="376">
        <v>604028</v>
      </c>
      <c r="U134" s="376" t="s">
        <v>839</v>
      </c>
      <c r="V134" s="376" t="s">
        <v>839</v>
      </c>
      <c r="W134" s="381" t="s">
        <v>94</v>
      </c>
    </row>
    <row r="135" spans="1:23" s="376" customFormat="1" ht="9.75" customHeight="1" x14ac:dyDescent="0.15">
      <c r="A135" s="756" t="s">
        <v>684</v>
      </c>
      <c r="B135" s="376" t="s">
        <v>839</v>
      </c>
      <c r="C135" s="376" t="s">
        <v>839</v>
      </c>
      <c r="D135" s="376" t="s">
        <v>839</v>
      </c>
      <c r="E135" s="376">
        <v>42092</v>
      </c>
      <c r="F135" s="376">
        <v>110675</v>
      </c>
      <c r="G135" s="376">
        <v>27152</v>
      </c>
      <c r="H135" s="376" t="s">
        <v>839</v>
      </c>
      <c r="I135" s="376" t="s">
        <v>839</v>
      </c>
      <c r="J135" s="376" t="s">
        <v>839</v>
      </c>
      <c r="K135" s="376">
        <v>81327</v>
      </c>
      <c r="L135" s="376" t="s">
        <v>839</v>
      </c>
      <c r="M135" s="376" t="s">
        <v>839</v>
      </c>
      <c r="N135" s="376" t="s">
        <v>839</v>
      </c>
      <c r="O135" s="376">
        <v>75403</v>
      </c>
      <c r="P135" s="376">
        <v>258201</v>
      </c>
      <c r="Q135" s="376">
        <v>154874</v>
      </c>
      <c r="R135" s="376">
        <v>442047</v>
      </c>
      <c r="S135" s="376" t="s">
        <v>839</v>
      </c>
      <c r="T135" s="376">
        <v>578588</v>
      </c>
      <c r="U135" s="376">
        <v>66836</v>
      </c>
      <c r="V135" s="376" t="s">
        <v>839</v>
      </c>
      <c r="W135" s="381" t="s">
        <v>95</v>
      </c>
    </row>
    <row r="136" spans="1:23" s="376" customFormat="1" ht="9.75" customHeight="1" x14ac:dyDescent="0.15">
      <c r="A136" s="756" t="s">
        <v>685</v>
      </c>
      <c r="B136" s="376" t="s">
        <v>839</v>
      </c>
      <c r="C136" s="376">
        <v>78841</v>
      </c>
      <c r="D136" s="376" t="s">
        <v>839</v>
      </c>
      <c r="E136" s="376" t="s">
        <v>839</v>
      </c>
      <c r="F136" s="376" t="s">
        <v>839</v>
      </c>
      <c r="G136" s="376" t="s">
        <v>839</v>
      </c>
      <c r="H136" s="376" t="s">
        <v>839</v>
      </c>
      <c r="I136" s="376" t="s">
        <v>839</v>
      </c>
      <c r="J136" s="376" t="s">
        <v>839</v>
      </c>
      <c r="K136" s="376" t="s">
        <v>839</v>
      </c>
      <c r="L136" s="376" t="s">
        <v>839</v>
      </c>
      <c r="M136" s="376" t="s">
        <v>839</v>
      </c>
      <c r="N136" s="376" t="s">
        <v>839</v>
      </c>
      <c r="O136" s="376">
        <v>139082</v>
      </c>
      <c r="P136" s="376">
        <v>198626</v>
      </c>
      <c r="Q136" s="376">
        <v>212842</v>
      </c>
      <c r="R136" s="376">
        <v>350532</v>
      </c>
      <c r="S136" s="376" t="s">
        <v>839</v>
      </c>
      <c r="T136" s="376">
        <v>635202</v>
      </c>
      <c r="U136" s="376">
        <v>96279</v>
      </c>
      <c r="V136" s="376" t="s">
        <v>839</v>
      </c>
      <c r="W136" s="381" t="s">
        <v>96</v>
      </c>
    </row>
    <row r="137" spans="1:23" s="376" customFormat="1" ht="9.75" customHeight="1" x14ac:dyDescent="0.15">
      <c r="A137" s="756" t="s">
        <v>686</v>
      </c>
      <c r="B137" s="376" t="s">
        <v>839</v>
      </c>
      <c r="C137" s="376">
        <v>38790</v>
      </c>
      <c r="D137" s="376" t="s">
        <v>839</v>
      </c>
      <c r="E137" s="376" t="s">
        <v>839</v>
      </c>
      <c r="F137" s="376">
        <v>8987</v>
      </c>
      <c r="G137" s="376" t="s">
        <v>839</v>
      </c>
      <c r="H137" s="376" t="s">
        <v>839</v>
      </c>
      <c r="I137" s="376" t="s">
        <v>839</v>
      </c>
      <c r="J137" s="376">
        <v>7487</v>
      </c>
      <c r="K137" s="376">
        <v>51602</v>
      </c>
      <c r="L137" s="376" t="s">
        <v>839</v>
      </c>
      <c r="M137" s="376" t="s">
        <v>839</v>
      </c>
      <c r="N137" s="376" t="s">
        <v>839</v>
      </c>
      <c r="O137" s="376">
        <v>48958</v>
      </c>
      <c r="P137" s="376">
        <v>311930</v>
      </c>
      <c r="Q137" s="376">
        <v>228976</v>
      </c>
      <c r="R137" s="376">
        <v>294556</v>
      </c>
      <c r="S137" s="376" t="s">
        <v>839</v>
      </c>
      <c r="T137" s="376">
        <v>806977</v>
      </c>
      <c r="U137" s="376">
        <v>110738</v>
      </c>
      <c r="V137" s="376" t="s">
        <v>839</v>
      </c>
      <c r="W137" s="381" t="s">
        <v>80</v>
      </c>
    </row>
    <row r="138" spans="1:23" s="376" customFormat="1" ht="9.75" customHeight="1" x14ac:dyDescent="0.15">
      <c r="A138" s="756" t="s">
        <v>687</v>
      </c>
      <c r="B138" s="376" t="s">
        <v>839</v>
      </c>
      <c r="C138" s="376" t="s">
        <v>839</v>
      </c>
      <c r="D138" s="376" t="s">
        <v>839</v>
      </c>
      <c r="E138" s="376" t="s">
        <v>839</v>
      </c>
      <c r="F138" s="376">
        <v>69097</v>
      </c>
      <c r="G138" s="376" t="s">
        <v>839</v>
      </c>
      <c r="H138" s="376" t="s">
        <v>839</v>
      </c>
      <c r="I138" s="376" t="s">
        <v>839</v>
      </c>
      <c r="J138" s="376" t="s">
        <v>839</v>
      </c>
      <c r="K138" s="376" t="s">
        <v>839</v>
      </c>
      <c r="L138" s="376" t="s">
        <v>839</v>
      </c>
      <c r="M138" s="376" t="s">
        <v>839</v>
      </c>
      <c r="N138" s="376" t="s">
        <v>839</v>
      </c>
      <c r="O138" s="376">
        <v>138410</v>
      </c>
      <c r="P138" s="376">
        <v>197022</v>
      </c>
      <c r="Q138" s="376">
        <v>232802</v>
      </c>
      <c r="R138" s="376">
        <v>366095</v>
      </c>
      <c r="S138" s="376" t="s">
        <v>839</v>
      </c>
      <c r="T138" s="376">
        <v>264878</v>
      </c>
      <c r="U138" s="376">
        <v>26002</v>
      </c>
      <c r="V138" s="376" t="s">
        <v>839</v>
      </c>
      <c r="W138" s="381" t="s">
        <v>81</v>
      </c>
    </row>
    <row r="139" spans="1:23" s="376" customFormat="1" ht="9.75" customHeight="1" x14ac:dyDescent="0.15">
      <c r="A139" s="756" t="s">
        <v>688</v>
      </c>
      <c r="B139" s="376" t="s">
        <v>839</v>
      </c>
      <c r="C139" s="376" t="s">
        <v>839</v>
      </c>
      <c r="D139" s="376" t="s">
        <v>839</v>
      </c>
      <c r="E139" s="376" t="s">
        <v>839</v>
      </c>
      <c r="F139" s="376">
        <v>77838</v>
      </c>
      <c r="G139" s="376" t="s">
        <v>839</v>
      </c>
      <c r="H139" s="376" t="s">
        <v>839</v>
      </c>
      <c r="I139" s="376" t="s">
        <v>839</v>
      </c>
      <c r="J139" s="376" t="s">
        <v>839</v>
      </c>
      <c r="K139" s="376">
        <v>85473</v>
      </c>
      <c r="L139" s="376">
        <v>45627</v>
      </c>
      <c r="M139" s="376" t="s">
        <v>839</v>
      </c>
      <c r="N139" s="376" t="s">
        <v>839</v>
      </c>
      <c r="O139" s="376">
        <v>35437</v>
      </c>
      <c r="P139" s="376">
        <v>157897</v>
      </c>
      <c r="Q139" s="376">
        <v>191203</v>
      </c>
      <c r="R139" s="376">
        <v>364402</v>
      </c>
      <c r="S139" s="376" t="s">
        <v>839</v>
      </c>
      <c r="T139" s="376">
        <v>586386</v>
      </c>
      <c r="U139" s="376">
        <v>51341</v>
      </c>
      <c r="V139" s="376" t="s">
        <v>839</v>
      </c>
      <c r="W139" s="381" t="s">
        <v>82</v>
      </c>
    </row>
    <row r="140" spans="1:23" s="376" customFormat="1" ht="9.75" customHeight="1" x14ac:dyDescent="0.15">
      <c r="A140" s="756" t="s">
        <v>849</v>
      </c>
      <c r="B140" s="376" t="s">
        <v>839</v>
      </c>
      <c r="C140" s="376" t="s">
        <v>839</v>
      </c>
      <c r="D140" s="376" t="s">
        <v>839</v>
      </c>
      <c r="E140" s="376" t="s">
        <v>839</v>
      </c>
      <c r="F140" s="376">
        <v>47546</v>
      </c>
      <c r="G140" s="376">
        <v>4695</v>
      </c>
      <c r="H140" s="376" t="s">
        <v>839</v>
      </c>
      <c r="I140" s="376" t="s">
        <v>839</v>
      </c>
      <c r="J140" s="376" t="s">
        <v>839</v>
      </c>
      <c r="K140" s="376" t="s">
        <v>839</v>
      </c>
      <c r="L140" s="376" t="s">
        <v>839</v>
      </c>
      <c r="M140" s="376" t="s">
        <v>839</v>
      </c>
      <c r="N140" s="376" t="s">
        <v>839</v>
      </c>
      <c r="O140" s="376">
        <v>111749</v>
      </c>
      <c r="P140" s="376">
        <v>147149</v>
      </c>
      <c r="Q140" s="376">
        <v>391073</v>
      </c>
      <c r="R140" s="376">
        <v>318217</v>
      </c>
      <c r="S140" s="376" t="s">
        <v>839</v>
      </c>
      <c r="T140" s="376">
        <v>711414</v>
      </c>
      <c r="U140" s="376">
        <v>74639</v>
      </c>
      <c r="V140" s="376" t="s">
        <v>839</v>
      </c>
      <c r="W140" s="381" t="s">
        <v>850</v>
      </c>
    </row>
    <row r="141" spans="1:23" s="376" customFormat="1" ht="9.75" customHeight="1" x14ac:dyDescent="0.15">
      <c r="A141" s="756" t="s">
        <v>690</v>
      </c>
      <c r="B141" s="376" t="s">
        <v>839</v>
      </c>
      <c r="C141" s="376" t="s">
        <v>839</v>
      </c>
      <c r="D141" s="376" t="s">
        <v>839</v>
      </c>
      <c r="E141" s="376">
        <v>49260</v>
      </c>
      <c r="F141" s="376" t="s">
        <v>839</v>
      </c>
      <c r="G141" s="376" t="s">
        <v>839</v>
      </c>
      <c r="H141" s="376" t="s">
        <v>839</v>
      </c>
      <c r="I141" s="376" t="s">
        <v>839</v>
      </c>
      <c r="J141" s="376" t="s">
        <v>839</v>
      </c>
      <c r="K141" s="376" t="s">
        <v>839</v>
      </c>
      <c r="L141" s="376" t="s">
        <v>839</v>
      </c>
      <c r="M141" s="376" t="s">
        <v>839</v>
      </c>
      <c r="N141" s="376" t="s">
        <v>839</v>
      </c>
      <c r="O141" s="376">
        <v>101552</v>
      </c>
      <c r="P141" s="376">
        <v>341707</v>
      </c>
      <c r="Q141" s="376">
        <v>128834</v>
      </c>
      <c r="R141" s="376">
        <v>391180</v>
      </c>
      <c r="S141" s="376" t="s">
        <v>839</v>
      </c>
      <c r="T141" s="376">
        <v>343798</v>
      </c>
      <c r="U141" s="376" t="s">
        <v>839</v>
      </c>
      <c r="V141" s="376" t="s">
        <v>839</v>
      </c>
      <c r="W141" s="381" t="s">
        <v>77</v>
      </c>
    </row>
    <row r="142" spans="1:23" s="376" customFormat="1" ht="9.75" customHeight="1" x14ac:dyDescent="0.15">
      <c r="A142" s="757" t="s">
        <v>691</v>
      </c>
      <c r="B142" s="380" t="s">
        <v>839</v>
      </c>
      <c r="C142" s="379" t="s">
        <v>839</v>
      </c>
      <c r="D142" s="379" t="s">
        <v>839</v>
      </c>
      <c r="E142" s="379" t="s">
        <v>839</v>
      </c>
      <c r="F142" s="379" t="s">
        <v>839</v>
      </c>
      <c r="G142" s="379">
        <v>40364</v>
      </c>
      <c r="H142" s="379" t="s">
        <v>839</v>
      </c>
      <c r="I142" s="379" t="s">
        <v>839</v>
      </c>
      <c r="J142" s="379" t="s">
        <v>839</v>
      </c>
      <c r="K142" s="379">
        <v>40182</v>
      </c>
      <c r="L142" s="379" t="s">
        <v>839</v>
      </c>
      <c r="M142" s="379" t="s">
        <v>839</v>
      </c>
      <c r="N142" s="379" t="s">
        <v>839</v>
      </c>
      <c r="O142" s="379">
        <v>118032</v>
      </c>
      <c r="P142" s="379">
        <v>205169</v>
      </c>
      <c r="Q142" s="379">
        <v>396924</v>
      </c>
      <c r="R142" s="379">
        <v>478000</v>
      </c>
      <c r="S142" s="379" t="s">
        <v>839</v>
      </c>
      <c r="T142" s="379">
        <v>457382</v>
      </c>
      <c r="U142" s="379" t="s">
        <v>839</v>
      </c>
      <c r="V142" s="379" t="s">
        <v>839</v>
      </c>
      <c r="W142" s="377" t="s">
        <v>78</v>
      </c>
    </row>
    <row r="143" spans="1:23" ht="12" customHeight="1" x14ac:dyDescent="0.15"/>
    <row r="144" spans="1:23" ht="12" customHeight="1" x14ac:dyDescent="0.15"/>
    <row r="145" spans="1:23" ht="12" customHeight="1" x14ac:dyDescent="0.15">
      <c r="K145" s="391" t="s">
        <v>97</v>
      </c>
      <c r="V145" s="394" t="s">
        <v>984</v>
      </c>
    </row>
    <row r="146" spans="1:23" s="387" customFormat="1" ht="21" customHeight="1" x14ac:dyDescent="0.15">
      <c r="A146" s="1023" t="s">
        <v>185</v>
      </c>
      <c r="B146" s="390" t="s">
        <v>310</v>
      </c>
      <c r="C146" s="389"/>
      <c r="D146" s="389"/>
      <c r="E146" s="389"/>
      <c r="F146" s="389"/>
      <c r="G146" s="389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1026" t="s">
        <v>83</v>
      </c>
    </row>
    <row r="147" spans="1:23" s="387" customFormat="1" ht="21" customHeight="1" x14ac:dyDescent="0.15">
      <c r="A147" s="1024"/>
      <c r="B147" s="390" t="s">
        <v>988</v>
      </c>
      <c r="C147" s="389"/>
      <c r="D147" s="389"/>
      <c r="E147" s="389"/>
      <c r="F147" s="389"/>
      <c r="G147" s="389"/>
      <c r="H147" s="389"/>
      <c r="I147" s="389"/>
      <c r="J147" s="389"/>
      <c r="K147" s="732"/>
      <c r="L147" s="733" t="s">
        <v>272</v>
      </c>
      <c r="M147" s="389"/>
      <c r="N147" s="732"/>
      <c r="O147" s="733" t="s">
        <v>271</v>
      </c>
      <c r="P147" s="732"/>
      <c r="Q147" s="733" t="s">
        <v>256</v>
      </c>
      <c r="R147" s="389"/>
      <c r="S147" s="389"/>
      <c r="T147" s="389"/>
      <c r="U147" s="732"/>
      <c r="V147" s="733" t="s">
        <v>255</v>
      </c>
      <c r="W147" s="1027"/>
    </row>
    <row r="148" spans="1:23" s="387" customFormat="1" ht="52.5" customHeight="1" x14ac:dyDescent="0.15">
      <c r="A148" s="1025"/>
      <c r="B148" s="388" t="s">
        <v>314</v>
      </c>
      <c r="C148" s="393" t="s">
        <v>979</v>
      </c>
      <c r="D148" s="388" t="s">
        <v>262</v>
      </c>
      <c r="E148" s="388" t="s">
        <v>260</v>
      </c>
      <c r="F148" s="388" t="s">
        <v>294</v>
      </c>
      <c r="G148" s="388" t="s">
        <v>732</v>
      </c>
      <c r="H148" s="388" t="s">
        <v>259</v>
      </c>
      <c r="I148" s="388" t="s">
        <v>313</v>
      </c>
      <c r="J148" s="388" t="s">
        <v>641</v>
      </c>
      <c r="K148" s="388" t="s">
        <v>642</v>
      </c>
      <c r="L148" s="735" t="s">
        <v>980</v>
      </c>
      <c r="M148" s="388" t="s">
        <v>258</v>
      </c>
      <c r="N148" s="388" t="s">
        <v>311</v>
      </c>
      <c r="O148" s="735" t="s">
        <v>982</v>
      </c>
      <c r="P148" s="388" t="s">
        <v>257</v>
      </c>
      <c r="Q148" s="735" t="s">
        <v>983</v>
      </c>
      <c r="R148" s="388" t="s">
        <v>253</v>
      </c>
      <c r="S148" s="388" t="s">
        <v>252</v>
      </c>
      <c r="T148" s="388" t="s">
        <v>251</v>
      </c>
      <c r="U148" s="388" t="s">
        <v>985</v>
      </c>
      <c r="V148" s="734" t="s">
        <v>986</v>
      </c>
      <c r="W148" s="1028"/>
    </row>
    <row r="149" spans="1:23" s="376" customFormat="1" ht="9.75" customHeight="1" x14ac:dyDescent="0.15">
      <c r="A149" s="755" t="s">
        <v>838</v>
      </c>
      <c r="B149" s="386" t="s">
        <v>839</v>
      </c>
      <c r="C149" s="385">
        <v>279931</v>
      </c>
      <c r="D149" s="385" t="s">
        <v>839</v>
      </c>
      <c r="E149" s="385">
        <v>89484</v>
      </c>
      <c r="F149" s="385" t="s">
        <v>839</v>
      </c>
      <c r="G149" s="385" t="s">
        <v>839</v>
      </c>
      <c r="H149" s="385">
        <v>2017130</v>
      </c>
      <c r="I149" s="385">
        <v>122015</v>
      </c>
      <c r="J149" s="385" t="s">
        <v>839</v>
      </c>
      <c r="K149" s="385" t="s">
        <v>839</v>
      </c>
      <c r="L149" s="385">
        <v>1235912</v>
      </c>
      <c r="M149" s="385">
        <v>1103906</v>
      </c>
      <c r="N149" s="385">
        <v>132006</v>
      </c>
      <c r="O149" s="385">
        <v>391362</v>
      </c>
      <c r="P149" s="385">
        <v>391362</v>
      </c>
      <c r="Q149" s="385">
        <v>473779</v>
      </c>
      <c r="R149" s="385">
        <v>159613</v>
      </c>
      <c r="S149" s="385">
        <v>273089</v>
      </c>
      <c r="T149" s="385" t="s">
        <v>839</v>
      </c>
      <c r="U149" s="385">
        <v>41077</v>
      </c>
      <c r="V149" s="385">
        <v>396074</v>
      </c>
      <c r="W149" s="383" t="s">
        <v>457</v>
      </c>
    </row>
    <row r="150" spans="1:23" s="376" customFormat="1" ht="9.75" customHeight="1" x14ac:dyDescent="0.15">
      <c r="A150" s="756" t="s">
        <v>669</v>
      </c>
      <c r="B150" s="376" t="s">
        <v>839</v>
      </c>
      <c r="C150" s="376" t="s">
        <v>839</v>
      </c>
      <c r="D150" s="376" t="s">
        <v>839</v>
      </c>
      <c r="E150" s="376">
        <v>290240</v>
      </c>
      <c r="F150" s="376" t="s">
        <v>839</v>
      </c>
      <c r="G150" s="376" t="s">
        <v>839</v>
      </c>
      <c r="H150" s="376">
        <v>1506894</v>
      </c>
      <c r="I150" s="376">
        <v>82254</v>
      </c>
      <c r="J150" s="376" t="s">
        <v>839</v>
      </c>
      <c r="K150" s="376" t="s">
        <v>839</v>
      </c>
      <c r="L150" s="376">
        <v>1804166</v>
      </c>
      <c r="M150" s="376">
        <v>1504364</v>
      </c>
      <c r="N150" s="376">
        <v>299802</v>
      </c>
      <c r="O150" s="376">
        <v>506857</v>
      </c>
      <c r="P150" s="376">
        <v>506857</v>
      </c>
      <c r="Q150" s="376">
        <v>505917</v>
      </c>
      <c r="R150" s="376">
        <v>345615</v>
      </c>
      <c r="S150" s="376">
        <v>148543</v>
      </c>
      <c r="T150" s="376" t="s">
        <v>839</v>
      </c>
      <c r="U150" s="376">
        <v>11759</v>
      </c>
      <c r="V150" s="376">
        <v>772168</v>
      </c>
      <c r="W150" s="381" t="s">
        <v>512</v>
      </c>
    </row>
    <row r="151" spans="1:23" s="376" customFormat="1" ht="9.75" customHeight="1" x14ac:dyDescent="0.15">
      <c r="A151" s="756" t="s">
        <v>670</v>
      </c>
      <c r="B151" s="376" t="s">
        <v>839</v>
      </c>
      <c r="C151" s="376" t="s">
        <v>839</v>
      </c>
      <c r="D151" s="376" t="s">
        <v>839</v>
      </c>
      <c r="E151" s="376">
        <v>153215</v>
      </c>
      <c r="F151" s="376" t="s">
        <v>839</v>
      </c>
      <c r="G151" s="376" t="s">
        <v>839</v>
      </c>
      <c r="H151" s="376">
        <v>1292660</v>
      </c>
      <c r="I151" s="376">
        <v>129163</v>
      </c>
      <c r="J151" s="376">
        <v>40421</v>
      </c>
      <c r="K151" s="376" t="s">
        <v>839</v>
      </c>
      <c r="L151" s="376">
        <v>2463950</v>
      </c>
      <c r="M151" s="376">
        <v>2221850</v>
      </c>
      <c r="N151" s="376">
        <v>242100</v>
      </c>
      <c r="O151" s="376">
        <v>1027905</v>
      </c>
      <c r="P151" s="376">
        <v>1027905</v>
      </c>
      <c r="Q151" s="376">
        <v>1180307</v>
      </c>
      <c r="R151" s="376">
        <v>500734</v>
      </c>
      <c r="S151" s="376">
        <v>638148</v>
      </c>
      <c r="T151" s="376">
        <v>41425</v>
      </c>
      <c r="U151" s="376" t="s">
        <v>839</v>
      </c>
      <c r="V151" s="376">
        <v>993090</v>
      </c>
      <c r="W151" s="381" t="s">
        <v>620</v>
      </c>
    </row>
    <row r="152" spans="1:23" s="376" customFormat="1" ht="9.75" customHeight="1" x14ac:dyDescent="0.15">
      <c r="A152" s="756" t="s">
        <v>671</v>
      </c>
      <c r="B152" s="376" t="s">
        <v>839</v>
      </c>
      <c r="C152" s="376">
        <v>4626</v>
      </c>
      <c r="D152" s="376" t="s">
        <v>839</v>
      </c>
      <c r="E152" s="376">
        <v>853387</v>
      </c>
      <c r="F152" s="376">
        <v>34699</v>
      </c>
      <c r="G152" s="376">
        <v>45340</v>
      </c>
      <c r="H152" s="376">
        <v>868769</v>
      </c>
      <c r="I152" s="376" t="s">
        <v>839</v>
      </c>
      <c r="J152" s="376" t="s">
        <v>839</v>
      </c>
      <c r="K152" s="376">
        <v>98943</v>
      </c>
      <c r="L152" s="376">
        <v>2554921</v>
      </c>
      <c r="M152" s="376">
        <v>2554921</v>
      </c>
      <c r="N152" s="376" t="s">
        <v>839</v>
      </c>
      <c r="O152" s="376">
        <v>1257626</v>
      </c>
      <c r="P152" s="376">
        <v>1257626</v>
      </c>
      <c r="Q152" s="376">
        <v>969199</v>
      </c>
      <c r="R152" s="376">
        <v>680446</v>
      </c>
      <c r="S152" s="376">
        <v>288753</v>
      </c>
      <c r="T152" s="376" t="s">
        <v>839</v>
      </c>
      <c r="U152" s="376" t="s">
        <v>839</v>
      </c>
      <c r="V152" s="376">
        <v>1331381</v>
      </c>
      <c r="W152" s="381" t="s">
        <v>672</v>
      </c>
    </row>
    <row r="153" spans="1:23" s="376" customFormat="1" ht="9.75" customHeight="1" x14ac:dyDescent="0.15">
      <c r="A153" s="756" t="s">
        <v>840</v>
      </c>
      <c r="B153" s="376">
        <v>80648</v>
      </c>
      <c r="C153" s="376">
        <v>114731</v>
      </c>
      <c r="D153" s="376">
        <v>51341</v>
      </c>
      <c r="E153" s="376">
        <v>535178</v>
      </c>
      <c r="F153" s="376">
        <v>151378</v>
      </c>
      <c r="G153" s="376" t="s">
        <v>839</v>
      </c>
      <c r="H153" s="376">
        <v>184554</v>
      </c>
      <c r="I153" s="376">
        <v>90466</v>
      </c>
      <c r="J153" s="376" t="s">
        <v>839</v>
      </c>
      <c r="K153" s="376" t="s">
        <v>839</v>
      </c>
      <c r="L153" s="376">
        <v>1284352</v>
      </c>
      <c r="M153" s="376">
        <v>1284352</v>
      </c>
      <c r="N153" s="376" t="s">
        <v>839</v>
      </c>
      <c r="O153" s="376">
        <v>1279585</v>
      </c>
      <c r="P153" s="376">
        <v>1279585</v>
      </c>
      <c r="Q153" s="376">
        <v>986716</v>
      </c>
      <c r="R153" s="376">
        <v>844447</v>
      </c>
      <c r="S153" s="376">
        <v>142269</v>
      </c>
      <c r="T153" s="376" t="s">
        <v>839</v>
      </c>
      <c r="U153" s="376" t="s">
        <v>839</v>
      </c>
      <c r="V153" s="376">
        <v>729170</v>
      </c>
      <c r="W153" s="381" t="s">
        <v>841</v>
      </c>
    </row>
    <row r="154" spans="1:23" s="376" customFormat="1" ht="6.75" customHeight="1" x14ac:dyDescent="0.15">
      <c r="A154" s="787"/>
      <c r="W154" s="381"/>
    </row>
    <row r="155" spans="1:23" s="376" customFormat="1" ht="9.75" customHeight="1" x14ac:dyDescent="0.15">
      <c r="A155" s="756" t="s">
        <v>842</v>
      </c>
      <c r="B155" s="376">
        <v>80648</v>
      </c>
      <c r="C155" s="376">
        <v>119357</v>
      </c>
      <c r="D155" s="376" t="s">
        <v>839</v>
      </c>
      <c r="E155" s="376">
        <v>901284</v>
      </c>
      <c r="F155" s="376">
        <v>34699</v>
      </c>
      <c r="G155" s="376">
        <v>45340</v>
      </c>
      <c r="H155" s="376">
        <v>765343</v>
      </c>
      <c r="I155" s="376">
        <v>90466</v>
      </c>
      <c r="J155" s="376" t="s">
        <v>839</v>
      </c>
      <c r="K155" s="376" t="s">
        <v>839</v>
      </c>
      <c r="L155" s="376">
        <v>2105676</v>
      </c>
      <c r="M155" s="376">
        <v>2105676</v>
      </c>
      <c r="N155" s="376" t="s">
        <v>839</v>
      </c>
      <c r="O155" s="376">
        <v>1360458</v>
      </c>
      <c r="P155" s="376">
        <v>1360458</v>
      </c>
      <c r="Q155" s="376">
        <v>899820</v>
      </c>
      <c r="R155" s="376">
        <v>514622</v>
      </c>
      <c r="S155" s="376">
        <v>385198</v>
      </c>
      <c r="T155" s="376" t="s">
        <v>839</v>
      </c>
      <c r="U155" s="376" t="s">
        <v>839</v>
      </c>
      <c r="V155" s="376">
        <v>1189761</v>
      </c>
      <c r="W155" s="381" t="s">
        <v>673</v>
      </c>
    </row>
    <row r="156" spans="1:23" s="376" customFormat="1" ht="9.75" customHeight="1" x14ac:dyDescent="0.15">
      <c r="A156" s="756" t="s">
        <v>843</v>
      </c>
      <c r="B156" s="376" t="s">
        <v>839</v>
      </c>
      <c r="C156" s="376" t="s">
        <v>839</v>
      </c>
      <c r="D156" s="376">
        <v>51341</v>
      </c>
      <c r="E156" s="376">
        <v>455937</v>
      </c>
      <c r="F156" s="376">
        <v>151378</v>
      </c>
      <c r="G156" s="376" t="s">
        <v>839</v>
      </c>
      <c r="H156" s="376">
        <v>84799</v>
      </c>
      <c r="I156" s="376" t="s">
        <v>839</v>
      </c>
      <c r="J156" s="376" t="s">
        <v>839</v>
      </c>
      <c r="K156" s="376" t="s">
        <v>839</v>
      </c>
      <c r="L156" s="376">
        <v>861464</v>
      </c>
      <c r="M156" s="376">
        <v>861464</v>
      </c>
      <c r="N156" s="376" t="s">
        <v>839</v>
      </c>
      <c r="O156" s="376">
        <v>1117357</v>
      </c>
      <c r="P156" s="376">
        <v>1117357</v>
      </c>
      <c r="Q156" s="376">
        <v>1199057</v>
      </c>
      <c r="R156" s="376">
        <v>1153233</v>
      </c>
      <c r="S156" s="376">
        <v>45824</v>
      </c>
      <c r="T156" s="376" t="s">
        <v>839</v>
      </c>
      <c r="U156" s="376" t="s">
        <v>839</v>
      </c>
      <c r="V156" s="376">
        <v>680939</v>
      </c>
      <c r="W156" s="381" t="s">
        <v>844</v>
      </c>
    </row>
    <row r="157" spans="1:23" s="376" customFormat="1" ht="6.75" customHeight="1" x14ac:dyDescent="0.15">
      <c r="A157" s="787"/>
      <c r="W157" s="381"/>
    </row>
    <row r="158" spans="1:23" s="376" customFormat="1" ht="9.75" customHeight="1" x14ac:dyDescent="0.15">
      <c r="A158" s="756" t="s">
        <v>845</v>
      </c>
      <c r="B158" s="376">
        <v>80648</v>
      </c>
      <c r="C158" s="376">
        <v>114731</v>
      </c>
      <c r="D158" s="376" t="s">
        <v>839</v>
      </c>
      <c r="E158" s="376">
        <v>153880</v>
      </c>
      <c r="F158" s="376" t="s">
        <v>839</v>
      </c>
      <c r="G158" s="376" t="s">
        <v>839</v>
      </c>
      <c r="H158" s="376">
        <v>99755</v>
      </c>
      <c r="I158" s="376">
        <v>90466</v>
      </c>
      <c r="J158" s="376" t="s">
        <v>839</v>
      </c>
      <c r="K158" s="376" t="s">
        <v>839</v>
      </c>
      <c r="L158" s="376">
        <v>547110</v>
      </c>
      <c r="M158" s="376">
        <v>547110</v>
      </c>
      <c r="N158" s="376" t="s">
        <v>839</v>
      </c>
      <c r="O158" s="376">
        <v>361992</v>
      </c>
      <c r="P158" s="376">
        <v>361992</v>
      </c>
      <c r="Q158" s="376">
        <v>96445</v>
      </c>
      <c r="R158" s="376" t="s">
        <v>839</v>
      </c>
      <c r="S158" s="376">
        <v>96445</v>
      </c>
      <c r="T158" s="376" t="s">
        <v>839</v>
      </c>
      <c r="U158" s="376" t="s">
        <v>839</v>
      </c>
      <c r="V158" s="376">
        <v>180295</v>
      </c>
      <c r="W158" s="381" t="s">
        <v>677</v>
      </c>
    </row>
    <row r="159" spans="1:23" s="376" customFormat="1" ht="9.75" customHeight="1" x14ac:dyDescent="0.15">
      <c r="A159" s="756" t="s">
        <v>674</v>
      </c>
      <c r="B159" s="376" t="s">
        <v>839</v>
      </c>
      <c r="C159" s="376" t="s">
        <v>839</v>
      </c>
      <c r="D159" s="376" t="s">
        <v>839</v>
      </c>
      <c r="E159" s="376">
        <v>232821</v>
      </c>
      <c r="F159" s="376" t="s">
        <v>839</v>
      </c>
      <c r="G159" s="376" t="s">
        <v>839</v>
      </c>
      <c r="H159" s="376">
        <v>84799</v>
      </c>
      <c r="I159" s="376" t="s">
        <v>839</v>
      </c>
      <c r="J159" s="376" t="s">
        <v>839</v>
      </c>
      <c r="K159" s="376" t="s">
        <v>839</v>
      </c>
      <c r="L159" s="376">
        <v>241001</v>
      </c>
      <c r="M159" s="376">
        <v>241001</v>
      </c>
      <c r="N159" s="376" t="s">
        <v>839</v>
      </c>
      <c r="O159" s="376">
        <v>257634</v>
      </c>
      <c r="P159" s="376">
        <v>257634</v>
      </c>
      <c r="Q159" s="376">
        <v>203111</v>
      </c>
      <c r="R159" s="376">
        <v>203111</v>
      </c>
      <c r="S159" s="376" t="s">
        <v>839</v>
      </c>
      <c r="T159" s="376" t="s">
        <v>839</v>
      </c>
      <c r="U159" s="376" t="s">
        <v>839</v>
      </c>
      <c r="V159" s="376">
        <v>152027</v>
      </c>
      <c r="W159" s="381" t="s">
        <v>89</v>
      </c>
    </row>
    <row r="160" spans="1:23" s="376" customFormat="1" ht="9.75" customHeight="1" x14ac:dyDescent="0.15">
      <c r="A160" s="756" t="s">
        <v>675</v>
      </c>
      <c r="B160" s="376" t="s">
        <v>839</v>
      </c>
      <c r="C160" s="376" t="s">
        <v>839</v>
      </c>
      <c r="D160" s="376" t="s">
        <v>839</v>
      </c>
      <c r="E160" s="376">
        <v>73584</v>
      </c>
      <c r="F160" s="376">
        <v>89531</v>
      </c>
      <c r="G160" s="376" t="s">
        <v>839</v>
      </c>
      <c r="H160" s="376" t="s">
        <v>839</v>
      </c>
      <c r="I160" s="376" t="s">
        <v>839</v>
      </c>
      <c r="J160" s="376" t="s">
        <v>839</v>
      </c>
      <c r="K160" s="376" t="s">
        <v>839</v>
      </c>
      <c r="L160" s="376">
        <v>200663</v>
      </c>
      <c r="M160" s="376">
        <v>200663</v>
      </c>
      <c r="N160" s="376" t="s">
        <v>839</v>
      </c>
      <c r="O160" s="376">
        <v>304805</v>
      </c>
      <c r="P160" s="376">
        <v>304805</v>
      </c>
      <c r="Q160" s="376">
        <v>176103</v>
      </c>
      <c r="R160" s="376">
        <v>176103</v>
      </c>
      <c r="S160" s="376" t="s">
        <v>839</v>
      </c>
      <c r="T160" s="376" t="s">
        <v>839</v>
      </c>
      <c r="U160" s="376" t="s">
        <v>839</v>
      </c>
      <c r="V160" s="376">
        <v>164500</v>
      </c>
      <c r="W160" s="381" t="s">
        <v>90</v>
      </c>
    </row>
    <row r="161" spans="1:23" s="376" customFormat="1" ht="9.75" customHeight="1" x14ac:dyDescent="0.15">
      <c r="A161" s="756" t="s">
        <v>676</v>
      </c>
      <c r="B161" s="376" t="s">
        <v>839</v>
      </c>
      <c r="C161" s="376" t="s">
        <v>839</v>
      </c>
      <c r="D161" s="376">
        <v>51341</v>
      </c>
      <c r="E161" s="376">
        <v>74893</v>
      </c>
      <c r="F161" s="376">
        <v>61847</v>
      </c>
      <c r="G161" s="376" t="s">
        <v>839</v>
      </c>
      <c r="H161" s="376" t="s">
        <v>839</v>
      </c>
      <c r="I161" s="376" t="s">
        <v>839</v>
      </c>
      <c r="J161" s="376" t="s">
        <v>839</v>
      </c>
      <c r="K161" s="376" t="s">
        <v>839</v>
      </c>
      <c r="L161" s="376">
        <v>295578</v>
      </c>
      <c r="M161" s="376">
        <v>295578</v>
      </c>
      <c r="N161" s="376" t="s">
        <v>839</v>
      </c>
      <c r="O161" s="376">
        <v>355154</v>
      </c>
      <c r="P161" s="376">
        <v>355154</v>
      </c>
      <c r="Q161" s="376">
        <v>511057</v>
      </c>
      <c r="R161" s="376">
        <v>465233</v>
      </c>
      <c r="S161" s="376">
        <v>45824</v>
      </c>
      <c r="T161" s="376" t="s">
        <v>839</v>
      </c>
      <c r="U161" s="376" t="s">
        <v>839</v>
      </c>
      <c r="V161" s="376">
        <v>232348</v>
      </c>
      <c r="W161" s="381" t="s">
        <v>91</v>
      </c>
    </row>
    <row r="162" spans="1:23" s="376" customFormat="1" ht="9.75" customHeight="1" x14ac:dyDescent="0.15">
      <c r="A162" s="756" t="s">
        <v>846</v>
      </c>
      <c r="B162" s="376" t="s">
        <v>839</v>
      </c>
      <c r="C162" s="376" t="s">
        <v>839</v>
      </c>
      <c r="D162" s="376" t="s">
        <v>839</v>
      </c>
      <c r="E162" s="376">
        <v>74639</v>
      </c>
      <c r="F162" s="376" t="s">
        <v>839</v>
      </c>
      <c r="G162" s="376" t="s">
        <v>839</v>
      </c>
      <c r="H162" s="376" t="s">
        <v>839</v>
      </c>
      <c r="I162" s="376" t="s">
        <v>839</v>
      </c>
      <c r="J162" s="376" t="s">
        <v>839</v>
      </c>
      <c r="K162" s="376" t="s">
        <v>839</v>
      </c>
      <c r="L162" s="376">
        <v>124222</v>
      </c>
      <c r="M162" s="376">
        <v>124222</v>
      </c>
      <c r="N162" s="376" t="s">
        <v>839</v>
      </c>
      <c r="O162" s="376">
        <v>199764</v>
      </c>
      <c r="P162" s="376">
        <v>199764</v>
      </c>
      <c r="Q162" s="376">
        <v>308786</v>
      </c>
      <c r="R162" s="376">
        <v>308786</v>
      </c>
      <c r="S162" s="376" t="s">
        <v>839</v>
      </c>
      <c r="T162" s="376" t="s">
        <v>839</v>
      </c>
      <c r="U162" s="376" t="s">
        <v>839</v>
      </c>
      <c r="V162" s="376">
        <v>132064</v>
      </c>
      <c r="W162" s="381" t="s">
        <v>847</v>
      </c>
    </row>
    <row r="163" spans="1:23" s="376" customFormat="1" ht="6.75" customHeight="1" x14ac:dyDescent="0.15">
      <c r="A163" s="787"/>
      <c r="W163" s="381"/>
    </row>
    <row r="164" spans="1:23" s="376" customFormat="1" ht="9.75" customHeight="1" x14ac:dyDescent="0.15">
      <c r="A164" s="756" t="s">
        <v>848</v>
      </c>
      <c r="B164" s="376" t="s">
        <v>839</v>
      </c>
      <c r="C164" s="376">
        <v>114731</v>
      </c>
      <c r="D164" s="376" t="s">
        <v>839</v>
      </c>
      <c r="E164" s="376">
        <v>79751</v>
      </c>
      <c r="F164" s="376" t="s">
        <v>839</v>
      </c>
      <c r="G164" s="376" t="s">
        <v>839</v>
      </c>
      <c r="H164" s="376">
        <v>59545</v>
      </c>
      <c r="I164" s="376" t="s">
        <v>839</v>
      </c>
      <c r="J164" s="376" t="s">
        <v>839</v>
      </c>
      <c r="K164" s="376" t="s">
        <v>839</v>
      </c>
      <c r="L164" s="376">
        <v>316754</v>
      </c>
      <c r="M164" s="376">
        <v>316754</v>
      </c>
      <c r="N164" s="376" t="s">
        <v>839</v>
      </c>
      <c r="O164" s="376">
        <v>154149</v>
      </c>
      <c r="P164" s="376">
        <v>154149</v>
      </c>
      <c r="Q164" s="376">
        <v>96445</v>
      </c>
      <c r="R164" s="376" t="s">
        <v>839</v>
      </c>
      <c r="S164" s="376">
        <v>96445</v>
      </c>
      <c r="T164" s="376" t="s">
        <v>839</v>
      </c>
      <c r="U164" s="376" t="s">
        <v>839</v>
      </c>
      <c r="V164" s="376">
        <v>79372</v>
      </c>
      <c r="W164" s="381" t="s">
        <v>689</v>
      </c>
    </row>
    <row r="165" spans="1:23" s="376" customFormat="1" ht="9.75" customHeight="1" x14ac:dyDescent="0.15">
      <c r="A165" s="756" t="s">
        <v>678</v>
      </c>
      <c r="B165" s="376" t="s">
        <v>839</v>
      </c>
      <c r="C165" s="376" t="s">
        <v>839</v>
      </c>
      <c r="D165" s="376" t="s">
        <v>839</v>
      </c>
      <c r="E165" s="376" t="s">
        <v>839</v>
      </c>
      <c r="F165" s="376" t="s">
        <v>839</v>
      </c>
      <c r="G165" s="376" t="s">
        <v>839</v>
      </c>
      <c r="H165" s="376">
        <v>40210</v>
      </c>
      <c r="I165" s="376" t="s">
        <v>839</v>
      </c>
      <c r="J165" s="376" t="s">
        <v>839</v>
      </c>
      <c r="K165" s="376" t="s">
        <v>839</v>
      </c>
      <c r="L165" s="376">
        <v>186298</v>
      </c>
      <c r="M165" s="376">
        <v>186298</v>
      </c>
      <c r="N165" s="376" t="s">
        <v>839</v>
      </c>
      <c r="O165" s="376">
        <v>104404</v>
      </c>
      <c r="P165" s="376">
        <v>104404</v>
      </c>
      <c r="Q165" s="376" t="s">
        <v>839</v>
      </c>
      <c r="R165" s="376" t="s">
        <v>839</v>
      </c>
      <c r="S165" s="376" t="s">
        <v>839</v>
      </c>
      <c r="T165" s="376" t="s">
        <v>839</v>
      </c>
      <c r="U165" s="376" t="s">
        <v>839</v>
      </c>
      <c r="V165" s="376">
        <v>59715</v>
      </c>
      <c r="W165" s="381" t="s">
        <v>77</v>
      </c>
    </row>
    <row r="166" spans="1:23" s="376" customFormat="1" ht="9.75" customHeight="1" x14ac:dyDescent="0.15">
      <c r="A166" s="756" t="s">
        <v>679</v>
      </c>
      <c r="B166" s="376">
        <v>80648</v>
      </c>
      <c r="C166" s="376" t="s">
        <v>839</v>
      </c>
      <c r="D166" s="376" t="s">
        <v>839</v>
      </c>
      <c r="E166" s="376">
        <v>74129</v>
      </c>
      <c r="F166" s="376" t="s">
        <v>839</v>
      </c>
      <c r="G166" s="376" t="s">
        <v>839</v>
      </c>
      <c r="H166" s="376" t="s">
        <v>839</v>
      </c>
      <c r="I166" s="376">
        <v>90466</v>
      </c>
      <c r="J166" s="376" t="s">
        <v>839</v>
      </c>
      <c r="K166" s="376" t="s">
        <v>839</v>
      </c>
      <c r="L166" s="376">
        <v>44058</v>
      </c>
      <c r="M166" s="376">
        <v>44058</v>
      </c>
      <c r="N166" s="376" t="s">
        <v>839</v>
      </c>
      <c r="O166" s="376">
        <v>103439</v>
      </c>
      <c r="P166" s="376">
        <v>103439</v>
      </c>
      <c r="Q166" s="376" t="s">
        <v>839</v>
      </c>
      <c r="R166" s="376" t="s">
        <v>839</v>
      </c>
      <c r="S166" s="376" t="s">
        <v>839</v>
      </c>
      <c r="T166" s="376" t="s">
        <v>839</v>
      </c>
      <c r="U166" s="376" t="s">
        <v>839</v>
      </c>
      <c r="V166" s="376">
        <v>41208</v>
      </c>
      <c r="W166" s="381" t="s">
        <v>78</v>
      </c>
    </row>
    <row r="167" spans="1:23" s="376" customFormat="1" ht="9.75" customHeight="1" x14ac:dyDescent="0.15">
      <c r="A167" s="756" t="s">
        <v>680</v>
      </c>
      <c r="B167" s="376" t="s">
        <v>839</v>
      </c>
      <c r="C167" s="376" t="s">
        <v>839</v>
      </c>
      <c r="D167" s="376" t="s">
        <v>839</v>
      </c>
      <c r="E167" s="376">
        <v>156003</v>
      </c>
      <c r="F167" s="376" t="s">
        <v>839</v>
      </c>
      <c r="G167" s="376" t="s">
        <v>839</v>
      </c>
      <c r="H167" s="376">
        <v>84799</v>
      </c>
      <c r="I167" s="376" t="s">
        <v>839</v>
      </c>
      <c r="J167" s="376" t="s">
        <v>839</v>
      </c>
      <c r="K167" s="376" t="s">
        <v>839</v>
      </c>
      <c r="L167" s="376">
        <v>90533</v>
      </c>
      <c r="M167" s="376">
        <v>90533</v>
      </c>
      <c r="N167" s="376" t="s">
        <v>839</v>
      </c>
      <c r="O167" s="376">
        <v>50572</v>
      </c>
      <c r="P167" s="376">
        <v>50572</v>
      </c>
      <c r="Q167" s="376">
        <v>105002</v>
      </c>
      <c r="R167" s="376">
        <v>105002</v>
      </c>
      <c r="S167" s="376" t="s">
        <v>839</v>
      </c>
      <c r="T167" s="376" t="s">
        <v>839</v>
      </c>
      <c r="U167" s="376" t="s">
        <v>839</v>
      </c>
      <c r="V167" s="376">
        <v>100732</v>
      </c>
      <c r="W167" s="381" t="s">
        <v>79</v>
      </c>
    </row>
    <row r="168" spans="1:23" s="376" customFormat="1" ht="9.75" customHeight="1" x14ac:dyDescent="0.15">
      <c r="A168" s="756" t="s">
        <v>681</v>
      </c>
      <c r="B168" s="376" t="s">
        <v>839</v>
      </c>
      <c r="C168" s="376" t="s">
        <v>839</v>
      </c>
      <c r="D168" s="376" t="s">
        <v>839</v>
      </c>
      <c r="E168" s="376">
        <v>14880</v>
      </c>
      <c r="F168" s="376" t="s">
        <v>839</v>
      </c>
      <c r="G168" s="376" t="s">
        <v>839</v>
      </c>
      <c r="H168" s="376" t="s">
        <v>839</v>
      </c>
      <c r="I168" s="376" t="s">
        <v>839</v>
      </c>
      <c r="J168" s="376" t="s">
        <v>839</v>
      </c>
      <c r="K168" s="376" t="s">
        <v>839</v>
      </c>
      <c r="L168" s="376">
        <v>59228</v>
      </c>
      <c r="M168" s="376">
        <v>59228</v>
      </c>
      <c r="N168" s="376" t="s">
        <v>839</v>
      </c>
      <c r="O168" s="376">
        <v>103364</v>
      </c>
      <c r="P168" s="376">
        <v>103364</v>
      </c>
      <c r="Q168" s="376">
        <v>32400</v>
      </c>
      <c r="R168" s="376">
        <v>32400</v>
      </c>
      <c r="S168" s="376" t="s">
        <v>839</v>
      </c>
      <c r="T168" s="376" t="s">
        <v>839</v>
      </c>
      <c r="U168" s="376" t="s">
        <v>839</v>
      </c>
      <c r="V168" s="376">
        <v>27681</v>
      </c>
      <c r="W168" s="381" t="s">
        <v>92</v>
      </c>
    </row>
    <row r="169" spans="1:23" s="376" customFormat="1" ht="9.75" customHeight="1" x14ac:dyDescent="0.15">
      <c r="A169" s="756" t="s">
        <v>682</v>
      </c>
      <c r="B169" s="376" t="s">
        <v>839</v>
      </c>
      <c r="C169" s="376" t="s">
        <v>839</v>
      </c>
      <c r="D169" s="376" t="s">
        <v>839</v>
      </c>
      <c r="E169" s="376">
        <v>61938</v>
      </c>
      <c r="F169" s="376" t="s">
        <v>839</v>
      </c>
      <c r="G169" s="376" t="s">
        <v>839</v>
      </c>
      <c r="H169" s="376" t="s">
        <v>839</v>
      </c>
      <c r="I169" s="376" t="s">
        <v>839</v>
      </c>
      <c r="J169" s="376" t="s">
        <v>839</v>
      </c>
      <c r="K169" s="376" t="s">
        <v>839</v>
      </c>
      <c r="L169" s="376">
        <v>91240</v>
      </c>
      <c r="M169" s="376">
        <v>91240</v>
      </c>
      <c r="N169" s="376" t="s">
        <v>839</v>
      </c>
      <c r="O169" s="376">
        <v>103698</v>
      </c>
      <c r="P169" s="376">
        <v>103698</v>
      </c>
      <c r="Q169" s="376">
        <v>65709</v>
      </c>
      <c r="R169" s="376">
        <v>65709</v>
      </c>
      <c r="S169" s="376" t="s">
        <v>839</v>
      </c>
      <c r="T169" s="376" t="s">
        <v>839</v>
      </c>
      <c r="U169" s="376" t="s">
        <v>839</v>
      </c>
      <c r="V169" s="376">
        <v>23614</v>
      </c>
      <c r="W169" s="381" t="s">
        <v>93</v>
      </c>
    </row>
    <row r="170" spans="1:23" s="376" customFormat="1" ht="9.75" customHeight="1" x14ac:dyDescent="0.15">
      <c r="A170" s="756" t="s">
        <v>683</v>
      </c>
      <c r="B170" s="376" t="s">
        <v>839</v>
      </c>
      <c r="C170" s="376" t="s">
        <v>839</v>
      </c>
      <c r="D170" s="376" t="s">
        <v>839</v>
      </c>
      <c r="E170" s="376" t="s">
        <v>839</v>
      </c>
      <c r="F170" s="376" t="s">
        <v>839</v>
      </c>
      <c r="G170" s="376" t="s">
        <v>839</v>
      </c>
      <c r="H170" s="376" t="s">
        <v>839</v>
      </c>
      <c r="I170" s="376" t="s">
        <v>839</v>
      </c>
      <c r="J170" s="376" t="s">
        <v>839</v>
      </c>
      <c r="K170" s="376" t="s">
        <v>839</v>
      </c>
      <c r="L170" s="376">
        <v>52377</v>
      </c>
      <c r="M170" s="376">
        <v>52377</v>
      </c>
      <c r="N170" s="376" t="s">
        <v>839</v>
      </c>
      <c r="O170" s="376">
        <v>99925</v>
      </c>
      <c r="P170" s="376">
        <v>99925</v>
      </c>
      <c r="Q170" s="376">
        <v>134555</v>
      </c>
      <c r="R170" s="376">
        <v>134555</v>
      </c>
      <c r="S170" s="376" t="s">
        <v>839</v>
      </c>
      <c r="T170" s="376" t="s">
        <v>839</v>
      </c>
      <c r="U170" s="376" t="s">
        <v>839</v>
      </c>
      <c r="V170" s="376">
        <v>79929</v>
      </c>
      <c r="W170" s="381" t="s">
        <v>94</v>
      </c>
    </row>
    <row r="171" spans="1:23" s="376" customFormat="1" ht="9.75" customHeight="1" x14ac:dyDescent="0.15">
      <c r="A171" s="756" t="s">
        <v>684</v>
      </c>
      <c r="B171" s="376" t="s">
        <v>839</v>
      </c>
      <c r="C171" s="376" t="s">
        <v>839</v>
      </c>
      <c r="D171" s="376" t="s">
        <v>839</v>
      </c>
      <c r="E171" s="376" t="s">
        <v>839</v>
      </c>
      <c r="F171" s="376">
        <v>66836</v>
      </c>
      <c r="G171" s="376" t="s">
        <v>839</v>
      </c>
      <c r="H171" s="376" t="s">
        <v>839</v>
      </c>
      <c r="I171" s="376" t="s">
        <v>839</v>
      </c>
      <c r="J171" s="376" t="s">
        <v>839</v>
      </c>
      <c r="K171" s="376" t="s">
        <v>839</v>
      </c>
      <c r="L171" s="376">
        <v>83094</v>
      </c>
      <c r="M171" s="376">
        <v>83094</v>
      </c>
      <c r="N171" s="376" t="s">
        <v>839</v>
      </c>
      <c r="O171" s="376">
        <v>156332</v>
      </c>
      <c r="P171" s="376">
        <v>156332</v>
      </c>
      <c r="Q171" s="376" t="s">
        <v>839</v>
      </c>
      <c r="R171" s="376" t="s">
        <v>839</v>
      </c>
      <c r="S171" s="376" t="s">
        <v>839</v>
      </c>
      <c r="T171" s="376" t="s">
        <v>839</v>
      </c>
      <c r="U171" s="376" t="s">
        <v>839</v>
      </c>
      <c r="V171" s="376">
        <v>32034</v>
      </c>
      <c r="W171" s="381" t="s">
        <v>95</v>
      </c>
    </row>
    <row r="172" spans="1:23" s="376" customFormat="1" ht="9.75" customHeight="1" x14ac:dyDescent="0.15">
      <c r="A172" s="756" t="s">
        <v>685</v>
      </c>
      <c r="B172" s="376" t="s">
        <v>839</v>
      </c>
      <c r="C172" s="376" t="s">
        <v>839</v>
      </c>
      <c r="D172" s="376" t="s">
        <v>839</v>
      </c>
      <c r="E172" s="376">
        <v>73584</v>
      </c>
      <c r="F172" s="376">
        <v>22695</v>
      </c>
      <c r="G172" s="376" t="s">
        <v>839</v>
      </c>
      <c r="H172" s="376" t="s">
        <v>839</v>
      </c>
      <c r="I172" s="376" t="s">
        <v>839</v>
      </c>
      <c r="J172" s="376" t="s">
        <v>839</v>
      </c>
      <c r="K172" s="376" t="s">
        <v>839</v>
      </c>
      <c r="L172" s="376">
        <v>65192</v>
      </c>
      <c r="M172" s="376">
        <v>65192</v>
      </c>
      <c r="N172" s="376" t="s">
        <v>839</v>
      </c>
      <c r="O172" s="376">
        <v>48548</v>
      </c>
      <c r="P172" s="376">
        <v>48548</v>
      </c>
      <c r="Q172" s="376">
        <v>41548</v>
      </c>
      <c r="R172" s="376">
        <v>41548</v>
      </c>
      <c r="S172" s="376" t="s">
        <v>839</v>
      </c>
      <c r="T172" s="376" t="s">
        <v>839</v>
      </c>
      <c r="U172" s="376" t="s">
        <v>839</v>
      </c>
      <c r="V172" s="376">
        <v>52537</v>
      </c>
      <c r="W172" s="381" t="s">
        <v>96</v>
      </c>
    </row>
    <row r="173" spans="1:23" s="376" customFormat="1" ht="9.75" customHeight="1" x14ac:dyDescent="0.15">
      <c r="A173" s="756" t="s">
        <v>686</v>
      </c>
      <c r="B173" s="376" t="s">
        <v>839</v>
      </c>
      <c r="C173" s="376" t="s">
        <v>839</v>
      </c>
      <c r="D173" s="376" t="s">
        <v>839</v>
      </c>
      <c r="E173" s="376">
        <v>51968</v>
      </c>
      <c r="F173" s="376">
        <v>58770</v>
      </c>
      <c r="G173" s="376" t="s">
        <v>839</v>
      </c>
      <c r="H173" s="376" t="s">
        <v>839</v>
      </c>
      <c r="I173" s="376" t="s">
        <v>839</v>
      </c>
      <c r="J173" s="376" t="s">
        <v>839</v>
      </c>
      <c r="K173" s="376" t="s">
        <v>839</v>
      </c>
      <c r="L173" s="376" t="s">
        <v>839</v>
      </c>
      <c r="M173" s="376" t="s">
        <v>839</v>
      </c>
      <c r="N173" s="376" t="s">
        <v>839</v>
      </c>
      <c r="O173" s="376">
        <v>98462</v>
      </c>
      <c r="P173" s="376">
        <v>98462</v>
      </c>
      <c r="Q173" s="376">
        <v>118950</v>
      </c>
      <c r="R173" s="376">
        <v>118950</v>
      </c>
      <c r="S173" s="376" t="s">
        <v>839</v>
      </c>
      <c r="T173" s="376" t="s">
        <v>839</v>
      </c>
      <c r="U173" s="376" t="s">
        <v>839</v>
      </c>
      <c r="V173" s="376">
        <v>50302</v>
      </c>
      <c r="W173" s="381" t="s">
        <v>80</v>
      </c>
    </row>
    <row r="174" spans="1:23" s="376" customFormat="1" ht="9.75" customHeight="1" x14ac:dyDescent="0.15">
      <c r="A174" s="756" t="s">
        <v>687</v>
      </c>
      <c r="B174" s="376" t="s">
        <v>839</v>
      </c>
      <c r="C174" s="376" t="s">
        <v>839</v>
      </c>
      <c r="D174" s="376" t="s">
        <v>839</v>
      </c>
      <c r="E174" s="376">
        <v>22925</v>
      </c>
      <c r="F174" s="376">
        <v>3077</v>
      </c>
      <c r="G174" s="376" t="s">
        <v>839</v>
      </c>
      <c r="H174" s="376" t="s">
        <v>839</v>
      </c>
      <c r="I174" s="376" t="s">
        <v>839</v>
      </c>
      <c r="J174" s="376" t="s">
        <v>839</v>
      </c>
      <c r="K174" s="376" t="s">
        <v>839</v>
      </c>
      <c r="L174" s="376">
        <v>154375</v>
      </c>
      <c r="M174" s="376">
        <v>154375</v>
      </c>
      <c r="N174" s="376" t="s">
        <v>839</v>
      </c>
      <c r="O174" s="376">
        <v>148471</v>
      </c>
      <c r="P174" s="376">
        <v>148471</v>
      </c>
      <c r="Q174" s="376">
        <v>181073</v>
      </c>
      <c r="R174" s="376">
        <v>135249</v>
      </c>
      <c r="S174" s="376">
        <v>45824</v>
      </c>
      <c r="T174" s="376" t="s">
        <v>839</v>
      </c>
      <c r="U174" s="376" t="s">
        <v>839</v>
      </c>
      <c r="V174" s="376">
        <v>153076</v>
      </c>
      <c r="W174" s="381" t="s">
        <v>81</v>
      </c>
    </row>
    <row r="175" spans="1:23" s="376" customFormat="1" ht="9.75" customHeight="1" x14ac:dyDescent="0.15">
      <c r="A175" s="756" t="s">
        <v>688</v>
      </c>
      <c r="B175" s="376" t="s">
        <v>839</v>
      </c>
      <c r="C175" s="376" t="s">
        <v>839</v>
      </c>
      <c r="D175" s="376">
        <v>51341</v>
      </c>
      <c r="E175" s="376" t="s">
        <v>839</v>
      </c>
      <c r="F175" s="376" t="s">
        <v>839</v>
      </c>
      <c r="G175" s="376" t="s">
        <v>839</v>
      </c>
      <c r="H175" s="376" t="s">
        <v>839</v>
      </c>
      <c r="I175" s="376" t="s">
        <v>839</v>
      </c>
      <c r="J175" s="376" t="s">
        <v>839</v>
      </c>
      <c r="K175" s="376" t="s">
        <v>839</v>
      </c>
      <c r="L175" s="376">
        <v>141203</v>
      </c>
      <c r="M175" s="376">
        <v>141203</v>
      </c>
      <c r="N175" s="376" t="s">
        <v>839</v>
      </c>
      <c r="O175" s="376">
        <v>108221</v>
      </c>
      <c r="P175" s="376">
        <v>108221</v>
      </c>
      <c r="Q175" s="376">
        <v>211034</v>
      </c>
      <c r="R175" s="376">
        <v>211034</v>
      </c>
      <c r="S175" s="376" t="s">
        <v>839</v>
      </c>
      <c r="T175" s="376" t="s">
        <v>839</v>
      </c>
      <c r="U175" s="376" t="s">
        <v>839</v>
      </c>
      <c r="V175" s="376">
        <v>28970</v>
      </c>
      <c r="W175" s="381" t="s">
        <v>82</v>
      </c>
    </row>
    <row r="176" spans="1:23" s="376" customFormat="1" ht="9.75" customHeight="1" x14ac:dyDescent="0.15">
      <c r="A176" s="756" t="s">
        <v>849</v>
      </c>
      <c r="B176" s="376" t="s">
        <v>839</v>
      </c>
      <c r="C176" s="376" t="s">
        <v>839</v>
      </c>
      <c r="D176" s="376" t="s">
        <v>839</v>
      </c>
      <c r="E176" s="376">
        <v>74639</v>
      </c>
      <c r="F176" s="376" t="s">
        <v>839</v>
      </c>
      <c r="G176" s="376" t="s">
        <v>839</v>
      </c>
      <c r="H176" s="376" t="s">
        <v>839</v>
      </c>
      <c r="I176" s="376" t="s">
        <v>839</v>
      </c>
      <c r="J176" s="376" t="s">
        <v>839</v>
      </c>
      <c r="K176" s="376" t="s">
        <v>839</v>
      </c>
      <c r="L176" s="376">
        <v>124222</v>
      </c>
      <c r="M176" s="376">
        <v>124222</v>
      </c>
      <c r="N176" s="376" t="s">
        <v>839</v>
      </c>
      <c r="O176" s="376" t="s">
        <v>839</v>
      </c>
      <c r="P176" s="376" t="s">
        <v>839</v>
      </c>
      <c r="Q176" s="376">
        <v>49577</v>
      </c>
      <c r="R176" s="376">
        <v>49577</v>
      </c>
      <c r="S176" s="376" t="s">
        <v>839</v>
      </c>
      <c r="T176" s="376" t="s">
        <v>839</v>
      </c>
      <c r="U176" s="376" t="s">
        <v>839</v>
      </c>
      <c r="V176" s="376">
        <v>51670</v>
      </c>
      <c r="W176" s="381" t="s">
        <v>850</v>
      </c>
    </row>
    <row r="177" spans="1:23" s="376" customFormat="1" ht="9.75" customHeight="1" x14ac:dyDescent="0.15">
      <c r="A177" s="756" t="s">
        <v>690</v>
      </c>
      <c r="B177" s="376" t="s">
        <v>839</v>
      </c>
      <c r="C177" s="376" t="s">
        <v>839</v>
      </c>
      <c r="D177" s="376" t="s">
        <v>839</v>
      </c>
      <c r="E177" s="376" t="s">
        <v>839</v>
      </c>
      <c r="F177" s="376" t="s">
        <v>839</v>
      </c>
      <c r="G177" s="376" t="s">
        <v>839</v>
      </c>
      <c r="H177" s="376" t="s">
        <v>839</v>
      </c>
      <c r="I177" s="376" t="s">
        <v>839</v>
      </c>
      <c r="J177" s="376" t="s">
        <v>839</v>
      </c>
      <c r="K177" s="376" t="s">
        <v>839</v>
      </c>
      <c r="L177" s="376" t="s">
        <v>839</v>
      </c>
      <c r="M177" s="376" t="s">
        <v>839</v>
      </c>
      <c r="N177" s="376" t="s">
        <v>839</v>
      </c>
      <c r="O177" s="376">
        <v>102379</v>
      </c>
      <c r="P177" s="376">
        <v>102379</v>
      </c>
      <c r="Q177" s="376">
        <v>172523</v>
      </c>
      <c r="R177" s="376">
        <v>172523</v>
      </c>
      <c r="S177" s="376" t="s">
        <v>839</v>
      </c>
      <c r="T177" s="376" t="s">
        <v>839</v>
      </c>
      <c r="U177" s="376" t="s">
        <v>839</v>
      </c>
      <c r="V177" s="376" t="s">
        <v>839</v>
      </c>
      <c r="W177" s="381" t="s">
        <v>77</v>
      </c>
    </row>
    <row r="178" spans="1:23" s="376" customFormat="1" ht="9.75" customHeight="1" x14ac:dyDescent="0.15">
      <c r="A178" s="757" t="s">
        <v>691</v>
      </c>
      <c r="B178" s="380" t="s">
        <v>839</v>
      </c>
      <c r="C178" s="379" t="s">
        <v>839</v>
      </c>
      <c r="D178" s="379" t="s">
        <v>839</v>
      </c>
      <c r="E178" s="379" t="s">
        <v>839</v>
      </c>
      <c r="F178" s="379" t="s">
        <v>839</v>
      </c>
      <c r="G178" s="379" t="s">
        <v>839</v>
      </c>
      <c r="H178" s="379" t="s">
        <v>839</v>
      </c>
      <c r="I178" s="379" t="s">
        <v>839</v>
      </c>
      <c r="J178" s="379" t="s">
        <v>839</v>
      </c>
      <c r="K178" s="379" t="s">
        <v>839</v>
      </c>
      <c r="L178" s="379" t="s">
        <v>839</v>
      </c>
      <c r="M178" s="379" t="s">
        <v>839</v>
      </c>
      <c r="N178" s="379" t="s">
        <v>839</v>
      </c>
      <c r="O178" s="379">
        <v>97385</v>
      </c>
      <c r="P178" s="379">
        <v>97385</v>
      </c>
      <c r="Q178" s="379">
        <v>86686</v>
      </c>
      <c r="R178" s="379">
        <v>86686</v>
      </c>
      <c r="S178" s="379" t="s">
        <v>839</v>
      </c>
      <c r="T178" s="379" t="s">
        <v>839</v>
      </c>
      <c r="U178" s="379" t="s">
        <v>839</v>
      </c>
      <c r="V178" s="379">
        <v>80394</v>
      </c>
      <c r="W178" s="377" t="s">
        <v>78</v>
      </c>
    </row>
    <row r="179" spans="1:23" ht="12" customHeight="1" x14ac:dyDescent="0.15"/>
    <row r="180" spans="1:23" ht="12" customHeight="1" x14ac:dyDescent="0.15"/>
    <row r="181" spans="1:23" ht="12" customHeight="1" x14ac:dyDescent="0.15">
      <c r="K181" s="391" t="s">
        <v>97</v>
      </c>
    </row>
    <row r="182" spans="1:23" s="387" customFormat="1" ht="21" customHeight="1" x14ac:dyDescent="0.15">
      <c r="A182" s="1023" t="s">
        <v>185</v>
      </c>
      <c r="B182" s="390" t="s">
        <v>310</v>
      </c>
      <c r="C182" s="732"/>
      <c r="D182" s="773" t="s">
        <v>989</v>
      </c>
      <c r="E182" s="389"/>
      <c r="F182" s="389"/>
      <c r="G182" s="389"/>
      <c r="H182" s="389"/>
      <c r="I182" s="732"/>
      <c r="J182" s="733" t="s">
        <v>309</v>
      </c>
      <c r="K182" s="389"/>
      <c r="L182" s="389"/>
      <c r="M182" s="389"/>
      <c r="N182" s="389"/>
      <c r="O182" s="732"/>
      <c r="P182" s="733" t="s">
        <v>305</v>
      </c>
      <c r="Q182" s="389"/>
      <c r="R182" s="389"/>
      <c r="S182" s="389"/>
      <c r="T182" s="389"/>
      <c r="U182" s="389"/>
      <c r="V182" s="389"/>
      <c r="W182" s="1026" t="s">
        <v>83</v>
      </c>
    </row>
    <row r="183" spans="1:23" s="387" customFormat="1" ht="21" customHeight="1" x14ac:dyDescent="0.15">
      <c r="A183" s="1024"/>
      <c r="B183" s="390" t="s">
        <v>116</v>
      </c>
      <c r="C183" s="732"/>
      <c r="D183" s="1029" t="s">
        <v>307</v>
      </c>
      <c r="E183" s="733" t="s">
        <v>279</v>
      </c>
      <c r="F183" s="389"/>
      <c r="G183" s="732"/>
      <c r="H183" s="733" t="s">
        <v>273</v>
      </c>
      <c r="I183" s="732"/>
      <c r="J183" s="1029" t="s">
        <v>306</v>
      </c>
      <c r="K183" s="733" t="s">
        <v>279</v>
      </c>
      <c r="L183" s="389"/>
      <c r="M183" s="389"/>
      <c r="N183" s="389"/>
      <c r="O183" s="732"/>
      <c r="P183" s="1029" t="s">
        <v>303</v>
      </c>
      <c r="Q183" s="733" t="s">
        <v>279</v>
      </c>
      <c r="R183" s="389"/>
      <c r="S183" s="389"/>
      <c r="T183" s="389"/>
      <c r="U183" s="732"/>
      <c r="V183" s="733" t="s">
        <v>273</v>
      </c>
      <c r="W183" s="1027"/>
    </row>
    <row r="184" spans="1:23" s="387" customFormat="1" ht="52.5" customHeight="1" x14ac:dyDescent="0.15">
      <c r="A184" s="1025"/>
      <c r="B184" s="388" t="s">
        <v>250</v>
      </c>
      <c r="C184" s="388" t="s">
        <v>987</v>
      </c>
      <c r="D184" s="1030"/>
      <c r="E184" s="735" t="s">
        <v>975</v>
      </c>
      <c r="F184" s="388" t="s">
        <v>270</v>
      </c>
      <c r="G184" s="388" t="s">
        <v>976</v>
      </c>
      <c r="H184" s="735" t="s">
        <v>106</v>
      </c>
      <c r="I184" s="388" t="s">
        <v>262</v>
      </c>
      <c r="J184" s="1030"/>
      <c r="K184" s="735" t="s">
        <v>975</v>
      </c>
      <c r="L184" s="388" t="s">
        <v>270</v>
      </c>
      <c r="M184" s="388" t="s">
        <v>976</v>
      </c>
      <c r="N184" s="388" t="s">
        <v>269</v>
      </c>
      <c r="O184" s="388" t="s">
        <v>268</v>
      </c>
      <c r="P184" s="1030"/>
      <c r="Q184" s="735" t="s">
        <v>975</v>
      </c>
      <c r="R184" s="388" t="s">
        <v>270</v>
      </c>
      <c r="S184" s="388" t="s">
        <v>976</v>
      </c>
      <c r="T184" s="388" t="s">
        <v>285</v>
      </c>
      <c r="U184" s="388" t="s">
        <v>268</v>
      </c>
      <c r="V184" s="734" t="s">
        <v>106</v>
      </c>
      <c r="W184" s="1028"/>
    </row>
    <row r="185" spans="1:23" s="376" customFormat="1" ht="9.75" customHeight="1" x14ac:dyDescent="0.15">
      <c r="A185" s="755" t="s">
        <v>838</v>
      </c>
      <c r="B185" s="386">
        <v>204021</v>
      </c>
      <c r="C185" s="385">
        <v>192053</v>
      </c>
      <c r="D185" s="385">
        <v>335557</v>
      </c>
      <c r="E185" s="385">
        <v>335557</v>
      </c>
      <c r="F185" s="385">
        <v>315499</v>
      </c>
      <c r="G185" s="385">
        <v>20058</v>
      </c>
      <c r="H185" s="385" t="s">
        <v>839</v>
      </c>
      <c r="I185" s="385" t="s">
        <v>839</v>
      </c>
      <c r="J185" s="385">
        <v>2158301</v>
      </c>
      <c r="K185" s="385">
        <v>2158301</v>
      </c>
      <c r="L185" s="385">
        <v>1983285</v>
      </c>
      <c r="M185" s="385">
        <v>169133</v>
      </c>
      <c r="N185" s="385" t="s">
        <v>839</v>
      </c>
      <c r="O185" s="385">
        <v>5883</v>
      </c>
      <c r="P185" s="385">
        <v>725308</v>
      </c>
      <c r="Q185" s="385">
        <v>725308</v>
      </c>
      <c r="R185" s="385">
        <v>725308</v>
      </c>
      <c r="S185" s="385" t="s">
        <v>839</v>
      </c>
      <c r="T185" s="385" t="s">
        <v>839</v>
      </c>
      <c r="U185" s="385" t="s">
        <v>839</v>
      </c>
      <c r="V185" s="385" t="s">
        <v>839</v>
      </c>
      <c r="W185" s="383" t="s">
        <v>457</v>
      </c>
    </row>
    <row r="186" spans="1:23" s="376" customFormat="1" ht="9.75" customHeight="1" x14ac:dyDescent="0.15">
      <c r="A186" s="756" t="s">
        <v>669</v>
      </c>
      <c r="B186" s="376">
        <v>599225</v>
      </c>
      <c r="C186" s="376">
        <v>172943</v>
      </c>
      <c r="D186" s="376">
        <v>240422</v>
      </c>
      <c r="E186" s="376">
        <v>240422</v>
      </c>
      <c r="F186" s="376">
        <v>192882</v>
      </c>
      <c r="G186" s="376">
        <v>47540</v>
      </c>
      <c r="H186" s="376" t="s">
        <v>839</v>
      </c>
      <c r="I186" s="376" t="s">
        <v>839</v>
      </c>
      <c r="J186" s="376">
        <v>1692406</v>
      </c>
      <c r="K186" s="376">
        <v>1692406</v>
      </c>
      <c r="L186" s="376">
        <v>1551241</v>
      </c>
      <c r="M186" s="376">
        <v>134989</v>
      </c>
      <c r="N186" s="376" t="s">
        <v>839</v>
      </c>
      <c r="O186" s="376">
        <v>6176</v>
      </c>
      <c r="P186" s="376">
        <v>707459</v>
      </c>
      <c r="Q186" s="376">
        <v>707459</v>
      </c>
      <c r="R186" s="376">
        <v>707459</v>
      </c>
      <c r="S186" s="376" t="s">
        <v>839</v>
      </c>
      <c r="T186" s="376" t="s">
        <v>839</v>
      </c>
      <c r="U186" s="376" t="s">
        <v>839</v>
      </c>
      <c r="V186" s="376" t="s">
        <v>839</v>
      </c>
      <c r="W186" s="381" t="s">
        <v>512</v>
      </c>
    </row>
    <row r="187" spans="1:23" s="376" customFormat="1" ht="9.75" customHeight="1" x14ac:dyDescent="0.15">
      <c r="A187" s="756" t="s">
        <v>670</v>
      </c>
      <c r="B187" s="376">
        <v>614950</v>
      </c>
      <c r="C187" s="376">
        <v>378140</v>
      </c>
      <c r="D187" s="376">
        <v>92324</v>
      </c>
      <c r="E187" s="376">
        <v>92324</v>
      </c>
      <c r="F187" s="376">
        <v>92324</v>
      </c>
      <c r="G187" s="376" t="s">
        <v>839</v>
      </c>
      <c r="H187" s="376" t="s">
        <v>839</v>
      </c>
      <c r="I187" s="376" t="s">
        <v>839</v>
      </c>
      <c r="J187" s="376">
        <v>2103609</v>
      </c>
      <c r="K187" s="376">
        <v>2103609</v>
      </c>
      <c r="L187" s="376">
        <v>1880628</v>
      </c>
      <c r="M187" s="376">
        <v>130437</v>
      </c>
      <c r="N187" s="376">
        <v>47701</v>
      </c>
      <c r="O187" s="376">
        <v>44843</v>
      </c>
      <c r="P187" s="376">
        <v>1217469</v>
      </c>
      <c r="Q187" s="376">
        <v>1217467</v>
      </c>
      <c r="R187" s="376">
        <v>1217467</v>
      </c>
      <c r="S187" s="376" t="s">
        <v>839</v>
      </c>
      <c r="T187" s="376" t="s">
        <v>839</v>
      </c>
      <c r="U187" s="376" t="s">
        <v>839</v>
      </c>
      <c r="V187" s="376">
        <v>2</v>
      </c>
      <c r="W187" s="381" t="s">
        <v>620</v>
      </c>
    </row>
    <row r="188" spans="1:23" s="376" customFormat="1" ht="9.75" customHeight="1" x14ac:dyDescent="0.15">
      <c r="A188" s="756" t="s">
        <v>671</v>
      </c>
      <c r="B188" s="376">
        <v>706988</v>
      </c>
      <c r="C188" s="376">
        <v>624393</v>
      </c>
      <c r="D188" s="376">
        <v>167858</v>
      </c>
      <c r="E188" s="376">
        <v>167858</v>
      </c>
      <c r="F188" s="376">
        <v>132879</v>
      </c>
      <c r="G188" s="376">
        <v>34979</v>
      </c>
      <c r="H188" s="376" t="s">
        <v>839</v>
      </c>
      <c r="I188" s="376" t="s">
        <v>839</v>
      </c>
      <c r="J188" s="376">
        <v>2232720</v>
      </c>
      <c r="K188" s="376">
        <v>2232720</v>
      </c>
      <c r="L188" s="376">
        <v>1986762</v>
      </c>
      <c r="M188" s="376">
        <v>143970</v>
      </c>
      <c r="N188" s="376" t="s">
        <v>839</v>
      </c>
      <c r="O188" s="376">
        <v>101988</v>
      </c>
      <c r="P188" s="376">
        <v>1980952</v>
      </c>
      <c r="Q188" s="376">
        <v>1980791</v>
      </c>
      <c r="R188" s="376">
        <v>1909355</v>
      </c>
      <c r="S188" s="376">
        <v>40141</v>
      </c>
      <c r="T188" s="376" t="s">
        <v>839</v>
      </c>
      <c r="U188" s="376">
        <v>31295</v>
      </c>
      <c r="V188" s="376">
        <v>161</v>
      </c>
      <c r="W188" s="381" t="s">
        <v>672</v>
      </c>
    </row>
    <row r="189" spans="1:23" s="376" customFormat="1" ht="9.75" customHeight="1" x14ac:dyDescent="0.15">
      <c r="A189" s="756" t="s">
        <v>840</v>
      </c>
      <c r="B189" s="376">
        <v>437527</v>
      </c>
      <c r="C189" s="376">
        <v>291643</v>
      </c>
      <c r="D189" s="376">
        <v>71898</v>
      </c>
      <c r="E189" s="376">
        <v>71867</v>
      </c>
      <c r="F189" s="376">
        <v>23402</v>
      </c>
      <c r="G189" s="376">
        <v>48465</v>
      </c>
      <c r="H189" s="376">
        <v>31</v>
      </c>
      <c r="I189" s="376">
        <v>31</v>
      </c>
      <c r="J189" s="376">
        <v>1857368</v>
      </c>
      <c r="K189" s="376">
        <v>1857368</v>
      </c>
      <c r="L189" s="376">
        <v>1528838</v>
      </c>
      <c r="M189" s="376">
        <v>328530</v>
      </c>
      <c r="N189" s="376" t="s">
        <v>839</v>
      </c>
      <c r="O189" s="376" t="s">
        <v>839</v>
      </c>
      <c r="P189" s="376">
        <v>636740</v>
      </c>
      <c r="Q189" s="376">
        <v>636489</v>
      </c>
      <c r="R189" s="376">
        <v>572747</v>
      </c>
      <c r="S189" s="376" t="s">
        <v>839</v>
      </c>
      <c r="T189" s="376">
        <v>36433</v>
      </c>
      <c r="U189" s="376">
        <v>27309</v>
      </c>
      <c r="V189" s="376">
        <v>251</v>
      </c>
      <c r="W189" s="381" t="s">
        <v>841</v>
      </c>
    </row>
    <row r="190" spans="1:23" s="376" customFormat="1" ht="6.75" customHeight="1" x14ac:dyDescent="0.15">
      <c r="A190" s="787"/>
      <c r="W190" s="381"/>
    </row>
    <row r="191" spans="1:23" s="376" customFormat="1" ht="9.75" customHeight="1" x14ac:dyDescent="0.15">
      <c r="A191" s="756" t="s">
        <v>842</v>
      </c>
      <c r="B191" s="376">
        <v>604514</v>
      </c>
      <c r="C191" s="376">
        <v>585247</v>
      </c>
      <c r="D191" s="376">
        <v>127101</v>
      </c>
      <c r="E191" s="376">
        <v>127101</v>
      </c>
      <c r="F191" s="376">
        <v>92122</v>
      </c>
      <c r="G191" s="376">
        <v>34979</v>
      </c>
      <c r="H191" s="376" t="s">
        <v>839</v>
      </c>
      <c r="I191" s="376" t="s">
        <v>839</v>
      </c>
      <c r="J191" s="376">
        <v>1522164</v>
      </c>
      <c r="K191" s="376">
        <v>1522164</v>
      </c>
      <c r="L191" s="376">
        <v>1438803</v>
      </c>
      <c r="M191" s="376">
        <v>83361</v>
      </c>
      <c r="N191" s="376" t="s">
        <v>839</v>
      </c>
      <c r="O191" s="376" t="s">
        <v>839</v>
      </c>
      <c r="P191" s="376">
        <v>1713115</v>
      </c>
      <c r="Q191" s="376">
        <v>1712931</v>
      </c>
      <c r="R191" s="376">
        <v>1642009</v>
      </c>
      <c r="S191" s="376">
        <v>29667</v>
      </c>
      <c r="T191" s="376" t="s">
        <v>839</v>
      </c>
      <c r="U191" s="376">
        <v>41255</v>
      </c>
      <c r="V191" s="376">
        <v>184</v>
      </c>
      <c r="W191" s="381" t="s">
        <v>673</v>
      </c>
    </row>
    <row r="192" spans="1:23" s="376" customFormat="1" ht="9.75" customHeight="1" x14ac:dyDescent="0.15">
      <c r="A192" s="756" t="s">
        <v>843</v>
      </c>
      <c r="B192" s="376">
        <v>468353</v>
      </c>
      <c r="C192" s="376">
        <v>212586</v>
      </c>
      <c r="D192" s="376">
        <v>118131</v>
      </c>
      <c r="E192" s="376">
        <v>118100</v>
      </c>
      <c r="F192" s="376">
        <v>29814</v>
      </c>
      <c r="G192" s="376">
        <v>88286</v>
      </c>
      <c r="H192" s="376">
        <v>31</v>
      </c>
      <c r="I192" s="376">
        <v>31</v>
      </c>
      <c r="J192" s="376">
        <v>2001761</v>
      </c>
      <c r="K192" s="376">
        <v>2001761</v>
      </c>
      <c r="L192" s="376">
        <v>1520278</v>
      </c>
      <c r="M192" s="376">
        <v>481483</v>
      </c>
      <c r="N192" s="376" t="s">
        <v>839</v>
      </c>
      <c r="O192" s="376" t="s">
        <v>839</v>
      </c>
      <c r="P192" s="376">
        <v>490277</v>
      </c>
      <c r="Q192" s="376">
        <v>490025</v>
      </c>
      <c r="R192" s="376">
        <v>433374</v>
      </c>
      <c r="S192" s="376" t="s">
        <v>839</v>
      </c>
      <c r="T192" s="376">
        <v>36433</v>
      </c>
      <c r="U192" s="376">
        <v>20218</v>
      </c>
      <c r="V192" s="376">
        <v>252</v>
      </c>
      <c r="W192" s="381" t="s">
        <v>844</v>
      </c>
    </row>
    <row r="193" spans="1:23" s="376" customFormat="1" ht="6.75" customHeight="1" x14ac:dyDescent="0.15">
      <c r="A193" s="787"/>
      <c r="W193" s="381"/>
    </row>
    <row r="194" spans="1:23" s="376" customFormat="1" ht="9.75" customHeight="1" x14ac:dyDescent="0.15">
      <c r="A194" s="756" t="s">
        <v>845</v>
      </c>
      <c r="B194" s="376">
        <v>101238</v>
      </c>
      <c r="C194" s="376">
        <v>79057</v>
      </c>
      <c r="D194" s="376" t="s">
        <v>839</v>
      </c>
      <c r="E194" s="376" t="s">
        <v>839</v>
      </c>
      <c r="F194" s="376" t="s">
        <v>839</v>
      </c>
      <c r="G194" s="376" t="s">
        <v>839</v>
      </c>
      <c r="H194" s="376" t="s">
        <v>839</v>
      </c>
      <c r="I194" s="376" t="s">
        <v>839</v>
      </c>
      <c r="J194" s="376">
        <v>664207</v>
      </c>
      <c r="K194" s="376">
        <v>664207</v>
      </c>
      <c r="L194" s="376">
        <v>580846</v>
      </c>
      <c r="M194" s="376">
        <v>83361</v>
      </c>
      <c r="N194" s="376" t="s">
        <v>839</v>
      </c>
      <c r="O194" s="376" t="s">
        <v>839</v>
      </c>
      <c r="P194" s="376">
        <v>224966</v>
      </c>
      <c r="Q194" s="376">
        <v>224943</v>
      </c>
      <c r="R194" s="376">
        <v>214983</v>
      </c>
      <c r="S194" s="376" t="s">
        <v>839</v>
      </c>
      <c r="T194" s="376" t="s">
        <v>839</v>
      </c>
      <c r="U194" s="376">
        <v>9960</v>
      </c>
      <c r="V194" s="376">
        <v>23</v>
      </c>
      <c r="W194" s="381" t="s">
        <v>677</v>
      </c>
    </row>
    <row r="195" spans="1:23" s="376" customFormat="1" ht="9.75" customHeight="1" x14ac:dyDescent="0.15">
      <c r="A195" s="756" t="s">
        <v>674</v>
      </c>
      <c r="B195" s="376">
        <v>79541</v>
      </c>
      <c r="C195" s="376">
        <v>72486</v>
      </c>
      <c r="D195" s="376">
        <v>5859</v>
      </c>
      <c r="E195" s="376">
        <v>5859</v>
      </c>
      <c r="F195" s="376">
        <v>5859</v>
      </c>
      <c r="G195" s="376" t="s">
        <v>839</v>
      </c>
      <c r="H195" s="376" t="s">
        <v>839</v>
      </c>
      <c r="I195" s="376" t="s">
        <v>839</v>
      </c>
      <c r="J195" s="376">
        <v>63627</v>
      </c>
      <c r="K195" s="376">
        <v>63627</v>
      </c>
      <c r="L195" s="376">
        <v>63627</v>
      </c>
      <c r="M195" s="376" t="s">
        <v>839</v>
      </c>
      <c r="N195" s="376" t="s">
        <v>839</v>
      </c>
      <c r="O195" s="376" t="s">
        <v>839</v>
      </c>
      <c r="P195" s="376">
        <v>157307</v>
      </c>
      <c r="Q195" s="376">
        <v>157218</v>
      </c>
      <c r="R195" s="376">
        <v>112892</v>
      </c>
      <c r="S195" s="376" t="s">
        <v>839</v>
      </c>
      <c r="T195" s="376">
        <v>36433</v>
      </c>
      <c r="U195" s="376">
        <v>7893</v>
      </c>
      <c r="V195" s="376">
        <v>89</v>
      </c>
      <c r="W195" s="381" t="s">
        <v>89</v>
      </c>
    </row>
    <row r="196" spans="1:23" s="376" customFormat="1" ht="9.75" customHeight="1" x14ac:dyDescent="0.15">
      <c r="A196" s="756" t="s">
        <v>675</v>
      </c>
      <c r="B196" s="376">
        <v>105311</v>
      </c>
      <c r="C196" s="376">
        <v>59189</v>
      </c>
      <c r="D196" s="376">
        <v>5865</v>
      </c>
      <c r="E196" s="376">
        <v>5865</v>
      </c>
      <c r="F196" s="376">
        <v>5865</v>
      </c>
      <c r="G196" s="376" t="s">
        <v>839</v>
      </c>
      <c r="H196" s="376" t="s">
        <v>839</v>
      </c>
      <c r="I196" s="376" t="s">
        <v>839</v>
      </c>
      <c r="J196" s="376">
        <v>215818</v>
      </c>
      <c r="K196" s="376">
        <v>215818</v>
      </c>
      <c r="L196" s="376">
        <v>215818</v>
      </c>
      <c r="M196" s="376" t="s">
        <v>839</v>
      </c>
      <c r="N196" s="376" t="s">
        <v>839</v>
      </c>
      <c r="O196" s="376" t="s">
        <v>839</v>
      </c>
      <c r="P196" s="376">
        <v>158571</v>
      </c>
      <c r="Q196" s="376">
        <v>158501</v>
      </c>
      <c r="R196" s="376">
        <v>149045</v>
      </c>
      <c r="S196" s="376" t="s">
        <v>839</v>
      </c>
      <c r="T196" s="376" t="s">
        <v>839</v>
      </c>
      <c r="U196" s="376">
        <v>9456</v>
      </c>
      <c r="V196" s="376">
        <v>70</v>
      </c>
      <c r="W196" s="381" t="s">
        <v>90</v>
      </c>
    </row>
    <row r="197" spans="1:23" s="376" customFormat="1" ht="9.75" customHeight="1" x14ac:dyDescent="0.15">
      <c r="A197" s="756" t="s">
        <v>676</v>
      </c>
      <c r="B197" s="376">
        <v>151437</v>
      </c>
      <c r="C197" s="376">
        <v>80911</v>
      </c>
      <c r="D197" s="376">
        <v>60174</v>
      </c>
      <c r="E197" s="376">
        <v>60143</v>
      </c>
      <c r="F197" s="376">
        <v>11678</v>
      </c>
      <c r="G197" s="376">
        <v>48465</v>
      </c>
      <c r="H197" s="376">
        <v>31</v>
      </c>
      <c r="I197" s="376">
        <v>31</v>
      </c>
      <c r="J197" s="376">
        <v>913716</v>
      </c>
      <c r="K197" s="376">
        <v>913716</v>
      </c>
      <c r="L197" s="376">
        <v>668547</v>
      </c>
      <c r="M197" s="376">
        <v>245169</v>
      </c>
      <c r="N197" s="376" t="s">
        <v>839</v>
      </c>
      <c r="O197" s="376" t="s">
        <v>839</v>
      </c>
      <c r="P197" s="376">
        <v>95896</v>
      </c>
      <c r="Q197" s="376">
        <v>95827</v>
      </c>
      <c r="R197" s="376">
        <v>95827</v>
      </c>
      <c r="S197" s="376" t="s">
        <v>839</v>
      </c>
      <c r="T197" s="376" t="s">
        <v>839</v>
      </c>
      <c r="U197" s="376" t="s">
        <v>839</v>
      </c>
      <c r="V197" s="376">
        <v>69</v>
      </c>
      <c r="W197" s="381" t="s">
        <v>91</v>
      </c>
    </row>
    <row r="198" spans="1:23" s="376" customFormat="1" ht="9.75" customHeight="1" x14ac:dyDescent="0.15">
      <c r="A198" s="756" t="s">
        <v>846</v>
      </c>
      <c r="B198" s="376">
        <v>132064</v>
      </c>
      <c r="C198" s="376" t="s">
        <v>839</v>
      </c>
      <c r="D198" s="376">
        <v>46233</v>
      </c>
      <c r="E198" s="376">
        <v>46233</v>
      </c>
      <c r="F198" s="376">
        <v>6412</v>
      </c>
      <c r="G198" s="376">
        <v>39821</v>
      </c>
      <c r="H198" s="376" t="s">
        <v>839</v>
      </c>
      <c r="I198" s="376" t="s">
        <v>839</v>
      </c>
      <c r="J198" s="376">
        <v>808600</v>
      </c>
      <c r="K198" s="376">
        <v>808600</v>
      </c>
      <c r="L198" s="376">
        <v>572286</v>
      </c>
      <c r="M198" s="376">
        <v>236314</v>
      </c>
      <c r="N198" s="376" t="s">
        <v>839</v>
      </c>
      <c r="O198" s="376" t="s">
        <v>839</v>
      </c>
      <c r="P198" s="376">
        <v>78503</v>
      </c>
      <c r="Q198" s="376">
        <v>78479</v>
      </c>
      <c r="R198" s="376">
        <v>75610</v>
      </c>
      <c r="S198" s="376" t="s">
        <v>839</v>
      </c>
      <c r="T198" s="376" t="s">
        <v>839</v>
      </c>
      <c r="U198" s="376">
        <v>2869</v>
      </c>
      <c r="V198" s="376">
        <v>24</v>
      </c>
      <c r="W198" s="381" t="s">
        <v>847</v>
      </c>
    </row>
    <row r="199" spans="1:23" s="376" customFormat="1" ht="6.75" customHeight="1" x14ac:dyDescent="0.15">
      <c r="A199" s="787"/>
      <c r="W199" s="381"/>
    </row>
    <row r="200" spans="1:23" s="376" customFormat="1" ht="9.75" customHeight="1" x14ac:dyDescent="0.15">
      <c r="A200" s="756" t="s">
        <v>848</v>
      </c>
      <c r="B200" s="376">
        <v>50976</v>
      </c>
      <c r="C200" s="376">
        <v>28396</v>
      </c>
      <c r="D200" s="376" t="s">
        <v>839</v>
      </c>
      <c r="E200" s="376" t="s">
        <v>839</v>
      </c>
      <c r="F200" s="376" t="s">
        <v>839</v>
      </c>
      <c r="G200" s="376" t="s">
        <v>839</v>
      </c>
      <c r="H200" s="376" t="s">
        <v>839</v>
      </c>
      <c r="I200" s="376" t="s">
        <v>839</v>
      </c>
      <c r="J200" s="376">
        <v>319279</v>
      </c>
      <c r="K200" s="376">
        <v>319279</v>
      </c>
      <c r="L200" s="376">
        <v>235918</v>
      </c>
      <c r="M200" s="376">
        <v>83361</v>
      </c>
      <c r="N200" s="376" t="s">
        <v>839</v>
      </c>
      <c r="O200" s="376" t="s">
        <v>839</v>
      </c>
      <c r="P200" s="376">
        <v>101296</v>
      </c>
      <c r="Q200" s="376">
        <v>101296</v>
      </c>
      <c r="R200" s="376">
        <v>101296</v>
      </c>
      <c r="S200" s="376" t="s">
        <v>839</v>
      </c>
      <c r="T200" s="376" t="s">
        <v>839</v>
      </c>
      <c r="U200" s="376" t="s">
        <v>839</v>
      </c>
      <c r="V200" s="376" t="s">
        <v>839</v>
      </c>
      <c r="W200" s="381" t="s">
        <v>689</v>
      </c>
    </row>
    <row r="201" spans="1:23" s="376" customFormat="1" ht="9.75" customHeight="1" x14ac:dyDescent="0.15">
      <c r="A201" s="756" t="s">
        <v>678</v>
      </c>
      <c r="B201" s="376">
        <v>50262</v>
      </c>
      <c r="C201" s="376">
        <v>9453</v>
      </c>
      <c r="D201" s="376" t="s">
        <v>839</v>
      </c>
      <c r="E201" s="376" t="s">
        <v>839</v>
      </c>
      <c r="F201" s="376" t="s">
        <v>839</v>
      </c>
      <c r="G201" s="376" t="s">
        <v>839</v>
      </c>
      <c r="H201" s="376" t="s">
        <v>839</v>
      </c>
      <c r="I201" s="376" t="s">
        <v>839</v>
      </c>
      <c r="J201" s="376">
        <v>275958</v>
      </c>
      <c r="K201" s="376">
        <v>275958</v>
      </c>
      <c r="L201" s="376">
        <v>275958</v>
      </c>
      <c r="M201" s="376" t="s">
        <v>839</v>
      </c>
      <c r="N201" s="376" t="s">
        <v>839</v>
      </c>
      <c r="O201" s="376" t="s">
        <v>839</v>
      </c>
      <c r="P201" s="376">
        <v>65460</v>
      </c>
      <c r="Q201" s="376">
        <v>65437</v>
      </c>
      <c r="R201" s="376">
        <v>58488</v>
      </c>
      <c r="S201" s="376" t="s">
        <v>839</v>
      </c>
      <c r="T201" s="376" t="s">
        <v>839</v>
      </c>
      <c r="U201" s="376">
        <v>6949</v>
      </c>
      <c r="V201" s="376">
        <v>23</v>
      </c>
      <c r="W201" s="381" t="s">
        <v>77</v>
      </c>
    </row>
    <row r="202" spans="1:23" s="376" customFormat="1" ht="9.75" customHeight="1" x14ac:dyDescent="0.15">
      <c r="A202" s="756" t="s">
        <v>679</v>
      </c>
      <c r="B202" s="376" t="s">
        <v>839</v>
      </c>
      <c r="C202" s="376">
        <v>41208</v>
      </c>
      <c r="D202" s="376" t="s">
        <v>839</v>
      </c>
      <c r="E202" s="376" t="s">
        <v>839</v>
      </c>
      <c r="F202" s="376" t="s">
        <v>839</v>
      </c>
      <c r="G202" s="376" t="s">
        <v>839</v>
      </c>
      <c r="H202" s="376" t="s">
        <v>839</v>
      </c>
      <c r="I202" s="376" t="s">
        <v>839</v>
      </c>
      <c r="J202" s="376">
        <v>68970</v>
      </c>
      <c r="K202" s="376">
        <v>68970</v>
      </c>
      <c r="L202" s="376">
        <v>68970</v>
      </c>
      <c r="M202" s="376" t="s">
        <v>839</v>
      </c>
      <c r="N202" s="376" t="s">
        <v>839</v>
      </c>
      <c r="O202" s="376" t="s">
        <v>839</v>
      </c>
      <c r="P202" s="376">
        <v>58210</v>
      </c>
      <c r="Q202" s="376">
        <v>58210</v>
      </c>
      <c r="R202" s="376">
        <v>55199</v>
      </c>
      <c r="S202" s="376" t="s">
        <v>839</v>
      </c>
      <c r="T202" s="376" t="s">
        <v>839</v>
      </c>
      <c r="U202" s="376">
        <v>3011</v>
      </c>
      <c r="V202" s="376" t="s">
        <v>839</v>
      </c>
      <c r="W202" s="381" t="s">
        <v>78</v>
      </c>
    </row>
    <row r="203" spans="1:23" s="376" customFormat="1" ht="9.75" customHeight="1" x14ac:dyDescent="0.15">
      <c r="A203" s="756" t="s">
        <v>680</v>
      </c>
      <c r="B203" s="376">
        <v>51860</v>
      </c>
      <c r="C203" s="376">
        <v>48872</v>
      </c>
      <c r="D203" s="376">
        <v>5859</v>
      </c>
      <c r="E203" s="376">
        <v>5859</v>
      </c>
      <c r="F203" s="376">
        <v>5859</v>
      </c>
      <c r="G203" s="376" t="s">
        <v>839</v>
      </c>
      <c r="H203" s="376" t="s">
        <v>839</v>
      </c>
      <c r="I203" s="376" t="s">
        <v>839</v>
      </c>
      <c r="J203" s="376">
        <v>33347</v>
      </c>
      <c r="K203" s="376">
        <v>33347</v>
      </c>
      <c r="L203" s="376">
        <v>33347</v>
      </c>
      <c r="M203" s="376" t="s">
        <v>839</v>
      </c>
      <c r="N203" s="376" t="s">
        <v>839</v>
      </c>
      <c r="O203" s="376" t="s">
        <v>839</v>
      </c>
      <c r="P203" s="376">
        <v>18629</v>
      </c>
      <c r="Q203" s="376">
        <v>18629</v>
      </c>
      <c r="R203" s="376">
        <v>18629</v>
      </c>
      <c r="S203" s="376" t="s">
        <v>839</v>
      </c>
      <c r="T203" s="376" t="s">
        <v>839</v>
      </c>
      <c r="U203" s="376" t="s">
        <v>839</v>
      </c>
      <c r="V203" s="376" t="s">
        <v>839</v>
      </c>
      <c r="W203" s="381" t="s">
        <v>79</v>
      </c>
    </row>
    <row r="204" spans="1:23" s="376" customFormat="1" ht="9.75" customHeight="1" x14ac:dyDescent="0.15">
      <c r="A204" s="756" t="s">
        <v>681</v>
      </c>
      <c r="B204" s="376">
        <v>27681</v>
      </c>
      <c r="C204" s="376" t="s">
        <v>839</v>
      </c>
      <c r="D204" s="376" t="s">
        <v>839</v>
      </c>
      <c r="E204" s="376" t="s">
        <v>839</v>
      </c>
      <c r="F204" s="376" t="s">
        <v>839</v>
      </c>
      <c r="G204" s="376" t="s">
        <v>839</v>
      </c>
      <c r="H204" s="376" t="s">
        <v>839</v>
      </c>
      <c r="I204" s="376" t="s">
        <v>839</v>
      </c>
      <c r="J204" s="376">
        <v>30280</v>
      </c>
      <c r="K204" s="376">
        <v>30280</v>
      </c>
      <c r="L204" s="376">
        <v>30280</v>
      </c>
      <c r="M204" s="376" t="s">
        <v>839</v>
      </c>
      <c r="N204" s="376" t="s">
        <v>839</v>
      </c>
      <c r="O204" s="376" t="s">
        <v>839</v>
      </c>
      <c r="P204" s="376">
        <v>71739</v>
      </c>
      <c r="Q204" s="376">
        <v>71672</v>
      </c>
      <c r="R204" s="376">
        <v>63779</v>
      </c>
      <c r="S204" s="376" t="s">
        <v>839</v>
      </c>
      <c r="T204" s="376" t="s">
        <v>839</v>
      </c>
      <c r="U204" s="376">
        <v>7893</v>
      </c>
      <c r="V204" s="376">
        <v>67</v>
      </c>
      <c r="W204" s="381" t="s">
        <v>92</v>
      </c>
    </row>
    <row r="205" spans="1:23" s="376" customFormat="1" ht="9.75" customHeight="1" x14ac:dyDescent="0.15">
      <c r="A205" s="756" t="s">
        <v>682</v>
      </c>
      <c r="B205" s="376" t="s">
        <v>839</v>
      </c>
      <c r="C205" s="376">
        <v>23614</v>
      </c>
      <c r="D205" s="376" t="s">
        <v>839</v>
      </c>
      <c r="E205" s="376" t="s">
        <v>839</v>
      </c>
      <c r="F205" s="376" t="s">
        <v>839</v>
      </c>
      <c r="G205" s="376" t="s">
        <v>839</v>
      </c>
      <c r="H205" s="376" t="s">
        <v>839</v>
      </c>
      <c r="I205" s="376" t="s">
        <v>839</v>
      </c>
      <c r="J205" s="376" t="s">
        <v>839</v>
      </c>
      <c r="K205" s="376" t="s">
        <v>839</v>
      </c>
      <c r="L205" s="376" t="s">
        <v>839</v>
      </c>
      <c r="M205" s="376" t="s">
        <v>839</v>
      </c>
      <c r="N205" s="376" t="s">
        <v>839</v>
      </c>
      <c r="O205" s="376" t="s">
        <v>839</v>
      </c>
      <c r="P205" s="376">
        <v>66939</v>
      </c>
      <c r="Q205" s="376">
        <v>66917</v>
      </c>
      <c r="R205" s="376">
        <v>30484</v>
      </c>
      <c r="S205" s="376" t="s">
        <v>839</v>
      </c>
      <c r="T205" s="376">
        <v>36433</v>
      </c>
      <c r="U205" s="376" t="s">
        <v>839</v>
      </c>
      <c r="V205" s="376">
        <v>22</v>
      </c>
      <c r="W205" s="381" t="s">
        <v>93</v>
      </c>
    </row>
    <row r="206" spans="1:23" s="376" customFormat="1" ht="9.75" customHeight="1" x14ac:dyDescent="0.15">
      <c r="A206" s="756" t="s">
        <v>683</v>
      </c>
      <c r="B206" s="376">
        <v>52774</v>
      </c>
      <c r="C206" s="376">
        <v>27155</v>
      </c>
      <c r="D206" s="376">
        <v>5865</v>
      </c>
      <c r="E206" s="376">
        <v>5865</v>
      </c>
      <c r="F206" s="376">
        <v>5865</v>
      </c>
      <c r="G206" s="376" t="s">
        <v>839</v>
      </c>
      <c r="H206" s="376" t="s">
        <v>839</v>
      </c>
      <c r="I206" s="376" t="s">
        <v>839</v>
      </c>
      <c r="J206" s="376">
        <v>49836</v>
      </c>
      <c r="K206" s="376">
        <v>49836</v>
      </c>
      <c r="L206" s="376">
        <v>49836</v>
      </c>
      <c r="M206" s="376" t="s">
        <v>839</v>
      </c>
      <c r="N206" s="376" t="s">
        <v>839</v>
      </c>
      <c r="O206" s="376" t="s">
        <v>839</v>
      </c>
      <c r="P206" s="376">
        <v>30828</v>
      </c>
      <c r="Q206" s="376">
        <v>30805</v>
      </c>
      <c r="R206" s="376">
        <v>24877</v>
      </c>
      <c r="S206" s="376" t="s">
        <v>839</v>
      </c>
      <c r="T206" s="376" t="s">
        <v>839</v>
      </c>
      <c r="U206" s="376">
        <v>5928</v>
      </c>
      <c r="V206" s="376">
        <v>23</v>
      </c>
      <c r="W206" s="381" t="s">
        <v>94</v>
      </c>
    </row>
    <row r="207" spans="1:23" s="376" customFormat="1" ht="9.75" customHeight="1" x14ac:dyDescent="0.15">
      <c r="A207" s="756" t="s">
        <v>684</v>
      </c>
      <c r="B207" s="376" t="s">
        <v>839</v>
      </c>
      <c r="C207" s="376">
        <v>32034</v>
      </c>
      <c r="D207" s="376" t="s">
        <v>839</v>
      </c>
      <c r="E207" s="376" t="s">
        <v>839</v>
      </c>
      <c r="F207" s="376" t="s">
        <v>839</v>
      </c>
      <c r="G207" s="376" t="s">
        <v>839</v>
      </c>
      <c r="H207" s="376" t="s">
        <v>839</v>
      </c>
      <c r="I207" s="376" t="s">
        <v>839</v>
      </c>
      <c r="J207" s="376">
        <v>49909</v>
      </c>
      <c r="K207" s="376">
        <v>49909</v>
      </c>
      <c r="L207" s="376">
        <v>49909</v>
      </c>
      <c r="M207" s="376" t="s">
        <v>839</v>
      </c>
      <c r="N207" s="376" t="s">
        <v>839</v>
      </c>
      <c r="O207" s="376" t="s">
        <v>839</v>
      </c>
      <c r="P207" s="376">
        <v>20361</v>
      </c>
      <c r="Q207" s="376">
        <v>20314</v>
      </c>
      <c r="R207" s="376">
        <v>16786</v>
      </c>
      <c r="S207" s="376" t="s">
        <v>839</v>
      </c>
      <c r="T207" s="376" t="s">
        <v>839</v>
      </c>
      <c r="U207" s="376">
        <v>3528</v>
      </c>
      <c r="V207" s="376">
        <v>47</v>
      </c>
      <c r="W207" s="381" t="s">
        <v>95</v>
      </c>
    </row>
    <row r="208" spans="1:23" s="376" customFormat="1" ht="9.75" customHeight="1" x14ac:dyDescent="0.15">
      <c r="A208" s="756" t="s">
        <v>685</v>
      </c>
      <c r="B208" s="376">
        <v>52537</v>
      </c>
      <c r="C208" s="376" t="s">
        <v>839</v>
      </c>
      <c r="D208" s="376" t="s">
        <v>839</v>
      </c>
      <c r="E208" s="376" t="s">
        <v>839</v>
      </c>
      <c r="F208" s="376" t="s">
        <v>839</v>
      </c>
      <c r="G208" s="376" t="s">
        <v>839</v>
      </c>
      <c r="H208" s="376" t="s">
        <v>839</v>
      </c>
      <c r="I208" s="376" t="s">
        <v>839</v>
      </c>
      <c r="J208" s="376">
        <v>116073</v>
      </c>
      <c r="K208" s="376">
        <v>116073</v>
      </c>
      <c r="L208" s="376">
        <v>116073</v>
      </c>
      <c r="M208" s="376" t="s">
        <v>839</v>
      </c>
      <c r="N208" s="376" t="s">
        <v>839</v>
      </c>
      <c r="O208" s="376" t="s">
        <v>839</v>
      </c>
      <c r="P208" s="376">
        <v>107382</v>
      </c>
      <c r="Q208" s="376">
        <v>107382</v>
      </c>
      <c r="R208" s="376">
        <v>107382</v>
      </c>
      <c r="S208" s="376" t="s">
        <v>839</v>
      </c>
      <c r="T208" s="376" t="s">
        <v>839</v>
      </c>
      <c r="U208" s="376" t="s">
        <v>839</v>
      </c>
      <c r="V208" s="376" t="s">
        <v>839</v>
      </c>
      <c r="W208" s="381" t="s">
        <v>96</v>
      </c>
    </row>
    <row r="209" spans="1:23" s="376" customFormat="1" ht="9.75" customHeight="1" x14ac:dyDescent="0.15">
      <c r="A209" s="756" t="s">
        <v>686</v>
      </c>
      <c r="B209" s="376">
        <v>50302</v>
      </c>
      <c r="C209" s="376" t="s">
        <v>839</v>
      </c>
      <c r="D209" s="376">
        <v>5844</v>
      </c>
      <c r="E209" s="376">
        <v>5844</v>
      </c>
      <c r="F209" s="376">
        <v>5844</v>
      </c>
      <c r="G209" s="376" t="s">
        <v>839</v>
      </c>
      <c r="H209" s="376" t="s">
        <v>839</v>
      </c>
      <c r="I209" s="376" t="s">
        <v>839</v>
      </c>
      <c r="J209" s="376">
        <v>190543</v>
      </c>
      <c r="K209" s="376">
        <v>190543</v>
      </c>
      <c r="L209" s="376">
        <v>147752</v>
      </c>
      <c r="M209" s="376">
        <v>42791</v>
      </c>
      <c r="N209" s="376" t="s">
        <v>839</v>
      </c>
      <c r="O209" s="376" t="s">
        <v>839</v>
      </c>
      <c r="P209" s="376">
        <v>32960</v>
      </c>
      <c r="Q209" s="376">
        <v>32960</v>
      </c>
      <c r="R209" s="376">
        <v>32960</v>
      </c>
      <c r="S209" s="376" t="s">
        <v>839</v>
      </c>
      <c r="T209" s="376" t="s">
        <v>839</v>
      </c>
      <c r="U209" s="376" t="s">
        <v>839</v>
      </c>
      <c r="V209" s="376" t="s">
        <v>839</v>
      </c>
      <c r="W209" s="381" t="s">
        <v>80</v>
      </c>
    </row>
    <row r="210" spans="1:23" s="376" customFormat="1" ht="9.75" customHeight="1" x14ac:dyDescent="0.15">
      <c r="A210" s="756" t="s">
        <v>687</v>
      </c>
      <c r="B210" s="376">
        <v>101135</v>
      </c>
      <c r="C210" s="376">
        <v>51941</v>
      </c>
      <c r="D210" s="376">
        <v>48465</v>
      </c>
      <c r="E210" s="376">
        <v>48465</v>
      </c>
      <c r="F210" s="376" t="s">
        <v>839</v>
      </c>
      <c r="G210" s="376">
        <v>48465</v>
      </c>
      <c r="H210" s="376" t="s">
        <v>839</v>
      </c>
      <c r="I210" s="376" t="s">
        <v>839</v>
      </c>
      <c r="J210" s="376">
        <v>303508</v>
      </c>
      <c r="K210" s="376">
        <v>303508</v>
      </c>
      <c r="L210" s="376">
        <v>209002</v>
      </c>
      <c r="M210" s="376">
        <v>94506</v>
      </c>
      <c r="N210" s="376" t="s">
        <v>839</v>
      </c>
      <c r="O210" s="376" t="s">
        <v>839</v>
      </c>
      <c r="P210" s="376">
        <v>39364</v>
      </c>
      <c r="Q210" s="376">
        <v>39318</v>
      </c>
      <c r="R210" s="376">
        <v>39318</v>
      </c>
      <c r="S210" s="376" t="s">
        <v>839</v>
      </c>
      <c r="T210" s="376" t="s">
        <v>839</v>
      </c>
      <c r="U210" s="376" t="s">
        <v>839</v>
      </c>
      <c r="V210" s="376">
        <v>46</v>
      </c>
      <c r="W210" s="381" t="s">
        <v>81</v>
      </c>
    </row>
    <row r="211" spans="1:23" s="376" customFormat="1" ht="9.75" customHeight="1" x14ac:dyDescent="0.15">
      <c r="A211" s="756" t="s">
        <v>688</v>
      </c>
      <c r="B211" s="376" t="s">
        <v>839</v>
      </c>
      <c r="C211" s="376">
        <v>28970</v>
      </c>
      <c r="D211" s="376">
        <v>5865</v>
      </c>
      <c r="E211" s="376">
        <v>5834</v>
      </c>
      <c r="F211" s="376">
        <v>5834</v>
      </c>
      <c r="G211" s="376" t="s">
        <v>839</v>
      </c>
      <c r="H211" s="376">
        <v>31</v>
      </c>
      <c r="I211" s="376">
        <v>31</v>
      </c>
      <c r="J211" s="376">
        <v>419665</v>
      </c>
      <c r="K211" s="376">
        <v>419665</v>
      </c>
      <c r="L211" s="376">
        <v>311793</v>
      </c>
      <c r="M211" s="376">
        <v>107872</v>
      </c>
      <c r="N211" s="376" t="s">
        <v>839</v>
      </c>
      <c r="O211" s="376" t="s">
        <v>839</v>
      </c>
      <c r="P211" s="376">
        <v>23572</v>
      </c>
      <c r="Q211" s="376">
        <v>23549</v>
      </c>
      <c r="R211" s="376">
        <v>23549</v>
      </c>
      <c r="S211" s="376" t="s">
        <v>839</v>
      </c>
      <c r="T211" s="376" t="s">
        <v>839</v>
      </c>
      <c r="U211" s="376" t="s">
        <v>839</v>
      </c>
      <c r="V211" s="376">
        <v>23</v>
      </c>
      <c r="W211" s="381" t="s">
        <v>82</v>
      </c>
    </row>
    <row r="212" spans="1:23" s="376" customFormat="1" ht="9.75" customHeight="1" x14ac:dyDescent="0.15">
      <c r="A212" s="756" t="s">
        <v>849</v>
      </c>
      <c r="B212" s="376">
        <v>51670</v>
      </c>
      <c r="C212" s="376" t="s">
        <v>839</v>
      </c>
      <c r="D212" s="376">
        <v>19958</v>
      </c>
      <c r="E212" s="376">
        <v>19958</v>
      </c>
      <c r="F212" s="376" t="s">
        <v>839</v>
      </c>
      <c r="G212" s="376">
        <v>19958</v>
      </c>
      <c r="H212" s="376" t="s">
        <v>839</v>
      </c>
      <c r="I212" s="376" t="s">
        <v>839</v>
      </c>
      <c r="J212" s="376">
        <v>450893</v>
      </c>
      <c r="K212" s="376">
        <v>450893</v>
      </c>
      <c r="L212" s="376">
        <v>297510</v>
      </c>
      <c r="M212" s="376">
        <v>153383</v>
      </c>
      <c r="N212" s="376" t="s">
        <v>839</v>
      </c>
      <c r="O212" s="376" t="s">
        <v>839</v>
      </c>
      <c r="P212" s="376">
        <v>23256</v>
      </c>
      <c r="Q212" s="376">
        <v>23232</v>
      </c>
      <c r="R212" s="376">
        <v>20363</v>
      </c>
      <c r="S212" s="376" t="s">
        <v>839</v>
      </c>
      <c r="T212" s="376" t="s">
        <v>839</v>
      </c>
      <c r="U212" s="376">
        <v>2869</v>
      </c>
      <c r="V212" s="376">
        <v>24</v>
      </c>
      <c r="W212" s="381" t="s">
        <v>850</v>
      </c>
    </row>
    <row r="213" spans="1:23" s="376" customFormat="1" ht="9.75" customHeight="1" x14ac:dyDescent="0.15">
      <c r="A213" s="756" t="s">
        <v>690</v>
      </c>
      <c r="B213" s="376" t="s">
        <v>839</v>
      </c>
      <c r="C213" s="376" t="s">
        <v>839</v>
      </c>
      <c r="D213" s="376">
        <v>26275</v>
      </c>
      <c r="E213" s="376">
        <v>26275</v>
      </c>
      <c r="F213" s="376">
        <v>6412</v>
      </c>
      <c r="G213" s="376">
        <v>19863</v>
      </c>
      <c r="H213" s="376" t="s">
        <v>839</v>
      </c>
      <c r="I213" s="376" t="s">
        <v>839</v>
      </c>
      <c r="J213" s="376">
        <v>264146</v>
      </c>
      <c r="K213" s="376">
        <v>264146</v>
      </c>
      <c r="L213" s="376">
        <v>222985</v>
      </c>
      <c r="M213" s="376">
        <v>41161</v>
      </c>
      <c r="N213" s="376" t="s">
        <v>839</v>
      </c>
      <c r="O213" s="376" t="s">
        <v>839</v>
      </c>
      <c r="P213" s="376">
        <v>27712</v>
      </c>
      <c r="Q213" s="376">
        <v>27712</v>
      </c>
      <c r="R213" s="376">
        <v>27712</v>
      </c>
      <c r="S213" s="376" t="s">
        <v>839</v>
      </c>
      <c r="T213" s="376" t="s">
        <v>839</v>
      </c>
      <c r="U213" s="376" t="s">
        <v>839</v>
      </c>
      <c r="V213" s="376" t="s">
        <v>839</v>
      </c>
      <c r="W213" s="381" t="s">
        <v>77</v>
      </c>
    </row>
    <row r="214" spans="1:23" s="376" customFormat="1" ht="9.75" customHeight="1" x14ac:dyDescent="0.15">
      <c r="A214" s="757" t="s">
        <v>691</v>
      </c>
      <c r="B214" s="380">
        <v>80394</v>
      </c>
      <c r="C214" s="379" t="s">
        <v>839</v>
      </c>
      <c r="D214" s="379" t="s">
        <v>839</v>
      </c>
      <c r="E214" s="379" t="s">
        <v>839</v>
      </c>
      <c r="F214" s="379" t="s">
        <v>839</v>
      </c>
      <c r="G214" s="379" t="s">
        <v>839</v>
      </c>
      <c r="H214" s="379" t="s">
        <v>839</v>
      </c>
      <c r="I214" s="379" t="s">
        <v>839</v>
      </c>
      <c r="J214" s="379">
        <v>93561</v>
      </c>
      <c r="K214" s="379">
        <v>93561</v>
      </c>
      <c r="L214" s="379">
        <v>51791</v>
      </c>
      <c r="M214" s="379">
        <v>41770</v>
      </c>
      <c r="N214" s="379" t="s">
        <v>839</v>
      </c>
      <c r="O214" s="379" t="s">
        <v>839</v>
      </c>
      <c r="P214" s="379">
        <v>27535</v>
      </c>
      <c r="Q214" s="379">
        <v>27535</v>
      </c>
      <c r="R214" s="379">
        <v>27535</v>
      </c>
      <c r="S214" s="379" t="s">
        <v>839</v>
      </c>
      <c r="T214" s="379" t="s">
        <v>839</v>
      </c>
      <c r="U214" s="379" t="s">
        <v>839</v>
      </c>
      <c r="V214" s="379" t="s">
        <v>839</v>
      </c>
      <c r="W214" s="377" t="s">
        <v>78</v>
      </c>
    </row>
    <row r="215" spans="1:23" ht="12" customHeight="1" x14ac:dyDescent="0.15"/>
    <row r="216" spans="1:23" ht="12" customHeight="1" x14ac:dyDescent="0.15"/>
    <row r="217" spans="1:23" ht="12" customHeight="1" x14ac:dyDescent="0.15">
      <c r="K217" s="391" t="s">
        <v>97</v>
      </c>
      <c r="V217" s="394" t="s">
        <v>984</v>
      </c>
    </row>
    <row r="218" spans="1:23" s="387" customFormat="1" ht="21" customHeight="1" x14ac:dyDescent="0.15">
      <c r="A218" s="1023" t="s">
        <v>185</v>
      </c>
      <c r="B218" s="390" t="s">
        <v>352</v>
      </c>
      <c r="C218" s="732"/>
      <c r="D218" s="733" t="s">
        <v>304</v>
      </c>
      <c r="E218" s="389"/>
      <c r="F218" s="732"/>
      <c r="G218" s="733" t="s">
        <v>990</v>
      </c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732"/>
      <c r="U218" s="733" t="s">
        <v>301</v>
      </c>
      <c r="V218" s="389"/>
      <c r="W218" s="1026" t="s">
        <v>83</v>
      </c>
    </row>
    <row r="219" spans="1:23" s="387" customFormat="1" ht="21" customHeight="1" x14ac:dyDescent="0.15">
      <c r="A219" s="1024"/>
      <c r="B219" s="390" t="s">
        <v>988</v>
      </c>
      <c r="C219" s="732"/>
      <c r="D219" s="1029" t="s">
        <v>302</v>
      </c>
      <c r="E219" s="733" t="s">
        <v>279</v>
      </c>
      <c r="F219" s="732"/>
      <c r="G219" s="1031" t="s">
        <v>991</v>
      </c>
      <c r="H219" s="733" t="s">
        <v>279</v>
      </c>
      <c r="I219" s="389"/>
      <c r="J219" s="389"/>
      <c r="K219" s="389"/>
      <c r="L219" s="389"/>
      <c r="M219" s="389"/>
      <c r="N219" s="732"/>
      <c r="O219" s="733" t="s">
        <v>273</v>
      </c>
      <c r="P219" s="732"/>
      <c r="Q219" s="733" t="s">
        <v>256</v>
      </c>
      <c r="R219" s="732"/>
      <c r="S219" s="733" t="s">
        <v>255</v>
      </c>
      <c r="T219" s="732"/>
      <c r="U219" s="1029" t="s">
        <v>300</v>
      </c>
      <c r="V219" s="733" t="s">
        <v>279</v>
      </c>
      <c r="W219" s="1027"/>
    </row>
    <row r="220" spans="1:23" s="387" customFormat="1" ht="52.5" customHeight="1" x14ac:dyDescent="0.15">
      <c r="A220" s="1025"/>
      <c r="B220" s="393" t="s">
        <v>979</v>
      </c>
      <c r="C220" s="388" t="s">
        <v>262</v>
      </c>
      <c r="D220" s="1030"/>
      <c r="E220" s="735" t="s">
        <v>975</v>
      </c>
      <c r="F220" s="388" t="s">
        <v>270</v>
      </c>
      <c r="G220" s="1030"/>
      <c r="H220" s="735" t="s">
        <v>975</v>
      </c>
      <c r="I220" s="388" t="s">
        <v>270</v>
      </c>
      <c r="J220" s="388" t="s">
        <v>285</v>
      </c>
      <c r="K220" s="388" t="s">
        <v>290</v>
      </c>
      <c r="L220" s="388" t="s">
        <v>269</v>
      </c>
      <c r="M220" s="388" t="s">
        <v>268</v>
      </c>
      <c r="N220" s="388" t="s">
        <v>266</v>
      </c>
      <c r="O220" s="735" t="s">
        <v>106</v>
      </c>
      <c r="P220" s="388" t="s">
        <v>259</v>
      </c>
      <c r="Q220" s="735" t="s">
        <v>983</v>
      </c>
      <c r="R220" s="388" t="s">
        <v>448</v>
      </c>
      <c r="S220" s="735" t="s">
        <v>986</v>
      </c>
      <c r="T220" s="388" t="s">
        <v>987</v>
      </c>
      <c r="U220" s="1030"/>
      <c r="V220" s="734" t="s">
        <v>975</v>
      </c>
      <c r="W220" s="1028"/>
    </row>
    <row r="221" spans="1:23" s="376" customFormat="1" ht="9.75" customHeight="1" x14ac:dyDescent="0.15">
      <c r="A221" s="755" t="s">
        <v>838</v>
      </c>
      <c r="B221" s="386" t="s">
        <v>839</v>
      </c>
      <c r="C221" s="385" t="s">
        <v>839</v>
      </c>
      <c r="D221" s="385">
        <v>71561</v>
      </c>
      <c r="E221" s="385">
        <v>71561</v>
      </c>
      <c r="F221" s="385">
        <v>71561</v>
      </c>
      <c r="G221" s="385">
        <v>2498701</v>
      </c>
      <c r="H221" s="385">
        <v>2253393</v>
      </c>
      <c r="I221" s="385">
        <v>384892</v>
      </c>
      <c r="J221" s="385" t="s">
        <v>839</v>
      </c>
      <c r="K221" s="385">
        <v>43696</v>
      </c>
      <c r="L221" s="385">
        <v>861940</v>
      </c>
      <c r="M221" s="385">
        <v>954038</v>
      </c>
      <c r="N221" s="385">
        <v>8827</v>
      </c>
      <c r="O221" s="385">
        <v>180407</v>
      </c>
      <c r="P221" s="385">
        <v>180407</v>
      </c>
      <c r="Q221" s="385">
        <v>8663</v>
      </c>
      <c r="R221" s="385">
        <v>8663</v>
      </c>
      <c r="S221" s="385">
        <v>56238</v>
      </c>
      <c r="T221" s="385">
        <v>56238</v>
      </c>
      <c r="U221" s="385">
        <v>225524</v>
      </c>
      <c r="V221" s="385">
        <v>208471</v>
      </c>
      <c r="W221" s="383" t="s">
        <v>457</v>
      </c>
    </row>
    <row r="222" spans="1:23" s="376" customFormat="1" ht="9.75" customHeight="1" x14ac:dyDescent="0.15">
      <c r="A222" s="756" t="s">
        <v>669</v>
      </c>
      <c r="B222" s="376" t="s">
        <v>839</v>
      </c>
      <c r="C222" s="376" t="s">
        <v>839</v>
      </c>
      <c r="D222" s="376">
        <v>114834</v>
      </c>
      <c r="E222" s="376">
        <v>114834</v>
      </c>
      <c r="F222" s="376">
        <v>114834</v>
      </c>
      <c r="G222" s="376">
        <v>690500</v>
      </c>
      <c r="H222" s="376">
        <v>635972</v>
      </c>
      <c r="I222" s="376">
        <v>175282</v>
      </c>
      <c r="J222" s="376">
        <v>35468</v>
      </c>
      <c r="K222" s="376" t="s">
        <v>839</v>
      </c>
      <c r="L222" s="376">
        <v>165788</v>
      </c>
      <c r="M222" s="376">
        <v>259434</v>
      </c>
      <c r="N222" s="376" t="s">
        <v>839</v>
      </c>
      <c r="O222" s="376" t="s">
        <v>839</v>
      </c>
      <c r="P222" s="376" t="s">
        <v>839</v>
      </c>
      <c r="Q222" s="376" t="s">
        <v>839</v>
      </c>
      <c r="R222" s="376" t="s">
        <v>839</v>
      </c>
      <c r="S222" s="376">
        <v>54528</v>
      </c>
      <c r="T222" s="376">
        <v>54528</v>
      </c>
      <c r="U222" s="376">
        <v>235247</v>
      </c>
      <c r="V222" s="376">
        <v>209965</v>
      </c>
      <c r="W222" s="381" t="s">
        <v>512</v>
      </c>
    </row>
    <row r="223" spans="1:23" s="376" customFormat="1" ht="9.75" customHeight="1" x14ac:dyDescent="0.15">
      <c r="A223" s="756" t="s">
        <v>670</v>
      </c>
      <c r="B223" s="376" t="s">
        <v>839</v>
      </c>
      <c r="C223" s="376">
        <v>2</v>
      </c>
      <c r="D223" s="376">
        <v>123613</v>
      </c>
      <c r="E223" s="376">
        <v>123613</v>
      </c>
      <c r="F223" s="376">
        <v>123613</v>
      </c>
      <c r="G223" s="376">
        <v>313944</v>
      </c>
      <c r="H223" s="376">
        <v>227811</v>
      </c>
      <c r="I223" s="376">
        <v>84591</v>
      </c>
      <c r="J223" s="376" t="s">
        <v>839</v>
      </c>
      <c r="K223" s="376" t="s">
        <v>839</v>
      </c>
      <c r="L223" s="376" t="s">
        <v>839</v>
      </c>
      <c r="M223" s="376">
        <v>143220</v>
      </c>
      <c r="N223" s="376" t="s">
        <v>839</v>
      </c>
      <c r="O223" s="376">
        <v>65864</v>
      </c>
      <c r="P223" s="376">
        <v>65864</v>
      </c>
      <c r="Q223" s="376" t="s">
        <v>839</v>
      </c>
      <c r="R223" s="376" t="s">
        <v>839</v>
      </c>
      <c r="S223" s="376">
        <v>20269</v>
      </c>
      <c r="T223" s="376">
        <v>20269</v>
      </c>
      <c r="U223" s="376">
        <v>195920</v>
      </c>
      <c r="V223" s="376">
        <v>180467</v>
      </c>
      <c r="W223" s="381" t="s">
        <v>620</v>
      </c>
    </row>
    <row r="224" spans="1:23" s="376" customFormat="1" ht="9.75" customHeight="1" x14ac:dyDescent="0.15">
      <c r="A224" s="756" t="s">
        <v>671</v>
      </c>
      <c r="B224" s="376">
        <v>161</v>
      </c>
      <c r="C224" s="376" t="s">
        <v>839</v>
      </c>
      <c r="D224" s="376">
        <v>153230</v>
      </c>
      <c r="E224" s="376">
        <v>153230</v>
      </c>
      <c r="F224" s="376">
        <v>153230</v>
      </c>
      <c r="G224" s="376">
        <v>1028729</v>
      </c>
      <c r="H224" s="376">
        <v>1028729</v>
      </c>
      <c r="I224" s="376">
        <v>272713</v>
      </c>
      <c r="J224" s="376" t="s">
        <v>839</v>
      </c>
      <c r="K224" s="376" t="s">
        <v>839</v>
      </c>
      <c r="L224" s="376">
        <v>209841</v>
      </c>
      <c r="M224" s="376">
        <v>546175</v>
      </c>
      <c r="N224" s="376" t="s">
        <v>839</v>
      </c>
      <c r="O224" s="376" t="s">
        <v>839</v>
      </c>
      <c r="P224" s="376" t="s">
        <v>839</v>
      </c>
      <c r="Q224" s="376" t="s">
        <v>839</v>
      </c>
      <c r="R224" s="376" t="s">
        <v>839</v>
      </c>
      <c r="S224" s="376" t="s">
        <v>839</v>
      </c>
      <c r="T224" s="376" t="s">
        <v>839</v>
      </c>
      <c r="U224" s="376">
        <v>270105</v>
      </c>
      <c r="V224" s="376">
        <v>255929</v>
      </c>
      <c r="W224" s="381" t="s">
        <v>672</v>
      </c>
    </row>
    <row r="225" spans="1:23" s="376" customFormat="1" ht="9.75" customHeight="1" x14ac:dyDescent="0.15">
      <c r="A225" s="756" t="s">
        <v>840</v>
      </c>
      <c r="B225" s="376">
        <v>251</v>
      </c>
      <c r="C225" s="376" t="s">
        <v>839</v>
      </c>
      <c r="D225" s="376">
        <v>12370</v>
      </c>
      <c r="E225" s="376">
        <v>12370</v>
      </c>
      <c r="F225" s="376">
        <v>12370</v>
      </c>
      <c r="G225" s="376">
        <v>2078905</v>
      </c>
      <c r="H225" s="376">
        <v>2078905</v>
      </c>
      <c r="I225" s="376">
        <v>779765</v>
      </c>
      <c r="J225" s="376" t="s">
        <v>839</v>
      </c>
      <c r="K225" s="376" t="s">
        <v>839</v>
      </c>
      <c r="L225" s="376">
        <v>504196</v>
      </c>
      <c r="M225" s="376">
        <v>794944</v>
      </c>
      <c r="N225" s="376" t="s">
        <v>839</v>
      </c>
      <c r="O225" s="376" t="s">
        <v>839</v>
      </c>
      <c r="P225" s="376" t="s">
        <v>839</v>
      </c>
      <c r="Q225" s="376" t="s">
        <v>839</v>
      </c>
      <c r="R225" s="376" t="s">
        <v>839</v>
      </c>
      <c r="S225" s="376" t="s">
        <v>839</v>
      </c>
      <c r="T225" s="376" t="s">
        <v>839</v>
      </c>
      <c r="U225" s="376">
        <v>217626</v>
      </c>
      <c r="V225" s="376">
        <v>194556</v>
      </c>
      <c r="W225" s="381" t="s">
        <v>841</v>
      </c>
    </row>
    <row r="226" spans="1:23" s="376" customFormat="1" ht="6.75" customHeight="1" x14ac:dyDescent="0.15">
      <c r="A226" s="787"/>
      <c r="W226" s="381"/>
    </row>
    <row r="227" spans="1:23" s="376" customFormat="1" ht="9.75" customHeight="1" x14ac:dyDescent="0.15">
      <c r="A227" s="756" t="s">
        <v>842</v>
      </c>
      <c r="B227" s="376">
        <v>184</v>
      </c>
      <c r="C227" s="376" t="s">
        <v>839</v>
      </c>
      <c r="D227" s="376">
        <v>143574</v>
      </c>
      <c r="E227" s="376">
        <v>143574</v>
      </c>
      <c r="F227" s="376">
        <v>143574</v>
      </c>
      <c r="G227" s="376">
        <v>1344200</v>
      </c>
      <c r="H227" s="376">
        <v>1344200</v>
      </c>
      <c r="I227" s="376">
        <v>472514</v>
      </c>
      <c r="J227" s="376" t="s">
        <v>839</v>
      </c>
      <c r="K227" s="376" t="s">
        <v>839</v>
      </c>
      <c r="L227" s="376">
        <v>447432</v>
      </c>
      <c r="M227" s="376">
        <v>424254</v>
      </c>
      <c r="N227" s="376" t="s">
        <v>839</v>
      </c>
      <c r="O227" s="376" t="s">
        <v>839</v>
      </c>
      <c r="P227" s="376" t="s">
        <v>839</v>
      </c>
      <c r="Q227" s="376" t="s">
        <v>839</v>
      </c>
      <c r="R227" s="376" t="s">
        <v>839</v>
      </c>
      <c r="S227" s="376" t="s">
        <v>839</v>
      </c>
      <c r="T227" s="376" t="s">
        <v>839</v>
      </c>
      <c r="U227" s="376">
        <v>279529</v>
      </c>
      <c r="V227" s="376">
        <v>259517</v>
      </c>
      <c r="W227" s="381" t="s">
        <v>673</v>
      </c>
    </row>
    <row r="228" spans="1:23" s="376" customFormat="1" ht="9.75" customHeight="1" x14ac:dyDescent="0.15">
      <c r="A228" s="756" t="s">
        <v>843</v>
      </c>
      <c r="B228" s="376">
        <v>252</v>
      </c>
      <c r="C228" s="376" t="s">
        <v>839</v>
      </c>
      <c r="D228" s="376" t="s">
        <v>839</v>
      </c>
      <c r="E228" s="376" t="s">
        <v>839</v>
      </c>
      <c r="F228" s="376" t="s">
        <v>839</v>
      </c>
      <c r="G228" s="376">
        <v>2024127</v>
      </c>
      <c r="H228" s="376">
        <v>2024127</v>
      </c>
      <c r="I228" s="376">
        <v>682317</v>
      </c>
      <c r="J228" s="376" t="s">
        <v>839</v>
      </c>
      <c r="K228" s="376" t="s">
        <v>839</v>
      </c>
      <c r="L228" s="376">
        <v>404578</v>
      </c>
      <c r="M228" s="376">
        <v>937232</v>
      </c>
      <c r="N228" s="376" t="s">
        <v>839</v>
      </c>
      <c r="O228" s="376" t="s">
        <v>839</v>
      </c>
      <c r="P228" s="376" t="s">
        <v>839</v>
      </c>
      <c r="Q228" s="376" t="s">
        <v>839</v>
      </c>
      <c r="R228" s="376" t="s">
        <v>839</v>
      </c>
      <c r="S228" s="376" t="s">
        <v>839</v>
      </c>
      <c r="T228" s="376" t="s">
        <v>839</v>
      </c>
      <c r="U228" s="376">
        <v>184058</v>
      </c>
      <c r="V228" s="376">
        <v>166238</v>
      </c>
      <c r="W228" s="381" t="s">
        <v>844</v>
      </c>
    </row>
    <row r="229" spans="1:23" s="376" customFormat="1" ht="6.75" customHeight="1" x14ac:dyDescent="0.15">
      <c r="A229" s="787"/>
      <c r="W229" s="381"/>
    </row>
    <row r="230" spans="1:23" s="376" customFormat="1" ht="9.75" customHeight="1" x14ac:dyDescent="0.15">
      <c r="A230" s="756" t="s">
        <v>845</v>
      </c>
      <c r="B230" s="376">
        <v>23</v>
      </c>
      <c r="C230" s="376" t="s">
        <v>839</v>
      </c>
      <c r="D230" s="376">
        <v>12370</v>
      </c>
      <c r="E230" s="376">
        <v>12370</v>
      </c>
      <c r="F230" s="376">
        <v>12370</v>
      </c>
      <c r="G230" s="376">
        <v>668626</v>
      </c>
      <c r="H230" s="376">
        <v>668626</v>
      </c>
      <c r="I230" s="376">
        <v>280481</v>
      </c>
      <c r="J230" s="376" t="s">
        <v>839</v>
      </c>
      <c r="K230" s="376" t="s">
        <v>839</v>
      </c>
      <c r="L230" s="376">
        <v>295604</v>
      </c>
      <c r="M230" s="376">
        <v>92541</v>
      </c>
      <c r="N230" s="376" t="s">
        <v>839</v>
      </c>
      <c r="O230" s="376" t="s">
        <v>839</v>
      </c>
      <c r="P230" s="376" t="s">
        <v>839</v>
      </c>
      <c r="Q230" s="376" t="s">
        <v>839</v>
      </c>
      <c r="R230" s="376" t="s">
        <v>839</v>
      </c>
      <c r="S230" s="376" t="s">
        <v>839</v>
      </c>
      <c r="T230" s="376" t="s">
        <v>839</v>
      </c>
      <c r="U230" s="376">
        <v>63250</v>
      </c>
      <c r="V230" s="376">
        <v>54086</v>
      </c>
      <c r="W230" s="381" t="s">
        <v>677</v>
      </c>
    </row>
    <row r="231" spans="1:23" s="376" customFormat="1" ht="9.75" customHeight="1" x14ac:dyDescent="0.15">
      <c r="A231" s="756" t="s">
        <v>674</v>
      </c>
      <c r="B231" s="376">
        <v>89</v>
      </c>
      <c r="C231" s="376" t="s">
        <v>839</v>
      </c>
      <c r="D231" s="376" t="s">
        <v>839</v>
      </c>
      <c r="E231" s="376" t="s">
        <v>839</v>
      </c>
      <c r="F231" s="376" t="s">
        <v>839</v>
      </c>
      <c r="G231" s="376">
        <v>414928</v>
      </c>
      <c r="H231" s="376">
        <v>414928</v>
      </c>
      <c r="I231" s="376">
        <v>166485</v>
      </c>
      <c r="J231" s="376" t="s">
        <v>839</v>
      </c>
      <c r="K231" s="376" t="s">
        <v>839</v>
      </c>
      <c r="L231" s="376" t="s">
        <v>839</v>
      </c>
      <c r="M231" s="376">
        <v>248443</v>
      </c>
      <c r="N231" s="376" t="s">
        <v>839</v>
      </c>
      <c r="O231" s="376" t="s">
        <v>839</v>
      </c>
      <c r="P231" s="376" t="s">
        <v>839</v>
      </c>
      <c r="Q231" s="376" t="s">
        <v>839</v>
      </c>
      <c r="R231" s="376" t="s">
        <v>839</v>
      </c>
      <c r="S231" s="376" t="s">
        <v>839</v>
      </c>
      <c r="T231" s="376" t="s">
        <v>839</v>
      </c>
      <c r="U231" s="376">
        <v>70317</v>
      </c>
      <c r="V231" s="376">
        <v>61937</v>
      </c>
      <c r="W231" s="381" t="s">
        <v>89</v>
      </c>
    </row>
    <row r="232" spans="1:23" s="376" customFormat="1" ht="9.75" customHeight="1" x14ac:dyDescent="0.15">
      <c r="A232" s="756" t="s">
        <v>675</v>
      </c>
      <c r="B232" s="376">
        <v>70</v>
      </c>
      <c r="C232" s="376" t="s">
        <v>839</v>
      </c>
      <c r="D232" s="376" t="s">
        <v>839</v>
      </c>
      <c r="E232" s="376" t="s">
        <v>839</v>
      </c>
      <c r="F232" s="376" t="s">
        <v>839</v>
      </c>
      <c r="G232" s="376">
        <v>529334</v>
      </c>
      <c r="H232" s="376">
        <v>529334</v>
      </c>
      <c r="I232" s="376">
        <v>162246</v>
      </c>
      <c r="J232" s="376" t="s">
        <v>839</v>
      </c>
      <c r="K232" s="376" t="s">
        <v>839</v>
      </c>
      <c r="L232" s="376">
        <v>150812</v>
      </c>
      <c r="M232" s="376">
        <v>216276</v>
      </c>
      <c r="N232" s="376" t="s">
        <v>839</v>
      </c>
      <c r="O232" s="376" t="s">
        <v>839</v>
      </c>
      <c r="P232" s="376" t="s">
        <v>839</v>
      </c>
      <c r="Q232" s="376" t="s">
        <v>839</v>
      </c>
      <c r="R232" s="376" t="s">
        <v>839</v>
      </c>
      <c r="S232" s="376" t="s">
        <v>839</v>
      </c>
      <c r="T232" s="376" t="s">
        <v>839</v>
      </c>
      <c r="U232" s="376">
        <v>33205</v>
      </c>
      <c r="V232" s="376">
        <v>30004</v>
      </c>
      <c r="W232" s="381" t="s">
        <v>90</v>
      </c>
    </row>
    <row r="233" spans="1:23" s="376" customFormat="1" ht="9.75" customHeight="1" x14ac:dyDescent="0.15">
      <c r="A233" s="756" t="s">
        <v>676</v>
      </c>
      <c r="B233" s="376">
        <v>69</v>
      </c>
      <c r="C233" s="376" t="s">
        <v>839</v>
      </c>
      <c r="D233" s="376" t="s">
        <v>839</v>
      </c>
      <c r="E233" s="376" t="s">
        <v>839</v>
      </c>
      <c r="F233" s="376" t="s">
        <v>839</v>
      </c>
      <c r="G233" s="376">
        <v>466017</v>
      </c>
      <c r="H233" s="376">
        <v>466017</v>
      </c>
      <c r="I233" s="376">
        <v>170553</v>
      </c>
      <c r="J233" s="376" t="s">
        <v>839</v>
      </c>
      <c r="K233" s="376" t="s">
        <v>839</v>
      </c>
      <c r="L233" s="376">
        <v>57780</v>
      </c>
      <c r="M233" s="376">
        <v>237684</v>
      </c>
      <c r="N233" s="376" t="s">
        <v>839</v>
      </c>
      <c r="O233" s="376" t="s">
        <v>839</v>
      </c>
      <c r="P233" s="376" t="s">
        <v>839</v>
      </c>
      <c r="Q233" s="376" t="s">
        <v>839</v>
      </c>
      <c r="R233" s="376" t="s">
        <v>839</v>
      </c>
      <c r="S233" s="376" t="s">
        <v>839</v>
      </c>
      <c r="T233" s="376" t="s">
        <v>839</v>
      </c>
      <c r="U233" s="376">
        <v>50854</v>
      </c>
      <c r="V233" s="376">
        <v>48529</v>
      </c>
      <c r="W233" s="381" t="s">
        <v>91</v>
      </c>
    </row>
    <row r="234" spans="1:23" s="376" customFormat="1" ht="9.75" customHeight="1" x14ac:dyDescent="0.15">
      <c r="A234" s="756" t="s">
        <v>846</v>
      </c>
      <c r="B234" s="376">
        <v>24</v>
      </c>
      <c r="C234" s="376" t="s">
        <v>839</v>
      </c>
      <c r="D234" s="376" t="s">
        <v>839</v>
      </c>
      <c r="E234" s="376" t="s">
        <v>839</v>
      </c>
      <c r="F234" s="376" t="s">
        <v>839</v>
      </c>
      <c r="G234" s="376">
        <v>613848</v>
      </c>
      <c r="H234" s="376">
        <v>613848</v>
      </c>
      <c r="I234" s="376">
        <v>183033</v>
      </c>
      <c r="J234" s="376" t="s">
        <v>839</v>
      </c>
      <c r="K234" s="376" t="s">
        <v>839</v>
      </c>
      <c r="L234" s="376">
        <v>195986</v>
      </c>
      <c r="M234" s="376">
        <v>234829</v>
      </c>
      <c r="N234" s="376" t="s">
        <v>839</v>
      </c>
      <c r="O234" s="376" t="s">
        <v>839</v>
      </c>
      <c r="P234" s="376" t="s">
        <v>839</v>
      </c>
      <c r="Q234" s="376" t="s">
        <v>839</v>
      </c>
      <c r="R234" s="376" t="s">
        <v>839</v>
      </c>
      <c r="S234" s="376" t="s">
        <v>839</v>
      </c>
      <c r="T234" s="376" t="s">
        <v>839</v>
      </c>
      <c r="U234" s="376">
        <v>29682</v>
      </c>
      <c r="V234" s="376">
        <v>25768</v>
      </c>
      <c r="W234" s="381" t="s">
        <v>847</v>
      </c>
    </row>
    <row r="235" spans="1:23" s="376" customFormat="1" ht="6.75" customHeight="1" x14ac:dyDescent="0.15">
      <c r="A235" s="787"/>
      <c r="W235" s="381"/>
    </row>
    <row r="236" spans="1:23" s="376" customFormat="1" ht="9.75" customHeight="1" x14ac:dyDescent="0.15">
      <c r="A236" s="756" t="s">
        <v>848</v>
      </c>
      <c r="B236" s="376" t="s">
        <v>839</v>
      </c>
      <c r="C236" s="376" t="s">
        <v>839</v>
      </c>
      <c r="D236" s="376">
        <v>6171</v>
      </c>
      <c r="E236" s="376">
        <v>6171</v>
      </c>
      <c r="F236" s="376">
        <v>6171</v>
      </c>
      <c r="G236" s="376">
        <v>272905</v>
      </c>
      <c r="H236" s="376">
        <v>272905</v>
      </c>
      <c r="I236" s="376">
        <v>87779</v>
      </c>
      <c r="J236" s="376" t="s">
        <v>839</v>
      </c>
      <c r="K236" s="376" t="s">
        <v>839</v>
      </c>
      <c r="L236" s="376">
        <v>151902</v>
      </c>
      <c r="M236" s="376">
        <v>33224</v>
      </c>
      <c r="N236" s="376" t="s">
        <v>839</v>
      </c>
      <c r="O236" s="376" t="s">
        <v>839</v>
      </c>
      <c r="P236" s="376" t="s">
        <v>839</v>
      </c>
      <c r="Q236" s="376" t="s">
        <v>839</v>
      </c>
      <c r="R236" s="376" t="s">
        <v>839</v>
      </c>
      <c r="S236" s="376" t="s">
        <v>839</v>
      </c>
      <c r="T236" s="376" t="s">
        <v>839</v>
      </c>
      <c r="U236" s="376">
        <v>14676</v>
      </c>
      <c r="V236" s="376">
        <v>12046</v>
      </c>
      <c r="W236" s="381" t="s">
        <v>689</v>
      </c>
    </row>
    <row r="237" spans="1:23" s="376" customFormat="1" ht="9.75" customHeight="1" x14ac:dyDescent="0.15">
      <c r="A237" s="756" t="s">
        <v>678</v>
      </c>
      <c r="B237" s="376">
        <v>23</v>
      </c>
      <c r="C237" s="376" t="s">
        <v>839</v>
      </c>
      <c r="D237" s="376" t="s">
        <v>839</v>
      </c>
      <c r="E237" s="376" t="s">
        <v>839</v>
      </c>
      <c r="F237" s="376" t="s">
        <v>839</v>
      </c>
      <c r="G237" s="376">
        <v>234557</v>
      </c>
      <c r="H237" s="376">
        <v>234557</v>
      </c>
      <c r="I237" s="376">
        <v>110904</v>
      </c>
      <c r="J237" s="376" t="s">
        <v>839</v>
      </c>
      <c r="K237" s="376" t="s">
        <v>839</v>
      </c>
      <c r="L237" s="376">
        <v>89280</v>
      </c>
      <c r="M237" s="376">
        <v>34373</v>
      </c>
      <c r="N237" s="376" t="s">
        <v>839</v>
      </c>
      <c r="O237" s="376" t="s">
        <v>839</v>
      </c>
      <c r="P237" s="376" t="s">
        <v>839</v>
      </c>
      <c r="Q237" s="376" t="s">
        <v>839</v>
      </c>
      <c r="R237" s="376" t="s">
        <v>839</v>
      </c>
      <c r="S237" s="376" t="s">
        <v>839</v>
      </c>
      <c r="T237" s="376" t="s">
        <v>839</v>
      </c>
      <c r="U237" s="376">
        <v>29472</v>
      </c>
      <c r="V237" s="376">
        <v>28429</v>
      </c>
      <c r="W237" s="381" t="s">
        <v>77</v>
      </c>
    </row>
    <row r="238" spans="1:23" s="376" customFormat="1" ht="9.75" customHeight="1" x14ac:dyDescent="0.15">
      <c r="A238" s="756" t="s">
        <v>679</v>
      </c>
      <c r="B238" s="376" t="s">
        <v>839</v>
      </c>
      <c r="C238" s="376" t="s">
        <v>839</v>
      </c>
      <c r="D238" s="376">
        <v>6199</v>
      </c>
      <c r="E238" s="376">
        <v>6199</v>
      </c>
      <c r="F238" s="376">
        <v>6199</v>
      </c>
      <c r="G238" s="376">
        <v>161164</v>
      </c>
      <c r="H238" s="376">
        <v>161164</v>
      </c>
      <c r="I238" s="376">
        <v>81798</v>
      </c>
      <c r="J238" s="376" t="s">
        <v>839</v>
      </c>
      <c r="K238" s="376" t="s">
        <v>839</v>
      </c>
      <c r="L238" s="376">
        <v>54422</v>
      </c>
      <c r="M238" s="376">
        <v>24944</v>
      </c>
      <c r="N238" s="376" t="s">
        <v>839</v>
      </c>
      <c r="O238" s="376" t="s">
        <v>839</v>
      </c>
      <c r="P238" s="376" t="s">
        <v>839</v>
      </c>
      <c r="Q238" s="376" t="s">
        <v>839</v>
      </c>
      <c r="R238" s="376" t="s">
        <v>839</v>
      </c>
      <c r="S238" s="376" t="s">
        <v>839</v>
      </c>
      <c r="T238" s="376" t="s">
        <v>839</v>
      </c>
      <c r="U238" s="376">
        <v>19102</v>
      </c>
      <c r="V238" s="376">
        <v>13611</v>
      </c>
      <c r="W238" s="381" t="s">
        <v>78</v>
      </c>
    </row>
    <row r="239" spans="1:23" s="376" customFormat="1" ht="9.75" customHeight="1" x14ac:dyDescent="0.15">
      <c r="A239" s="756" t="s">
        <v>680</v>
      </c>
      <c r="B239" s="376" t="s">
        <v>839</v>
      </c>
      <c r="C239" s="376" t="s">
        <v>839</v>
      </c>
      <c r="D239" s="376" t="s">
        <v>839</v>
      </c>
      <c r="E239" s="376" t="s">
        <v>839</v>
      </c>
      <c r="F239" s="376" t="s">
        <v>839</v>
      </c>
      <c r="G239" s="376">
        <v>188537</v>
      </c>
      <c r="H239" s="376">
        <v>188537</v>
      </c>
      <c r="I239" s="376">
        <v>54665</v>
      </c>
      <c r="J239" s="376" t="s">
        <v>839</v>
      </c>
      <c r="K239" s="376" t="s">
        <v>839</v>
      </c>
      <c r="L239" s="376" t="s">
        <v>839</v>
      </c>
      <c r="M239" s="376">
        <v>133872</v>
      </c>
      <c r="N239" s="376" t="s">
        <v>839</v>
      </c>
      <c r="O239" s="376" t="s">
        <v>839</v>
      </c>
      <c r="P239" s="376" t="s">
        <v>839</v>
      </c>
      <c r="Q239" s="376" t="s">
        <v>839</v>
      </c>
      <c r="R239" s="376" t="s">
        <v>839</v>
      </c>
      <c r="S239" s="376" t="s">
        <v>839</v>
      </c>
      <c r="T239" s="376" t="s">
        <v>839</v>
      </c>
      <c r="U239" s="376">
        <v>28554</v>
      </c>
      <c r="V239" s="376">
        <v>27185</v>
      </c>
      <c r="W239" s="381" t="s">
        <v>79</v>
      </c>
    </row>
    <row r="240" spans="1:23" s="376" customFormat="1" ht="9.75" customHeight="1" x14ac:dyDescent="0.15">
      <c r="A240" s="756" t="s">
        <v>681</v>
      </c>
      <c r="B240" s="376">
        <v>67</v>
      </c>
      <c r="C240" s="376" t="s">
        <v>839</v>
      </c>
      <c r="D240" s="376" t="s">
        <v>839</v>
      </c>
      <c r="E240" s="376" t="s">
        <v>839</v>
      </c>
      <c r="F240" s="376" t="s">
        <v>839</v>
      </c>
      <c r="G240" s="376">
        <v>103299</v>
      </c>
      <c r="H240" s="376">
        <v>103299</v>
      </c>
      <c r="I240" s="376">
        <v>53457</v>
      </c>
      <c r="J240" s="376" t="s">
        <v>839</v>
      </c>
      <c r="K240" s="376" t="s">
        <v>839</v>
      </c>
      <c r="L240" s="376" t="s">
        <v>839</v>
      </c>
      <c r="M240" s="376">
        <v>49842</v>
      </c>
      <c r="N240" s="376" t="s">
        <v>839</v>
      </c>
      <c r="O240" s="376" t="s">
        <v>839</v>
      </c>
      <c r="P240" s="376" t="s">
        <v>839</v>
      </c>
      <c r="Q240" s="376" t="s">
        <v>839</v>
      </c>
      <c r="R240" s="376" t="s">
        <v>839</v>
      </c>
      <c r="S240" s="376" t="s">
        <v>839</v>
      </c>
      <c r="T240" s="376" t="s">
        <v>839</v>
      </c>
      <c r="U240" s="376">
        <v>15008</v>
      </c>
      <c r="V240" s="376">
        <v>13720</v>
      </c>
      <c r="W240" s="381" t="s">
        <v>92</v>
      </c>
    </row>
    <row r="241" spans="1:23" s="376" customFormat="1" ht="9.75" customHeight="1" x14ac:dyDescent="0.15">
      <c r="A241" s="756" t="s">
        <v>682</v>
      </c>
      <c r="B241" s="376">
        <v>22</v>
      </c>
      <c r="C241" s="376" t="s">
        <v>839</v>
      </c>
      <c r="D241" s="376" t="s">
        <v>839</v>
      </c>
      <c r="E241" s="376" t="s">
        <v>839</v>
      </c>
      <c r="F241" s="376" t="s">
        <v>839</v>
      </c>
      <c r="G241" s="376">
        <v>123092</v>
      </c>
      <c r="H241" s="376">
        <v>123092</v>
      </c>
      <c r="I241" s="376">
        <v>58363</v>
      </c>
      <c r="J241" s="376" t="s">
        <v>839</v>
      </c>
      <c r="K241" s="376" t="s">
        <v>839</v>
      </c>
      <c r="L241" s="376" t="s">
        <v>839</v>
      </c>
      <c r="M241" s="376">
        <v>64729</v>
      </c>
      <c r="N241" s="376" t="s">
        <v>839</v>
      </c>
      <c r="O241" s="376" t="s">
        <v>839</v>
      </c>
      <c r="P241" s="376" t="s">
        <v>839</v>
      </c>
      <c r="Q241" s="376" t="s">
        <v>839</v>
      </c>
      <c r="R241" s="376" t="s">
        <v>839</v>
      </c>
      <c r="S241" s="376" t="s">
        <v>839</v>
      </c>
      <c r="T241" s="376" t="s">
        <v>839</v>
      </c>
      <c r="U241" s="376">
        <v>26755</v>
      </c>
      <c r="V241" s="376">
        <v>21032</v>
      </c>
      <c r="W241" s="381" t="s">
        <v>93</v>
      </c>
    </row>
    <row r="242" spans="1:23" s="376" customFormat="1" ht="9.75" customHeight="1" x14ac:dyDescent="0.15">
      <c r="A242" s="756" t="s">
        <v>683</v>
      </c>
      <c r="B242" s="376">
        <v>23</v>
      </c>
      <c r="C242" s="376" t="s">
        <v>839</v>
      </c>
      <c r="D242" s="376" t="s">
        <v>839</v>
      </c>
      <c r="E242" s="376" t="s">
        <v>839</v>
      </c>
      <c r="F242" s="376" t="s">
        <v>839</v>
      </c>
      <c r="G242" s="376">
        <v>106038</v>
      </c>
      <c r="H242" s="376">
        <v>106038</v>
      </c>
      <c r="I242" s="376">
        <v>47858</v>
      </c>
      <c r="J242" s="376" t="s">
        <v>839</v>
      </c>
      <c r="K242" s="376" t="s">
        <v>839</v>
      </c>
      <c r="L242" s="376">
        <v>29723</v>
      </c>
      <c r="M242" s="376">
        <v>28457</v>
      </c>
      <c r="N242" s="376" t="s">
        <v>839</v>
      </c>
      <c r="O242" s="376" t="s">
        <v>839</v>
      </c>
      <c r="P242" s="376" t="s">
        <v>839</v>
      </c>
      <c r="Q242" s="376" t="s">
        <v>839</v>
      </c>
      <c r="R242" s="376" t="s">
        <v>839</v>
      </c>
      <c r="S242" s="376" t="s">
        <v>839</v>
      </c>
      <c r="T242" s="376" t="s">
        <v>839</v>
      </c>
      <c r="U242" s="376">
        <v>11769</v>
      </c>
      <c r="V242" s="376">
        <v>10833</v>
      </c>
      <c r="W242" s="381" t="s">
        <v>94</v>
      </c>
    </row>
    <row r="243" spans="1:23" s="376" customFormat="1" ht="9.75" customHeight="1" x14ac:dyDescent="0.15">
      <c r="A243" s="756" t="s">
        <v>684</v>
      </c>
      <c r="B243" s="376">
        <v>47</v>
      </c>
      <c r="C243" s="376" t="s">
        <v>839</v>
      </c>
      <c r="D243" s="376" t="s">
        <v>839</v>
      </c>
      <c r="E243" s="376" t="s">
        <v>839</v>
      </c>
      <c r="F243" s="376" t="s">
        <v>839</v>
      </c>
      <c r="G243" s="376">
        <v>220007</v>
      </c>
      <c r="H243" s="376">
        <v>220007</v>
      </c>
      <c r="I243" s="376">
        <v>60314</v>
      </c>
      <c r="J243" s="376" t="s">
        <v>839</v>
      </c>
      <c r="K243" s="376" t="s">
        <v>839</v>
      </c>
      <c r="L243" s="376">
        <v>85919</v>
      </c>
      <c r="M243" s="376">
        <v>73774</v>
      </c>
      <c r="N243" s="376" t="s">
        <v>839</v>
      </c>
      <c r="O243" s="376" t="s">
        <v>839</v>
      </c>
      <c r="P243" s="376" t="s">
        <v>839</v>
      </c>
      <c r="Q243" s="376" t="s">
        <v>839</v>
      </c>
      <c r="R243" s="376" t="s">
        <v>839</v>
      </c>
      <c r="S243" s="376" t="s">
        <v>839</v>
      </c>
      <c r="T243" s="376" t="s">
        <v>839</v>
      </c>
      <c r="U243" s="376">
        <v>14449</v>
      </c>
      <c r="V243" s="376">
        <v>12887</v>
      </c>
      <c r="W243" s="381" t="s">
        <v>95</v>
      </c>
    </row>
    <row r="244" spans="1:23" s="376" customFormat="1" ht="9.75" customHeight="1" x14ac:dyDescent="0.15">
      <c r="A244" s="756" t="s">
        <v>685</v>
      </c>
      <c r="B244" s="376" t="s">
        <v>839</v>
      </c>
      <c r="C244" s="376" t="s">
        <v>839</v>
      </c>
      <c r="D244" s="376" t="s">
        <v>839</v>
      </c>
      <c r="E244" s="376" t="s">
        <v>839</v>
      </c>
      <c r="F244" s="376" t="s">
        <v>839</v>
      </c>
      <c r="G244" s="376">
        <v>203289</v>
      </c>
      <c r="H244" s="376">
        <v>203289</v>
      </c>
      <c r="I244" s="376">
        <v>54074</v>
      </c>
      <c r="J244" s="376" t="s">
        <v>839</v>
      </c>
      <c r="K244" s="376" t="s">
        <v>839</v>
      </c>
      <c r="L244" s="376">
        <v>35170</v>
      </c>
      <c r="M244" s="376">
        <v>114045</v>
      </c>
      <c r="N244" s="376" t="s">
        <v>839</v>
      </c>
      <c r="O244" s="376" t="s">
        <v>839</v>
      </c>
      <c r="P244" s="376" t="s">
        <v>839</v>
      </c>
      <c r="Q244" s="376" t="s">
        <v>839</v>
      </c>
      <c r="R244" s="376" t="s">
        <v>839</v>
      </c>
      <c r="S244" s="376" t="s">
        <v>839</v>
      </c>
      <c r="T244" s="376" t="s">
        <v>839</v>
      </c>
      <c r="U244" s="376">
        <v>6987</v>
      </c>
      <c r="V244" s="376">
        <v>6284</v>
      </c>
      <c r="W244" s="381" t="s">
        <v>96</v>
      </c>
    </row>
    <row r="245" spans="1:23" s="376" customFormat="1" ht="9.75" customHeight="1" x14ac:dyDescent="0.15">
      <c r="A245" s="756" t="s">
        <v>686</v>
      </c>
      <c r="B245" s="376" t="s">
        <v>839</v>
      </c>
      <c r="C245" s="376" t="s">
        <v>839</v>
      </c>
      <c r="D245" s="376" t="s">
        <v>839</v>
      </c>
      <c r="E245" s="376" t="s">
        <v>839</v>
      </c>
      <c r="F245" s="376" t="s">
        <v>839</v>
      </c>
      <c r="G245" s="376">
        <v>133146</v>
      </c>
      <c r="H245" s="376">
        <v>133146</v>
      </c>
      <c r="I245" s="376">
        <v>69782</v>
      </c>
      <c r="J245" s="376" t="s">
        <v>839</v>
      </c>
      <c r="K245" s="376" t="s">
        <v>839</v>
      </c>
      <c r="L245" s="376" t="s">
        <v>839</v>
      </c>
      <c r="M245" s="376">
        <v>63364</v>
      </c>
      <c r="N245" s="376" t="s">
        <v>839</v>
      </c>
      <c r="O245" s="376" t="s">
        <v>839</v>
      </c>
      <c r="P245" s="376" t="s">
        <v>839</v>
      </c>
      <c r="Q245" s="376" t="s">
        <v>839</v>
      </c>
      <c r="R245" s="376" t="s">
        <v>839</v>
      </c>
      <c r="S245" s="376" t="s">
        <v>839</v>
      </c>
      <c r="T245" s="376" t="s">
        <v>839</v>
      </c>
      <c r="U245" s="376">
        <v>23751</v>
      </c>
      <c r="V245" s="376">
        <v>22789</v>
      </c>
      <c r="W245" s="381" t="s">
        <v>80</v>
      </c>
    </row>
    <row r="246" spans="1:23" s="376" customFormat="1" ht="9.75" customHeight="1" x14ac:dyDescent="0.15">
      <c r="A246" s="756" t="s">
        <v>687</v>
      </c>
      <c r="B246" s="376">
        <v>46</v>
      </c>
      <c r="C246" s="376" t="s">
        <v>839</v>
      </c>
      <c r="D246" s="376" t="s">
        <v>839</v>
      </c>
      <c r="E246" s="376" t="s">
        <v>839</v>
      </c>
      <c r="F246" s="376" t="s">
        <v>839</v>
      </c>
      <c r="G246" s="376">
        <v>128580</v>
      </c>
      <c r="H246" s="376">
        <v>128580</v>
      </c>
      <c r="I246" s="376">
        <v>63360</v>
      </c>
      <c r="J246" s="376" t="s">
        <v>839</v>
      </c>
      <c r="K246" s="376" t="s">
        <v>839</v>
      </c>
      <c r="L246" s="376" t="s">
        <v>839</v>
      </c>
      <c r="M246" s="376">
        <v>65220</v>
      </c>
      <c r="N246" s="376" t="s">
        <v>839</v>
      </c>
      <c r="O246" s="376" t="s">
        <v>839</v>
      </c>
      <c r="P246" s="376" t="s">
        <v>839</v>
      </c>
      <c r="Q246" s="376" t="s">
        <v>839</v>
      </c>
      <c r="R246" s="376" t="s">
        <v>839</v>
      </c>
      <c r="S246" s="376" t="s">
        <v>839</v>
      </c>
      <c r="T246" s="376" t="s">
        <v>839</v>
      </c>
      <c r="U246" s="376">
        <v>4355</v>
      </c>
      <c r="V246" s="376">
        <v>3698</v>
      </c>
      <c r="W246" s="381" t="s">
        <v>81</v>
      </c>
    </row>
    <row r="247" spans="1:23" s="376" customFormat="1" ht="9.75" customHeight="1" x14ac:dyDescent="0.15">
      <c r="A247" s="756" t="s">
        <v>688</v>
      </c>
      <c r="B247" s="376">
        <v>23</v>
      </c>
      <c r="C247" s="376" t="s">
        <v>839</v>
      </c>
      <c r="D247" s="376" t="s">
        <v>839</v>
      </c>
      <c r="E247" s="376" t="s">
        <v>839</v>
      </c>
      <c r="F247" s="376" t="s">
        <v>839</v>
      </c>
      <c r="G247" s="376">
        <v>204291</v>
      </c>
      <c r="H247" s="376">
        <v>204291</v>
      </c>
      <c r="I247" s="376">
        <v>37411</v>
      </c>
      <c r="J247" s="376" t="s">
        <v>839</v>
      </c>
      <c r="K247" s="376" t="s">
        <v>839</v>
      </c>
      <c r="L247" s="376">
        <v>57780</v>
      </c>
      <c r="M247" s="376">
        <v>109100</v>
      </c>
      <c r="N247" s="376" t="s">
        <v>839</v>
      </c>
      <c r="O247" s="376" t="s">
        <v>839</v>
      </c>
      <c r="P247" s="376" t="s">
        <v>839</v>
      </c>
      <c r="Q247" s="376" t="s">
        <v>839</v>
      </c>
      <c r="R247" s="376" t="s">
        <v>839</v>
      </c>
      <c r="S247" s="376" t="s">
        <v>839</v>
      </c>
      <c r="T247" s="376" t="s">
        <v>839</v>
      </c>
      <c r="U247" s="376">
        <v>22748</v>
      </c>
      <c r="V247" s="376">
        <v>22042</v>
      </c>
      <c r="W247" s="381" t="s">
        <v>82</v>
      </c>
    </row>
    <row r="248" spans="1:23" s="376" customFormat="1" ht="9.75" customHeight="1" x14ac:dyDescent="0.15">
      <c r="A248" s="756" t="s">
        <v>849</v>
      </c>
      <c r="B248" s="376">
        <v>24</v>
      </c>
      <c r="C248" s="376" t="s">
        <v>839</v>
      </c>
      <c r="D248" s="376" t="s">
        <v>839</v>
      </c>
      <c r="E248" s="376" t="s">
        <v>839</v>
      </c>
      <c r="F248" s="376" t="s">
        <v>839</v>
      </c>
      <c r="G248" s="376">
        <v>181463</v>
      </c>
      <c r="H248" s="376">
        <v>181463</v>
      </c>
      <c r="I248" s="376">
        <v>66271</v>
      </c>
      <c r="J248" s="376" t="s">
        <v>839</v>
      </c>
      <c r="K248" s="376" t="s">
        <v>839</v>
      </c>
      <c r="L248" s="376" t="s">
        <v>839</v>
      </c>
      <c r="M248" s="376">
        <v>115192</v>
      </c>
      <c r="N248" s="376" t="s">
        <v>839</v>
      </c>
      <c r="O248" s="376" t="s">
        <v>839</v>
      </c>
      <c r="P248" s="376" t="s">
        <v>839</v>
      </c>
      <c r="Q248" s="376" t="s">
        <v>839</v>
      </c>
      <c r="R248" s="376" t="s">
        <v>839</v>
      </c>
      <c r="S248" s="376" t="s">
        <v>839</v>
      </c>
      <c r="T248" s="376" t="s">
        <v>839</v>
      </c>
      <c r="U248" s="376">
        <v>9316</v>
      </c>
      <c r="V248" s="376">
        <v>8216</v>
      </c>
      <c r="W248" s="381" t="s">
        <v>850</v>
      </c>
    </row>
    <row r="249" spans="1:23" s="376" customFormat="1" ht="9.75" customHeight="1" x14ac:dyDescent="0.15">
      <c r="A249" s="756" t="s">
        <v>690</v>
      </c>
      <c r="B249" s="376" t="s">
        <v>839</v>
      </c>
      <c r="C249" s="376" t="s">
        <v>839</v>
      </c>
      <c r="D249" s="376" t="s">
        <v>839</v>
      </c>
      <c r="E249" s="376" t="s">
        <v>839</v>
      </c>
      <c r="F249" s="376" t="s">
        <v>839</v>
      </c>
      <c r="G249" s="376">
        <v>269365</v>
      </c>
      <c r="H249" s="376">
        <v>269365</v>
      </c>
      <c r="I249" s="376">
        <v>55467</v>
      </c>
      <c r="J249" s="376" t="s">
        <v>839</v>
      </c>
      <c r="K249" s="376" t="s">
        <v>839</v>
      </c>
      <c r="L249" s="376">
        <v>154162</v>
      </c>
      <c r="M249" s="376">
        <v>59736</v>
      </c>
      <c r="N249" s="376" t="s">
        <v>839</v>
      </c>
      <c r="O249" s="376" t="s">
        <v>839</v>
      </c>
      <c r="P249" s="376" t="s">
        <v>839</v>
      </c>
      <c r="Q249" s="376" t="s">
        <v>839</v>
      </c>
      <c r="R249" s="376" t="s">
        <v>839</v>
      </c>
      <c r="S249" s="376" t="s">
        <v>839</v>
      </c>
      <c r="T249" s="376" t="s">
        <v>839</v>
      </c>
      <c r="U249" s="376">
        <v>11138</v>
      </c>
      <c r="V249" s="376">
        <v>9759</v>
      </c>
      <c r="W249" s="381" t="s">
        <v>77</v>
      </c>
    </row>
    <row r="250" spans="1:23" s="376" customFormat="1" ht="9.75" customHeight="1" x14ac:dyDescent="0.15">
      <c r="A250" s="757" t="s">
        <v>691</v>
      </c>
      <c r="B250" s="380" t="s">
        <v>839</v>
      </c>
      <c r="C250" s="379" t="s">
        <v>839</v>
      </c>
      <c r="D250" s="379" t="s">
        <v>839</v>
      </c>
      <c r="E250" s="379" t="s">
        <v>839</v>
      </c>
      <c r="F250" s="379" t="s">
        <v>839</v>
      </c>
      <c r="G250" s="379">
        <v>163020</v>
      </c>
      <c r="H250" s="379">
        <v>163020</v>
      </c>
      <c r="I250" s="379">
        <v>61295</v>
      </c>
      <c r="J250" s="379" t="s">
        <v>839</v>
      </c>
      <c r="K250" s="379" t="s">
        <v>839</v>
      </c>
      <c r="L250" s="379">
        <v>41824</v>
      </c>
      <c r="M250" s="379">
        <v>59901</v>
      </c>
      <c r="N250" s="379" t="s">
        <v>839</v>
      </c>
      <c r="O250" s="379" t="s">
        <v>839</v>
      </c>
      <c r="P250" s="379" t="s">
        <v>839</v>
      </c>
      <c r="Q250" s="379" t="s">
        <v>839</v>
      </c>
      <c r="R250" s="379" t="s">
        <v>839</v>
      </c>
      <c r="S250" s="379" t="s">
        <v>839</v>
      </c>
      <c r="T250" s="379" t="s">
        <v>839</v>
      </c>
      <c r="U250" s="379">
        <v>9228</v>
      </c>
      <c r="V250" s="379">
        <v>7793</v>
      </c>
      <c r="W250" s="377" t="s">
        <v>78</v>
      </c>
    </row>
    <row r="251" spans="1:23" ht="12" customHeight="1" x14ac:dyDescent="0.15"/>
    <row r="252" spans="1:23" ht="12" customHeight="1" x14ac:dyDescent="0.15"/>
    <row r="253" spans="1:23" ht="12" customHeight="1" x14ac:dyDescent="0.15">
      <c r="K253" s="391" t="s">
        <v>97</v>
      </c>
    </row>
    <row r="254" spans="1:23" s="387" customFormat="1" ht="21" customHeight="1" x14ac:dyDescent="0.15">
      <c r="A254" s="1023" t="s">
        <v>185</v>
      </c>
      <c r="B254" s="390" t="s">
        <v>298</v>
      </c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  <c r="T254" s="732"/>
      <c r="U254" s="395" t="s">
        <v>297</v>
      </c>
      <c r="V254" s="389"/>
      <c r="W254" s="1026" t="s">
        <v>83</v>
      </c>
    </row>
    <row r="255" spans="1:23" s="387" customFormat="1" ht="21" customHeight="1" x14ac:dyDescent="0.15">
      <c r="A255" s="1024"/>
      <c r="B255" s="390" t="s">
        <v>274</v>
      </c>
      <c r="C255" s="389"/>
      <c r="D255" s="389"/>
      <c r="E255" s="389"/>
      <c r="F255" s="389"/>
      <c r="G255" s="389"/>
      <c r="H255" s="389"/>
      <c r="I255" s="732"/>
      <c r="J255" s="733" t="s">
        <v>273</v>
      </c>
      <c r="K255" s="389"/>
      <c r="L255" s="389"/>
      <c r="M255" s="389"/>
      <c r="N255" s="389"/>
      <c r="O255" s="732"/>
      <c r="P255" s="733" t="s">
        <v>272</v>
      </c>
      <c r="Q255" s="389"/>
      <c r="R255" s="732"/>
      <c r="S255" s="733" t="s">
        <v>256</v>
      </c>
      <c r="T255" s="732"/>
      <c r="U255" s="1029" t="s">
        <v>296</v>
      </c>
      <c r="V255" s="733" t="s">
        <v>279</v>
      </c>
      <c r="W255" s="1027"/>
    </row>
    <row r="256" spans="1:23" s="387" customFormat="1" ht="52.5" customHeight="1" x14ac:dyDescent="0.15">
      <c r="A256" s="1025"/>
      <c r="B256" s="388" t="s">
        <v>270</v>
      </c>
      <c r="C256" s="388" t="s">
        <v>976</v>
      </c>
      <c r="D256" s="388" t="s">
        <v>285</v>
      </c>
      <c r="E256" s="388" t="s">
        <v>291</v>
      </c>
      <c r="F256" s="388" t="s">
        <v>290</v>
      </c>
      <c r="G256" s="388" t="s">
        <v>269</v>
      </c>
      <c r="H256" s="388" t="s">
        <v>295</v>
      </c>
      <c r="I256" s="393" t="s">
        <v>977</v>
      </c>
      <c r="J256" s="735" t="s">
        <v>106</v>
      </c>
      <c r="K256" s="388" t="s">
        <v>156</v>
      </c>
      <c r="L256" s="393" t="s">
        <v>979</v>
      </c>
      <c r="M256" s="388" t="s">
        <v>261</v>
      </c>
      <c r="N256" s="388" t="s">
        <v>289</v>
      </c>
      <c r="O256" s="388" t="s">
        <v>294</v>
      </c>
      <c r="P256" s="735" t="s">
        <v>980</v>
      </c>
      <c r="Q256" s="388" t="s">
        <v>287</v>
      </c>
      <c r="R256" s="388" t="s">
        <v>258</v>
      </c>
      <c r="S256" s="735" t="s">
        <v>983</v>
      </c>
      <c r="T256" s="388" t="s">
        <v>252</v>
      </c>
      <c r="U256" s="1030"/>
      <c r="V256" s="734" t="s">
        <v>975</v>
      </c>
      <c r="W256" s="1028"/>
    </row>
    <row r="257" spans="1:23" s="376" customFormat="1" ht="9.75" customHeight="1" x14ac:dyDescent="0.15">
      <c r="A257" s="755" t="s">
        <v>838</v>
      </c>
      <c r="B257" s="386">
        <v>75097</v>
      </c>
      <c r="C257" s="385">
        <v>29688</v>
      </c>
      <c r="D257" s="385">
        <v>160</v>
      </c>
      <c r="E257" s="385">
        <v>71212</v>
      </c>
      <c r="F257" s="385">
        <v>35</v>
      </c>
      <c r="G257" s="385">
        <v>30950</v>
      </c>
      <c r="H257" s="385">
        <v>2</v>
      </c>
      <c r="I257" s="385">
        <v>1327</v>
      </c>
      <c r="J257" s="385">
        <v>3432</v>
      </c>
      <c r="K257" s="385">
        <v>894</v>
      </c>
      <c r="L257" s="385">
        <v>153</v>
      </c>
      <c r="M257" s="385">
        <v>1494</v>
      </c>
      <c r="N257" s="385">
        <v>788</v>
      </c>
      <c r="O257" s="385">
        <v>103</v>
      </c>
      <c r="P257" s="385">
        <v>13599</v>
      </c>
      <c r="Q257" s="385">
        <v>697</v>
      </c>
      <c r="R257" s="385">
        <v>12902</v>
      </c>
      <c r="S257" s="385">
        <v>22</v>
      </c>
      <c r="T257" s="385">
        <v>22</v>
      </c>
      <c r="U257" s="385">
        <v>69534</v>
      </c>
      <c r="V257" s="385">
        <v>69534</v>
      </c>
      <c r="W257" s="383" t="s">
        <v>457</v>
      </c>
    </row>
    <row r="258" spans="1:23" s="376" customFormat="1" ht="9.75" customHeight="1" x14ac:dyDescent="0.15">
      <c r="A258" s="756" t="s">
        <v>669</v>
      </c>
      <c r="B258" s="376">
        <v>77556</v>
      </c>
      <c r="C258" s="376">
        <v>32121</v>
      </c>
      <c r="D258" s="376">
        <v>160</v>
      </c>
      <c r="E258" s="376">
        <v>73879</v>
      </c>
      <c r="F258" s="376" t="s">
        <v>839</v>
      </c>
      <c r="G258" s="376">
        <v>26241</v>
      </c>
      <c r="H258" s="376">
        <v>8</v>
      </c>
      <c r="I258" s="376" t="s">
        <v>839</v>
      </c>
      <c r="J258" s="376">
        <v>15438</v>
      </c>
      <c r="K258" s="376">
        <v>253</v>
      </c>
      <c r="L258" s="376">
        <v>153</v>
      </c>
      <c r="M258" s="376">
        <v>5707</v>
      </c>
      <c r="N258" s="376">
        <v>9242</v>
      </c>
      <c r="O258" s="376">
        <v>83</v>
      </c>
      <c r="P258" s="376">
        <v>9844</v>
      </c>
      <c r="Q258" s="376">
        <v>768</v>
      </c>
      <c r="R258" s="376">
        <v>9076</v>
      </c>
      <c r="S258" s="376" t="s">
        <v>839</v>
      </c>
      <c r="T258" s="376" t="s">
        <v>839</v>
      </c>
      <c r="U258" s="376">
        <v>44425</v>
      </c>
      <c r="V258" s="376">
        <v>44425</v>
      </c>
      <c r="W258" s="381" t="s">
        <v>512</v>
      </c>
    </row>
    <row r="259" spans="1:23" s="376" customFormat="1" ht="9.75" customHeight="1" x14ac:dyDescent="0.15">
      <c r="A259" s="756" t="s">
        <v>670</v>
      </c>
      <c r="B259" s="376">
        <v>64035</v>
      </c>
      <c r="C259" s="376">
        <v>27129</v>
      </c>
      <c r="D259" s="376">
        <v>112</v>
      </c>
      <c r="E259" s="376">
        <v>63947</v>
      </c>
      <c r="F259" s="376">
        <v>140</v>
      </c>
      <c r="G259" s="376">
        <v>25095</v>
      </c>
      <c r="H259" s="376">
        <v>9</v>
      </c>
      <c r="I259" s="376" t="s">
        <v>839</v>
      </c>
      <c r="J259" s="376">
        <v>6300</v>
      </c>
      <c r="K259" s="376">
        <v>271</v>
      </c>
      <c r="L259" s="376">
        <v>51</v>
      </c>
      <c r="M259" s="376">
        <v>5283</v>
      </c>
      <c r="N259" s="376">
        <v>562</v>
      </c>
      <c r="O259" s="376">
        <v>133</v>
      </c>
      <c r="P259" s="376">
        <v>8966</v>
      </c>
      <c r="Q259" s="376">
        <v>683</v>
      </c>
      <c r="R259" s="376">
        <v>8283</v>
      </c>
      <c r="S259" s="376">
        <v>187</v>
      </c>
      <c r="T259" s="376">
        <v>187</v>
      </c>
      <c r="U259" s="376">
        <v>8030</v>
      </c>
      <c r="V259" s="376">
        <v>8030</v>
      </c>
      <c r="W259" s="381" t="s">
        <v>620</v>
      </c>
    </row>
    <row r="260" spans="1:23" s="376" customFormat="1" ht="9.75" customHeight="1" x14ac:dyDescent="0.15">
      <c r="A260" s="756" t="s">
        <v>671</v>
      </c>
      <c r="B260" s="376">
        <v>78735</v>
      </c>
      <c r="C260" s="376">
        <v>43982</v>
      </c>
      <c r="D260" s="376">
        <v>272</v>
      </c>
      <c r="E260" s="376">
        <v>95394</v>
      </c>
      <c r="F260" s="376">
        <v>82</v>
      </c>
      <c r="G260" s="376">
        <v>37452</v>
      </c>
      <c r="H260" s="376">
        <v>12</v>
      </c>
      <c r="I260" s="376" t="s">
        <v>839</v>
      </c>
      <c r="J260" s="376">
        <v>5821</v>
      </c>
      <c r="K260" s="376">
        <v>126</v>
      </c>
      <c r="L260" s="376">
        <v>402</v>
      </c>
      <c r="M260" s="376">
        <v>4805</v>
      </c>
      <c r="N260" s="376">
        <v>389</v>
      </c>
      <c r="O260" s="376">
        <v>99</v>
      </c>
      <c r="P260" s="376">
        <v>8310</v>
      </c>
      <c r="Q260" s="376">
        <v>453</v>
      </c>
      <c r="R260" s="376">
        <v>7857</v>
      </c>
      <c r="S260" s="376">
        <v>45</v>
      </c>
      <c r="T260" s="376">
        <v>45</v>
      </c>
      <c r="U260" s="376">
        <v>19051</v>
      </c>
      <c r="V260" s="376">
        <v>19051</v>
      </c>
      <c r="W260" s="381" t="s">
        <v>672</v>
      </c>
    </row>
    <row r="261" spans="1:23" s="376" customFormat="1" ht="9.75" customHeight="1" x14ac:dyDescent="0.15">
      <c r="A261" s="756" t="s">
        <v>840</v>
      </c>
      <c r="B261" s="376">
        <v>75587</v>
      </c>
      <c r="C261" s="376">
        <v>37640</v>
      </c>
      <c r="D261" s="376">
        <v>395</v>
      </c>
      <c r="E261" s="376">
        <v>51624</v>
      </c>
      <c r="F261" s="376">
        <v>32</v>
      </c>
      <c r="G261" s="376">
        <v>29269</v>
      </c>
      <c r="H261" s="376">
        <v>9</v>
      </c>
      <c r="I261" s="376" t="s">
        <v>839</v>
      </c>
      <c r="J261" s="376">
        <v>4777</v>
      </c>
      <c r="K261" s="376">
        <v>83</v>
      </c>
      <c r="L261" s="376" t="s">
        <v>839</v>
      </c>
      <c r="M261" s="376">
        <v>4151</v>
      </c>
      <c r="N261" s="376">
        <v>359</v>
      </c>
      <c r="O261" s="376">
        <v>184</v>
      </c>
      <c r="P261" s="376">
        <v>18293</v>
      </c>
      <c r="Q261" s="376" t="s">
        <v>839</v>
      </c>
      <c r="R261" s="376">
        <v>18293</v>
      </c>
      <c r="S261" s="376" t="s">
        <v>839</v>
      </c>
      <c r="T261" s="376" t="s">
        <v>839</v>
      </c>
      <c r="U261" s="376">
        <v>16036</v>
      </c>
      <c r="V261" s="376">
        <v>16036</v>
      </c>
      <c r="W261" s="381" t="s">
        <v>841</v>
      </c>
    </row>
    <row r="262" spans="1:23" s="376" customFormat="1" ht="6.75" customHeight="1" x14ac:dyDescent="0.15">
      <c r="A262" s="787"/>
      <c r="W262" s="381"/>
    </row>
    <row r="263" spans="1:23" s="376" customFormat="1" ht="9.75" customHeight="1" x14ac:dyDescent="0.15">
      <c r="A263" s="756" t="s">
        <v>842</v>
      </c>
      <c r="B263" s="376">
        <v>83133</v>
      </c>
      <c r="C263" s="376">
        <v>36599</v>
      </c>
      <c r="D263" s="376">
        <v>321</v>
      </c>
      <c r="E263" s="376">
        <v>101789</v>
      </c>
      <c r="F263" s="376">
        <v>91</v>
      </c>
      <c r="G263" s="376">
        <v>37569</v>
      </c>
      <c r="H263" s="376">
        <v>15</v>
      </c>
      <c r="I263" s="376" t="s">
        <v>839</v>
      </c>
      <c r="J263" s="376">
        <v>5921</v>
      </c>
      <c r="K263" s="376">
        <v>102</v>
      </c>
      <c r="L263" s="376">
        <v>368</v>
      </c>
      <c r="M263" s="376">
        <v>4806</v>
      </c>
      <c r="N263" s="376">
        <v>463</v>
      </c>
      <c r="O263" s="376">
        <v>182</v>
      </c>
      <c r="P263" s="376">
        <v>14068</v>
      </c>
      <c r="Q263" s="376">
        <v>159</v>
      </c>
      <c r="R263" s="376">
        <v>13909</v>
      </c>
      <c r="S263" s="376">
        <v>23</v>
      </c>
      <c r="T263" s="376">
        <v>23</v>
      </c>
      <c r="U263" s="376">
        <v>18092</v>
      </c>
      <c r="V263" s="376">
        <v>18092</v>
      </c>
      <c r="W263" s="381" t="s">
        <v>673</v>
      </c>
    </row>
    <row r="264" spans="1:23" s="376" customFormat="1" ht="9.75" customHeight="1" x14ac:dyDescent="0.15">
      <c r="A264" s="756" t="s">
        <v>843</v>
      </c>
      <c r="B264" s="376">
        <v>66469</v>
      </c>
      <c r="C264" s="376">
        <v>35185</v>
      </c>
      <c r="D264" s="376">
        <v>451</v>
      </c>
      <c r="E264" s="376">
        <v>36900</v>
      </c>
      <c r="F264" s="376">
        <v>31</v>
      </c>
      <c r="G264" s="376">
        <v>27197</v>
      </c>
      <c r="H264" s="376">
        <v>5</v>
      </c>
      <c r="I264" s="376" t="s">
        <v>839</v>
      </c>
      <c r="J264" s="376">
        <v>4370</v>
      </c>
      <c r="K264" s="376">
        <v>86</v>
      </c>
      <c r="L264" s="376" t="s">
        <v>839</v>
      </c>
      <c r="M264" s="376">
        <v>3881</v>
      </c>
      <c r="N264" s="376">
        <v>302</v>
      </c>
      <c r="O264" s="376">
        <v>101</v>
      </c>
      <c r="P264" s="376">
        <v>13450</v>
      </c>
      <c r="Q264" s="376" t="s">
        <v>839</v>
      </c>
      <c r="R264" s="376">
        <v>13450</v>
      </c>
      <c r="S264" s="376" t="s">
        <v>839</v>
      </c>
      <c r="T264" s="376" t="s">
        <v>839</v>
      </c>
      <c r="U264" s="376">
        <v>16726</v>
      </c>
      <c r="V264" s="376">
        <v>16726</v>
      </c>
      <c r="W264" s="381" t="s">
        <v>844</v>
      </c>
    </row>
    <row r="265" spans="1:23" s="376" customFormat="1" ht="6.75" customHeight="1" x14ac:dyDescent="0.15">
      <c r="A265" s="787"/>
      <c r="W265" s="381"/>
    </row>
    <row r="266" spans="1:23" s="376" customFormat="1" ht="9.75" customHeight="1" x14ac:dyDescent="0.15">
      <c r="A266" s="756" t="s">
        <v>845</v>
      </c>
      <c r="B266" s="376">
        <v>20407</v>
      </c>
      <c r="C266" s="376">
        <v>5530</v>
      </c>
      <c r="D266" s="376">
        <v>81</v>
      </c>
      <c r="E266" s="376">
        <v>19222</v>
      </c>
      <c r="F266" s="376">
        <v>9</v>
      </c>
      <c r="G266" s="376">
        <v>8831</v>
      </c>
      <c r="H266" s="376">
        <v>6</v>
      </c>
      <c r="I266" s="376" t="s">
        <v>839</v>
      </c>
      <c r="J266" s="376">
        <v>1506</v>
      </c>
      <c r="K266" s="376">
        <v>1</v>
      </c>
      <c r="L266" s="376" t="s">
        <v>839</v>
      </c>
      <c r="M266" s="376">
        <v>1283</v>
      </c>
      <c r="N266" s="376">
        <v>122</v>
      </c>
      <c r="O266" s="376">
        <v>100</v>
      </c>
      <c r="P266" s="376">
        <v>7658</v>
      </c>
      <c r="Q266" s="376" t="s">
        <v>839</v>
      </c>
      <c r="R266" s="376">
        <v>7658</v>
      </c>
      <c r="S266" s="376" t="s">
        <v>839</v>
      </c>
      <c r="T266" s="376" t="s">
        <v>839</v>
      </c>
      <c r="U266" s="376">
        <v>3017</v>
      </c>
      <c r="V266" s="376">
        <v>3017</v>
      </c>
      <c r="W266" s="381" t="s">
        <v>677</v>
      </c>
    </row>
    <row r="267" spans="1:23" s="376" customFormat="1" ht="9.75" customHeight="1" x14ac:dyDescent="0.15">
      <c r="A267" s="756" t="s">
        <v>674</v>
      </c>
      <c r="B267" s="376">
        <v>22776</v>
      </c>
      <c r="C267" s="376">
        <v>11659</v>
      </c>
      <c r="D267" s="376">
        <v>66</v>
      </c>
      <c r="E267" s="376">
        <v>21042</v>
      </c>
      <c r="F267" s="376">
        <v>8</v>
      </c>
      <c r="G267" s="376">
        <v>6383</v>
      </c>
      <c r="H267" s="376">
        <v>3</v>
      </c>
      <c r="I267" s="376" t="s">
        <v>839</v>
      </c>
      <c r="J267" s="376">
        <v>1514</v>
      </c>
      <c r="K267" s="376">
        <v>50</v>
      </c>
      <c r="L267" s="376" t="s">
        <v>839</v>
      </c>
      <c r="M267" s="376">
        <v>1318</v>
      </c>
      <c r="N267" s="376">
        <v>112</v>
      </c>
      <c r="O267" s="376">
        <v>34</v>
      </c>
      <c r="P267" s="376">
        <v>6866</v>
      </c>
      <c r="Q267" s="376" t="s">
        <v>839</v>
      </c>
      <c r="R267" s="376">
        <v>6866</v>
      </c>
      <c r="S267" s="376" t="s">
        <v>839</v>
      </c>
      <c r="T267" s="376" t="s">
        <v>839</v>
      </c>
      <c r="U267" s="376">
        <v>1754</v>
      </c>
      <c r="V267" s="376">
        <v>1754</v>
      </c>
      <c r="W267" s="381" t="s">
        <v>89</v>
      </c>
    </row>
    <row r="268" spans="1:23" s="376" customFormat="1" ht="9.75" customHeight="1" x14ac:dyDescent="0.15">
      <c r="A268" s="756" t="s">
        <v>675</v>
      </c>
      <c r="B268" s="376">
        <v>10341</v>
      </c>
      <c r="C268" s="376">
        <v>7903</v>
      </c>
      <c r="D268" s="376">
        <v>125</v>
      </c>
      <c r="E268" s="376">
        <v>6352</v>
      </c>
      <c r="F268" s="376">
        <v>15</v>
      </c>
      <c r="G268" s="376">
        <v>5268</v>
      </c>
      <c r="H268" s="376" t="s">
        <v>839</v>
      </c>
      <c r="I268" s="376" t="s">
        <v>839</v>
      </c>
      <c r="J268" s="376">
        <v>768</v>
      </c>
      <c r="K268" s="376">
        <v>19</v>
      </c>
      <c r="L268" s="376" t="s">
        <v>839</v>
      </c>
      <c r="M268" s="376">
        <v>669</v>
      </c>
      <c r="N268" s="376">
        <v>63</v>
      </c>
      <c r="O268" s="376">
        <v>17</v>
      </c>
      <c r="P268" s="376">
        <v>2433</v>
      </c>
      <c r="Q268" s="376" t="s">
        <v>839</v>
      </c>
      <c r="R268" s="376">
        <v>2433</v>
      </c>
      <c r="S268" s="376" t="s">
        <v>839</v>
      </c>
      <c r="T268" s="376" t="s">
        <v>839</v>
      </c>
      <c r="U268" s="376">
        <v>1999</v>
      </c>
      <c r="V268" s="376">
        <v>1999</v>
      </c>
      <c r="W268" s="381" t="s">
        <v>90</v>
      </c>
    </row>
    <row r="269" spans="1:23" s="376" customFormat="1" ht="9.75" customHeight="1" x14ac:dyDescent="0.15">
      <c r="A269" s="756" t="s">
        <v>676</v>
      </c>
      <c r="B269" s="376">
        <v>22063</v>
      </c>
      <c r="C269" s="376">
        <v>12548</v>
      </c>
      <c r="D269" s="376">
        <v>123</v>
      </c>
      <c r="E269" s="376">
        <v>5008</v>
      </c>
      <c r="F269" s="376" t="s">
        <v>839</v>
      </c>
      <c r="G269" s="376">
        <v>8787</v>
      </c>
      <c r="H269" s="376" t="s">
        <v>839</v>
      </c>
      <c r="I269" s="376" t="s">
        <v>839</v>
      </c>
      <c r="J269" s="376">
        <v>989</v>
      </c>
      <c r="K269" s="376">
        <v>13</v>
      </c>
      <c r="L269" s="376" t="s">
        <v>839</v>
      </c>
      <c r="M269" s="376">
        <v>881</v>
      </c>
      <c r="N269" s="376">
        <v>62</v>
      </c>
      <c r="O269" s="376">
        <v>33</v>
      </c>
      <c r="P269" s="376">
        <v>1336</v>
      </c>
      <c r="Q269" s="376" t="s">
        <v>839</v>
      </c>
      <c r="R269" s="376">
        <v>1336</v>
      </c>
      <c r="S269" s="376" t="s">
        <v>839</v>
      </c>
      <c r="T269" s="376" t="s">
        <v>839</v>
      </c>
      <c r="U269" s="376">
        <v>9266</v>
      </c>
      <c r="V269" s="376">
        <v>9266</v>
      </c>
      <c r="W269" s="381" t="s">
        <v>91</v>
      </c>
    </row>
    <row r="270" spans="1:23" s="376" customFormat="1" ht="9.75" customHeight="1" x14ac:dyDescent="0.15">
      <c r="A270" s="756" t="s">
        <v>846</v>
      </c>
      <c r="B270" s="376">
        <v>11289</v>
      </c>
      <c r="C270" s="376">
        <v>3075</v>
      </c>
      <c r="D270" s="376">
        <v>137</v>
      </c>
      <c r="E270" s="376">
        <v>4498</v>
      </c>
      <c r="F270" s="376">
        <v>8</v>
      </c>
      <c r="G270" s="376">
        <v>6759</v>
      </c>
      <c r="H270" s="376">
        <v>2</v>
      </c>
      <c r="I270" s="376" t="s">
        <v>839</v>
      </c>
      <c r="J270" s="376">
        <v>1099</v>
      </c>
      <c r="K270" s="376">
        <v>4</v>
      </c>
      <c r="L270" s="376" t="s">
        <v>839</v>
      </c>
      <c r="M270" s="376">
        <v>1013</v>
      </c>
      <c r="N270" s="376">
        <v>65</v>
      </c>
      <c r="O270" s="376">
        <v>17</v>
      </c>
      <c r="P270" s="376">
        <v>2815</v>
      </c>
      <c r="Q270" s="376" t="s">
        <v>839</v>
      </c>
      <c r="R270" s="376">
        <v>2815</v>
      </c>
      <c r="S270" s="376" t="s">
        <v>839</v>
      </c>
      <c r="T270" s="376" t="s">
        <v>839</v>
      </c>
      <c r="U270" s="376">
        <v>3707</v>
      </c>
      <c r="V270" s="376">
        <v>3707</v>
      </c>
      <c r="W270" s="381" t="s">
        <v>847</v>
      </c>
    </row>
    <row r="271" spans="1:23" s="376" customFormat="1" ht="6.75" customHeight="1" x14ac:dyDescent="0.15">
      <c r="A271" s="787"/>
      <c r="W271" s="381"/>
    </row>
    <row r="272" spans="1:23" s="376" customFormat="1" ht="9.75" customHeight="1" x14ac:dyDescent="0.15">
      <c r="A272" s="756" t="s">
        <v>848</v>
      </c>
      <c r="B272" s="376">
        <v>4622</v>
      </c>
      <c r="C272" s="376">
        <v>1824</v>
      </c>
      <c r="D272" s="376">
        <v>16</v>
      </c>
      <c r="E272" s="376">
        <v>2779</v>
      </c>
      <c r="F272" s="376">
        <v>1</v>
      </c>
      <c r="G272" s="376">
        <v>2798</v>
      </c>
      <c r="H272" s="376">
        <v>6</v>
      </c>
      <c r="I272" s="376" t="s">
        <v>839</v>
      </c>
      <c r="J272" s="376">
        <v>432</v>
      </c>
      <c r="K272" s="376" t="s">
        <v>839</v>
      </c>
      <c r="L272" s="376" t="s">
        <v>839</v>
      </c>
      <c r="M272" s="376">
        <v>348</v>
      </c>
      <c r="N272" s="376">
        <v>34</v>
      </c>
      <c r="O272" s="376">
        <v>50</v>
      </c>
      <c r="P272" s="376">
        <v>2198</v>
      </c>
      <c r="Q272" s="376" t="s">
        <v>839</v>
      </c>
      <c r="R272" s="376">
        <v>2198</v>
      </c>
      <c r="S272" s="376" t="s">
        <v>839</v>
      </c>
      <c r="T272" s="376" t="s">
        <v>839</v>
      </c>
      <c r="U272" s="376">
        <v>1002</v>
      </c>
      <c r="V272" s="376">
        <v>1002</v>
      </c>
      <c r="W272" s="381" t="s">
        <v>689</v>
      </c>
    </row>
    <row r="273" spans="1:23" s="376" customFormat="1" ht="9.75" customHeight="1" x14ac:dyDescent="0.15">
      <c r="A273" s="756" t="s">
        <v>678</v>
      </c>
      <c r="B273" s="376">
        <v>13520</v>
      </c>
      <c r="C273" s="376" t="s">
        <v>839</v>
      </c>
      <c r="D273" s="376">
        <v>17</v>
      </c>
      <c r="E273" s="376">
        <v>12475</v>
      </c>
      <c r="F273" s="376" t="s">
        <v>839</v>
      </c>
      <c r="G273" s="376">
        <v>2417</v>
      </c>
      <c r="H273" s="376" t="s">
        <v>839</v>
      </c>
      <c r="I273" s="376" t="s">
        <v>839</v>
      </c>
      <c r="J273" s="376">
        <v>448</v>
      </c>
      <c r="K273" s="376" t="s">
        <v>839</v>
      </c>
      <c r="L273" s="376" t="s">
        <v>839</v>
      </c>
      <c r="M273" s="376">
        <v>391</v>
      </c>
      <c r="N273" s="376">
        <v>24</v>
      </c>
      <c r="O273" s="376">
        <v>33</v>
      </c>
      <c r="P273" s="376">
        <v>595</v>
      </c>
      <c r="Q273" s="376" t="s">
        <v>839</v>
      </c>
      <c r="R273" s="376">
        <v>595</v>
      </c>
      <c r="S273" s="376" t="s">
        <v>839</v>
      </c>
      <c r="T273" s="376" t="s">
        <v>839</v>
      </c>
      <c r="U273" s="376">
        <v>1017</v>
      </c>
      <c r="V273" s="376">
        <v>1017</v>
      </c>
      <c r="W273" s="381" t="s">
        <v>77</v>
      </c>
    </row>
    <row r="274" spans="1:23" s="376" customFormat="1" ht="9.75" customHeight="1" x14ac:dyDescent="0.15">
      <c r="A274" s="756" t="s">
        <v>679</v>
      </c>
      <c r="B274" s="376">
        <v>2265</v>
      </c>
      <c r="C274" s="376">
        <v>3706</v>
      </c>
      <c r="D274" s="376">
        <v>48</v>
      </c>
      <c r="E274" s="376">
        <v>3968</v>
      </c>
      <c r="F274" s="376">
        <v>8</v>
      </c>
      <c r="G274" s="376">
        <v>3616</v>
      </c>
      <c r="H274" s="376" t="s">
        <v>839</v>
      </c>
      <c r="I274" s="376" t="s">
        <v>839</v>
      </c>
      <c r="J274" s="376">
        <v>626</v>
      </c>
      <c r="K274" s="376">
        <v>1</v>
      </c>
      <c r="L274" s="376" t="s">
        <v>839</v>
      </c>
      <c r="M274" s="376">
        <v>544</v>
      </c>
      <c r="N274" s="376">
        <v>64</v>
      </c>
      <c r="O274" s="376">
        <v>17</v>
      </c>
      <c r="P274" s="376">
        <v>4865</v>
      </c>
      <c r="Q274" s="376" t="s">
        <v>839</v>
      </c>
      <c r="R274" s="376">
        <v>4865</v>
      </c>
      <c r="S274" s="376" t="s">
        <v>839</v>
      </c>
      <c r="T274" s="376" t="s">
        <v>839</v>
      </c>
      <c r="U274" s="376">
        <v>998</v>
      </c>
      <c r="V274" s="376">
        <v>998</v>
      </c>
      <c r="W274" s="381" t="s">
        <v>78</v>
      </c>
    </row>
    <row r="275" spans="1:23" s="376" customFormat="1" ht="9.75" customHeight="1" x14ac:dyDescent="0.15">
      <c r="A275" s="756" t="s">
        <v>680</v>
      </c>
      <c r="B275" s="376">
        <v>7171</v>
      </c>
      <c r="C275" s="376">
        <v>4927</v>
      </c>
      <c r="D275" s="376">
        <v>17</v>
      </c>
      <c r="E275" s="376">
        <v>11974</v>
      </c>
      <c r="F275" s="376">
        <v>8</v>
      </c>
      <c r="G275" s="376">
        <v>3085</v>
      </c>
      <c r="H275" s="376">
        <v>3</v>
      </c>
      <c r="I275" s="376" t="s">
        <v>839</v>
      </c>
      <c r="J275" s="376">
        <v>560</v>
      </c>
      <c r="K275" s="376">
        <v>50</v>
      </c>
      <c r="L275" s="376" t="s">
        <v>839</v>
      </c>
      <c r="M275" s="376">
        <v>460</v>
      </c>
      <c r="N275" s="376">
        <v>50</v>
      </c>
      <c r="O275" s="376" t="s">
        <v>839</v>
      </c>
      <c r="P275" s="376">
        <v>809</v>
      </c>
      <c r="Q275" s="376" t="s">
        <v>839</v>
      </c>
      <c r="R275" s="376">
        <v>809</v>
      </c>
      <c r="S275" s="376" t="s">
        <v>839</v>
      </c>
      <c r="T275" s="376" t="s">
        <v>839</v>
      </c>
      <c r="U275" s="376">
        <v>750</v>
      </c>
      <c r="V275" s="376">
        <v>750</v>
      </c>
      <c r="W275" s="381" t="s">
        <v>79</v>
      </c>
    </row>
    <row r="276" spans="1:23" s="376" customFormat="1" ht="9.75" customHeight="1" x14ac:dyDescent="0.15">
      <c r="A276" s="756" t="s">
        <v>681</v>
      </c>
      <c r="B276" s="376">
        <v>5857</v>
      </c>
      <c r="C276" s="376" t="s">
        <v>839</v>
      </c>
      <c r="D276" s="376">
        <v>16</v>
      </c>
      <c r="E276" s="376">
        <v>6202</v>
      </c>
      <c r="F276" s="376" t="s">
        <v>839</v>
      </c>
      <c r="G276" s="376">
        <v>1645</v>
      </c>
      <c r="H276" s="376" t="s">
        <v>839</v>
      </c>
      <c r="I276" s="376" t="s">
        <v>839</v>
      </c>
      <c r="J276" s="376">
        <v>512</v>
      </c>
      <c r="K276" s="376" t="s">
        <v>839</v>
      </c>
      <c r="L276" s="376" t="s">
        <v>839</v>
      </c>
      <c r="M276" s="376">
        <v>471</v>
      </c>
      <c r="N276" s="376">
        <v>24</v>
      </c>
      <c r="O276" s="376">
        <v>17</v>
      </c>
      <c r="P276" s="376">
        <v>776</v>
      </c>
      <c r="Q276" s="376" t="s">
        <v>839</v>
      </c>
      <c r="R276" s="376">
        <v>776</v>
      </c>
      <c r="S276" s="376" t="s">
        <v>839</v>
      </c>
      <c r="T276" s="376" t="s">
        <v>839</v>
      </c>
      <c r="U276" s="376">
        <v>1004</v>
      </c>
      <c r="V276" s="376">
        <v>1004</v>
      </c>
      <c r="W276" s="381" t="s">
        <v>92</v>
      </c>
    </row>
    <row r="277" spans="1:23" s="376" customFormat="1" ht="9.75" customHeight="1" x14ac:dyDescent="0.15">
      <c r="A277" s="756" t="s">
        <v>682</v>
      </c>
      <c r="B277" s="376">
        <v>9748</v>
      </c>
      <c r="C277" s="376">
        <v>6732</v>
      </c>
      <c r="D277" s="376">
        <v>33</v>
      </c>
      <c r="E277" s="376">
        <v>2866</v>
      </c>
      <c r="F277" s="376" t="s">
        <v>839</v>
      </c>
      <c r="G277" s="376">
        <v>1653</v>
      </c>
      <c r="H277" s="376" t="s">
        <v>839</v>
      </c>
      <c r="I277" s="376" t="s">
        <v>839</v>
      </c>
      <c r="J277" s="376">
        <v>442</v>
      </c>
      <c r="K277" s="376" t="s">
        <v>839</v>
      </c>
      <c r="L277" s="376" t="s">
        <v>839</v>
      </c>
      <c r="M277" s="376">
        <v>387</v>
      </c>
      <c r="N277" s="376">
        <v>38</v>
      </c>
      <c r="O277" s="376">
        <v>17</v>
      </c>
      <c r="P277" s="376">
        <v>5281</v>
      </c>
      <c r="Q277" s="376" t="s">
        <v>839</v>
      </c>
      <c r="R277" s="376">
        <v>5281</v>
      </c>
      <c r="S277" s="376" t="s">
        <v>839</v>
      </c>
      <c r="T277" s="376" t="s">
        <v>839</v>
      </c>
      <c r="U277" s="376" t="s">
        <v>839</v>
      </c>
      <c r="V277" s="376" t="s">
        <v>839</v>
      </c>
      <c r="W277" s="381" t="s">
        <v>93</v>
      </c>
    </row>
    <row r="278" spans="1:23" s="376" customFormat="1" ht="9.75" customHeight="1" x14ac:dyDescent="0.15">
      <c r="A278" s="756" t="s">
        <v>683</v>
      </c>
      <c r="B278" s="376">
        <v>5287</v>
      </c>
      <c r="C278" s="376">
        <v>3066</v>
      </c>
      <c r="D278" s="376">
        <v>26</v>
      </c>
      <c r="E278" s="376">
        <v>2109</v>
      </c>
      <c r="F278" s="376">
        <v>7</v>
      </c>
      <c r="G278" s="376">
        <v>338</v>
      </c>
      <c r="H278" s="376" t="s">
        <v>839</v>
      </c>
      <c r="I278" s="376" t="s">
        <v>839</v>
      </c>
      <c r="J278" s="376">
        <v>356</v>
      </c>
      <c r="K278" s="376">
        <v>17</v>
      </c>
      <c r="L278" s="376" t="s">
        <v>839</v>
      </c>
      <c r="M278" s="376">
        <v>337</v>
      </c>
      <c r="N278" s="376">
        <v>2</v>
      </c>
      <c r="O278" s="376" t="s">
        <v>839</v>
      </c>
      <c r="P278" s="376">
        <v>580</v>
      </c>
      <c r="Q278" s="376" t="s">
        <v>839</v>
      </c>
      <c r="R278" s="376">
        <v>580</v>
      </c>
      <c r="S278" s="376" t="s">
        <v>839</v>
      </c>
      <c r="T278" s="376" t="s">
        <v>839</v>
      </c>
      <c r="U278" s="376">
        <v>995</v>
      </c>
      <c r="V278" s="376">
        <v>995</v>
      </c>
      <c r="W278" s="381" t="s">
        <v>94</v>
      </c>
    </row>
    <row r="279" spans="1:23" s="376" customFormat="1" ht="9.75" customHeight="1" x14ac:dyDescent="0.15">
      <c r="A279" s="756" t="s">
        <v>684</v>
      </c>
      <c r="B279" s="376">
        <v>4064</v>
      </c>
      <c r="C279" s="376" t="s">
        <v>839</v>
      </c>
      <c r="D279" s="376">
        <v>49</v>
      </c>
      <c r="E279" s="376">
        <v>4183</v>
      </c>
      <c r="F279" s="376">
        <v>8</v>
      </c>
      <c r="G279" s="376">
        <v>4583</v>
      </c>
      <c r="H279" s="376" t="s">
        <v>839</v>
      </c>
      <c r="I279" s="376" t="s">
        <v>839</v>
      </c>
      <c r="J279" s="376">
        <v>361</v>
      </c>
      <c r="K279" s="376">
        <v>1</v>
      </c>
      <c r="L279" s="376" t="s">
        <v>839</v>
      </c>
      <c r="M279" s="376">
        <v>312</v>
      </c>
      <c r="N279" s="376">
        <v>31</v>
      </c>
      <c r="O279" s="376">
        <v>17</v>
      </c>
      <c r="P279" s="376">
        <v>1201</v>
      </c>
      <c r="Q279" s="376" t="s">
        <v>839</v>
      </c>
      <c r="R279" s="376">
        <v>1201</v>
      </c>
      <c r="S279" s="376" t="s">
        <v>839</v>
      </c>
      <c r="T279" s="376" t="s">
        <v>839</v>
      </c>
      <c r="U279" s="376">
        <v>1004</v>
      </c>
      <c r="V279" s="376">
        <v>1004</v>
      </c>
      <c r="W279" s="381" t="s">
        <v>95</v>
      </c>
    </row>
    <row r="280" spans="1:23" s="376" customFormat="1" ht="9.75" customHeight="1" x14ac:dyDescent="0.15">
      <c r="A280" s="756" t="s">
        <v>685</v>
      </c>
      <c r="B280" s="376">
        <v>990</v>
      </c>
      <c r="C280" s="376">
        <v>4837</v>
      </c>
      <c r="D280" s="376">
        <v>50</v>
      </c>
      <c r="E280" s="376">
        <v>60</v>
      </c>
      <c r="F280" s="376" t="s">
        <v>839</v>
      </c>
      <c r="G280" s="376">
        <v>347</v>
      </c>
      <c r="H280" s="376" t="s">
        <v>839</v>
      </c>
      <c r="I280" s="376" t="s">
        <v>839</v>
      </c>
      <c r="J280" s="376">
        <v>51</v>
      </c>
      <c r="K280" s="376">
        <v>1</v>
      </c>
      <c r="L280" s="376" t="s">
        <v>839</v>
      </c>
      <c r="M280" s="376">
        <v>20</v>
      </c>
      <c r="N280" s="376">
        <v>30</v>
      </c>
      <c r="O280" s="376" t="s">
        <v>839</v>
      </c>
      <c r="P280" s="376">
        <v>652</v>
      </c>
      <c r="Q280" s="376" t="s">
        <v>839</v>
      </c>
      <c r="R280" s="376">
        <v>652</v>
      </c>
      <c r="S280" s="376" t="s">
        <v>839</v>
      </c>
      <c r="T280" s="376" t="s">
        <v>839</v>
      </c>
      <c r="U280" s="376" t="s">
        <v>839</v>
      </c>
      <c r="V280" s="376" t="s">
        <v>839</v>
      </c>
      <c r="W280" s="381" t="s">
        <v>96</v>
      </c>
    </row>
    <row r="281" spans="1:23" s="376" customFormat="1" ht="9.75" customHeight="1" x14ac:dyDescent="0.15">
      <c r="A281" s="756" t="s">
        <v>686</v>
      </c>
      <c r="B281" s="376">
        <v>7930</v>
      </c>
      <c r="C281" s="376">
        <v>6631</v>
      </c>
      <c r="D281" s="376">
        <v>57</v>
      </c>
      <c r="E281" s="376">
        <v>3566</v>
      </c>
      <c r="F281" s="376" t="s">
        <v>839</v>
      </c>
      <c r="G281" s="376">
        <v>4605</v>
      </c>
      <c r="H281" s="376" t="s">
        <v>839</v>
      </c>
      <c r="I281" s="376" t="s">
        <v>839</v>
      </c>
      <c r="J281" s="376">
        <v>277</v>
      </c>
      <c r="K281" s="376" t="s">
        <v>839</v>
      </c>
      <c r="L281" s="376" t="s">
        <v>839</v>
      </c>
      <c r="M281" s="376">
        <v>227</v>
      </c>
      <c r="N281" s="376">
        <v>17</v>
      </c>
      <c r="O281" s="376">
        <v>33</v>
      </c>
      <c r="P281" s="376">
        <v>685</v>
      </c>
      <c r="Q281" s="376" t="s">
        <v>839</v>
      </c>
      <c r="R281" s="376">
        <v>685</v>
      </c>
      <c r="S281" s="376" t="s">
        <v>839</v>
      </c>
      <c r="T281" s="376" t="s">
        <v>839</v>
      </c>
      <c r="U281" s="376">
        <v>988</v>
      </c>
      <c r="V281" s="376">
        <v>988</v>
      </c>
      <c r="W281" s="381" t="s">
        <v>80</v>
      </c>
    </row>
    <row r="282" spans="1:23" s="376" customFormat="1" ht="9.75" customHeight="1" x14ac:dyDescent="0.15">
      <c r="A282" s="756" t="s">
        <v>687</v>
      </c>
      <c r="B282" s="376">
        <v>3185</v>
      </c>
      <c r="C282" s="376" t="s">
        <v>839</v>
      </c>
      <c r="D282" s="376">
        <v>33</v>
      </c>
      <c r="E282" s="376">
        <v>56</v>
      </c>
      <c r="F282" s="376" t="s">
        <v>839</v>
      </c>
      <c r="G282" s="376">
        <v>424</v>
      </c>
      <c r="H282" s="376" t="s">
        <v>839</v>
      </c>
      <c r="I282" s="376" t="s">
        <v>839</v>
      </c>
      <c r="J282" s="376">
        <v>213</v>
      </c>
      <c r="K282" s="376" t="s">
        <v>839</v>
      </c>
      <c r="L282" s="376" t="s">
        <v>839</v>
      </c>
      <c r="M282" s="376">
        <v>195</v>
      </c>
      <c r="N282" s="376">
        <v>18</v>
      </c>
      <c r="O282" s="376" t="s">
        <v>839</v>
      </c>
      <c r="P282" s="376">
        <v>444</v>
      </c>
      <c r="Q282" s="376" t="s">
        <v>839</v>
      </c>
      <c r="R282" s="376">
        <v>444</v>
      </c>
      <c r="S282" s="376" t="s">
        <v>839</v>
      </c>
      <c r="T282" s="376" t="s">
        <v>839</v>
      </c>
      <c r="U282" s="376">
        <v>7294</v>
      </c>
      <c r="V282" s="376">
        <v>7294</v>
      </c>
      <c r="W282" s="381" t="s">
        <v>81</v>
      </c>
    </row>
    <row r="283" spans="1:23" s="376" customFormat="1" ht="9.75" customHeight="1" x14ac:dyDescent="0.15">
      <c r="A283" s="756" t="s">
        <v>688</v>
      </c>
      <c r="B283" s="376">
        <v>10948</v>
      </c>
      <c r="C283" s="376">
        <v>5917</v>
      </c>
      <c r="D283" s="376">
        <v>33</v>
      </c>
      <c r="E283" s="376">
        <v>1386</v>
      </c>
      <c r="F283" s="376" t="s">
        <v>839</v>
      </c>
      <c r="G283" s="376">
        <v>3758</v>
      </c>
      <c r="H283" s="376" t="s">
        <v>839</v>
      </c>
      <c r="I283" s="376" t="s">
        <v>839</v>
      </c>
      <c r="J283" s="376">
        <v>499</v>
      </c>
      <c r="K283" s="376">
        <v>13</v>
      </c>
      <c r="L283" s="376" t="s">
        <v>839</v>
      </c>
      <c r="M283" s="376">
        <v>459</v>
      </c>
      <c r="N283" s="376">
        <v>27</v>
      </c>
      <c r="O283" s="376" t="s">
        <v>839</v>
      </c>
      <c r="P283" s="376">
        <v>207</v>
      </c>
      <c r="Q283" s="376" t="s">
        <v>839</v>
      </c>
      <c r="R283" s="376">
        <v>207</v>
      </c>
      <c r="S283" s="376" t="s">
        <v>839</v>
      </c>
      <c r="T283" s="376" t="s">
        <v>839</v>
      </c>
      <c r="U283" s="376">
        <v>984</v>
      </c>
      <c r="V283" s="376">
        <v>984</v>
      </c>
      <c r="W283" s="381" t="s">
        <v>82</v>
      </c>
    </row>
    <row r="284" spans="1:23" s="376" customFormat="1" ht="9.75" customHeight="1" x14ac:dyDescent="0.15">
      <c r="A284" s="756" t="s">
        <v>849</v>
      </c>
      <c r="B284" s="376">
        <v>2664</v>
      </c>
      <c r="C284" s="376">
        <v>3075</v>
      </c>
      <c r="D284" s="376">
        <v>47</v>
      </c>
      <c r="E284" s="376">
        <v>57</v>
      </c>
      <c r="F284" s="376">
        <v>8</v>
      </c>
      <c r="G284" s="376">
        <v>2363</v>
      </c>
      <c r="H284" s="376">
        <v>2</v>
      </c>
      <c r="I284" s="376" t="s">
        <v>839</v>
      </c>
      <c r="J284" s="376">
        <v>385</v>
      </c>
      <c r="K284" s="376">
        <v>3</v>
      </c>
      <c r="L284" s="376" t="s">
        <v>839</v>
      </c>
      <c r="M284" s="376">
        <v>360</v>
      </c>
      <c r="N284" s="376">
        <v>5</v>
      </c>
      <c r="O284" s="376">
        <v>17</v>
      </c>
      <c r="P284" s="376">
        <v>715</v>
      </c>
      <c r="Q284" s="376" t="s">
        <v>839</v>
      </c>
      <c r="R284" s="376">
        <v>715</v>
      </c>
      <c r="S284" s="376" t="s">
        <v>839</v>
      </c>
      <c r="T284" s="376" t="s">
        <v>839</v>
      </c>
      <c r="U284" s="376">
        <v>1514</v>
      </c>
      <c r="V284" s="376">
        <v>1514</v>
      </c>
      <c r="W284" s="381" t="s">
        <v>850</v>
      </c>
    </row>
    <row r="285" spans="1:23" s="376" customFormat="1" ht="9.75" customHeight="1" x14ac:dyDescent="0.15">
      <c r="A285" s="756" t="s">
        <v>690</v>
      </c>
      <c r="B285" s="376">
        <v>5311</v>
      </c>
      <c r="C285" s="376" t="s">
        <v>839</v>
      </c>
      <c r="D285" s="376">
        <v>52</v>
      </c>
      <c r="E285" s="376">
        <v>2028</v>
      </c>
      <c r="F285" s="376" t="s">
        <v>839</v>
      </c>
      <c r="G285" s="376">
        <v>2368</v>
      </c>
      <c r="H285" s="376" t="s">
        <v>839</v>
      </c>
      <c r="I285" s="376" t="s">
        <v>839</v>
      </c>
      <c r="J285" s="376">
        <v>361</v>
      </c>
      <c r="K285" s="376" t="s">
        <v>839</v>
      </c>
      <c r="L285" s="376" t="s">
        <v>839</v>
      </c>
      <c r="M285" s="376">
        <v>331</v>
      </c>
      <c r="N285" s="376">
        <v>30</v>
      </c>
      <c r="O285" s="376" t="s">
        <v>839</v>
      </c>
      <c r="P285" s="376">
        <v>1018</v>
      </c>
      <c r="Q285" s="376" t="s">
        <v>839</v>
      </c>
      <c r="R285" s="376">
        <v>1018</v>
      </c>
      <c r="S285" s="376" t="s">
        <v>839</v>
      </c>
      <c r="T285" s="376" t="s">
        <v>839</v>
      </c>
      <c r="U285" s="376">
        <v>1101</v>
      </c>
      <c r="V285" s="376">
        <v>1101</v>
      </c>
      <c r="W285" s="381" t="s">
        <v>77</v>
      </c>
    </row>
    <row r="286" spans="1:23" s="376" customFormat="1" ht="9.75" customHeight="1" x14ac:dyDescent="0.15">
      <c r="A286" s="757" t="s">
        <v>691</v>
      </c>
      <c r="B286" s="380">
        <v>3314</v>
      </c>
      <c r="C286" s="379" t="s">
        <v>839</v>
      </c>
      <c r="D286" s="379">
        <v>38</v>
      </c>
      <c r="E286" s="379">
        <v>2413</v>
      </c>
      <c r="F286" s="379" t="s">
        <v>839</v>
      </c>
      <c r="G286" s="379">
        <v>2028</v>
      </c>
      <c r="H286" s="379" t="s">
        <v>839</v>
      </c>
      <c r="I286" s="379" t="s">
        <v>839</v>
      </c>
      <c r="J286" s="379">
        <v>353</v>
      </c>
      <c r="K286" s="379">
        <v>1</v>
      </c>
      <c r="L286" s="379" t="s">
        <v>839</v>
      </c>
      <c r="M286" s="379">
        <v>322</v>
      </c>
      <c r="N286" s="379">
        <v>30</v>
      </c>
      <c r="O286" s="379" t="s">
        <v>839</v>
      </c>
      <c r="P286" s="379">
        <v>1082</v>
      </c>
      <c r="Q286" s="379" t="s">
        <v>839</v>
      </c>
      <c r="R286" s="379">
        <v>1082</v>
      </c>
      <c r="S286" s="379" t="s">
        <v>839</v>
      </c>
      <c r="T286" s="379" t="s">
        <v>839</v>
      </c>
      <c r="U286" s="379">
        <v>1092</v>
      </c>
      <c r="V286" s="379">
        <v>1092</v>
      </c>
      <c r="W286" s="377" t="s">
        <v>78</v>
      </c>
    </row>
    <row r="287" spans="1:23" ht="12" customHeight="1" x14ac:dyDescent="0.15"/>
    <row r="288" spans="1:23" ht="12" customHeight="1" x14ac:dyDescent="0.15"/>
    <row r="289" spans="1:23" ht="12" customHeight="1" x14ac:dyDescent="0.15">
      <c r="K289" s="391" t="s">
        <v>97</v>
      </c>
      <c r="V289" s="394" t="s">
        <v>984</v>
      </c>
    </row>
    <row r="290" spans="1:23" s="387" customFormat="1" ht="21" customHeight="1" x14ac:dyDescent="0.15">
      <c r="A290" s="1023" t="s">
        <v>185</v>
      </c>
      <c r="B290" s="390" t="s">
        <v>589</v>
      </c>
      <c r="C290" s="732"/>
      <c r="D290" s="733" t="s">
        <v>293</v>
      </c>
      <c r="E290" s="389"/>
      <c r="F290" s="389"/>
      <c r="G290" s="389"/>
      <c r="H290" s="389"/>
      <c r="I290" s="389"/>
      <c r="J290" s="389"/>
      <c r="K290" s="389"/>
      <c r="L290" s="389"/>
      <c r="M290" s="389"/>
      <c r="N290" s="389"/>
      <c r="O290" s="389"/>
      <c r="P290" s="389"/>
      <c r="Q290" s="732"/>
      <c r="R290" s="733" t="s">
        <v>992</v>
      </c>
      <c r="S290" s="389"/>
      <c r="T290" s="389"/>
      <c r="U290" s="389"/>
      <c r="V290" s="389"/>
      <c r="W290" s="1026" t="s">
        <v>83</v>
      </c>
    </row>
    <row r="291" spans="1:23" s="387" customFormat="1" ht="21" customHeight="1" x14ac:dyDescent="0.15">
      <c r="A291" s="1024"/>
      <c r="B291" s="390" t="s">
        <v>274</v>
      </c>
      <c r="C291" s="732"/>
      <c r="D291" s="1029" t="s">
        <v>292</v>
      </c>
      <c r="E291" s="733" t="s">
        <v>279</v>
      </c>
      <c r="F291" s="389"/>
      <c r="G291" s="389"/>
      <c r="H291" s="389"/>
      <c r="I291" s="732"/>
      <c r="J291" s="733" t="s">
        <v>273</v>
      </c>
      <c r="K291" s="389"/>
      <c r="L291" s="389"/>
      <c r="M291" s="732"/>
      <c r="N291" s="733" t="s">
        <v>272</v>
      </c>
      <c r="O291" s="732"/>
      <c r="P291" s="733" t="s">
        <v>256</v>
      </c>
      <c r="Q291" s="732"/>
      <c r="R291" s="1031" t="s">
        <v>993</v>
      </c>
      <c r="S291" s="733" t="s">
        <v>279</v>
      </c>
      <c r="T291" s="389"/>
      <c r="U291" s="389"/>
      <c r="V291" s="389"/>
      <c r="W291" s="1027"/>
    </row>
    <row r="292" spans="1:23" s="387" customFormat="1" ht="52.5" customHeight="1" x14ac:dyDescent="0.15">
      <c r="A292" s="1025"/>
      <c r="B292" s="388" t="s">
        <v>270</v>
      </c>
      <c r="C292" s="388" t="s">
        <v>976</v>
      </c>
      <c r="D292" s="1030"/>
      <c r="E292" s="735" t="s">
        <v>975</v>
      </c>
      <c r="F292" s="388" t="s">
        <v>270</v>
      </c>
      <c r="G292" s="388" t="s">
        <v>291</v>
      </c>
      <c r="H292" s="388" t="s">
        <v>290</v>
      </c>
      <c r="I292" s="388" t="s">
        <v>269</v>
      </c>
      <c r="J292" s="735" t="s">
        <v>106</v>
      </c>
      <c r="K292" s="393" t="s">
        <v>979</v>
      </c>
      <c r="L292" s="388" t="s">
        <v>261</v>
      </c>
      <c r="M292" s="388" t="s">
        <v>289</v>
      </c>
      <c r="N292" s="735" t="s">
        <v>980</v>
      </c>
      <c r="O292" s="388" t="s">
        <v>258</v>
      </c>
      <c r="P292" s="735" t="s">
        <v>983</v>
      </c>
      <c r="Q292" s="388" t="s">
        <v>252</v>
      </c>
      <c r="R292" s="1032"/>
      <c r="S292" s="735" t="s">
        <v>975</v>
      </c>
      <c r="T292" s="388" t="s">
        <v>976</v>
      </c>
      <c r="U292" s="388" t="s">
        <v>285</v>
      </c>
      <c r="V292" s="392" t="s">
        <v>290</v>
      </c>
      <c r="W292" s="1028"/>
    </row>
    <row r="293" spans="1:23" s="376" customFormat="1" ht="9.75" customHeight="1" x14ac:dyDescent="0.15">
      <c r="A293" s="755" t="s">
        <v>838</v>
      </c>
      <c r="B293" s="386">
        <v>63514</v>
      </c>
      <c r="C293" s="385">
        <v>6020</v>
      </c>
      <c r="D293" s="385">
        <v>1711</v>
      </c>
      <c r="E293" s="385">
        <v>671</v>
      </c>
      <c r="F293" s="385">
        <v>7</v>
      </c>
      <c r="G293" s="385">
        <v>2</v>
      </c>
      <c r="H293" s="385">
        <v>654</v>
      </c>
      <c r="I293" s="385">
        <v>8</v>
      </c>
      <c r="J293" s="385">
        <v>228</v>
      </c>
      <c r="K293" s="385">
        <v>36</v>
      </c>
      <c r="L293" s="385">
        <v>1</v>
      </c>
      <c r="M293" s="385">
        <v>191</v>
      </c>
      <c r="N293" s="385">
        <v>811</v>
      </c>
      <c r="O293" s="385">
        <v>811</v>
      </c>
      <c r="P293" s="385">
        <v>1</v>
      </c>
      <c r="Q293" s="385">
        <v>1</v>
      </c>
      <c r="R293" s="385">
        <v>15103</v>
      </c>
      <c r="S293" s="385">
        <v>10594</v>
      </c>
      <c r="T293" s="385" t="s">
        <v>839</v>
      </c>
      <c r="U293" s="385" t="s">
        <v>839</v>
      </c>
      <c r="V293" s="385" t="s">
        <v>839</v>
      </c>
      <c r="W293" s="383" t="s">
        <v>457</v>
      </c>
    </row>
    <row r="294" spans="1:23" s="376" customFormat="1" ht="9.75" customHeight="1" x14ac:dyDescent="0.15">
      <c r="A294" s="756" t="s">
        <v>669</v>
      </c>
      <c r="B294" s="376">
        <v>41405</v>
      </c>
      <c r="C294" s="376">
        <v>3020</v>
      </c>
      <c r="D294" s="376">
        <v>1817</v>
      </c>
      <c r="E294" s="376">
        <v>858</v>
      </c>
      <c r="F294" s="376" t="s">
        <v>839</v>
      </c>
      <c r="G294" s="376">
        <v>8</v>
      </c>
      <c r="H294" s="376">
        <v>825</v>
      </c>
      <c r="I294" s="376">
        <v>25</v>
      </c>
      <c r="J294" s="376">
        <v>168</v>
      </c>
      <c r="K294" s="376">
        <v>119</v>
      </c>
      <c r="L294" s="376" t="s">
        <v>839</v>
      </c>
      <c r="M294" s="376">
        <v>49</v>
      </c>
      <c r="N294" s="376">
        <v>791</v>
      </c>
      <c r="O294" s="376">
        <v>791</v>
      </c>
      <c r="P294" s="376" t="s">
        <v>839</v>
      </c>
      <c r="Q294" s="376" t="s">
        <v>839</v>
      </c>
      <c r="R294" s="376">
        <v>11871</v>
      </c>
      <c r="S294" s="376">
        <v>7571</v>
      </c>
      <c r="T294" s="376" t="s">
        <v>839</v>
      </c>
      <c r="U294" s="376" t="s">
        <v>839</v>
      </c>
      <c r="V294" s="376" t="s">
        <v>839</v>
      </c>
      <c r="W294" s="381" t="s">
        <v>512</v>
      </c>
    </row>
    <row r="295" spans="1:23" s="376" customFormat="1" ht="9.75" customHeight="1" x14ac:dyDescent="0.15">
      <c r="A295" s="756" t="s">
        <v>670</v>
      </c>
      <c r="B295" s="376">
        <v>8030</v>
      </c>
      <c r="C295" s="376" t="s">
        <v>839</v>
      </c>
      <c r="D295" s="376">
        <v>1735</v>
      </c>
      <c r="E295" s="376">
        <v>970</v>
      </c>
      <c r="F295" s="376" t="s">
        <v>839</v>
      </c>
      <c r="G295" s="376">
        <v>6</v>
      </c>
      <c r="H295" s="376">
        <v>835</v>
      </c>
      <c r="I295" s="376">
        <v>129</v>
      </c>
      <c r="J295" s="376">
        <v>195</v>
      </c>
      <c r="K295" s="376">
        <v>90</v>
      </c>
      <c r="L295" s="376" t="s">
        <v>839</v>
      </c>
      <c r="M295" s="376">
        <v>105</v>
      </c>
      <c r="N295" s="376">
        <v>570</v>
      </c>
      <c r="O295" s="376">
        <v>570</v>
      </c>
      <c r="P295" s="376" t="s">
        <v>839</v>
      </c>
      <c r="Q295" s="376" t="s">
        <v>839</v>
      </c>
      <c r="R295" s="376">
        <v>9153</v>
      </c>
      <c r="S295" s="376">
        <v>5737</v>
      </c>
      <c r="T295" s="376">
        <v>1034</v>
      </c>
      <c r="U295" s="376" t="s">
        <v>839</v>
      </c>
      <c r="V295" s="376">
        <v>483</v>
      </c>
      <c r="W295" s="381" t="s">
        <v>620</v>
      </c>
    </row>
    <row r="296" spans="1:23" s="376" customFormat="1" ht="9.75" customHeight="1" x14ac:dyDescent="0.15">
      <c r="A296" s="756" t="s">
        <v>671</v>
      </c>
      <c r="B296" s="376">
        <v>19051</v>
      </c>
      <c r="C296" s="376" t="s">
        <v>839</v>
      </c>
      <c r="D296" s="376">
        <v>1804</v>
      </c>
      <c r="E296" s="376">
        <v>877</v>
      </c>
      <c r="F296" s="376" t="s">
        <v>839</v>
      </c>
      <c r="G296" s="376">
        <v>4</v>
      </c>
      <c r="H296" s="376">
        <v>758</v>
      </c>
      <c r="I296" s="376">
        <v>115</v>
      </c>
      <c r="J296" s="376">
        <v>200</v>
      </c>
      <c r="K296" s="376">
        <v>126</v>
      </c>
      <c r="L296" s="376" t="s">
        <v>839</v>
      </c>
      <c r="M296" s="376">
        <v>74</v>
      </c>
      <c r="N296" s="376">
        <v>727</v>
      </c>
      <c r="O296" s="376">
        <v>727</v>
      </c>
      <c r="P296" s="376" t="s">
        <v>839</v>
      </c>
      <c r="Q296" s="376" t="s">
        <v>839</v>
      </c>
      <c r="R296" s="376">
        <v>12043</v>
      </c>
      <c r="S296" s="376">
        <v>8883</v>
      </c>
      <c r="T296" s="376" t="s">
        <v>839</v>
      </c>
      <c r="U296" s="376" t="s">
        <v>839</v>
      </c>
      <c r="V296" s="376" t="s">
        <v>839</v>
      </c>
      <c r="W296" s="381" t="s">
        <v>672</v>
      </c>
    </row>
    <row r="297" spans="1:23" s="376" customFormat="1" ht="9.75" customHeight="1" x14ac:dyDescent="0.15">
      <c r="A297" s="756" t="s">
        <v>840</v>
      </c>
      <c r="B297" s="376">
        <v>16036</v>
      </c>
      <c r="C297" s="376" t="s">
        <v>839</v>
      </c>
      <c r="D297" s="376">
        <v>2065</v>
      </c>
      <c r="E297" s="376">
        <v>1084</v>
      </c>
      <c r="F297" s="376" t="s">
        <v>839</v>
      </c>
      <c r="G297" s="376">
        <v>9</v>
      </c>
      <c r="H297" s="376">
        <v>1005</v>
      </c>
      <c r="I297" s="376">
        <v>70</v>
      </c>
      <c r="J297" s="376">
        <v>127</v>
      </c>
      <c r="K297" s="376">
        <v>54</v>
      </c>
      <c r="L297" s="376" t="s">
        <v>839</v>
      </c>
      <c r="M297" s="376">
        <v>73</v>
      </c>
      <c r="N297" s="376">
        <v>854</v>
      </c>
      <c r="O297" s="376">
        <v>854</v>
      </c>
      <c r="P297" s="376" t="s">
        <v>839</v>
      </c>
      <c r="Q297" s="376" t="s">
        <v>839</v>
      </c>
      <c r="R297" s="376">
        <v>14830</v>
      </c>
      <c r="S297" s="376">
        <v>11690</v>
      </c>
      <c r="T297" s="376">
        <v>1502</v>
      </c>
      <c r="U297" s="376">
        <v>3338</v>
      </c>
      <c r="V297" s="376" t="s">
        <v>839</v>
      </c>
      <c r="W297" s="381" t="s">
        <v>841</v>
      </c>
    </row>
    <row r="298" spans="1:23" s="376" customFormat="1" ht="6.75" customHeight="1" x14ac:dyDescent="0.15">
      <c r="A298" s="787"/>
      <c r="W298" s="381"/>
    </row>
    <row r="299" spans="1:23" s="376" customFormat="1" ht="9.75" customHeight="1" x14ac:dyDescent="0.15">
      <c r="A299" s="756" t="s">
        <v>842</v>
      </c>
      <c r="B299" s="376">
        <v>18092</v>
      </c>
      <c r="C299" s="376" t="s">
        <v>839</v>
      </c>
      <c r="D299" s="376">
        <v>1890</v>
      </c>
      <c r="E299" s="376">
        <v>836</v>
      </c>
      <c r="F299" s="376" t="s">
        <v>839</v>
      </c>
      <c r="G299" s="376">
        <v>5</v>
      </c>
      <c r="H299" s="376">
        <v>706</v>
      </c>
      <c r="I299" s="376">
        <v>125</v>
      </c>
      <c r="J299" s="376">
        <v>229</v>
      </c>
      <c r="K299" s="376">
        <v>126</v>
      </c>
      <c r="L299" s="376" t="s">
        <v>839</v>
      </c>
      <c r="M299" s="376">
        <v>103</v>
      </c>
      <c r="N299" s="376">
        <v>825</v>
      </c>
      <c r="O299" s="376">
        <v>825</v>
      </c>
      <c r="P299" s="376" t="s">
        <v>839</v>
      </c>
      <c r="Q299" s="376" t="s">
        <v>839</v>
      </c>
      <c r="R299" s="376">
        <v>11711</v>
      </c>
      <c r="S299" s="376">
        <v>8143</v>
      </c>
      <c r="T299" s="376" t="s">
        <v>839</v>
      </c>
      <c r="U299" s="376" t="s">
        <v>839</v>
      </c>
      <c r="V299" s="376" t="s">
        <v>839</v>
      </c>
      <c r="W299" s="381" t="s">
        <v>673</v>
      </c>
    </row>
    <row r="300" spans="1:23" s="376" customFormat="1" ht="9.75" customHeight="1" x14ac:dyDescent="0.15">
      <c r="A300" s="756" t="s">
        <v>843</v>
      </c>
      <c r="B300" s="376">
        <v>16626</v>
      </c>
      <c r="C300" s="376">
        <v>100</v>
      </c>
      <c r="D300" s="376">
        <v>2091</v>
      </c>
      <c r="E300" s="376">
        <v>1174</v>
      </c>
      <c r="F300" s="376" t="s">
        <v>839</v>
      </c>
      <c r="G300" s="376">
        <v>7</v>
      </c>
      <c r="H300" s="376">
        <v>1096</v>
      </c>
      <c r="I300" s="376">
        <v>71</v>
      </c>
      <c r="J300" s="376">
        <v>128</v>
      </c>
      <c r="K300" s="376">
        <v>72</v>
      </c>
      <c r="L300" s="376" t="s">
        <v>839</v>
      </c>
      <c r="M300" s="376">
        <v>56</v>
      </c>
      <c r="N300" s="376">
        <v>789</v>
      </c>
      <c r="O300" s="376">
        <v>789</v>
      </c>
      <c r="P300" s="376" t="s">
        <v>839</v>
      </c>
      <c r="Q300" s="376" t="s">
        <v>839</v>
      </c>
      <c r="R300" s="376">
        <v>14193</v>
      </c>
      <c r="S300" s="376">
        <v>11201</v>
      </c>
      <c r="T300" s="376">
        <v>1747</v>
      </c>
      <c r="U300" s="376">
        <v>3338</v>
      </c>
      <c r="V300" s="376" t="s">
        <v>839</v>
      </c>
      <c r="W300" s="381" t="s">
        <v>844</v>
      </c>
    </row>
    <row r="301" spans="1:23" s="376" customFormat="1" ht="6.75" customHeight="1" x14ac:dyDescent="0.15">
      <c r="A301" s="787"/>
      <c r="W301" s="381"/>
    </row>
    <row r="302" spans="1:23" s="376" customFormat="1" ht="9.75" customHeight="1" x14ac:dyDescent="0.15">
      <c r="A302" s="756" t="s">
        <v>845</v>
      </c>
      <c r="B302" s="376">
        <v>3017</v>
      </c>
      <c r="C302" s="376" t="s">
        <v>839</v>
      </c>
      <c r="D302" s="376">
        <v>485</v>
      </c>
      <c r="E302" s="376">
        <v>220</v>
      </c>
      <c r="F302" s="376" t="s">
        <v>839</v>
      </c>
      <c r="G302" s="376">
        <v>2</v>
      </c>
      <c r="H302" s="376">
        <v>195</v>
      </c>
      <c r="I302" s="376">
        <v>23</v>
      </c>
      <c r="J302" s="376">
        <v>73</v>
      </c>
      <c r="K302" s="376">
        <v>36</v>
      </c>
      <c r="L302" s="376" t="s">
        <v>839</v>
      </c>
      <c r="M302" s="376">
        <v>37</v>
      </c>
      <c r="N302" s="376">
        <v>192</v>
      </c>
      <c r="O302" s="376">
        <v>192</v>
      </c>
      <c r="P302" s="376" t="s">
        <v>839</v>
      </c>
      <c r="Q302" s="376" t="s">
        <v>839</v>
      </c>
      <c r="R302" s="376">
        <v>2187</v>
      </c>
      <c r="S302" s="376">
        <v>1248</v>
      </c>
      <c r="T302" s="376" t="s">
        <v>839</v>
      </c>
      <c r="U302" s="376" t="s">
        <v>839</v>
      </c>
      <c r="V302" s="376" t="s">
        <v>839</v>
      </c>
      <c r="W302" s="381" t="s">
        <v>677</v>
      </c>
    </row>
    <row r="303" spans="1:23" s="376" customFormat="1" ht="9.75" customHeight="1" x14ac:dyDescent="0.15">
      <c r="A303" s="756" t="s">
        <v>674</v>
      </c>
      <c r="B303" s="376">
        <v>1754</v>
      </c>
      <c r="C303" s="376" t="s">
        <v>839</v>
      </c>
      <c r="D303" s="376">
        <v>504</v>
      </c>
      <c r="E303" s="376">
        <v>261</v>
      </c>
      <c r="F303" s="376" t="s">
        <v>839</v>
      </c>
      <c r="G303" s="376" t="s">
        <v>839</v>
      </c>
      <c r="H303" s="376">
        <v>251</v>
      </c>
      <c r="I303" s="376">
        <v>10</v>
      </c>
      <c r="J303" s="376">
        <v>24</v>
      </c>
      <c r="K303" s="376" t="s">
        <v>839</v>
      </c>
      <c r="L303" s="376" t="s">
        <v>839</v>
      </c>
      <c r="M303" s="376">
        <v>24</v>
      </c>
      <c r="N303" s="376">
        <v>219</v>
      </c>
      <c r="O303" s="376">
        <v>219</v>
      </c>
      <c r="P303" s="376" t="s">
        <v>839</v>
      </c>
      <c r="Q303" s="376" t="s">
        <v>839</v>
      </c>
      <c r="R303" s="376">
        <v>3627</v>
      </c>
      <c r="S303" s="376">
        <v>2998</v>
      </c>
      <c r="T303" s="376" t="s">
        <v>839</v>
      </c>
      <c r="U303" s="376" t="s">
        <v>839</v>
      </c>
      <c r="V303" s="376" t="s">
        <v>839</v>
      </c>
      <c r="W303" s="381" t="s">
        <v>89</v>
      </c>
    </row>
    <row r="304" spans="1:23" s="376" customFormat="1" ht="9.75" customHeight="1" x14ac:dyDescent="0.15">
      <c r="A304" s="756" t="s">
        <v>675</v>
      </c>
      <c r="B304" s="376">
        <v>1999</v>
      </c>
      <c r="C304" s="376" t="s">
        <v>839</v>
      </c>
      <c r="D304" s="376">
        <v>601</v>
      </c>
      <c r="E304" s="376">
        <v>335</v>
      </c>
      <c r="F304" s="376" t="s">
        <v>839</v>
      </c>
      <c r="G304" s="376">
        <v>7</v>
      </c>
      <c r="H304" s="376">
        <v>312</v>
      </c>
      <c r="I304" s="376">
        <v>16</v>
      </c>
      <c r="J304" s="376">
        <v>21</v>
      </c>
      <c r="K304" s="376">
        <v>18</v>
      </c>
      <c r="L304" s="376" t="s">
        <v>839</v>
      </c>
      <c r="M304" s="376">
        <v>3</v>
      </c>
      <c r="N304" s="376">
        <v>245</v>
      </c>
      <c r="O304" s="376">
        <v>245</v>
      </c>
      <c r="P304" s="376" t="s">
        <v>839</v>
      </c>
      <c r="Q304" s="376" t="s">
        <v>839</v>
      </c>
      <c r="R304" s="376">
        <v>7347</v>
      </c>
      <c r="S304" s="376">
        <v>6675</v>
      </c>
      <c r="T304" s="376">
        <v>1502</v>
      </c>
      <c r="U304" s="376">
        <v>3338</v>
      </c>
      <c r="V304" s="376" t="s">
        <v>839</v>
      </c>
      <c r="W304" s="381" t="s">
        <v>90</v>
      </c>
    </row>
    <row r="305" spans="1:23" s="376" customFormat="1" ht="9.75" customHeight="1" x14ac:dyDescent="0.15">
      <c r="A305" s="756" t="s">
        <v>676</v>
      </c>
      <c r="B305" s="376">
        <v>9266</v>
      </c>
      <c r="C305" s="376" t="s">
        <v>839</v>
      </c>
      <c r="D305" s="376">
        <v>475</v>
      </c>
      <c r="E305" s="376">
        <v>268</v>
      </c>
      <c r="F305" s="376" t="s">
        <v>839</v>
      </c>
      <c r="G305" s="376" t="s">
        <v>839</v>
      </c>
      <c r="H305" s="376">
        <v>247</v>
      </c>
      <c r="I305" s="376">
        <v>21</v>
      </c>
      <c r="J305" s="376">
        <v>9</v>
      </c>
      <c r="K305" s="376" t="s">
        <v>839</v>
      </c>
      <c r="L305" s="376" t="s">
        <v>839</v>
      </c>
      <c r="M305" s="376">
        <v>9</v>
      </c>
      <c r="N305" s="376">
        <v>198</v>
      </c>
      <c r="O305" s="376">
        <v>198</v>
      </c>
      <c r="P305" s="376" t="s">
        <v>839</v>
      </c>
      <c r="Q305" s="376" t="s">
        <v>839</v>
      </c>
      <c r="R305" s="376">
        <v>1669</v>
      </c>
      <c r="S305" s="376">
        <v>769</v>
      </c>
      <c r="T305" s="376" t="s">
        <v>839</v>
      </c>
      <c r="U305" s="376" t="s">
        <v>839</v>
      </c>
      <c r="V305" s="376" t="s">
        <v>839</v>
      </c>
      <c r="W305" s="381" t="s">
        <v>91</v>
      </c>
    </row>
    <row r="306" spans="1:23" s="376" customFormat="1" ht="9.75" customHeight="1" x14ac:dyDescent="0.15">
      <c r="A306" s="756" t="s">
        <v>846</v>
      </c>
      <c r="B306" s="376">
        <v>3607</v>
      </c>
      <c r="C306" s="376">
        <v>100</v>
      </c>
      <c r="D306" s="376">
        <v>511</v>
      </c>
      <c r="E306" s="376">
        <v>310</v>
      </c>
      <c r="F306" s="376" t="s">
        <v>839</v>
      </c>
      <c r="G306" s="376" t="s">
        <v>839</v>
      </c>
      <c r="H306" s="376">
        <v>286</v>
      </c>
      <c r="I306" s="376">
        <v>24</v>
      </c>
      <c r="J306" s="376">
        <v>74</v>
      </c>
      <c r="K306" s="376">
        <v>54</v>
      </c>
      <c r="L306" s="376" t="s">
        <v>839</v>
      </c>
      <c r="M306" s="376">
        <v>20</v>
      </c>
      <c r="N306" s="376">
        <v>127</v>
      </c>
      <c r="O306" s="376">
        <v>127</v>
      </c>
      <c r="P306" s="376" t="s">
        <v>839</v>
      </c>
      <c r="Q306" s="376" t="s">
        <v>839</v>
      </c>
      <c r="R306" s="376">
        <v>1550</v>
      </c>
      <c r="S306" s="376">
        <v>759</v>
      </c>
      <c r="T306" s="376">
        <v>245</v>
      </c>
      <c r="U306" s="376" t="s">
        <v>839</v>
      </c>
      <c r="V306" s="376" t="s">
        <v>839</v>
      </c>
      <c r="W306" s="381" t="s">
        <v>847</v>
      </c>
    </row>
    <row r="307" spans="1:23" s="376" customFormat="1" ht="6.75" customHeight="1" x14ac:dyDescent="0.15">
      <c r="A307" s="787"/>
      <c r="W307" s="381"/>
    </row>
    <row r="308" spans="1:23" s="376" customFormat="1" ht="9.75" customHeight="1" x14ac:dyDescent="0.15">
      <c r="A308" s="756" t="s">
        <v>848</v>
      </c>
      <c r="B308" s="376">
        <v>1002</v>
      </c>
      <c r="C308" s="376" t="s">
        <v>839</v>
      </c>
      <c r="D308" s="376">
        <v>163</v>
      </c>
      <c r="E308" s="376">
        <v>41</v>
      </c>
      <c r="F308" s="376" t="s">
        <v>839</v>
      </c>
      <c r="G308" s="376">
        <v>2</v>
      </c>
      <c r="H308" s="376">
        <v>39</v>
      </c>
      <c r="I308" s="376" t="s">
        <v>839</v>
      </c>
      <c r="J308" s="376">
        <v>29</v>
      </c>
      <c r="K308" s="376">
        <v>18</v>
      </c>
      <c r="L308" s="376" t="s">
        <v>839</v>
      </c>
      <c r="M308" s="376">
        <v>11</v>
      </c>
      <c r="N308" s="376">
        <v>93</v>
      </c>
      <c r="O308" s="376">
        <v>93</v>
      </c>
      <c r="P308" s="376" t="s">
        <v>839</v>
      </c>
      <c r="Q308" s="376" t="s">
        <v>839</v>
      </c>
      <c r="R308" s="376">
        <v>225</v>
      </c>
      <c r="S308" s="376" t="s">
        <v>839</v>
      </c>
      <c r="T308" s="376" t="s">
        <v>839</v>
      </c>
      <c r="U308" s="376" t="s">
        <v>839</v>
      </c>
      <c r="V308" s="376" t="s">
        <v>839</v>
      </c>
      <c r="W308" s="381" t="s">
        <v>689</v>
      </c>
    </row>
    <row r="309" spans="1:23" s="376" customFormat="1" ht="9.75" customHeight="1" x14ac:dyDescent="0.15">
      <c r="A309" s="756" t="s">
        <v>678</v>
      </c>
      <c r="B309" s="376">
        <v>1017</v>
      </c>
      <c r="C309" s="376" t="s">
        <v>839</v>
      </c>
      <c r="D309" s="376">
        <v>102</v>
      </c>
      <c r="E309" s="376">
        <v>69</v>
      </c>
      <c r="F309" s="376" t="s">
        <v>839</v>
      </c>
      <c r="G309" s="376" t="s">
        <v>839</v>
      </c>
      <c r="H309" s="376">
        <v>52</v>
      </c>
      <c r="I309" s="376">
        <v>17</v>
      </c>
      <c r="J309" s="376">
        <v>23</v>
      </c>
      <c r="K309" s="376">
        <v>18</v>
      </c>
      <c r="L309" s="376" t="s">
        <v>839</v>
      </c>
      <c r="M309" s="376">
        <v>5</v>
      </c>
      <c r="N309" s="376">
        <v>10</v>
      </c>
      <c r="O309" s="376">
        <v>10</v>
      </c>
      <c r="P309" s="376" t="s">
        <v>839</v>
      </c>
      <c r="Q309" s="376" t="s">
        <v>839</v>
      </c>
      <c r="R309" s="376">
        <v>1388</v>
      </c>
      <c r="S309" s="376">
        <v>1248</v>
      </c>
      <c r="T309" s="376" t="s">
        <v>839</v>
      </c>
      <c r="U309" s="376" t="s">
        <v>839</v>
      </c>
      <c r="V309" s="376" t="s">
        <v>839</v>
      </c>
      <c r="W309" s="381" t="s">
        <v>77</v>
      </c>
    </row>
    <row r="310" spans="1:23" s="376" customFormat="1" ht="9.75" customHeight="1" x14ac:dyDescent="0.15">
      <c r="A310" s="756" t="s">
        <v>679</v>
      </c>
      <c r="B310" s="376">
        <v>998</v>
      </c>
      <c r="C310" s="376" t="s">
        <v>839</v>
      </c>
      <c r="D310" s="376">
        <v>220</v>
      </c>
      <c r="E310" s="376">
        <v>110</v>
      </c>
      <c r="F310" s="376" t="s">
        <v>839</v>
      </c>
      <c r="G310" s="376" t="s">
        <v>839</v>
      </c>
      <c r="H310" s="376">
        <v>104</v>
      </c>
      <c r="I310" s="376">
        <v>6</v>
      </c>
      <c r="J310" s="376">
        <v>21</v>
      </c>
      <c r="K310" s="376" t="s">
        <v>839</v>
      </c>
      <c r="L310" s="376" t="s">
        <v>839</v>
      </c>
      <c r="M310" s="376">
        <v>21</v>
      </c>
      <c r="N310" s="376">
        <v>89</v>
      </c>
      <c r="O310" s="376">
        <v>89</v>
      </c>
      <c r="P310" s="376" t="s">
        <v>839</v>
      </c>
      <c r="Q310" s="376" t="s">
        <v>839</v>
      </c>
      <c r="R310" s="376">
        <v>574</v>
      </c>
      <c r="S310" s="376" t="s">
        <v>839</v>
      </c>
      <c r="T310" s="376" t="s">
        <v>839</v>
      </c>
      <c r="U310" s="376" t="s">
        <v>839</v>
      </c>
      <c r="V310" s="376" t="s">
        <v>839</v>
      </c>
      <c r="W310" s="381" t="s">
        <v>78</v>
      </c>
    </row>
    <row r="311" spans="1:23" s="376" customFormat="1" ht="9.75" customHeight="1" x14ac:dyDescent="0.15">
      <c r="A311" s="756" t="s">
        <v>680</v>
      </c>
      <c r="B311" s="376">
        <v>750</v>
      </c>
      <c r="C311" s="376" t="s">
        <v>839</v>
      </c>
      <c r="D311" s="376">
        <v>164</v>
      </c>
      <c r="E311" s="376">
        <v>81</v>
      </c>
      <c r="F311" s="376" t="s">
        <v>839</v>
      </c>
      <c r="G311" s="376" t="s">
        <v>839</v>
      </c>
      <c r="H311" s="376">
        <v>78</v>
      </c>
      <c r="I311" s="376">
        <v>3</v>
      </c>
      <c r="J311" s="376">
        <v>1</v>
      </c>
      <c r="K311" s="376" t="s">
        <v>839</v>
      </c>
      <c r="L311" s="376" t="s">
        <v>839</v>
      </c>
      <c r="M311" s="376">
        <v>1</v>
      </c>
      <c r="N311" s="376">
        <v>82</v>
      </c>
      <c r="O311" s="376">
        <v>82</v>
      </c>
      <c r="P311" s="376" t="s">
        <v>839</v>
      </c>
      <c r="Q311" s="376" t="s">
        <v>839</v>
      </c>
      <c r="R311" s="376">
        <v>1716</v>
      </c>
      <c r="S311" s="376">
        <v>1543</v>
      </c>
      <c r="T311" s="376" t="s">
        <v>839</v>
      </c>
      <c r="U311" s="376" t="s">
        <v>839</v>
      </c>
      <c r="V311" s="376" t="s">
        <v>839</v>
      </c>
      <c r="W311" s="381" t="s">
        <v>79</v>
      </c>
    </row>
    <row r="312" spans="1:23" s="376" customFormat="1" ht="9.75" customHeight="1" x14ac:dyDescent="0.15">
      <c r="A312" s="756" t="s">
        <v>681</v>
      </c>
      <c r="B312" s="376">
        <v>1004</v>
      </c>
      <c r="C312" s="376" t="s">
        <v>839</v>
      </c>
      <c r="D312" s="376">
        <v>194</v>
      </c>
      <c r="E312" s="376">
        <v>85</v>
      </c>
      <c r="F312" s="376" t="s">
        <v>839</v>
      </c>
      <c r="G312" s="376" t="s">
        <v>839</v>
      </c>
      <c r="H312" s="376">
        <v>78</v>
      </c>
      <c r="I312" s="376">
        <v>7</v>
      </c>
      <c r="J312" s="376">
        <v>10</v>
      </c>
      <c r="K312" s="376" t="s">
        <v>839</v>
      </c>
      <c r="L312" s="376" t="s">
        <v>839</v>
      </c>
      <c r="M312" s="376">
        <v>10</v>
      </c>
      <c r="N312" s="376">
        <v>99</v>
      </c>
      <c r="O312" s="376">
        <v>99</v>
      </c>
      <c r="P312" s="376" t="s">
        <v>839</v>
      </c>
      <c r="Q312" s="376" t="s">
        <v>839</v>
      </c>
      <c r="R312" s="376">
        <v>216</v>
      </c>
      <c r="S312" s="376" t="s">
        <v>839</v>
      </c>
      <c r="T312" s="376" t="s">
        <v>839</v>
      </c>
      <c r="U312" s="376" t="s">
        <v>839</v>
      </c>
      <c r="V312" s="376" t="s">
        <v>839</v>
      </c>
      <c r="W312" s="381" t="s">
        <v>92</v>
      </c>
    </row>
    <row r="313" spans="1:23" s="376" customFormat="1" ht="9.75" customHeight="1" x14ac:dyDescent="0.15">
      <c r="A313" s="756" t="s">
        <v>682</v>
      </c>
      <c r="B313" s="376" t="s">
        <v>839</v>
      </c>
      <c r="C313" s="376" t="s">
        <v>839</v>
      </c>
      <c r="D313" s="376">
        <v>146</v>
      </c>
      <c r="E313" s="376">
        <v>95</v>
      </c>
      <c r="F313" s="376" t="s">
        <v>839</v>
      </c>
      <c r="G313" s="376" t="s">
        <v>839</v>
      </c>
      <c r="H313" s="376">
        <v>95</v>
      </c>
      <c r="I313" s="376" t="s">
        <v>839</v>
      </c>
      <c r="J313" s="376">
        <v>13</v>
      </c>
      <c r="K313" s="376" t="s">
        <v>839</v>
      </c>
      <c r="L313" s="376" t="s">
        <v>839</v>
      </c>
      <c r="M313" s="376">
        <v>13</v>
      </c>
      <c r="N313" s="376">
        <v>38</v>
      </c>
      <c r="O313" s="376">
        <v>38</v>
      </c>
      <c r="P313" s="376" t="s">
        <v>839</v>
      </c>
      <c r="Q313" s="376" t="s">
        <v>839</v>
      </c>
      <c r="R313" s="376">
        <v>1695</v>
      </c>
      <c r="S313" s="376">
        <v>1455</v>
      </c>
      <c r="T313" s="376" t="s">
        <v>839</v>
      </c>
      <c r="U313" s="376" t="s">
        <v>839</v>
      </c>
      <c r="V313" s="376" t="s">
        <v>839</v>
      </c>
      <c r="W313" s="381" t="s">
        <v>93</v>
      </c>
    </row>
    <row r="314" spans="1:23" s="376" customFormat="1" ht="9.75" customHeight="1" x14ac:dyDescent="0.15">
      <c r="A314" s="756" t="s">
        <v>683</v>
      </c>
      <c r="B314" s="376">
        <v>995</v>
      </c>
      <c r="C314" s="376" t="s">
        <v>839</v>
      </c>
      <c r="D314" s="376">
        <v>184</v>
      </c>
      <c r="E314" s="376">
        <v>120</v>
      </c>
      <c r="F314" s="376" t="s">
        <v>839</v>
      </c>
      <c r="G314" s="376">
        <v>2</v>
      </c>
      <c r="H314" s="376">
        <v>117</v>
      </c>
      <c r="I314" s="376">
        <v>1</v>
      </c>
      <c r="J314" s="376" t="s">
        <v>839</v>
      </c>
      <c r="K314" s="376" t="s">
        <v>839</v>
      </c>
      <c r="L314" s="376" t="s">
        <v>839</v>
      </c>
      <c r="M314" s="376" t="s">
        <v>839</v>
      </c>
      <c r="N314" s="376">
        <v>64</v>
      </c>
      <c r="O314" s="376">
        <v>64</v>
      </c>
      <c r="P314" s="376" t="s">
        <v>839</v>
      </c>
      <c r="Q314" s="376" t="s">
        <v>839</v>
      </c>
      <c r="R314" s="376">
        <v>2561</v>
      </c>
      <c r="S314" s="376">
        <v>2214</v>
      </c>
      <c r="T314" s="376">
        <v>1502</v>
      </c>
      <c r="U314" s="376">
        <v>712</v>
      </c>
      <c r="V314" s="376" t="s">
        <v>839</v>
      </c>
      <c r="W314" s="381" t="s">
        <v>94</v>
      </c>
    </row>
    <row r="315" spans="1:23" s="376" customFormat="1" ht="9.75" customHeight="1" x14ac:dyDescent="0.15">
      <c r="A315" s="756" t="s">
        <v>684</v>
      </c>
      <c r="B315" s="376">
        <v>1004</v>
      </c>
      <c r="C315" s="376" t="s">
        <v>839</v>
      </c>
      <c r="D315" s="376">
        <v>219</v>
      </c>
      <c r="E315" s="376">
        <v>120</v>
      </c>
      <c r="F315" s="376" t="s">
        <v>839</v>
      </c>
      <c r="G315" s="376">
        <v>5</v>
      </c>
      <c r="H315" s="376">
        <v>104</v>
      </c>
      <c r="I315" s="376">
        <v>11</v>
      </c>
      <c r="J315" s="376">
        <v>18</v>
      </c>
      <c r="K315" s="376">
        <v>18</v>
      </c>
      <c r="L315" s="376" t="s">
        <v>839</v>
      </c>
      <c r="M315" s="376" t="s">
        <v>839</v>
      </c>
      <c r="N315" s="376">
        <v>81</v>
      </c>
      <c r="O315" s="376">
        <v>81</v>
      </c>
      <c r="P315" s="376" t="s">
        <v>839</v>
      </c>
      <c r="Q315" s="376" t="s">
        <v>839</v>
      </c>
      <c r="R315" s="376">
        <v>2081</v>
      </c>
      <c r="S315" s="376">
        <v>1835</v>
      </c>
      <c r="T315" s="376" t="s">
        <v>839</v>
      </c>
      <c r="U315" s="376" t="s">
        <v>839</v>
      </c>
      <c r="V315" s="376" t="s">
        <v>839</v>
      </c>
      <c r="W315" s="381" t="s">
        <v>95</v>
      </c>
    </row>
    <row r="316" spans="1:23" s="376" customFormat="1" ht="9.75" customHeight="1" x14ac:dyDescent="0.15">
      <c r="A316" s="756" t="s">
        <v>685</v>
      </c>
      <c r="B316" s="376" t="s">
        <v>839</v>
      </c>
      <c r="C316" s="376" t="s">
        <v>839</v>
      </c>
      <c r="D316" s="376">
        <v>198</v>
      </c>
      <c r="E316" s="376">
        <v>95</v>
      </c>
      <c r="F316" s="376" t="s">
        <v>839</v>
      </c>
      <c r="G316" s="376" t="s">
        <v>839</v>
      </c>
      <c r="H316" s="376">
        <v>91</v>
      </c>
      <c r="I316" s="376">
        <v>4</v>
      </c>
      <c r="J316" s="376">
        <v>3</v>
      </c>
      <c r="K316" s="376" t="s">
        <v>839</v>
      </c>
      <c r="L316" s="376" t="s">
        <v>839</v>
      </c>
      <c r="M316" s="376">
        <v>3</v>
      </c>
      <c r="N316" s="376">
        <v>100</v>
      </c>
      <c r="O316" s="376">
        <v>100</v>
      </c>
      <c r="P316" s="376" t="s">
        <v>839</v>
      </c>
      <c r="Q316" s="376" t="s">
        <v>839</v>
      </c>
      <c r="R316" s="376">
        <v>2705</v>
      </c>
      <c r="S316" s="376">
        <v>2626</v>
      </c>
      <c r="T316" s="376" t="s">
        <v>839</v>
      </c>
      <c r="U316" s="376">
        <v>2626</v>
      </c>
      <c r="V316" s="376" t="s">
        <v>839</v>
      </c>
      <c r="W316" s="381" t="s">
        <v>96</v>
      </c>
    </row>
    <row r="317" spans="1:23" s="376" customFormat="1" ht="9.75" customHeight="1" x14ac:dyDescent="0.15">
      <c r="A317" s="756" t="s">
        <v>686</v>
      </c>
      <c r="B317" s="376">
        <v>988</v>
      </c>
      <c r="C317" s="376" t="s">
        <v>839</v>
      </c>
      <c r="D317" s="376">
        <v>171</v>
      </c>
      <c r="E317" s="376">
        <v>163</v>
      </c>
      <c r="F317" s="376" t="s">
        <v>839</v>
      </c>
      <c r="G317" s="376" t="s">
        <v>839</v>
      </c>
      <c r="H317" s="376">
        <v>156</v>
      </c>
      <c r="I317" s="376">
        <v>7</v>
      </c>
      <c r="J317" s="376">
        <v>1</v>
      </c>
      <c r="K317" s="376" t="s">
        <v>839</v>
      </c>
      <c r="L317" s="376" t="s">
        <v>839</v>
      </c>
      <c r="M317" s="376">
        <v>1</v>
      </c>
      <c r="N317" s="376">
        <v>7</v>
      </c>
      <c r="O317" s="376">
        <v>7</v>
      </c>
      <c r="P317" s="376" t="s">
        <v>839</v>
      </c>
      <c r="Q317" s="376" t="s">
        <v>839</v>
      </c>
      <c r="R317" s="376">
        <v>966</v>
      </c>
      <c r="S317" s="376">
        <v>769</v>
      </c>
      <c r="T317" s="376" t="s">
        <v>839</v>
      </c>
      <c r="U317" s="376" t="s">
        <v>839</v>
      </c>
      <c r="V317" s="376" t="s">
        <v>839</v>
      </c>
      <c r="W317" s="381" t="s">
        <v>80</v>
      </c>
    </row>
    <row r="318" spans="1:23" s="376" customFormat="1" ht="9.75" customHeight="1" x14ac:dyDescent="0.15">
      <c r="A318" s="756" t="s">
        <v>687</v>
      </c>
      <c r="B318" s="376">
        <v>7294</v>
      </c>
      <c r="C318" s="376" t="s">
        <v>839</v>
      </c>
      <c r="D318" s="376">
        <v>233</v>
      </c>
      <c r="E318" s="376">
        <v>79</v>
      </c>
      <c r="F318" s="376" t="s">
        <v>839</v>
      </c>
      <c r="G318" s="376" t="s">
        <v>839</v>
      </c>
      <c r="H318" s="376">
        <v>65</v>
      </c>
      <c r="I318" s="376">
        <v>14</v>
      </c>
      <c r="J318" s="376">
        <v>5</v>
      </c>
      <c r="K318" s="376" t="s">
        <v>839</v>
      </c>
      <c r="L318" s="376" t="s">
        <v>839</v>
      </c>
      <c r="M318" s="376">
        <v>5</v>
      </c>
      <c r="N318" s="376">
        <v>149</v>
      </c>
      <c r="O318" s="376">
        <v>149</v>
      </c>
      <c r="P318" s="376" t="s">
        <v>839</v>
      </c>
      <c r="Q318" s="376" t="s">
        <v>839</v>
      </c>
      <c r="R318" s="376">
        <v>121</v>
      </c>
      <c r="S318" s="376" t="s">
        <v>839</v>
      </c>
      <c r="T318" s="376" t="s">
        <v>839</v>
      </c>
      <c r="U318" s="376" t="s">
        <v>839</v>
      </c>
      <c r="V318" s="376" t="s">
        <v>839</v>
      </c>
      <c r="W318" s="381" t="s">
        <v>81</v>
      </c>
    </row>
    <row r="319" spans="1:23" s="376" customFormat="1" ht="9.75" customHeight="1" x14ac:dyDescent="0.15">
      <c r="A319" s="756" t="s">
        <v>688</v>
      </c>
      <c r="B319" s="376">
        <v>984</v>
      </c>
      <c r="C319" s="376" t="s">
        <v>839</v>
      </c>
      <c r="D319" s="376">
        <v>71</v>
      </c>
      <c r="E319" s="376">
        <v>26</v>
      </c>
      <c r="F319" s="376" t="s">
        <v>839</v>
      </c>
      <c r="G319" s="376" t="s">
        <v>839</v>
      </c>
      <c r="H319" s="376">
        <v>26</v>
      </c>
      <c r="I319" s="376" t="s">
        <v>839</v>
      </c>
      <c r="J319" s="376">
        <v>3</v>
      </c>
      <c r="K319" s="376" t="s">
        <v>839</v>
      </c>
      <c r="L319" s="376" t="s">
        <v>839</v>
      </c>
      <c r="M319" s="376">
        <v>3</v>
      </c>
      <c r="N319" s="376">
        <v>42</v>
      </c>
      <c r="O319" s="376">
        <v>42</v>
      </c>
      <c r="P319" s="376" t="s">
        <v>839</v>
      </c>
      <c r="Q319" s="376" t="s">
        <v>839</v>
      </c>
      <c r="R319" s="376">
        <v>582</v>
      </c>
      <c r="S319" s="376" t="s">
        <v>839</v>
      </c>
      <c r="T319" s="376" t="s">
        <v>839</v>
      </c>
      <c r="U319" s="376" t="s">
        <v>839</v>
      </c>
      <c r="V319" s="376" t="s">
        <v>839</v>
      </c>
      <c r="W319" s="381" t="s">
        <v>82</v>
      </c>
    </row>
    <row r="320" spans="1:23" s="376" customFormat="1" ht="9.75" customHeight="1" x14ac:dyDescent="0.15">
      <c r="A320" s="756" t="s">
        <v>849</v>
      </c>
      <c r="B320" s="376">
        <v>1514</v>
      </c>
      <c r="C320" s="376" t="s">
        <v>839</v>
      </c>
      <c r="D320" s="376">
        <v>225</v>
      </c>
      <c r="E320" s="376">
        <v>144</v>
      </c>
      <c r="F320" s="376" t="s">
        <v>839</v>
      </c>
      <c r="G320" s="376" t="s">
        <v>839</v>
      </c>
      <c r="H320" s="376">
        <v>130</v>
      </c>
      <c r="I320" s="376">
        <v>14</v>
      </c>
      <c r="J320" s="376">
        <v>23</v>
      </c>
      <c r="K320" s="376">
        <v>18</v>
      </c>
      <c r="L320" s="376" t="s">
        <v>839</v>
      </c>
      <c r="M320" s="376">
        <v>5</v>
      </c>
      <c r="N320" s="376">
        <v>58</v>
      </c>
      <c r="O320" s="376">
        <v>58</v>
      </c>
      <c r="P320" s="376" t="s">
        <v>839</v>
      </c>
      <c r="Q320" s="376" t="s">
        <v>839</v>
      </c>
      <c r="R320" s="376">
        <v>552</v>
      </c>
      <c r="S320" s="376">
        <v>273</v>
      </c>
      <c r="T320" s="376" t="s">
        <v>839</v>
      </c>
      <c r="U320" s="376" t="s">
        <v>839</v>
      </c>
      <c r="V320" s="376" t="s">
        <v>839</v>
      </c>
      <c r="W320" s="381" t="s">
        <v>850</v>
      </c>
    </row>
    <row r="321" spans="1:23" s="376" customFormat="1" ht="9.75" customHeight="1" x14ac:dyDescent="0.15">
      <c r="A321" s="756" t="s">
        <v>690</v>
      </c>
      <c r="B321" s="376">
        <v>1001</v>
      </c>
      <c r="C321" s="376">
        <v>100</v>
      </c>
      <c r="D321" s="376">
        <v>156</v>
      </c>
      <c r="E321" s="376">
        <v>111</v>
      </c>
      <c r="F321" s="376" t="s">
        <v>839</v>
      </c>
      <c r="G321" s="376" t="s">
        <v>839</v>
      </c>
      <c r="H321" s="376">
        <v>104</v>
      </c>
      <c r="I321" s="376">
        <v>7</v>
      </c>
      <c r="J321" s="376">
        <v>45</v>
      </c>
      <c r="K321" s="376">
        <v>36</v>
      </c>
      <c r="L321" s="376" t="s">
        <v>839</v>
      </c>
      <c r="M321" s="376">
        <v>9</v>
      </c>
      <c r="N321" s="376" t="s">
        <v>839</v>
      </c>
      <c r="O321" s="376" t="s">
        <v>839</v>
      </c>
      <c r="P321" s="376" t="s">
        <v>839</v>
      </c>
      <c r="Q321" s="376" t="s">
        <v>839</v>
      </c>
      <c r="R321" s="376">
        <v>257</v>
      </c>
      <c r="S321" s="376" t="s">
        <v>839</v>
      </c>
      <c r="T321" s="376" t="s">
        <v>839</v>
      </c>
      <c r="U321" s="376" t="s">
        <v>839</v>
      </c>
      <c r="V321" s="376" t="s">
        <v>839</v>
      </c>
      <c r="W321" s="381" t="s">
        <v>77</v>
      </c>
    </row>
    <row r="322" spans="1:23" s="376" customFormat="1" ht="9.75" customHeight="1" x14ac:dyDescent="0.15">
      <c r="A322" s="757" t="s">
        <v>691</v>
      </c>
      <c r="B322" s="380">
        <v>1092</v>
      </c>
      <c r="C322" s="379" t="s">
        <v>839</v>
      </c>
      <c r="D322" s="379">
        <v>130</v>
      </c>
      <c r="E322" s="379">
        <v>55</v>
      </c>
      <c r="F322" s="379" t="s">
        <v>839</v>
      </c>
      <c r="G322" s="379" t="s">
        <v>839</v>
      </c>
      <c r="H322" s="379">
        <v>52</v>
      </c>
      <c r="I322" s="379">
        <v>3</v>
      </c>
      <c r="J322" s="379">
        <v>6</v>
      </c>
      <c r="K322" s="379" t="s">
        <v>839</v>
      </c>
      <c r="L322" s="379" t="s">
        <v>839</v>
      </c>
      <c r="M322" s="379">
        <v>6</v>
      </c>
      <c r="N322" s="379">
        <v>69</v>
      </c>
      <c r="O322" s="379">
        <v>69</v>
      </c>
      <c r="P322" s="379" t="s">
        <v>839</v>
      </c>
      <c r="Q322" s="379" t="s">
        <v>839</v>
      </c>
      <c r="R322" s="379">
        <v>741</v>
      </c>
      <c r="S322" s="379">
        <v>486</v>
      </c>
      <c r="T322" s="379">
        <v>245</v>
      </c>
      <c r="U322" s="379" t="s">
        <v>839</v>
      </c>
      <c r="V322" s="379" t="s">
        <v>839</v>
      </c>
      <c r="W322" s="377" t="s">
        <v>78</v>
      </c>
    </row>
    <row r="323" spans="1:23" ht="12" customHeight="1" x14ac:dyDescent="0.15"/>
    <row r="324" spans="1:23" ht="12" customHeight="1" x14ac:dyDescent="0.15"/>
    <row r="325" spans="1:23" ht="12" customHeight="1" x14ac:dyDescent="0.15">
      <c r="K325" s="391" t="s">
        <v>97</v>
      </c>
    </row>
    <row r="326" spans="1:23" s="387" customFormat="1" ht="21" customHeight="1" x14ac:dyDescent="0.15">
      <c r="A326" s="1023" t="s">
        <v>185</v>
      </c>
      <c r="B326" s="390" t="s">
        <v>336</v>
      </c>
      <c r="C326" s="389"/>
      <c r="D326" s="389"/>
      <c r="E326" s="732"/>
      <c r="F326" s="773" t="s">
        <v>994</v>
      </c>
      <c r="G326" s="389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1026" t="s">
        <v>83</v>
      </c>
    </row>
    <row r="327" spans="1:23" s="387" customFormat="1" ht="21" customHeight="1" x14ac:dyDescent="0.15">
      <c r="A327" s="1024"/>
      <c r="B327" s="684" t="s">
        <v>274</v>
      </c>
      <c r="C327" s="733" t="s">
        <v>272</v>
      </c>
      <c r="D327" s="389"/>
      <c r="E327" s="732"/>
      <c r="F327" s="1029" t="s">
        <v>286</v>
      </c>
      <c r="G327" s="733" t="s">
        <v>279</v>
      </c>
      <c r="H327" s="389"/>
      <c r="I327" s="389"/>
      <c r="J327" s="389"/>
      <c r="K327" s="389"/>
      <c r="L327" s="389"/>
      <c r="M327" s="389"/>
      <c r="N327" s="389"/>
      <c r="O327" s="389"/>
      <c r="P327" s="389"/>
      <c r="Q327" s="732"/>
      <c r="R327" s="733" t="s">
        <v>272</v>
      </c>
      <c r="S327" s="389"/>
      <c r="T327" s="732"/>
      <c r="U327" s="733" t="s">
        <v>256</v>
      </c>
      <c r="V327" s="389"/>
      <c r="W327" s="1027"/>
    </row>
    <row r="328" spans="1:23" s="387" customFormat="1" ht="52.5" customHeight="1" x14ac:dyDescent="0.15">
      <c r="A328" s="1025"/>
      <c r="B328" s="388" t="s">
        <v>268</v>
      </c>
      <c r="C328" s="735" t="s">
        <v>980</v>
      </c>
      <c r="D328" s="388" t="s">
        <v>287</v>
      </c>
      <c r="E328" s="388" t="s">
        <v>258</v>
      </c>
      <c r="F328" s="1030"/>
      <c r="G328" s="735" t="s">
        <v>975</v>
      </c>
      <c r="H328" s="388" t="s">
        <v>270</v>
      </c>
      <c r="I328" s="388" t="s">
        <v>976</v>
      </c>
      <c r="J328" s="388" t="s">
        <v>269</v>
      </c>
      <c r="K328" s="388" t="s">
        <v>266</v>
      </c>
      <c r="L328" s="388" t="s">
        <v>995</v>
      </c>
      <c r="M328" s="388" t="s">
        <v>996</v>
      </c>
      <c r="N328" s="388" t="s">
        <v>277</v>
      </c>
      <c r="O328" s="388" t="s">
        <v>276</v>
      </c>
      <c r="P328" s="388" t="s">
        <v>265</v>
      </c>
      <c r="Q328" s="393" t="s">
        <v>977</v>
      </c>
      <c r="R328" s="735" t="s">
        <v>980</v>
      </c>
      <c r="S328" s="388" t="s">
        <v>287</v>
      </c>
      <c r="T328" s="388" t="s">
        <v>258</v>
      </c>
      <c r="U328" s="735" t="s">
        <v>983</v>
      </c>
      <c r="V328" s="392" t="s">
        <v>253</v>
      </c>
      <c r="W328" s="1028"/>
    </row>
    <row r="329" spans="1:23" s="376" customFormat="1" ht="9.75" customHeight="1" x14ac:dyDescent="0.15">
      <c r="A329" s="755" t="s">
        <v>838</v>
      </c>
      <c r="B329" s="386">
        <v>10594</v>
      </c>
      <c r="C329" s="385">
        <v>4509</v>
      </c>
      <c r="D329" s="385" t="s">
        <v>839</v>
      </c>
      <c r="E329" s="385">
        <v>4509</v>
      </c>
      <c r="F329" s="385">
        <v>10919571</v>
      </c>
      <c r="G329" s="385">
        <v>3484985</v>
      </c>
      <c r="H329" s="385">
        <v>7073</v>
      </c>
      <c r="I329" s="385" t="s">
        <v>839</v>
      </c>
      <c r="J329" s="385">
        <v>274</v>
      </c>
      <c r="K329" s="385" t="s">
        <v>839</v>
      </c>
      <c r="L329" s="385">
        <v>125618</v>
      </c>
      <c r="M329" s="385">
        <v>30924</v>
      </c>
      <c r="N329" s="385">
        <v>828378</v>
      </c>
      <c r="O329" s="385">
        <v>636853</v>
      </c>
      <c r="P329" s="385">
        <v>867145</v>
      </c>
      <c r="Q329" s="385">
        <v>988720</v>
      </c>
      <c r="R329" s="385">
        <v>7022906</v>
      </c>
      <c r="S329" s="385" t="s">
        <v>839</v>
      </c>
      <c r="T329" s="385">
        <v>7022906</v>
      </c>
      <c r="U329" s="385">
        <v>46486</v>
      </c>
      <c r="V329" s="385">
        <v>46486</v>
      </c>
      <c r="W329" s="383" t="s">
        <v>457</v>
      </c>
    </row>
    <row r="330" spans="1:23" s="376" customFormat="1" ht="9.75" customHeight="1" x14ac:dyDescent="0.15">
      <c r="A330" s="756" t="s">
        <v>669</v>
      </c>
      <c r="B330" s="376">
        <v>7571</v>
      </c>
      <c r="C330" s="376">
        <v>4300</v>
      </c>
      <c r="D330" s="376" t="s">
        <v>839</v>
      </c>
      <c r="E330" s="376">
        <v>4300</v>
      </c>
      <c r="F330" s="376">
        <v>10762268</v>
      </c>
      <c r="G330" s="376">
        <v>1709888</v>
      </c>
      <c r="H330" s="376">
        <v>7012</v>
      </c>
      <c r="I330" s="376" t="s">
        <v>839</v>
      </c>
      <c r="J330" s="376" t="s">
        <v>839</v>
      </c>
      <c r="K330" s="376" t="s">
        <v>839</v>
      </c>
      <c r="L330" s="376">
        <v>111031</v>
      </c>
      <c r="M330" s="376">
        <v>110430</v>
      </c>
      <c r="N330" s="376">
        <v>172935</v>
      </c>
      <c r="O330" s="376">
        <v>269636</v>
      </c>
      <c r="P330" s="376">
        <v>247270</v>
      </c>
      <c r="Q330" s="376">
        <v>791574</v>
      </c>
      <c r="R330" s="376">
        <v>8306758</v>
      </c>
      <c r="S330" s="376">
        <v>344965</v>
      </c>
      <c r="T330" s="376">
        <v>7961793</v>
      </c>
      <c r="U330" s="376" t="s">
        <v>839</v>
      </c>
      <c r="V330" s="376" t="s">
        <v>839</v>
      </c>
      <c r="W330" s="381" t="s">
        <v>512</v>
      </c>
    </row>
    <row r="331" spans="1:23" s="376" customFormat="1" ht="9.75" customHeight="1" x14ac:dyDescent="0.15">
      <c r="A331" s="756" t="s">
        <v>670</v>
      </c>
      <c r="B331" s="376">
        <v>4220</v>
      </c>
      <c r="C331" s="376">
        <v>3416</v>
      </c>
      <c r="D331" s="376" t="s">
        <v>839</v>
      </c>
      <c r="E331" s="376">
        <v>3416</v>
      </c>
      <c r="F331" s="376">
        <v>9885612</v>
      </c>
      <c r="G331" s="376">
        <v>1354736</v>
      </c>
      <c r="H331" s="376">
        <v>1146</v>
      </c>
      <c r="I331" s="376" t="s">
        <v>839</v>
      </c>
      <c r="J331" s="376" t="s">
        <v>839</v>
      </c>
      <c r="K331" s="376" t="s">
        <v>839</v>
      </c>
      <c r="L331" s="376">
        <v>172322</v>
      </c>
      <c r="M331" s="376">
        <v>24630</v>
      </c>
      <c r="N331" s="376">
        <v>174803</v>
      </c>
      <c r="O331" s="376">
        <v>323745</v>
      </c>
      <c r="P331" s="376">
        <v>266886</v>
      </c>
      <c r="Q331" s="376">
        <v>391204</v>
      </c>
      <c r="R331" s="376">
        <v>7633543</v>
      </c>
      <c r="S331" s="376">
        <v>823301</v>
      </c>
      <c r="T331" s="376">
        <v>6810242</v>
      </c>
      <c r="U331" s="376" t="s">
        <v>839</v>
      </c>
      <c r="V331" s="376" t="s">
        <v>839</v>
      </c>
      <c r="W331" s="381" t="s">
        <v>620</v>
      </c>
    </row>
    <row r="332" spans="1:23" s="376" customFormat="1" ht="9.75" customHeight="1" x14ac:dyDescent="0.15">
      <c r="A332" s="756" t="s">
        <v>671</v>
      </c>
      <c r="B332" s="376">
        <v>8883</v>
      </c>
      <c r="C332" s="376">
        <v>3160</v>
      </c>
      <c r="D332" s="376">
        <v>782</v>
      </c>
      <c r="E332" s="376">
        <v>2378</v>
      </c>
      <c r="F332" s="376">
        <v>10382862</v>
      </c>
      <c r="G332" s="376">
        <v>1097387</v>
      </c>
      <c r="H332" s="376">
        <v>793</v>
      </c>
      <c r="I332" s="376">
        <v>109</v>
      </c>
      <c r="J332" s="376" t="s">
        <v>839</v>
      </c>
      <c r="K332" s="376" t="s">
        <v>839</v>
      </c>
      <c r="L332" s="376">
        <v>156003</v>
      </c>
      <c r="M332" s="376" t="s">
        <v>839</v>
      </c>
      <c r="N332" s="376">
        <v>91343</v>
      </c>
      <c r="O332" s="376">
        <v>554091</v>
      </c>
      <c r="P332" s="376">
        <v>156810</v>
      </c>
      <c r="Q332" s="376">
        <v>138238</v>
      </c>
      <c r="R332" s="376">
        <v>8503648</v>
      </c>
      <c r="S332" s="376">
        <v>1213152</v>
      </c>
      <c r="T332" s="376">
        <v>7290496</v>
      </c>
      <c r="U332" s="376" t="s">
        <v>839</v>
      </c>
      <c r="V332" s="376" t="s">
        <v>839</v>
      </c>
      <c r="W332" s="381" t="s">
        <v>672</v>
      </c>
    </row>
    <row r="333" spans="1:23" s="376" customFormat="1" ht="9.75" customHeight="1" x14ac:dyDescent="0.15">
      <c r="A333" s="756" t="s">
        <v>840</v>
      </c>
      <c r="B333" s="376">
        <v>6850</v>
      </c>
      <c r="C333" s="376">
        <v>3140</v>
      </c>
      <c r="D333" s="376" t="s">
        <v>839</v>
      </c>
      <c r="E333" s="376">
        <v>3140</v>
      </c>
      <c r="F333" s="376">
        <v>10769227</v>
      </c>
      <c r="G333" s="376">
        <v>1248557</v>
      </c>
      <c r="H333" s="376">
        <v>38174</v>
      </c>
      <c r="I333" s="376" t="s">
        <v>839</v>
      </c>
      <c r="J333" s="376" t="s">
        <v>839</v>
      </c>
      <c r="K333" s="376">
        <v>440</v>
      </c>
      <c r="L333" s="376">
        <v>138621</v>
      </c>
      <c r="M333" s="376">
        <v>46551</v>
      </c>
      <c r="N333" s="376">
        <v>169249</v>
      </c>
      <c r="O333" s="376">
        <v>452105</v>
      </c>
      <c r="P333" s="376">
        <v>183434</v>
      </c>
      <c r="Q333" s="376">
        <v>219983</v>
      </c>
      <c r="R333" s="376">
        <v>8332330</v>
      </c>
      <c r="S333" s="376">
        <v>1554954</v>
      </c>
      <c r="T333" s="376">
        <v>6777376</v>
      </c>
      <c r="U333" s="376" t="s">
        <v>839</v>
      </c>
      <c r="V333" s="376" t="s">
        <v>839</v>
      </c>
      <c r="W333" s="381" t="s">
        <v>841</v>
      </c>
    </row>
    <row r="334" spans="1:23" s="376" customFormat="1" ht="6.75" customHeight="1" x14ac:dyDescent="0.15">
      <c r="A334" s="787"/>
      <c r="W334" s="381"/>
    </row>
    <row r="335" spans="1:23" s="376" customFormat="1" ht="9.75" customHeight="1" x14ac:dyDescent="0.15">
      <c r="A335" s="756" t="s">
        <v>842</v>
      </c>
      <c r="B335" s="376">
        <v>8143</v>
      </c>
      <c r="C335" s="376">
        <v>3568</v>
      </c>
      <c r="D335" s="376">
        <v>511</v>
      </c>
      <c r="E335" s="376">
        <v>3057</v>
      </c>
      <c r="F335" s="376">
        <v>10243431</v>
      </c>
      <c r="G335" s="376">
        <v>1235529</v>
      </c>
      <c r="H335" s="376">
        <v>793</v>
      </c>
      <c r="I335" s="376">
        <v>109</v>
      </c>
      <c r="J335" s="376" t="s">
        <v>839</v>
      </c>
      <c r="K335" s="376">
        <v>199</v>
      </c>
      <c r="L335" s="376">
        <v>157180</v>
      </c>
      <c r="M335" s="376">
        <v>46551</v>
      </c>
      <c r="N335" s="376" t="s">
        <v>839</v>
      </c>
      <c r="O335" s="376">
        <v>516270</v>
      </c>
      <c r="P335" s="376">
        <v>211822</v>
      </c>
      <c r="Q335" s="376">
        <v>302605</v>
      </c>
      <c r="R335" s="376">
        <v>8121124</v>
      </c>
      <c r="S335" s="376">
        <v>1203170</v>
      </c>
      <c r="T335" s="376">
        <v>6917954</v>
      </c>
      <c r="U335" s="376" t="s">
        <v>839</v>
      </c>
      <c r="V335" s="376" t="s">
        <v>839</v>
      </c>
      <c r="W335" s="381" t="s">
        <v>673</v>
      </c>
    </row>
    <row r="336" spans="1:23" s="376" customFormat="1" ht="9.75" customHeight="1" x14ac:dyDescent="0.15">
      <c r="A336" s="756" t="s">
        <v>843</v>
      </c>
      <c r="B336" s="376">
        <v>6116</v>
      </c>
      <c r="C336" s="376">
        <v>2992</v>
      </c>
      <c r="D336" s="376" t="s">
        <v>839</v>
      </c>
      <c r="E336" s="376">
        <v>2992</v>
      </c>
      <c r="F336" s="376">
        <v>10916074</v>
      </c>
      <c r="G336" s="376">
        <v>886128</v>
      </c>
      <c r="H336" s="376">
        <v>38174</v>
      </c>
      <c r="I336" s="376" t="s">
        <v>839</v>
      </c>
      <c r="J336" s="376" t="s">
        <v>839</v>
      </c>
      <c r="K336" s="376">
        <v>241</v>
      </c>
      <c r="L336" s="376">
        <v>94239</v>
      </c>
      <c r="M336" s="376" t="s">
        <v>839</v>
      </c>
      <c r="N336" s="376">
        <v>169249</v>
      </c>
      <c r="O336" s="376">
        <v>310307</v>
      </c>
      <c r="P336" s="376">
        <v>218302</v>
      </c>
      <c r="Q336" s="376">
        <v>55616</v>
      </c>
      <c r="R336" s="376">
        <v>8876076</v>
      </c>
      <c r="S336" s="376">
        <v>1604421</v>
      </c>
      <c r="T336" s="376">
        <v>7271655</v>
      </c>
      <c r="U336" s="376" t="s">
        <v>839</v>
      </c>
      <c r="V336" s="376" t="s">
        <v>839</v>
      </c>
      <c r="W336" s="381" t="s">
        <v>844</v>
      </c>
    </row>
    <row r="337" spans="1:23" s="376" customFormat="1" ht="6.75" customHeight="1" x14ac:dyDescent="0.15">
      <c r="A337" s="787"/>
      <c r="W337" s="381"/>
    </row>
    <row r="338" spans="1:23" s="376" customFormat="1" ht="9.75" customHeight="1" x14ac:dyDescent="0.15">
      <c r="A338" s="756" t="s">
        <v>845</v>
      </c>
      <c r="B338" s="376">
        <v>1248</v>
      </c>
      <c r="C338" s="376">
        <v>939</v>
      </c>
      <c r="D338" s="376" t="s">
        <v>839</v>
      </c>
      <c r="E338" s="376">
        <v>939</v>
      </c>
      <c r="F338" s="376">
        <v>3144529</v>
      </c>
      <c r="G338" s="376">
        <v>589348</v>
      </c>
      <c r="H338" s="376" t="s">
        <v>839</v>
      </c>
      <c r="I338" s="376" t="s">
        <v>839</v>
      </c>
      <c r="J338" s="376" t="s">
        <v>839</v>
      </c>
      <c r="K338" s="376">
        <v>199</v>
      </c>
      <c r="L338" s="376">
        <v>44382</v>
      </c>
      <c r="M338" s="376">
        <v>46551</v>
      </c>
      <c r="N338" s="376" t="s">
        <v>839</v>
      </c>
      <c r="O338" s="376">
        <v>278837</v>
      </c>
      <c r="P338" s="376">
        <v>55012</v>
      </c>
      <c r="Q338" s="376">
        <v>164367</v>
      </c>
      <c r="R338" s="376">
        <v>2305032</v>
      </c>
      <c r="S338" s="376">
        <v>324002</v>
      </c>
      <c r="T338" s="376">
        <v>1981030</v>
      </c>
      <c r="U338" s="376" t="s">
        <v>839</v>
      </c>
      <c r="V338" s="376" t="s">
        <v>839</v>
      </c>
      <c r="W338" s="381" t="s">
        <v>677</v>
      </c>
    </row>
    <row r="339" spans="1:23" s="376" customFormat="1" ht="9.75" customHeight="1" x14ac:dyDescent="0.15">
      <c r="A339" s="756" t="s">
        <v>674</v>
      </c>
      <c r="B339" s="376">
        <v>2998</v>
      </c>
      <c r="C339" s="376">
        <v>629</v>
      </c>
      <c r="D339" s="376" t="s">
        <v>839</v>
      </c>
      <c r="E339" s="376">
        <v>629</v>
      </c>
      <c r="F339" s="376">
        <v>2505697</v>
      </c>
      <c r="G339" s="376">
        <v>207458</v>
      </c>
      <c r="H339" s="376" t="s">
        <v>839</v>
      </c>
      <c r="I339" s="376" t="s">
        <v>839</v>
      </c>
      <c r="J339" s="376" t="s">
        <v>839</v>
      </c>
      <c r="K339" s="376">
        <v>241</v>
      </c>
      <c r="L339" s="376">
        <v>9000</v>
      </c>
      <c r="M339" s="376" t="s">
        <v>839</v>
      </c>
      <c r="N339" s="376">
        <v>34541</v>
      </c>
      <c r="O339" s="376">
        <v>128567</v>
      </c>
      <c r="P339" s="376">
        <v>35109</v>
      </c>
      <c r="Q339" s="376" t="s">
        <v>839</v>
      </c>
      <c r="R339" s="376">
        <v>1974028</v>
      </c>
      <c r="S339" s="376">
        <v>412175</v>
      </c>
      <c r="T339" s="376">
        <v>1561853</v>
      </c>
      <c r="U339" s="376" t="s">
        <v>839</v>
      </c>
      <c r="V339" s="376" t="s">
        <v>839</v>
      </c>
      <c r="W339" s="381" t="s">
        <v>89</v>
      </c>
    </row>
    <row r="340" spans="1:23" s="376" customFormat="1" ht="9.75" customHeight="1" x14ac:dyDescent="0.15">
      <c r="A340" s="756" t="s">
        <v>675</v>
      </c>
      <c r="B340" s="376">
        <v>1835</v>
      </c>
      <c r="C340" s="376">
        <v>672</v>
      </c>
      <c r="D340" s="376" t="s">
        <v>839</v>
      </c>
      <c r="E340" s="376">
        <v>672</v>
      </c>
      <c r="F340" s="376">
        <v>2481770</v>
      </c>
      <c r="G340" s="376">
        <v>226104</v>
      </c>
      <c r="H340" s="376">
        <v>38174</v>
      </c>
      <c r="I340" s="376" t="s">
        <v>839</v>
      </c>
      <c r="J340" s="376" t="s">
        <v>839</v>
      </c>
      <c r="K340" s="376" t="s">
        <v>839</v>
      </c>
      <c r="L340" s="376">
        <v>44664</v>
      </c>
      <c r="M340" s="376" t="s">
        <v>839</v>
      </c>
      <c r="N340" s="376">
        <v>89562</v>
      </c>
      <c r="O340" s="376">
        <v>44701</v>
      </c>
      <c r="P340" s="376" t="s">
        <v>839</v>
      </c>
      <c r="Q340" s="376">
        <v>9003</v>
      </c>
      <c r="R340" s="376">
        <v>1970002</v>
      </c>
      <c r="S340" s="376">
        <v>413610</v>
      </c>
      <c r="T340" s="376">
        <v>1556392</v>
      </c>
      <c r="U340" s="376" t="s">
        <v>839</v>
      </c>
      <c r="V340" s="376" t="s">
        <v>839</v>
      </c>
      <c r="W340" s="381" t="s">
        <v>90</v>
      </c>
    </row>
    <row r="341" spans="1:23" s="376" customFormat="1" ht="9.75" customHeight="1" x14ac:dyDescent="0.15">
      <c r="A341" s="756" t="s">
        <v>676</v>
      </c>
      <c r="B341" s="376">
        <v>769</v>
      </c>
      <c r="C341" s="376">
        <v>900</v>
      </c>
      <c r="D341" s="376" t="s">
        <v>839</v>
      </c>
      <c r="E341" s="376">
        <v>900</v>
      </c>
      <c r="F341" s="376">
        <v>2637231</v>
      </c>
      <c r="G341" s="376">
        <v>225647</v>
      </c>
      <c r="H341" s="376" t="s">
        <v>839</v>
      </c>
      <c r="I341" s="376" t="s">
        <v>839</v>
      </c>
      <c r="J341" s="376" t="s">
        <v>839</v>
      </c>
      <c r="K341" s="376" t="s">
        <v>839</v>
      </c>
      <c r="L341" s="376">
        <v>40575</v>
      </c>
      <c r="M341" s="376" t="s">
        <v>839</v>
      </c>
      <c r="N341" s="376">
        <v>45146</v>
      </c>
      <c r="O341" s="376" t="s">
        <v>839</v>
      </c>
      <c r="P341" s="376">
        <v>93313</v>
      </c>
      <c r="Q341" s="376">
        <v>46613</v>
      </c>
      <c r="R341" s="376">
        <v>2083268</v>
      </c>
      <c r="S341" s="376">
        <v>405167</v>
      </c>
      <c r="T341" s="376">
        <v>1678101</v>
      </c>
      <c r="U341" s="376" t="s">
        <v>839</v>
      </c>
      <c r="V341" s="376" t="s">
        <v>839</v>
      </c>
      <c r="W341" s="381" t="s">
        <v>91</v>
      </c>
    </row>
    <row r="342" spans="1:23" s="376" customFormat="1" ht="9.75" customHeight="1" x14ac:dyDescent="0.15">
      <c r="A342" s="756" t="s">
        <v>846</v>
      </c>
      <c r="B342" s="376">
        <v>514</v>
      </c>
      <c r="C342" s="376">
        <v>791</v>
      </c>
      <c r="D342" s="376" t="s">
        <v>839</v>
      </c>
      <c r="E342" s="376">
        <v>791</v>
      </c>
      <c r="F342" s="376">
        <v>3291376</v>
      </c>
      <c r="G342" s="376">
        <v>226919</v>
      </c>
      <c r="H342" s="376" t="s">
        <v>839</v>
      </c>
      <c r="I342" s="376" t="s">
        <v>839</v>
      </c>
      <c r="J342" s="376" t="s">
        <v>839</v>
      </c>
      <c r="K342" s="376" t="s">
        <v>839</v>
      </c>
      <c r="L342" s="376" t="s">
        <v>839</v>
      </c>
      <c r="M342" s="376" t="s">
        <v>839</v>
      </c>
      <c r="N342" s="376" t="s">
        <v>839</v>
      </c>
      <c r="O342" s="376">
        <v>137039</v>
      </c>
      <c r="P342" s="376">
        <v>89880</v>
      </c>
      <c r="Q342" s="376" t="s">
        <v>839</v>
      </c>
      <c r="R342" s="376">
        <v>2848778</v>
      </c>
      <c r="S342" s="376">
        <v>373469</v>
      </c>
      <c r="T342" s="376">
        <v>2475309</v>
      </c>
      <c r="U342" s="376" t="s">
        <v>839</v>
      </c>
      <c r="V342" s="376" t="s">
        <v>839</v>
      </c>
      <c r="W342" s="381" t="s">
        <v>847</v>
      </c>
    </row>
    <row r="343" spans="1:23" s="376" customFormat="1" ht="6.75" customHeight="1" x14ac:dyDescent="0.15">
      <c r="A343" s="787"/>
      <c r="W343" s="381"/>
    </row>
    <row r="344" spans="1:23" s="376" customFormat="1" ht="9.75" customHeight="1" x14ac:dyDescent="0.15">
      <c r="A344" s="756" t="s">
        <v>848</v>
      </c>
      <c r="B344" s="376" t="s">
        <v>839</v>
      </c>
      <c r="C344" s="376">
        <v>225</v>
      </c>
      <c r="D344" s="376" t="s">
        <v>839</v>
      </c>
      <c r="E344" s="376">
        <v>225</v>
      </c>
      <c r="F344" s="376">
        <v>1097183</v>
      </c>
      <c r="G344" s="376">
        <v>210127</v>
      </c>
      <c r="H344" s="376" t="s">
        <v>839</v>
      </c>
      <c r="I344" s="376" t="s">
        <v>839</v>
      </c>
      <c r="J344" s="376" t="s">
        <v>839</v>
      </c>
      <c r="K344" s="376" t="s">
        <v>839</v>
      </c>
      <c r="L344" s="376" t="s">
        <v>839</v>
      </c>
      <c r="M344" s="376">
        <v>46551</v>
      </c>
      <c r="N344" s="376" t="s">
        <v>839</v>
      </c>
      <c r="O344" s="376">
        <v>47232</v>
      </c>
      <c r="P344" s="376">
        <v>46011</v>
      </c>
      <c r="Q344" s="376">
        <v>70333</v>
      </c>
      <c r="R344" s="376">
        <v>820927</v>
      </c>
      <c r="S344" s="376">
        <v>121976</v>
      </c>
      <c r="T344" s="376">
        <v>698951</v>
      </c>
      <c r="U344" s="376" t="s">
        <v>839</v>
      </c>
      <c r="V344" s="376" t="s">
        <v>839</v>
      </c>
      <c r="W344" s="381" t="s">
        <v>689</v>
      </c>
    </row>
    <row r="345" spans="1:23" s="376" customFormat="1" ht="9.75" customHeight="1" x14ac:dyDescent="0.15">
      <c r="A345" s="756" t="s">
        <v>678</v>
      </c>
      <c r="B345" s="376">
        <v>1248</v>
      </c>
      <c r="C345" s="376">
        <v>140</v>
      </c>
      <c r="D345" s="376" t="s">
        <v>839</v>
      </c>
      <c r="E345" s="376">
        <v>140</v>
      </c>
      <c r="F345" s="376">
        <v>913905</v>
      </c>
      <c r="G345" s="376">
        <v>135733</v>
      </c>
      <c r="H345" s="376" t="s">
        <v>839</v>
      </c>
      <c r="I345" s="376" t="s">
        <v>839</v>
      </c>
      <c r="J345" s="376" t="s">
        <v>839</v>
      </c>
      <c r="K345" s="376" t="s">
        <v>839</v>
      </c>
      <c r="L345" s="376">
        <v>44382</v>
      </c>
      <c r="M345" s="376" t="s">
        <v>839</v>
      </c>
      <c r="N345" s="376" t="s">
        <v>839</v>
      </c>
      <c r="O345" s="376">
        <v>44307</v>
      </c>
      <c r="P345" s="376" t="s">
        <v>839</v>
      </c>
      <c r="Q345" s="376">
        <v>47044</v>
      </c>
      <c r="R345" s="376">
        <v>679330</v>
      </c>
      <c r="S345" s="376">
        <v>90216</v>
      </c>
      <c r="T345" s="376">
        <v>589114</v>
      </c>
      <c r="U345" s="376" t="s">
        <v>839</v>
      </c>
      <c r="V345" s="376" t="s">
        <v>839</v>
      </c>
      <c r="W345" s="381" t="s">
        <v>77</v>
      </c>
    </row>
    <row r="346" spans="1:23" s="376" customFormat="1" ht="9.75" customHeight="1" x14ac:dyDescent="0.15">
      <c r="A346" s="756" t="s">
        <v>679</v>
      </c>
      <c r="B346" s="376" t="s">
        <v>839</v>
      </c>
      <c r="C346" s="376">
        <v>574</v>
      </c>
      <c r="D346" s="376" t="s">
        <v>839</v>
      </c>
      <c r="E346" s="376">
        <v>574</v>
      </c>
      <c r="F346" s="376">
        <v>1133441</v>
      </c>
      <c r="G346" s="376">
        <v>243488</v>
      </c>
      <c r="H346" s="376" t="s">
        <v>839</v>
      </c>
      <c r="I346" s="376" t="s">
        <v>839</v>
      </c>
      <c r="J346" s="376" t="s">
        <v>839</v>
      </c>
      <c r="K346" s="376">
        <v>199</v>
      </c>
      <c r="L346" s="376" t="s">
        <v>839</v>
      </c>
      <c r="M346" s="376" t="s">
        <v>839</v>
      </c>
      <c r="N346" s="376" t="s">
        <v>839</v>
      </c>
      <c r="O346" s="376">
        <v>187298</v>
      </c>
      <c r="P346" s="376">
        <v>9001</v>
      </c>
      <c r="Q346" s="376">
        <v>46990</v>
      </c>
      <c r="R346" s="376">
        <v>804775</v>
      </c>
      <c r="S346" s="376">
        <v>111810</v>
      </c>
      <c r="T346" s="376">
        <v>692965</v>
      </c>
      <c r="U346" s="376" t="s">
        <v>839</v>
      </c>
      <c r="V346" s="376" t="s">
        <v>839</v>
      </c>
      <c r="W346" s="381" t="s">
        <v>78</v>
      </c>
    </row>
    <row r="347" spans="1:23" s="376" customFormat="1" ht="9.75" customHeight="1" x14ac:dyDescent="0.15">
      <c r="A347" s="756" t="s">
        <v>680</v>
      </c>
      <c r="B347" s="376">
        <v>1543</v>
      </c>
      <c r="C347" s="376">
        <v>173</v>
      </c>
      <c r="D347" s="376" t="s">
        <v>839</v>
      </c>
      <c r="E347" s="376">
        <v>173</v>
      </c>
      <c r="F347" s="376">
        <v>892792</v>
      </c>
      <c r="G347" s="376">
        <v>102594</v>
      </c>
      <c r="H347" s="376" t="s">
        <v>839</v>
      </c>
      <c r="I347" s="376" t="s">
        <v>839</v>
      </c>
      <c r="J347" s="376" t="s">
        <v>839</v>
      </c>
      <c r="K347" s="376">
        <v>241</v>
      </c>
      <c r="L347" s="376">
        <v>5909</v>
      </c>
      <c r="M347" s="376" t="s">
        <v>839</v>
      </c>
      <c r="N347" s="376" t="s">
        <v>839</v>
      </c>
      <c r="O347" s="376">
        <v>61335</v>
      </c>
      <c r="P347" s="376">
        <v>35109</v>
      </c>
      <c r="Q347" s="376" t="s">
        <v>839</v>
      </c>
      <c r="R347" s="376">
        <v>713168</v>
      </c>
      <c r="S347" s="376">
        <v>154012</v>
      </c>
      <c r="T347" s="376">
        <v>559156</v>
      </c>
      <c r="U347" s="376" t="s">
        <v>839</v>
      </c>
      <c r="V347" s="376" t="s">
        <v>839</v>
      </c>
      <c r="W347" s="381" t="s">
        <v>79</v>
      </c>
    </row>
    <row r="348" spans="1:23" s="376" customFormat="1" ht="9.75" customHeight="1" x14ac:dyDescent="0.15">
      <c r="A348" s="756" t="s">
        <v>681</v>
      </c>
      <c r="B348" s="376" t="s">
        <v>839</v>
      </c>
      <c r="C348" s="376">
        <v>216</v>
      </c>
      <c r="D348" s="376" t="s">
        <v>839</v>
      </c>
      <c r="E348" s="376">
        <v>216</v>
      </c>
      <c r="F348" s="376">
        <v>856877</v>
      </c>
      <c r="G348" s="376">
        <v>55893</v>
      </c>
      <c r="H348" s="376" t="s">
        <v>839</v>
      </c>
      <c r="I348" s="376" t="s">
        <v>839</v>
      </c>
      <c r="J348" s="376" t="s">
        <v>839</v>
      </c>
      <c r="K348" s="376" t="s">
        <v>839</v>
      </c>
      <c r="L348" s="376">
        <v>3091</v>
      </c>
      <c r="M348" s="376" t="s">
        <v>839</v>
      </c>
      <c r="N348" s="376" t="s">
        <v>839</v>
      </c>
      <c r="O348" s="376">
        <v>52802</v>
      </c>
      <c r="P348" s="376" t="s">
        <v>839</v>
      </c>
      <c r="Q348" s="376" t="s">
        <v>839</v>
      </c>
      <c r="R348" s="376">
        <v>675791</v>
      </c>
      <c r="S348" s="376">
        <v>113010</v>
      </c>
      <c r="T348" s="376">
        <v>562781</v>
      </c>
      <c r="U348" s="376" t="s">
        <v>839</v>
      </c>
      <c r="V348" s="376" t="s">
        <v>839</v>
      </c>
      <c r="W348" s="381" t="s">
        <v>92</v>
      </c>
    </row>
    <row r="349" spans="1:23" s="376" customFormat="1" ht="9.75" customHeight="1" x14ac:dyDescent="0.15">
      <c r="A349" s="756" t="s">
        <v>682</v>
      </c>
      <c r="B349" s="376">
        <v>1455</v>
      </c>
      <c r="C349" s="376">
        <v>240</v>
      </c>
      <c r="D349" s="376" t="s">
        <v>839</v>
      </c>
      <c r="E349" s="376">
        <v>240</v>
      </c>
      <c r="F349" s="376">
        <v>756028</v>
      </c>
      <c r="G349" s="376">
        <v>48971</v>
      </c>
      <c r="H349" s="376" t="s">
        <v>839</v>
      </c>
      <c r="I349" s="376" t="s">
        <v>839</v>
      </c>
      <c r="J349" s="376" t="s">
        <v>839</v>
      </c>
      <c r="K349" s="376" t="s">
        <v>839</v>
      </c>
      <c r="L349" s="376" t="s">
        <v>839</v>
      </c>
      <c r="M349" s="376" t="s">
        <v>839</v>
      </c>
      <c r="N349" s="376">
        <v>34541</v>
      </c>
      <c r="O349" s="376">
        <v>14430</v>
      </c>
      <c r="P349" s="376" t="s">
        <v>839</v>
      </c>
      <c r="Q349" s="376" t="s">
        <v>839</v>
      </c>
      <c r="R349" s="376">
        <v>585069</v>
      </c>
      <c r="S349" s="376">
        <v>145153</v>
      </c>
      <c r="T349" s="376">
        <v>439916</v>
      </c>
      <c r="U349" s="376" t="s">
        <v>839</v>
      </c>
      <c r="V349" s="376" t="s">
        <v>839</v>
      </c>
      <c r="W349" s="381" t="s">
        <v>93</v>
      </c>
    </row>
    <row r="350" spans="1:23" s="376" customFormat="1" ht="9.75" customHeight="1" x14ac:dyDescent="0.15">
      <c r="A350" s="756" t="s">
        <v>683</v>
      </c>
      <c r="B350" s="376" t="s">
        <v>839</v>
      </c>
      <c r="C350" s="376">
        <v>347</v>
      </c>
      <c r="D350" s="376" t="s">
        <v>839</v>
      </c>
      <c r="E350" s="376">
        <v>347</v>
      </c>
      <c r="F350" s="376">
        <v>822758</v>
      </c>
      <c r="G350" s="376">
        <v>59025</v>
      </c>
      <c r="H350" s="376" t="s">
        <v>839</v>
      </c>
      <c r="I350" s="376" t="s">
        <v>839</v>
      </c>
      <c r="J350" s="376" t="s">
        <v>839</v>
      </c>
      <c r="K350" s="376" t="s">
        <v>839</v>
      </c>
      <c r="L350" s="376" t="s">
        <v>839</v>
      </c>
      <c r="M350" s="376" t="s">
        <v>839</v>
      </c>
      <c r="N350" s="376">
        <v>59025</v>
      </c>
      <c r="O350" s="376" t="s">
        <v>839</v>
      </c>
      <c r="P350" s="376" t="s">
        <v>839</v>
      </c>
      <c r="Q350" s="376" t="s">
        <v>839</v>
      </c>
      <c r="R350" s="376">
        <v>704553</v>
      </c>
      <c r="S350" s="376">
        <v>114713</v>
      </c>
      <c r="T350" s="376">
        <v>589840</v>
      </c>
      <c r="U350" s="376" t="s">
        <v>839</v>
      </c>
      <c r="V350" s="376" t="s">
        <v>839</v>
      </c>
      <c r="W350" s="381" t="s">
        <v>94</v>
      </c>
    </row>
    <row r="351" spans="1:23" s="376" customFormat="1" ht="9.75" customHeight="1" x14ac:dyDescent="0.15">
      <c r="A351" s="756" t="s">
        <v>684</v>
      </c>
      <c r="B351" s="376">
        <v>1835</v>
      </c>
      <c r="C351" s="376">
        <v>246</v>
      </c>
      <c r="D351" s="376" t="s">
        <v>839</v>
      </c>
      <c r="E351" s="376">
        <v>246</v>
      </c>
      <c r="F351" s="376">
        <v>830357</v>
      </c>
      <c r="G351" s="376">
        <v>136542</v>
      </c>
      <c r="H351" s="376">
        <v>38174</v>
      </c>
      <c r="I351" s="376" t="s">
        <v>839</v>
      </c>
      <c r="J351" s="376" t="s">
        <v>839</v>
      </c>
      <c r="K351" s="376" t="s">
        <v>839</v>
      </c>
      <c r="L351" s="376">
        <v>44664</v>
      </c>
      <c r="M351" s="376" t="s">
        <v>839</v>
      </c>
      <c r="N351" s="376" t="s">
        <v>839</v>
      </c>
      <c r="O351" s="376">
        <v>44701</v>
      </c>
      <c r="P351" s="376" t="s">
        <v>839</v>
      </c>
      <c r="Q351" s="376">
        <v>9003</v>
      </c>
      <c r="R351" s="376">
        <v>630482</v>
      </c>
      <c r="S351" s="376">
        <v>159338</v>
      </c>
      <c r="T351" s="376">
        <v>471144</v>
      </c>
      <c r="U351" s="376" t="s">
        <v>839</v>
      </c>
      <c r="V351" s="376" t="s">
        <v>839</v>
      </c>
      <c r="W351" s="381" t="s">
        <v>95</v>
      </c>
    </row>
    <row r="352" spans="1:23" s="376" customFormat="1" ht="9.75" customHeight="1" x14ac:dyDescent="0.15">
      <c r="A352" s="756" t="s">
        <v>685</v>
      </c>
      <c r="B352" s="376" t="s">
        <v>839</v>
      </c>
      <c r="C352" s="376">
        <v>79</v>
      </c>
      <c r="D352" s="376" t="s">
        <v>839</v>
      </c>
      <c r="E352" s="376">
        <v>79</v>
      </c>
      <c r="F352" s="376">
        <v>828655</v>
      </c>
      <c r="G352" s="376">
        <v>30537</v>
      </c>
      <c r="H352" s="376" t="s">
        <v>839</v>
      </c>
      <c r="I352" s="376" t="s">
        <v>839</v>
      </c>
      <c r="J352" s="376" t="s">
        <v>839</v>
      </c>
      <c r="K352" s="376" t="s">
        <v>839</v>
      </c>
      <c r="L352" s="376" t="s">
        <v>839</v>
      </c>
      <c r="M352" s="376" t="s">
        <v>839</v>
      </c>
      <c r="N352" s="376">
        <v>30537</v>
      </c>
      <c r="O352" s="376" t="s">
        <v>839</v>
      </c>
      <c r="P352" s="376" t="s">
        <v>839</v>
      </c>
      <c r="Q352" s="376" t="s">
        <v>839</v>
      </c>
      <c r="R352" s="376">
        <v>634967</v>
      </c>
      <c r="S352" s="376">
        <v>139559</v>
      </c>
      <c r="T352" s="376">
        <v>495408</v>
      </c>
      <c r="U352" s="376" t="s">
        <v>839</v>
      </c>
      <c r="V352" s="376" t="s">
        <v>839</v>
      </c>
      <c r="W352" s="381" t="s">
        <v>96</v>
      </c>
    </row>
    <row r="353" spans="1:23" s="376" customFormat="1" ht="9.75" customHeight="1" x14ac:dyDescent="0.15">
      <c r="A353" s="756" t="s">
        <v>686</v>
      </c>
      <c r="B353" s="376">
        <v>769</v>
      </c>
      <c r="C353" s="376">
        <v>197</v>
      </c>
      <c r="D353" s="376" t="s">
        <v>839</v>
      </c>
      <c r="E353" s="376">
        <v>197</v>
      </c>
      <c r="F353" s="376">
        <v>799182</v>
      </c>
      <c r="G353" s="376">
        <v>46147</v>
      </c>
      <c r="H353" s="376" t="s">
        <v>839</v>
      </c>
      <c r="I353" s="376" t="s">
        <v>839</v>
      </c>
      <c r="J353" s="376" t="s">
        <v>839</v>
      </c>
      <c r="K353" s="376" t="s">
        <v>839</v>
      </c>
      <c r="L353" s="376" t="s">
        <v>839</v>
      </c>
      <c r="M353" s="376" t="s">
        <v>839</v>
      </c>
      <c r="N353" s="376">
        <v>18</v>
      </c>
      <c r="O353" s="376" t="s">
        <v>839</v>
      </c>
      <c r="P353" s="376">
        <v>46129</v>
      </c>
      <c r="Q353" s="376" t="s">
        <v>839</v>
      </c>
      <c r="R353" s="376">
        <v>654308</v>
      </c>
      <c r="S353" s="376">
        <v>124367</v>
      </c>
      <c r="T353" s="376">
        <v>529941</v>
      </c>
      <c r="U353" s="376" t="s">
        <v>839</v>
      </c>
      <c r="V353" s="376" t="s">
        <v>839</v>
      </c>
      <c r="W353" s="381" t="s">
        <v>80</v>
      </c>
    </row>
    <row r="354" spans="1:23" s="376" customFormat="1" ht="9.75" customHeight="1" x14ac:dyDescent="0.15">
      <c r="A354" s="756" t="s">
        <v>687</v>
      </c>
      <c r="B354" s="376" t="s">
        <v>839</v>
      </c>
      <c r="C354" s="376">
        <v>121</v>
      </c>
      <c r="D354" s="376" t="s">
        <v>839</v>
      </c>
      <c r="E354" s="376">
        <v>121</v>
      </c>
      <c r="F354" s="376">
        <v>887588</v>
      </c>
      <c r="G354" s="376">
        <v>69677</v>
      </c>
      <c r="H354" s="376" t="s">
        <v>839</v>
      </c>
      <c r="I354" s="376" t="s">
        <v>839</v>
      </c>
      <c r="J354" s="376" t="s">
        <v>839</v>
      </c>
      <c r="K354" s="376" t="s">
        <v>839</v>
      </c>
      <c r="L354" s="376" t="s">
        <v>839</v>
      </c>
      <c r="M354" s="376" t="s">
        <v>839</v>
      </c>
      <c r="N354" s="376">
        <v>22493</v>
      </c>
      <c r="O354" s="376" t="s">
        <v>839</v>
      </c>
      <c r="P354" s="376">
        <v>47184</v>
      </c>
      <c r="Q354" s="376" t="s">
        <v>839</v>
      </c>
      <c r="R354" s="376">
        <v>725270</v>
      </c>
      <c r="S354" s="376">
        <v>164479</v>
      </c>
      <c r="T354" s="376">
        <v>560791</v>
      </c>
      <c r="U354" s="376" t="s">
        <v>839</v>
      </c>
      <c r="V354" s="376" t="s">
        <v>839</v>
      </c>
      <c r="W354" s="381" t="s">
        <v>81</v>
      </c>
    </row>
    <row r="355" spans="1:23" s="376" customFormat="1" ht="9.75" customHeight="1" x14ac:dyDescent="0.15">
      <c r="A355" s="756" t="s">
        <v>688</v>
      </c>
      <c r="B355" s="376" t="s">
        <v>839</v>
      </c>
      <c r="C355" s="376">
        <v>582</v>
      </c>
      <c r="D355" s="376" t="s">
        <v>839</v>
      </c>
      <c r="E355" s="376">
        <v>582</v>
      </c>
      <c r="F355" s="376">
        <v>950461</v>
      </c>
      <c r="G355" s="376">
        <v>109823</v>
      </c>
      <c r="H355" s="376" t="s">
        <v>839</v>
      </c>
      <c r="I355" s="376" t="s">
        <v>839</v>
      </c>
      <c r="J355" s="376" t="s">
        <v>839</v>
      </c>
      <c r="K355" s="376" t="s">
        <v>839</v>
      </c>
      <c r="L355" s="376">
        <v>40575</v>
      </c>
      <c r="M355" s="376" t="s">
        <v>839</v>
      </c>
      <c r="N355" s="376">
        <v>22635</v>
      </c>
      <c r="O355" s="376" t="s">
        <v>839</v>
      </c>
      <c r="P355" s="376" t="s">
        <v>839</v>
      </c>
      <c r="Q355" s="376">
        <v>46613</v>
      </c>
      <c r="R355" s="376">
        <v>703690</v>
      </c>
      <c r="S355" s="376">
        <v>116321</v>
      </c>
      <c r="T355" s="376">
        <v>587369</v>
      </c>
      <c r="U355" s="376" t="s">
        <v>839</v>
      </c>
      <c r="V355" s="376" t="s">
        <v>839</v>
      </c>
      <c r="W355" s="381" t="s">
        <v>82</v>
      </c>
    </row>
    <row r="356" spans="1:23" s="376" customFormat="1" ht="9.75" customHeight="1" x14ac:dyDescent="0.15">
      <c r="A356" s="756" t="s">
        <v>849</v>
      </c>
      <c r="B356" s="376">
        <v>273</v>
      </c>
      <c r="C356" s="376">
        <v>279</v>
      </c>
      <c r="D356" s="376" t="s">
        <v>839</v>
      </c>
      <c r="E356" s="376">
        <v>279</v>
      </c>
      <c r="F356" s="376">
        <v>994863</v>
      </c>
      <c r="G356" s="376">
        <v>30269</v>
      </c>
      <c r="H356" s="376" t="s">
        <v>839</v>
      </c>
      <c r="I356" s="376" t="s">
        <v>839</v>
      </c>
      <c r="J356" s="376" t="s">
        <v>839</v>
      </c>
      <c r="K356" s="376" t="s">
        <v>839</v>
      </c>
      <c r="L356" s="376" t="s">
        <v>839</v>
      </c>
      <c r="M356" s="376" t="s">
        <v>839</v>
      </c>
      <c r="N356" s="376" t="s">
        <v>839</v>
      </c>
      <c r="O356" s="376">
        <v>30269</v>
      </c>
      <c r="P356" s="376" t="s">
        <v>839</v>
      </c>
      <c r="Q356" s="376" t="s">
        <v>839</v>
      </c>
      <c r="R356" s="376">
        <v>873381</v>
      </c>
      <c r="S356" s="376">
        <v>78591</v>
      </c>
      <c r="T356" s="376">
        <v>794790</v>
      </c>
      <c r="U356" s="376" t="s">
        <v>839</v>
      </c>
      <c r="V356" s="376" t="s">
        <v>839</v>
      </c>
      <c r="W356" s="381" t="s">
        <v>850</v>
      </c>
    </row>
    <row r="357" spans="1:23" s="376" customFormat="1" ht="9.75" customHeight="1" x14ac:dyDescent="0.15">
      <c r="A357" s="756" t="s">
        <v>690</v>
      </c>
      <c r="B357" s="376" t="s">
        <v>839</v>
      </c>
      <c r="C357" s="376">
        <v>257</v>
      </c>
      <c r="D357" s="376" t="s">
        <v>839</v>
      </c>
      <c r="E357" s="376">
        <v>257</v>
      </c>
      <c r="F357" s="376">
        <v>974098</v>
      </c>
      <c r="G357" s="376">
        <v>149845</v>
      </c>
      <c r="H357" s="376" t="s">
        <v>839</v>
      </c>
      <c r="I357" s="376" t="s">
        <v>839</v>
      </c>
      <c r="J357" s="376" t="s">
        <v>839</v>
      </c>
      <c r="K357" s="376" t="s">
        <v>839</v>
      </c>
      <c r="L357" s="376" t="s">
        <v>839</v>
      </c>
      <c r="M357" s="376" t="s">
        <v>839</v>
      </c>
      <c r="N357" s="376" t="s">
        <v>839</v>
      </c>
      <c r="O357" s="376">
        <v>59965</v>
      </c>
      <c r="P357" s="376">
        <v>89880</v>
      </c>
      <c r="Q357" s="376" t="s">
        <v>839</v>
      </c>
      <c r="R357" s="376">
        <v>778894</v>
      </c>
      <c r="S357" s="376">
        <v>136860</v>
      </c>
      <c r="T357" s="376">
        <v>642034</v>
      </c>
      <c r="U357" s="376" t="s">
        <v>839</v>
      </c>
      <c r="V357" s="376" t="s">
        <v>839</v>
      </c>
      <c r="W357" s="381" t="s">
        <v>77</v>
      </c>
    </row>
    <row r="358" spans="1:23" s="376" customFormat="1" ht="9.75" customHeight="1" x14ac:dyDescent="0.15">
      <c r="A358" s="757" t="s">
        <v>691</v>
      </c>
      <c r="B358" s="380">
        <v>241</v>
      </c>
      <c r="C358" s="379">
        <v>255</v>
      </c>
      <c r="D358" s="379" t="s">
        <v>839</v>
      </c>
      <c r="E358" s="379">
        <v>255</v>
      </c>
      <c r="F358" s="379">
        <v>1322415</v>
      </c>
      <c r="G358" s="379">
        <v>46805</v>
      </c>
      <c r="H358" s="379" t="s">
        <v>839</v>
      </c>
      <c r="I358" s="379" t="s">
        <v>839</v>
      </c>
      <c r="J358" s="379" t="s">
        <v>839</v>
      </c>
      <c r="K358" s="379" t="s">
        <v>839</v>
      </c>
      <c r="L358" s="379" t="s">
        <v>839</v>
      </c>
      <c r="M358" s="379" t="s">
        <v>839</v>
      </c>
      <c r="N358" s="379" t="s">
        <v>839</v>
      </c>
      <c r="O358" s="379">
        <v>46805</v>
      </c>
      <c r="P358" s="379" t="s">
        <v>839</v>
      </c>
      <c r="Q358" s="379" t="s">
        <v>839</v>
      </c>
      <c r="R358" s="379">
        <v>1196503</v>
      </c>
      <c r="S358" s="379">
        <v>158018</v>
      </c>
      <c r="T358" s="379">
        <v>1038485</v>
      </c>
      <c r="U358" s="379" t="s">
        <v>839</v>
      </c>
      <c r="V358" s="379" t="s">
        <v>839</v>
      </c>
      <c r="W358" s="377" t="s">
        <v>78</v>
      </c>
    </row>
    <row r="359" spans="1:23" ht="12" customHeight="1" x14ac:dyDescent="0.15"/>
    <row r="360" spans="1:23" ht="12" customHeight="1" x14ac:dyDescent="0.15"/>
    <row r="361" spans="1:23" ht="12" customHeight="1" x14ac:dyDescent="0.15">
      <c r="K361" s="391" t="s">
        <v>97</v>
      </c>
      <c r="V361" s="394" t="s">
        <v>984</v>
      </c>
    </row>
    <row r="362" spans="1:23" s="387" customFormat="1" ht="21" customHeight="1" x14ac:dyDescent="0.15">
      <c r="A362" s="1023" t="s">
        <v>185</v>
      </c>
      <c r="B362" s="390" t="s">
        <v>284</v>
      </c>
      <c r="C362" s="732"/>
      <c r="D362" s="733" t="s">
        <v>997</v>
      </c>
      <c r="E362" s="389"/>
      <c r="F362" s="389"/>
      <c r="G362" s="389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1026" t="s">
        <v>83</v>
      </c>
    </row>
    <row r="363" spans="1:23" s="387" customFormat="1" ht="21" customHeight="1" x14ac:dyDescent="0.15">
      <c r="A363" s="1024"/>
      <c r="B363" s="733" t="s">
        <v>255</v>
      </c>
      <c r="C363" s="732"/>
      <c r="D363" s="1031" t="s">
        <v>998</v>
      </c>
      <c r="E363" s="733" t="s">
        <v>279</v>
      </c>
      <c r="F363" s="389"/>
      <c r="G363" s="389"/>
      <c r="H363" s="389"/>
      <c r="I363" s="389"/>
      <c r="J363" s="389"/>
      <c r="K363" s="389"/>
      <c r="L363" s="389"/>
      <c r="M363" s="389"/>
      <c r="N363" s="389"/>
      <c r="O363" s="732"/>
      <c r="P363" s="733" t="s">
        <v>272</v>
      </c>
      <c r="Q363" s="389"/>
      <c r="R363" s="732"/>
      <c r="S363" s="733" t="s">
        <v>256</v>
      </c>
      <c r="T363" s="732"/>
      <c r="U363" s="733" t="s">
        <v>255</v>
      </c>
      <c r="V363" s="389"/>
      <c r="W363" s="1027"/>
    </row>
    <row r="364" spans="1:23" s="387" customFormat="1" ht="52.5" customHeight="1" x14ac:dyDescent="0.15">
      <c r="A364" s="1025"/>
      <c r="B364" s="735" t="s">
        <v>986</v>
      </c>
      <c r="C364" s="388" t="s">
        <v>250</v>
      </c>
      <c r="D364" s="1032"/>
      <c r="E364" s="735" t="s">
        <v>975</v>
      </c>
      <c r="F364" s="388" t="s">
        <v>270</v>
      </c>
      <c r="G364" s="388" t="s">
        <v>976</v>
      </c>
      <c r="H364" s="388" t="s">
        <v>269</v>
      </c>
      <c r="I364" s="388" t="s">
        <v>266</v>
      </c>
      <c r="J364" s="388" t="s">
        <v>995</v>
      </c>
      <c r="K364" s="388" t="s">
        <v>278</v>
      </c>
      <c r="L364" s="388" t="s">
        <v>277</v>
      </c>
      <c r="M364" s="388" t="s">
        <v>276</v>
      </c>
      <c r="N364" s="388" t="s">
        <v>265</v>
      </c>
      <c r="O364" s="393" t="s">
        <v>977</v>
      </c>
      <c r="P364" s="735" t="s">
        <v>980</v>
      </c>
      <c r="Q364" s="388" t="s">
        <v>287</v>
      </c>
      <c r="R364" s="388" t="s">
        <v>258</v>
      </c>
      <c r="S364" s="735" t="s">
        <v>983</v>
      </c>
      <c r="T364" s="388" t="s">
        <v>253</v>
      </c>
      <c r="U364" s="735" t="s">
        <v>986</v>
      </c>
      <c r="V364" s="392" t="s">
        <v>250</v>
      </c>
      <c r="W364" s="1028"/>
    </row>
    <row r="365" spans="1:23" s="376" customFormat="1" ht="9.75" customHeight="1" x14ac:dyDescent="0.15">
      <c r="A365" s="755" t="s">
        <v>838</v>
      </c>
      <c r="B365" s="386">
        <v>365194</v>
      </c>
      <c r="C365" s="385">
        <v>365194</v>
      </c>
      <c r="D365" s="385">
        <v>9103028</v>
      </c>
      <c r="E365" s="385">
        <v>2206734</v>
      </c>
      <c r="F365" s="385">
        <v>7073</v>
      </c>
      <c r="G365" s="385" t="s">
        <v>839</v>
      </c>
      <c r="H365" s="385">
        <v>274</v>
      </c>
      <c r="I365" s="385" t="s">
        <v>839</v>
      </c>
      <c r="J365" s="385">
        <v>67999</v>
      </c>
      <c r="K365" s="385">
        <v>16283</v>
      </c>
      <c r="L365" s="385">
        <v>552932</v>
      </c>
      <c r="M365" s="385">
        <v>456793</v>
      </c>
      <c r="N365" s="385">
        <v>521532</v>
      </c>
      <c r="O365" s="385">
        <v>583848</v>
      </c>
      <c r="P365" s="385">
        <v>6687535</v>
      </c>
      <c r="Q365" s="385" t="s">
        <v>839</v>
      </c>
      <c r="R365" s="385">
        <v>6687535</v>
      </c>
      <c r="S365" s="385">
        <v>46486</v>
      </c>
      <c r="T365" s="385">
        <v>46486</v>
      </c>
      <c r="U365" s="385">
        <v>162273</v>
      </c>
      <c r="V365" s="385">
        <v>162273</v>
      </c>
      <c r="W365" s="383" t="s">
        <v>457</v>
      </c>
    </row>
    <row r="366" spans="1:23" s="376" customFormat="1" ht="9.75" customHeight="1" x14ac:dyDescent="0.15">
      <c r="A366" s="756" t="s">
        <v>669</v>
      </c>
      <c r="B366" s="376">
        <v>745622</v>
      </c>
      <c r="C366" s="376">
        <v>745622</v>
      </c>
      <c r="D366" s="376">
        <v>8831688</v>
      </c>
      <c r="E366" s="376">
        <v>789910</v>
      </c>
      <c r="F366" s="376">
        <v>7012</v>
      </c>
      <c r="G366" s="376" t="s">
        <v>839</v>
      </c>
      <c r="H366" s="376" t="s">
        <v>839</v>
      </c>
      <c r="I366" s="376" t="s">
        <v>839</v>
      </c>
      <c r="J366" s="376">
        <v>55505</v>
      </c>
      <c r="K366" s="376">
        <v>47901</v>
      </c>
      <c r="L366" s="376">
        <v>44457</v>
      </c>
      <c r="M366" s="376">
        <v>139000</v>
      </c>
      <c r="N366" s="376">
        <v>134496</v>
      </c>
      <c r="O366" s="376">
        <v>361539</v>
      </c>
      <c r="P366" s="376">
        <v>7655325</v>
      </c>
      <c r="Q366" s="376">
        <v>344965</v>
      </c>
      <c r="R366" s="376">
        <v>7310360</v>
      </c>
      <c r="S366" s="376" t="s">
        <v>839</v>
      </c>
      <c r="T366" s="376" t="s">
        <v>839</v>
      </c>
      <c r="U366" s="376">
        <v>386453</v>
      </c>
      <c r="V366" s="376">
        <v>386453</v>
      </c>
      <c r="W366" s="381" t="s">
        <v>512</v>
      </c>
    </row>
    <row r="367" spans="1:23" s="376" customFormat="1" ht="9.75" customHeight="1" x14ac:dyDescent="0.15">
      <c r="A367" s="756" t="s">
        <v>670</v>
      </c>
      <c r="B367" s="376">
        <v>897333</v>
      </c>
      <c r="C367" s="376">
        <v>897333</v>
      </c>
      <c r="D367" s="376">
        <v>8247619</v>
      </c>
      <c r="E367" s="376">
        <v>708716</v>
      </c>
      <c r="F367" s="376">
        <v>1146</v>
      </c>
      <c r="G367" s="376" t="s">
        <v>839</v>
      </c>
      <c r="H367" s="376" t="s">
        <v>839</v>
      </c>
      <c r="I367" s="376" t="s">
        <v>839</v>
      </c>
      <c r="J367" s="376">
        <v>87045</v>
      </c>
      <c r="K367" s="376">
        <v>13001</v>
      </c>
      <c r="L367" s="376">
        <v>41930</v>
      </c>
      <c r="M367" s="376">
        <v>218100</v>
      </c>
      <c r="N367" s="376">
        <v>174710</v>
      </c>
      <c r="O367" s="376">
        <v>172784</v>
      </c>
      <c r="P367" s="376">
        <v>7012175</v>
      </c>
      <c r="Q367" s="376">
        <v>823301</v>
      </c>
      <c r="R367" s="376">
        <v>6188874</v>
      </c>
      <c r="S367" s="376" t="s">
        <v>839</v>
      </c>
      <c r="T367" s="376" t="s">
        <v>839</v>
      </c>
      <c r="U367" s="376">
        <v>526728</v>
      </c>
      <c r="V367" s="376">
        <v>526728</v>
      </c>
      <c r="W367" s="381" t="s">
        <v>620</v>
      </c>
    </row>
    <row r="368" spans="1:23" s="376" customFormat="1" ht="9.75" customHeight="1" x14ac:dyDescent="0.15">
      <c r="A368" s="756" t="s">
        <v>671</v>
      </c>
      <c r="B368" s="376">
        <v>781827</v>
      </c>
      <c r="C368" s="376">
        <v>781827</v>
      </c>
      <c r="D368" s="376">
        <v>8878848</v>
      </c>
      <c r="E368" s="376">
        <v>640169</v>
      </c>
      <c r="F368" s="376">
        <v>793</v>
      </c>
      <c r="G368" s="376">
        <v>109</v>
      </c>
      <c r="H368" s="376" t="s">
        <v>839</v>
      </c>
      <c r="I368" s="376" t="s">
        <v>839</v>
      </c>
      <c r="J368" s="376">
        <v>74175</v>
      </c>
      <c r="K368" s="376" t="s">
        <v>839</v>
      </c>
      <c r="L368" s="376">
        <v>34360</v>
      </c>
      <c r="M368" s="376">
        <v>367527</v>
      </c>
      <c r="N368" s="376">
        <v>79998</v>
      </c>
      <c r="O368" s="376">
        <v>83207</v>
      </c>
      <c r="P368" s="376">
        <v>7794656</v>
      </c>
      <c r="Q368" s="376">
        <v>1213152</v>
      </c>
      <c r="R368" s="376">
        <v>6581504</v>
      </c>
      <c r="S368" s="376" t="s">
        <v>839</v>
      </c>
      <c r="T368" s="376" t="s">
        <v>839</v>
      </c>
      <c r="U368" s="376">
        <v>444023</v>
      </c>
      <c r="V368" s="376">
        <v>444023</v>
      </c>
      <c r="W368" s="381" t="s">
        <v>672</v>
      </c>
    </row>
    <row r="369" spans="1:23" s="376" customFormat="1" ht="9.75" customHeight="1" x14ac:dyDescent="0.15">
      <c r="A369" s="756" t="s">
        <v>840</v>
      </c>
      <c r="B369" s="376">
        <v>1188340</v>
      </c>
      <c r="C369" s="376">
        <v>1188340</v>
      </c>
      <c r="D369" s="376">
        <v>8994285</v>
      </c>
      <c r="E369" s="376">
        <v>796488</v>
      </c>
      <c r="F369" s="376">
        <v>24122</v>
      </c>
      <c r="G369" s="376" t="s">
        <v>839</v>
      </c>
      <c r="H369" s="376" t="s">
        <v>839</v>
      </c>
      <c r="I369" s="376">
        <v>440</v>
      </c>
      <c r="J369" s="376">
        <v>59550</v>
      </c>
      <c r="K369" s="376">
        <v>23242</v>
      </c>
      <c r="L369" s="376">
        <v>68111</v>
      </c>
      <c r="M369" s="376">
        <v>331318</v>
      </c>
      <c r="N369" s="376">
        <v>135930</v>
      </c>
      <c r="O369" s="376">
        <v>153775</v>
      </c>
      <c r="P369" s="376">
        <v>7570931</v>
      </c>
      <c r="Q369" s="376">
        <v>1554954</v>
      </c>
      <c r="R369" s="376">
        <v>6015977</v>
      </c>
      <c r="S369" s="376" t="s">
        <v>839</v>
      </c>
      <c r="T369" s="376" t="s">
        <v>839</v>
      </c>
      <c r="U369" s="376">
        <v>626866</v>
      </c>
      <c r="V369" s="376">
        <v>626866</v>
      </c>
      <c r="W369" s="381" t="s">
        <v>841</v>
      </c>
    </row>
    <row r="370" spans="1:23" s="376" customFormat="1" ht="6.75" customHeight="1" x14ac:dyDescent="0.15">
      <c r="A370" s="787"/>
      <c r="W370" s="381"/>
    </row>
    <row r="371" spans="1:23" s="376" customFormat="1" ht="9.75" customHeight="1" x14ac:dyDescent="0.15">
      <c r="A371" s="756" t="s">
        <v>842</v>
      </c>
      <c r="B371" s="376">
        <v>886778</v>
      </c>
      <c r="C371" s="376">
        <v>886778</v>
      </c>
      <c r="D371" s="376">
        <v>8721592</v>
      </c>
      <c r="E371" s="376">
        <v>774086</v>
      </c>
      <c r="F371" s="376">
        <v>793</v>
      </c>
      <c r="G371" s="376">
        <v>109</v>
      </c>
      <c r="H371" s="376" t="s">
        <v>839</v>
      </c>
      <c r="I371" s="376">
        <v>199</v>
      </c>
      <c r="J371" s="376">
        <v>74998</v>
      </c>
      <c r="K371" s="376">
        <v>23242</v>
      </c>
      <c r="L371" s="376" t="s">
        <v>839</v>
      </c>
      <c r="M371" s="376">
        <v>349618</v>
      </c>
      <c r="N371" s="376">
        <v>123192</v>
      </c>
      <c r="O371" s="376">
        <v>201935</v>
      </c>
      <c r="P371" s="376">
        <v>7455047</v>
      </c>
      <c r="Q371" s="376">
        <v>1203170</v>
      </c>
      <c r="R371" s="376">
        <v>6251877</v>
      </c>
      <c r="S371" s="376" t="s">
        <v>839</v>
      </c>
      <c r="T371" s="376" t="s">
        <v>839</v>
      </c>
      <c r="U371" s="376">
        <v>492459</v>
      </c>
      <c r="V371" s="376">
        <v>492459</v>
      </c>
      <c r="W371" s="381" t="s">
        <v>673</v>
      </c>
    </row>
    <row r="372" spans="1:23" s="376" customFormat="1" ht="9.75" customHeight="1" x14ac:dyDescent="0.15">
      <c r="A372" s="756" t="s">
        <v>843</v>
      </c>
      <c r="B372" s="376">
        <v>1153870</v>
      </c>
      <c r="C372" s="376">
        <v>1153870</v>
      </c>
      <c r="D372" s="376">
        <v>9093721</v>
      </c>
      <c r="E372" s="376">
        <v>599495</v>
      </c>
      <c r="F372" s="376">
        <v>24122</v>
      </c>
      <c r="G372" s="376" t="s">
        <v>839</v>
      </c>
      <c r="H372" s="376" t="s">
        <v>839</v>
      </c>
      <c r="I372" s="376">
        <v>241</v>
      </c>
      <c r="J372" s="376">
        <v>38222</v>
      </c>
      <c r="K372" s="376" t="s">
        <v>839</v>
      </c>
      <c r="L372" s="376">
        <v>68111</v>
      </c>
      <c r="M372" s="376">
        <v>251136</v>
      </c>
      <c r="N372" s="376">
        <v>182616</v>
      </c>
      <c r="O372" s="376">
        <v>35047</v>
      </c>
      <c r="P372" s="376">
        <v>7900530</v>
      </c>
      <c r="Q372" s="376">
        <v>1604421</v>
      </c>
      <c r="R372" s="376">
        <v>6296109</v>
      </c>
      <c r="S372" s="376" t="s">
        <v>839</v>
      </c>
      <c r="T372" s="376" t="s">
        <v>839</v>
      </c>
      <c r="U372" s="376">
        <v>593696</v>
      </c>
      <c r="V372" s="376">
        <v>593696</v>
      </c>
      <c r="W372" s="381" t="s">
        <v>844</v>
      </c>
    </row>
    <row r="373" spans="1:23" s="376" customFormat="1" ht="6.75" customHeight="1" x14ac:dyDescent="0.15">
      <c r="A373" s="787"/>
      <c r="W373" s="381"/>
    </row>
    <row r="374" spans="1:23" s="376" customFormat="1" ht="9.75" customHeight="1" x14ac:dyDescent="0.15">
      <c r="A374" s="756" t="s">
        <v>845</v>
      </c>
      <c r="B374" s="376">
        <v>250149</v>
      </c>
      <c r="C374" s="376">
        <v>250149</v>
      </c>
      <c r="D374" s="376">
        <v>2727910</v>
      </c>
      <c r="E374" s="376">
        <v>399867</v>
      </c>
      <c r="F374" s="376" t="s">
        <v>839</v>
      </c>
      <c r="G374" s="376" t="s">
        <v>839</v>
      </c>
      <c r="H374" s="376" t="s">
        <v>839</v>
      </c>
      <c r="I374" s="376">
        <v>199</v>
      </c>
      <c r="J374" s="376">
        <v>21328</v>
      </c>
      <c r="K374" s="376">
        <v>23242</v>
      </c>
      <c r="L374" s="376" t="s">
        <v>839</v>
      </c>
      <c r="M374" s="376">
        <v>193176</v>
      </c>
      <c r="N374" s="376">
        <v>43194</v>
      </c>
      <c r="O374" s="376">
        <v>118728</v>
      </c>
      <c r="P374" s="376">
        <v>2191214</v>
      </c>
      <c r="Q374" s="376">
        <v>324002</v>
      </c>
      <c r="R374" s="376">
        <v>1867212</v>
      </c>
      <c r="S374" s="376" t="s">
        <v>839</v>
      </c>
      <c r="T374" s="376" t="s">
        <v>839</v>
      </c>
      <c r="U374" s="376">
        <v>136829</v>
      </c>
      <c r="V374" s="376">
        <v>136829</v>
      </c>
      <c r="W374" s="381" t="s">
        <v>677</v>
      </c>
    </row>
    <row r="375" spans="1:23" s="376" customFormat="1" ht="9.75" customHeight="1" x14ac:dyDescent="0.15">
      <c r="A375" s="756" t="s">
        <v>674</v>
      </c>
      <c r="B375" s="376">
        <v>324211</v>
      </c>
      <c r="C375" s="376">
        <v>324211</v>
      </c>
      <c r="D375" s="376">
        <v>2096350</v>
      </c>
      <c r="E375" s="376">
        <v>152862</v>
      </c>
      <c r="F375" s="376" t="s">
        <v>839</v>
      </c>
      <c r="G375" s="376" t="s">
        <v>839</v>
      </c>
      <c r="H375" s="376" t="s">
        <v>839</v>
      </c>
      <c r="I375" s="376">
        <v>241</v>
      </c>
      <c r="J375" s="376" t="s">
        <v>839</v>
      </c>
      <c r="K375" s="376" t="s">
        <v>839</v>
      </c>
      <c r="L375" s="376">
        <v>12076</v>
      </c>
      <c r="M375" s="376">
        <v>105436</v>
      </c>
      <c r="N375" s="376">
        <v>35109</v>
      </c>
      <c r="O375" s="376" t="s">
        <v>839</v>
      </c>
      <c r="P375" s="376">
        <v>1777830</v>
      </c>
      <c r="Q375" s="376">
        <v>412175</v>
      </c>
      <c r="R375" s="376">
        <v>1365655</v>
      </c>
      <c r="S375" s="376" t="s">
        <v>839</v>
      </c>
      <c r="T375" s="376" t="s">
        <v>839</v>
      </c>
      <c r="U375" s="376">
        <v>165658</v>
      </c>
      <c r="V375" s="376">
        <v>165658</v>
      </c>
      <c r="W375" s="381" t="s">
        <v>89</v>
      </c>
    </row>
    <row r="376" spans="1:23" s="376" customFormat="1" ht="9.75" customHeight="1" x14ac:dyDescent="0.15">
      <c r="A376" s="756" t="s">
        <v>675</v>
      </c>
      <c r="B376" s="376">
        <v>285664</v>
      </c>
      <c r="C376" s="376">
        <v>285664</v>
      </c>
      <c r="D376" s="376">
        <v>2032333</v>
      </c>
      <c r="E376" s="376">
        <v>121612</v>
      </c>
      <c r="F376" s="376">
        <v>24122</v>
      </c>
      <c r="G376" s="376" t="s">
        <v>839</v>
      </c>
      <c r="H376" s="376" t="s">
        <v>839</v>
      </c>
      <c r="I376" s="376" t="s">
        <v>839</v>
      </c>
      <c r="J376" s="376">
        <v>19900</v>
      </c>
      <c r="K376" s="376" t="s">
        <v>839</v>
      </c>
      <c r="L376" s="376">
        <v>44884</v>
      </c>
      <c r="M376" s="376">
        <v>32706</v>
      </c>
      <c r="N376" s="376" t="s">
        <v>839</v>
      </c>
      <c r="O376" s="376" t="s">
        <v>839</v>
      </c>
      <c r="P376" s="376">
        <v>1789046</v>
      </c>
      <c r="Q376" s="376">
        <v>413610</v>
      </c>
      <c r="R376" s="376">
        <v>1375436</v>
      </c>
      <c r="S376" s="376" t="s">
        <v>839</v>
      </c>
      <c r="T376" s="376" t="s">
        <v>839</v>
      </c>
      <c r="U376" s="376">
        <v>121675</v>
      </c>
      <c r="V376" s="376">
        <v>121675</v>
      </c>
      <c r="W376" s="381" t="s">
        <v>90</v>
      </c>
    </row>
    <row r="377" spans="1:23" s="376" customFormat="1" ht="9.75" customHeight="1" x14ac:dyDescent="0.15">
      <c r="A377" s="756" t="s">
        <v>676</v>
      </c>
      <c r="B377" s="376">
        <v>328316</v>
      </c>
      <c r="C377" s="376">
        <v>328316</v>
      </c>
      <c r="D377" s="376">
        <v>2137692</v>
      </c>
      <c r="E377" s="376">
        <v>122147</v>
      </c>
      <c r="F377" s="376" t="s">
        <v>839</v>
      </c>
      <c r="G377" s="376" t="s">
        <v>839</v>
      </c>
      <c r="H377" s="376" t="s">
        <v>839</v>
      </c>
      <c r="I377" s="376" t="s">
        <v>839</v>
      </c>
      <c r="J377" s="376">
        <v>18322</v>
      </c>
      <c r="K377" s="376" t="s">
        <v>839</v>
      </c>
      <c r="L377" s="376">
        <v>11151</v>
      </c>
      <c r="M377" s="376" t="s">
        <v>839</v>
      </c>
      <c r="N377" s="376">
        <v>57627</v>
      </c>
      <c r="O377" s="376">
        <v>35047</v>
      </c>
      <c r="P377" s="376">
        <v>1812841</v>
      </c>
      <c r="Q377" s="376">
        <v>405167</v>
      </c>
      <c r="R377" s="376">
        <v>1407674</v>
      </c>
      <c r="S377" s="376" t="s">
        <v>839</v>
      </c>
      <c r="T377" s="376" t="s">
        <v>839</v>
      </c>
      <c r="U377" s="376">
        <v>202704</v>
      </c>
      <c r="V377" s="376">
        <v>202704</v>
      </c>
      <c r="W377" s="381" t="s">
        <v>91</v>
      </c>
    </row>
    <row r="378" spans="1:23" s="376" customFormat="1" ht="9.75" customHeight="1" x14ac:dyDescent="0.15">
      <c r="A378" s="756" t="s">
        <v>846</v>
      </c>
      <c r="B378" s="376">
        <v>215679</v>
      </c>
      <c r="C378" s="376">
        <v>215679</v>
      </c>
      <c r="D378" s="376">
        <v>2827346</v>
      </c>
      <c r="E378" s="376">
        <v>202874</v>
      </c>
      <c r="F378" s="376" t="s">
        <v>839</v>
      </c>
      <c r="G378" s="376" t="s">
        <v>839</v>
      </c>
      <c r="H378" s="376" t="s">
        <v>839</v>
      </c>
      <c r="I378" s="376" t="s">
        <v>839</v>
      </c>
      <c r="J378" s="376" t="s">
        <v>839</v>
      </c>
      <c r="K378" s="376" t="s">
        <v>839</v>
      </c>
      <c r="L378" s="376" t="s">
        <v>839</v>
      </c>
      <c r="M378" s="376">
        <v>112994</v>
      </c>
      <c r="N378" s="376">
        <v>89880</v>
      </c>
      <c r="O378" s="376" t="s">
        <v>839</v>
      </c>
      <c r="P378" s="376">
        <v>2520813</v>
      </c>
      <c r="Q378" s="376">
        <v>373469</v>
      </c>
      <c r="R378" s="376">
        <v>2147344</v>
      </c>
      <c r="S378" s="376" t="s">
        <v>839</v>
      </c>
      <c r="T378" s="376" t="s">
        <v>839</v>
      </c>
      <c r="U378" s="376">
        <v>103659</v>
      </c>
      <c r="V378" s="376">
        <v>103659</v>
      </c>
      <c r="W378" s="381" t="s">
        <v>847</v>
      </c>
    </row>
    <row r="379" spans="1:23" s="376" customFormat="1" ht="6.75" customHeight="1" x14ac:dyDescent="0.15">
      <c r="A379" s="787"/>
      <c r="W379" s="381"/>
    </row>
    <row r="380" spans="1:23" s="376" customFormat="1" ht="9.75" customHeight="1" x14ac:dyDescent="0.15">
      <c r="A380" s="756" t="s">
        <v>848</v>
      </c>
      <c r="B380" s="376">
        <v>66129</v>
      </c>
      <c r="C380" s="376">
        <v>66129</v>
      </c>
      <c r="D380" s="376">
        <v>945310</v>
      </c>
      <c r="E380" s="376">
        <v>139362</v>
      </c>
      <c r="F380" s="376" t="s">
        <v>839</v>
      </c>
      <c r="G380" s="376" t="s">
        <v>839</v>
      </c>
      <c r="H380" s="376" t="s">
        <v>839</v>
      </c>
      <c r="I380" s="376" t="s">
        <v>839</v>
      </c>
      <c r="J380" s="376" t="s">
        <v>839</v>
      </c>
      <c r="K380" s="376">
        <v>23242</v>
      </c>
      <c r="L380" s="376" t="s">
        <v>839</v>
      </c>
      <c r="M380" s="376">
        <v>34452</v>
      </c>
      <c r="N380" s="376">
        <v>34193</v>
      </c>
      <c r="O380" s="376">
        <v>47475</v>
      </c>
      <c r="P380" s="376">
        <v>772270</v>
      </c>
      <c r="Q380" s="376">
        <v>121976</v>
      </c>
      <c r="R380" s="376">
        <v>650294</v>
      </c>
      <c r="S380" s="376" t="s">
        <v>839</v>
      </c>
      <c r="T380" s="376" t="s">
        <v>839</v>
      </c>
      <c r="U380" s="376">
        <v>33678</v>
      </c>
      <c r="V380" s="376">
        <v>33678</v>
      </c>
      <c r="W380" s="381" t="s">
        <v>689</v>
      </c>
    </row>
    <row r="381" spans="1:23" s="376" customFormat="1" ht="9.75" customHeight="1" x14ac:dyDescent="0.15">
      <c r="A381" s="756" t="s">
        <v>678</v>
      </c>
      <c r="B381" s="376">
        <v>98842</v>
      </c>
      <c r="C381" s="376">
        <v>98842</v>
      </c>
      <c r="D381" s="376">
        <v>769727</v>
      </c>
      <c r="E381" s="376">
        <v>89898</v>
      </c>
      <c r="F381" s="376" t="s">
        <v>839</v>
      </c>
      <c r="G381" s="376" t="s">
        <v>839</v>
      </c>
      <c r="H381" s="376" t="s">
        <v>839</v>
      </c>
      <c r="I381" s="376" t="s">
        <v>839</v>
      </c>
      <c r="J381" s="376">
        <v>21328</v>
      </c>
      <c r="K381" s="376" t="s">
        <v>839</v>
      </c>
      <c r="L381" s="376" t="s">
        <v>839</v>
      </c>
      <c r="M381" s="376">
        <v>44307</v>
      </c>
      <c r="N381" s="376" t="s">
        <v>839</v>
      </c>
      <c r="O381" s="376">
        <v>24263</v>
      </c>
      <c r="P381" s="376">
        <v>638450</v>
      </c>
      <c r="Q381" s="376">
        <v>90216</v>
      </c>
      <c r="R381" s="376">
        <v>548234</v>
      </c>
      <c r="S381" s="376" t="s">
        <v>839</v>
      </c>
      <c r="T381" s="376" t="s">
        <v>839</v>
      </c>
      <c r="U381" s="376">
        <v>41379</v>
      </c>
      <c r="V381" s="376">
        <v>41379</v>
      </c>
      <c r="W381" s="381" t="s">
        <v>77</v>
      </c>
    </row>
    <row r="382" spans="1:23" s="376" customFormat="1" ht="9.75" customHeight="1" x14ac:dyDescent="0.15">
      <c r="A382" s="756" t="s">
        <v>679</v>
      </c>
      <c r="B382" s="376">
        <v>85178</v>
      </c>
      <c r="C382" s="376">
        <v>85178</v>
      </c>
      <c r="D382" s="376">
        <v>1012873</v>
      </c>
      <c r="E382" s="376">
        <v>170607</v>
      </c>
      <c r="F382" s="376" t="s">
        <v>839</v>
      </c>
      <c r="G382" s="376" t="s">
        <v>839</v>
      </c>
      <c r="H382" s="376" t="s">
        <v>839</v>
      </c>
      <c r="I382" s="376">
        <v>199</v>
      </c>
      <c r="J382" s="376" t="s">
        <v>839</v>
      </c>
      <c r="K382" s="376" t="s">
        <v>839</v>
      </c>
      <c r="L382" s="376" t="s">
        <v>839</v>
      </c>
      <c r="M382" s="376">
        <v>114417</v>
      </c>
      <c r="N382" s="376">
        <v>9001</v>
      </c>
      <c r="O382" s="376">
        <v>46990</v>
      </c>
      <c r="P382" s="376">
        <v>780494</v>
      </c>
      <c r="Q382" s="376">
        <v>111810</v>
      </c>
      <c r="R382" s="376">
        <v>668684</v>
      </c>
      <c r="S382" s="376" t="s">
        <v>839</v>
      </c>
      <c r="T382" s="376" t="s">
        <v>839</v>
      </c>
      <c r="U382" s="376">
        <v>61772</v>
      </c>
      <c r="V382" s="376">
        <v>61772</v>
      </c>
      <c r="W382" s="381" t="s">
        <v>78</v>
      </c>
    </row>
    <row r="383" spans="1:23" s="376" customFormat="1" ht="9.75" customHeight="1" x14ac:dyDescent="0.15">
      <c r="A383" s="756" t="s">
        <v>680</v>
      </c>
      <c r="B383" s="376">
        <v>77030</v>
      </c>
      <c r="C383" s="376">
        <v>77030</v>
      </c>
      <c r="D383" s="376">
        <v>753454</v>
      </c>
      <c r="E383" s="376">
        <v>73554</v>
      </c>
      <c r="F383" s="376" t="s">
        <v>839</v>
      </c>
      <c r="G383" s="376" t="s">
        <v>839</v>
      </c>
      <c r="H383" s="376" t="s">
        <v>839</v>
      </c>
      <c r="I383" s="376">
        <v>241</v>
      </c>
      <c r="J383" s="376" t="s">
        <v>839</v>
      </c>
      <c r="K383" s="376" t="s">
        <v>839</v>
      </c>
      <c r="L383" s="376" t="s">
        <v>839</v>
      </c>
      <c r="M383" s="376">
        <v>38204</v>
      </c>
      <c r="N383" s="376">
        <v>35109</v>
      </c>
      <c r="O383" s="376" t="s">
        <v>839</v>
      </c>
      <c r="P383" s="376">
        <v>648122</v>
      </c>
      <c r="Q383" s="376">
        <v>154012</v>
      </c>
      <c r="R383" s="376">
        <v>494110</v>
      </c>
      <c r="S383" s="376" t="s">
        <v>839</v>
      </c>
      <c r="T383" s="376" t="s">
        <v>839</v>
      </c>
      <c r="U383" s="376">
        <v>31778</v>
      </c>
      <c r="V383" s="376">
        <v>31778</v>
      </c>
      <c r="W383" s="381" t="s">
        <v>79</v>
      </c>
    </row>
    <row r="384" spans="1:23" s="376" customFormat="1" ht="9.75" customHeight="1" x14ac:dyDescent="0.15">
      <c r="A384" s="756" t="s">
        <v>681</v>
      </c>
      <c r="B384" s="376">
        <v>125193</v>
      </c>
      <c r="C384" s="376">
        <v>125193</v>
      </c>
      <c r="D384" s="376">
        <v>709504</v>
      </c>
      <c r="E384" s="376">
        <v>52802</v>
      </c>
      <c r="F384" s="376" t="s">
        <v>839</v>
      </c>
      <c r="G384" s="376" t="s">
        <v>839</v>
      </c>
      <c r="H384" s="376" t="s">
        <v>839</v>
      </c>
      <c r="I384" s="376" t="s">
        <v>839</v>
      </c>
      <c r="J384" s="376" t="s">
        <v>839</v>
      </c>
      <c r="K384" s="376" t="s">
        <v>839</v>
      </c>
      <c r="L384" s="376" t="s">
        <v>839</v>
      </c>
      <c r="M384" s="376">
        <v>52802</v>
      </c>
      <c r="N384" s="376" t="s">
        <v>839</v>
      </c>
      <c r="O384" s="376" t="s">
        <v>839</v>
      </c>
      <c r="P384" s="376">
        <v>598256</v>
      </c>
      <c r="Q384" s="376">
        <v>113010</v>
      </c>
      <c r="R384" s="376">
        <v>485246</v>
      </c>
      <c r="S384" s="376" t="s">
        <v>839</v>
      </c>
      <c r="T384" s="376" t="s">
        <v>839</v>
      </c>
      <c r="U384" s="376">
        <v>58446</v>
      </c>
      <c r="V384" s="376">
        <v>58446</v>
      </c>
      <c r="W384" s="381" t="s">
        <v>92</v>
      </c>
    </row>
    <row r="385" spans="1:23" s="376" customFormat="1" ht="9.75" customHeight="1" x14ac:dyDescent="0.15">
      <c r="A385" s="756" t="s">
        <v>682</v>
      </c>
      <c r="B385" s="376">
        <v>121988</v>
      </c>
      <c r="C385" s="376">
        <v>121988</v>
      </c>
      <c r="D385" s="376">
        <v>633392</v>
      </c>
      <c r="E385" s="376">
        <v>26506</v>
      </c>
      <c r="F385" s="376" t="s">
        <v>839</v>
      </c>
      <c r="G385" s="376" t="s">
        <v>839</v>
      </c>
      <c r="H385" s="376" t="s">
        <v>839</v>
      </c>
      <c r="I385" s="376" t="s">
        <v>839</v>
      </c>
      <c r="J385" s="376" t="s">
        <v>839</v>
      </c>
      <c r="K385" s="376" t="s">
        <v>839</v>
      </c>
      <c r="L385" s="376">
        <v>12076</v>
      </c>
      <c r="M385" s="376">
        <v>14430</v>
      </c>
      <c r="N385" s="376" t="s">
        <v>839</v>
      </c>
      <c r="O385" s="376" t="s">
        <v>839</v>
      </c>
      <c r="P385" s="376">
        <v>531452</v>
      </c>
      <c r="Q385" s="376">
        <v>145153</v>
      </c>
      <c r="R385" s="376">
        <v>386299</v>
      </c>
      <c r="S385" s="376" t="s">
        <v>839</v>
      </c>
      <c r="T385" s="376" t="s">
        <v>839</v>
      </c>
      <c r="U385" s="376">
        <v>75434</v>
      </c>
      <c r="V385" s="376">
        <v>75434</v>
      </c>
      <c r="W385" s="381" t="s">
        <v>93</v>
      </c>
    </row>
    <row r="386" spans="1:23" s="376" customFormat="1" ht="9.75" customHeight="1" x14ac:dyDescent="0.15">
      <c r="A386" s="756" t="s">
        <v>683</v>
      </c>
      <c r="B386" s="376">
        <v>59180</v>
      </c>
      <c r="C386" s="376">
        <v>59180</v>
      </c>
      <c r="D386" s="376">
        <v>695255</v>
      </c>
      <c r="E386" s="376">
        <v>33688</v>
      </c>
      <c r="F386" s="376" t="s">
        <v>839</v>
      </c>
      <c r="G386" s="376" t="s">
        <v>839</v>
      </c>
      <c r="H386" s="376" t="s">
        <v>839</v>
      </c>
      <c r="I386" s="376" t="s">
        <v>839</v>
      </c>
      <c r="J386" s="376" t="s">
        <v>839</v>
      </c>
      <c r="K386" s="376" t="s">
        <v>839</v>
      </c>
      <c r="L386" s="376">
        <v>33688</v>
      </c>
      <c r="M386" s="376" t="s">
        <v>839</v>
      </c>
      <c r="N386" s="376" t="s">
        <v>839</v>
      </c>
      <c r="O386" s="376" t="s">
        <v>839</v>
      </c>
      <c r="P386" s="376">
        <v>627224</v>
      </c>
      <c r="Q386" s="376">
        <v>114713</v>
      </c>
      <c r="R386" s="376">
        <v>512511</v>
      </c>
      <c r="S386" s="376" t="s">
        <v>839</v>
      </c>
      <c r="T386" s="376" t="s">
        <v>839</v>
      </c>
      <c r="U386" s="376">
        <v>34343</v>
      </c>
      <c r="V386" s="376">
        <v>34343</v>
      </c>
      <c r="W386" s="381" t="s">
        <v>94</v>
      </c>
    </row>
    <row r="387" spans="1:23" s="376" customFormat="1" ht="9.75" customHeight="1" x14ac:dyDescent="0.15">
      <c r="A387" s="756" t="s">
        <v>684</v>
      </c>
      <c r="B387" s="376">
        <v>63333</v>
      </c>
      <c r="C387" s="376">
        <v>63333</v>
      </c>
      <c r="D387" s="376">
        <v>667818</v>
      </c>
      <c r="E387" s="376">
        <v>76728</v>
      </c>
      <c r="F387" s="376">
        <v>24122</v>
      </c>
      <c r="G387" s="376" t="s">
        <v>839</v>
      </c>
      <c r="H387" s="376" t="s">
        <v>839</v>
      </c>
      <c r="I387" s="376" t="s">
        <v>839</v>
      </c>
      <c r="J387" s="376">
        <v>19900</v>
      </c>
      <c r="K387" s="376" t="s">
        <v>839</v>
      </c>
      <c r="L387" s="376" t="s">
        <v>839</v>
      </c>
      <c r="M387" s="376">
        <v>32706</v>
      </c>
      <c r="N387" s="376" t="s">
        <v>839</v>
      </c>
      <c r="O387" s="376" t="s">
        <v>839</v>
      </c>
      <c r="P387" s="376">
        <v>579662</v>
      </c>
      <c r="Q387" s="376">
        <v>159338</v>
      </c>
      <c r="R387" s="376">
        <v>420324</v>
      </c>
      <c r="S387" s="376" t="s">
        <v>839</v>
      </c>
      <c r="T387" s="376" t="s">
        <v>839</v>
      </c>
      <c r="U387" s="376">
        <v>11428</v>
      </c>
      <c r="V387" s="376">
        <v>11428</v>
      </c>
      <c r="W387" s="381" t="s">
        <v>95</v>
      </c>
    </row>
    <row r="388" spans="1:23" s="376" customFormat="1" ht="9.75" customHeight="1" x14ac:dyDescent="0.15">
      <c r="A388" s="756" t="s">
        <v>685</v>
      </c>
      <c r="B388" s="376">
        <v>163151</v>
      </c>
      <c r="C388" s="376">
        <v>163151</v>
      </c>
      <c r="D388" s="376">
        <v>669260</v>
      </c>
      <c r="E388" s="376">
        <v>11196</v>
      </c>
      <c r="F388" s="376" t="s">
        <v>839</v>
      </c>
      <c r="G388" s="376" t="s">
        <v>839</v>
      </c>
      <c r="H388" s="376" t="s">
        <v>839</v>
      </c>
      <c r="I388" s="376" t="s">
        <v>839</v>
      </c>
      <c r="J388" s="376" t="s">
        <v>839</v>
      </c>
      <c r="K388" s="376" t="s">
        <v>839</v>
      </c>
      <c r="L388" s="376">
        <v>11196</v>
      </c>
      <c r="M388" s="376" t="s">
        <v>839</v>
      </c>
      <c r="N388" s="376" t="s">
        <v>839</v>
      </c>
      <c r="O388" s="376" t="s">
        <v>839</v>
      </c>
      <c r="P388" s="376">
        <v>582160</v>
      </c>
      <c r="Q388" s="376">
        <v>139559</v>
      </c>
      <c r="R388" s="376">
        <v>442601</v>
      </c>
      <c r="S388" s="376" t="s">
        <v>839</v>
      </c>
      <c r="T388" s="376" t="s">
        <v>839</v>
      </c>
      <c r="U388" s="376">
        <v>75904</v>
      </c>
      <c r="V388" s="376">
        <v>75904</v>
      </c>
      <c r="W388" s="381" t="s">
        <v>96</v>
      </c>
    </row>
    <row r="389" spans="1:23" s="376" customFormat="1" ht="9.75" customHeight="1" x14ac:dyDescent="0.15">
      <c r="A389" s="756" t="s">
        <v>686</v>
      </c>
      <c r="B389" s="376">
        <v>98727</v>
      </c>
      <c r="C389" s="376">
        <v>98727</v>
      </c>
      <c r="D389" s="376">
        <v>652980</v>
      </c>
      <c r="E389" s="376">
        <v>34041</v>
      </c>
      <c r="F389" s="376" t="s">
        <v>839</v>
      </c>
      <c r="G389" s="376" t="s">
        <v>839</v>
      </c>
      <c r="H389" s="376" t="s">
        <v>839</v>
      </c>
      <c r="I389" s="376" t="s">
        <v>839</v>
      </c>
      <c r="J389" s="376" t="s">
        <v>839</v>
      </c>
      <c r="K389" s="376" t="s">
        <v>839</v>
      </c>
      <c r="L389" s="376" t="s">
        <v>839</v>
      </c>
      <c r="M389" s="376" t="s">
        <v>839</v>
      </c>
      <c r="N389" s="376">
        <v>34041</v>
      </c>
      <c r="O389" s="376" t="s">
        <v>839</v>
      </c>
      <c r="P389" s="376">
        <v>562923</v>
      </c>
      <c r="Q389" s="376">
        <v>124367</v>
      </c>
      <c r="R389" s="376">
        <v>438556</v>
      </c>
      <c r="S389" s="376" t="s">
        <v>839</v>
      </c>
      <c r="T389" s="376" t="s">
        <v>839</v>
      </c>
      <c r="U389" s="376">
        <v>56016</v>
      </c>
      <c r="V389" s="376">
        <v>56016</v>
      </c>
      <c r="W389" s="381" t="s">
        <v>80</v>
      </c>
    </row>
    <row r="390" spans="1:23" s="376" customFormat="1" ht="9.75" customHeight="1" x14ac:dyDescent="0.15">
      <c r="A390" s="756" t="s">
        <v>687</v>
      </c>
      <c r="B390" s="376">
        <v>92641</v>
      </c>
      <c r="C390" s="376">
        <v>92641</v>
      </c>
      <c r="D390" s="376">
        <v>714829</v>
      </c>
      <c r="E390" s="376">
        <v>27643</v>
      </c>
      <c r="F390" s="376" t="s">
        <v>839</v>
      </c>
      <c r="G390" s="376" t="s">
        <v>839</v>
      </c>
      <c r="H390" s="376" t="s">
        <v>839</v>
      </c>
      <c r="I390" s="376" t="s">
        <v>839</v>
      </c>
      <c r="J390" s="376" t="s">
        <v>839</v>
      </c>
      <c r="K390" s="376" t="s">
        <v>839</v>
      </c>
      <c r="L390" s="376">
        <v>4057</v>
      </c>
      <c r="M390" s="376" t="s">
        <v>839</v>
      </c>
      <c r="N390" s="376">
        <v>23586</v>
      </c>
      <c r="O390" s="376" t="s">
        <v>839</v>
      </c>
      <c r="P390" s="376">
        <v>629682</v>
      </c>
      <c r="Q390" s="376">
        <v>164479</v>
      </c>
      <c r="R390" s="376">
        <v>465203</v>
      </c>
      <c r="S390" s="376" t="s">
        <v>839</v>
      </c>
      <c r="T390" s="376" t="s">
        <v>839</v>
      </c>
      <c r="U390" s="376">
        <v>57504</v>
      </c>
      <c r="V390" s="376">
        <v>57504</v>
      </c>
      <c r="W390" s="381" t="s">
        <v>81</v>
      </c>
    </row>
    <row r="391" spans="1:23" s="376" customFormat="1" ht="9.75" customHeight="1" x14ac:dyDescent="0.15">
      <c r="A391" s="756" t="s">
        <v>688</v>
      </c>
      <c r="B391" s="376">
        <v>136948</v>
      </c>
      <c r="C391" s="376">
        <v>136948</v>
      </c>
      <c r="D391" s="376">
        <v>769883</v>
      </c>
      <c r="E391" s="376">
        <v>60463</v>
      </c>
      <c r="F391" s="376" t="s">
        <v>839</v>
      </c>
      <c r="G391" s="376" t="s">
        <v>839</v>
      </c>
      <c r="H391" s="376" t="s">
        <v>839</v>
      </c>
      <c r="I391" s="376" t="s">
        <v>839</v>
      </c>
      <c r="J391" s="376">
        <v>18322</v>
      </c>
      <c r="K391" s="376" t="s">
        <v>839</v>
      </c>
      <c r="L391" s="376">
        <v>7094</v>
      </c>
      <c r="M391" s="376" t="s">
        <v>839</v>
      </c>
      <c r="N391" s="376" t="s">
        <v>839</v>
      </c>
      <c r="O391" s="376">
        <v>35047</v>
      </c>
      <c r="P391" s="376">
        <v>620236</v>
      </c>
      <c r="Q391" s="376">
        <v>116321</v>
      </c>
      <c r="R391" s="376">
        <v>503915</v>
      </c>
      <c r="S391" s="376" t="s">
        <v>839</v>
      </c>
      <c r="T391" s="376" t="s">
        <v>839</v>
      </c>
      <c r="U391" s="376">
        <v>89184</v>
      </c>
      <c r="V391" s="376">
        <v>89184</v>
      </c>
      <c r="W391" s="381" t="s">
        <v>82</v>
      </c>
    </row>
    <row r="392" spans="1:23" s="376" customFormat="1" ht="9.75" customHeight="1" x14ac:dyDescent="0.15">
      <c r="A392" s="756" t="s">
        <v>849</v>
      </c>
      <c r="B392" s="376">
        <v>91213</v>
      </c>
      <c r="C392" s="376">
        <v>91213</v>
      </c>
      <c r="D392" s="376">
        <v>834294</v>
      </c>
      <c r="E392" s="376">
        <v>30269</v>
      </c>
      <c r="F392" s="376" t="s">
        <v>839</v>
      </c>
      <c r="G392" s="376" t="s">
        <v>839</v>
      </c>
      <c r="H392" s="376" t="s">
        <v>839</v>
      </c>
      <c r="I392" s="376" t="s">
        <v>839</v>
      </c>
      <c r="J392" s="376" t="s">
        <v>839</v>
      </c>
      <c r="K392" s="376" t="s">
        <v>839</v>
      </c>
      <c r="L392" s="376" t="s">
        <v>839</v>
      </c>
      <c r="M392" s="376">
        <v>30269</v>
      </c>
      <c r="N392" s="376" t="s">
        <v>839</v>
      </c>
      <c r="O392" s="376" t="s">
        <v>839</v>
      </c>
      <c r="P392" s="376">
        <v>756534</v>
      </c>
      <c r="Q392" s="376">
        <v>78591</v>
      </c>
      <c r="R392" s="376">
        <v>677943</v>
      </c>
      <c r="S392" s="376" t="s">
        <v>839</v>
      </c>
      <c r="T392" s="376" t="s">
        <v>839</v>
      </c>
      <c r="U392" s="376">
        <v>47491</v>
      </c>
      <c r="V392" s="376">
        <v>47491</v>
      </c>
      <c r="W392" s="381" t="s">
        <v>850</v>
      </c>
    </row>
    <row r="393" spans="1:23" s="376" customFormat="1" ht="9.75" customHeight="1" x14ac:dyDescent="0.15">
      <c r="A393" s="756" t="s">
        <v>690</v>
      </c>
      <c r="B393" s="376">
        <v>45359</v>
      </c>
      <c r="C393" s="376">
        <v>45359</v>
      </c>
      <c r="D393" s="376">
        <v>831500</v>
      </c>
      <c r="E393" s="376">
        <v>125800</v>
      </c>
      <c r="F393" s="376" t="s">
        <v>839</v>
      </c>
      <c r="G393" s="376" t="s">
        <v>839</v>
      </c>
      <c r="H393" s="376" t="s">
        <v>839</v>
      </c>
      <c r="I393" s="376" t="s">
        <v>839</v>
      </c>
      <c r="J393" s="376" t="s">
        <v>839</v>
      </c>
      <c r="K393" s="376" t="s">
        <v>839</v>
      </c>
      <c r="L393" s="376" t="s">
        <v>839</v>
      </c>
      <c r="M393" s="376">
        <v>35920</v>
      </c>
      <c r="N393" s="376">
        <v>89880</v>
      </c>
      <c r="O393" s="376" t="s">
        <v>839</v>
      </c>
      <c r="P393" s="376">
        <v>682636</v>
      </c>
      <c r="Q393" s="376">
        <v>136860</v>
      </c>
      <c r="R393" s="376">
        <v>545776</v>
      </c>
      <c r="S393" s="376" t="s">
        <v>839</v>
      </c>
      <c r="T393" s="376" t="s">
        <v>839</v>
      </c>
      <c r="U393" s="376">
        <v>23064</v>
      </c>
      <c r="V393" s="376">
        <v>23064</v>
      </c>
      <c r="W393" s="381" t="s">
        <v>77</v>
      </c>
    </row>
    <row r="394" spans="1:23" s="376" customFormat="1" ht="9.75" customHeight="1" x14ac:dyDescent="0.15">
      <c r="A394" s="757" t="s">
        <v>691</v>
      </c>
      <c r="B394" s="380">
        <v>79107</v>
      </c>
      <c r="C394" s="379">
        <v>79107</v>
      </c>
      <c r="D394" s="379">
        <v>1161552</v>
      </c>
      <c r="E394" s="379">
        <v>46805</v>
      </c>
      <c r="F394" s="379" t="s">
        <v>839</v>
      </c>
      <c r="G394" s="379" t="s">
        <v>839</v>
      </c>
      <c r="H394" s="379" t="s">
        <v>839</v>
      </c>
      <c r="I394" s="379" t="s">
        <v>839</v>
      </c>
      <c r="J394" s="379" t="s">
        <v>839</v>
      </c>
      <c r="K394" s="379" t="s">
        <v>839</v>
      </c>
      <c r="L394" s="379" t="s">
        <v>839</v>
      </c>
      <c r="M394" s="379">
        <v>46805</v>
      </c>
      <c r="N394" s="379" t="s">
        <v>839</v>
      </c>
      <c r="O394" s="379" t="s">
        <v>839</v>
      </c>
      <c r="P394" s="379">
        <v>1081643</v>
      </c>
      <c r="Q394" s="379">
        <v>158018</v>
      </c>
      <c r="R394" s="379">
        <v>923625</v>
      </c>
      <c r="S394" s="379" t="s">
        <v>839</v>
      </c>
      <c r="T394" s="379" t="s">
        <v>839</v>
      </c>
      <c r="U394" s="379">
        <v>33104</v>
      </c>
      <c r="V394" s="379">
        <v>33104</v>
      </c>
      <c r="W394" s="377" t="s">
        <v>78</v>
      </c>
    </row>
    <row r="395" spans="1:23" ht="12" customHeight="1" x14ac:dyDescent="0.15"/>
    <row r="396" spans="1:23" ht="12" customHeight="1" x14ac:dyDescent="0.15"/>
    <row r="397" spans="1:23" ht="12" customHeight="1" x14ac:dyDescent="0.15">
      <c r="K397" s="391" t="s">
        <v>97</v>
      </c>
    </row>
    <row r="398" spans="1:23" s="387" customFormat="1" ht="21" customHeight="1" x14ac:dyDescent="0.15">
      <c r="A398" s="1023" t="s">
        <v>185</v>
      </c>
      <c r="B398" s="733" t="s">
        <v>282</v>
      </c>
      <c r="C398" s="389"/>
      <c r="D398" s="389"/>
      <c r="E398" s="389"/>
      <c r="F398" s="389"/>
      <c r="G398" s="389"/>
      <c r="H398" s="389"/>
      <c r="I398" s="389"/>
      <c r="J398" s="389"/>
      <c r="K398" s="389"/>
      <c r="L398" s="389"/>
      <c r="M398" s="389"/>
      <c r="N398" s="732"/>
      <c r="O398" s="1026" t="s">
        <v>83</v>
      </c>
    </row>
    <row r="399" spans="1:23" s="387" customFormat="1" ht="21" customHeight="1" x14ac:dyDescent="0.15">
      <c r="A399" s="1024"/>
      <c r="B399" s="1029" t="s">
        <v>281</v>
      </c>
      <c r="C399" s="733" t="s">
        <v>279</v>
      </c>
      <c r="D399" s="389"/>
      <c r="E399" s="389"/>
      <c r="F399" s="389"/>
      <c r="G399" s="389"/>
      <c r="H399" s="389"/>
      <c r="I399" s="389"/>
      <c r="J399" s="732"/>
      <c r="K399" s="733" t="s">
        <v>272</v>
      </c>
      <c r="L399" s="732"/>
      <c r="M399" s="733" t="s">
        <v>255</v>
      </c>
      <c r="N399" s="732"/>
      <c r="O399" s="1027"/>
    </row>
    <row r="400" spans="1:23" s="387" customFormat="1" ht="52.5" customHeight="1" x14ac:dyDescent="0.15">
      <c r="A400" s="1025"/>
      <c r="B400" s="1030"/>
      <c r="C400" s="735" t="s">
        <v>975</v>
      </c>
      <c r="D400" s="388" t="s">
        <v>270</v>
      </c>
      <c r="E400" s="388" t="s">
        <v>995</v>
      </c>
      <c r="F400" s="388" t="s">
        <v>278</v>
      </c>
      <c r="G400" s="388" t="s">
        <v>277</v>
      </c>
      <c r="H400" s="388" t="s">
        <v>276</v>
      </c>
      <c r="I400" s="388" t="s">
        <v>265</v>
      </c>
      <c r="J400" s="393" t="s">
        <v>977</v>
      </c>
      <c r="K400" s="735" t="s">
        <v>980</v>
      </c>
      <c r="L400" s="388" t="s">
        <v>258</v>
      </c>
      <c r="M400" s="735" t="s">
        <v>986</v>
      </c>
      <c r="N400" s="388" t="s">
        <v>250</v>
      </c>
      <c r="O400" s="1028"/>
    </row>
    <row r="401" spans="1:15" s="376" customFormat="1" ht="9.75" customHeight="1" x14ac:dyDescent="0.15">
      <c r="A401" s="755" t="s">
        <v>838</v>
      </c>
      <c r="B401" s="386">
        <v>1816543</v>
      </c>
      <c r="C401" s="385">
        <v>1278251</v>
      </c>
      <c r="D401" s="385" t="s">
        <v>839</v>
      </c>
      <c r="E401" s="385">
        <v>57619</v>
      </c>
      <c r="F401" s="385">
        <v>14641</v>
      </c>
      <c r="G401" s="385">
        <v>275446</v>
      </c>
      <c r="H401" s="385">
        <v>180060</v>
      </c>
      <c r="I401" s="385">
        <v>345613</v>
      </c>
      <c r="J401" s="385">
        <v>404872</v>
      </c>
      <c r="K401" s="385">
        <v>335371</v>
      </c>
      <c r="L401" s="385">
        <v>335371</v>
      </c>
      <c r="M401" s="385">
        <v>202921</v>
      </c>
      <c r="N401" s="384">
        <v>202921</v>
      </c>
      <c r="O401" s="383" t="s">
        <v>457</v>
      </c>
    </row>
    <row r="402" spans="1:15" s="376" customFormat="1" ht="9.75" customHeight="1" x14ac:dyDescent="0.15">
      <c r="A402" s="756" t="s">
        <v>669</v>
      </c>
      <c r="B402" s="376">
        <v>1930580</v>
      </c>
      <c r="C402" s="376">
        <v>919978</v>
      </c>
      <c r="D402" s="376" t="s">
        <v>839</v>
      </c>
      <c r="E402" s="376">
        <v>55526</v>
      </c>
      <c r="F402" s="376">
        <v>62529</v>
      </c>
      <c r="G402" s="376">
        <v>128478</v>
      </c>
      <c r="H402" s="376">
        <v>130636</v>
      </c>
      <c r="I402" s="376">
        <v>112774</v>
      </c>
      <c r="J402" s="376">
        <v>430035</v>
      </c>
      <c r="K402" s="376">
        <v>651433</v>
      </c>
      <c r="L402" s="376">
        <v>651433</v>
      </c>
      <c r="M402" s="376">
        <v>359169</v>
      </c>
      <c r="N402" s="382">
        <v>359169</v>
      </c>
      <c r="O402" s="381" t="s">
        <v>512</v>
      </c>
    </row>
    <row r="403" spans="1:15" s="376" customFormat="1" ht="9.75" customHeight="1" x14ac:dyDescent="0.15">
      <c r="A403" s="756" t="s">
        <v>670</v>
      </c>
      <c r="B403" s="376">
        <v>1637993</v>
      </c>
      <c r="C403" s="376">
        <v>646020</v>
      </c>
      <c r="D403" s="376" t="s">
        <v>839</v>
      </c>
      <c r="E403" s="376">
        <v>85277</v>
      </c>
      <c r="F403" s="376">
        <v>11629</v>
      </c>
      <c r="G403" s="376">
        <v>132873</v>
      </c>
      <c r="H403" s="376">
        <v>105645</v>
      </c>
      <c r="I403" s="376">
        <v>92176</v>
      </c>
      <c r="J403" s="376">
        <v>218420</v>
      </c>
      <c r="K403" s="376">
        <v>621368</v>
      </c>
      <c r="L403" s="376">
        <v>621368</v>
      </c>
      <c r="M403" s="376">
        <v>370605</v>
      </c>
      <c r="N403" s="382">
        <v>370605</v>
      </c>
      <c r="O403" s="381" t="s">
        <v>620</v>
      </c>
    </row>
    <row r="404" spans="1:15" s="376" customFormat="1" ht="9.75" customHeight="1" x14ac:dyDescent="0.15">
      <c r="A404" s="756" t="s">
        <v>671</v>
      </c>
      <c r="B404" s="376">
        <v>1504014</v>
      </c>
      <c r="C404" s="376">
        <v>457218</v>
      </c>
      <c r="D404" s="376" t="s">
        <v>839</v>
      </c>
      <c r="E404" s="376">
        <v>81828</v>
      </c>
      <c r="F404" s="376" t="s">
        <v>839</v>
      </c>
      <c r="G404" s="376">
        <v>56983</v>
      </c>
      <c r="H404" s="376">
        <v>186564</v>
      </c>
      <c r="I404" s="376">
        <v>76812</v>
      </c>
      <c r="J404" s="376">
        <v>55031</v>
      </c>
      <c r="K404" s="376">
        <v>708992</v>
      </c>
      <c r="L404" s="376">
        <v>708992</v>
      </c>
      <c r="M404" s="376">
        <v>337804</v>
      </c>
      <c r="N404" s="382">
        <v>337804</v>
      </c>
      <c r="O404" s="381" t="s">
        <v>672</v>
      </c>
    </row>
    <row r="405" spans="1:15" s="376" customFormat="1" ht="9.75" customHeight="1" x14ac:dyDescent="0.15">
      <c r="A405" s="756" t="s">
        <v>840</v>
      </c>
      <c r="B405" s="376">
        <v>1774942</v>
      </c>
      <c r="C405" s="376">
        <v>452069</v>
      </c>
      <c r="D405" s="376">
        <v>14052</v>
      </c>
      <c r="E405" s="376">
        <v>79071</v>
      </c>
      <c r="F405" s="376">
        <v>23309</v>
      </c>
      <c r="G405" s="376">
        <v>101138</v>
      </c>
      <c r="H405" s="376">
        <v>120787</v>
      </c>
      <c r="I405" s="376">
        <v>47504</v>
      </c>
      <c r="J405" s="376">
        <v>66208</v>
      </c>
      <c r="K405" s="376">
        <v>761399</v>
      </c>
      <c r="L405" s="376">
        <v>761399</v>
      </c>
      <c r="M405" s="376">
        <v>561474</v>
      </c>
      <c r="N405" s="382">
        <v>561474</v>
      </c>
      <c r="O405" s="381" t="s">
        <v>841</v>
      </c>
    </row>
    <row r="406" spans="1:15" s="376" customFormat="1" ht="6.75" customHeight="1" x14ac:dyDescent="0.15">
      <c r="A406" s="787"/>
      <c r="N406" s="382"/>
      <c r="O406" s="381"/>
    </row>
    <row r="407" spans="1:15" s="376" customFormat="1" ht="9.75" customHeight="1" x14ac:dyDescent="0.15">
      <c r="A407" s="756" t="s">
        <v>842</v>
      </c>
      <c r="B407" s="376">
        <v>1521839</v>
      </c>
      <c r="C407" s="376">
        <v>461443</v>
      </c>
      <c r="D407" s="376" t="s">
        <v>839</v>
      </c>
      <c r="E407" s="376">
        <v>82182</v>
      </c>
      <c r="F407" s="376">
        <v>23309</v>
      </c>
      <c r="G407" s="376" t="s">
        <v>839</v>
      </c>
      <c r="H407" s="376">
        <v>166652</v>
      </c>
      <c r="I407" s="376">
        <v>88630</v>
      </c>
      <c r="J407" s="376">
        <v>100670</v>
      </c>
      <c r="K407" s="376">
        <v>666077</v>
      </c>
      <c r="L407" s="376">
        <v>666077</v>
      </c>
      <c r="M407" s="376">
        <v>394319</v>
      </c>
      <c r="N407" s="382">
        <v>394319</v>
      </c>
      <c r="O407" s="381" t="s">
        <v>673</v>
      </c>
    </row>
    <row r="408" spans="1:15" s="376" customFormat="1" ht="9.75" customHeight="1" x14ac:dyDescent="0.15">
      <c r="A408" s="756" t="s">
        <v>843</v>
      </c>
      <c r="B408" s="376">
        <v>1822353</v>
      </c>
      <c r="C408" s="376">
        <v>286633</v>
      </c>
      <c r="D408" s="376">
        <v>14052</v>
      </c>
      <c r="E408" s="376">
        <v>56017</v>
      </c>
      <c r="F408" s="376" t="s">
        <v>839</v>
      </c>
      <c r="G408" s="376">
        <v>101138</v>
      </c>
      <c r="H408" s="376">
        <v>59171</v>
      </c>
      <c r="I408" s="376">
        <v>35686</v>
      </c>
      <c r="J408" s="376">
        <v>20569</v>
      </c>
      <c r="K408" s="376">
        <v>975546</v>
      </c>
      <c r="L408" s="376">
        <v>975546</v>
      </c>
      <c r="M408" s="376">
        <v>560174</v>
      </c>
      <c r="N408" s="382">
        <v>560174</v>
      </c>
      <c r="O408" s="381" t="s">
        <v>844</v>
      </c>
    </row>
    <row r="409" spans="1:15" s="376" customFormat="1" ht="6.75" customHeight="1" x14ac:dyDescent="0.15">
      <c r="A409" s="787"/>
      <c r="N409" s="382"/>
      <c r="O409" s="381"/>
    </row>
    <row r="410" spans="1:15" s="376" customFormat="1" ht="9.75" customHeight="1" x14ac:dyDescent="0.15">
      <c r="A410" s="756" t="s">
        <v>845</v>
      </c>
      <c r="B410" s="376">
        <v>416619</v>
      </c>
      <c r="C410" s="376">
        <v>189481</v>
      </c>
      <c r="D410" s="376" t="s">
        <v>839</v>
      </c>
      <c r="E410" s="376">
        <v>23054</v>
      </c>
      <c r="F410" s="376">
        <v>23309</v>
      </c>
      <c r="G410" s="376" t="s">
        <v>839</v>
      </c>
      <c r="H410" s="376">
        <v>85661</v>
      </c>
      <c r="I410" s="376">
        <v>11818</v>
      </c>
      <c r="J410" s="376">
        <v>45639</v>
      </c>
      <c r="K410" s="376">
        <v>113818</v>
      </c>
      <c r="L410" s="376">
        <v>113818</v>
      </c>
      <c r="M410" s="376">
        <v>113320</v>
      </c>
      <c r="N410" s="382">
        <v>113320</v>
      </c>
      <c r="O410" s="381" t="s">
        <v>677</v>
      </c>
    </row>
    <row r="411" spans="1:15" s="376" customFormat="1" ht="9.75" customHeight="1" x14ac:dyDescent="0.15">
      <c r="A411" s="756" t="s">
        <v>674</v>
      </c>
      <c r="B411" s="376">
        <v>409347</v>
      </c>
      <c r="C411" s="376">
        <v>54596</v>
      </c>
      <c r="D411" s="376" t="s">
        <v>839</v>
      </c>
      <c r="E411" s="376">
        <v>9000</v>
      </c>
      <c r="F411" s="376" t="s">
        <v>839</v>
      </c>
      <c r="G411" s="376">
        <v>22465</v>
      </c>
      <c r="H411" s="376">
        <v>23131</v>
      </c>
      <c r="I411" s="376" t="s">
        <v>839</v>
      </c>
      <c r="J411" s="376" t="s">
        <v>839</v>
      </c>
      <c r="K411" s="376">
        <v>196198</v>
      </c>
      <c r="L411" s="376">
        <v>196198</v>
      </c>
      <c r="M411" s="376">
        <v>158553</v>
      </c>
      <c r="N411" s="382">
        <v>158553</v>
      </c>
      <c r="O411" s="381" t="s">
        <v>89</v>
      </c>
    </row>
    <row r="412" spans="1:15" s="376" customFormat="1" ht="9.75" customHeight="1" x14ac:dyDescent="0.15">
      <c r="A412" s="756" t="s">
        <v>675</v>
      </c>
      <c r="B412" s="376">
        <v>449437</v>
      </c>
      <c r="C412" s="376">
        <v>104492</v>
      </c>
      <c r="D412" s="376">
        <v>14052</v>
      </c>
      <c r="E412" s="376">
        <v>24764</v>
      </c>
      <c r="F412" s="376" t="s">
        <v>839</v>
      </c>
      <c r="G412" s="376">
        <v>44678</v>
      </c>
      <c r="H412" s="376">
        <v>11995</v>
      </c>
      <c r="I412" s="376" t="s">
        <v>839</v>
      </c>
      <c r="J412" s="376">
        <v>9003</v>
      </c>
      <c r="K412" s="376">
        <v>180956</v>
      </c>
      <c r="L412" s="376">
        <v>180956</v>
      </c>
      <c r="M412" s="376">
        <v>163989</v>
      </c>
      <c r="N412" s="382">
        <v>163989</v>
      </c>
      <c r="O412" s="381" t="s">
        <v>90</v>
      </c>
    </row>
    <row r="413" spans="1:15" s="376" customFormat="1" ht="9.75" customHeight="1" x14ac:dyDescent="0.15">
      <c r="A413" s="756" t="s">
        <v>676</v>
      </c>
      <c r="B413" s="376">
        <v>499539</v>
      </c>
      <c r="C413" s="376">
        <v>103500</v>
      </c>
      <c r="D413" s="376" t="s">
        <v>839</v>
      </c>
      <c r="E413" s="376">
        <v>22253</v>
      </c>
      <c r="F413" s="376" t="s">
        <v>839</v>
      </c>
      <c r="G413" s="376">
        <v>33995</v>
      </c>
      <c r="H413" s="376" t="s">
        <v>839</v>
      </c>
      <c r="I413" s="376">
        <v>35686</v>
      </c>
      <c r="J413" s="376">
        <v>11566</v>
      </c>
      <c r="K413" s="376">
        <v>270427</v>
      </c>
      <c r="L413" s="376">
        <v>270427</v>
      </c>
      <c r="M413" s="376">
        <v>125612</v>
      </c>
      <c r="N413" s="382">
        <v>125612</v>
      </c>
      <c r="O413" s="381" t="s">
        <v>91</v>
      </c>
    </row>
    <row r="414" spans="1:15" s="376" customFormat="1" ht="9.75" customHeight="1" x14ac:dyDescent="0.15">
      <c r="A414" s="756" t="s">
        <v>846</v>
      </c>
      <c r="B414" s="376">
        <v>464030</v>
      </c>
      <c r="C414" s="376">
        <v>24045</v>
      </c>
      <c r="D414" s="376" t="s">
        <v>839</v>
      </c>
      <c r="E414" s="376" t="s">
        <v>839</v>
      </c>
      <c r="F414" s="376" t="s">
        <v>839</v>
      </c>
      <c r="G414" s="376" t="s">
        <v>839</v>
      </c>
      <c r="H414" s="376">
        <v>24045</v>
      </c>
      <c r="I414" s="376" t="s">
        <v>839</v>
      </c>
      <c r="J414" s="376" t="s">
        <v>839</v>
      </c>
      <c r="K414" s="376">
        <v>327965</v>
      </c>
      <c r="L414" s="376">
        <v>327965</v>
      </c>
      <c r="M414" s="376">
        <v>112020</v>
      </c>
      <c r="N414" s="382">
        <v>112020</v>
      </c>
      <c r="O414" s="381" t="s">
        <v>847</v>
      </c>
    </row>
    <row r="415" spans="1:15" s="376" customFormat="1" ht="6.75" customHeight="1" x14ac:dyDescent="0.15">
      <c r="A415" s="787"/>
      <c r="N415" s="382"/>
      <c r="O415" s="381"/>
    </row>
    <row r="416" spans="1:15" s="376" customFormat="1" ht="9.75" customHeight="1" x14ac:dyDescent="0.15">
      <c r="A416" s="756" t="s">
        <v>848</v>
      </c>
      <c r="B416" s="376">
        <v>151873</v>
      </c>
      <c r="C416" s="376">
        <v>70765</v>
      </c>
      <c r="D416" s="376" t="s">
        <v>839</v>
      </c>
      <c r="E416" s="376" t="s">
        <v>839</v>
      </c>
      <c r="F416" s="376">
        <v>23309</v>
      </c>
      <c r="G416" s="376" t="s">
        <v>839</v>
      </c>
      <c r="H416" s="376">
        <v>12780</v>
      </c>
      <c r="I416" s="376">
        <v>11818</v>
      </c>
      <c r="J416" s="376">
        <v>22858</v>
      </c>
      <c r="K416" s="376">
        <v>48657</v>
      </c>
      <c r="L416" s="376">
        <v>48657</v>
      </c>
      <c r="M416" s="376">
        <v>32451</v>
      </c>
      <c r="N416" s="382">
        <v>32451</v>
      </c>
      <c r="O416" s="381" t="s">
        <v>689</v>
      </c>
    </row>
    <row r="417" spans="1:15" s="376" customFormat="1" ht="9.75" customHeight="1" x14ac:dyDescent="0.15">
      <c r="A417" s="756" t="s">
        <v>678</v>
      </c>
      <c r="B417" s="376">
        <v>144178</v>
      </c>
      <c r="C417" s="376">
        <v>45835</v>
      </c>
      <c r="D417" s="376" t="s">
        <v>839</v>
      </c>
      <c r="E417" s="376">
        <v>23054</v>
      </c>
      <c r="F417" s="376" t="s">
        <v>839</v>
      </c>
      <c r="G417" s="376" t="s">
        <v>839</v>
      </c>
      <c r="H417" s="376" t="s">
        <v>839</v>
      </c>
      <c r="I417" s="376" t="s">
        <v>839</v>
      </c>
      <c r="J417" s="376">
        <v>22781</v>
      </c>
      <c r="K417" s="376">
        <v>40880</v>
      </c>
      <c r="L417" s="376">
        <v>40880</v>
      </c>
      <c r="M417" s="376">
        <v>57463</v>
      </c>
      <c r="N417" s="382">
        <v>57463</v>
      </c>
      <c r="O417" s="381" t="s">
        <v>77</v>
      </c>
    </row>
    <row r="418" spans="1:15" s="376" customFormat="1" ht="9.75" customHeight="1" x14ac:dyDescent="0.15">
      <c r="A418" s="756" t="s">
        <v>679</v>
      </c>
      <c r="B418" s="376">
        <v>120568</v>
      </c>
      <c r="C418" s="376">
        <v>72881</v>
      </c>
      <c r="D418" s="376" t="s">
        <v>839</v>
      </c>
      <c r="E418" s="376" t="s">
        <v>839</v>
      </c>
      <c r="F418" s="376" t="s">
        <v>839</v>
      </c>
      <c r="G418" s="376" t="s">
        <v>839</v>
      </c>
      <c r="H418" s="376">
        <v>72881</v>
      </c>
      <c r="I418" s="376" t="s">
        <v>839</v>
      </c>
      <c r="J418" s="376" t="s">
        <v>839</v>
      </c>
      <c r="K418" s="376">
        <v>24281</v>
      </c>
      <c r="L418" s="376">
        <v>24281</v>
      </c>
      <c r="M418" s="376">
        <v>23406</v>
      </c>
      <c r="N418" s="382">
        <v>23406</v>
      </c>
      <c r="O418" s="381" t="s">
        <v>78</v>
      </c>
    </row>
    <row r="419" spans="1:15" s="376" customFormat="1" ht="9.75" customHeight="1" x14ac:dyDescent="0.15">
      <c r="A419" s="756" t="s">
        <v>680</v>
      </c>
      <c r="B419" s="376">
        <v>139338</v>
      </c>
      <c r="C419" s="376">
        <v>29040</v>
      </c>
      <c r="D419" s="376" t="s">
        <v>839</v>
      </c>
      <c r="E419" s="376">
        <v>5909</v>
      </c>
      <c r="F419" s="376" t="s">
        <v>839</v>
      </c>
      <c r="G419" s="376" t="s">
        <v>839</v>
      </c>
      <c r="H419" s="376">
        <v>23131</v>
      </c>
      <c r="I419" s="376" t="s">
        <v>839</v>
      </c>
      <c r="J419" s="376" t="s">
        <v>839</v>
      </c>
      <c r="K419" s="376">
        <v>65046</v>
      </c>
      <c r="L419" s="376">
        <v>65046</v>
      </c>
      <c r="M419" s="376">
        <v>45252</v>
      </c>
      <c r="N419" s="382">
        <v>45252</v>
      </c>
      <c r="O419" s="381" t="s">
        <v>79</v>
      </c>
    </row>
    <row r="420" spans="1:15" s="376" customFormat="1" ht="9.75" customHeight="1" x14ac:dyDescent="0.15">
      <c r="A420" s="756" t="s">
        <v>681</v>
      </c>
      <c r="B420" s="376">
        <v>147373</v>
      </c>
      <c r="C420" s="376">
        <v>3091</v>
      </c>
      <c r="D420" s="376" t="s">
        <v>839</v>
      </c>
      <c r="E420" s="376">
        <v>3091</v>
      </c>
      <c r="F420" s="376" t="s">
        <v>839</v>
      </c>
      <c r="G420" s="376" t="s">
        <v>839</v>
      </c>
      <c r="H420" s="376" t="s">
        <v>839</v>
      </c>
      <c r="I420" s="376" t="s">
        <v>839</v>
      </c>
      <c r="J420" s="376" t="s">
        <v>839</v>
      </c>
      <c r="K420" s="376">
        <v>77535</v>
      </c>
      <c r="L420" s="376">
        <v>77535</v>
      </c>
      <c r="M420" s="376">
        <v>66747</v>
      </c>
      <c r="N420" s="382">
        <v>66747</v>
      </c>
      <c r="O420" s="381" t="s">
        <v>92</v>
      </c>
    </row>
    <row r="421" spans="1:15" s="376" customFormat="1" ht="9.75" customHeight="1" x14ac:dyDescent="0.15">
      <c r="A421" s="756" t="s">
        <v>682</v>
      </c>
      <c r="B421" s="376">
        <v>122636</v>
      </c>
      <c r="C421" s="376">
        <v>22465</v>
      </c>
      <c r="D421" s="376" t="s">
        <v>839</v>
      </c>
      <c r="E421" s="376" t="s">
        <v>839</v>
      </c>
      <c r="F421" s="376" t="s">
        <v>839</v>
      </c>
      <c r="G421" s="376">
        <v>22465</v>
      </c>
      <c r="H421" s="376" t="s">
        <v>839</v>
      </c>
      <c r="I421" s="376" t="s">
        <v>839</v>
      </c>
      <c r="J421" s="376" t="s">
        <v>839</v>
      </c>
      <c r="K421" s="376">
        <v>53617</v>
      </c>
      <c r="L421" s="376">
        <v>53617</v>
      </c>
      <c r="M421" s="376">
        <v>46554</v>
      </c>
      <c r="N421" s="382">
        <v>46554</v>
      </c>
      <c r="O421" s="381" t="s">
        <v>93</v>
      </c>
    </row>
    <row r="422" spans="1:15" s="376" customFormat="1" ht="9.75" customHeight="1" x14ac:dyDescent="0.15">
      <c r="A422" s="756" t="s">
        <v>683</v>
      </c>
      <c r="B422" s="376">
        <v>127503</v>
      </c>
      <c r="C422" s="376">
        <v>25337</v>
      </c>
      <c r="D422" s="376" t="s">
        <v>839</v>
      </c>
      <c r="E422" s="376" t="s">
        <v>839</v>
      </c>
      <c r="F422" s="376" t="s">
        <v>839</v>
      </c>
      <c r="G422" s="376">
        <v>25337</v>
      </c>
      <c r="H422" s="376" t="s">
        <v>839</v>
      </c>
      <c r="I422" s="376" t="s">
        <v>839</v>
      </c>
      <c r="J422" s="376" t="s">
        <v>839</v>
      </c>
      <c r="K422" s="376">
        <v>77329</v>
      </c>
      <c r="L422" s="376">
        <v>77329</v>
      </c>
      <c r="M422" s="376">
        <v>24837</v>
      </c>
      <c r="N422" s="382">
        <v>24837</v>
      </c>
      <c r="O422" s="381" t="s">
        <v>94</v>
      </c>
    </row>
    <row r="423" spans="1:15" s="376" customFormat="1" ht="9.75" customHeight="1" x14ac:dyDescent="0.15">
      <c r="A423" s="756" t="s">
        <v>684</v>
      </c>
      <c r="B423" s="376">
        <v>162539</v>
      </c>
      <c r="C423" s="376">
        <v>59814</v>
      </c>
      <c r="D423" s="376">
        <v>14052</v>
      </c>
      <c r="E423" s="376">
        <v>24764</v>
      </c>
      <c r="F423" s="376" t="s">
        <v>839</v>
      </c>
      <c r="G423" s="376" t="s">
        <v>839</v>
      </c>
      <c r="H423" s="376">
        <v>11995</v>
      </c>
      <c r="I423" s="376" t="s">
        <v>839</v>
      </c>
      <c r="J423" s="376">
        <v>9003</v>
      </c>
      <c r="K423" s="376">
        <v>50820</v>
      </c>
      <c r="L423" s="376">
        <v>50820</v>
      </c>
      <c r="M423" s="376">
        <v>51905</v>
      </c>
      <c r="N423" s="382">
        <v>51905</v>
      </c>
      <c r="O423" s="381" t="s">
        <v>95</v>
      </c>
    </row>
    <row r="424" spans="1:15" s="376" customFormat="1" ht="9.75" customHeight="1" x14ac:dyDescent="0.15">
      <c r="A424" s="756" t="s">
        <v>685</v>
      </c>
      <c r="B424" s="376">
        <v>159395</v>
      </c>
      <c r="C424" s="376">
        <v>19341</v>
      </c>
      <c r="D424" s="376" t="s">
        <v>839</v>
      </c>
      <c r="E424" s="376" t="s">
        <v>839</v>
      </c>
      <c r="F424" s="376" t="s">
        <v>839</v>
      </c>
      <c r="G424" s="376">
        <v>19341</v>
      </c>
      <c r="H424" s="376" t="s">
        <v>839</v>
      </c>
      <c r="I424" s="376" t="s">
        <v>839</v>
      </c>
      <c r="J424" s="376" t="s">
        <v>839</v>
      </c>
      <c r="K424" s="376">
        <v>52807</v>
      </c>
      <c r="L424" s="376">
        <v>52807</v>
      </c>
      <c r="M424" s="376">
        <v>87247</v>
      </c>
      <c r="N424" s="382">
        <v>87247</v>
      </c>
      <c r="O424" s="381" t="s">
        <v>96</v>
      </c>
    </row>
    <row r="425" spans="1:15" s="376" customFormat="1" ht="9.75" customHeight="1" x14ac:dyDescent="0.15">
      <c r="A425" s="756" t="s">
        <v>686</v>
      </c>
      <c r="B425" s="376">
        <v>146202</v>
      </c>
      <c r="C425" s="376">
        <v>12106</v>
      </c>
      <c r="D425" s="376" t="s">
        <v>839</v>
      </c>
      <c r="E425" s="376" t="s">
        <v>839</v>
      </c>
      <c r="F425" s="376" t="s">
        <v>839</v>
      </c>
      <c r="G425" s="376">
        <v>18</v>
      </c>
      <c r="H425" s="376" t="s">
        <v>839</v>
      </c>
      <c r="I425" s="376">
        <v>12088</v>
      </c>
      <c r="J425" s="376" t="s">
        <v>839</v>
      </c>
      <c r="K425" s="376">
        <v>91385</v>
      </c>
      <c r="L425" s="376">
        <v>91385</v>
      </c>
      <c r="M425" s="376">
        <v>42711</v>
      </c>
      <c r="N425" s="382">
        <v>42711</v>
      </c>
      <c r="O425" s="381" t="s">
        <v>80</v>
      </c>
    </row>
    <row r="426" spans="1:15" s="376" customFormat="1" ht="9.75" customHeight="1" x14ac:dyDescent="0.15">
      <c r="A426" s="756" t="s">
        <v>687</v>
      </c>
      <c r="B426" s="376">
        <v>172759</v>
      </c>
      <c r="C426" s="376">
        <v>42034</v>
      </c>
      <c r="D426" s="376" t="s">
        <v>839</v>
      </c>
      <c r="E426" s="376" t="s">
        <v>839</v>
      </c>
      <c r="F426" s="376" t="s">
        <v>839</v>
      </c>
      <c r="G426" s="376">
        <v>18436</v>
      </c>
      <c r="H426" s="376" t="s">
        <v>839</v>
      </c>
      <c r="I426" s="376">
        <v>23598</v>
      </c>
      <c r="J426" s="376" t="s">
        <v>839</v>
      </c>
      <c r="K426" s="376">
        <v>95588</v>
      </c>
      <c r="L426" s="376">
        <v>95588</v>
      </c>
      <c r="M426" s="376">
        <v>35137</v>
      </c>
      <c r="N426" s="382">
        <v>35137</v>
      </c>
      <c r="O426" s="381" t="s">
        <v>81</v>
      </c>
    </row>
    <row r="427" spans="1:15" s="376" customFormat="1" ht="9.75" customHeight="1" x14ac:dyDescent="0.15">
      <c r="A427" s="756" t="s">
        <v>688</v>
      </c>
      <c r="B427" s="376">
        <v>180578</v>
      </c>
      <c r="C427" s="376">
        <v>49360</v>
      </c>
      <c r="D427" s="376" t="s">
        <v>839</v>
      </c>
      <c r="E427" s="376">
        <v>22253</v>
      </c>
      <c r="F427" s="376" t="s">
        <v>839</v>
      </c>
      <c r="G427" s="376">
        <v>15541</v>
      </c>
      <c r="H427" s="376" t="s">
        <v>839</v>
      </c>
      <c r="I427" s="376" t="s">
        <v>839</v>
      </c>
      <c r="J427" s="376">
        <v>11566</v>
      </c>
      <c r="K427" s="376">
        <v>83454</v>
      </c>
      <c r="L427" s="376">
        <v>83454</v>
      </c>
      <c r="M427" s="376">
        <v>47764</v>
      </c>
      <c r="N427" s="382">
        <v>47764</v>
      </c>
      <c r="O427" s="381" t="s">
        <v>82</v>
      </c>
    </row>
    <row r="428" spans="1:15" s="376" customFormat="1" ht="9.75" customHeight="1" x14ac:dyDescent="0.15">
      <c r="A428" s="756" t="s">
        <v>849</v>
      </c>
      <c r="B428" s="376">
        <v>160569</v>
      </c>
      <c r="C428" s="376" t="s">
        <v>839</v>
      </c>
      <c r="D428" s="376" t="s">
        <v>839</v>
      </c>
      <c r="E428" s="376" t="s">
        <v>839</v>
      </c>
      <c r="F428" s="376" t="s">
        <v>839</v>
      </c>
      <c r="G428" s="376" t="s">
        <v>839</v>
      </c>
      <c r="H428" s="376" t="s">
        <v>839</v>
      </c>
      <c r="I428" s="376" t="s">
        <v>839</v>
      </c>
      <c r="J428" s="376" t="s">
        <v>839</v>
      </c>
      <c r="K428" s="376">
        <v>116847</v>
      </c>
      <c r="L428" s="376">
        <v>116847</v>
      </c>
      <c r="M428" s="376">
        <v>43722</v>
      </c>
      <c r="N428" s="382">
        <v>43722</v>
      </c>
      <c r="O428" s="381" t="s">
        <v>850</v>
      </c>
    </row>
    <row r="429" spans="1:15" s="376" customFormat="1" ht="9.75" customHeight="1" x14ac:dyDescent="0.15">
      <c r="A429" s="756" t="s">
        <v>690</v>
      </c>
      <c r="B429" s="376">
        <v>142598</v>
      </c>
      <c r="C429" s="376">
        <v>24045</v>
      </c>
      <c r="D429" s="376" t="s">
        <v>839</v>
      </c>
      <c r="E429" s="376" t="s">
        <v>839</v>
      </c>
      <c r="F429" s="376" t="s">
        <v>839</v>
      </c>
      <c r="G429" s="376" t="s">
        <v>839</v>
      </c>
      <c r="H429" s="376">
        <v>24045</v>
      </c>
      <c r="I429" s="376" t="s">
        <v>839</v>
      </c>
      <c r="J429" s="376" t="s">
        <v>839</v>
      </c>
      <c r="K429" s="376">
        <v>96258</v>
      </c>
      <c r="L429" s="376">
        <v>96258</v>
      </c>
      <c r="M429" s="376">
        <v>22295</v>
      </c>
      <c r="N429" s="382">
        <v>22295</v>
      </c>
      <c r="O429" s="381" t="s">
        <v>77</v>
      </c>
    </row>
    <row r="430" spans="1:15" s="376" customFormat="1" ht="9.75" customHeight="1" x14ac:dyDescent="0.15">
      <c r="A430" s="757" t="s">
        <v>691</v>
      </c>
      <c r="B430" s="380">
        <v>160863</v>
      </c>
      <c r="C430" s="379" t="s">
        <v>839</v>
      </c>
      <c r="D430" s="379" t="s">
        <v>839</v>
      </c>
      <c r="E430" s="379" t="s">
        <v>839</v>
      </c>
      <c r="F430" s="379" t="s">
        <v>839</v>
      </c>
      <c r="G430" s="379" t="s">
        <v>839</v>
      </c>
      <c r="H430" s="379" t="s">
        <v>839</v>
      </c>
      <c r="I430" s="379" t="s">
        <v>839</v>
      </c>
      <c r="J430" s="379" t="s">
        <v>839</v>
      </c>
      <c r="K430" s="379">
        <v>114860</v>
      </c>
      <c r="L430" s="379">
        <v>114860</v>
      </c>
      <c r="M430" s="379">
        <v>46003</v>
      </c>
      <c r="N430" s="378">
        <v>46003</v>
      </c>
      <c r="O430" s="377" t="s">
        <v>78</v>
      </c>
    </row>
    <row r="431" spans="1:15" ht="12" customHeight="1" x14ac:dyDescent="0.15"/>
    <row r="432" spans="1:15" ht="12" customHeight="1" x14ac:dyDescent="0.15"/>
    <row r="433" ht="12" customHeight="1" x14ac:dyDescent="0.15"/>
  </sheetData>
  <mergeCells count="39">
    <mergeCell ref="A398:A400"/>
    <mergeCell ref="O398:O400"/>
    <mergeCell ref="B399:B400"/>
    <mergeCell ref="A326:A328"/>
    <mergeCell ref="W326:W328"/>
    <mergeCell ref="F327:F328"/>
    <mergeCell ref="A362:A364"/>
    <mergeCell ref="W362:W364"/>
    <mergeCell ref="D363:D364"/>
    <mergeCell ref="U219:U220"/>
    <mergeCell ref="A290:A292"/>
    <mergeCell ref="W290:W292"/>
    <mergeCell ref="D291:D292"/>
    <mergeCell ref="R291:R292"/>
    <mergeCell ref="A254:A256"/>
    <mergeCell ref="W254:W256"/>
    <mergeCell ref="U255:U256"/>
    <mergeCell ref="A110:A112"/>
    <mergeCell ref="W110:W112"/>
    <mergeCell ref="A146:A148"/>
    <mergeCell ref="W146:W148"/>
    <mergeCell ref="A182:A184"/>
    <mergeCell ref="W182:W184"/>
    <mergeCell ref="D183:D184"/>
    <mergeCell ref="J183:J184"/>
    <mergeCell ref="P183:P184"/>
    <mergeCell ref="A218:A220"/>
    <mergeCell ref="W218:W220"/>
    <mergeCell ref="D219:D220"/>
    <mergeCell ref="G219:G220"/>
    <mergeCell ref="A74:A76"/>
    <mergeCell ref="W74:W76"/>
    <mergeCell ref="I75:I76"/>
    <mergeCell ref="T75:T76"/>
    <mergeCell ref="A2:A4"/>
    <mergeCell ref="W2:W4"/>
    <mergeCell ref="B3:B4"/>
    <mergeCell ref="A38:A40"/>
    <mergeCell ref="W38:W40"/>
  </mergeCells>
  <phoneticPr fontId="32"/>
  <pageMargins left="0.59055118110236227" right="0.59055118110236227" top="0.59055118110236227" bottom="0.59055118110236227" header="0.51181102362204722" footer="0.51181102362204722"/>
  <pageSetup paperSize="9" pageOrder="overThenDown" orientation="portrait" r:id="rId1"/>
  <headerFooter alignWithMargins="0"/>
  <rowBreaks count="5" manualBreakCount="5">
    <brk id="72" max="22" man="1"/>
    <brk id="144" max="22" man="1"/>
    <brk id="216" max="22" man="1"/>
    <brk id="288" max="22" man="1"/>
    <brk id="360" max="22" man="1"/>
  </rowBreaks>
  <colBreaks count="1" manualBreakCount="1">
    <brk id="11" max="42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847A-B536-49C0-8DCF-E379C0BF62F9}">
  <dimension ref="A1:X40"/>
  <sheetViews>
    <sheetView view="pageBreakPreview" zoomScaleNormal="70" zoomScaleSheetLayoutView="100" workbookViewId="0">
      <pane xSplit="5" ySplit="7" topLeftCell="F32" activePane="bottomRight" state="frozen"/>
      <selection pane="topRight" activeCell="F1" sqref="F1"/>
      <selection pane="bottomLeft" activeCell="A8" sqref="A8"/>
      <selection pane="bottomRight" activeCell="H34" sqref="H34"/>
    </sheetView>
  </sheetViews>
  <sheetFormatPr defaultRowHeight="13.5" x14ac:dyDescent="0.15"/>
  <cols>
    <col min="1" max="1" width="2.75" style="220" customWidth="1"/>
    <col min="2" max="2" width="3.375" style="220" customWidth="1"/>
    <col min="3" max="3" width="3.25" style="220" customWidth="1"/>
    <col min="4" max="4" width="6.125" style="220" customWidth="1"/>
    <col min="5" max="5" width="0.875" style="220" customWidth="1"/>
    <col min="6" max="6" width="8.625" style="220" customWidth="1"/>
    <col min="7" max="21" width="8.375" style="220" customWidth="1"/>
    <col min="22" max="22" width="8.25" style="220" customWidth="1"/>
    <col min="23" max="23" width="2.625" style="221" customWidth="1"/>
    <col min="24" max="24" width="6.875" style="220" customWidth="1"/>
    <col min="25" max="16384" width="9" style="220"/>
  </cols>
  <sheetData>
    <row r="1" spans="1:24" ht="16.5" customHeight="1" x14ac:dyDescent="0.2">
      <c r="I1" s="300"/>
      <c r="T1" s="672"/>
      <c r="U1" s="288"/>
      <c r="W1" s="220"/>
    </row>
    <row r="2" spans="1:24" s="295" customFormat="1" ht="16.5" customHeight="1" x14ac:dyDescent="0.15">
      <c r="I2" s="288"/>
      <c r="R2" s="299"/>
      <c r="T2" s="298"/>
      <c r="U2" s="298"/>
      <c r="W2" s="297"/>
      <c r="X2" s="296"/>
    </row>
    <row r="3" spans="1:24" s="173" customFormat="1" ht="16.5" customHeight="1" x14ac:dyDescent="0.15">
      <c r="A3" s="685"/>
      <c r="B3" s="294" t="s">
        <v>733</v>
      </c>
      <c r="C3" s="673"/>
      <c r="D3" s="673"/>
      <c r="E3" s="673"/>
      <c r="F3" s="293"/>
      <c r="G3" s="674"/>
      <c r="H3" s="293"/>
      <c r="I3" s="293"/>
      <c r="J3" s="675"/>
      <c r="K3" s="675"/>
      <c r="L3" s="293"/>
      <c r="M3" s="293"/>
      <c r="N3" s="293"/>
      <c r="O3" s="764"/>
      <c r="P3" s="293"/>
      <c r="Q3" s="293"/>
      <c r="R3" s="676"/>
      <c r="S3" s="167"/>
      <c r="T3" s="640"/>
      <c r="U3" s="150" t="s">
        <v>476</v>
      </c>
      <c r="V3" s="293"/>
      <c r="W3" s="174"/>
    </row>
    <row r="4" spans="1:24" s="175" customFormat="1" ht="21.95" customHeight="1" x14ac:dyDescent="0.15">
      <c r="A4" s="292"/>
      <c r="B4" s="447"/>
      <c r="C4" s="447"/>
      <c r="D4" s="447"/>
      <c r="E4" s="725"/>
      <c r="F4" s="407"/>
      <c r="G4" s="212"/>
      <c r="H4" s="212"/>
      <c r="I4" s="212"/>
      <c r="J4" s="212"/>
      <c r="K4" s="212"/>
      <c r="L4" s="212"/>
      <c r="M4" s="212"/>
      <c r="N4" s="211"/>
      <c r="O4" s="210"/>
      <c r="P4" s="209"/>
      <c r="Q4" s="209"/>
      <c r="R4" s="209"/>
      <c r="S4" s="209"/>
      <c r="T4" s="208"/>
      <c r="U4" s="207"/>
      <c r="V4" s="1017" t="s">
        <v>580</v>
      </c>
      <c r="W4" s="273"/>
    </row>
    <row r="5" spans="1:24" s="175" customFormat="1" ht="21.95" customHeight="1" x14ac:dyDescent="0.15">
      <c r="A5" s="447"/>
      <c r="B5" s="1007" t="s">
        <v>327</v>
      </c>
      <c r="C5" s="1007"/>
      <c r="D5" s="1007"/>
      <c r="E5" s="1008"/>
      <c r="F5" s="200" t="s">
        <v>240</v>
      </c>
      <c r="G5" s="195" t="s">
        <v>529</v>
      </c>
      <c r="H5" s="195" t="s">
        <v>530</v>
      </c>
      <c r="I5" s="195" t="s">
        <v>531</v>
      </c>
      <c r="J5" s="195" t="s">
        <v>532</v>
      </c>
      <c r="K5" s="195" t="s">
        <v>533</v>
      </c>
      <c r="L5" s="195" t="s">
        <v>534</v>
      </c>
      <c r="M5" s="205"/>
      <c r="N5" s="204"/>
      <c r="O5" s="197" t="s">
        <v>535</v>
      </c>
      <c r="P5" s="198" t="s">
        <v>536</v>
      </c>
      <c r="Q5" s="198" t="s">
        <v>537</v>
      </c>
      <c r="R5" s="198" t="s">
        <v>538</v>
      </c>
      <c r="S5" s="203" t="s">
        <v>539</v>
      </c>
      <c r="T5" s="202"/>
      <c r="U5" s="201"/>
      <c r="V5" s="1018"/>
      <c r="W5" s="273"/>
      <c r="X5" s="292" t="s">
        <v>237</v>
      </c>
    </row>
    <row r="6" spans="1:24" s="686" customFormat="1" ht="21.95" customHeight="1" x14ac:dyDescent="0.15">
      <c r="A6" s="447"/>
      <c r="B6" s="447"/>
      <c r="C6" s="447"/>
      <c r="D6" s="447"/>
      <c r="E6" s="725"/>
      <c r="F6" s="200"/>
      <c r="G6" s="195" t="s">
        <v>237</v>
      </c>
      <c r="H6" s="195" t="s">
        <v>237</v>
      </c>
      <c r="I6" s="680" t="s">
        <v>238</v>
      </c>
      <c r="J6" s="195"/>
      <c r="K6" s="195"/>
      <c r="L6" s="195" t="s">
        <v>237</v>
      </c>
      <c r="M6" s="195" t="s">
        <v>236</v>
      </c>
      <c r="N6" s="199" t="s">
        <v>235</v>
      </c>
      <c r="O6" s="197"/>
      <c r="P6" s="198"/>
      <c r="Q6" s="198"/>
      <c r="R6" s="198"/>
      <c r="S6" s="198"/>
      <c r="T6" s="198" t="s">
        <v>540</v>
      </c>
      <c r="U6" s="197" t="s">
        <v>541</v>
      </c>
      <c r="V6" s="1018"/>
      <c r="W6" s="273"/>
      <c r="X6" s="292" t="s">
        <v>237</v>
      </c>
    </row>
    <row r="7" spans="1:24" s="175" customFormat="1" ht="33.75" customHeight="1" x14ac:dyDescent="0.15">
      <c r="A7" s="292"/>
      <c r="B7" s="726"/>
      <c r="C7" s="726"/>
      <c r="D7" s="726"/>
      <c r="E7" s="727"/>
      <c r="F7" s="194" t="s">
        <v>947</v>
      </c>
      <c r="G7" s="194" t="s">
        <v>234</v>
      </c>
      <c r="H7" s="194" t="s">
        <v>550</v>
      </c>
      <c r="I7" s="194" t="s">
        <v>551</v>
      </c>
      <c r="J7" s="194" t="s">
        <v>233</v>
      </c>
      <c r="K7" s="194" t="s">
        <v>542</v>
      </c>
      <c r="L7" s="194" t="s">
        <v>948</v>
      </c>
      <c r="M7" s="194" t="s">
        <v>552</v>
      </c>
      <c r="N7" s="193" t="s">
        <v>553</v>
      </c>
      <c r="O7" s="192" t="s">
        <v>242</v>
      </c>
      <c r="P7" s="192" t="s">
        <v>232</v>
      </c>
      <c r="Q7" s="192" t="s">
        <v>231</v>
      </c>
      <c r="R7" s="191" t="s">
        <v>230</v>
      </c>
      <c r="S7" s="729" t="s">
        <v>554</v>
      </c>
      <c r="T7" s="190"/>
      <c r="U7" s="190"/>
      <c r="V7" s="1019"/>
      <c r="W7" s="273"/>
      <c r="X7" s="292" t="s">
        <v>237</v>
      </c>
    </row>
    <row r="8" spans="1:24" s="86" customFormat="1" ht="20.25" customHeight="1" x14ac:dyDescent="0.15">
      <c r="A8" s="169"/>
      <c r="B8" s="843" t="s">
        <v>249</v>
      </c>
      <c r="C8" s="843" t="s">
        <v>901</v>
      </c>
      <c r="D8" s="813"/>
      <c r="E8" s="291"/>
      <c r="F8" s="288">
        <v>30448722</v>
      </c>
      <c r="G8" s="288">
        <v>3282646</v>
      </c>
      <c r="H8" s="288" t="s">
        <v>599</v>
      </c>
      <c r="I8" s="288">
        <v>10087919</v>
      </c>
      <c r="J8" s="288">
        <v>598845</v>
      </c>
      <c r="K8" s="288">
        <v>7538463</v>
      </c>
      <c r="L8" s="288">
        <v>8940849</v>
      </c>
      <c r="M8" s="288">
        <v>1057505</v>
      </c>
      <c r="N8" s="288">
        <v>7883344</v>
      </c>
      <c r="O8" s="288">
        <v>981798</v>
      </c>
      <c r="P8" s="288">
        <v>86688</v>
      </c>
      <c r="Q8" s="288">
        <v>841</v>
      </c>
      <c r="R8" s="288">
        <v>38725</v>
      </c>
      <c r="S8" s="288">
        <v>259632</v>
      </c>
      <c r="T8" s="288">
        <v>210580</v>
      </c>
      <c r="U8" s="844">
        <v>49052</v>
      </c>
      <c r="V8" s="125" t="s">
        <v>902</v>
      </c>
      <c r="W8" s="108"/>
      <c r="X8" s="730"/>
    </row>
    <row r="9" spans="1:24" s="86" customFormat="1" ht="20.25" customHeight="1" x14ac:dyDescent="0.15">
      <c r="A9" s="169"/>
      <c r="B9" s="282" t="s">
        <v>903</v>
      </c>
      <c r="C9" s="282" t="s">
        <v>969</v>
      </c>
      <c r="D9" s="108"/>
      <c r="E9" s="289"/>
      <c r="F9" s="288">
        <v>34069069</v>
      </c>
      <c r="G9" s="288">
        <v>3406830</v>
      </c>
      <c r="H9" s="288">
        <v>3240</v>
      </c>
      <c r="I9" s="288">
        <v>11164796</v>
      </c>
      <c r="J9" s="288">
        <v>955739</v>
      </c>
      <c r="K9" s="288">
        <v>9901113</v>
      </c>
      <c r="L9" s="288">
        <v>8637351</v>
      </c>
      <c r="M9" s="288">
        <v>1672616</v>
      </c>
      <c r="N9" s="288">
        <v>6964735</v>
      </c>
      <c r="O9" s="288">
        <v>839240</v>
      </c>
      <c r="P9" s="288">
        <v>59956</v>
      </c>
      <c r="Q9" s="288">
        <v>923</v>
      </c>
      <c r="R9" s="288">
        <v>36055</v>
      </c>
      <c r="S9" s="288">
        <v>186335</v>
      </c>
      <c r="T9" s="288">
        <v>163822</v>
      </c>
      <c r="U9" s="629">
        <v>22513</v>
      </c>
      <c r="V9" s="125" t="s">
        <v>905</v>
      </c>
      <c r="W9" s="108"/>
      <c r="X9" s="730"/>
    </row>
    <row r="10" spans="1:24" s="86" customFormat="1" ht="20.25" customHeight="1" x14ac:dyDescent="0.15">
      <c r="A10" s="169"/>
      <c r="B10" s="282" t="s">
        <v>248</v>
      </c>
      <c r="C10" s="282" t="s">
        <v>970</v>
      </c>
      <c r="D10" s="108"/>
      <c r="E10" s="289"/>
      <c r="F10" s="288">
        <v>21330362</v>
      </c>
      <c r="G10" s="288">
        <v>2322527</v>
      </c>
      <c r="H10" s="288" t="s">
        <v>599</v>
      </c>
      <c r="I10" s="288">
        <v>4781020</v>
      </c>
      <c r="J10" s="288">
        <v>1313743</v>
      </c>
      <c r="K10" s="288">
        <v>3962210</v>
      </c>
      <c r="L10" s="288">
        <v>8950862</v>
      </c>
      <c r="M10" s="288">
        <v>1327820</v>
      </c>
      <c r="N10" s="288">
        <v>7623042</v>
      </c>
      <c r="O10" s="288">
        <v>749232</v>
      </c>
      <c r="P10" s="288">
        <v>23765</v>
      </c>
      <c r="Q10" s="288">
        <v>633</v>
      </c>
      <c r="R10" s="288">
        <v>42715</v>
      </c>
      <c r="S10" s="288">
        <v>133245</v>
      </c>
      <c r="T10" s="288">
        <v>110328</v>
      </c>
      <c r="U10" s="629">
        <v>22917</v>
      </c>
      <c r="V10" s="125" t="s">
        <v>906</v>
      </c>
      <c r="W10" s="108"/>
      <c r="X10" s="730"/>
    </row>
    <row r="11" spans="1:24" s="86" customFormat="1" ht="20.25" customHeight="1" x14ac:dyDescent="0.15">
      <c r="A11" s="169"/>
      <c r="B11" s="282" t="s">
        <v>248</v>
      </c>
      <c r="C11" s="282" t="s">
        <v>971</v>
      </c>
      <c r="D11" s="108"/>
      <c r="E11" s="289"/>
      <c r="F11" s="288">
        <v>22230511</v>
      </c>
      <c r="G11" s="288">
        <v>3344951</v>
      </c>
      <c r="H11" s="288" t="s">
        <v>599</v>
      </c>
      <c r="I11" s="288">
        <v>5327622</v>
      </c>
      <c r="J11" s="288">
        <v>511923</v>
      </c>
      <c r="K11" s="288">
        <v>4886875</v>
      </c>
      <c r="L11" s="288">
        <v>8159140</v>
      </c>
      <c r="M11" s="288">
        <v>775956</v>
      </c>
      <c r="N11" s="288">
        <v>7383184</v>
      </c>
      <c r="O11" s="288">
        <v>766211</v>
      </c>
      <c r="P11" s="288">
        <v>14830</v>
      </c>
      <c r="Q11" s="288">
        <v>831</v>
      </c>
      <c r="R11" s="288">
        <v>44158</v>
      </c>
      <c r="S11" s="288">
        <v>147278</v>
      </c>
      <c r="T11" s="288">
        <v>133767</v>
      </c>
      <c r="U11" s="629">
        <v>13511</v>
      </c>
      <c r="V11" s="125" t="s">
        <v>907</v>
      </c>
      <c r="W11" s="108"/>
      <c r="X11" s="730"/>
    </row>
    <row r="12" spans="1:24" s="86" customFormat="1" ht="20.25" customHeight="1" x14ac:dyDescent="0.15">
      <c r="A12" s="169"/>
      <c r="B12" s="282" t="s">
        <v>248</v>
      </c>
      <c r="C12" s="282" t="s">
        <v>972</v>
      </c>
      <c r="D12" s="108"/>
      <c r="E12" s="289"/>
      <c r="F12" s="288">
        <v>28584890</v>
      </c>
      <c r="G12" s="288">
        <v>4400750</v>
      </c>
      <c r="H12" s="288" t="s">
        <v>599</v>
      </c>
      <c r="I12" s="288">
        <v>6797549</v>
      </c>
      <c r="J12" s="288">
        <v>1033947</v>
      </c>
      <c r="K12" s="288">
        <v>7805554</v>
      </c>
      <c r="L12" s="288">
        <v>8547090</v>
      </c>
      <c r="M12" s="288">
        <v>204144</v>
      </c>
      <c r="N12" s="288">
        <v>8342946</v>
      </c>
      <c r="O12" s="288">
        <v>794064</v>
      </c>
      <c r="P12" s="288">
        <v>11421</v>
      </c>
      <c r="Q12" s="288">
        <v>677</v>
      </c>
      <c r="R12" s="288">
        <v>42975</v>
      </c>
      <c r="S12" s="288">
        <v>236149</v>
      </c>
      <c r="T12" s="288">
        <v>227133</v>
      </c>
      <c r="U12" s="629">
        <v>9016</v>
      </c>
      <c r="V12" s="125" t="s">
        <v>908</v>
      </c>
      <c r="W12" s="108"/>
      <c r="X12" s="108"/>
    </row>
    <row r="13" spans="1:24" s="86" customFormat="1" ht="20.25" customHeight="1" x14ac:dyDescent="0.15">
      <c r="A13" s="169"/>
      <c r="B13" s="282"/>
      <c r="C13" s="282"/>
      <c r="E13" s="285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629"/>
      <c r="V13" s="288"/>
      <c r="W13" s="108"/>
      <c r="X13" s="730"/>
    </row>
    <row r="14" spans="1:24" s="86" customFormat="1" ht="20.25" customHeight="1" x14ac:dyDescent="0.15">
      <c r="A14" s="169"/>
      <c r="B14" s="282" t="s">
        <v>903</v>
      </c>
      <c r="C14" s="282" t="s">
        <v>909</v>
      </c>
      <c r="D14" s="797"/>
      <c r="E14" s="287"/>
      <c r="F14" s="288">
        <v>23940994</v>
      </c>
      <c r="G14" s="288">
        <v>3984149</v>
      </c>
      <c r="H14" s="288" t="s">
        <v>599</v>
      </c>
      <c r="I14" s="288">
        <v>5713857</v>
      </c>
      <c r="J14" s="288">
        <v>384819</v>
      </c>
      <c r="K14" s="288">
        <v>5938069</v>
      </c>
      <c r="L14" s="288">
        <v>7920100</v>
      </c>
      <c r="M14" s="288">
        <v>446974</v>
      </c>
      <c r="N14" s="288">
        <v>7473126</v>
      </c>
      <c r="O14" s="288">
        <v>723422</v>
      </c>
      <c r="P14" s="288">
        <v>14830</v>
      </c>
      <c r="Q14" s="288">
        <v>807</v>
      </c>
      <c r="R14" s="288">
        <v>46346</v>
      </c>
      <c r="S14" s="288">
        <v>183639</v>
      </c>
      <c r="T14" s="288">
        <v>168625</v>
      </c>
      <c r="U14" s="629">
        <v>15014</v>
      </c>
      <c r="V14" s="124" t="s">
        <v>910</v>
      </c>
      <c r="W14" s="108"/>
      <c r="X14" s="274" t="s">
        <v>237</v>
      </c>
    </row>
    <row r="15" spans="1:24" s="86" customFormat="1" ht="20.25" customHeight="1" x14ac:dyDescent="0.15">
      <c r="A15" s="169"/>
      <c r="B15" s="282" t="s">
        <v>248</v>
      </c>
      <c r="C15" s="282" t="s">
        <v>972</v>
      </c>
      <c r="D15" s="797"/>
      <c r="E15" s="287"/>
      <c r="F15" s="288">
        <v>29347208</v>
      </c>
      <c r="G15" s="288">
        <v>4360883</v>
      </c>
      <c r="H15" s="288" t="s">
        <v>599</v>
      </c>
      <c r="I15" s="288">
        <v>7234623</v>
      </c>
      <c r="J15" s="288">
        <v>1122791</v>
      </c>
      <c r="K15" s="288">
        <v>7995993</v>
      </c>
      <c r="L15" s="288">
        <v>8632918</v>
      </c>
      <c r="M15" s="288">
        <v>173141</v>
      </c>
      <c r="N15" s="288">
        <v>8459777</v>
      </c>
      <c r="O15" s="288">
        <v>765879</v>
      </c>
      <c r="P15" s="288">
        <v>11421</v>
      </c>
      <c r="Q15" s="288">
        <v>683</v>
      </c>
      <c r="R15" s="288">
        <v>31107</v>
      </c>
      <c r="S15" s="288">
        <v>249331</v>
      </c>
      <c r="T15" s="288">
        <v>241818</v>
      </c>
      <c r="U15" s="629">
        <v>7513</v>
      </c>
      <c r="V15" s="124" t="s">
        <v>911</v>
      </c>
      <c r="W15" s="108"/>
      <c r="X15" s="274"/>
    </row>
    <row r="16" spans="1:24" s="86" customFormat="1" ht="20.25" customHeight="1" x14ac:dyDescent="0.15">
      <c r="A16" s="169"/>
      <c r="B16" s="282"/>
      <c r="C16" s="282"/>
      <c r="E16" s="285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629"/>
      <c r="V16" s="119"/>
      <c r="W16" s="108"/>
      <c r="X16" s="274"/>
    </row>
    <row r="17" spans="1:24" s="86" customFormat="1" ht="20.25" customHeight="1" x14ac:dyDescent="0.15">
      <c r="A17" s="169"/>
      <c r="B17" s="282" t="s">
        <v>903</v>
      </c>
      <c r="C17" s="282" t="s">
        <v>912</v>
      </c>
      <c r="D17" s="290" t="s">
        <v>723</v>
      </c>
      <c r="E17" s="287"/>
      <c r="F17" s="288">
        <v>7359960</v>
      </c>
      <c r="G17" s="288">
        <v>1792251</v>
      </c>
      <c r="H17" s="288" t="s">
        <v>599</v>
      </c>
      <c r="I17" s="288">
        <v>1326601</v>
      </c>
      <c r="J17" s="288">
        <v>157366</v>
      </c>
      <c r="K17" s="288">
        <v>1984912</v>
      </c>
      <c r="L17" s="288">
        <v>2098830</v>
      </c>
      <c r="M17" s="288">
        <v>72943</v>
      </c>
      <c r="N17" s="288">
        <v>2025887</v>
      </c>
      <c r="O17" s="288">
        <v>203887</v>
      </c>
      <c r="P17" s="288" t="s">
        <v>599</v>
      </c>
      <c r="Q17" s="288">
        <v>176</v>
      </c>
      <c r="R17" s="288">
        <v>15762</v>
      </c>
      <c r="S17" s="288">
        <v>46255</v>
      </c>
      <c r="T17" s="288">
        <v>43250</v>
      </c>
      <c r="U17" s="629">
        <v>3005</v>
      </c>
      <c r="V17" s="120" t="s">
        <v>913</v>
      </c>
      <c r="W17" s="108"/>
      <c r="X17" s="274"/>
    </row>
    <row r="18" spans="1:24" s="86" customFormat="1" ht="20.25" customHeight="1" x14ac:dyDescent="0.15">
      <c r="A18" s="169"/>
      <c r="B18" s="282" t="s">
        <v>248</v>
      </c>
      <c r="C18" s="282" t="s">
        <v>248</v>
      </c>
      <c r="D18" s="290" t="s">
        <v>724</v>
      </c>
      <c r="E18" s="287"/>
      <c r="F18" s="288">
        <v>6252491</v>
      </c>
      <c r="G18" s="288">
        <v>610595</v>
      </c>
      <c r="H18" s="288" t="s">
        <v>599</v>
      </c>
      <c r="I18" s="288">
        <v>1663204</v>
      </c>
      <c r="J18" s="288">
        <v>121734</v>
      </c>
      <c r="K18" s="288">
        <v>1696770</v>
      </c>
      <c r="L18" s="288">
        <v>2160188</v>
      </c>
      <c r="M18" s="288">
        <v>36219</v>
      </c>
      <c r="N18" s="288">
        <v>2123969</v>
      </c>
      <c r="O18" s="288">
        <v>220067</v>
      </c>
      <c r="P18" s="288">
        <v>4280</v>
      </c>
      <c r="Q18" s="288">
        <v>162</v>
      </c>
      <c r="R18" s="288">
        <v>10969</v>
      </c>
      <c r="S18" s="288">
        <v>62973</v>
      </c>
      <c r="T18" s="288">
        <v>58464</v>
      </c>
      <c r="U18" s="629">
        <v>4509</v>
      </c>
      <c r="V18" s="123" t="s">
        <v>914</v>
      </c>
      <c r="W18" s="108"/>
      <c r="X18" s="274"/>
    </row>
    <row r="19" spans="1:24" s="86" customFormat="1" ht="20.25" customHeight="1" x14ac:dyDescent="0.15">
      <c r="A19" s="169"/>
      <c r="B19" s="282" t="s">
        <v>248</v>
      </c>
      <c r="C19" s="282" t="s">
        <v>248</v>
      </c>
      <c r="D19" s="290" t="s">
        <v>725</v>
      </c>
      <c r="E19" s="287"/>
      <c r="F19" s="288">
        <v>8157864</v>
      </c>
      <c r="G19" s="288">
        <v>754285</v>
      </c>
      <c r="H19" s="288" t="s">
        <v>599</v>
      </c>
      <c r="I19" s="288">
        <v>2297548</v>
      </c>
      <c r="J19" s="288">
        <v>238377</v>
      </c>
      <c r="K19" s="288">
        <v>2403495</v>
      </c>
      <c r="L19" s="288">
        <v>2464159</v>
      </c>
      <c r="M19" s="288">
        <v>52545</v>
      </c>
      <c r="N19" s="288">
        <v>2411614</v>
      </c>
      <c r="O19" s="288">
        <v>199574</v>
      </c>
      <c r="P19" s="288">
        <v>7141</v>
      </c>
      <c r="Q19" s="288">
        <v>141</v>
      </c>
      <c r="R19" s="288">
        <v>8911</v>
      </c>
      <c r="S19" s="288">
        <v>74710</v>
      </c>
      <c r="T19" s="288">
        <v>73208</v>
      </c>
      <c r="U19" s="629">
        <v>1502</v>
      </c>
      <c r="V19" s="122" t="s">
        <v>915</v>
      </c>
      <c r="W19" s="108"/>
      <c r="X19" s="274" t="s">
        <v>237</v>
      </c>
    </row>
    <row r="20" spans="1:24" s="86" customFormat="1" ht="20.25" customHeight="1" x14ac:dyDescent="0.15">
      <c r="A20" s="169"/>
      <c r="B20" s="282" t="s">
        <v>248</v>
      </c>
      <c r="C20" s="282" t="s">
        <v>248</v>
      </c>
      <c r="D20" s="290" t="s">
        <v>629</v>
      </c>
      <c r="E20" s="287"/>
      <c r="F20" s="288">
        <v>6814575</v>
      </c>
      <c r="G20" s="288">
        <v>1243619</v>
      </c>
      <c r="H20" s="288" t="s">
        <v>599</v>
      </c>
      <c r="I20" s="288">
        <v>1510196</v>
      </c>
      <c r="J20" s="288">
        <v>516470</v>
      </c>
      <c r="K20" s="288">
        <v>1720377</v>
      </c>
      <c r="L20" s="288">
        <v>1823913</v>
      </c>
      <c r="M20" s="288">
        <v>42437</v>
      </c>
      <c r="N20" s="288">
        <v>1781476</v>
      </c>
      <c r="O20" s="288">
        <v>170536</v>
      </c>
      <c r="P20" s="288" t="s">
        <v>599</v>
      </c>
      <c r="Q20" s="288">
        <v>198</v>
      </c>
      <c r="R20" s="288">
        <v>7333</v>
      </c>
      <c r="S20" s="288">
        <v>52211</v>
      </c>
      <c r="T20" s="288">
        <v>52211</v>
      </c>
      <c r="U20" s="629" t="s">
        <v>599</v>
      </c>
      <c r="V20" s="121" t="s">
        <v>916</v>
      </c>
      <c r="W20" s="108"/>
      <c r="X20" s="274" t="s">
        <v>237</v>
      </c>
    </row>
    <row r="21" spans="1:24" s="86" customFormat="1" ht="20.25" customHeight="1" x14ac:dyDescent="0.15">
      <c r="A21" s="169"/>
      <c r="B21" s="282" t="s">
        <v>903</v>
      </c>
      <c r="C21" s="282" t="s">
        <v>917</v>
      </c>
      <c r="D21" s="290" t="s">
        <v>726</v>
      </c>
      <c r="E21" s="287"/>
      <c r="F21" s="288">
        <v>8122278</v>
      </c>
      <c r="G21" s="288">
        <v>1752384</v>
      </c>
      <c r="H21" s="288" t="s">
        <v>599</v>
      </c>
      <c r="I21" s="288">
        <v>1763675</v>
      </c>
      <c r="J21" s="288">
        <v>246210</v>
      </c>
      <c r="K21" s="288">
        <v>2175351</v>
      </c>
      <c r="L21" s="288">
        <v>2184658</v>
      </c>
      <c r="M21" s="288">
        <v>41940</v>
      </c>
      <c r="N21" s="288">
        <v>2142718</v>
      </c>
      <c r="O21" s="288">
        <v>175702</v>
      </c>
      <c r="P21" s="288" t="s">
        <v>599</v>
      </c>
      <c r="Q21" s="288">
        <v>182</v>
      </c>
      <c r="R21" s="288">
        <v>3894</v>
      </c>
      <c r="S21" s="288">
        <v>59437</v>
      </c>
      <c r="T21" s="288">
        <v>57935</v>
      </c>
      <c r="U21" s="629">
        <v>1502</v>
      </c>
      <c r="V21" s="120" t="s">
        <v>918</v>
      </c>
      <c r="W21" s="108"/>
      <c r="X21" s="274"/>
    </row>
    <row r="22" spans="1:24" s="86" customFormat="1" ht="20.25" customHeight="1" x14ac:dyDescent="0.15">
      <c r="A22" s="169"/>
      <c r="B22" s="282"/>
      <c r="C22" s="282"/>
      <c r="E22" s="285"/>
      <c r="F22" s="405"/>
      <c r="G22" s="405"/>
      <c r="H22" s="405"/>
      <c r="I22" s="405"/>
      <c r="J22" s="405"/>
      <c r="K22" s="405"/>
      <c r="L22" s="405"/>
      <c r="M22" s="405"/>
      <c r="N22" s="405"/>
      <c r="O22" s="406"/>
      <c r="P22" s="406"/>
      <c r="Q22" s="406"/>
      <c r="R22" s="406"/>
      <c r="S22" s="406"/>
      <c r="T22" s="406"/>
      <c r="U22" s="630"/>
      <c r="V22" s="119"/>
      <c r="W22" s="108"/>
      <c r="X22" s="274"/>
    </row>
    <row r="23" spans="1:24" s="86" customFormat="1" ht="20.25" customHeight="1" x14ac:dyDescent="0.15">
      <c r="A23" s="169"/>
      <c r="B23" s="282" t="s">
        <v>903</v>
      </c>
      <c r="C23" s="282" t="s">
        <v>912</v>
      </c>
      <c r="D23" s="282" t="s">
        <v>707</v>
      </c>
      <c r="E23" s="281"/>
      <c r="F23" s="284">
        <v>2567882</v>
      </c>
      <c r="G23" s="284">
        <v>576918</v>
      </c>
      <c r="H23" s="116" t="s">
        <v>599</v>
      </c>
      <c r="I23" s="284">
        <v>459582</v>
      </c>
      <c r="J23" s="284">
        <v>117430</v>
      </c>
      <c r="K23" s="284">
        <v>798732</v>
      </c>
      <c r="L23" s="284">
        <v>615220</v>
      </c>
      <c r="M23" s="284">
        <v>14000</v>
      </c>
      <c r="N23" s="284">
        <v>601220</v>
      </c>
      <c r="O23" s="284">
        <v>58029</v>
      </c>
      <c r="P23" s="116" t="s">
        <v>599</v>
      </c>
      <c r="Q23" s="284">
        <v>68</v>
      </c>
      <c r="R23" s="284">
        <v>4723</v>
      </c>
      <c r="S23" s="284">
        <v>10679</v>
      </c>
      <c r="T23" s="284">
        <v>10679</v>
      </c>
      <c r="U23" s="286" t="s">
        <v>599</v>
      </c>
      <c r="V23" s="118" t="s">
        <v>919</v>
      </c>
      <c r="W23" s="108"/>
      <c r="X23" s="274" t="s">
        <v>237</v>
      </c>
    </row>
    <row r="24" spans="1:24" s="86" customFormat="1" ht="20.25" customHeight="1" x14ac:dyDescent="0.15">
      <c r="A24" s="169"/>
      <c r="B24" s="282" t="s">
        <v>248</v>
      </c>
      <c r="C24" s="282" t="s">
        <v>248</v>
      </c>
      <c r="D24" s="282" t="s">
        <v>708</v>
      </c>
      <c r="E24" s="281"/>
      <c r="F24" s="288">
        <v>2375048</v>
      </c>
      <c r="G24" s="288">
        <v>666725</v>
      </c>
      <c r="H24" s="288" t="s">
        <v>599</v>
      </c>
      <c r="I24" s="288">
        <v>383995</v>
      </c>
      <c r="J24" s="288">
        <v>39898</v>
      </c>
      <c r="K24" s="288">
        <v>566969</v>
      </c>
      <c r="L24" s="288">
        <v>717461</v>
      </c>
      <c r="M24" s="288">
        <v>30572</v>
      </c>
      <c r="N24" s="288">
        <v>686889</v>
      </c>
      <c r="O24" s="288">
        <v>61837</v>
      </c>
      <c r="P24" s="288" t="s">
        <v>599</v>
      </c>
      <c r="Q24" s="288">
        <v>55</v>
      </c>
      <c r="R24" s="288">
        <v>5923</v>
      </c>
      <c r="S24" s="288">
        <v>11494</v>
      </c>
      <c r="T24" s="288">
        <v>11494</v>
      </c>
      <c r="U24" s="629" t="s">
        <v>599</v>
      </c>
      <c r="V24" s="113" t="s">
        <v>920</v>
      </c>
      <c r="W24" s="108"/>
      <c r="X24" s="274"/>
    </row>
    <row r="25" spans="1:24" s="86" customFormat="1" ht="20.25" customHeight="1" x14ac:dyDescent="0.15">
      <c r="A25" s="169"/>
      <c r="B25" s="282" t="s">
        <v>248</v>
      </c>
      <c r="C25" s="282" t="s">
        <v>248</v>
      </c>
      <c r="D25" s="282" t="s">
        <v>709</v>
      </c>
      <c r="E25" s="281"/>
      <c r="F25" s="284">
        <v>2417030</v>
      </c>
      <c r="G25" s="284">
        <v>548608</v>
      </c>
      <c r="H25" s="116" t="s">
        <v>599</v>
      </c>
      <c r="I25" s="284">
        <v>483024</v>
      </c>
      <c r="J25" s="284">
        <v>38</v>
      </c>
      <c r="K25" s="284">
        <v>619211</v>
      </c>
      <c r="L25" s="284">
        <v>766149</v>
      </c>
      <c r="M25" s="284">
        <v>28371</v>
      </c>
      <c r="N25" s="284">
        <v>737778</v>
      </c>
      <c r="O25" s="284">
        <v>84021</v>
      </c>
      <c r="P25" s="116" t="s">
        <v>599</v>
      </c>
      <c r="Q25" s="284">
        <v>53</v>
      </c>
      <c r="R25" s="284">
        <v>5116</v>
      </c>
      <c r="S25" s="284">
        <v>24082</v>
      </c>
      <c r="T25" s="284">
        <v>21077</v>
      </c>
      <c r="U25" s="186">
        <v>3005</v>
      </c>
      <c r="V25" s="113" t="s">
        <v>921</v>
      </c>
      <c r="W25" s="108"/>
      <c r="X25" s="274" t="s">
        <v>237</v>
      </c>
    </row>
    <row r="26" spans="1:24" s="86" customFormat="1" ht="20.25" customHeight="1" x14ac:dyDescent="0.15">
      <c r="A26" s="169"/>
      <c r="B26" s="282" t="s">
        <v>248</v>
      </c>
      <c r="C26" s="282" t="s">
        <v>248</v>
      </c>
      <c r="D26" s="282" t="s">
        <v>710</v>
      </c>
      <c r="E26" s="281"/>
      <c r="F26" s="288">
        <v>1649450</v>
      </c>
      <c r="G26" s="288">
        <v>188850</v>
      </c>
      <c r="H26" s="288" t="s">
        <v>599</v>
      </c>
      <c r="I26" s="288">
        <v>401898</v>
      </c>
      <c r="J26" s="288" t="s">
        <v>599</v>
      </c>
      <c r="K26" s="288">
        <v>361800</v>
      </c>
      <c r="L26" s="288">
        <v>696902</v>
      </c>
      <c r="M26" s="288">
        <v>15079</v>
      </c>
      <c r="N26" s="288">
        <v>681823</v>
      </c>
      <c r="O26" s="288">
        <v>71698</v>
      </c>
      <c r="P26" s="288" t="s">
        <v>599</v>
      </c>
      <c r="Q26" s="288">
        <v>57</v>
      </c>
      <c r="R26" s="288">
        <v>4631</v>
      </c>
      <c r="S26" s="288">
        <v>22285</v>
      </c>
      <c r="T26" s="288">
        <v>17776</v>
      </c>
      <c r="U26" s="629">
        <v>4509</v>
      </c>
      <c r="V26" s="113" t="s">
        <v>922</v>
      </c>
      <c r="W26" s="108"/>
      <c r="X26" s="274"/>
    </row>
    <row r="27" spans="1:24" s="86" customFormat="1" ht="20.25" customHeight="1" x14ac:dyDescent="0.15">
      <c r="A27" s="169"/>
      <c r="B27" s="282" t="s">
        <v>248</v>
      </c>
      <c r="C27" s="282" t="s">
        <v>248</v>
      </c>
      <c r="D27" s="282" t="s">
        <v>711</v>
      </c>
      <c r="E27" s="281"/>
      <c r="F27" s="288">
        <v>2424796</v>
      </c>
      <c r="G27" s="288">
        <v>259056</v>
      </c>
      <c r="H27" s="288" t="s">
        <v>599</v>
      </c>
      <c r="I27" s="288">
        <v>692805</v>
      </c>
      <c r="J27" s="288">
        <v>71730</v>
      </c>
      <c r="K27" s="288">
        <v>661175</v>
      </c>
      <c r="L27" s="288">
        <v>740030</v>
      </c>
      <c r="M27" s="288">
        <v>18832</v>
      </c>
      <c r="N27" s="288">
        <v>721198</v>
      </c>
      <c r="O27" s="288">
        <v>79391</v>
      </c>
      <c r="P27" s="288" t="s">
        <v>599</v>
      </c>
      <c r="Q27" s="288">
        <v>59</v>
      </c>
      <c r="R27" s="288">
        <v>1993</v>
      </c>
      <c r="S27" s="288">
        <v>16878</v>
      </c>
      <c r="T27" s="288">
        <v>16878</v>
      </c>
      <c r="U27" s="629" t="s">
        <v>599</v>
      </c>
      <c r="V27" s="113" t="s">
        <v>477</v>
      </c>
      <c r="W27" s="108"/>
      <c r="X27" s="274" t="s">
        <v>237</v>
      </c>
    </row>
    <row r="28" spans="1:24" s="86" customFormat="1" ht="20.25" customHeight="1" x14ac:dyDescent="0.15">
      <c r="A28" s="169"/>
      <c r="B28" s="282" t="s">
        <v>248</v>
      </c>
      <c r="C28" s="282" t="s">
        <v>248</v>
      </c>
      <c r="D28" s="282" t="s">
        <v>712</v>
      </c>
      <c r="E28" s="281"/>
      <c r="F28" s="288">
        <v>2178245</v>
      </c>
      <c r="G28" s="288">
        <v>162689</v>
      </c>
      <c r="H28" s="288" t="s">
        <v>599</v>
      </c>
      <c r="I28" s="288">
        <v>568501</v>
      </c>
      <c r="J28" s="288">
        <v>50004</v>
      </c>
      <c r="K28" s="288">
        <v>673795</v>
      </c>
      <c r="L28" s="288">
        <v>723256</v>
      </c>
      <c r="M28" s="288">
        <v>2308</v>
      </c>
      <c r="N28" s="288">
        <v>720948</v>
      </c>
      <c r="O28" s="288">
        <v>68978</v>
      </c>
      <c r="P28" s="288">
        <v>4280</v>
      </c>
      <c r="Q28" s="288">
        <v>46</v>
      </c>
      <c r="R28" s="288">
        <v>4345</v>
      </c>
      <c r="S28" s="288">
        <v>23810</v>
      </c>
      <c r="T28" s="288">
        <v>23810</v>
      </c>
      <c r="U28" s="629" t="s">
        <v>599</v>
      </c>
      <c r="V28" s="113" t="s">
        <v>924</v>
      </c>
      <c r="W28" s="108"/>
      <c r="X28" s="274"/>
    </row>
    <row r="29" spans="1:24" s="86" customFormat="1" ht="20.25" customHeight="1" x14ac:dyDescent="0.15">
      <c r="A29" s="169"/>
      <c r="B29" s="282" t="s">
        <v>248</v>
      </c>
      <c r="C29" s="282" t="s">
        <v>248</v>
      </c>
      <c r="D29" s="282" t="s">
        <v>713</v>
      </c>
      <c r="E29" s="281"/>
      <c r="F29" s="288">
        <v>2385887</v>
      </c>
      <c r="G29" s="288">
        <v>181027</v>
      </c>
      <c r="H29" s="288" t="s">
        <v>599</v>
      </c>
      <c r="I29" s="288">
        <v>725999</v>
      </c>
      <c r="J29" s="288">
        <v>94850</v>
      </c>
      <c r="K29" s="288">
        <v>572586</v>
      </c>
      <c r="L29" s="288">
        <v>811425</v>
      </c>
      <c r="M29" s="288">
        <v>5827</v>
      </c>
      <c r="N29" s="288">
        <v>805598</v>
      </c>
      <c r="O29" s="288">
        <v>74231</v>
      </c>
      <c r="P29" s="288" t="s">
        <v>599</v>
      </c>
      <c r="Q29" s="288">
        <v>38</v>
      </c>
      <c r="R29" s="288">
        <v>2866</v>
      </c>
      <c r="S29" s="288">
        <v>28712</v>
      </c>
      <c r="T29" s="288">
        <v>28712</v>
      </c>
      <c r="U29" s="629" t="s">
        <v>599</v>
      </c>
      <c r="V29" s="113" t="s">
        <v>925</v>
      </c>
      <c r="W29" s="108"/>
      <c r="X29" s="274" t="s">
        <v>237</v>
      </c>
    </row>
    <row r="30" spans="1:24" s="86" customFormat="1" ht="20.25" customHeight="1" x14ac:dyDescent="0.15">
      <c r="A30" s="169"/>
      <c r="B30" s="282" t="s">
        <v>248</v>
      </c>
      <c r="C30" s="282" t="s">
        <v>248</v>
      </c>
      <c r="D30" s="282" t="s">
        <v>714</v>
      </c>
      <c r="E30" s="281"/>
      <c r="F30" s="288">
        <v>2815913</v>
      </c>
      <c r="G30" s="288">
        <v>287887</v>
      </c>
      <c r="H30" s="288" t="s">
        <v>599</v>
      </c>
      <c r="I30" s="288">
        <v>820852</v>
      </c>
      <c r="J30" s="288">
        <v>69927</v>
      </c>
      <c r="K30" s="288">
        <v>895843</v>
      </c>
      <c r="L30" s="288">
        <v>741404</v>
      </c>
      <c r="M30" s="288">
        <v>16351</v>
      </c>
      <c r="N30" s="288">
        <v>725053</v>
      </c>
      <c r="O30" s="288">
        <v>56029</v>
      </c>
      <c r="P30" s="288">
        <v>4141</v>
      </c>
      <c r="Q30" s="288">
        <v>48</v>
      </c>
      <c r="R30" s="288">
        <v>1460</v>
      </c>
      <c r="S30" s="288">
        <v>21549</v>
      </c>
      <c r="T30" s="288">
        <v>21549</v>
      </c>
      <c r="U30" s="629" t="s">
        <v>599</v>
      </c>
      <c r="V30" s="113" t="s">
        <v>926</v>
      </c>
      <c r="W30" s="108"/>
      <c r="X30" s="274"/>
    </row>
    <row r="31" spans="1:24" s="86" customFormat="1" ht="20.25" customHeight="1" x14ac:dyDescent="0.15">
      <c r="A31" s="169"/>
      <c r="B31" s="282" t="s">
        <v>248</v>
      </c>
      <c r="C31" s="282" t="s">
        <v>248</v>
      </c>
      <c r="D31" s="282" t="s">
        <v>715</v>
      </c>
      <c r="E31" s="281"/>
      <c r="F31" s="288">
        <v>2956064</v>
      </c>
      <c r="G31" s="288">
        <v>285371</v>
      </c>
      <c r="H31" s="288" t="s">
        <v>599</v>
      </c>
      <c r="I31" s="288">
        <v>750697</v>
      </c>
      <c r="J31" s="288">
        <v>73600</v>
      </c>
      <c r="K31" s="288">
        <v>935066</v>
      </c>
      <c r="L31" s="288">
        <v>911330</v>
      </c>
      <c r="M31" s="288">
        <v>30367</v>
      </c>
      <c r="N31" s="288">
        <v>880963</v>
      </c>
      <c r="O31" s="288">
        <v>69314</v>
      </c>
      <c r="P31" s="288">
        <v>3000</v>
      </c>
      <c r="Q31" s="288">
        <v>55</v>
      </c>
      <c r="R31" s="288">
        <v>4585</v>
      </c>
      <c r="S31" s="288">
        <v>24449</v>
      </c>
      <c r="T31" s="288">
        <v>22947</v>
      </c>
      <c r="U31" s="629">
        <v>1502</v>
      </c>
      <c r="V31" s="113" t="s">
        <v>927</v>
      </c>
      <c r="W31" s="108"/>
      <c r="X31" s="274" t="s">
        <v>237</v>
      </c>
    </row>
    <row r="32" spans="1:24" s="86" customFormat="1" ht="20.25" customHeight="1" x14ac:dyDescent="0.15">
      <c r="A32" s="169"/>
      <c r="B32" s="282" t="s">
        <v>248</v>
      </c>
      <c r="C32" s="282" t="s">
        <v>248</v>
      </c>
      <c r="D32" s="798" t="s">
        <v>928</v>
      </c>
      <c r="E32" s="281"/>
      <c r="F32" s="288">
        <v>2160390</v>
      </c>
      <c r="G32" s="288">
        <v>356907</v>
      </c>
      <c r="H32" s="288" t="s">
        <v>599</v>
      </c>
      <c r="I32" s="288">
        <v>551560</v>
      </c>
      <c r="J32" s="288">
        <v>170423</v>
      </c>
      <c r="K32" s="288">
        <v>435104</v>
      </c>
      <c r="L32" s="288">
        <v>646396</v>
      </c>
      <c r="M32" s="288">
        <v>15570</v>
      </c>
      <c r="N32" s="288">
        <v>630826</v>
      </c>
      <c r="O32" s="288">
        <v>44347</v>
      </c>
      <c r="P32" s="288" t="s">
        <v>599</v>
      </c>
      <c r="Q32" s="288">
        <v>50</v>
      </c>
      <c r="R32" s="288">
        <v>4303</v>
      </c>
      <c r="S32" s="288">
        <v>18330</v>
      </c>
      <c r="T32" s="288">
        <v>18330</v>
      </c>
      <c r="U32" s="629" t="s">
        <v>599</v>
      </c>
      <c r="V32" s="113" t="s">
        <v>929</v>
      </c>
      <c r="W32" s="108"/>
      <c r="X32" s="274"/>
    </row>
    <row r="33" spans="1:24" s="86" customFormat="1" ht="20.25" customHeight="1" x14ac:dyDescent="0.15">
      <c r="A33" s="169"/>
      <c r="B33" s="282" t="s">
        <v>248</v>
      </c>
      <c r="C33" s="282" t="s">
        <v>248</v>
      </c>
      <c r="D33" s="798" t="s">
        <v>930</v>
      </c>
      <c r="E33" s="281"/>
      <c r="F33" s="288">
        <v>2232400</v>
      </c>
      <c r="G33" s="288">
        <v>442325</v>
      </c>
      <c r="H33" s="288" t="s">
        <v>599</v>
      </c>
      <c r="I33" s="288">
        <v>436788</v>
      </c>
      <c r="J33" s="288">
        <v>197822</v>
      </c>
      <c r="K33" s="288">
        <v>578165</v>
      </c>
      <c r="L33" s="288">
        <v>577300</v>
      </c>
      <c r="M33" s="288">
        <v>21253</v>
      </c>
      <c r="N33" s="288">
        <v>556047</v>
      </c>
      <c r="O33" s="288">
        <v>58286</v>
      </c>
      <c r="P33" s="288" t="s">
        <v>599</v>
      </c>
      <c r="Q33" s="288">
        <v>59</v>
      </c>
      <c r="R33" s="288">
        <v>1472</v>
      </c>
      <c r="S33" s="288">
        <v>15286</v>
      </c>
      <c r="T33" s="288">
        <v>15286</v>
      </c>
      <c r="U33" s="629" t="s">
        <v>599</v>
      </c>
      <c r="V33" s="113" t="s">
        <v>931</v>
      </c>
      <c r="W33" s="108"/>
      <c r="X33" s="274"/>
    </row>
    <row r="34" spans="1:24" s="86" customFormat="1" ht="20.25" customHeight="1" x14ac:dyDescent="0.15">
      <c r="A34" s="169"/>
      <c r="B34" s="282" t="s">
        <v>248</v>
      </c>
      <c r="C34" s="282" t="s">
        <v>248</v>
      </c>
      <c r="D34" s="798" t="s">
        <v>932</v>
      </c>
      <c r="E34" s="281"/>
      <c r="F34" s="288">
        <v>2421785</v>
      </c>
      <c r="G34" s="288">
        <v>444387</v>
      </c>
      <c r="H34" s="288" t="s">
        <v>599</v>
      </c>
      <c r="I34" s="288">
        <v>521848</v>
      </c>
      <c r="J34" s="288">
        <v>148225</v>
      </c>
      <c r="K34" s="288">
        <v>707108</v>
      </c>
      <c r="L34" s="288">
        <v>600217</v>
      </c>
      <c r="M34" s="288">
        <v>5614</v>
      </c>
      <c r="N34" s="288">
        <v>594603</v>
      </c>
      <c r="O34" s="288">
        <v>67903</v>
      </c>
      <c r="P34" s="288" t="s">
        <v>599</v>
      </c>
      <c r="Q34" s="288">
        <v>89</v>
      </c>
      <c r="R34" s="288">
        <v>1558</v>
      </c>
      <c r="S34" s="288">
        <v>18595</v>
      </c>
      <c r="T34" s="288">
        <v>18595</v>
      </c>
      <c r="U34" s="629" t="s">
        <v>599</v>
      </c>
      <c r="V34" s="113" t="s">
        <v>933</v>
      </c>
      <c r="W34" s="108"/>
      <c r="X34" s="274" t="s">
        <v>237</v>
      </c>
    </row>
    <row r="35" spans="1:24" s="86" customFormat="1" ht="20.25" customHeight="1" x14ac:dyDescent="0.15">
      <c r="A35" s="169"/>
      <c r="B35" s="282"/>
      <c r="C35" s="282"/>
      <c r="D35" s="282"/>
      <c r="E35" s="281"/>
      <c r="F35" s="288"/>
      <c r="G35" s="405"/>
      <c r="H35" s="405"/>
      <c r="I35" s="405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629"/>
      <c r="V35" s="283"/>
      <c r="W35" s="108"/>
      <c r="X35" s="274"/>
    </row>
    <row r="36" spans="1:24" s="86" customFormat="1" ht="20.25" customHeight="1" x14ac:dyDescent="0.15">
      <c r="A36" s="169"/>
      <c r="B36" s="282" t="s">
        <v>903</v>
      </c>
      <c r="C36" s="282" t="s">
        <v>917</v>
      </c>
      <c r="D36" s="282" t="s">
        <v>716</v>
      </c>
      <c r="E36" s="281"/>
      <c r="F36" s="288">
        <v>2682474</v>
      </c>
      <c r="G36" s="288">
        <v>556786</v>
      </c>
      <c r="H36" s="288" t="s">
        <v>599</v>
      </c>
      <c r="I36" s="288">
        <v>473627</v>
      </c>
      <c r="J36" s="288">
        <v>98392</v>
      </c>
      <c r="K36" s="288">
        <v>845038</v>
      </c>
      <c r="L36" s="288">
        <v>708631</v>
      </c>
      <c r="M36" s="288">
        <v>31692</v>
      </c>
      <c r="N36" s="288">
        <v>676939</v>
      </c>
      <c r="O36" s="288">
        <v>56591</v>
      </c>
      <c r="P36" s="288" t="s">
        <v>599</v>
      </c>
      <c r="Q36" s="288">
        <v>51</v>
      </c>
      <c r="R36" s="288">
        <v>1296</v>
      </c>
      <c r="S36" s="288">
        <v>15993</v>
      </c>
      <c r="T36" s="288">
        <v>15993</v>
      </c>
      <c r="U36" s="629" t="s">
        <v>599</v>
      </c>
      <c r="V36" s="118" t="s">
        <v>935</v>
      </c>
      <c r="W36" s="108"/>
      <c r="X36" s="274" t="s">
        <v>237</v>
      </c>
    </row>
    <row r="37" spans="1:24" s="86" customFormat="1" ht="20.25" customHeight="1" x14ac:dyDescent="0.15">
      <c r="A37" s="169"/>
      <c r="B37" s="282" t="s">
        <v>248</v>
      </c>
      <c r="C37" s="282" t="s">
        <v>248</v>
      </c>
      <c r="D37" s="282" t="s">
        <v>708</v>
      </c>
      <c r="E37" s="281"/>
      <c r="F37" s="288">
        <v>2758782</v>
      </c>
      <c r="G37" s="288">
        <v>651827</v>
      </c>
      <c r="H37" s="288" t="s">
        <v>599</v>
      </c>
      <c r="I37" s="288">
        <v>576936</v>
      </c>
      <c r="J37" s="288">
        <v>101306</v>
      </c>
      <c r="K37" s="288">
        <v>694407</v>
      </c>
      <c r="L37" s="288">
        <v>734306</v>
      </c>
      <c r="M37" s="288">
        <v>465</v>
      </c>
      <c r="N37" s="288">
        <v>733841</v>
      </c>
      <c r="O37" s="288">
        <v>51381</v>
      </c>
      <c r="P37" s="288" t="s">
        <v>599</v>
      </c>
      <c r="Q37" s="288">
        <v>46</v>
      </c>
      <c r="R37" s="288">
        <v>1509</v>
      </c>
      <c r="S37" s="288">
        <v>18701</v>
      </c>
      <c r="T37" s="288">
        <v>18701</v>
      </c>
      <c r="U37" s="629" t="s">
        <v>599</v>
      </c>
      <c r="V37" s="113" t="s">
        <v>920</v>
      </c>
      <c r="W37" s="108"/>
      <c r="X37" s="274"/>
    </row>
    <row r="38" spans="1:24" s="86" customFormat="1" ht="20.25" customHeight="1" x14ac:dyDescent="0.15">
      <c r="A38" s="169"/>
      <c r="B38" s="799" t="s">
        <v>248</v>
      </c>
      <c r="C38" s="799" t="s">
        <v>248</v>
      </c>
      <c r="D38" s="800" t="s">
        <v>718</v>
      </c>
      <c r="E38" s="279"/>
      <c r="F38" s="404">
        <v>2681022</v>
      </c>
      <c r="G38" s="403">
        <v>543771</v>
      </c>
      <c r="H38" s="403" t="s">
        <v>599</v>
      </c>
      <c r="I38" s="403">
        <v>713112</v>
      </c>
      <c r="J38" s="403">
        <v>46512</v>
      </c>
      <c r="K38" s="403">
        <v>635906</v>
      </c>
      <c r="L38" s="403">
        <v>741721</v>
      </c>
      <c r="M38" s="403">
        <v>9783</v>
      </c>
      <c r="N38" s="403">
        <v>731938</v>
      </c>
      <c r="O38" s="403">
        <v>67730</v>
      </c>
      <c r="P38" s="403" t="s">
        <v>599</v>
      </c>
      <c r="Q38" s="403">
        <v>85</v>
      </c>
      <c r="R38" s="403">
        <v>1089</v>
      </c>
      <c r="S38" s="403">
        <v>24743</v>
      </c>
      <c r="T38" s="403">
        <v>23241</v>
      </c>
      <c r="U38" s="631">
        <v>1502</v>
      </c>
      <c r="V38" s="109" t="s">
        <v>921</v>
      </c>
      <c r="W38" s="108"/>
      <c r="X38" s="274" t="s">
        <v>237</v>
      </c>
    </row>
    <row r="39" spans="1:24" s="401" customFormat="1" ht="21" customHeight="1" x14ac:dyDescent="0.15">
      <c r="B39" s="175" t="s">
        <v>578</v>
      </c>
      <c r="C39" s="126"/>
      <c r="D39" s="730"/>
      <c r="E39" s="730"/>
      <c r="F39" s="730"/>
      <c r="G39" s="730"/>
      <c r="H39" s="730"/>
      <c r="I39" s="86"/>
      <c r="O39" s="176" t="s">
        <v>643</v>
      </c>
      <c r="Q39" s="402"/>
      <c r="R39" s="402"/>
    </row>
    <row r="40" spans="1:24" s="272" customFormat="1" ht="21" customHeight="1" x14ac:dyDescent="0.15">
      <c r="A40" s="400"/>
      <c r="B40" s="175" t="s">
        <v>582</v>
      </c>
      <c r="C40" s="220"/>
      <c r="D40" s="399"/>
      <c r="E40" s="399"/>
      <c r="O40" s="398"/>
      <c r="P40" s="398"/>
      <c r="Q40" s="398"/>
      <c r="R40" s="398"/>
      <c r="S40" s="397"/>
      <c r="T40" s="397"/>
      <c r="U40" s="397"/>
      <c r="V40" s="396"/>
      <c r="W40" s="396"/>
      <c r="X40" s="396"/>
    </row>
  </sheetData>
  <mergeCells count="2">
    <mergeCell ref="V4:V7"/>
    <mergeCell ref="B5:E5"/>
  </mergeCells>
  <phoneticPr fontId="32"/>
  <pageMargins left="0.59055118110236227" right="0.59055118110236227" top="0.59055118110236227" bottom="0.59055118110236227" header="0.59055118110236227" footer="0.15748031496062992"/>
  <pageSetup paperSize="9" scale="92" orientation="portrait" r:id="rId1"/>
  <headerFooter alignWithMargins="0"/>
  <colBreaks count="1" manualBreakCount="1">
    <brk id="14" max="3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5F9F-75BF-4205-A9CE-11C51ECF99B4}">
  <dimension ref="A1:W613"/>
  <sheetViews>
    <sheetView view="pageBreakPreview" topLeftCell="B408" zoomScaleNormal="100" zoomScaleSheetLayoutView="100" workbookViewId="0">
      <selection activeCell="F420" sqref="F420"/>
    </sheetView>
  </sheetViews>
  <sheetFormatPr defaultColWidth="7.625" defaultRowHeight="13.5" x14ac:dyDescent="0.15"/>
  <cols>
    <col min="1" max="1" width="14.375" style="375" customWidth="1"/>
    <col min="2" max="23" width="7.625" style="375" customWidth="1"/>
    <col min="24" max="16384" width="7.625" style="375"/>
  </cols>
  <sheetData>
    <row r="1" spans="1:23" ht="15" customHeight="1" x14ac:dyDescent="0.15">
      <c r="A1" s="842" t="s">
        <v>644</v>
      </c>
      <c r="C1" s="767"/>
      <c r="D1" s="767"/>
      <c r="E1" s="767"/>
      <c r="F1" s="767"/>
      <c r="G1" s="767"/>
      <c r="H1" s="767"/>
      <c r="I1" s="767"/>
      <c r="J1" s="767"/>
      <c r="K1" s="768" t="s">
        <v>451</v>
      </c>
      <c r="L1" s="767"/>
      <c r="M1" s="767"/>
      <c r="N1" s="767"/>
      <c r="O1" s="767"/>
      <c r="P1" s="769"/>
      <c r="Q1" s="770"/>
      <c r="R1" s="770"/>
      <c r="S1" s="770"/>
      <c r="T1" s="770"/>
      <c r="U1" s="771"/>
      <c r="V1" s="772" t="s">
        <v>973</v>
      </c>
    </row>
    <row r="2" spans="1:23" s="387" customFormat="1" ht="21" customHeight="1" x14ac:dyDescent="0.15">
      <c r="A2" s="1023" t="s">
        <v>185</v>
      </c>
      <c r="B2" s="733" t="s">
        <v>325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1026" t="s">
        <v>83</v>
      </c>
    </row>
    <row r="3" spans="1:23" s="387" customFormat="1" ht="21" customHeight="1" x14ac:dyDescent="0.15">
      <c r="A3" s="1024"/>
      <c r="B3" s="1029" t="s">
        <v>974</v>
      </c>
      <c r="C3" s="733" t="s">
        <v>279</v>
      </c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732"/>
      <c r="S3" s="733" t="s">
        <v>273</v>
      </c>
      <c r="T3" s="389"/>
      <c r="U3" s="732"/>
      <c r="V3" s="733" t="s">
        <v>272</v>
      </c>
      <c r="W3" s="1027"/>
    </row>
    <row r="4" spans="1:23" s="387" customFormat="1" ht="52.5" customHeight="1" x14ac:dyDescent="0.15">
      <c r="A4" s="1025"/>
      <c r="B4" s="1030"/>
      <c r="C4" s="735" t="s">
        <v>975</v>
      </c>
      <c r="D4" s="388" t="s">
        <v>270</v>
      </c>
      <c r="E4" s="388" t="s">
        <v>976</v>
      </c>
      <c r="F4" s="388" t="s">
        <v>285</v>
      </c>
      <c r="G4" s="388" t="s">
        <v>291</v>
      </c>
      <c r="H4" s="388" t="s">
        <v>339</v>
      </c>
      <c r="I4" s="388" t="s">
        <v>290</v>
      </c>
      <c r="J4" s="388" t="s">
        <v>269</v>
      </c>
      <c r="K4" s="388" t="s">
        <v>268</v>
      </c>
      <c r="L4" s="388" t="s">
        <v>267</v>
      </c>
      <c r="M4" s="388" t="s">
        <v>318</v>
      </c>
      <c r="N4" s="388" t="s">
        <v>266</v>
      </c>
      <c r="O4" s="388" t="s">
        <v>295</v>
      </c>
      <c r="P4" s="388" t="s">
        <v>315</v>
      </c>
      <c r="Q4" s="388" t="s">
        <v>640</v>
      </c>
      <c r="R4" s="393" t="s">
        <v>977</v>
      </c>
      <c r="S4" s="735" t="s">
        <v>106</v>
      </c>
      <c r="T4" s="393" t="s">
        <v>979</v>
      </c>
      <c r="U4" s="388" t="s">
        <v>262</v>
      </c>
      <c r="V4" s="734" t="s">
        <v>980</v>
      </c>
      <c r="W4" s="1028"/>
    </row>
    <row r="5" spans="1:23" s="376" customFormat="1" ht="9.75" customHeight="1" x14ac:dyDescent="0.15">
      <c r="A5" s="755" t="s">
        <v>838</v>
      </c>
      <c r="B5" s="386">
        <v>30448722</v>
      </c>
      <c r="C5" s="385">
        <v>10088548</v>
      </c>
      <c r="D5" s="385">
        <v>3022612</v>
      </c>
      <c r="E5" s="385">
        <v>2168098</v>
      </c>
      <c r="F5" s="385">
        <v>499901</v>
      </c>
      <c r="G5" s="385">
        <v>746065</v>
      </c>
      <c r="H5" s="385" t="s">
        <v>839</v>
      </c>
      <c r="I5" s="385">
        <v>134370</v>
      </c>
      <c r="J5" s="385">
        <v>2020285</v>
      </c>
      <c r="K5" s="385">
        <v>979217</v>
      </c>
      <c r="L5" s="385" t="s">
        <v>839</v>
      </c>
      <c r="M5" s="385">
        <v>471500</v>
      </c>
      <c r="N5" s="385">
        <v>46500</v>
      </c>
      <c r="O5" s="385" t="s">
        <v>839</v>
      </c>
      <c r="P5" s="385" t="s">
        <v>839</v>
      </c>
      <c r="Q5" s="385" t="s">
        <v>839</v>
      </c>
      <c r="R5" s="385" t="s">
        <v>839</v>
      </c>
      <c r="S5" s="385" t="s">
        <v>839</v>
      </c>
      <c r="T5" s="385" t="s">
        <v>839</v>
      </c>
      <c r="U5" s="385" t="s">
        <v>839</v>
      </c>
      <c r="V5" s="385">
        <v>1836203</v>
      </c>
      <c r="W5" s="383" t="s">
        <v>457</v>
      </c>
    </row>
    <row r="6" spans="1:23" s="376" customFormat="1" ht="9.75" customHeight="1" x14ac:dyDescent="0.15">
      <c r="A6" s="756" t="s">
        <v>669</v>
      </c>
      <c r="B6" s="376">
        <v>34069069</v>
      </c>
      <c r="C6" s="376">
        <v>9857924</v>
      </c>
      <c r="D6" s="376">
        <v>3241700</v>
      </c>
      <c r="E6" s="376">
        <v>2112386</v>
      </c>
      <c r="F6" s="376">
        <v>765488</v>
      </c>
      <c r="G6" s="376">
        <v>583241</v>
      </c>
      <c r="H6" s="376" t="s">
        <v>839</v>
      </c>
      <c r="I6" s="376">
        <v>178507</v>
      </c>
      <c r="J6" s="376">
        <v>1595227</v>
      </c>
      <c r="K6" s="376">
        <v>892719</v>
      </c>
      <c r="L6" s="376" t="s">
        <v>839</v>
      </c>
      <c r="M6" s="376">
        <v>311943</v>
      </c>
      <c r="N6" s="376">
        <v>97349</v>
      </c>
      <c r="O6" s="376">
        <v>47600</v>
      </c>
      <c r="P6" s="376" t="s">
        <v>839</v>
      </c>
      <c r="Q6" s="376" t="s">
        <v>839</v>
      </c>
      <c r="R6" s="376">
        <v>31764</v>
      </c>
      <c r="S6" s="376" t="s">
        <v>839</v>
      </c>
      <c r="T6" s="376" t="s">
        <v>839</v>
      </c>
      <c r="U6" s="376" t="s">
        <v>839</v>
      </c>
      <c r="V6" s="376">
        <v>2653234</v>
      </c>
      <c r="W6" s="381" t="s">
        <v>512</v>
      </c>
    </row>
    <row r="7" spans="1:23" s="376" customFormat="1" ht="9.75" customHeight="1" x14ac:dyDescent="0.15">
      <c r="A7" s="756" t="s">
        <v>670</v>
      </c>
      <c r="B7" s="376">
        <v>21330362</v>
      </c>
      <c r="C7" s="376">
        <v>8516256</v>
      </c>
      <c r="D7" s="376">
        <v>3998102</v>
      </c>
      <c r="E7" s="376">
        <v>851413</v>
      </c>
      <c r="F7" s="376">
        <v>270192</v>
      </c>
      <c r="G7" s="376">
        <v>175441</v>
      </c>
      <c r="H7" s="376" t="s">
        <v>839</v>
      </c>
      <c r="I7" s="376">
        <v>89201</v>
      </c>
      <c r="J7" s="376">
        <v>1602836</v>
      </c>
      <c r="K7" s="376">
        <v>1295482</v>
      </c>
      <c r="L7" s="376">
        <v>45821</v>
      </c>
      <c r="M7" s="376">
        <v>89701</v>
      </c>
      <c r="N7" s="376">
        <v>24190</v>
      </c>
      <c r="O7" s="376" t="s">
        <v>839</v>
      </c>
      <c r="P7" s="376">
        <v>73877</v>
      </c>
      <c r="Q7" s="376" t="s">
        <v>839</v>
      </c>
      <c r="R7" s="376" t="s">
        <v>839</v>
      </c>
      <c r="S7" s="376">
        <v>248968</v>
      </c>
      <c r="T7" s="376">
        <v>248968</v>
      </c>
      <c r="U7" s="376" t="s">
        <v>839</v>
      </c>
      <c r="V7" s="376">
        <v>959780</v>
      </c>
      <c r="W7" s="381" t="s">
        <v>620</v>
      </c>
    </row>
    <row r="8" spans="1:23" s="376" customFormat="1" ht="9.75" customHeight="1" x14ac:dyDescent="0.15">
      <c r="A8" s="756" t="s">
        <v>671</v>
      </c>
      <c r="B8" s="376">
        <v>22230511</v>
      </c>
      <c r="C8" s="376">
        <v>8350695</v>
      </c>
      <c r="D8" s="376">
        <v>3684331</v>
      </c>
      <c r="E8" s="376">
        <v>348813</v>
      </c>
      <c r="F8" s="376" t="s">
        <v>839</v>
      </c>
      <c r="G8" s="376">
        <v>293086</v>
      </c>
      <c r="H8" s="376" t="s">
        <v>839</v>
      </c>
      <c r="I8" s="376" t="s">
        <v>839</v>
      </c>
      <c r="J8" s="376">
        <v>2219347</v>
      </c>
      <c r="K8" s="376">
        <v>1148968</v>
      </c>
      <c r="L8" s="376" t="s">
        <v>839</v>
      </c>
      <c r="M8" s="376">
        <v>405831</v>
      </c>
      <c r="N8" s="376">
        <v>151942</v>
      </c>
      <c r="O8" s="376" t="s">
        <v>839</v>
      </c>
      <c r="P8" s="376">
        <v>98377</v>
      </c>
      <c r="Q8" s="376" t="s">
        <v>839</v>
      </c>
      <c r="R8" s="376" t="s">
        <v>839</v>
      </c>
      <c r="S8" s="376" t="s">
        <v>839</v>
      </c>
      <c r="T8" s="376" t="s">
        <v>839</v>
      </c>
      <c r="U8" s="376" t="s">
        <v>839</v>
      </c>
      <c r="V8" s="376">
        <v>934572</v>
      </c>
      <c r="W8" s="381" t="s">
        <v>672</v>
      </c>
    </row>
    <row r="9" spans="1:23" s="376" customFormat="1" ht="9.75" customHeight="1" x14ac:dyDescent="0.15">
      <c r="A9" s="756" t="s">
        <v>840</v>
      </c>
      <c r="B9" s="376">
        <v>28584890</v>
      </c>
      <c r="C9" s="376">
        <v>11225061</v>
      </c>
      <c r="D9" s="376">
        <v>3780521</v>
      </c>
      <c r="E9" s="376">
        <v>429688</v>
      </c>
      <c r="F9" s="376">
        <v>115626</v>
      </c>
      <c r="G9" s="376">
        <v>346799</v>
      </c>
      <c r="H9" s="376">
        <v>122280</v>
      </c>
      <c r="I9" s="376">
        <v>97751</v>
      </c>
      <c r="J9" s="376">
        <v>3303852</v>
      </c>
      <c r="K9" s="376">
        <v>1053722</v>
      </c>
      <c r="L9" s="376" t="s">
        <v>839</v>
      </c>
      <c r="M9" s="376">
        <v>1340867</v>
      </c>
      <c r="N9" s="376">
        <v>1697</v>
      </c>
      <c r="O9" s="376">
        <v>23850</v>
      </c>
      <c r="P9" s="376">
        <v>559108</v>
      </c>
      <c r="Q9" s="376">
        <v>49300</v>
      </c>
      <c r="R9" s="376" t="s">
        <v>839</v>
      </c>
      <c r="S9" s="376">
        <v>196108</v>
      </c>
      <c r="T9" s="376">
        <v>72400</v>
      </c>
      <c r="U9" s="376">
        <v>123708</v>
      </c>
      <c r="V9" s="376">
        <v>2153160</v>
      </c>
      <c r="W9" s="381" t="s">
        <v>841</v>
      </c>
    </row>
    <row r="10" spans="1:23" s="376" customFormat="1" ht="6.75" customHeight="1" x14ac:dyDescent="0.15">
      <c r="A10" s="787"/>
      <c r="W10" s="381"/>
    </row>
    <row r="11" spans="1:23" s="376" customFormat="1" ht="9.75" customHeight="1" x14ac:dyDescent="0.15">
      <c r="A11" s="756" t="s">
        <v>842</v>
      </c>
      <c r="B11" s="376">
        <v>23940994</v>
      </c>
      <c r="C11" s="376">
        <v>8997126</v>
      </c>
      <c r="D11" s="376">
        <v>3286198</v>
      </c>
      <c r="E11" s="376">
        <v>311844</v>
      </c>
      <c r="F11" s="376">
        <v>55900</v>
      </c>
      <c r="G11" s="376">
        <v>293086</v>
      </c>
      <c r="H11" s="376">
        <v>122280</v>
      </c>
      <c r="I11" s="376">
        <v>50051</v>
      </c>
      <c r="J11" s="376">
        <v>2450727</v>
      </c>
      <c r="K11" s="376">
        <v>1231439</v>
      </c>
      <c r="L11" s="376" t="s">
        <v>839</v>
      </c>
      <c r="M11" s="376">
        <v>842259</v>
      </c>
      <c r="N11" s="376">
        <v>6669</v>
      </c>
      <c r="O11" s="376" t="s">
        <v>839</v>
      </c>
      <c r="P11" s="376">
        <v>297373</v>
      </c>
      <c r="Q11" s="376">
        <v>49300</v>
      </c>
      <c r="R11" s="376" t="s">
        <v>839</v>
      </c>
      <c r="S11" s="376" t="s">
        <v>839</v>
      </c>
      <c r="T11" s="376" t="s">
        <v>839</v>
      </c>
      <c r="U11" s="376" t="s">
        <v>839</v>
      </c>
      <c r="V11" s="376">
        <v>1328636</v>
      </c>
      <c r="W11" s="381" t="s">
        <v>673</v>
      </c>
    </row>
    <row r="12" spans="1:23" s="376" customFormat="1" ht="9.75" customHeight="1" x14ac:dyDescent="0.15">
      <c r="A12" s="756" t="s">
        <v>843</v>
      </c>
      <c r="B12" s="376">
        <v>29347208</v>
      </c>
      <c r="C12" s="376">
        <v>11071525</v>
      </c>
      <c r="D12" s="376">
        <v>3891777</v>
      </c>
      <c r="E12" s="376">
        <v>678246</v>
      </c>
      <c r="F12" s="376">
        <v>77399</v>
      </c>
      <c r="G12" s="376">
        <v>416957</v>
      </c>
      <c r="H12" s="376">
        <v>90050</v>
      </c>
      <c r="I12" s="376">
        <v>47700</v>
      </c>
      <c r="J12" s="376">
        <v>3258334</v>
      </c>
      <c r="K12" s="376">
        <v>845564</v>
      </c>
      <c r="L12" s="376" t="s">
        <v>839</v>
      </c>
      <c r="M12" s="376">
        <v>1074127</v>
      </c>
      <c r="N12" s="376">
        <v>1697</v>
      </c>
      <c r="O12" s="376">
        <v>23850</v>
      </c>
      <c r="P12" s="376">
        <v>665746</v>
      </c>
      <c r="Q12" s="376" t="s">
        <v>839</v>
      </c>
      <c r="R12" s="376">
        <v>78</v>
      </c>
      <c r="S12" s="376">
        <v>196108</v>
      </c>
      <c r="T12" s="376">
        <v>72400</v>
      </c>
      <c r="U12" s="376">
        <v>123708</v>
      </c>
      <c r="V12" s="376">
        <v>2517504</v>
      </c>
      <c r="W12" s="381" t="s">
        <v>844</v>
      </c>
    </row>
    <row r="13" spans="1:23" s="376" customFormat="1" ht="6.75" customHeight="1" x14ac:dyDescent="0.15">
      <c r="A13" s="787"/>
      <c r="W13" s="381"/>
    </row>
    <row r="14" spans="1:23" s="376" customFormat="1" ht="9.75" customHeight="1" x14ac:dyDescent="0.15">
      <c r="A14" s="756" t="s">
        <v>845</v>
      </c>
      <c r="B14" s="376">
        <v>7359960</v>
      </c>
      <c r="C14" s="376">
        <v>3345942</v>
      </c>
      <c r="D14" s="376">
        <v>1047808</v>
      </c>
      <c r="E14" s="376">
        <v>110657</v>
      </c>
      <c r="F14" s="376">
        <v>55900</v>
      </c>
      <c r="G14" s="376" t="s">
        <v>839</v>
      </c>
      <c r="H14" s="376">
        <v>122280</v>
      </c>
      <c r="I14" s="376">
        <v>50051</v>
      </c>
      <c r="J14" s="376">
        <v>862659</v>
      </c>
      <c r="K14" s="376">
        <v>411863</v>
      </c>
      <c r="L14" s="376" t="s">
        <v>839</v>
      </c>
      <c r="M14" s="376">
        <v>436428</v>
      </c>
      <c r="N14" s="376" t="s">
        <v>839</v>
      </c>
      <c r="O14" s="376" t="s">
        <v>839</v>
      </c>
      <c r="P14" s="376">
        <v>198996</v>
      </c>
      <c r="Q14" s="376">
        <v>49300</v>
      </c>
      <c r="R14" s="376" t="s">
        <v>839</v>
      </c>
      <c r="S14" s="376" t="s">
        <v>839</v>
      </c>
      <c r="T14" s="376" t="s">
        <v>839</v>
      </c>
      <c r="U14" s="376" t="s">
        <v>839</v>
      </c>
      <c r="V14" s="376">
        <v>396193</v>
      </c>
      <c r="W14" s="381" t="s">
        <v>677</v>
      </c>
    </row>
    <row r="15" spans="1:23" s="376" customFormat="1" ht="9.75" customHeight="1" x14ac:dyDescent="0.15">
      <c r="A15" s="756" t="s">
        <v>674</v>
      </c>
      <c r="B15" s="376">
        <v>6252491</v>
      </c>
      <c r="C15" s="376">
        <v>2049098</v>
      </c>
      <c r="D15" s="376">
        <v>568368</v>
      </c>
      <c r="E15" s="376">
        <v>33902</v>
      </c>
      <c r="F15" s="376" t="s">
        <v>839</v>
      </c>
      <c r="G15" s="376" t="s">
        <v>839</v>
      </c>
      <c r="H15" s="376" t="s">
        <v>839</v>
      </c>
      <c r="I15" s="376">
        <v>47700</v>
      </c>
      <c r="J15" s="376">
        <v>986052</v>
      </c>
      <c r="K15" s="376">
        <v>110220</v>
      </c>
      <c r="L15" s="376" t="s">
        <v>839</v>
      </c>
      <c r="M15" s="376">
        <v>272924</v>
      </c>
      <c r="N15" s="376" t="s">
        <v>839</v>
      </c>
      <c r="O15" s="376" t="s">
        <v>839</v>
      </c>
      <c r="P15" s="376">
        <v>29932</v>
      </c>
      <c r="Q15" s="376" t="s">
        <v>839</v>
      </c>
      <c r="R15" s="376" t="s">
        <v>839</v>
      </c>
      <c r="S15" s="376" t="s">
        <v>839</v>
      </c>
      <c r="T15" s="376" t="s">
        <v>839</v>
      </c>
      <c r="U15" s="376" t="s">
        <v>839</v>
      </c>
      <c r="V15" s="376">
        <v>830404</v>
      </c>
      <c r="W15" s="381" t="s">
        <v>89</v>
      </c>
    </row>
    <row r="16" spans="1:23" s="376" customFormat="1" ht="9.75" customHeight="1" x14ac:dyDescent="0.15">
      <c r="A16" s="756" t="s">
        <v>675</v>
      </c>
      <c r="B16" s="376">
        <v>8157864</v>
      </c>
      <c r="C16" s="376">
        <v>3250770</v>
      </c>
      <c r="D16" s="376">
        <v>890305</v>
      </c>
      <c r="E16" s="376">
        <v>231623</v>
      </c>
      <c r="F16" s="376">
        <v>17826</v>
      </c>
      <c r="G16" s="376">
        <v>314706</v>
      </c>
      <c r="H16" s="376" t="s">
        <v>839</v>
      </c>
      <c r="I16" s="376" t="s">
        <v>839</v>
      </c>
      <c r="J16" s="376">
        <v>868536</v>
      </c>
      <c r="K16" s="376">
        <v>252676</v>
      </c>
      <c r="L16" s="376" t="s">
        <v>839</v>
      </c>
      <c r="M16" s="376">
        <v>390861</v>
      </c>
      <c r="N16" s="376">
        <v>1697</v>
      </c>
      <c r="O16" s="376" t="s">
        <v>839</v>
      </c>
      <c r="P16" s="376">
        <v>282540</v>
      </c>
      <c r="Q16" s="376" t="s">
        <v>839</v>
      </c>
      <c r="R16" s="376" t="s">
        <v>839</v>
      </c>
      <c r="S16" s="376">
        <v>72400</v>
      </c>
      <c r="T16" s="376">
        <v>72400</v>
      </c>
      <c r="U16" s="376" t="s">
        <v>839</v>
      </c>
      <c r="V16" s="376">
        <v>682298</v>
      </c>
      <c r="W16" s="381" t="s">
        <v>90</v>
      </c>
    </row>
    <row r="17" spans="1:23" s="376" customFormat="1" ht="9.75" customHeight="1" x14ac:dyDescent="0.15">
      <c r="A17" s="756" t="s">
        <v>676</v>
      </c>
      <c r="B17" s="376">
        <v>6814575</v>
      </c>
      <c r="C17" s="376">
        <v>2579251</v>
      </c>
      <c r="D17" s="376">
        <v>1274040</v>
      </c>
      <c r="E17" s="376">
        <v>53506</v>
      </c>
      <c r="F17" s="376">
        <v>41900</v>
      </c>
      <c r="G17" s="376">
        <v>32093</v>
      </c>
      <c r="H17" s="376" t="s">
        <v>839</v>
      </c>
      <c r="I17" s="376" t="s">
        <v>839</v>
      </c>
      <c r="J17" s="376">
        <v>586605</v>
      </c>
      <c r="K17" s="376">
        <v>278963</v>
      </c>
      <c r="L17" s="376" t="s">
        <v>839</v>
      </c>
      <c r="M17" s="376">
        <v>240654</v>
      </c>
      <c r="N17" s="376" t="s">
        <v>839</v>
      </c>
      <c r="O17" s="376">
        <v>23850</v>
      </c>
      <c r="P17" s="376">
        <v>47640</v>
      </c>
      <c r="Q17" s="376" t="s">
        <v>839</v>
      </c>
      <c r="R17" s="376" t="s">
        <v>839</v>
      </c>
      <c r="S17" s="376">
        <v>123708</v>
      </c>
      <c r="T17" s="376" t="s">
        <v>839</v>
      </c>
      <c r="U17" s="376">
        <v>123708</v>
      </c>
      <c r="V17" s="376">
        <v>244265</v>
      </c>
      <c r="W17" s="381" t="s">
        <v>91</v>
      </c>
    </row>
    <row r="18" spans="1:23" s="376" customFormat="1" ht="9.75" customHeight="1" x14ac:dyDescent="0.15">
      <c r="A18" s="756" t="s">
        <v>846</v>
      </c>
      <c r="B18" s="376">
        <v>8122278</v>
      </c>
      <c r="C18" s="376">
        <v>3192406</v>
      </c>
      <c r="D18" s="376">
        <v>1159064</v>
      </c>
      <c r="E18" s="376">
        <v>359215</v>
      </c>
      <c r="F18" s="376">
        <v>17673</v>
      </c>
      <c r="G18" s="376">
        <v>70158</v>
      </c>
      <c r="H18" s="376">
        <v>90050</v>
      </c>
      <c r="I18" s="376" t="s">
        <v>839</v>
      </c>
      <c r="J18" s="376">
        <v>817141</v>
      </c>
      <c r="K18" s="376">
        <v>203705</v>
      </c>
      <c r="L18" s="376" t="s">
        <v>839</v>
      </c>
      <c r="M18" s="376">
        <v>169688</v>
      </c>
      <c r="N18" s="376" t="s">
        <v>839</v>
      </c>
      <c r="O18" s="376" t="s">
        <v>839</v>
      </c>
      <c r="P18" s="376">
        <v>305634</v>
      </c>
      <c r="Q18" s="376" t="s">
        <v>839</v>
      </c>
      <c r="R18" s="376">
        <v>78</v>
      </c>
      <c r="S18" s="376" t="s">
        <v>839</v>
      </c>
      <c r="T18" s="376" t="s">
        <v>839</v>
      </c>
      <c r="U18" s="376" t="s">
        <v>839</v>
      </c>
      <c r="V18" s="376">
        <v>760537</v>
      </c>
      <c r="W18" s="381" t="s">
        <v>847</v>
      </c>
    </row>
    <row r="19" spans="1:23" s="376" customFormat="1" ht="6.75" customHeight="1" x14ac:dyDescent="0.15">
      <c r="A19" s="787"/>
      <c r="W19" s="381"/>
    </row>
    <row r="20" spans="1:23" s="376" customFormat="1" ht="9.75" customHeight="1" x14ac:dyDescent="0.15">
      <c r="A20" s="756" t="s">
        <v>848</v>
      </c>
      <c r="B20" s="376">
        <v>2567882</v>
      </c>
      <c r="C20" s="376">
        <v>1132135</v>
      </c>
      <c r="D20" s="376">
        <v>470890</v>
      </c>
      <c r="E20" s="376" t="s">
        <v>839</v>
      </c>
      <c r="F20" s="376" t="s">
        <v>839</v>
      </c>
      <c r="G20" s="376" t="s">
        <v>839</v>
      </c>
      <c r="H20" s="376" t="s">
        <v>839</v>
      </c>
      <c r="I20" s="376">
        <v>50051</v>
      </c>
      <c r="J20" s="376">
        <v>267791</v>
      </c>
      <c r="K20" s="376">
        <v>151532</v>
      </c>
      <c r="L20" s="376" t="s">
        <v>839</v>
      </c>
      <c r="M20" s="376">
        <v>118066</v>
      </c>
      <c r="N20" s="376" t="s">
        <v>839</v>
      </c>
      <c r="O20" s="376" t="s">
        <v>839</v>
      </c>
      <c r="P20" s="376">
        <v>50005</v>
      </c>
      <c r="Q20" s="376">
        <v>23800</v>
      </c>
      <c r="R20" s="376" t="s">
        <v>839</v>
      </c>
      <c r="S20" s="376" t="s">
        <v>839</v>
      </c>
      <c r="T20" s="376" t="s">
        <v>839</v>
      </c>
      <c r="U20" s="376" t="s">
        <v>839</v>
      </c>
      <c r="V20" s="376">
        <v>111596</v>
      </c>
      <c r="W20" s="381" t="s">
        <v>689</v>
      </c>
    </row>
    <row r="21" spans="1:23" s="376" customFormat="1" ht="9.75" customHeight="1" x14ac:dyDescent="0.15">
      <c r="A21" s="756" t="s">
        <v>678</v>
      </c>
      <c r="B21" s="376">
        <v>2375048</v>
      </c>
      <c r="C21" s="376">
        <v>1125084</v>
      </c>
      <c r="D21" s="376">
        <v>302623</v>
      </c>
      <c r="E21" s="376">
        <v>28388</v>
      </c>
      <c r="F21" s="376">
        <v>55900</v>
      </c>
      <c r="G21" s="376" t="s">
        <v>839</v>
      </c>
      <c r="H21" s="376">
        <v>42000</v>
      </c>
      <c r="I21" s="376" t="s">
        <v>839</v>
      </c>
      <c r="J21" s="376">
        <v>279271</v>
      </c>
      <c r="K21" s="376">
        <v>120078</v>
      </c>
      <c r="L21" s="376" t="s">
        <v>839</v>
      </c>
      <c r="M21" s="376">
        <v>122333</v>
      </c>
      <c r="N21" s="376" t="s">
        <v>839</v>
      </c>
      <c r="O21" s="376" t="s">
        <v>839</v>
      </c>
      <c r="P21" s="376">
        <v>148991</v>
      </c>
      <c r="Q21" s="376">
        <v>25500</v>
      </c>
      <c r="R21" s="376" t="s">
        <v>839</v>
      </c>
      <c r="S21" s="376" t="s">
        <v>839</v>
      </c>
      <c r="T21" s="376" t="s">
        <v>839</v>
      </c>
      <c r="U21" s="376" t="s">
        <v>839</v>
      </c>
      <c r="V21" s="376">
        <v>142507</v>
      </c>
      <c r="W21" s="381" t="s">
        <v>77</v>
      </c>
    </row>
    <row r="22" spans="1:23" s="376" customFormat="1" ht="9.75" customHeight="1" x14ac:dyDescent="0.15">
      <c r="A22" s="756" t="s">
        <v>679</v>
      </c>
      <c r="B22" s="376">
        <v>2417030</v>
      </c>
      <c r="C22" s="376">
        <v>1088723</v>
      </c>
      <c r="D22" s="376">
        <v>274295</v>
      </c>
      <c r="E22" s="376">
        <v>82269</v>
      </c>
      <c r="F22" s="376" t="s">
        <v>839</v>
      </c>
      <c r="G22" s="376" t="s">
        <v>839</v>
      </c>
      <c r="H22" s="376">
        <v>80280</v>
      </c>
      <c r="I22" s="376" t="s">
        <v>839</v>
      </c>
      <c r="J22" s="376">
        <v>315597</v>
      </c>
      <c r="K22" s="376">
        <v>140253</v>
      </c>
      <c r="L22" s="376" t="s">
        <v>839</v>
      </c>
      <c r="M22" s="376">
        <v>196029</v>
      </c>
      <c r="N22" s="376" t="s">
        <v>839</v>
      </c>
      <c r="O22" s="376" t="s">
        <v>839</v>
      </c>
      <c r="P22" s="376" t="s">
        <v>839</v>
      </c>
      <c r="Q22" s="376" t="s">
        <v>839</v>
      </c>
      <c r="R22" s="376" t="s">
        <v>839</v>
      </c>
      <c r="S22" s="376" t="s">
        <v>839</v>
      </c>
      <c r="T22" s="376" t="s">
        <v>839</v>
      </c>
      <c r="U22" s="376" t="s">
        <v>839</v>
      </c>
      <c r="V22" s="376">
        <v>142090</v>
      </c>
      <c r="W22" s="381" t="s">
        <v>78</v>
      </c>
    </row>
    <row r="23" spans="1:23" s="376" customFormat="1" ht="9.75" customHeight="1" x14ac:dyDescent="0.15">
      <c r="A23" s="756" t="s">
        <v>680</v>
      </c>
      <c r="B23" s="376">
        <v>1649450</v>
      </c>
      <c r="C23" s="376">
        <v>542337</v>
      </c>
      <c r="D23" s="376">
        <v>133836</v>
      </c>
      <c r="E23" s="376" t="s">
        <v>839</v>
      </c>
      <c r="F23" s="376" t="s">
        <v>839</v>
      </c>
      <c r="G23" s="376" t="s">
        <v>839</v>
      </c>
      <c r="H23" s="376" t="s">
        <v>839</v>
      </c>
      <c r="I23" s="376" t="s">
        <v>839</v>
      </c>
      <c r="J23" s="376">
        <v>271699</v>
      </c>
      <c r="K23" s="376">
        <v>39700</v>
      </c>
      <c r="L23" s="376" t="s">
        <v>839</v>
      </c>
      <c r="M23" s="376">
        <v>67170</v>
      </c>
      <c r="N23" s="376" t="s">
        <v>839</v>
      </c>
      <c r="O23" s="376" t="s">
        <v>839</v>
      </c>
      <c r="P23" s="376">
        <v>29932</v>
      </c>
      <c r="Q23" s="376" t="s">
        <v>839</v>
      </c>
      <c r="R23" s="376" t="s">
        <v>839</v>
      </c>
      <c r="S23" s="376" t="s">
        <v>839</v>
      </c>
      <c r="T23" s="376" t="s">
        <v>839</v>
      </c>
      <c r="U23" s="376" t="s">
        <v>839</v>
      </c>
      <c r="V23" s="376">
        <v>173553</v>
      </c>
      <c r="W23" s="381" t="s">
        <v>79</v>
      </c>
    </row>
    <row r="24" spans="1:23" s="376" customFormat="1" ht="9.75" customHeight="1" x14ac:dyDescent="0.15">
      <c r="A24" s="756" t="s">
        <v>681</v>
      </c>
      <c r="B24" s="376">
        <v>2424796</v>
      </c>
      <c r="C24" s="376">
        <v>766652</v>
      </c>
      <c r="D24" s="376">
        <v>274673</v>
      </c>
      <c r="E24" s="376" t="s">
        <v>839</v>
      </c>
      <c r="F24" s="376" t="s">
        <v>839</v>
      </c>
      <c r="G24" s="376" t="s">
        <v>839</v>
      </c>
      <c r="H24" s="376" t="s">
        <v>839</v>
      </c>
      <c r="I24" s="376">
        <v>47700</v>
      </c>
      <c r="J24" s="376">
        <v>367699</v>
      </c>
      <c r="K24" s="376">
        <v>20830</v>
      </c>
      <c r="L24" s="376" t="s">
        <v>839</v>
      </c>
      <c r="M24" s="376">
        <v>55750</v>
      </c>
      <c r="N24" s="376" t="s">
        <v>839</v>
      </c>
      <c r="O24" s="376" t="s">
        <v>839</v>
      </c>
      <c r="P24" s="376" t="s">
        <v>839</v>
      </c>
      <c r="Q24" s="376" t="s">
        <v>839</v>
      </c>
      <c r="R24" s="376" t="s">
        <v>839</v>
      </c>
      <c r="S24" s="376" t="s">
        <v>839</v>
      </c>
      <c r="T24" s="376" t="s">
        <v>839</v>
      </c>
      <c r="U24" s="376" t="s">
        <v>839</v>
      </c>
      <c r="V24" s="376">
        <v>457085</v>
      </c>
      <c r="W24" s="381" t="s">
        <v>92</v>
      </c>
    </row>
    <row r="25" spans="1:23" s="376" customFormat="1" ht="9.75" customHeight="1" x14ac:dyDescent="0.15">
      <c r="A25" s="756" t="s">
        <v>682</v>
      </c>
      <c r="B25" s="376">
        <v>2178245</v>
      </c>
      <c r="C25" s="376">
        <v>740109</v>
      </c>
      <c r="D25" s="376">
        <v>159859</v>
      </c>
      <c r="E25" s="376">
        <v>33902</v>
      </c>
      <c r="F25" s="376" t="s">
        <v>839</v>
      </c>
      <c r="G25" s="376" t="s">
        <v>839</v>
      </c>
      <c r="H25" s="376" t="s">
        <v>839</v>
      </c>
      <c r="I25" s="376" t="s">
        <v>839</v>
      </c>
      <c r="J25" s="376">
        <v>346654</v>
      </c>
      <c r="K25" s="376">
        <v>49690</v>
      </c>
      <c r="L25" s="376" t="s">
        <v>839</v>
      </c>
      <c r="M25" s="376">
        <v>150004</v>
      </c>
      <c r="N25" s="376" t="s">
        <v>839</v>
      </c>
      <c r="O25" s="376" t="s">
        <v>839</v>
      </c>
      <c r="P25" s="376" t="s">
        <v>839</v>
      </c>
      <c r="Q25" s="376" t="s">
        <v>839</v>
      </c>
      <c r="R25" s="376" t="s">
        <v>839</v>
      </c>
      <c r="S25" s="376" t="s">
        <v>839</v>
      </c>
      <c r="T25" s="376" t="s">
        <v>839</v>
      </c>
      <c r="U25" s="376" t="s">
        <v>839</v>
      </c>
      <c r="V25" s="376">
        <v>199766</v>
      </c>
      <c r="W25" s="381" t="s">
        <v>93</v>
      </c>
    </row>
    <row r="26" spans="1:23" s="376" customFormat="1" ht="9.75" customHeight="1" x14ac:dyDescent="0.15">
      <c r="A26" s="756" t="s">
        <v>683</v>
      </c>
      <c r="B26" s="376">
        <v>2385887</v>
      </c>
      <c r="C26" s="376">
        <v>938438</v>
      </c>
      <c r="D26" s="376">
        <v>281008</v>
      </c>
      <c r="E26" s="376">
        <v>89558</v>
      </c>
      <c r="F26" s="376" t="s">
        <v>839</v>
      </c>
      <c r="G26" s="376">
        <v>161692</v>
      </c>
      <c r="H26" s="376" t="s">
        <v>839</v>
      </c>
      <c r="I26" s="376" t="s">
        <v>839</v>
      </c>
      <c r="J26" s="376">
        <v>205277</v>
      </c>
      <c r="K26" s="376" t="s">
        <v>839</v>
      </c>
      <c r="L26" s="376" t="s">
        <v>839</v>
      </c>
      <c r="M26" s="376">
        <v>151647</v>
      </c>
      <c r="N26" s="376" t="s">
        <v>839</v>
      </c>
      <c r="O26" s="376" t="s">
        <v>839</v>
      </c>
      <c r="P26" s="376">
        <v>49256</v>
      </c>
      <c r="Q26" s="376" t="s">
        <v>839</v>
      </c>
      <c r="R26" s="376" t="s">
        <v>839</v>
      </c>
      <c r="S26" s="376" t="s">
        <v>839</v>
      </c>
      <c r="T26" s="376" t="s">
        <v>839</v>
      </c>
      <c r="U26" s="376" t="s">
        <v>839</v>
      </c>
      <c r="V26" s="376">
        <v>211520</v>
      </c>
      <c r="W26" s="381" t="s">
        <v>94</v>
      </c>
    </row>
    <row r="27" spans="1:23" s="376" customFormat="1" ht="9.75" customHeight="1" x14ac:dyDescent="0.15">
      <c r="A27" s="756" t="s">
        <v>684</v>
      </c>
      <c r="B27" s="376">
        <v>2815913</v>
      </c>
      <c r="C27" s="376">
        <v>1078127</v>
      </c>
      <c r="D27" s="376">
        <v>284478</v>
      </c>
      <c r="E27" s="376">
        <v>43021</v>
      </c>
      <c r="F27" s="376" t="s">
        <v>839</v>
      </c>
      <c r="G27" s="376">
        <v>67104</v>
      </c>
      <c r="H27" s="376" t="s">
        <v>839</v>
      </c>
      <c r="I27" s="376" t="s">
        <v>839</v>
      </c>
      <c r="J27" s="376">
        <v>400810</v>
      </c>
      <c r="K27" s="376">
        <v>86355</v>
      </c>
      <c r="L27" s="376" t="s">
        <v>839</v>
      </c>
      <c r="M27" s="376">
        <v>94587</v>
      </c>
      <c r="N27" s="376">
        <v>1697</v>
      </c>
      <c r="O27" s="376" t="s">
        <v>839</v>
      </c>
      <c r="P27" s="376">
        <v>100075</v>
      </c>
      <c r="Q27" s="376" t="s">
        <v>839</v>
      </c>
      <c r="R27" s="376" t="s">
        <v>839</v>
      </c>
      <c r="S27" s="376" t="s">
        <v>839</v>
      </c>
      <c r="T27" s="376" t="s">
        <v>839</v>
      </c>
      <c r="U27" s="376" t="s">
        <v>839</v>
      </c>
      <c r="V27" s="376">
        <v>272241</v>
      </c>
      <c r="W27" s="381" t="s">
        <v>95</v>
      </c>
    </row>
    <row r="28" spans="1:23" s="376" customFormat="1" ht="9.75" customHeight="1" x14ac:dyDescent="0.15">
      <c r="A28" s="756" t="s">
        <v>685</v>
      </c>
      <c r="B28" s="376">
        <v>2956064</v>
      </c>
      <c r="C28" s="376">
        <v>1234205</v>
      </c>
      <c r="D28" s="376">
        <v>324819</v>
      </c>
      <c r="E28" s="376">
        <v>99044</v>
      </c>
      <c r="F28" s="376">
        <v>17826</v>
      </c>
      <c r="G28" s="376">
        <v>85910</v>
      </c>
      <c r="H28" s="376" t="s">
        <v>839</v>
      </c>
      <c r="I28" s="376" t="s">
        <v>839</v>
      </c>
      <c r="J28" s="376">
        <v>262449</v>
      </c>
      <c r="K28" s="376">
        <v>166321</v>
      </c>
      <c r="L28" s="376" t="s">
        <v>839</v>
      </c>
      <c r="M28" s="376">
        <v>144627</v>
      </c>
      <c r="N28" s="376" t="s">
        <v>839</v>
      </c>
      <c r="O28" s="376" t="s">
        <v>839</v>
      </c>
      <c r="P28" s="376">
        <v>133209</v>
      </c>
      <c r="Q28" s="376" t="s">
        <v>839</v>
      </c>
      <c r="R28" s="376" t="s">
        <v>839</v>
      </c>
      <c r="S28" s="376">
        <v>72400</v>
      </c>
      <c r="T28" s="376">
        <v>72400</v>
      </c>
      <c r="U28" s="376" t="s">
        <v>839</v>
      </c>
      <c r="V28" s="376">
        <v>198537</v>
      </c>
      <c r="W28" s="381" t="s">
        <v>96</v>
      </c>
    </row>
    <row r="29" spans="1:23" s="376" customFormat="1" ht="9.75" customHeight="1" x14ac:dyDescent="0.15">
      <c r="A29" s="756" t="s">
        <v>686</v>
      </c>
      <c r="B29" s="376">
        <v>2160390</v>
      </c>
      <c r="C29" s="376">
        <v>774359</v>
      </c>
      <c r="D29" s="376">
        <v>374094</v>
      </c>
      <c r="E29" s="376">
        <v>53506</v>
      </c>
      <c r="F29" s="376" t="s">
        <v>839</v>
      </c>
      <c r="G29" s="376" t="s">
        <v>839</v>
      </c>
      <c r="H29" s="376" t="s">
        <v>839</v>
      </c>
      <c r="I29" s="376" t="s">
        <v>839</v>
      </c>
      <c r="J29" s="376">
        <v>125379</v>
      </c>
      <c r="K29" s="376">
        <v>98650</v>
      </c>
      <c r="L29" s="376" t="s">
        <v>839</v>
      </c>
      <c r="M29" s="376">
        <v>122730</v>
      </c>
      <c r="N29" s="376" t="s">
        <v>839</v>
      </c>
      <c r="O29" s="376" t="s">
        <v>839</v>
      </c>
      <c r="P29" s="376" t="s">
        <v>839</v>
      </c>
      <c r="Q29" s="376" t="s">
        <v>839</v>
      </c>
      <c r="R29" s="376" t="s">
        <v>839</v>
      </c>
      <c r="S29" s="376" t="s">
        <v>839</v>
      </c>
      <c r="T29" s="376" t="s">
        <v>839</v>
      </c>
      <c r="U29" s="376" t="s">
        <v>839</v>
      </c>
      <c r="V29" s="376">
        <v>194421</v>
      </c>
      <c r="W29" s="381" t="s">
        <v>80</v>
      </c>
    </row>
    <row r="30" spans="1:23" s="376" customFormat="1" ht="9.75" customHeight="1" x14ac:dyDescent="0.15">
      <c r="A30" s="756" t="s">
        <v>687</v>
      </c>
      <c r="B30" s="376">
        <v>2232400</v>
      </c>
      <c r="C30" s="376">
        <v>784231</v>
      </c>
      <c r="D30" s="376">
        <v>478157</v>
      </c>
      <c r="E30" s="376" t="s">
        <v>839</v>
      </c>
      <c r="F30" s="376">
        <v>41900</v>
      </c>
      <c r="G30" s="376">
        <v>20000</v>
      </c>
      <c r="H30" s="376" t="s">
        <v>839</v>
      </c>
      <c r="I30" s="376" t="s">
        <v>839</v>
      </c>
      <c r="J30" s="376">
        <v>58523</v>
      </c>
      <c r="K30" s="376">
        <v>95410</v>
      </c>
      <c r="L30" s="376" t="s">
        <v>839</v>
      </c>
      <c r="M30" s="376">
        <v>42601</v>
      </c>
      <c r="N30" s="376" t="s">
        <v>839</v>
      </c>
      <c r="O30" s="376" t="s">
        <v>839</v>
      </c>
      <c r="P30" s="376">
        <v>47640</v>
      </c>
      <c r="Q30" s="376" t="s">
        <v>839</v>
      </c>
      <c r="R30" s="376" t="s">
        <v>839</v>
      </c>
      <c r="S30" s="376" t="s">
        <v>839</v>
      </c>
      <c r="T30" s="376" t="s">
        <v>839</v>
      </c>
      <c r="U30" s="376" t="s">
        <v>839</v>
      </c>
      <c r="V30" s="376">
        <v>49844</v>
      </c>
      <c r="W30" s="381" t="s">
        <v>81</v>
      </c>
    </row>
    <row r="31" spans="1:23" s="376" customFormat="1" ht="9.75" customHeight="1" x14ac:dyDescent="0.15">
      <c r="A31" s="756" t="s">
        <v>688</v>
      </c>
      <c r="B31" s="376">
        <v>2421785</v>
      </c>
      <c r="C31" s="376">
        <v>1020661</v>
      </c>
      <c r="D31" s="376">
        <v>421789</v>
      </c>
      <c r="E31" s="376" t="s">
        <v>839</v>
      </c>
      <c r="F31" s="376" t="s">
        <v>839</v>
      </c>
      <c r="G31" s="376">
        <v>12093</v>
      </c>
      <c r="H31" s="376" t="s">
        <v>839</v>
      </c>
      <c r="I31" s="376" t="s">
        <v>839</v>
      </c>
      <c r="J31" s="376">
        <v>402703</v>
      </c>
      <c r="K31" s="376">
        <v>84903</v>
      </c>
      <c r="L31" s="376" t="s">
        <v>839</v>
      </c>
      <c r="M31" s="376">
        <v>75323</v>
      </c>
      <c r="N31" s="376" t="s">
        <v>839</v>
      </c>
      <c r="O31" s="376">
        <v>23850</v>
      </c>
      <c r="P31" s="376" t="s">
        <v>839</v>
      </c>
      <c r="Q31" s="376" t="s">
        <v>839</v>
      </c>
      <c r="R31" s="376" t="s">
        <v>839</v>
      </c>
      <c r="S31" s="376">
        <v>123708</v>
      </c>
      <c r="T31" s="376" t="s">
        <v>839</v>
      </c>
      <c r="U31" s="376">
        <v>123708</v>
      </c>
      <c r="V31" s="376" t="s">
        <v>839</v>
      </c>
      <c r="W31" s="381" t="s">
        <v>82</v>
      </c>
    </row>
    <row r="32" spans="1:23" s="376" customFormat="1" ht="9.75" customHeight="1" x14ac:dyDescent="0.15">
      <c r="A32" s="756" t="s">
        <v>849</v>
      </c>
      <c r="B32" s="376">
        <v>2682474</v>
      </c>
      <c r="C32" s="376">
        <v>1132865</v>
      </c>
      <c r="D32" s="376">
        <v>351458</v>
      </c>
      <c r="E32" s="376">
        <v>91101</v>
      </c>
      <c r="F32" s="376">
        <v>17673</v>
      </c>
      <c r="G32" s="376">
        <v>28756</v>
      </c>
      <c r="H32" s="376">
        <v>90050</v>
      </c>
      <c r="I32" s="376" t="s">
        <v>839</v>
      </c>
      <c r="J32" s="376">
        <v>313642</v>
      </c>
      <c r="K32" s="376" t="s">
        <v>839</v>
      </c>
      <c r="L32" s="376" t="s">
        <v>839</v>
      </c>
      <c r="M32" s="376">
        <v>122008</v>
      </c>
      <c r="N32" s="376" t="s">
        <v>839</v>
      </c>
      <c r="O32" s="376" t="s">
        <v>839</v>
      </c>
      <c r="P32" s="376">
        <v>118177</v>
      </c>
      <c r="Q32" s="376" t="s">
        <v>839</v>
      </c>
      <c r="R32" s="376" t="s">
        <v>839</v>
      </c>
      <c r="S32" s="376" t="s">
        <v>839</v>
      </c>
      <c r="T32" s="376" t="s">
        <v>839</v>
      </c>
      <c r="U32" s="376" t="s">
        <v>839</v>
      </c>
      <c r="V32" s="376">
        <v>114271</v>
      </c>
      <c r="W32" s="381" t="s">
        <v>850</v>
      </c>
    </row>
    <row r="33" spans="1:23" s="376" customFormat="1" ht="9.75" customHeight="1" x14ac:dyDescent="0.15">
      <c r="A33" s="756" t="s">
        <v>690</v>
      </c>
      <c r="B33" s="376">
        <v>2758782</v>
      </c>
      <c r="C33" s="376">
        <v>1134570</v>
      </c>
      <c r="D33" s="376">
        <v>371845</v>
      </c>
      <c r="E33" s="376">
        <v>101297</v>
      </c>
      <c r="F33" s="376" t="s">
        <v>839</v>
      </c>
      <c r="G33" s="376" t="s">
        <v>839</v>
      </c>
      <c r="H33" s="376" t="s">
        <v>839</v>
      </c>
      <c r="I33" s="376" t="s">
        <v>839</v>
      </c>
      <c r="J33" s="376">
        <v>365598</v>
      </c>
      <c r="K33" s="376">
        <v>203705</v>
      </c>
      <c r="L33" s="376" t="s">
        <v>839</v>
      </c>
      <c r="M33" s="376" t="s">
        <v>839</v>
      </c>
      <c r="N33" s="376" t="s">
        <v>839</v>
      </c>
      <c r="O33" s="376" t="s">
        <v>839</v>
      </c>
      <c r="P33" s="376">
        <v>92125</v>
      </c>
      <c r="Q33" s="376" t="s">
        <v>839</v>
      </c>
      <c r="R33" s="376" t="s">
        <v>839</v>
      </c>
      <c r="S33" s="376" t="s">
        <v>839</v>
      </c>
      <c r="T33" s="376" t="s">
        <v>839</v>
      </c>
      <c r="U33" s="376" t="s">
        <v>839</v>
      </c>
      <c r="V33" s="376">
        <v>272353</v>
      </c>
      <c r="W33" s="381" t="s">
        <v>77</v>
      </c>
    </row>
    <row r="34" spans="1:23" s="376" customFormat="1" ht="9.75" customHeight="1" x14ac:dyDescent="0.15">
      <c r="A34" s="757" t="s">
        <v>691</v>
      </c>
      <c r="B34" s="380">
        <v>2681022</v>
      </c>
      <c r="C34" s="379">
        <v>924971</v>
      </c>
      <c r="D34" s="379">
        <v>435761</v>
      </c>
      <c r="E34" s="379">
        <v>166817</v>
      </c>
      <c r="F34" s="379" t="s">
        <v>839</v>
      </c>
      <c r="G34" s="379">
        <v>41402</v>
      </c>
      <c r="H34" s="379" t="s">
        <v>839</v>
      </c>
      <c r="I34" s="379" t="s">
        <v>839</v>
      </c>
      <c r="J34" s="379">
        <v>137901</v>
      </c>
      <c r="K34" s="379" t="s">
        <v>839</v>
      </c>
      <c r="L34" s="379" t="s">
        <v>839</v>
      </c>
      <c r="M34" s="379">
        <v>47680</v>
      </c>
      <c r="N34" s="379" t="s">
        <v>839</v>
      </c>
      <c r="O34" s="379" t="s">
        <v>839</v>
      </c>
      <c r="P34" s="379">
        <v>95332</v>
      </c>
      <c r="Q34" s="379" t="s">
        <v>839</v>
      </c>
      <c r="R34" s="379">
        <v>78</v>
      </c>
      <c r="S34" s="379" t="s">
        <v>839</v>
      </c>
      <c r="T34" s="379" t="s">
        <v>839</v>
      </c>
      <c r="U34" s="379" t="s">
        <v>839</v>
      </c>
      <c r="V34" s="379">
        <v>373913</v>
      </c>
      <c r="W34" s="377" t="s">
        <v>78</v>
      </c>
    </row>
    <row r="35" spans="1:23" ht="12" customHeight="1" x14ac:dyDescent="0.15"/>
    <row r="36" spans="1:23" ht="12" customHeight="1" x14ac:dyDescent="0.15"/>
    <row r="37" spans="1:23" ht="12" customHeight="1" x14ac:dyDescent="0.15">
      <c r="K37" s="391" t="s">
        <v>97</v>
      </c>
    </row>
    <row r="38" spans="1:23" s="387" customFormat="1" ht="21" customHeight="1" x14ac:dyDescent="0.15">
      <c r="A38" s="1023" t="s">
        <v>185</v>
      </c>
      <c r="B38" s="390" t="s">
        <v>324</v>
      </c>
      <c r="C38" s="389"/>
      <c r="D38" s="389"/>
      <c r="E38" s="389"/>
      <c r="F38" s="389"/>
      <c r="G38" s="389"/>
      <c r="H38" s="389"/>
      <c r="I38" s="389"/>
      <c r="J38" s="389"/>
      <c r="K38" s="389"/>
      <c r="L38" s="389"/>
      <c r="M38" s="389"/>
      <c r="N38" s="389"/>
      <c r="O38" s="389"/>
      <c r="P38" s="389"/>
      <c r="Q38" s="389"/>
      <c r="R38" s="389"/>
      <c r="S38" s="389"/>
      <c r="T38" s="389"/>
      <c r="U38" s="389"/>
      <c r="V38" s="389"/>
      <c r="W38" s="1026" t="s">
        <v>83</v>
      </c>
    </row>
    <row r="39" spans="1:23" s="387" customFormat="1" ht="21" customHeight="1" x14ac:dyDescent="0.15">
      <c r="A39" s="1024"/>
      <c r="B39" s="390" t="s">
        <v>999</v>
      </c>
      <c r="C39" s="389"/>
      <c r="D39" s="389"/>
      <c r="E39" s="389"/>
      <c r="F39" s="732"/>
      <c r="G39" s="733" t="s">
        <v>271</v>
      </c>
      <c r="H39" s="389"/>
      <c r="I39" s="389"/>
      <c r="J39" s="732"/>
      <c r="K39" s="733" t="s">
        <v>256</v>
      </c>
      <c r="L39" s="389"/>
      <c r="M39" s="389"/>
      <c r="N39" s="732"/>
      <c r="O39" s="733" t="s">
        <v>255</v>
      </c>
      <c r="P39" s="389"/>
      <c r="Q39" s="389"/>
      <c r="R39" s="389"/>
      <c r="S39" s="389"/>
      <c r="T39" s="389"/>
      <c r="U39" s="389"/>
      <c r="V39" s="389"/>
      <c r="W39" s="1027"/>
    </row>
    <row r="40" spans="1:23" s="387" customFormat="1" ht="52.5" customHeight="1" x14ac:dyDescent="0.15">
      <c r="A40" s="1025"/>
      <c r="B40" s="388" t="s">
        <v>287</v>
      </c>
      <c r="C40" s="388" t="s">
        <v>258</v>
      </c>
      <c r="D40" s="388" t="s">
        <v>311</v>
      </c>
      <c r="E40" s="388" t="s">
        <v>280</v>
      </c>
      <c r="F40" s="388" t="s">
        <v>1000</v>
      </c>
      <c r="G40" s="735" t="s">
        <v>982</v>
      </c>
      <c r="H40" s="388" t="s">
        <v>333</v>
      </c>
      <c r="I40" s="388" t="s">
        <v>257</v>
      </c>
      <c r="J40" s="388" t="s">
        <v>332</v>
      </c>
      <c r="K40" s="735" t="s">
        <v>983</v>
      </c>
      <c r="L40" s="393" t="s">
        <v>1001</v>
      </c>
      <c r="M40" s="388" t="s">
        <v>985</v>
      </c>
      <c r="N40" s="393" t="s">
        <v>1002</v>
      </c>
      <c r="O40" s="735" t="s">
        <v>986</v>
      </c>
      <c r="P40" s="388" t="s">
        <v>250</v>
      </c>
      <c r="Q40" s="388" t="s">
        <v>1003</v>
      </c>
      <c r="R40" s="388" t="s">
        <v>584</v>
      </c>
      <c r="S40" s="388" t="s">
        <v>330</v>
      </c>
      <c r="T40" s="388" t="s">
        <v>585</v>
      </c>
      <c r="U40" s="388" t="s">
        <v>351</v>
      </c>
      <c r="V40" s="392" t="s">
        <v>350</v>
      </c>
      <c r="W40" s="1028"/>
    </row>
    <row r="41" spans="1:23" s="376" customFormat="1" ht="9.75" customHeight="1" x14ac:dyDescent="0.15">
      <c r="A41" s="755" t="s">
        <v>838</v>
      </c>
      <c r="B41" s="386">
        <v>126718</v>
      </c>
      <c r="C41" s="385">
        <v>1318447</v>
      </c>
      <c r="D41" s="385">
        <v>391038</v>
      </c>
      <c r="E41" s="385" t="s">
        <v>839</v>
      </c>
      <c r="F41" s="385" t="s">
        <v>839</v>
      </c>
      <c r="G41" s="385">
        <v>821241</v>
      </c>
      <c r="H41" s="385">
        <v>40650</v>
      </c>
      <c r="I41" s="385" t="s">
        <v>839</v>
      </c>
      <c r="J41" s="385">
        <v>780591</v>
      </c>
      <c r="K41" s="385">
        <v>55108</v>
      </c>
      <c r="L41" s="385">
        <v>44001</v>
      </c>
      <c r="M41" s="385" t="s">
        <v>839</v>
      </c>
      <c r="N41" s="385">
        <v>11107</v>
      </c>
      <c r="O41" s="385">
        <v>5319644</v>
      </c>
      <c r="P41" s="385">
        <v>4495790</v>
      </c>
      <c r="Q41" s="385">
        <v>465062</v>
      </c>
      <c r="R41" s="385" t="s">
        <v>839</v>
      </c>
      <c r="S41" s="385" t="s">
        <v>839</v>
      </c>
      <c r="T41" s="385" t="s">
        <v>839</v>
      </c>
      <c r="U41" s="385" t="s">
        <v>839</v>
      </c>
      <c r="V41" s="385">
        <v>326056</v>
      </c>
      <c r="W41" s="383" t="s">
        <v>457</v>
      </c>
    </row>
    <row r="42" spans="1:23" s="376" customFormat="1" ht="9.75" customHeight="1" x14ac:dyDescent="0.15">
      <c r="A42" s="756" t="s">
        <v>669</v>
      </c>
      <c r="B42" s="376">
        <v>63300</v>
      </c>
      <c r="C42" s="376">
        <v>2365901</v>
      </c>
      <c r="D42" s="376">
        <v>149254</v>
      </c>
      <c r="E42" s="376">
        <v>74779</v>
      </c>
      <c r="F42" s="376" t="s">
        <v>839</v>
      </c>
      <c r="G42" s="376">
        <v>1698857</v>
      </c>
      <c r="H42" s="376">
        <v>214108</v>
      </c>
      <c r="I42" s="376">
        <v>21650</v>
      </c>
      <c r="J42" s="376">
        <v>1463099</v>
      </c>
      <c r="K42" s="376">
        <v>94050</v>
      </c>
      <c r="L42" s="376">
        <v>94050</v>
      </c>
      <c r="M42" s="376" t="s">
        <v>839</v>
      </c>
      <c r="N42" s="376" t="s">
        <v>839</v>
      </c>
      <c r="O42" s="376">
        <v>7037465</v>
      </c>
      <c r="P42" s="376">
        <v>6264108</v>
      </c>
      <c r="Q42" s="376">
        <v>335186</v>
      </c>
      <c r="R42" s="376">
        <v>12543</v>
      </c>
      <c r="S42" s="376">
        <v>28130</v>
      </c>
      <c r="T42" s="376">
        <v>9956</v>
      </c>
      <c r="U42" s="376">
        <v>22294</v>
      </c>
      <c r="V42" s="376">
        <v>324573</v>
      </c>
      <c r="W42" s="381" t="s">
        <v>512</v>
      </c>
    </row>
    <row r="43" spans="1:23" s="376" customFormat="1" ht="9.75" customHeight="1" x14ac:dyDescent="0.15">
      <c r="A43" s="756" t="s">
        <v>670</v>
      </c>
      <c r="B43" s="376" t="s">
        <v>839</v>
      </c>
      <c r="C43" s="376">
        <v>959780</v>
      </c>
      <c r="D43" s="376" t="s">
        <v>839</v>
      </c>
      <c r="E43" s="376" t="s">
        <v>839</v>
      </c>
      <c r="F43" s="376" t="s">
        <v>839</v>
      </c>
      <c r="G43" s="376">
        <v>83186</v>
      </c>
      <c r="H43" s="376" t="s">
        <v>839</v>
      </c>
      <c r="I43" s="376" t="s">
        <v>839</v>
      </c>
      <c r="J43" s="376">
        <v>83186</v>
      </c>
      <c r="K43" s="376">
        <v>163865</v>
      </c>
      <c r="L43" s="376">
        <v>114000</v>
      </c>
      <c r="M43" s="376">
        <v>49865</v>
      </c>
      <c r="N43" s="376" t="s">
        <v>839</v>
      </c>
      <c r="O43" s="376">
        <v>2585353</v>
      </c>
      <c r="P43" s="376">
        <v>2240733</v>
      </c>
      <c r="Q43" s="376">
        <v>205720</v>
      </c>
      <c r="R43" s="376" t="s">
        <v>839</v>
      </c>
      <c r="S43" s="376" t="s">
        <v>839</v>
      </c>
      <c r="T43" s="376" t="s">
        <v>839</v>
      </c>
      <c r="U43" s="376" t="s">
        <v>839</v>
      </c>
      <c r="V43" s="376">
        <v>131885</v>
      </c>
      <c r="W43" s="381" t="s">
        <v>620</v>
      </c>
    </row>
    <row r="44" spans="1:23" s="376" customFormat="1" ht="9.75" customHeight="1" x14ac:dyDescent="0.15">
      <c r="A44" s="756" t="s">
        <v>671</v>
      </c>
      <c r="B44" s="376" t="s">
        <v>839</v>
      </c>
      <c r="C44" s="376">
        <v>885368</v>
      </c>
      <c r="D44" s="376">
        <v>49204</v>
      </c>
      <c r="E44" s="376" t="s">
        <v>839</v>
      </c>
      <c r="F44" s="376" t="s">
        <v>839</v>
      </c>
      <c r="G44" s="376">
        <v>833501</v>
      </c>
      <c r="H44" s="376">
        <v>136060</v>
      </c>
      <c r="I44" s="376">
        <v>97652</v>
      </c>
      <c r="J44" s="376">
        <v>599789</v>
      </c>
      <c r="K44" s="376">
        <v>122631</v>
      </c>
      <c r="L44" s="376" t="s">
        <v>839</v>
      </c>
      <c r="M44" s="376">
        <v>122631</v>
      </c>
      <c r="N44" s="376" t="s">
        <v>839</v>
      </c>
      <c r="O44" s="376">
        <v>2561014</v>
      </c>
      <c r="P44" s="376">
        <v>2229139</v>
      </c>
      <c r="Q44" s="376">
        <v>141069</v>
      </c>
      <c r="R44" s="376" t="s">
        <v>839</v>
      </c>
      <c r="S44" s="376" t="s">
        <v>839</v>
      </c>
      <c r="T44" s="376" t="s">
        <v>839</v>
      </c>
      <c r="U44" s="376" t="s">
        <v>839</v>
      </c>
      <c r="V44" s="376">
        <v>180476</v>
      </c>
      <c r="W44" s="381" t="s">
        <v>672</v>
      </c>
    </row>
    <row r="45" spans="1:23" s="376" customFormat="1" ht="9.75" customHeight="1" x14ac:dyDescent="0.15">
      <c r="A45" s="756" t="s">
        <v>840</v>
      </c>
      <c r="B45" s="376">
        <v>11502</v>
      </c>
      <c r="C45" s="376">
        <v>1744114</v>
      </c>
      <c r="D45" s="376">
        <v>347559</v>
      </c>
      <c r="E45" s="376" t="s">
        <v>839</v>
      </c>
      <c r="F45" s="376">
        <v>49985</v>
      </c>
      <c r="G45" s="376">
        <v>999279</v>
      </c>
      <c r="H45" s="376">
        <v>90681</v>
      </c>
      <c r="I45" s="376" t="s">
        <v>839</v>
      </c>
      <c r="J45" s="376">
        <v>908598</v>
      </c>
      <c r="K45" s="376">
        <v>47468</v>
      </c>
      <c r="L45" s="376" t="s">
        <v>839</v>
      </c>
      <c r="M45" s="376">
        <v>47468</v>
      </c>
      <c r="N45" s="376" t="s">
        <v>839</v>
      </c>
      <c r="O45" s="376">
        <v>4048827</v>
      </c>
      <c r="P45" s="376">
        <v>3457245</v>
      </c>
      <c r="Q45" s="376">
        <v>518570</v>
      </c>
      <c r="R45" s="376" t="s">
        <v>839</v>
      </c>
      <c r="S45" s="376" t="s">
        <v>839</v>
      </c>
      <c r="T45" s="376" t="s">
        <v>839</v>
      </c>
      <c r="U45" s="376" t="s">
        <v>839</v>
      </c>
      <c r="V45" s="376">
        <v>73012</v>
      </c>
      <c r="W45" s="381" t="s">
        <v>841</v>
      </c>
    </row>
    <row r="46" spans="1:23" s="376" customFormat="1" ht="6.75" customHeight="1" x14ac:dyDescent="0.15">
      <c r="A46" s="787"/>
      <c r="W46" s="381"/>
    </row>
    <row r="47" spans="1:23" s="376" customFormat="1" ht="9.75" customHeight="1" x14ac:dyDescent="0.15">
      <c r="A47" s="756" t="s">
        <v>842</v>
      </c>
      <c r="B47" s="376" t="s">
        <v>839</v>
      </c>
      <c r="C47" s="376">
        <v>1279432</v>
      </c>
      <c r="D47" s="376">
        <v>49204</v>
      </c>
      <c r="E47" s="376" t="s">
        <v>839</v>
      </c>
      <c r="F47" s="376" t="s">
        <v>839</v>
      </c>
      <c r="G47" s="376">
        <v>1023287</v>
      </c>
      <c r="H47" s="376">
        <v>181391</v>
      </c>
      <c r="I47" s="376">
        <v>97652</v>
      </c>
      <c r="J47" s="376">
        <v>744244</v>
      </c>
      <c r="K47" s="376">
        <v>170099</v>
      </c>
      <c r="L47" s="376" t="s">
        <v>839</v>
      </c>
      <c r="M47" s="376">
        <v>170099</v>
      </c>
      <c r="N47" s="376" t="s">
        <v>839</v>
      </c>
      <c r="O47" s="376">
        <v>2978649</v>
      </c>
      <c r="P47" s="376">
        <v>2513050</v>
      </c>
      <c r="Q47" s="376">
        <v>264898</v>
      </c>
      <c r="R47" s="376" t="s">
        <v>839</v>
      </c>
      <c r="S47" s="376" t="s">
        <v>839</v>
      </c>
      <c r="T47" s="376" t="s">
        <v>839</v>
      </c>
      <c r="U47" s="376" t="s">
        <v>839</v>
      </c>
      <c r="V47" s="376">
        <v>200701</v>
      </c>
      <c r="W47" s="381" t="s">
        <v>673</v>
      </c>
    </row>
    <row r="48" spans="1:23" s="376" customFormat="1" ht="9.75" customHeight="1" x14ac:dyDescent="0.15">
      <c r="A48" s="756" t="s">
        <v>843</v>
      </c>
      <c r="B48" s="376">
        <v>61428</v>
      </c>
      <c r="C48" s="376">
        <v>1700061</v>
      </c>
      <c r="D48" s="376">
        <v>706030</v>
      </c>
      <c r="E48" s="376" t="s">
        <v>839</v>
      </c>
      <c r="F48" s="376">
        <v>49985</v>
      </c>
      <c r="G48" s="376">
        <v>1059463</v>
      </c>
      <c r="H48" s="376">
        <v>45350</v>
      </c>
      <c r="I48" s="376">
        <v>49100</v>
      </c>
      <c r="J48" s="376">
        <v>965013</v>
      </c>
      <c r="K48" s="376">
        <v>47600</v>
      </c>
      <c r="L48" s="376" t="s">
        <v>839</v>
      </c>
      <c r="M48" s="376">
        <v>47600</v>
      </c>
      <c r="N48" s="376" t="s">
        <v>839</v>
      </c>
      <c r="O48" s="376">
        <v>4109146</v>
      </c>
      <c r="P48" s="376">
        <v>3600172</v>
      </c>
      <c r="Q48" s="376">
        <v>508974</v>
      </c>
      <c r="R48" s="376" t="s">
        <v>839</v>
      </c>
      <c r="S48" s="376" t="s">
        <v>839</v>
      </c>
      <c r="T48" s="376" t="s">
        <v>839</v>
      </c>
      <c r="U48" s="376" t="s">
        <v>839</v>
      </c>
      <c r="V48" s="376" t="s">
        <v>839</v>
      </c>
      <c r="W48" s="381" t="s">
        <v>844</v>
      </c>
    </row>
    <row r="49" spans="1:23" s="376" customFormat="1" ht="6.75" customHeight="1" x14ac:dyDescent="0.15">
      <c r="A49" s="787"/>
      <c r="W49" s="381"/>
    </row>
    <row r="50" spans="1:23" s="376" customFormat="1" ht="9.75" customHeight="1" x14ac:dyDescent="0.15">
      <c r="A50" s="756" t="s">
        <v>845</v>
      </c>
      <c r="B50" s="376" t="s">
        <v>839</v>
      </c>
      <c r="C50" s="376">
        <v>396193</v>
      </c>
      <c r="D50" s="376" t="s">
        <v>839</v>
      </c>
      <c r="E50" s="376" t="s">
        <v>839</v>
      </c>
      <c r="F50" s="376" t="s">
        <v>839</v>
      </c>
      <c r="G50" s="376">
        <v>189786</v>
      </c>
      <c r="H50" s="376">
        <v>45331</v>
      </c>
      <c r="I50" s="376" t="s">
        <v>839</v>
      </c>
      <c r="J50" s="376">
        <v>144455</v>
      </c>
      <c r="K50" s="376">
        <v>47468</v>
      </c>
      <c r="L50" s="376" t="s">
        <v>839</v>
      </c>
      <c r="M50" s="376">
        <v>47468</v>
      </c>
      <c r="N50" s="376" t="s">
        <v>839</v>
      </c>
      <c r="O50" s="376">
        <v>1021321</v>
      </c>
      <c r="P50" s="376">
        <v>824480</v>
      </c>
      <c r="Q50" s="376">
        <v>123829</v>
      </c>
      <c r="R50" s="376" t="s">
        <v>839</v>
      </c>
      <c r="S50" s="376" t="s">
        <v>839</v>
      </c>
      <c r="T50" s="376" t="s">
        <v>839</v>
      </c>
      <c r="U50" s="376" t="s">
        <v>839</v>
      </c>
      <c r="V50" s="376">
        <v>73012</v>
      </c>
      <c r="W50" s="381" t="s">
        <v>677</v>
      </c>
    </row>
    <row r="51" spans="1:23" s="376" customFormat="1" ht="9.75" customHeight="1" x14ac:dyDescent="0.15">
      <c r="A51" s="756" t="s">
        <v>674</v>
      </c>
      <c r="B51" s="376">
        <v>11502</v>
      </c>
      <c r="C51" s="376">
        <v>569146</v>
      </c>
      <c r="D51" s="376">
        <v>199771</v>
      </c>
      <c r="E51" s="376" t="s">
        <v>839</v>
      </c>
      <c r="F51" s="376">
        <v>49985</v>
      </c>
      <c r="G51" s="376">
        <v>195372</v>
      </c>
      <c r="H51" s="376">
        <v>45350</v>
      </c>
      <c r="I51" s="376" t="s">
        <v>839</v>
      </c>
      <c r="J51" s="376">
        <v>150022</v>
      </c>
      <c r="K51" s="376" t="s">
        <v>839</v>
      </c>
      <c r="L51" s="376" t="s">
        <v>839</v>
      </c>
      <c r="M51" s="376" t="s">
        <v>839</v>
      </c>
      <c r="N51" s="376" t="s">
        <v>839</v>
      </c>
      <c r="O51" s="376">
        <v>890166</v>
      </c>
      <c r="P51" s="376">
        <v>746503</v>
      </c>
      <c r="Q51" s="376">
        <v>143663</v>
      </c>
      <c r="R51" s="376" t="s">
        <v>839</v>
      </c>
      <c r="S51" s="376" t="s">
        <v>839</v>
      </c>
      <c r="T51" s="376" t="s">
        <v>839</v>
      </c>
      <c r="U51" s="376" t="s">
        <v>839</v>
      </c>
      <c r="V51" s="376" t="s">
        <v>839</v>
      </c>
      <c r="W51" s="381" t="s">
        <v>89</v>
      </c>
    </row>
    <row r="52" spans="1:23" s="376" customFormat="1" ht="9.75" customHeight="1" x14ac:dyDescent="0.15">
      <c r="A52" s="756" t="s">
        <v>675</v>
      </c>
      <c r="B52" s="376" t="s">
        <v>839</v>
      </c>
      <c r="C52" s="376">
        <v>584354</v>
      </c>
      <c r="D52" s="376">
        <v>97944</v>
      </c>
      <c r="E52" s="376" t="s">
        <v>839</v>
      </c>
      <c r="F52" s="376" t="s">
        <v>839</v>
      </c>
      <c r="G52" s="376">
        <v>150055</v>
      </c>
      <c r="H52" s="376" t="s">
        <v>839</v>
      </c>
      <c r="I52" s="376" t="s">
        <v>839</v>
      </c>
      <c r="J52" s="376">
        <v>150055</v>
      </c>
      <c r="K52" s="376" t="s">
        <v>839</v>
      </c>
      <c r="L52" s="376" t="s">
        <v>839</v>
      </c>
      <c r="M52" s="376" t="s">
        <v>839</v>
      </c>
      <c r="N52" s="376" t="s">
        <v>839</v>
      </c>
      <c r="O52" s="376">
        <v>1440551</v>
      </c>
      <c r="P52" s="376">
        <v>1317204</v>
      </c>
      <c r="Q52" s="376">
        <v>123347</v>
      </c>
      <c r="R52" s="376" t="s">
        <v>839</v>
      </c>
      <c r="S52" s="376" t="s">
        <v>839</v>
      </c>
      <c r="T52" s="376" t="s">
        <v>839</v>
      </c>
      <c r="U52" s="376" t="s">
        <v>839</v>
      </c>
      <c r="V52" s="376" t="s">
        <v>839</v>
      </c>
      <c r="W52" s="381" t="s">
        <v>90</v>
      </c>
    </row>
    <row r="53" spans="1:23" s="376" customFormat="1" ht="9.75" customHeight="1" x14ac:dyDescent="0.15">
      <c r="A53" s="756" t="s">
        <v>676</v>
      </c>
      <c r="B53" s="376" t="s">
        <v>839</v>
      </c>
      <c r="C53" s="376">
        <v>194421</v>
      </c>
      <c r="D53" s="376">
        <v>49844</v>
      </c>
      <c r="E53" s="376" t="s">
        <v>839</v>
      </c>
      <c r="F53" s="376" t="s">
        <v>839</v>
      </c>
      <c r="G53" s="376">
        <v>464066</v>
      </c>
      <c r="H53" s="376" t="s">
        <v>839</v>
      </c>
      <c r="I53" s="376" t="s">
        <v>839</v>
      </c>
      <c r="J53" s="376">
        <v>464066</v>
      </c>
      <c r="K53" s="376" t="s">
        <v>839</v>
      </c>
      <c r="L53" s="376" t="s">
        <v>839</v>
      </c>
      <c r="M53" s="376" t="s">
        <v>839</v>
      </c>
      <c r="N53" s="376" t="s">
        <v>839</v>
      </c>
      <c r="O53" s="376">
        <v>696789</v>
      </c>
      <c r="P53" s="376">
        <v>569058</v>
      </c>
      <c r="Q53" s="376">
        <v>127731</v>
      </c>
      <c r="R53" s="376" t="s">
        <v>839</v>
      </c>
      <c r="S53" s="376" t="s">
        <v>839</v>
      </c>
      <c r="T53" s="376" t="s">
        <v>839</v>
      </c>
      <c r="U53" s="376" t="s">
        <v>839</v>
      </c>
      <c r="V53" s="376" t="s">
        <v>839</v>
      </c>
      <c r="W53" s="381" t="s">
        <v>91</v>
      </c>
    </row>
    <row r="54" spans="1:23" s="376" customFormat="1" ht="9.75" customHeight="1" x14ac:dyDescent="0.15">
      <c r="A54" s="756" t="s">
        <v>846</v>
      </c>
      <c r="B54" s="376">
        <v>49926</v>
      </c>
      <c r="C54" s="376">
        <v>352140</v>
      </c>
      <c r="D54" s="376">
        <v>358471</v>
      </c>
      <c r="E54" s="376" t="s">
        <v>839</v>
      </c>
      <c r="F54" s="376" t="s">
        <v>839</v>
      </c>
      <c r="G54" s="376">
        <v>249970</v>
      </c>
      <c r="H54" s="376" t="s">
        <v>839</v>
      </c>
      <c r="I54" s="376">
        <v>49100</v>
      </c>
      <c r="J54" s="376">
        <v>200870</v>
      </c>
      <c r="K54" s="376">
        <v>47600</v>
      </c>
      <c r="L54" s="376" t="s">
        <v>839</v>
      </c>
      <c r="M54" s="376">
        <v>47600</v>
      </c>
      <c r="N54" s="376" t="s">
        <v>839</v>
      </c>
      <c r="O54" s="376">
        <v>1081640</v>
      </c>
      <c r="P54" s="376">
        <v>967407</v>
      </c>
      <c r="Q54" s="376">
        <v>114233</v>
      </c>
      <c r="R54" s="376" t="s">
        <v>839</v>
      </c>
      <c r="S54" s="376" t="s">
        <v>839</v>
      </c>
      <c r="T54" s="376" t="s">
        <v>839</v>
      </c>
      <c r="U54" s="376" t="s">
        <v>839</v>
      </c>
      <c r="V54" s="376" t="s">
        <v>839</v>
      </c>
      <c r="W54" s="381" t="s">
        <v>847</v>
      </c>
    </row>
    <row r="55" spans="1:23" s="376" customFormat="1" ht="6.75" customHeight="1" x14ac:dyDescent="0.15">
      <c r="A55" s="787"/>
      <c r="W55" s="381"/>
    </row>
    <row r="56" spans="1:23" s="376" customFormat="1" ht="9.75" customHeight="1" x14ac:dyDescent="0.15">
      <c r="A56" s="756" t="s">
        <v>848</v>
      </c>
      <c r="B56" s="376" t="s">
        <v>839</v>
      </c>
      <c r="C56" s="376">
        <v>111596</v>
      </c>
      <c r="D56" s="376" t="s">
        <v>839</v>
      </c>
      <c r="E56" s="376" t="s">
        <v>839</v>
      </c>
      <c r="F56" s="376" t="s">
        <v>839</v>
      </c>
      <c r="G56" s="376">
        <v>95335</v>
      </c>
      <c r="H56" s="376">
        <v>45331</v>
      </c>
      <c r="I56" s="376" t="s">
        <v>839</v>
      </c>
      <c r="J56" s="376">
        <v>50004</v>
      </c>
      <c r="K56" s="376" t="s">
        <v>839</v>
      </c>
      <c r="L56" s="376" t="s">
        <v>839</v>
      </c>
      <c r="M56" s="376" t="s">
        <v>839</v>
      </c>
      <c r="N56" s="376" t="s">
        <v>839</v>
      </c>
      <c r="O56" s="376">
        <v>401785</v>
      </c>
      <c r="P56" s="376">
        <v>293631</v>
      </c>
      <c r="Q56" s="376">
        <v>108154</v>
      </c>
      <c r="R56" s="376" t="s">
        <v>839</v>
      </c>
      <c r="S56" s="376" t="s">
        <v>839</v>
      </c>
      <c r="T56" s="376" t="s">
        <v>839</v>
      </c>
      <c r="U56" s="376" t="s">
        <v>839</v>
      </c>
      <c r="V56" s="376" t="s">
        <v>839</v>
      </c>
      <c r="W56" s="381" t="s">
        <v>689</v>
      </c>
    </row>
    <row r="57" spans="1:23" s="376" customFormat="1" ht="9.75" customHeight="1" x14ac:dyDescent="0.15">
      <c r="A57" s="756" t="s">
        <v>678</v>
      </c>
      <c r="B57" s="376" t="s">
        <v>839</v>
      </c>
      <c r="C57" s="376">
        <v>142507</v>
      </c>
      <c r="D57" s="376" t="s">
        <v>839</v>
      </c>
      <c r="E57" s="376" t="s">
        <v>839</v>
      </c>
      <c r="F57" s="376" t="s">
        <v>839</v>
      </c>
      <c r="G57" s="376">
        <v>44431</v>
      </c>
      <c r="H57" s="376" t="s">
        <v>839</v>
      </c>
      <c r="I57" s="376" t="s">
        <v>839</v>
      </c>
      <c r="J57" s="376">
        <v>44431</v>
      </c>
      <c r="K57" s="376" t="s">
        <v>839</v>
      </c>
      <c r="L57" s="376" t="s">
        <v>839</v>
      </c>
      <c r="M57" s="376" t="s">
        <v>839</v>
      </c>
      <c r="N57" s="376" t="s">
        <v>839</v>
      </c>
      <c r="O57" s="376">
        <v>360863</v>
      </c>
      <c r="P57" s="376">
        <v>325740</v>
      </c>
      <c r="Q57" s="376" t="s">
        <v>839</v>
      </c>
      <c r="R57" s="376" t="s">
        <v>839</v>
      </c>
      <c r="S57" s="376" t="s">
        <v>839</v>
      </c>
      <c r="T57" s="376" t="s">
        <v>839</v>
      </c>
      <c r="U57" s="376" t="s">
        <v>839</v>
      </c>
      <c r="V57" s="376">
        <v>35123</v>
      </c>
      <c r="W57" s="381" t="s">
        <v>77</v>
      </c>
    </row>
    <row r="58" spans="1:23" s="376" customFormat="1" ht="9.75" customHeight="1" x14ac:dyDescent="0.15">
      <c r="A58" s="756" t="s">
        <v>679</v>
      </c>
      <c r="B58" s="376" t="s">
        <v>839</v>
      </c>
      <c r="C58" s="376">
        <v>142090</v>
      </c>
      <c r="D58" s="376" t="s">
        <v>839</v>
      </c>
      <c r="E58" s="376" t="s">
        <v>839</v>
      </c>
      <c r="F58" s="376" t="s">
        <v>839</v>
      </c>
      <c r="G58" s="376">
        <v>50020</v>
      </c>
      <c r="H58" s="376" t="s">
        <v>839</v>
      </c>
      <c r="I58" s="376" t="s">
        <v>839</v>
      </c>
      <c r="J58" s="376">
        <v>50020</v>
      </c>
      <c r="K58" s="376">
        <v>47468</v>
      </c>
      <c r="L58" s="376" t="s">
        <v>839</v>
      </c>
      <c r="M58" s="376">
        <v>47468</v>
      </c>
      <c r="N58" s="376" t="s">
        <v>839</v>
      </c>
      <c r="O58" s="376">
        <v>258673</v>
      </c>
      <c r="P58" s="376">
        <v>205109</v>
      </c>
      <c r="Q58" s="376">
        <v>15675</v>
      </c>
      <c r="R58" s="376" t="s">
        <v>839</v>
      </c>
      <c r="S58" s="376" t="s">
        <v>839</v>
      </c>
      <c r="T58" s="376" t="s">
        <v>839</v>
      </c>
      <c r="U58" s="376" t="s">
        <v>839</v>
      </c>
      <c r="V58" s="376">
        <v>37889</v>
      </c>
      <c r="W58" s="381" t="s">
        <v>78</v>
      </c>
    </row>
    <row r="59" spans="1:23" s="376" customFormat="1" ht="9.75" customHeight="1" x14ac:dyDescent="0.15">
      <c r="A59" s="756" t="s">
        <v>680</v>
      </c>
      <c r="B59" s="376" t="s">
        <v>839</v>
      </c>
      <c r="C59" s="376">
        <v>73786</v>
      </c>
      <c r="D59" s="376">
        <v>99767</v>
      </c>
      <c r="E59" s="376" t="s">
        <v>839</v>
      </c>
      <c r="F59" s="376" t="s">
        <v>839</v>
      </c>
      <c r="G59" s="376" t="s">
        <v>839</v>
      </c>
      <c r="H59" s="376" t="s">
        <v>839</v>
      </c>
      <c r="I59" s="376" t="s">
        <v>839</v>
      </c>
      <c r="J59" s="376" t="s">
        <v>839</v>
      </c>
      <c r="K59" s="376" t="s">
        <v>839</v>
      </c>
      <c r="L59" s="376" t="s">
        <v>839</v>
      </c>
      <c r="M59" s="376" t="s">
        <v>839</v>
      </c>
      <c r="N59" s="376" t="s">
        <v>839</v>
      </c>
      <c r="O59" s="376">
        <v>181698</v>
      </c>
      <c r="P59" s="376">
        <v>166748</v>
      </c>
      <c r="Q59" s="376">
        <v>14950</v>
      </c>
      <c r="R59" s="376" t="s">
        <v>839</v>
      </c>
      <c r="S59" s="376" t="s">
        <v>839</v>
      </c>
      <c r="T59" s="376" t="s">
        <v>839</v>
      </c>
      <c r="U59" s="376" t="s">
        <v>839</v>
      </c>
      <c r="V59" s="376" t="s">
        <v>839</v>
      </c>
      <c r="W59" s="381" t="s">
        <v>79</v>
      </c>
    </row>
    <row r="60" spans="1:23" s="376" customFormat="1" ht="9.75" customHeight="1" x14ac:dyDescent="0.15">
      <c r="A60" s="756" t="s">
        <v>681</v>
      </c>
      <c r="B60" s="376">
        <v>11502</v>
      </c>
      <c r="C60" s="376">
        <v>345579</v>
      </c>
      <c r="D60" s="376">
        <v>100004</v>
      </c>
      <c r="E60" s="376" t="s">
        <v>839</v>
      </c>
      <c r="F60" s="376" t="s">
        <v>839</v>
      </c>
      <c r="G60" s="376">
        <v>100020</v>
      </c>
      <c r="H60" s="376" t="s">
        <v>839</v>
      </c>
      <c r="I60" s="376" t="s">
        <v>839</v>
      </c>
      <c r="J60" s="376">
        <v>100020</v>
      </c>
      <c r="K60" s="376" t="s">
        <v>839</v>
      </c>
      <c r="L60" s="376" t="s">
        <v>839</v>
      </c>
      <c r="M60" s="376" t="s">
        <v>839</v>
      </c>
      <c r="N60" s="376" t="s">
        <v>839</v>
      </c>
      <c r="O60" s="376">
        <v>364627</v>
      </c>
      <c r="P60" s="376">
        <v>301168</v>
      </c>
      <c r="Q60" s="376">
        <v>63459</v>
      </c>
      <c r="R60" s="376" t="s">
        <v>839</v>
      </c>
      <c r="S60" s="376" t="s">
        <v>839</v>
      </c>
      <c r="T60" s="376" t="s">
        <v>839</v>
      </c>
      <c r="U60" s="376" t="s">
        <v>839</v>
      </c>
      <c r="V60" s="376" t="s">
        <v>839</v>
      </c>
      <c r="W60" s="381" t="s">
        <v>92</v>
      </c>
    </row>
    <row r="61" spans="1:23" s="376" customFormat="1" ht="9.75" customHeight="1" x14ac:dyDescent="0.15">
      <c r="A61" s="756" t="s">
        <v>682</v>
      </c>
      <c r="B61" s="376" t="s">
        <v>839</v>
      </c>
      <c r="C61" s="376">
        <v>149781</v>
      </c>
      <c r="D61" s="376" t="s">
        <v>839</v>
      </c>
      <c r="E61" s="376" t="s">
        <v>839</v>
      </c>
      <c r="F61" s="376">
        <v>49985</v>
      </c>
      <c r="G61" s="376">
        <v>95352</v>
      </c>
      <c r="H61" s="376">
        <v>45350</v>
      </c>
      <c r="I61" s="376" t="s">
        <v>839</v>
      </c>
      <c r="J61" s="376">
        <v>50002</v>
      </c>
      <c r="K61" s="376" t="s">
        <v>839</v>
      </c>
      <c r="L61" s="376" t="s">
        <v>839</v>
      </c>
      <c r="M61" s="376" t="s">
        <v>839</v>
      </c>
      <c r="N61" s="376" t="s">
        <v>839</v>
      </c>
      <c r="O61" s="376">
        <v>343841</v>
      </c>
      <c r="P61" s="376">
        <v>278587</v>
      </c>
      <c r="Q61" s="376">
        <v>65254</v>
      </c>
      <c r="R61" s="376" t="s">
        <v>839</v>
      </c>
      <c r="S61" s="376" t="s">
        <v>839</v>
      </c>
      <c r="T61" s="376" t="s">
        <v>839</v>
      </c>
      <c r="U61" s="376" t="s">
        <v>839</v>
      </c>
      <c r="V61" s="376" t="s">
        <v>839</v>
      </c>
      <c r="W61" s="381" t="s">
        <v>93</v>
      </c>
    </row>
    <row r="62" spans="1:23" s="376" customFormat="1" ht="9.75" customHeight="1" x14ac:dyDescent="0.15">
      <c r="A62" s="756" t="s">
        <v>683</v>
      </c>
      <c r="B62" s="376" t="s">
        <v>839</v>
      </c>
      <c r="C62" s="376">
        <v>211520</v>
      </c>
      <c r="D62" s="376" t="s">
        <v>839</v>
      </c>
      <c r="E62" s="376" t="s">
        <v>839</v>
      </c>
      <c r="F62" s="376" t="s">
        <v>839</v>
      </c>
      <c r="G62" s="376">
        <v>50050</v>
      </c>
      <c r="H62" s="376" t="s">
        <v>839</v>
      </c>
      <c r="I62" s="376" t="s">
        <v>839</v>
      </c>
      <c r="J62" s="376">
        <v>50050</v>
      </c>
      <c r="K62" s="376" t="s">
        <v>839</v>
      </c>
      <c r="L62" s="376" t="s">
        <v>839</v>
      </c>
      <c r="M62" s="376" t="s">
        <v>839</v>
      </c>
      <c r="N62" s="376" t="s">
        <v>839</v>
      </c>
      <c r="O62" s="376">
        <v>344064</v>
      </c>
      <c r="P62" s="376">
        <v>328335</v>
      </c>
      <c r="Q62" s="376">
        <v>15729</v>
      </c>
      <c r="R62" s="376" t="s">
        <v>839</v>
      </c>
      <c r="S62" s="376" t="s">
        <v>839</v>
      </c>
      <c r="T62" s="376" t="s">
        <v>839</v>
      </c>
      <c r="U62" s="376" t="s">
        <v>839</v>
      </c>
      <c r="V62" s="376" t="s">
        <v>839</v>
      </c>
      <c r="W62" s="381" t="s">
        <v>94</v>
      </c>
    </row>
    <row r="63" spans="1:23" s="376" customFormat="1" ht="9.75" customHeight="1" x14ac:dyDescent="0.15">
      <c r="A63" s="756" t="s">
        <v>684</v>
      </c>
      <c r="B63" s="376" t="s">
        <v>839</v>
      </c>
      <c r="C63" s="376">
        <v>222393</v>
      </c>
      <c r="D63" s="376">
        <v>49848</v>
      </c>
      <c r="E63" s="376" t="s">
        <v>839</v>
      </c>
      <c r="F63" s="376" t="s">
        <v>839</v>
      </c>
      <c r="G63" s="376">
        <v>50003</v>
      </c>
      <c r="H63" s="376" t="s">
        <v>839</v>
      </c>
      <c r="I63" s="376" t="s">
        <v>839</v>
      </c>
      <c r="J63" s="376">
        <v>50003</v>
      </c>
      <c r="K63" s="376" t="s">
        <v>839</v>
      </c>
      <c r="L63" s="376" t="s">
        <v>839</v>
      </c>
      <c r="M63" s="376" t="s">
        <v>839</v>
      </c>
      <c r="N63" s="376" t="s">
        <v>839</v>
      </c>
      <c r="O63" s="376">
        <v>550644</v>
      </c>
      <c r="P63" s="376">
        <v>550644</v>
      </c>
      <c r="Q63" s="376" t="s">
        <v>839</v>
      </c>
      <c r="R63" s="376" t="s">
        <v>839</v>
      </c>
      <c r="S63" s="376" t="s">
        <v>839</v>
      </c>
      <c r="T63" s="376" t="s">
        <v>839</v>
      </c>
      <c r="U63" s="376" t="s">
        <v>839</v>
      </c>
      <c r="V63" s="376" t="s">
        <v>839</v>
      </c>
      <c r="W63" s="381" t="s">
        <v>95</v>
      </c>
    </row>
    <row r="64" spans="1:23" s="376" customFormat="1" ht="9.75" customHeight="1" x14ac:dyDescent="0.15">
      <c r="A64" s="756" t="s">
        <v>685</v>
      </c>
      <c r="B64" s="376" t="s">
        <v>839</v>
      </c>
      <c r="C64" s="376">
        <v>150441</v>
      </c>
      <c r="D64" s="376">
        <v>48096</v>
      </c>
      <c r="E64" s="376" t="s">
        <v>839</v>
      </c>
      <c r="F64" s="376" t="s">
        <v>839</v>
      </c>
      <c r="G64" s="376">
        <v>50002</v>
      </c>
      <c r="H64" s="376" t="s">
        <v>839</v>
      </c>
      <c r="I64" s="376" t="s">
        <v>839</v>
      </c>
      <c r="J64" s="376">
        <v>50002</v>
      </c>
      <c r="K64" s="376" t="s">
        <v>839</v>
      </c>
      <c r="L64" s="376" t="s">
        <v>839</v>
      </c>
      <c r="M64" s="376" t="s">
        <v>839</v>
      </c>
      <c r="N64" s="376" t="s">
        <v>839</v>
      </c>
      <c r="O64" s="376">
        <v>545843</v>
      </c>
      <c r="P64" s="376">
        <v>438225</v>
      </c>
      <c r="Q64" s="376">
        <v>107618</v>
      </c>
      <c r="R64" s="376" t="s">
        <v>839</v>
      </c>
      <c r="S64" s="376" t="s">
        <v>839</v>
      </c>
      <c r="T64" s="376" t="s">
        <v>839</v>
      </c>
      <c r="U64" s="376" t="s">
        <v>839</v>
      </c>
      <c r="V64" s="376" t="s">
        <v>839</v>
      </c>
      <c r="W64" s="381" t="s">
        <v>96</v>
      </c>
    </row>
    <row r="65" spans="1:23" s="376" customFormat="1" ht="9.75" customHeight="1" x14ac:dyDescent="0.15">
      <c r="A65" s="756" t="s">
        <v>686</v>
      </c>
      <c r="B65" s="376" t="s">
        <v>839</v>
      </c>
      <c r="C65" s="376">
        <v>194421</v>
      </c>
      <c r="D65" s="376" t="s">
        <v>839</v>
      </c>
      <c r="E65" s="376" t="s">
        <v>839</v>
      </c>
      <c r="F65" s="376" t="s">
        <v>839</v>
      </c>
      <c r="G65" s="376" t="s">
        <v>839</v>
      </c>
      <c r="H65" s="376" t="s">
        <v>839</v>
      </c>
      <c r="I65" s="376" t="s">
        <v>839</v>
      </c>
      <c r="J65" s="376" t="s">
        <v>839</v>
      </c>
      <c r="K65" s="376" t="s">
        <v>839</v>
      </c>
      <c r="L65" s="376" t="s">
        <v>839</v>
      </c>
      <c r="M65" s="376" t="s">
        <v>839</v>
      </c>
      <c r="N65" s="376" t="s">
        <v>839</v>
      </c>
      <c r="O65" s="376">
        <v>306766</v>
      </c>
      <c r="P65" s="376">
        <v>306766</v>
      </c>
      <c r="Q65" s="376" t="s">
        <v>839</v>
      </c>
      <c r="R65" s="376" t="s">
        <v>839</v>
      </c>
      <c r="S65" s="376" t="s">
        <v>839</v>
      </c>
      <c r="T65" s="376" t="s">
        <v>839</v>
      </c>
      <c r="U65" s="376" t="s">
        <v>839</v>
      </c>
      <c r="V65" s="376" t="s">
        <v>839</v>
      </c>
      <c r="W65" s="381" t="s">
        <v>80</v>
      </c>
    </row>
    <row r="66" spans="1:23" s="376" customFormat="1" ht="9.75" customHeight="1" x14ac:dyDescent="0.15">
      <c r="A66" s="756" t="s">
        <v>687</v>
      </c>
      <c r="B66" s="376" t="s">
        <v>839</v>
      </c>
      <c r="C66" s="376" t="s">
        <v>839</v>
      </c>
      <c r="D66" s="376">
        <v>49844</v>
      </c>
      <c r="E66" s="376" t="s">
        <v>839</v>
      </c>
      <c r="F66" s="376" t="s">
        <v>839</v>
      </c>
      <c r="G66" s="376">
        <v>363986</v>
      </c>
      <c r="H66" s="376" t="s">
        <v>839</v>
      </c>
      <c r="I66" s="376" t="s">
        <v>839</v>
      </c>
      <c r="J66" s="376">
        <v>363986</v>
      </c>
      <c r="K66" s="376" t="s">
        <v>839</v>
      </c>
      <c r="L66" s="376" t="s">
        <v>839</v>
      </c>
      <c r="M66" s="376" t="s">
        <v>839</v>
      </c>
      <c r="N66" s="376" t="s">
        <v>839</v>
      </c>
      <c r="O66" s="376">
        <v>163067</v>
      </c>
      <c r="P66" s="376">
        <v>145630</v>
      </c>
      <c r="Q66" s="376">
        <v>17437</v>
      </c>
      <c r="R66" s="376" t="s">
        <v>839</v>
      </c>
      <c r="S66" s="376" t="s">
        <v>839</v>
      </c>
      <c r="T66" s="376" t="s">
        <v>839</v>
      </c>
      <c r="U66" s="376" t="s">
        <v>839</v>
      </c>
      <c r="V66" s="376" t="s">
        <v>839</v>
      </c>
      <c r="W66" s="381" t="s">
        <v>81</v>
      </c>
    </row>
    <row r="67" spans="1:23" s="376" customFormat="1" ht="9.75" customHeight="1" x14ac:dyDescent="0.15">
      <c r="A67" s="756" t="s">
        <v>688</v>
      </c>
      <c r="B67" s="376" t="s">
        <v>839</v>
      </c>
      <c r="C67" s="376" t="s">
        <v>839</v>
      </c>
      <c r="D67" s="376" t="s">
        <v>839</v>
      </c>
      <c r="E67" s="376" t="s">
        <v>839</v>
      </c>
      <c r="F67" s="376" t="s">
        <v>839</v>
      </c>
      <c r="G67" s="376">
        <v>100080</v>
      </c>
      <c r="H67" s="376" t="s">
        <v>839</v>
      </c>
      <c r="I67" s="376" t="s">
        <v>839</v>
      </c>
      <c r="J67" s="376">
        <v>100080</v>
      </c>
      <c r="K67" s="376" t="s">
        <v>839</v>
      </c>
      <c r="L67" s="376" t="s">
        <v>839</v>
      </c>
      <c r="M67" s="376" t="s">
        <v>839</v>
      </c>
      <c r="N67" s="376" t="s">
        <v>839</v>
      </c>
      <c r="O67" s="376">
        <v>226956</v>
      </c>
      <c r="P67" s="376">
        <v>116662</v>
      </c>
      <c r="Q67" s="376">
        <v>110294</v>
      </c>
      <c r="R67" s="376" t="s">
        <v>839</v>
      </c>
      <c r="S67" s="376" t="s">
        <v>839</v>
      </c>
      <c r="T67" s="376" t="s">
        <v>839</v>
      </c>
      <c r="U67" s="376" t="s">
        <v>839</v>
      </c>
      <c r="V67" s="376" t="s">
        <v>839</v>
      </c>
      <c r="W67" s="381" t="s">
        <v>82</v>
      </c>
    </row>
    <row r="68" spans="1:23" s="376" customFormat="1" ht="9.75" customHeight="1" x14ac:dyDescent="0.15">
      <c r="A68" s="756" t="s">
        <v>849</v>
      </c>
      <c r="B68" s="376" t="s">
        <v>839</v>
      </c>
      <c r="C68" s="376">
        <v>24460</v>
      </c>
      <c r="D68" s="376">
        <v>89811</v>
      </c>
      <c r="E68" s="376" t="s">
        <v>839</v>
      </c>
      <c r="F68" s="376" t="s">
        <v>839</v>
      </c>
      <c r="G68" s="376">
        <v>200870</v>
      </c>
      <c r="H68" s="376" t="s">
        <v>839</v>
      </c>
      <c r="I68" s="376" t="s">
        <v>839</v>
      </c>
      <c r="J68" s="376">
        <v>200870</v>
      </c>
      <c r="K68" s="376" t="s">
        <v>839</v>
      </c>
      <c r="L68" s="376" t="s">
        <v>839</v>
      </c>
      <c r="M68" s="376" t="s">
        <v>839</v>
      </c>
      <c r="N68" s="376" t="s">
        <v>839</v>
      </c>
      <c r="O68" s="376">
        <v>329030</v>
      </c>
      <c r="P68" s="376">
        <v>329030</v>
      </c>
      <c r="Q68" s="376" t="s">
        <v>839</v>
      </c>
      <c r="R68" s="376" t="s">
        <v>839</v>
      </c>
      <c r="S68" s="376" t="s">
        <v>839</v>
      </c>
      <c r="T68" s="376" t="s">
        <v>839</v>
      </c>
      <c r="U68" s="376" t="s">
        <v>839</v>
      </c>
      <c r="V68" s="376" t="s">
        <v>839</v>
      </c>
      <c r="W68" s="381" t="s">
        <v>850</v>
      </c>
    </row>
    <row r="69" spans="1:23" s="376" customFormat="1" ht="9.75" customHeight="1" x14ac:dyDescent="0.15">
      <c r="A69" s="756" t="s">
        <v>690</v>
      </c>
      <c r="B69" s="376" t="s">
        <v>839</v>
      </c>
      <c r="C69" s="376">
        <v>184268</v>
      </c>
      <c r="D69" s="376">
        <v>88085</v>
      </c>
      <c r="E69" s="376" t="s">
        <v>839</v>
      </c>
      <c r="F69" s="376" t="s">
        <v>839</v>
      </c>
      <c r="G69" s="376" t="s">
        <v>839</v>
      </c>
      <c r="H69" s="376" t="s">
        <v>839</v>
      </c>
      <c r="I69" s="376" t="s">
        <v>839</v>
      </c>
      <c r="J69" s="376" t="s">
        <v>839</v>
      </c>
      <c r="K69" s="376">
        <v>47600</v>
      </c>
      <c r="L69" s="376" t="s">
        <v>839</v>
      </c>
      <c r="M69" s="376">
        <v>47600</v>
      </c>
      <c r="N69" s="376" t="s">
        <v>839</v>
      </c>
      <c r="O69" s="376">
        <v>435598</v>
      </c>
      <c r="P69" s="376">
        <v>385568</v>
      </c>
      <c r="Q69" s="376">
        <v>50030</v>
      </c>
      <c r="R69" s="376" t="s">
        <v>839</v>
      </c>
      <c r="S69" s="376" t="s">
        <v>839</v>
      </c>
      <c r="T69" s="376" t="s">
        <v>839</v>
      </c>
      <c r="U69" s="376" t="s">
        <v>839</v>
      </c>
      <c r="V69" s="376" t="s">
        <v>839</v>
      </c>
      <c r="W69" s="381" t="s">
        <v>77</v>
      </c>
    </row>
    <row r="70" spans="1:23" s="376" customFormat="1" ht="9.75" customHeight="1" x14ac:dyDescent="0.15">
      <c r="A70" s="757" t="s">
        <v>691</v>
      </c>
      <c r="B70" s="380">
        <v>49926</v>
      </c>
      <c r="C70" s="379">
        <v>143412</v>
      </c>
      <c r="D70" s="379">
        <v>180575</v>
      </c>
      <c r="E70" s="379" t="s">
        <v>839</v>
      </c>
      <c r="F70" s="379" t="s">
        <v>839</v>
      </c>
      <c r="G70" s="379">
        <v>49100</v>
      </c>
      <c r="H70" s="379" t="s">
        <v>839</v>
      </c>
      <c r="I70" s="379">
        <v>49100</v>
      </c>
      <c r="J70" s="379" t="s">
        <v>839</v>
      </c>
      <c r="K70" s="379" t="s">
        <v>839</v>
      </c>
      <c r="L70" s="379" t="s">
        <v>839</v>
      </c>
      <c r="M70" s="379" t="s">
        <v>839</v>
      </c>
      <c r="N70" s="379" t="s">
        <v>839</v>
      </c>
      <c r="O70" s="379">
        <v>317012</v>
      </c>
      <c r="P70" s="379">
        <v>252809</v>
      </c>
      <c r="Q70" s="379">
        <v>64203</v>
      </c>
      <c r="R70" s="379" t="s">
        <v>839</v>
      </c>
      <c r="S70" s="379" t="s">
        <v>839</v>
      </c>
      <c r="T70" s="379" t="s">
        <v>839</v>
      </c>
      <c r="U70" s="379" t="s">
        <v>839</v>
      </c>
      <c r="V70" s="379" t="s">
        <v>839</v>
      </c>
      <c r="W70" s="377" t="s">
        <v>78</v>
      </c>
    </row>
    <row r="71" spans="1:23" ht="12" customHeight="1" x14ac:dyDescent="0.15"/>
    <row r="72" spans="1:23" ht="12" customHeight="1" x14ac:dyDescent="0.15"/>
    <row r="73" spans="1:23" ht="12" customHeight="1" x14ac:dyDescent="0.15">
      <c r="K73" s="391" t="s">
        <v>97</v>
      </c>
      <c r="V73" s="394" t="s">
        <v>984</v>
      </c>
    </row>
    <row r="74" spans="1:23" s="387" customFormat="1" ht="21" customHeight="1" x14ac:dyDescent="0.15">
      <c r="A74" s="1023" t="s">
        <v>185</v>
      </c>
      <c r="B74" s="390" t="s">
        <v>324</v>
      </c>
      <c r="C74" s="389"/>
      <c r="D74" s="389"/>
      <c r="E74" s="389"/>
      <c r="F74" s="732"/>
      <c r="G74" s="733" t="s">
        <v>323</v>
      </c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1026" t="s">
        <v>83</v>
      </c>
    </row>
    <row r="75" spans="1:23" s="387" customFormat="1" ht="21" customHeight="1" x14ac:dyDescent="0.15">
      <c r="A75" s="1024"/>
      <c r="B75" s="390" t="s">
        <v>116</v>
      </c>
      <c r="C75" s="732"/>
      <c r="D75" s="733" t="s">
        <v>1004</v>
      </c>
      <c r="E75" s="389"/>
      <c r="F75" s="732"/>
      <c r="G75" s="1029" t="s">
        <v>321</v>
      </c>
      <c r="H75" s="733" t="s">
        <v>279</v>
      </c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732"/>
      <c r="V75" s="733" t="s">
        <v>272</v>
      </c>
      <c r="W75" s="1027"/>
    </row>
    <row r="76" spans="1:23" s="387" customFormat="1" ht="52.5" customHeight="1" x14ac:dyDescent="0.15">
      <c r="A76" s="1025"/>
      <c r="B76" s="388" t="s">
        <v>449</v>
      </c>
      <c r="C76" s="388" t="s">
        <v>349</v>
      </c>
      <c r="D76" s="735" t="s">
        <v>329</v>
      </c>
      <c r="E76" s="388" t="s">
        <v>348</v>
      </c>
      <c r="F76" s="388" t="s">
        <v>328</v>
      </c>
      <c r="G76" s="1030"/>
      <c r="H76" s="735" t="s">
        <v>975</v>
      </c>
      <c r="I76" s="388" t="s">
        <v>270</v>
      </c>
      <c r="J76" s="388" t="s">
        <v>976</v>
      </c>
      <c r="K76" s="388" t="s">
        <v>285</v>
      </c>
      <c r="L76" s="388" t="s">
        <v>339</v>
      </c>
      <c r="M76" s="388" t="s">
        <v>290</v>
      </c>
      <c r="N76" s="388" t="s">
        <v>269</v>
      </c>
      <c r="O76" s="388" t="s">
        <v>268</v>
      </c>
      <c r="P76" s="388" t="s">
        <v>267</v>
      </c>
      <c r="Q76" s="388" t="s">
        <v>318</v>
      </c>
      <c r="R76" s="388" t="s">
        <v>295</v>
      </c>
      <c r="S76" s="388" t="s">
        <v>315</v>
      </c>
      <c r="T76" s="388" t="s">
        <v>640</v>
      </c>
      <c r="U76" s="393" t="s">
        <v>977</v>
      </c>
      <c r="V76" s="734" t="s">
        <v>980</v>
      </c>
      <c r="W76" s="1028"/>
    </row>
    <row r="77" spans="1:23" s="376" customFormat="1" ht="9.75" customHeight="1" x14ac:dyDescent="0.15">
      <c r="A77" s="755" t="s">
        <v>838</v>
      </c>
      <c r="B77" s="386">
        <v>32736</v>
      </c>
      <c r="C77" s="385" t="s">
        <v>839</v>
      </c>
      <c r="D77" s="385">
        <v>12327978</v>
      </c>
      <c r="E77" s="385">
        <v>187193</v>
      </c>
      <c r="F77" s="385">
        <v>12140785</v>
      </c>
      <c r="G77" s="385">
        <v>3282646</v>
      </c>
      <c r="H77" s="385">
        <v>2533500</v>
      </c>
      <c r="I77" s="385">
        <v>839405</v>
      </c>
      <c r="J77" s="385">
        <v>148969</v>
      </c>
      <c r="K77" s="385">
        <v>56858</v>
      </c>
      <c r="L77" s="385" t="s">
        <v>839</v>
      </c>
      <c r="M77" s="385">
        <v>134370</v>
      </c>
      <c r="N77" s="385">
        <v>827998</v>
      </c>
      <c r="O77" s="385">
        <v>399342</v>
      </c>
      <c r="P77" s="385" t="s">
        <v>839</v>
      </c>
      <c r="Q77" s="385">
        <v>126558</v>
      </c>
      <c r="R77" s="385" t="s">
        <v>839</v>
      </c>
      <c r="S77" s="385" t="s">
        <v>839</v>
      </c>
      <c r="T77" s="385" t="s">
        <v>839</v>
      </c>
      <c r="U77" s="385" t="s">
        <v>839</v>
      </c>
      <c r="V77" s="385">
        <v>281290</v>
      </c>
      <c r="W77" s="383" t="s">
        <v>457</v>
      </c>
    </row>
    <row r="78" spans="1:23" s="376" customFormat="1" ht="9.75" customHeight="1" x14ac:dyDescent="0.15">
      <c r="A78" s="756" t="s">
        <v>669</v>
      </c>
      <c r="B78" s="376">
        <v>40675</v>
      </c>
      <c r="C78" s="376" t="s">
        <v>839</v>
      </c>
      <c r="D78" s="376">
        <v>12727539</v>
      </c>
      <c r="E78" s="376">
        <v>201792</v>
      </c>
      <c r="F78" s="376">
        <v>12525747</v>
      </c>
      <c r="G78" s="376">
        <v>3406830</v>
      </c>
      <c r="H78" s="376">
        <v>2107367</v>
      </c>
      <c r="I78" s="376">
        <v>842753</v>
      </c>
      <c r="J78" s="376">
        <v>131902</v>
      </c>
      <c r="K78" s="376">
        <v>126804</v>
      </c>
      <c r="L78" s="376" t="s">
        <v>839</v>
      </c>
      <c r="M78" s="376">
        <v>98400</v>
      </c>
      <c r="N78" s="376">
        <v>521408</v>
      </c>
      <c r="O78" s="376">
        <v>198792</v>
      </c>
      <c r="P78" s="376" t="s">
        <v>839</v>
      </c>
      <c r="Q78" s="376">
        <v>107944</v>
      </c>
      <c r="R78" s="376">
        <v>47600</v>
      </c>
      <c r="S78" s="376" t="s">
        <v>839</v>
      </c>
      <c r="T78" s="376" t="s">
        <v>839</v>
      </c>
      <c r="U78" s="376">
        <v>31764</v>
      </c>
      <c r="V78" s="376">
        <v>610652</v>
      </c>
      <c r="W78" s="381" t="s">
        <v>512</v>
      </c>
    </row>
    <row r="79" spans="1:23" s="376" customFormat="1" ht="9.75" customHeight="1" x14ac:dyDescent="0.15">
      <c r="A79" s="756" t="s">
        <v>670</v>
      </c>
      <c r="B79" s="376" t="s">
        <v>839</v>
      </c>
      <c r="C79" s="376">
        <v>7015</v>
      </c>
      <c r="D79" s="376">
        <v>8772954</v>
      </c>
      <c r="E79" s="376">
        <v>100927</v>
      </c>
      <c r="F79" s="376">
        <v>8672027</v>
      </c>
      <c r="G79" s="376">
        <v>2322527</v>
      </c>
      <c r="H79" s="376">
        <v>1803767</v>
      </c>
      <c r="I79" s="376">
        <v>871366</v>
      </c>
      <c r="J79" s="376">
        <v>91869</v>
      </c>
      <c r="K79" s="376">
        <v>220192</v>
      </c>
      <c r="L79" s="376" t="s">
        <v>839</v>
      </c>
      <c r="M79" s="376">
        <v>45300</v>
      </c>
      <c r="N79" s="376">
        <v>470409</v>
      </c>
      <c r="O79" s="376">
        <v>58810</v>
      </c>
      <c r="P79" s="376">
        <v>45821</v>
      </c>
      <c r="Q79" s="376" t="s">
        <v>839</v>
      </c>
      <c r="R79" s="376" t="s">
        <v>839</v>
      </c>
      <c r="S79" s="376" t="s">
        <v>839</v>
      </c>
      <c r="T79" s="376" t="s">
        <v>839</v>
      </c>
      <c r="U79" s="376" t="s">
        <v>839</v>
      </c>
      <c r="V79" s="376">
        <v>76060</v>
      </c>
      <c r="W79" s="381" t="s">
        <v>620</v>
      </c>
    </row>
    <row r="80" spans="1:23" s="376" customFormat="1" ht="9.75" customHeight="1" x14ac:dyDescent="0.15">
      <c r="A80" s="756" t="s">
        <v>671</v>
      </c>
      <c r="B80" s="376">
        <v>10330</v>
      </c>
      <c r="C80" s="376" t="s">
        <v>839</v>
      </c>
      <c r="D80" s="376">
        <v>9428098</v>
      </c>
      <c r="E80" s="376">
        <v>154626</v>
      </c>
      <c r="F80" s="376">
        <v>9273472</v>
      </c>
      <c r="G80" s="376">
        <v>3344951</v>
      </c>
      <c r="H80" s="376">
        <v>2782497</v>
      </c>
      <c r="I80" s="376">
        <v>1528548</v>
      </c>
      <c r="J80" s="376">
        <v>33364</v>
      </c>
      <c r="K80" s="376" t="s">
        <v>839</v>
      </c>
      <c r="L80" s="376" t="s">
        <v>839</v>
      </c>
      <c r="M80" s="376" t="s">
        <v>839</v>
      </c>
      <c r="N80" s="376">
        <v>819445</v>
      </c>
      <c r="O80" s="376">
        <v>401140</v>
      </c>
      <c r="P80" s="376" t="s">
        <v>839</v>
      </c>
      <c r="Q80" s="376" t="s">
        <v>839</v>
      </c>
      <c r="R80" s="376" t="s">
        <v>839</v>
      </c>
      <c r="S80" s="376" t="s">
        <v>839</v>
      </c>
      <c r="T80" s="376" t="s">
        <v>839</v>
      </c>
      <c r="U80" s="376" t="s">
        <v>839</v>
      </c>
      <c r="V80" s="376">
        <v>184359</v>
      </c>
      <c r="W80" s="381" t="s">
        <v>672</v>
      </c>
    </row>
    <row r="81" spans="1:23" s="376" customFormat="1" ht="9.75" customHeight="1" x14ac:dyDescent="0.15">
      <c r="A81" s="756" t="s">
        <v>840</v>
      </c>
      <c r="B81" s="376" t="s">
        <v>839</v>
      </c>
      <c r="C81" s="376" t="s">
        <v>839</v>
      </c>
      <c r="D81" s="376">
        <v>9914987</v>
      </c>
      <c r="E81" s="376">
        <v>79756</v>
      </c>
      <c r="F81" s="376">
        <v>9835231</v>
      </c>
      <c r="G81" s="376">
        <v>4400750</v>
      </c>
      <c r="H81" s="376">
        <v>3767249</v>
      </c>
      <c r="I81" s="376">
        <v>2031958</v>
      </c>
      <c r="J81" s="376" t="s">
        <v>839</v>
      </c>
      <c r="K81" s="376">
        <v>59726</v>
      </c>
      <c r="L81" s="376">
        <v>122280</v>
      </c>
      <c r="M81" s="376" t="s">
        <v>839</v>
      </c>
      <c r="N81" s="376">
        <v>694676</v>
      </c>
      <c r="O81" s="376">
        <v>615608</v>
      </c>
      <c r="P81" s="376" t="s">
        <v>839</v>
      </c>
      <c r="Q81" s="376">
        <v>122211</v>
      </c>
      <c r="R81" s="376">
        <v>23850</v>
      </c>
      <c r="S81" s="376">
        <v>47640</v>
      </c>
      <c r="T81" s="376">
        <v>49300</v>
      </c>
      <c r="U81" s="376" t="s">
        <v>839</v>
      </c>
      <c r="V81" s="376">
        <v>336009</v>
      </c>
      <c r="W81" s="381" t="s">
        <v>841</v>
      </c>
    </row>
    <row r="82" spans="1:23" s="376" customFormat="1" ht="6.75" customHeight="1" x14ac:dyDescent="0.15">
      <c r="A82" s="787"/>
      <c r="W82" s="381"/>
    </row>
    <row r="83" spans="1:23" s="376" customFormat="1" ht="9.75" customHeight="1" x14ac:dyDescent="0.15">
      <c r="A83" s="756" t="s">
        <v>842</v>
      </c>
      <c r="B83" s="376" t="s">
        <v>839</v>
      </c>
      <c r="C83" s="376" t="s">
        <v>839</v>
      </c>
      <c r="D83" s="376">
        <v>9443197</v>
      </c>
      <c r="E83" s="376">
        <v>127347</v>
      </c>
      <c r="F83" s="376">
        <v>9315850</v>
      </c>
      <c r="G83" s="376">
        <v>3984149</v>
      </c>
      <c r="H83" s="376">
        <v>3235453</v>
      </c>
      <c r="I83" s="376">
        <v>1628108</v>
      </c>
      <c r="J83" s="376" t="s">
        <v>839</v>
      </c>
      <c r="K83" s="376" t="s">
        <v>839</v>
      </c>
      <c r="L83" s="376">
        <v>122280</v>
      </c>
      <c r="M83" s="376" t="s">
        <v>839</v>
      </c>
      <c r="N83" s="376">
        <v>728828</v>
      </c>
      <c r="O83" s="376">
        <v>656568</v>
      </c>
      <c r="P83" s="376" t="s">
        <v>839</v>
      </c>
      <c r="Q83" s="376">
        <v>50369</v>
      </c>
      <c r="R83" s="376" t="s">
        <v>839</v>
      </c>
      <c r="S83" s="376" t="s">
        <v>839</v>
      </c>
      <c r="T83" s="376">
        <v>49300</v>
      </c>
      <c r="U83" s="376" t="s">
        <v>839</v>
      </c>
      <c r="V83" s="376">
        <v>361686</v>
      </c>
      <c r="W83" s="381" t="s">
        <v>673</v>
      </c>
    </row>
    <row r="84" spans="1:23" s="376" customFormat="1" ht="9.75" customHeight="1" x14ac:dyDescent="0.15">
      <c r="A84" s="756" t="s">
        <v>843</v>
      </c>
      <c r="B84" s="376" t="s">
        <v>839</v>
      </c>
      <c r="C84" s="376" t="s">
        <v>839</v>
      </c>
      <c r="D84" s="376">
        <v>10345862</v>
      </c>
      <c r="E84" s="376">
        <v>77489</v>
      </c>
      <c r="F84" s="376">
        <v>10268373</v>
      </c>
      <c r="G84" s="376">
        <v>4360883</v>
      </c>
      <c r="H84" s="376">
        <v>3774851</v>
      </c>
      <c r="I84" s="376">
        <v>2120387</v>
      </c>
      <c r="J84" s="376" t="s">
        <v>839</v>
      </c>
      <c r="K84" s="376">
        <v>77399</v>
      </c>
      <c r="L84" s="376">
        <v>40000</v>
      </c>
      <c r="M84" s="376" t="s">
        <v>839</v>
      </c>
      <c r="N84" s="376">
        <v>837687</v>
      </c>
      <c r="O84" s="376">
        <v>356493</v>
      </c>
      <c r="P84" s="376" t="s">
        <v>839</v>
      </c>
      <c r="Q84" s="376">
        <v>97761</v>
      </c>
      <c r="R84" s="376">
        <v>23850</v>
      </c>
      <c r="S84" s="376">
        <v>221274</v>
      </c>
      <c r="T84" s="376" t="s">
        <v>839</v>
      </c>
      <c r="U84" s="376" t="s">
        <v>839</v>
      </c>
      <c r="V84" s="376">
        <v>266902</v>
      </c>
      <c r="W84" s="381" t="s">
        <v>844</v>
      </c>
    </row>
    <row r="85" spans="1:23" s="376" customFormat="1" ht="6.75" customHeight="1" x14ac:dyDescent="0.15">
      <c r="A85" s="787"/>
      <c r="W85" s="381"/>
    </row>
    <row r="86" spans="1:23" s="376" customFormat="1" ht="9.75" customHeight="1" x14ac:dyDescent="0.15">
      <c r="A86" s="756" t="s">
        <v>845</v>
      </c>
      <c r="B86" s="376" t="s">
        <v>839</v>
      </c>
      <c r="C86" s="376" t="s">
        <v>839</v>
      </c>
      <c r="D86" s="376">
        <v>2359250</v>
      </c>
      <c r="E86" s="376">
        <v>24740</v>
      </c>
      <c r="F86" s="376">
        <v>2334510</v>
      </c>
      <c r="G86" s="376">
        <v>1792251</v>
      </c>
      <c r="H86" s="376">
        <v>1488892</v>
      </c>
      <c r="I86" s="376">
        <v>635364</v>
      </c>
      <c r="J86" s="376" t="s">
        <v>839</v>
      </c>
      <c r="K86" s="376" t="s">
        <v>839</v>
      </c>
      <c r="L86" s="376">
        <v>122280</v>
      </c>
      <c r="M86" s="376" t="s">
        <v>839</v>
      </c>
      <c r="N86" s="376">
        <v>275151</v>
      </c>
      <c r="O86" s="376">
        <v>356428</v>
      </c>
      <c r="P86" s="376" t="s">
        <v>839</v>
      </c>
      <c r="Q86" s="376">
        <v>50369</v>
      </c>
      <c r="R86" s="376" t="s">
        <v>839</v>
      </c>
      <c r="S86" s="376" t="s">
        <v>839</v>
      </c>
      <c r="T86" s="376">
        <v>49300</v>
      </c>
      <c r="U86" s="376" t="s">
        <v>839</v>
      </c>
      <c r="V86" s="376">
        <v>178467</v>
      </c>
      <c r="W86" s="381" t="s">
        <v>677</v>
      </c>
    </row>
    <row r="87" spans="1:23" s="376" customFormat="1" ht="9.75" customHeight="1" x14ac:dyDescent="0.15">
      <c r="A87" s="756" t="s">
        <v>674</v>
      </c>
      <c r="B87" s="376" t="s">
        <v>839</v>
      </c>
      <c r="C87" s="376" t="s">
        <v>839</v>
      </c>
      <c r="D87" s="376">
        <v>2287451</v>
      </c>
      <c r="E87" s="376">
        <v>17836</v>
      </c>
      <c r="F87" s="376">
        <v>2269615</v>
      </c>
      <c r="G87" s="376">
        <v>610595</v>
      </c>
      <c r="H87" s="376">
        <v>504260</v>
      </c>
      <c r="I87" s="376">
        <v>294767</v>
      </c>
      <c r="J87" s="376" t="s">
        <v>839</v>
      </c>
      <c r="K87" s="376" t="s">
        <v>839</v>
      </c>
      <c r="L87" s="376" t="s">
        <v>839</v>
      </c>
      <c r="M87" s="376" t="s">
        <v>839</v>
      </c>
      <c r="N87" s="376">
        <v>122233</v>
      </c>
      <c r="O87" s="376">
        <v>60530</v>
      </c>
      <c r="P87" s="376" t="s">
        <v>839</v>
      </c>
      <c r="Q87" s="376">
        <v>26730</v>
      </c>
      <c r="R87" s="376" t="s">
        <v>839</v>
      </c>
      <c r="S87" s="376" t="s">
        <v>839</v>
      </c>
      <c r="T87" s="376" t="s">
        <v>839</v>
      </c>
      <c r="U87" s="376" t="s">
        <v>839</v>
      </c>
      <c r="V87" s="376">
        <v>70619</v>
      </c>
      <c r="W87" s="381" t="s">
        <v>89</v>
      </c>
    </row>
    <row r="88" spans="1:23" s="376" customFormat="1" ht="9.75" customHeight="1" x14ac:dyDescent="0.15">
      <c r="A88" s="756" t="s">
        <v>675</v>
      </c>
      <c r="B88" s="376" t="s">
        <v>839</v>
      </c>
      <c r="C88" s="376" t="s">
        <v>839</v>
      </c>
      <c r="D88" s="376">
        <v>2561790</v>
      </c>
      <c r="E88" s="376">
        <v>16599</v>
      </c>
      <c r="F88" s="376">
        <v>2545191</v>
      </c>
      <c r="G88" s="376">
        <v>754285</v>
      </c>
      <c r="H88" s="376">
        <v>630486</v>
      </c>
      <c r="I88" s="376">
        <v>478051</v>
      </c>
      <c r="J88" s="376" t="s">
        <v>839</v>
      </c>
      <c r="K88" s="376">
        <v>17826</v>
      </c>
      <c r="L88" s="376" t="s">
        <v>839</v>
      </c>
      <c r="M88" s="376" t="s">
        <v>839</v>
      </c>
      <c r="N88" s="376">
        <v>69520</v>
      </c>
      <c r="O88" s="376">
        <v>50000</v>
      </c>
      <c r="P88" s="376" t="s">
        <v>839</v>
      </c>
      <c r="Q88" s="376">
        <v>15089</v>
      </c>
      <c r="R88" s="376" t="s">
        <v>839</v>
      </c>
      <c r="S88" s="376" t="s">
        <v>839</v>
      </c>
      <c r="T88" s="376" t="s">
        <v>839</v>
      </c>
      <c r="U88" s="376" t="s">
        <v>839</v>
      </c>
      <c r="V88" s="376">
        <v>39323</v>
      </c>
      <c r="W88" s="381" t="s">
        <v>90</v>
      </c>
    </row>
    <row r="89" spans="1:23" s="376" customFormat="1" ht="9.75" customHeight="1" x14ac:dyDescent="0.15">
      <c r="A89" s="756" t="s">
        <v>676</v>
      </c>
      <c r="B89" s="376" t="s">
        <v>839</v>
      </c>
      <c r="C89" s="376" t="s">
        <v>839</v>
      </c>
      <c r="D89" s="376">
        <v>2706496</v>
      </c>
      <c r="E89" s="376">
        <v>20581</v>
      </c>
      <c r="F89" s="376">
        <v>2685915</v>
      </c>
      <c r="G89" s="376">
        <v>1243619</v>
      </c>
      <c r="H89" s="376">
        <v>1143611</v>
      </c>
      <c r="I89" s="376">
        <v>623776</v>
      </c>
      <c r="J89" s="376" t="s">
        <v>839</v>
      </c>
      <c r="K89" s="376">
        <v>41900</v>
      </c>
      <c r="L89" s="376" t="s">
        <v>839</v>
      </c>
      <c r="M89" s="376" t="s">
        <v>839</v>
      </c>
      <c r="N89" s="376">
        <v>227772</v>
      </c>
      <c r="O89" s="376">
        <v>148650</v>
      </c>
      <c r="P89" s="376" t="s">
        <v>839</v>
      </c>
      <c r="Q89" s="376">
        <v>30023</v>
      </c>
      <c r="R89" s="376">
        <v>23850</v>
      </c>
      <c r="S89" s="376">
        <v>47640</v>
      </c>
      <c r="T89" s="376" t="s">
        <v>839</v>
      </c>
      <c r="U89" s="376" t="s">
        <v>839</v>
      </c>
      <c r="V89" s="376">
        <v>47600</v>
      </c>
      <c r="W89" s="381" t="s">
        <v>91</v>
      </c>
    </row>
    <row r="90" spans="1:23" s="376" customFormat="1" ht="9.75" customHeight="1" x14ac:dyDescent="0.15">
      <c r="A90" s="756" t="s">
        <v>846</v>
      </c>
      <c r="B90" s="376" t="s">
        <v>839</v>
      </c>
      <c r="C90" s="376" t="s">
        <v>839</v>
      </c>
      <c r="D90" s="376">
        <v>2790125</v>
      </c>
      <c r="E90" s="376">
        <v>22473</v>
      </c>
      <c r="F90" s="376">
        <v>2767652</v>
      </c>
      <c r="G90" s="376">
        <v>1752384</v>
      </c>
      <c r="H90" s="376">
        <v>1496494</v>
      </c>
      <c r="I90" s="376">
        <v>723793</v>
      </c>
      <c r="J90" s="376" t="s">
        <v>839</v>
      </c>
      <c r="K90" s="376">
        <v>17673</v>
      </c>
      <c r="L90" s="376">
        <v>40000</v>
      </c>
      <c r="M90" s="376" t="s">
        <v>839</v>
      </c>
      <c r="N90" s="376">
        <v>418162</v>
      </c>
      <c r="O90" s="376">
        <v>97313</v>
      </c>
      <c r="P90" s="376" t="s">
        <v>839</v>
      </c>
      <c r="Q90" s="376">
        <v>25919</v>
      </c>
      <c r="R90" s="376" t="s">
        <v>839</v>
      </c>
      <c r="S90" s="376">
        <v>173634</v>
      </c>
      <c r="T90" s="376" t="s">
        <v>839</v>
      </c>
      <c r="U90" s="376" t="s">
        <v>839</v>
      </c>
      <c r="V90" s="376">
        <v>109360</v>
      </c>
      <c r="W90" s="381" t="s">
        <v>847</v>
      </c>
    </row>
    <row r="91" spans="1:23" s="376" customFormat="1" ht="6.75" customHeight="1" x14ac:dyDescent="0.15">
      <c r="A91" s="787"/>
      <c r="W91" s="381"/>
    </row>
    <row r="92" spans="1:23" s="376" customFormat="1" ht="9.75" customHeight="1" x14ac:dyDescent="0.15">
      <c r="A92" s="756" t="s">
        <v>848</v>
      </c>
      <c r="B92" s="376" t="s">
        <v>839</v>
      </c>
      <c r="C92" s="376" t="s">
        <v>839</v>
      </c>
      <c r="D92" s="376">
        <v>827031</v>
      </c>
      <c r="E92" s="376">
        <v>7909</v>
      </c>
      <c r="F92" s="376">
        <v>819122</v>
      </c>
      <c r="G92" s="376">
        <v>576918</v>
      </c>
      <c r="H92" s="376">
        <v>471940</v>
      </c>
      <c r="I92" s="376">
        <v>186957</v>
      </c>
      <c r="J92" s="376" t="s">
        <v>839</v>
      </c>
      <c r="K92" s="376" t="s">
        <v>839</v>
      </c>
      <c r="L92" s="376" t="s">
        <v>839</v>
      </c>
      <c r="M92" s="376" t="s">
        <v>839</v>
      </c>
      <c r="N92" s="376">
        <v>89651</v>
      </c>
      <c r="O92" s="376">
        <v>151532</v>
      </c>
      <c r="P92" s="376" t="s">
        <v>839</v>
      </c>
      <c r="Q92" s="376">
        <v>20000</v>
      </c>
      <c r="R92" s="376" t="s">
        <v>839</v>
      </c>
      <c r="S92" s="376" t="s">
        <v>839</v>
      </c>
      <c r="T92" s="376">
        <v>23800</v>
      </c>
      <c r="U92" s="376" t="s">
        <v>839</v>
      </c>
      <c r="V92" s="376">
        <v>71594</v>
      </c>
      <c r="W92" s="381" t="s">
        <v>689</v>
      </c>
    </row>
    <row r="93" spans="1:23" s="376" customFormat="1" ht="9.75" customHeight="1" x14ac:dyDescent="0.15">
      <c r="A93" s="756" t="s">
        <v>678</v>
      </c>
      <c r="B93" s="376" t="s">
        <v>839</v>
      </c>
      <c r="C93" s="376" t="s">
        <v>839</v>
      </c>
      <c r="D93" s="376">
        <v>702163</v>
      </c>
      <c r="E93" s="376">
        <v>8361</v>
      </c>
      <c r="F93" s="376">
        <v>693802</v>
      </c>
      <c r="G93" s="376">
        <v>666725</v>
      </c>
      <c r="H93" s="376">
        <v>510584</v>
      </c>
      <c r="I93" s="376">
        <v>223531</v>
      </c>
      <c r="J93" s="376" t="s">
        <v>839</v>
      </c>
      <c r="K93" s="376" t="s">
        <v>839</v>
      </c>
      <c r="L93" s="376">
        <v>42000</v>
      </c>
      <c r="M93" s="376" t="s">
        <v>839</v>
      </c>
      <c r="N93" s="376">
        <v>74190</v>
      </c>
      <c r="O93" s="376">
        <v>120078</v>
      </c>
      <c r="P93" s="376" t="s">
        <v>839</v>
      </c>
      <c r="Q93" s="376">
        <v>25285</v>
      </c>
      <c r="R93" s="376" t="s">
        <v>839</v>
      </c>
      <c r="S93" s="376" t="s">
        <v>839</v>
      </c>
      <c r="T93" s="376">
        <v>25500</v>
      </c>
      <c r="U93" s="376" t="s">
        <v>839</v>
      </c>
      <c r="V93" s="376">
        <v>74961</v>
      </c>
      <c r="W93" s="381" t="s">
        <v>77</v>
      </c>
    </row>
    <row r="94" spans="1:23" s="376" customFormat="1" ht="9.75" customHeight="1" x14ac:dyDescent="0.15">
      <c r="A94" s="756" t="s">
        <v>679</v>
      </c>
      <c r="B94" s="376" t="s">
        <v>839</v>
      </c>
      <c r="C94" s="376" t="s">
        <v>839</v>
      </c>
      <c r="D94" s="376">
        <v>830056</v>
      </c>
      <c r="E94" s="376">
        <v>8470</v>
      </c>
      <c r="F94" s="376">
        <v>821586</v>
      </c>
      <c r="G94" s="376">
        <v>548608</v>
      </c>
      <c r="H94" s="376">
        <v>506368</v>
      </c>
      <c r="I94" s="376">
        <v>224876</v>
      </c>
      <c r="J94" s="376" t="s">
        <v>839</v>
      </c>
      <c r="K94" s="376" t="s">
        <v>839</v>
      </c>
      <c r="L94" s="376">
        <v>80280</v>
      </c>
      <c r="M94" s="376" t="s">
        <v>839</v>
      </c>
      <c r="N94" s="376">
        <v>111310</v>
      </c>
      <c r="O94" s="376">
        <v>84818</v>
      </c>
      <c r="P94" s="376" t="s">
        <v>839</v>
      </c>
      <c r="Q94" s="376">
        <v>5084</v>
      </c>
      <c r="R94" s="376" t="s">
        <v>839</v>
      </c>
      <c r="S94" s="376" t="s">
        <v>839</v>
      </c>
      <c r="T94" s="376" t="s">
        <v>839</v>
      </c>
      <c r="U94" s="376" t="s">
        <v>839</v>
      </c>
      <c r="V94" s="376">
        <v>31912</v>
      </c>
      <c r="W94" s="381" t="s">
        <v>78</v>
      </c>
    </row>
    <row r="95" spans="1:23" s="376" customFormat="1" ht="9.75" customHeight="1" x14ac:dyDescent="0.15">
      <c r="A95" s="756" t="s">
        <v>680</v>
      </c>
      <c r="B95" s="376" t="s">
        <v>839</v>
      </c>
      <c r="C95" s="376" t="s">
        <v>839</v>
      </c>
      <c r="D95" s="376">
        <v>751862</v>
      </c>
      <c r="E95" s="376">
        <v>7450</v>
      </c>
      <c r="F95" s="376">
        <v>744412</v>
      </c>
      <c r="G95" s="376">
        <v>188850</v>
      </c>
      <c r="H95" s="376">
        <v>155535</v>
      </c>
      <c r="I95" s="376">
        <v>98655</v>
      </c>
      <c r="J95" s="376" t="s">
        <v>839</v>
      </c>
      <c r="K95" s="376" t="s">
        <v>839</v>
      </c>
      <c r="L95" s="376" t="s">
        <v>839</v>
      </c>
      <c r="M95" s="376" t="s">
        <v>839</v>
      </c>
      <c r="N95" s="376" t="s">
        <v>839</v>
      </c>
      <c r="O95" s="376">
        <v>39700</v>
      </c>
      <c r="P95" s="376" t="s">
        <v>839</v>
      </c>
      <c r="Q95" s="376">
        <v>17180</v>
      </c>
      <c r="R95" s="376" t="s">
        <v>839</v>
      </c>
      <c r="S95" s="376" t="s">
        <v>839</v>
      </c>
      <c r="T95" s="376" t="s">
        <v>839</v>
      </c>
      <c r="U95" s="376" t="s">
        <v>839</v>
      </c>
      <c r="V95" s="376">
        <v>22969</v>
      </c>
      <c r="W95" s="381" t="s">
        <v>79</v>
      </c>
    </row>
    <row r="96" spans="1:23" s="376" customFormat="1" ht="9.75" customHeight="1" x14ac:dyDescent="0.15">
      <c r="A96" s="756" t="s">
        <v>681</v>
      </c>
      <c r="B96" s="376" t="s">
        <v>839</v>
      </c>
      <c r="C96" s="376" t="s">
        <v>839</v>
      </c>
      <c r="D96" s="376">
        <v>736412</v>
      </c>
      <c r="E96" s="376">
        <v>5243</v>
      </c>
      <c r="F96" s="376">
        <v>731169</v>
      </c>
      <c r="G96" s="376">
        <v>259056</v>
      </c>
      <c r="H96" s="376">
        <v>257136</v>
      </c>
      <c r="I96" s="376">
        <v>148146</v>
      </c>
      <c r="J96" s="376" t="s">
        <v>839</v>
      </c>
      <c r="K96" s="376" t="s">
        <v>839</v>
      </c>
      <c r="L96" s="376" t="s">
        <v>839</v>
      </c>
      <c r="M96" s="376" t="s">
        <v>839</v>
      </c>
      <c r="N96" s="376">
        <v>78610</v>
      </c>
      <c r="O96" s="376">
        <v>20830</v>
      </c>
      <c r="P96" s="376" t="s">
        <v>839</v>
      </c>
      <c r="Q96" s="376">
        <v>9550</v>
      </c>
      <c r="R96" s="376" t="s">
        <v>839</v>
      </c>
      <c r="S96" s="376" t="s">
        <v>839</v>
      </c>
      <c r="T96" s="376" t="s">
        <v>839</v>
      </c>
      <c r="U96" s="376" t="s">
        <v>839</v>
      </c>
      <c r="V96" s="376" t="s">
        <v>839</v>
      </c>
      <c r="W96" s="381" t="s">
        <v>92</v>
      </c>
    </row>
    <row r="97" spans="1:23" s="376" customFormat="1" ht="9.75" customHeight="1" x14ac:dyDescent="0.15">
      <c r="A97" s="756" t="s">
        <v>682</v>
      </c>
      <c r="B97" s="376" t="s">
        <v>839</v>
      </c>
      <c r="C97" s="376" t="s">
        <v>839</v>
      </c>
      <c r="D97" s="376">
        <v>799177</v>
      </c>
      <c r="E97" s="376">
        <v>5143</v>
      </c>
      <c r="F97" s="376">
        <v>794034</v>
      </c>
      <c r="G97" s="376">
        <v>162689</v>
      </c>
      <c r="H97" s="376">
        <v>91589</v>
      </c>
      <c r="I97" s="376">
        <v>47966</v>
      </c>
      <c r="J97" s="376" t="s">
        <v>839</v>
      </c>
      <c r="K97" s="376" t="s">
        <v>839</v>
      </c>
      <c r="L97" s="376" t="s">
        <v>839</v>
      </c>
      <c r="M97" s="376" t="s">
        <v>839</v>
      </c>
      <c r="N97" s="376">
        <v>43623</v>
      </c>
      <c r="O97" s="376" t="s">
        <v>839</v>
      </c>
      <c r="P97" s="376" t="s">
        <v>839</v>
      </c>
      <c r="Q97" s="376" t="s">
        <v>839</v>
      </c>
      <c r="R97" s="376" t="s">
        <v>839</v>
      </c>
      <c r="S97" s="376" t="s">
        <v>839</v>
      </c>
      <c r="T97" s="376" t="s">
        <v>839</v>
      </c>
      <c r="U97" s="376" t="s">
        <v>839</v>
      </c>
      <c r="V97" s="376">
        <v>47650</v>
      </c>
      <c r="W97" s="381" t="s">
        <v>93</v>
      </c>
    </row>
    <row r="98" spans="1:23" s="376" customFormat="1" ht="9.75" customHeight="1" x14ac:dyDescent="0.15">
      <c r="A98" s="756" t="s">
        <v>683</v>
      </c>
      <c r="B98" s="376" t="s">
        <v>839</v>
      </c>
      <c r="C98" s="376" t="s">
        <v>839</v>
      </c>
      <c r="D98" s="376">
        <v>841815</v>
      </c>
      <c r="E98" s="376">
        <v>5471</v>
      </c>
      <c r="F98" s="376">
        <v>836344</v>
      </c>
      <c r="G98" s="376">
        <v>181027</v>
      </c>
      <c r="H98" s="376">
        <v>113066</v>
      </c>
      <c r="I98" s="376">
        <v>113066</v>
      </c>
      <c r="J98" s="376" t="s">
        <v>839</v>
      </c>
      <c r="K98" s="376" t="s">
        <v>839</v>
      </c>
      <c r="L98" s="376" t="s">
        <v>839</v>
      </c>
      <c r="M98" s="376" t="s">
        <v>839</v>
      </c>
      <c r="N98" s="376" t="s">
        <v>839</v>
      </c>
      <c r="O98" s="376" t="s">
        <v>839</v>
      </c>
      <c r="P98" s="376" t="s">
        <v>839</v>
      </c>
      <c r="Q98" s="376" t="s">
        <v>839</v>
      </c>
      <c r="R98" s="376" t="s">
        <v>839</v>
      </c>
      <c r="S98" s="376" t="s">
        <v>839</v>
      </c>
      <c r="T98" s="376" t="s">
        <v>839</v>
      </c>
      <c r="U98" s="376" t="s">
        <v>839</v>
      </c>
      <c r="V98" s="376">
        <v>39323</v>
      </c>
      <c r="W98" s="381" t="s">
        <v>94</v>
      </c>
    </row>
    <row r="99" spans="1:23" s="376" customFormat="1" ht="9.75" customHeight="1" x14ac:dyDescent="0.15">
      <c r="A99" s="756" t="s">
        <v>684</v>
      </c>
      <c r="B99" s="376" t="s">
        <v>839</v>
      </c>
      <c r="C99" s="376" t="s">
        <v>839</v>
      </c>
      <c r="D99" s="376">
        <v>864898</v>
      </c>
      <c r="E99" s="376">
        <v>5215</v>
      </c>
      <c r="F99" s="376">
        <v>859683</v>
      </c>
      <c r="G99" s="376">
        <v>287887</v>
      </c>
      <c r="H99" s="376">
        <v>260073</v>
      </c>
      <c r="I99" s="376">
        <v>210053</v>
      </c>
      <c r="J99" s="376" t="s">
        <v>839</v>
      </c>
      <c r="K99" s="376" t="s">
        <v>839</v>
      </c>
      <c r="L99" s="376" t="s">
        <v>839</v>
      </c>
      <c r="M99" s="376" t="s">
        <v>839</v>
      </c>
      <c r="N99" s="376">
        <v>50020</v>
      </c>
      <c r="O99" s="376" t="s">
        <v>839</v>
      </c>
      <c r="P99" s="376" t="s">
        <v>839</v>
      </c>
      <c r="Q99" s="376" t="s">
        <v>839</v>
      </c>
      <c r="R99" s="376" t="s">
        <v>839</v>
      </c>
      <c r="S99" s="376" t="s">
        <v>839</v>
      </c>
      <c r="T99" s="376" t="s">
        <v>839</v>
      </c>
      <c r="U99" s="376" t="s">
        <v>839</v>
      </c>
      <c r="V99" s="376" t="s">
        <v>839</v>
      </c>
      <c r="W99" s="381" t="s">
        <v>95</v>
      </c>
    </row>
    <row r="100" spans="1:23" s="376" customFormat="1" ht="9.75" customHeight="1" x14ac:dyDescent="0.15">
      <c r="A100" s="756" t="s">
        <v>685</v>
      </c>
      <c r="B100" s="376" t="s">
        <v>839</v>
      </c>
      <c r="C100" s="376" t="s">
        <v>839</v>
      </c>
      <c r="D100" s="376">
        <v>855077</v>
      </c>
      <c r="E100" s="376">
        <v>5913</v>
      </c>
      <c r="F100" s="376">
        <v>849164</v>
      </c>
      <c r="G100" s="376">
        <v>285371</v>
      </c>
      <c r="H100" s="376">
        <v>257347</v>
      </c>
      <c r="I100" s="376">
        <v>154932</v>
      </c>
      <c r="J100" s="376" t="s">
        <v>839</v>
      </c>
      <c r="K100" s="376">
        <v>17826</v>
      </c>
      <c r="L100" s="376" t="s">
        <v>839</v>
      </c>
      <c r="M100" s="376" t="s">
        <v>839</v>
      </c>
      <c r="N100" s="376">
        <v>19500</v>
      </c>
      <c r="O100" s="376">
        <v>50000</v>
      </c>
      <c r="P100" s="376" t="s">
        <v>839</v>
      </c>
      <c r="Q100" s="376">
        <v>15089</v>
      </c>
      <c r="R100" s="376" t="s">
        <v>839</v>
      </c>
      <c r="S100" s="376" t="s">
        <v>839</v>
      </c>
      <c r="T100" s="376" t="s">
        <v>839</v>
      </c>
      <c r="U100" s="376" t="s">
        <v>839</v>
      </c>
      <c r="V100" s="376" t="s">
        <v>839</v>
      </c>
      <c r="W100" s="381" t="s">
        <v>96</v>
      </c>
    </row>
    <row r="101" spans="1:23" s="376" customFormat="1" ht="9.75" customHeight="1" x14ac:dyDescent="0.15">
      <c r="A101" s="756" t="s">
        <v>686</v>
      </c>
      <c r="B101" s="376" t="s">
        <v>839</v>
      </c>
      <c r="C101" s="376" t="s">
        <v>839</v>
      </c>
      <c r="D101" s="376">
        <v>884844</v>
      </c>
      <c r="E101" s="376">
        <v>5983</v>
      </c>
      <c r="F101" s="376">
        <v>878861</v>
      </c>
      <c r="G101" s="376">
        <v>356907</v>
      </c>
      <c r="H101" s="376">
        <v>307635</v>
      </c>
      <c r="I101" s="376">
        <v>178984</v>
      </c>
      <c r="J101" s="376" t="s">
        <v>839</v>
      </c>
      <c r="K101" s="376" t="s">
        <v>839</v>
      </c>
      <c r="L101" s="376" t="s">
        <v>839</v>
      </c>
      <c r="M101" s="376" t="s">
        <v>839</v>
      </c>
      <c r="N101" s="376">
        <v>30001</v>
      </c>
      <c r="O101" s="376">
        <v>98650</v>
      </c>
      <c r="P101" s="376" t="s">
        <v>839</v>
      </c>
      <c r="Q101" s="376" t="s">
        <v>839</v>
      </c>
      <c r="R101" s="376" t="s">
        <v>839</v>
      </c>
      <c r="S101" s="376" t="s">
        <v>839</v>
      </c>
      <c r="T101" s="376" t="s">
        <v>839</v>
      </c>
      <c r="U101" s="376" t="s">
        <v>839</v>
      </c>
      <c r="V101" s="376">
        <v>47600</v>
      </c>
      <c r="W101" s="381" t="s">
        <v>80</v>
      </c>
    </row>
    <row r="102" spans="1:23" s="376" customFormat="1" ht="9.75" customHeight="1" x14ac:dyDescent="0.15">
      <c r="A102" s="756" t="s">
        <v>687</v>
      </c>
      <c r="B102" s="376" t="s">
        <v>839</v>
      </c>
      <c r="C102" s="376" t="s">
        <v>839</v>
      </c>
      <c r="D102" s="376">
        <v>871272</v>
      </c>
      <c r="E102" s="376">
        <v>6885</v>
      </c>
      <c r="F102" s="376">
        <v>864387</v>
      </c>
      <c r="G102" s="376">
        <v>442325</v>
      </c>
      <c r="H102" s="376">
        <v>393359</v>
      </c>
      <c r="I102" s="376">
        <v>253819</v>
      </c>
      <c r="J102" s="376" t="s">
        <v>839</v>
      </c>
      <c r="K102" s="376">
        <v>41900</v>
      </c>
      <c r="L102" s="376" t="s">
        <v>839</v>
      </c>
      <c r="M102" s="376" t="s">
        <v>839</v>
      </c>
      <c r="N102" s="376" t="s">
        <v>839</v>
      </c>
      <c r="O102" s="376">
        <v>50000</v>
      </c>
      <c r="P102" s="376" t="s">
        <v>839</v>
      </c>
      <c r="Q102" s="376" t="s">
        <v>839</v>
      </c>
      <c r="R102" s="376" t="s">
        <v>839</v>
      </c>
      <c r="S102" s="376">
        <v>47640</v>
      </c>
      <c r="T102" s="376" t="s">
        <v>839</v>
      </c>
      <c r="U102" s="376" t="s">
        <v>839</v>
      </c>
      <c r="V102" s="376" t="s">
        <v>839</v>
      </c>
      <c r="W102" s="381" t="s">
        <v>81</v>
      </c>
    </row>
    <row r="103" spans="1:23" s="376" customFormat="1" ht="9.75" customHeight="1" x14ac:dyDescent="0.15">
      <c r="A103" s="756" t="s">
        <v>688</v>
      </c>
      <c r="B103" s="376" t="s">
        <v>839</v>
      </c>
      <c r="C103" s="376" t="s">
        <v>839</v>
      </c>
      <c r="D103" s="376">
        <v>950380</v>
      </c>
      <c r="E103" s="376">
        <v>7713</v>
      </c>
      <c r="F103" s="376">
        <v>942667</v>
      </c>
      <c r="G103" s="376">
        <v>444387</v>
      </c>
      <c r="H103" s="376">
        <v>442617</v>
      </c>
      <c r="I103" s="376">
        <v>190973</v>
      </c>
      <c r="J103" s="376" t="s">
        <v>839</v>
      </c>
      <c r="K103" s="376" t="s">
        <v>839</v>
      </c>
      <c r="L103" s="376" t="s">
        <v>839</v>
      </c>
      <c r="M103" s="376" t="s">
        <v>839</v>
      </c>
      <c r="N103" s="376">
        <v>197771</v>
      </c>
      <c r="O103" s="376" t="s">
        <v>839</v>
      </c>
      <c r="P103" s="376" t="s">
        <v>839</v>
      </c>
      <c r="Q103" s="376">
        <v>30023</v>
      </c>
      <c r="R103" s="376">
        <v>23850</v>
      </c>
      <c r="S103" s="376" t="s">
        <v>839</v>
      </c>
      <c r="T103" s="376" t="s">
        <v>839</v>
      </c>
      <c r="U103" s="376" t="s">
        <v>839</v>
      </c>
      <c r="V103" s="376" t="s">
        <v>839</v>
      </c>
      <c r="W103" s="381" t="s">
        <v>82</v>
      </c>
    </row>
    <row r="104" spans="1:23" s="376" customFormat="1" ht="9.75" customHeight="1" x14ac:dyDescent="0.15">
      <c r="A104" s="756" t="s">
        <v>849</v>
      </c>
      <c r="B104" s="376" t="s">
        <v>839</v>
      </c>
      <c r="C104" s="376" t="s">
        <v>839</v>
      </c>
      <c r="D104" s="376">
        <v>905438</v>
      </c>
      <c r="E104" s="376">
        <v>6742</v>
      </c>
      <c r="F104" s="376">
        <v>898696</v>
      </c>
      <c r="G104" s="376">
        <v>556786</v>
      </c>
      <c r="H104" s="376">
        <v>487838</v>
      </c>
      <c r="I104" s="376">
        <v>197422</v>
      </c>
      <c r="J104" s="376" t="s">
        <v>839</v>
      </c>
      <c r="K104" s="376">
        <v>17673</v>
      </c>
      <c r="L104" s="376">
        <v>40000</v>
      </c>
      <c r="M104" s="376" t="s">
        <v>839</v>
      </c>
      <c r="N104" s="376">
        <v>132947</v>
      </c>
      <c r="O104" s="376" t="s">
        <v>839</v>
      </c>
      <c r="P104" s="376" t="s">
        <v>839</v>
      </c>
      <c r="Q104" s="376">
        <v>25919</v>
      </c>
      <c r="R104" s="376" t="s">
        <v>839</v>
      </c>
      <c r="S104" s="376">
        <v>73877</v>
      </c>
      <c r="T104" s="376" t="s">
        <v>839</v>
      </c>
      <c r="U104" s="376" t="s">
        <v>839</v>
      </c>
      <c r="V104" s="376">
        <v>24460</v>
      </c>
      <c r="W104" s="381" t="s">
        <v>850</v>
      </c>
    </row>
    <row r="105" spans="1:23" s="376" customFormat="1" ht="9.75" customHeight="1" x14ac:dyDescent="0.15">
      <c r="A105" s="756" t="s">
        <v>690</v>
      </c>
      <c r="B105" s="376" t="s">
        <v>839</v>
      </c>
      <c r="C105" s="376" t="s">
        <v>839</v>
      </c>
      <c r="D105" s="376">
        <v>868661</v>
      </c>
      <c r="E105" s="376">
        <v>7605</v>
      </c>
      <c r="F105" s="376">
        <v>861056</v>
      </c>
      <c r="G105" s="376">
        <v>651827</v>
      </c>
      <c r="H105" s="376">
        <v>527941</v>
      </c>
      <c r="I105" s="376">
        <v>195489</v>
      </c>
      <c r="J105" s="376" t="s">
        <v>839</v>
      </c>
      <c r="K105" s="376" t="s">
        <v>839</v>
      </c>
      <c r="L105" s="376" t="s">
        <v>839</v>
      </c>
      <c r="M105" s="376" t="s">
        <v>839</v>
      </c>
      <c r="N105" s="376">
        <v>185314</v>
      </c>
      <c r="O105" s="376">
        <v>97313</v>
      </c>
      <c r="P105" s="376" t="s">
        <v>839</v>
      </c>
      <c r="Q105" s="376" t="s">
        <v>839</v>
      </c>
      <c r="R105" s="376" t="s">
        <v>839</v>
      </c>
      <c r="S105" s="376">
        <v>49825</v>
      </c>
      <c r="T105" s="376" t="s">
        <v>839</v>
      </c>
      <c r="U105" s="376" t="s">
        <v>839</v>
      </c>
      <c r="V105" s="376">
        <v>46400</v>
      </c>
      <c r="W105" s="381" t="s">
        <v>77</v>
      </c>
    </row>
    <row r="106" spans="1:23" s="376" customFormat="1" ht="9.75" customHeight="1" x14ac:dyDescent="0.15">
      <c r="A106" s="757" t="s">
        <v>691</v>
      </c>
      <c r="B106" s="380" t="s">
        <v>839</v>
      </c>
      <c r="C106" s="379" t="s">
        <v>839</v>
      </c>
      <c r="D106" s="379">
        <v>1016026</v>
      </c>
      <c r="E106" s="379">
        <v>8126</v>
      </c>
      <c r="F106" s="379">
        <v>1007900</v>
      </c>
      <c r="G106" s="379">
        <v>543771</v>
      </c>
      <c r="H106" s="379">
        <v>480715</v>
      </c>
      <c r="I106" s="379">
        <v>330882</v>
      </c>
      <c r="J106" s="379" t="s">
        <v>839</v>
      </c>
      <c r="K106" s="379" t="s">
        <v>839</v>
      </c>
      <c r="L106" s="379" t="s">
        <v>839</v>
      </c>
      <c r="M106" s="379" t="s">
        <v>839</v>
      </c>
      <c r="N106" s="379">
        <v>99901</v>
      </c>
      <c r="O106" s="379" t="s">
        <v>839</v>
      </c>
      <c r="P106" s="379" t="s">
        <v>839</v>
      </c>
      <c r="Q106" s="379" t="s">
        <v>839</v>
      </c>
      <c r="R106" s="379" t="s">
        <v>839</v>
      </c>
      <c r="S106" s="379">
        <v>49932</v>
      </c>
      <c r="T106" s="379" t="s">
        <v>839</v>
      </c>
      <c r="U106" s="379" t="s">
        <v>839</v>
      </c>
      <c r="V106" s="379">
        <v>38500</v>
      </c>
      <c r="W106" s="377" t="s">
        <v>78</v>
      </c>
    </row>
    <row r="107" spans="1:23" ht="12" customHeight="1" x14ac:dyDescent="0.15"/>
    <row r="108" spans="1:23" ht="12" customHeight="1" x14ac:dyDescent="0.15"/>
    <row r="109" spans="1:23" ht="12" customHeight="1" x14ac:dyDescent="0.15">
      <c r="K109" s="391" t="s">
        <v>97</v>
      </c>
    </row>
    <row r="110" spans="1:23" s="387" customFormat="1" ht="21" customHeight="1" x14ac:dyDescent="0.15">
      <c r="A110" s="1023" t="s">
        <v>185</v>
      </c>
      <c r="B110" s="390" t="s">
        <v>354</v>
      </c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732"/>
      <c r="P110" s="733" t="s">
        <v>322</v>
      </c>
      <c r="Q110" s="389"/>
      <c r="R110" s="732"/>
      <c r="S110" s="773" t="s">
        <v>989</v>
      </c>
      <c r="T110" s="389"/>
      <c r="U110" s="389"/>
      <c r="V110" s="389"/>
      <c r="W110" s="1026" t="s">
        <v>83</v>
      </c>
    </row>
    <row r="111" spans="1:23" s="387" customFormat="1" ht="21" customHeight="1" x14ac:dyDescent="0.15">
      <c r="A111" s="1024"/>
      <c r="B111" s="390" t="s">
        <v>999</v>
      </c>
      <c r="C111" s="389"/>
      <c r="D111" s="732"/>
      <c r="E111" s="733" t="s">
        <v>271</v>
      </c>
      <c r="F111" s="732"/>
      <c r="G111" s="733" t="s">
        <v>256</v>
      </c>
      <c r="H111" s="732"/>
      <c r="I111" s="733" t="s">
        <v>255</v>
      </c>
      <c r="J111" s="389"/>
      <c r="K111" s="389"/>
      <c r="L111" s="389"/>
      <c r="M111" s="732"/>
      <c r="N111" s="733" t="s">
        <v>1004</v>
      </c>
      <c r="O111" s="732"/>
      <c r="P111" s="1029" t="s">
        <v>320</v>
      </c>
      <c r="Q111" s="733" t="s">
        <v>279</v>
      </c>
      <c r="R111" s="732"/>
      <c r="S111" s="1029" t="s">
        <v>307</v>
      </c>
      <c r="T111" s="733" t="s">
        <v>279</v>
      </c>
      <c r="U111" s="389"/>
      <c r="V111" s="389"/>
      <c r="W111" s="1027"/>
    </row>
    <row r="112" spans="1:23" s="387" customFormat="1" ht="52.5" customHeight="1" x14ac:dyDescent="0.15">
      <c r="A112" s="1025"/>
      <c r="B112" s="388" t="s">
        <v>287</v>
      </c>
      <c r="C112" s="388" t="s">
        <v>258</v>
      </c>
      <c r="D112" s="388" t="s">
        <v>311</v>
      </c>
      <c r="E112" s="735" t="s">
        <v>982</v>
      </c>
      <c r="F112" s="388" t="s">
        <v>332</v>
      </c>
      <c r="G112" s="735" t="s">
        <v>983</v>
      </c>
      <c r="H112" s="388" t="s">
        <v>985</v>
      </c>
      <c r="I112" s="735" t="s">
        <v>986</v>
      </c>
      <c r="J112" s="388" t="s">
        <v>250</v>
      </c>
      <c r="K112" s="388" t="s">
        <v>1003</v>
      </c>
      <c r="L112" s="388" t="s">
        <v>350</v>
      </c>
      <c r="M112" s="388" t="s">
        <v>349</v>
      </c>
      <c r="N112" s="735" t="s">
        <v>329</v>
      </c>
      <c r="O112" s="388" t="s">
        <v>348</v>
      </c>
      <c r="P112" s="1030"/>
      <c r="Q112" s="735" t="s">
        <v>975</v>
      </c>
      <c r="R112" s="388" t="s">
        <v>976</v>
      </c>
      <c r="S112" s="1030"/>
      <c r="T112" s="735" t="s">
        <v>975</v>
      </c>
      <c r="U112" s="388" t="s">
        <v>270</v>
      </c>
      <c r="V112" s="392" t="s">
        <v>976</v>
      </c>
      <c r="W112" s="1028"/>
    </row>
    <row r="113" spans="1:23" s="376" customFormat="1" ht="9.75" customHeight="1" x14ac:dyDescent="0.15">
      <c r="A113" s="755" t="s">
        <v>838</v>
      </c>
      <c r="B113" s="386">
        <v>52182</v>
      </c>
      <c r="C113" s="385">
        <v>229108</v>
      </c>
      <c r="D113" s="385" t="s">
        <v>839</v>
      </c>
      <c r="E113" s="385">
        <v>52545</v>
      </c>
      <c r="F113" s="385">
        <v>52545</v>
      </c>
      <c r="G113" s="385" t="s">
        <v>839</v>
      </c>
      <c r="H113" s="385" t="s">
        <v>839</v>
      </c>
      <c r="I113" s="385">
        <v>388235</v>
      </c>
      <c r="J113" s="385">
        <v>303415</v>
      </c>
      <c r="K113" s="385" t="s">
        <v>839</v>
      </c>
      <c r="L113" s="385">
        <v>84820</v>
      </c>
      <c r="M113" s="385" t="s">
        <v>839</v>
      </c>
      <c r="N113" s="385">
        <v>27076</v>
      </c>
      <c r="O113" s="385">
        <v>27076</v>
      </c>
      <c r="P113" s="385" t="s">
        <v>839</v>
      </c>
      <c r="Q113" s="385" t="s">
        <v>839</v>
      </c>
      <c r="R113" s="385" t="s">
        <v>839</v>
      </c>
      <c r="S113" s="385">
        <v>10087919</v>
      </c>
      <c r="T113" s="385">
        <v>822210</v>
      </c>
      <c r="U113" s="385">
        <v>150144</v>
      </c>
      <c r="V113" s="385">
        <v>449491</v>
      </c>
      <c r="W113" s="383" t="s">
        <v>457</v>
      </c>
    </row>
    <row r="114" spans="1:23" s="376" customFormat="1" ht="9.75" customHeight="1" x14ac:dyDescent="0.15">
      <c r="A114" s="756" t="s">
        <v>669</v>
      </c>
      <c r="B114" s="376" t="s">
        <v>839</v>
      </c>
      <c r="C114" s="376">
        <v>610652</v>
      </c>
      <c r="D114" s="376" t="s">
        <v>839</v>
      </c>
      <c r="E114" s="376" t="s">
        <v>839</v>
      </c>
      <c r="F114" s="376" t="s">
        <v>839</v>
      </c>
      <c r="G114" s="376" t="s">
        <v>839</v>
      </c>
      <c r="H114" s="376" t="s">
        <v>839</v>
      </c>
      <c r="I114" s="376">
        <v>661618</v>
      </c>
      <c r="J114" s="376">
        <v>513970</v>
      </c>
      <c r="K114" s="376">
        <v>30600</v>
      </c>
      <c r="L114" s="376">
        <v>117048</v>
      </c>
      <c r="M114" s="376" t="s">
        <v>839</v>
      </c>
      <c r="N114" s="376">
        <v>27193</v>
      </c>
      <c r="O114" s="376">
        <v>27193</v>
      </c>
      <c r="P114" s="376">
        <v>3240</v>
      </c>
      <c r="Q114" s="376">
        <v>3240</v>
      </c>
      <c r="R114" s="376">
        <v>3240</v>
      </c>
      <c r="S114" s="376">
        <v>11164796</v>
      </c>
      <c r="T114" s="376">
        <v>532271</v>
      </c>
      <c r="U114" s="376">
        <v>100706</v>
      </c>
      <c r="V114" s="376">
        <v>215890</v>
      </c>
      <c r="W114" s="381" t="s">
        <v>512</v>
      </c>
    </row>
    <row r="115" spans="1:23" s="376" customFormat="1" ht="9.75" customHeight="1" x14ac:dyDescent="0.15">
      <c r="A115" s="756" t="s">
        <v>670</v>
      </c>
      <c r="B115" s="376" t="s">
        <v>839</v>
      </c>
      <c r="C115" s="376">
        <v>76060</v>
      </c>
      <c r="D115" s="376" t="s">
        <v>839</v>
      </c>
      <c r="E115" s="376" t="s">
        <v>839</v>
      </c>
      <c r="F115" s="376" t="s">
        <v>839</v>
      </c>
      <c r="G115" s="376">
        <v>49865</v>
      </c>
      <c r="H115" s="376">
        <v>49865</v>
      </c>
      <c r="I115" s="376">
        <v>367708</v>
      </c>
      <c r="J115" s="376">
        <v>306182</v>
      </c>
      <c r="K115" s="376">
        <v>20000</v>
      </c>
      <c r="L115" s="376">
        <v>40561</v>
      </c>
      <c r="M115" s="376">
        <v>965</v>
      </c>
      <c r="N115" s="376">
        <v>25127</v>
      </c>
      <c r="O115" s="376">
        <v>25127</v>
      </c>
      <c r="P115" s="376" t="s">
        <v>839</v>
      </c>
      <c r="Q115" s="376" t="s">
        <v>839</v>
      </c>
      <c r="R115" s="376" t="s">
        <v>839</v>
      </c>
      <c r="S115" s="376">
        <v>4781020</v>
      </c>
      <c r="T115" s="376">
        <v>205905</v>
      </c>
      <c r="U115" s="376">
        <v>99963</v>
      </c>
      <c r="V115" s="376">
        <v>50002</v>
      </c>
      <c r="W115" s="381" t="s">
        <v>620</v>
      </c>
    </row>
    <row r="116" spans="1:23" s="376" customFormat="1" ht="9.75" customHeight="1" x14ac:dyDescent="0.15">
      <c r="A116" s="756" t="s">
        <v>671</v>
      </c>
      <c r="B116" s="376" t="s">
        <v>839</v>
      </c>
      <c r="C116" s="376">
        <v>184359</v>
      </c>
      <c r="D116" s="376" t="s">
        <v>839</v>
      </c>
      <c r="E116" s="376" t="s">
        <v>839</v>
      </c>
      <c r="F116" s="376" t="s">
        <v>839</v>
      </c>
      <c r="G116" s="376" t="s">
        <v>839</v>
      </c>
      <c r="H116" s="376" t="s">
        <v>839</v>
      </c>
      <c r="I116" s="376">
        <v>352362</v>
      </c>
      <c r="J116" s="376">
        <v>323531</v>
      </c>
      <c r="K116" s="376" t="s">
        <v>839</v>
      </c>
      <c r="L116" s="376">
        <v>28831</v>
      </c>
      <c r="M116" s="376" t="s">
        <v>839</v>
      </c>
      <c r="N116" s="376">
        <v>25733</v>
      </c>
      <c r="O116" s="376">
        <v>25733</v>
      </c>
      <c r="P116" s="376" t="s">
        <v>839</v>
      </c>
      <c r="Q116" s="376" t="s">
        <v>839</v>
      </c>
      <c r="R116" s="376" t="s">
        <v>839</v>
      </c>
      <c r="S116" s="376">
        <v>5327622</v>
      </c>
      <c r="T116" s="376">
        <v>762702</v>
      </c>
      <c r="U116" s="376">
        <v>364723</v>
      </c>
      <c r="V116" s="376">
        <v>32602</v>
      </c>
      <c r="W116" s="381" t="s">
        <v>672</v>
      </c>
    </row>
    <row r="117" spans="1:23" s="376" customFormat="1" ht="9.75" customHeight="1" x14ac:dyDescent="0.15">
      <c r="A117" s="756" t="s">
        <v>840</v>
      </c>
      <c r="B117" s="376" t="s">
        <v>839</v>
      </c>
      <c r="C117" s="376">
        <v>336009</v>
      </c>
      <c r="D117" s="376" t="s">
        <v>839</v>
      </c>
      <c r="E117" s="376" t="s">
        <v>839</v>
      </c>
      <c r="F117" s="376" t="s">
        <v>839</v>
      </c>
      <c r="G117" s="376" t="s">
        <v>839</v>
      </c>
      <c r="H117" s="376" t="s">
        <v>839</v>
      </c>
      <c r="I117" s="376">
        <v>273476</v>
      </c>
      <c r="J117" s="376">
        <v>258520</v>
      </c>
      <c r="K117" s="376" t="s">
        <v>839</v>
      </c>
      <c r="L117" s="376">
        <v>14956</v>
      </c>
      <c r="M117" s="376" t="s">
        <v>839</v>
      </c>
      <c r="N117" s="376">
        <v>24016</v>
      </c>
      <c r="O117" s="376">
        <v>24016</v>
      </c>
      <c r="P117" s="376" t="s">
        <v>839</v>
      </c>
      <c r="Q117" s="376" t="s">
        <v>839</v>
      </c>
      <c r="R117" s="376" t="s">
        <v>839</v>
      </c>
      <c r="S117" s="376">
        <v>6797549</v>
      </c>
      <c r="T117" s="376">
        <v>566465</v>
      </c>
      <c r="U117" s="376">
        <v>49785</v>
      </c>
      <c r="V117" s="376">
        <v>71204</v>
      </c>
      <c r="W117" s="381" t="s">
        <v>841</v>
      </c>
    </row>
    <row r="118" spans="1:23" s="376" customFormat="1" ht="6.75" customHeight="1" x14ac:dyDescent="0.15">
      <c r="A118" s="787"/>
      <c r="W118" s="381"/>
    </row>
    <row r="119" spans="1:23" s="376" customFormat="1" ht="9.75" customHeight="1" x14ac:dyDescent="0.15">
      <c r="A119" s="756" t="s">
        <v>842</v>
      </c>
      <c r="B119" s="376" t="s">
        <v>839</v>
      </c>
      <c r="C119" s="376">
        <v>361686</v>
      </c>
      <c r="D119" s="376" t="s">
        <v>839</v>
      </c>
      <c r="E119" s="376" t="s">
        <v>839</v>
      </c>
      <c r="F119" s="376" t="s">
        <v>839</v>
      </c>
      <c r="G119" s="376" t="s">
        <v>839</v>
      </c>
      <c r="H119" s="376" t="s">
        <v>839</v>
      </c>
      <c r="I119" s="376">
        <v>361533</v>
      </c>
      <c r="J119" s="376">
        <v>331627</v>
      </c>
      <c r="K119" s="376" t="s">
        <v>839</v>
      </c>
      <c r="L119" s="376">
        <v>29906</v>
      </c>
      <c r="M119" s="376" t="s">
        <v>839</v>
      </c>
      <c r="N119" s="376">
        <v>25477</v>
      </c>
      <c r="O119" s="376">
        <v>25477</v>
      </c>
      <c r="P119" s="376" t="s">
        <v>839</v>
      </c>
      <c r="Q119" s="376" t="s">
        <v>839</v>
      </c>
      <c r="R119" s="376" t="s">
        <v>839</v>
      </c>
      <c r="S119" s="376">
        <v>5713857</v>
      </c>
      <c r="T119" s="376">
        <v>788004</v>
      </c>
      <c r="U119" s="376">
        <v>314723</v>
      </c>
      <c r="V119" s="376">
        <v>69904</v>
      </c>
      <c r="W119" s="381" t="s">
        <v>673</v>
      </c>
    </row>
    <row r="120" spans="1:23" s="376" customFormat="1" ht="9.75" customHeight="1" x14ac:dyDescent="0.15">
      <c r="A120" s="756" t="s">
        <v>843</v>
      </c>
      <c r="B120" s="376" t="s">
        <v>839</v>
      </c>
      <c r="C120" s="376">
        <v>228402</v>
      </c>
      <c r="D120" s="376">
        <v>38500</v>
      </c>
      <c r="E120" s="376" t="s">
        <v>839</v>
      </c>
      <c r="F120" s="376" t="s">
        <v>839</v>
      </c>
      <c r="G120" s="376">
        <v>47600</v>
      </c>
      <c r="H120" s="376">
        <v>47600</v>
      </c>
      <c r="I120" s="376">
        <v>248618</v>
      </c>
      <c r="J120" s="376">
        <v>248618</v>
      </c>
      <c r="K120" s="376" t="s">
        <v>839</v>
      </c>
      <c r="L120" s="376" t="s">
        <v>839</v>
      </c>
      <c r="M120" s="376" t="s">
        <v>839</v>
      </c>
      <c r="N120" s="376">
        <v>22912</v>
      </c>
      <c r="O120" s="376">
        <v>22912</v>
      </c>
      <c r="P120" s="376" t="s">
        <v>839</v>
      </c>
      <c r="Q120" s="376" t="s">
        <v>839</v>
      </c>
      <c r="R120" s="376" t="s">
        <v>839</v>
      </c>
      <c r="S120" s="376">
        <v>7234623</v>
      </c>
      <c r="T120" s="376">
        <v>532643</v>
      </c>
      <c r="U120" s="376">
        <v>49785</v>
      </c>
      <c r="V120" s="376">
        <v>33902</v>
      </c>
      <c r="W120" s="381" t="s">
        <v>844</v>
      </c>
    </row>
    <row r="121" spans="1:23" s="376" customFormat="1" ht="6.75" customHeight="1" x14ac:dyDescent="0.15">
      <c r="A121" s="787"/>
      <c r="W121" s="381"/>
    </row>
    <row r="122" spans="1:23" s="376" customFormat="1" ht="9.75" customHeight="1" x14ac:dyDescent="0.15">
      <c r="A122" s="756" t="s">
        <v>845</v>
      </c>
      <c r="B122" s="376" t="s">
        <v>839</v>
      </c>
      <c r="C122" s="376">
        <v>178467</v>
      </c>
      <c r="D122" s="376" t="s">
        <v>839</v>
      </c>
      <c r="E122" s="376" t="s">
        <v>839</v>
      </c>
      <c r="F122" s="376" t="s">
        <v>839</v>
      </c>
      <c r="G122" s="376" t="s">
        <v>839</v>
      </c>
      <c r="H122" s="376" t="s">
        <v>839</v>
      </c>
      <c r="I122" s="376">
        <v>118756</v>
      </c>
      <c r="J122" s="376">
        <v>103800</v>
      </c>
      <c r="K122" s="376" t="s">
        <v>839</v>
      </c>
      <c r="L122" s="376">
        <v>14956</v>
      </c>
      <c r="M122" s="376" t="s">
        <v>839</v>
      </c>
      <c r="N122" s="376">
        <v>6136</v>
      </c>
      <c r="O122" s="376">
        <v>6136</v>
      </c>
      <c r="P122" s="376" t="s">
        <v>839</v>
      </c>
      <c r="Q122" s="376" t="s">
        <v>839</v>
      </c>
      <c r="R122" s="376" t="s">
        <v>839</v>
      </c>
      <c r="S122" s="376">
        <v>1326601</v>
      </c>
      <c r="T122" s="376">
        <v>75302</v>
      </c>
      <c r="U122" s="376" t="s">
        <v>839</v>
      </c>
      <c r="V122" s="376">
        <v>37302</v>
      </c>
      <c r="W122" s="381" t="s">
        <v>677</v>
      </c>
    </row>
    <row r="123" spans="1:23" s="376" customFormat="1" ht="9.75" customHeight="1" x14ac:dyDescent="0.15">
      <c r="A123" s="756" t="s">
        <v>674</v>
      </c>
      <c r="B123" s="376" t="s">
        <v>839</v>
      </c>
      <c r="C123" s="376">
        <v>70619</v>
      </c>
      <c r="D123" s="376" t="s">
        <v>839</v>
      </c>
      <c r="E123" s="376" t="s">
        <v>839</v>
      </c>
      <c r="F123" s="376" t="s">
        <v>839</v>
      </c>
      <c r="G123" s="376" t="s">
        <v>839</v>
      </c>
      <c r="H123" s="376" t="s">
        <v>839</v>
      </c>
      <c r="I123" s="376">
        <v>29060</v>
      </c>
      <c r="J123" s="376">
        <v>29060</v>
      </c>
      <c r="K123" s="376" t="s">
        <v>839</v>
      </c>
      <c r="L123" s="376" t="s">
        <v>839</v>
      </c>
      <c r="M123" s="376" t="s">
        <v>839</v>
      </c>
      <c r="N123" s="376">
        <v>6656</v>
      </c>
      <c r="O123" s="376">
        <v>6656</v>
      </c>
      <c r="P123" s="376" t="s">
        <v>839</v>
      </c>
      <c r="Q123" s="376" t="s">
        <v>839</v>
      </c>
      <c r="R123" s="376" t="s">
        <v>839</v>
      </c>
      <c r="S123" s="376">
        <v>1663204</v>
      </c>
      <c r="T123" s="376">
        <v>33902</v>
      </c>
      <c r="U123" s="376" t="s">
        <v>839</v>
      </c>
      <c r="V123" s="376">
        <v>33902</v>
      </c>
      <c r="W123" s="381" t="s">
        <v>89</v>
      </c>
    </row>
    <row r="124" spans="1:23" s="376" customFormat="1" ht="9.75" customHeight="1" x14ac:dyDescent="0.15">
      <c r="A124" s="756" t="s">
        <v>675</v>
      </c>
      <c r="B124" s="376" t="s">
        <v>839</v>
      </c>
      <c r="C124" s="376">
        <v>39323</v>
      </c>
      <c r="D124" s="376" t="s">
        <v>839</v>
      </c>
      <c r="E124" s="376" t="s">
        <v>839</v>
      </c>
      <c r="F124" s="376" t="s">
        <v>839</v>
      </c>
      <c r="G124" s="376" t="s">
        <v>839</v>
      </c>
      <c r="H124" s="376" t="s">
        <v>839</v>
      </c>
      <c r="I124" s="376">
        <v>78160</v>
      </c>
      <c r="J124" s="376">
        <v>78160</v>
      </c>
      <c r="K124" s="376" t="s">
        <v>839</v>
      </c>
      <c r="L124" s="376" t="s">
        <v>839</v>
      </c>
      <c r="M124" s="376" t="s">
        <v>839</v>
      </c>
      <c r="N124" s="376">
        <v>6316</v>
      </c>
      <c r="O124" s="376">
        <v>6316</v>
      </c>
      <c r="P124" s="376" t="s">
        <v>839</v>
      </c>
      <c r="Q124" s="376" t="s">
        <v>839</v>
      </c>
      <c r="R124" s="376" t="s">
        <v>839</v>
      </c>
      <c r="S124" s="376">
        <v>2297548</v>
      </c>
      <c r="T124" s="376">
        <v>457261</v>
      </c>
      <c r="U124" s="376">
        <v>49785</v>
      </c>
      <c r="V124" s="376" t="s">
        <v>839</v>
      </c>
      <c r="W124" s="381" t="s">
        <v>90</v>
      </c>
    </row>
    <row r="125" spans="1:23" s="376" customFormat="1" ht="9.75" customHeight="1" x14ac:dyDescent="0.15">
      <c r="A125" s="756" t="s">
        <v>676</v>
      </c>
      <c r="B125" s="376" t="s">
        <v>839</v>
      </c>
      <c r="C125" s="376">
        <v>47600</v>
      </c>
      <c r="D125" s="376" t="s">
        <v>839</v>
      </c>
      <c r="E125" s="376" t="s">
        <v>839</v>
      </c>
      <c r="F125" s="376" t="s">
        <v>839</v>
      </c>
      <c r="G125" s="376" t="s">
        <v>839</v>
      </c>
      <c r="H125" s="376" t="s">
        <v>839</v>
      </c>
      <c r="I125" s="376">
        <v>47500</v>
      </c>
      <c r="J125" s="376">
        <v>47500</v>
      </c>
      <c r="K125" s="376" t="s">
        <v>839</v>
      </c>
      <c r="L125" s="376" t="s">
        <v>839</v>
      </c>
      <c r="M125" s="376" t="s">
        <v>839</v>
      </c>
      <c r="N125" s="376">
        <v>4908</v>
      </c>
      <c r="O125" s="376">
        <v>4908</v>
      </c>
      <c r="P125" s="376" t="s">
        <v>839</v>
      </c>
      <c r="Q125" s="376" t="s">
        <v>839</v>
      </c>
      <c r="R125" s="376" t="s">
        <v>839</v>
      </c>
      <c r="S125" s="376">
        <v>1510196</v>
      </c>
      <c r="T125" s="376" t="s">
        <v>839</v>
      </c>
      <c r="U125" s="376" t="s">
        <v>839</v>
      </c>
      <c r="V125" s="376" t="s">
        <v>839</v>
      </c>
      <c r="W125" s="381" t="s">
        <v>91</v>
      </c>
    </row>
    <row r="126" spans="1:23" s="376" customFormat="1" ht="9.75" customHeight="1" x14ac:dyDescent="0.15">
      <c r="A126" s="756" t="s">
        <v>846</v>
      </c>
      <c r="B126" s="376" t="s">
        <v>839</v>
      </c>
      <c r="C126" s="376">
        <v>70860</v>
      </c>
      <c r="D126" s="376">
        <v>38500</v>
      </c>
      <c r="E126" s="376" t="s">
        <v>839</v>
      </c>
      <c r="F126" s="376" t="s">
        <v>839</v>
      </c>
      <c r="G126" s="376">
        <v>47600</v>
      </c>
      <c r="H126" s="376">
        <v>47600</v>
      </c>
      <c r="I126" s="376">
        <v>93898</v>
      </c>
      <c r="J126" s="376">
        <v>93898</v>
      </c>
      <c r="K126" s="376" t="s">
        <v>839</v>
      </c>
      <c r="L126" s="376" t="s">
        <v>839</v>
      </c>
      <c r="M126" s="376" t="s">
        <v>839</v>
      </c>
      <c r="N126" s="376">
        <v>5032</v>
      </c>
      <c r="O126" s="376">
        <v>5032</v>
      </c>
      <c r="P126" s="376" t="s">
        <v>839</v>
      </c>
      <c r="Q126" s="376" t="s">
        <v>839</v>
      </c>
      <c r="R126" s="376" t="s">
        <v>839</v>
      </c>
      <c r="S126" s="376">
        <v>1763675</v>
      </c>
      <c r="T126" s="376">
        <v>41480</v>
      </c>
      <c r="U126" s="376" t="s">
        <v>839</v>
      </c>
      <c r="V126" s="376" t="s">
        <v>839</v>
      </c>
      <c r="W126" s="381" t="s">
        <v>847</v>
      </c>
    </row>
    <row r="127" spans="1:23" s="376" customFormat="1" ht="6.75" customHeight="1" x14ac:dyDescent="0.15">
      <c r="A127" s="787"/>
      <c r="W127" s="381"/>
    </row>
    <row r="128" spans="1:23" s="376" customFormat="1" ht="9.75" customHeight="1" x14ac:dyDescent="0.15">
      <c r="A128" s="756" t="s">
        <v>848</v>
      </c>
      <c r="B128" s="376" t="s">
        <v>839</v>
      </c>
      <c r="C128" s="376">
        <v>71594</v>
      </c>
      <c r="D128" s="376" t="s">
        <v>839</v>
      </c>
      <c r="E128" s="376" t="s">
        <v>839</v>
      </c>
      <c r="F128" s="376" t="s">
        <v>839</v>
      </c>
      <c r="G128" s="376" t="s">
        <v>839</v>
      </c>
      <c r="H128" s="376" t="s">
        <v>839</v>
      </c>
      <c r="I128" s="376">
        <v>31700</v>
      </c>
      <c r="J128" s="376">
        <v>31700</v>
      </c>
      <c r="K128" s="376" t="s">
        <v>839</v>
      </c>
      <c r="L128" s="376" t="s">
        <v>839</v>
      </c>
      <c r="M128" s="376" t="s">
        <v>839</v>
      </c>
      <c r="N128" s="376">
        <v>1684</v>
      </c>
      <c r="O128" s="376">
        <v>1684</v>
      </c>
      <c r="P128" s="376" t="s">
        <v>839</v>
      </c>
      <c r="Q128" s="376" t="s">
        <v>839</v>
      </c>
      <c r="R128" s="376" t="s">
        <v>839</v>
      </c>
      <c r="S128" s="376">
        <v>459582</v>
      </c>
      <c r="T128" s="376" t="s">
        <v>839</v>
      </c>
      <c r="U128" s="376" t="s">
        <v>839</v>
      </c>
      <c r="V128" s="376" t="s">
        <v>839</v>
      </c>
      <c r="W128" s="381" t="s">
        <v>689</v>
      </c>
    </row>
    <row r="129" spans="1:23" s="376" customFormat="1" ht="9.75" customHeight="1" x14ac:dyDescent="0.15">
      <c r="A129" s="756" t="s">
        <v>678</v>
      </c>
      <c r="B129" s="376" t="s">
        <v>839</v>
      </c>
      <c r="C129" s="376">
        <v>74961</v>
      </c>
      <c r="D129" s="376" t="s">
        <v>839</v>
      </c>
      <c r="E129" s="376" t="s">
        <v>839</v>
      </c>
      <c r="F129" s="376" t="s">
        <v>839</v>
      </c>
      <c r="G129" s="376" t="s">
        <v>839</v>
      </c>
      <c r="H129" s="376" t="s">
        <v>839</v>
      </c>
      <c r="I129" s="376">
        <v>78786</v>
      </c>
      <c r="J129" s="376">
        <v>72100</v>
      </c>
      <c r="K129" s="376" t="s">
        <v>839</v>
      </c>
      <c r="L129" s="376">
        <v>6686</v>
      </c>
      <c r="M129" s="376" t="s">
        <v>839</v>
      </c>
      <c r="N129" s="376">
        <v>2394</v>
      </c>
      <c r="O129" s="376">
        <v>2394</v>
      </c>
      <c r="P129" s="376" t="s">
        <v>839</v>
      </c>
      <c r="Q129" s="376" t="s">
        <v>839</v>
      </c>
      <c r="R129" s="376" t="s">
        <v>839</v>
      </c>
      <c r="S129" s="376">
        <v>383995</v>
      </c>
      <c r="T129" s="376">
        <v>38000</v>
      </c>
      <c r="U129" s="376" t="s">
        <v>839</v>
      </c>
      <c r="V129" s="376" t="s">
        <v>839</v>
      </c>
      <c r="W129" s="381" t="s">
        <v>77</v>
      </c>
    </row>
    <row r="130" spans="1:23" s="376" customFormat="1" ht="9.75" customHeight="1" x14ac:dyDescent="0.15">
      <c r="A130" s="756" t="s">
        <v>679</v>
      </c>
      <c r="B130" s="376" t="s">
        <v>839</v>
      </c>
      <c r="C130" s="376">
        <v>31912</v>
      </c>
      <c r="D130" s="376" t="s">
        <v>839</v>
      </c>
      <c r="E130" s="376" t="s">
        <v>839</v>
      </c>
      <c r="F130" s="376" t="s">
        <v>839</v>
      </c>
      <c r="G130" s="376" t="s">
        <v>839</v>
      </c>
      <c r="H130" s="376" t="s">
        <v>839</v>
      </c>
      <c r="I130" s="376">
        <v>8270</v>
      </c>
      <c r="J130" s="376" t="s">
        <v>839</v>
      </c>
      <c r="K130" s="376" t="s">
        <v>839</v>
      </c>
      <c r="L130" s="376">
        <v>8270</v>
      </c>
      <c r="M130" s="376" t="s">
        <v>839</v>
      </c>
      <c r="N130" s="376">
        <v>2058</v>
      </c>
      <c r="O130" s="376">
        <v>2058</v>
      </c>
      <c r="P130" s="376" t="s">
        <v>839</v>
      </c>
      <c r="Q130" s="376" t="s">
        <v>839</v>
      </c>
      <c r="R130" s="376" t="s">
        <v>839</v>
      </c>
      <c r="S130" s="376">
        <v>483024</v>
      </c>
      <c r="T130" s="376">
        <v>37302</v>
      </c>
      <c r="U130" s="376" t="s">
        <v>839</v>
      </c>
      <c r="V130" s="376">
        <v>37302</v>
      </c>
      <c r="W130" s="381" t="s">
        <v>78</v>
      </c>
    </row>
    <row r="131" spans="1:23" s="376" customFormat="1" ht="9.75" customHeight="1" x14ac:dyDescent="0.15">
      <c r="A131" s="756" t="s">
        <v>680</v>
      </c>
      <c r="B131" s="376" t="s">
        <v>839</v>
      </c>
      <c r="C131" s="376">
        <v>22969</v>
      </c>
      <c r="D131" s="376" t="s">
        <v>839</v>
      </c>
      <c r="E131" s="376" t="s">
        <v>839</v>
      </c>
      <c r="F131" s="376" t="s">
        <v>839</v>
      </c>
      <c r="G131" s="376" t="s">
        <v>839</v>
      </c>
      <c r="H131" s="376" t="s">
        <v>839</v>
      </c>
      <c r="I131" s="376">
        <v>8300</v>
      </c>
      <c r="J131" s="376">
        <v>8300</v>
      </c>
      <c r="K131" s="376" t="s">
        <v>839</v>
      </c>
      <c r="L131" s="376" t="s">
        <v>839</v>
      </c>
      <c r="M131" s="376" t="s">
        <v>839</v>
      </c>
      <c r="N131" s="376">
        <v>2046</v>
      </c>
      <c r="O131" s="376">
        <v>2046</v>
      </c>
      <c r="P131" s="376" t="s">
        <v>839</v>
      </c>
      <c r="Q131" s="376" t="s">
        <v>839</v>
      </c>
      <c r="R131" s="376" t="s">
        <v>839</v>
      </c>
      <c r="S131" s="376">
        <v>401898</v>
      </c>
      <c r="T131" s="376" t="s">
        <v>839</v>
      </c>
      <c r="U131" s="376" t="s">
        <v>839</v>
      </c>
      <c r="V131" s="376" t="s">
        <v>839</v>
      </c>
      <c r="W131" s="381" t="s">
        <v>79</v>
      </c>
    </row>
    <row r="132" spans="1:23" s="376" customFormat="1" ht="9.75" customHeight="1" x14ac:dyDescent="0.15">
      <c r="A132" s="756" t="s">
        <v>681</v>
      </c>
      <c r="B132" s="376" t="s">
        <v>839</v>
      </c>
      <c r="C132" s="376" t="s">
        <v>839</v>
      </c>
      <c r="D132" s="376" t="s">
        <v>839</v>
      </c>
      <c r="E132" s="376" t="s">
        <v>839</v>
      </c>
      <c r="F132" s="376" t="s">
        <v>839</v>
      </c>
      <c r="G132" s="376" t="s">
        <v>839</v>
      </c>
      <c r="H132" s="376" t="s">
        <v>839</v>
      </c>
      <c r="I132" s="376" t="s">
        <v>839</v>
      </c>
      <c r="J132" s="376" t="s">
        <v>839</v>
      </c>
      <c r="K132" s="376" t="s">
        <v>839</v>
      </c>
      <c r="L132" s="376" t="s">
        <v>839</v>
      </c>
      <c r="M132" s="376" t="s">
        <v>839</v>
      </c>
      <c r="N132" s="376">
        <v>1920</v>
      </c>
      <c r="O132" s="376">
        <v>1920</v>
      </c>
      <c r="P132" s="376" t="s">
        <v>839</v>
      </c>
      <c r="Q132" s="376" t="s">
        <v>839</v>
      </c>
      <c r="R132" s="376" t="s">
        <v>839</v>
      </c>
      <c r="S132" s="376">
        <v>692805</v>
      </c>
      <c r="T132" s="376" t="s">
        <v>839</v>
      </c>
      <c r="U132" s="376" t="s">
        <v>839</v>
      </c>
      <c r="V132" s="376" t="s">
        <v>839</v>
      </c>
      <c r="W132" s="381" t="s">
        <v>92</v>
      </c>
    </row>
    <row r="133" spans="1:23" s="376" customFormat="1" ht="9.75" customHeight="1" x14ac:dyDescent="0.15">
      <c r="A133" s="756" t="s">
        <v>682</v>
      </c>
      <c r="B133" s="376" t="s">
        <v>839</v>
      </c>
      <c r="C133" s="376">
        <v>47650</v>
      </c>
      <c r="D133" s="376" t="s">
        <v>839</v>
      </c>
      <c r="E133" s="376" t="s">
        <v>839</v>
      </c>
      <c r="F133" s="376" t="s">
        <v>839</v>
      </c>
      <c r="G133" s="376" t="s">
        <v>839</v>
      </c>
      <c r="H133" s="376" t="s">
        <v>839</v>
      </c>
      <c r="I133" s="376">
        <v>20760</v>
      </c>
      <c r="J133" s="376">
        <v>20760</v>
      </c>
      <c r="K133" s="376" t="s">
        <v>839</v>
      </c>
      <c r="L133" s="376" t="s">
        <v>839</v>
      </c>
      <c r="M133" s="376" t="s">
        <v>839</v>
      </c>
      <c r="N133" s="376">
        <v>2690</v>
      </c>
      <c r="O133" s="376">
        <v>2690</v>
      </c>
      <c r="P133" s="376" t="s">
        <v>839</v>
      </c>
      <c r="Q133" s="376" t="s">
        <v>839</v>
      </c>
      <c r="R133" s="376" t="s">
        <v>839</v>
      </c>
      <c r="S133" s="376">
        <v>568501</v>
      </c>
      <c r="T133" s="376">
        <v>33902</v>
      </c>
      <c r="U133" s="376" t="s">
        <v>839</v>
      </c>
      <c r="V133" s="376">
        <v>33902</v>
      </c>
      <c r="W133" s="381" t="s">
        <v>93</v>
      </c>
    </row>
    <row r="134" spans="1:23" s="376" customFormat="1" ht="9.75" customHeight="1" x14ac:dyDescent="0.15">
      <c r="A134" s="756" t="s">
        <v>683</v>
      </c>
      <c r="B134" s="376" t="s">
        <v>839</v>
      </c>
      <c r="C134" s="376">
        <v>39323</v>
      </c>
      <c r="D134" s="376" t="s">
        <v>839</v>
      </c>
      <c r="E134" s="376" t="s">
        <v>839</v>
      </c>
      <c r="F134" s="376" t="s">
        <v>839</v>
      </c>
      <c r="G134" s="376" t="s">
        <v>839</v>
      </c>
      <c r="H134" s="376" t="s">
        <v>839</v>
      </c>
      <c r="I134" s="376">
        <v>26210</v>
      </c>
      <c r="J134" s="376">
        <v>26210</v>
      </c>
      <c r="K134" s="376" t="s">
        <v>839</v>
      </c>
      <c r="L134" s="376" t="s">
        <v>839</v>
      </c>
      <c r="M134" s="376" t="s">
        <v>839</v>
      </c>
      <c r="N134" s="376">
        <v>2428</v>
      </c>
      <c r="O134" s="376">
        <v>2428</v>
      </c>
      <c r="P134" s="376" t="s">
        <v>839</v>
      </c>
      <c r="Q134" s="376" t="s">
        <v>839</v>
      </c>
      <c r="R134" s="376" t="s">
        <v>839</v>
      </c>
      <c r="S134" s="376">
        <v>725999</v>
      </c>
      <c r="T134" s="376">
        <v>144163</v>
      </c>
      <c r="U134" s="376" t="s">
        <v>839</v>
      </c>
      <c r="V134" s="376" t="s">
        <v>839</v>
      </c>
      <c r="W134" s="381" t="s">
        <v>94</v>
      </c>
    </row>
    <row r="135" spans="1:23" s="376" customFormat="1" ht="9.75" customHeight="1" x14ac:dyDescent="0.15">
      <c r="A135" s="756" t="s">
        <v>684</v>
      </c>
      <c r="B135" s="376" t="s">
        <v>839</v>
      </c>
      <c r="C135" s="376" t="s">
        <v>839</v>
      </c>
      <c r="D135" s="376" t="s">
        <v>839</v>
      </c>
      <c r="E135" s="376" t="s">
        <v>839</v>
      </c>
      <c r="F135" s="376" t="s">
        <v>839</v>
      </c>
      <c r="G135" s="376" t="s">
        <v>839</v>
      </c>
      <c r="H135" s="376" t="s">
        <v>839</v>
      </c>
      <c r="I135" s="376">
        <v>26170</v>
      </c>
      <c r="J135" s="376">
        <v>26170</v>
      </c>
      <c r="K135" s="376" t="s">
        <v>839</v>
      </c>
      <c r="L135" s="376" t="s">
        <v>839</v>
      </c>
      <c r="M135" s="376" t="s">
        <v>839</v>
      </c>
      <c r="N135" s="376">
        <v>1644</v>
      </c>
      <c r="O135" s="376">
        <v>1644</v>
      </c>
      <c r="P135" s="376" t="s">
        <v>839</v>
      </c>
      <c r="Q135" s="376" t="s">
        <v>839</v>
      </c>
      <c r="R135" s="376" t="s">
        <v>839</v>
      </c>
      <c r="S135" s="376">
        <v>820852</v>
      </c>
      <c r="T135" s="376">
        <v>171433</v>
      </c>
      <c r="U135" s="376" t="s">
        <v>839</v>
      </c>
      <c r="V135" s="376" t="s">
        <v>839</v>
      </c>
      <c r="W135" s="381" t="s">
        <v>95</v>
      </c>
    </row>
    <row r="136" spans="1:23" s="376" customFormat="1" ht="9.75" customHeight="1" x14ac:dyDescent="0.15">
      <c r="A136" s="756" t="s">
        <v>685</v>
      </c>
      <c r="B136" s="376" t="s">
        <v>839</v>
      </c>
      <c r="C136" s="376" t="s">
        <v>839</v>
      </c>
      <c r="D136" s="376" t="s">
        <v>839</v>
      </c>
      <c r="E136" s="376" t="s">
        <v>839</v>
      </c>
      <c r="F136" s="376" t="s">
        <v>839</v>
      </c>
      <c r="G136" s="376" t="s">
        <v>839</v>
      </c>
      <c r="H136" s="376" t="s">
        <v>839</v>
      </c>
      <c r="I136" s="376">
        <v>25780</v>
      </c>
      <c r="J136" s="376">
        <v>25780</v>
      </c>
      <c r="K136" s="376" t="s">
        <v>839</v>
      </c>
      <c r="L136" s="376" t="s">
        <v>839</v>
      </c>
      <c r="M136" s="376" t="s">
        <v>839</v>
      </c>
      <c r="N136" s="376">
        <v>2244</v>
      </c>
      <c r="O136" s="376">
        <v>2244</v>
      </c>
      <c r="P136" s="376" t="s">
        <v>839</v>
      </c>
      <c r="Q136" s="376" t="s">
        <v>839</v>
      </c>
      <c r="R136" s="376" t="s">
        <v>839</v>
      </c>
      <c r="S136" s="376">
        <v>750697</v>
      </c>
      <c r="T136" s="376">
        <v>141665</v>
      </c>
      <c r="U136" s="376">
        <v>49785</v>
      </c>
      <c r="V136" s="376" t="s">
        <v>839</v>
      </c>
      <c r="W136" s="381" t="s">
        <v>96</v>
      </c>
    </row>
    <row r="137" spans="1:23" s="376" customFormat="1" ht="9.75" customHeight="1" x14ac:dyDescent="0.15">
      <c r="A137" s="756" t="s">
        <v>686</v>
      </c>
      <c r="B137" s="376" t="s">
        <v>839</v>
      </c>
      <c r="C137" s="376">
        <v>47600</v>
      </c>
      <c r="D137" s="376" t="s">
        <v>839</v>
      </c>
      <c r="E137" s="376" t="s">
        <v>839</v>
      </c>
      <c r="F137" s="376" t="s">
        <v>839</v>
      </c>
      <c r="G137" s="376" t="s">
        <v>839</v>
      </c>
      <c r="H137" s="376" t="s">
        <v>839</v>
      </c>
      <c r="I137" s="376" t="s">
        <v>839</v>
      </c>
      <c r="J137" s="376" t="s">
        <v>839</v>
      </c>
      <c r="K137" s="376" t="s">
        <v>839</v>
      </c>
      <c r="L137" s="376" t="s">
        <v>839</v>
      </c>
      <c r="M137" s="376" t="s">
        <v>839</v>
      </c>
      <c r="N137" s="376">
        <v>1672</v>
      </c>
      <c r="O137" s="376">
        <v>1672</v>
      </c>
      <c r="P137" s="376" t="s">
        <v>839</v>
      </c>
      <c r="Q137" s="376" t="s">
        <v>839</v>
      </c>
      <c r="R137" s="376" t="s">
        <v>839</v>
      </c>
      <c r="S137" s="376">
        <v>551560</v>
      </c>
      <c r="T137" s="376" t="s">
        <v>839</v>
      </c>
      <c r="U137" s="376" t="s">
        <v>839</v>
      </c>
      <c r="V137" s="376" t="s">
        <v>839</v>
      </c>
      <c r="W137" s="381" t="s">
        <v>80</v>
      </c>
    </row>
    <row r="138" spans="1:23" s="376" customFormat="1" ht="9.75" customHeight="1" x14ac:dyDescent="0.15">
      <c r="A138" s="756" t="s">
        <v>687</v>
      </c>
      <c r="B138" s="376" t="s">
        <v>839</v>
      </c>
      <c r="C138" s="376" t="s">
        <v>839</v>
      </c>
      <c r="D138" s="376" t="s">
        <v>839</v>
      </c>
      <c r="E138" s="376" t="s">
        <v>839</v>
      </c>
      <c r="F138" s="376" t="s">
        <v>839</v>
      </c>
      <c r="G138" s="376" t="s">
        <v>839</v>
      </c>
      <c r="H138" s="376" t="s">
        <v>839</v>
      </c>
      <c r="I138" s="376">
        <v>47500</v>
      </c>
      <c r="J138" s="376">
        <v>47500</v>
      </c>
      <c r="K138" s="376" t="s">
        <v>839</v>
      </c>
      <c r="L138" s="376" t="s">
        <v>839</v>
      </c>
      <c r="M138" s="376" t="s">
        <v>839</v>
      </c>
      <c r="N138" s="376">
        <v>1466</v>
      </c>
      <c r="O138" s="376">
        <v>1466</v>
      </c>
      <c r="P138" s="376" t="s">
        <v>839</v>
      </c>
      <c r="Q138" s="376" t="s">
        <v>839</v>
      </c>
      <c r="R138" s="376" t="s">
        <v>839</v>
      </c>
      <c r="S138" s="376">
        <v>436788</v>
      </c>
      <c r="T138" s="376" t="s">
        <v>839</v>
      </c>
      <c r="U138" s="376" t="s">
        <v>839</v>
      </c>
      <c r="V138" s="376" t="s">
        <v>839</v>
      </c>
      <c r="W138" s="381" t="s">
        <v>81</v>
      </c>
    </row>
    <row r="139" spans="1:23" s="376" customFormat="1" ht="9.75" customHeight="1" x14ac:dyDescent="0.15">
      <c r="A139" s="756" t="s">
        <v>688</v>
      </c>
      <c r="B139" s="376" t="s">
        <v>839</v>
      </c>
      <c r="C139" s="376" t="s">
        <v>839</v>
      </c>
      <c r="D139" s="376" t="s">
        <v>839</v>
      </c>
      <c r="E139" s="376" t="s">
        <v>839</v>
      </c>
      <c r="F139" s="376" t="s">
        <v>839</v>
      </c>
      <c r="G139" s="376" t="s">
        <v>839</v>
      </c>
      <c r="H139" s="376" t="s">
        <v>839</v>
      </c>
      <c r="I139" s="376" t="s">
        <v>839</v>
      </c>
      <c r="J139" s="376" t="s">
        <v>839</v>
      </c>
      <c r="K139" s="376" t="s">
        <v>839</v>
      </c>
      <c r="L139" s="376" t="s">
        <v>839</v>
      </c>
      <c r="M139" s="376" t="s">
        <v>839</v>
      </c>
      <c r="N139" s="376">
        <v>1770</v>
      </c>
      <c r="O139" s="376">
        <v>1770</v>
      </c>
      <c r="P139" s="376" t="s">
        <v>839</v>
      </c>
      <c r="Q139" s="376" t="s">
        <v>839</v>
      </c>
      <c r="R139" s="376" t="s">
        <v>839</v>
      </c>
      <c r="S139" s="376">
        <v>521848</v>
      </c>
      <c r="T139" s="376" t="s">
        <v>839</v>
      </c>
      <c r="U139" s="376" t="s">
        <v>839</v>
      </c>
      <c r="V139" s="376" t="s">
        <v>839</v>
      </c>
      <c r="W139" s="381" t="s">
        <v>82</v>
      </c>
    </row>
    <row r="140" spans="1:23" s="376" customFormat="1" ht="9.75" customHeight="1" x14ac:dyDescent="0.15">
      <c r="A140" s="756" t="s">
        <v>849</v>
      </c>
      <c r="B140" s="376" t="s">
        <v>839</v>
      </c>
      <c r="C140" s="376">
        <v>24460</v>
      </c>
      <c r="D140" s="376" t="s">
        <v>839</v>
      </c>
      <c r="E140" s="376" t="s">
        <v>839</v>
      </c>
      <c r="F140" s="376" t="s">
        <v>839</v>
      </c>
      <c r="G140" s="376" t="s">
        <v>839</v>
      </c>
      <c r="H140" s="376" t="s">
        <v>839</v>
      </c>
      <c r="I140" s="376">
        <v>42848</v>
      </c>
      <c r="J140" s="376">
        <v>42848</v>
      </c>
      <c r="K140" s="376" t="s">
        <v>839</v>
      </c>
      <c r="L140" s="376" t="s">
        <v>839</v>
      </c>
      <c r="M140" s="376" t="s">
        <v>839</v>
      </c>
      <c r="N140" s="376">
        <v>1640</v>
      </c>
      <c r="O140" s="376">
        <v>1640</v>
      </c>
      <c r="P140" s="376" t="s">
        <v>839</v>
      </c>
      <c r="Q140" s="376" t="s">
        <v>839</v>
      </c>
      <c r="R140" s="376" t="s">
        <v>839</v>
      </c>
      <c r="S140" s="376">
        <v>473627</v>
      </c>
      <c r="T140" s="376" t="s">
        <v>839</v>
      </c>
      <c r="U140" s="376" t="s">
        <v>839</v>
      </c>
      <c r="V140" s="376" t="s">
        <v>839</v>
      </c>
      <c r="W140" s="381" t="s">
        <v>850</v>
      </c>
    </row>
    <row r="141" spans="1:23" s="376" customFormat="1" ht="9.75" customHeight="1" x14ac:dyDescent="0.15">
      <c r="A141" s="756" t="s">
        <v>690</v>
      </c>
      <c r="B141" s="376" t="s">
        <v>839</v>
      </c>
      <c r="C141" s="376">
        <v>46400</v>
      </c>
      <c r="D141" s="376" t="s">
        <v>839</v>
      </c>
      <c r="E141" s="376" t="s">
        <v>839</v>
      </c>
      <c r="F141" s="376" t="s">
        <v>839</v>
      </c>
      <c r="G141" s="376">
        <v>47600</v>
      </c>
      <c r="H141" s="376">
        <v>47600</v>
      </c>
      <c r="I141" s="376">
        <v>28250</v>
      </c>
      <c r="J141" s="376">
        <v>28250</v>
      </c>
      <c r="K141" s="376" t="s">
        <v>839</v>
      </c>
      <c r="L141" s="376" t="s">
        <v>839</v>
      </c>
      <c r="M141" s="376" t="s">
        <v>839</v>
      </c>
      <c r="N141" s="376">
        <v>1636</v>
      </c>
      <c r="O141" s="376">
        <v>1636</v>
      </c>
      <c r="P141" s="376" t="s">
        <v>839</v>
      </c>
      <c r="Q141" s="376" t="s">
        <v>839</v>
      </c>
      <c r="R141" s="376" t="s">
        <v>839</v>
      </c>
      <c r="S141" s="376">
        <v>576936</v>
      </c>
      <c r="T141" s="376" t="s">
        <v>839</v>
      </c>
      <c r="U141" s="376" t="s">
        <v>839</v>
      </c>
      <c r="V141" s="376" t="s">
        <v>839</v>
      </c>
      <c r="W141" s="381" t="s">
        <v>77</v>
      </c>
    </row>
    <row r="142" spans="1:23" s="376" customFormat="1" ht="9.75" customHeight="1" x14ac:dyDescent="0.15">
      <c r="A142" s="757" t="s">
        <v>691</v>
      </c>
      <c r="B142" s="380" t="s">
        <v>839</v>
      </c>
      <c r="C142" s="379" t="s">
        <v>839</v>
      </c>
      <c r="D142" s="379">
        <v>38500</v>
      </c>
      <c r="E142" s="379" t="s">
        <v>839</v>
      </c>
      <c r="F142" s="379" t="s">
        <v>839</v>
      </c>
      <c r="G142" s="379" t="s">
        <v>839</v>
      </c>
      <c r="H142" s="379" t="s">
        <v>839</v>
      </c>
      <c r="I142" s="379">
        <v>22800</v>
      </c>
      <c r="J142" s="379">
        <v>22800</v>
      </c>
      <c r="K142" s="379" t="s">
        <v>839</v>
      </c>
      <c r="L142" s="379" t="s">
        <v>839</v>
      </c>
      <c r="M142" s="379" t="s">
        <v>839</v>
      </c>
      <c r="N142" s="379">
        <v>1756</v>
      </c>
      <c r="O142" s="379">
        <v>1756</v>
      </c>
      <c r="P142" s="379" t="s">
        <v>839</v>
      </c>
      <c r="Q142" s="379" t="s">
        <v>839</v>
      </c>
      <c r="R142" s="379" t="s">
        <v>839</v>
      </c>
      <c r="S142" s="379">
        <v>713112</v>
      </c>
      <c r="T142" s="379">
        <v>41480</v>
      </c>
      <c r="U142" s="379" t="s">
        <v>839</v>
      </c>
      <c r="V142" s="379" t="s">
        <v>839</v>
      </c>
      <c r="W142" s="377" t="s">
        <v>78</v>
      </c>
    </row>
    <row r="143" spans="1:23" ht="12" customHeight="1" x14ac:dyDescent="0.15"/>
    <row r="144" spans="1:23" ht="12" customHeight="1" x14ac:dyDescent="0.15"/>
    <row r="145" spans="1:23" ht="12" customHeight="1" x14ac:dyDescent="0.15">
      <c r="K145" s="391" t="s">
        <v>97</v>
      </c>
      <c r="V145" s="394" t="s">
        <v>984</v>
      </c>
    </row>
    <row r="146" spans="1:23" s="387" customFormat="1" ht="21" customHeight="1" x14ac:dyDescent="0.15">
      <c r="A146" s="1023" t="s">
        <v>185</v>
      </c>
      <c r="B146" s="390" t="s">
        <v>353</v>
      </c>
      <c r="C146" s="389"/>
      <c r="D146" s="389"/>
      <c r="E146" s="389"/>
      <c r="F146" s="389"/>
      <c r="G146" s="389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  <c r="T146" s="389"/>
      <c r="U146" s="389"/>
      <c r="V146" s="389"/>
      <c r="W146" s="1026" t="s">
        <v>83</v>
      </c>
    </row>
    <row r="147" spans="1:23" s="387" customFormat="1" ht="21" customHeight="1" x14ac:dyDescent="0.15">
      <c r="A147" s="1024"/>
      <c r="B147" s="390" t="s">
        <v>274</v>
      </c>
      <c r="C147" s="389"/>
      <c r="D147" s="389"/>
      <c r="E147" s="389"/>
      <c r="F147" s="389"/>
      <c r="G147" s="732"/>
      <c r="H147" s="733" t="s">
        <v>273</v>
      </c>
      <c r="I147" s="732"/>
      <c r="J147" s="733" t="s">
        <v>272</v>
      </c>
      <c r="K147" s="389"/>
      <c r="L147" s="389"/>
      <c r="M147" s="389"/>
      <c r="N147" s="732"/>
      <c r="O147" s="733" t="s">
        <v>271</v>
      </c>
      <c r="P147" s="389"/>
      <c r="Q147" s="389"/>
      <c r="R147" s="732"/>
      <c r="S147" s="733" t="s">
        <v>256</v>
      </c>
      <c r="T147" s="732"/>
      <c r="U147" s="733" t="s">
        <v>255</v>
      </c>
      <c r="V147" s="389"/>
      <c r="W147" s="1027"/>
    </row>
    <row r="148" spans="1:23" s="387" customFormat="1" ht="52.5" customHeight="1" x14ac:dyDescent="0.15">
      <c r="A148" s="1025"/>
      <c r="B148" s="388" t="s">
        <v>291</v>
      </c>
      <c r="C148" s="388" t="s">
        <v>269</v>
      </c>
      <c r="D148" s="388" t="s">
        <v>268</v>
      </c>
      <c r="E148" s="388" t="s">
        <v>318</v>
      </c>
      <c r="F148" s="388" t="s">
        <v>266</v>
      </c>
      <c r="G148" s="393" t="s">
        <v>977</v>
      </c>
      <c r="H148" s="735" t="s">
        <v>106</v>
      </c>
      <c r="I148" s="393" t="s">
        <v>979</v>
      </c>
      <c r="J148" s="735" t="s">
        <v>980</v>
      </c>
      <c r="K148" s="388" t="s">
        <v>1005</v>
      </c>
      <c r="L148" s="388" t="s">
        <v>258</v>
      </c>
      <c r="M148" s="388" t="s">
        <v>280</v>
      </c>
      <c r="N148" s="388" t="s">
        <v>1006</v>
      </c>
      <c r="O148" s="735" t="s">
        <v>982</v>
      </c>
      <c r="P148" s="388" t="s">
        <v>333</v>
      </c>
      <c r="Q148" s="388" t="s">
        <v>257</v>
      </c>
      <c r="R148" s="388" t="s">
        <v>332</v>
      </c>
      <c r="S148" s="735" t="s">
        <v>983</v>
      </c>
      <c r="T148" s="388" t="s">
        <v>985</v>
      </c>
      <c r="U148" s="735" t="s">
        <v>986</v>
      </c>
      <c r="V148" s="392" t="s">
        <v>250</v>
      </c>
      <c r="W148" s="1028"/>
    </row>
    <row r="149" spans="1:23" s="376" customFormat="1" ht="9.75" customHeight="1" x14ac:dyDescent="0.15">
      <c r="A149" s="755" t="s">
        <v>838</v>
      </c>
      <c r="B149" s="386">
        <v>168575</v>
      </c>
      <c r="C149" s="385" t="s">
        <v>839</v>
      </c>
      <c r="D149" s="385" t="s">
        <v>839</v>
      </c>
      <c r="E149" s="385">
        <v>7500</v>
      </c>
      <c r="F149" s="385">
        <v>46500</v>
      </c>
      <c r="G149" s="385" t="s">
        <v>839</v>
      </c>
      <c r="H149" s="385" t="s">
        <v>839</v>
      </c>
      <c r="I149" s="385" t="s">
        <v>839</v>
      </c>
      <c r="J149" s="385">
        <v>896842</v>
      </c>
      <c r="K149" s="385" t="s">
        <v>839</v>
      </c>
      <c r="L149" s="385">
        <v>896842</v>
      </c>
      <c r="M149" s="385" t="s">
        <v>839</v>
      </c>
      <c r="N149" s="385" t="s">
        <v>839</v>
      </c>
      <c r="O149" s="385">
        <v>154819</v>
      </c>
      <c r="P149" s="385">
        <v>40650</v>
      </c>
      <c r="Q149" s="385" t="s">
        <v>839</v>
      </c>
      <c r="R149" s="385">
        <v>114169</v>
      </c>
      <c r="S149" s="385" t="s">
        <v>839</v>
      </c>
      <c r="T149" s="385" t="s">
        <v>839</v>
      </c>
      <c r="U149" s="385">
        <v>946502</v>
      </c>
      <c r="V149" s="385">
        <v>735403</v>
      </c>
      <c r="W149" s="383" t="s">
        <v>457</v>
      </c>
    </row>
    <row r="150" spans="1:23" s="376" customFormat="1" ht="9.75" customHeight="1" x14ac:dyDescent="0.15">
      <c r="A150" s="756" t="s">
        <v>669</v>
      </c>
      <c r="B150" s="376">
        <v>149675</v>
      </c>
      <c r="C150" s="376" t="s">
        <v>839</v>
      </c>
      <c r="D150" s="376">
        <v>50000</v>
      </c>
      <c r="E150" s="376">
        <v>16000</v>
      </c>
      <c r="F150" s="376" t="s">
        <v>839</v>
      </c>
      <c r="G150" s="376" t="s">
        <v>839</v>
      </c>
      <c r="H150" s="376" t="s">
        <v>839</v>
      </c>
      <c r="I150" s="376" t="s">
        <v>839</v>
      </c>
      <c r="J150" s="376">
        <v>1619878</v>
      </c>
      <c r="K150" s="376">
        <v>63300</v>
      </c>
      <c r="L150" s="376">
        <v>1510278</v>
      </c>
      <c r="M150" s="376">
        <v>46300</v>
      </c>
      <c r="N150" s="376" t="s">
        <v>839</v>
      </c>
      <c r="O150" s="376">
        <v>220829</v>
      </c>
      <c r="P150" s="376">
        <v>49203</v>
      </c>
      <c r="Q150" s="376">
        <v>21650</v>
      </c>
      <c r="R150" s="376">
        <v>149976</v>
      </c>
      <c r="S150" s="376" t="s">
        <v>839</v>
      </c>
      <c r="T150" s="376" t="s">
        <v>839</v>
      </c>
      <c r="U150" s="376">
        <v>946409</v>
      </c>
      <c r="V150" s="376">
        <v>824243</v>
      </c>
      <c r="W150" s="381" t="s">
        <v>512</v>
      </c>
    </row>
    <row r="151" spans="1:23" s="376" customFormat="1" ht="9.75" customHeight="1" x14ac:dyDescent="0.15">
      <c r="A151" s="756" t="s">
        <v>670</v>
      </c>
      <c r="B151" s="376">
        <v>47600</v>
      </c>
      <c r="C151" s="376">
        <v>8340</v>
      </c>
      <c r="D151" s="376" t="s">
        <v>839</v>
      </c>
      <c r="E151" s="376" t="s">
        <v>839</v>
      </c>
      <c r="F151" s="376" t="s">
        <v>839</v>
      </c>
      <c r="G151" s="376" t="s">
        <v>839</v>
      </c>
      <c r="H151" s="376">
        <v>129080</v>
      </c>
      <c r="I151" s="376">
        <v>129080</v>
      </c>
      <c r="J151" s="376">
        <v>747389</v>
      </c>
      <c r="K151" s="376" t="s">
        <v>839</v>
      </c>
      <c r="L151" s="376">
        <v>747389</v>
      </c>
      <c r="M151" s="376" t="s">
        <v>839</v>
      </c>
      <c r="N151" s="376" t="s">
        <v>839</v>
      </c>
      <c r="O151" s="376" t="s">
        <v>839</v>
      </c>
      <c r="P151" s="376" t="s">
        <v>839</v>
      </c>
      <c r="Q151" s="376" t="s">
        <v>839</v>
      </c>
      <c r="R151" s="376" t="s">
        <v>839</v>
      </c>
      <c r="S151" s="376" t="s">
        <v>839</v>
      </c>
      <c r="T151" s="376" t="s">
        <v>839</v>
      </c>
      <c r="U151" s="376">
        <v>215645</v>
      </c>
      <c r="V151" s="376">
        <v>153894</v>
      </c>
      <c r="W151" s="381" t="s">
        <v>620</v>
      </c>
    </row>
    <row r="152" spans="1:23" s="376" customFormat="1" ht="9.75" customHeight="1" x14ac:dyDescent="0.15">
      <c r="A152" s="756" t="s">
        <v>671</v>
      </c>
      <c r="B152" s="376">
        <v>160014</v>
      </c>
      <c r="C152" s="376">
        <v>85352</v>
      </c>
      <c r="D152" s="376">
        <v>120011</v>
      </c>
      <c r="E152" s="376" t="s">
        <v>839</v>
      </c>
      <c r="F152" s="376" t="s">
        <v>839</v>
      </c>
      <c r="G152" s="376" t="s">
        <v>839</v>
      </c>
      <c r="H152" s="376" t="s">
        <v>839</v>
      </c>
      <c r="I152" s="376" t="s">
        <v>839</v>
      </c>
      <c r="J152" s="376">
        <v>542189</v>
      </c>
      <c r="K152" s="376" t="s">
        <v>839</v>
      </c>
      <c r="L152" s="376">
        <v>542189</v>
      </c>
      <c r="M152" s="376" t="s">
        <v>839</v>
      </c>
      <c r="N152" s="376" t="s">
        <v>839</v>
      </c>
      <c r="O152" s="376" t="s">
        <v>839</v>
      </c>
      <c r="P152" s="376" t="s">
        <v>839</v>
      </c>
      <c r="Q152" s="376" t="s">
        <v>839</v>
      </c>
      <c r="R152" s="376" t="s">
        <v>839</v>
      </c>
      <c r="S152" s="376">
        <v>22600</v>
      </c>
      <c r="T152" s="376">
        <v>22600</v>
      </c>
      <c r="U152" s="376">
        <v>144218</v>
      </c>
      <c r="V152" s="376">
        <v>105267</v>
      </c>
      <c r="W152" s="381" t="s">
        <v>672</v>
      </c>
    </row>
    <row r="153" spans="1:23" s="376" customFormat="1" ht="9.75" customHeight="1" x14ac:dyDescent="0.15">
      <c r="A153" s="756" t="s">
        <v>840</v>
      </c>
      <c r="B153" s="376">
        <v>167166</v>
      </c>
      <c r="C153" s="376">
        <v>178382</v>
      </c>
      <c r="D153" s="376">
        <v>99928</v>
      </c>
      <c r="E153" s="376" t="s">
        <v>839</v>
      </c>
      <c r="F153" s="376" t="s">
        <v>839</v>
      </c>
      <c r="G153" s="376" t="s">
        <v>839</v>
      </c>
      <c r="H153" s="376">
        <v>72400</v>
      </c>
      <c r="I153" s="376">
        <v>72400</v>
      </c>
      <c r="J153" s="376">
        <v>1166887</v>
      </c>
      <c r="K153" s="376">
        <v>11502</v>
      </c>
      <c r="L153" s="376">
        <v>1105400</v>
      </c>
      <c r="M153" s="376" t="s">
        <v>839</v>
      </c>
      <c r="N153" s="376">
        <v>49985</v>
      </c>
      <c r="O153" s="376">
        <v>50000</v>
      </c>
      <c r="P153" s="376" t="s">
        <v>839</v>
      </c>
      <c r="Q153" s="376" t="s">
        <v>839</v>
      </c>
      <c r="R153" s="376">
        <v>50000</v>
      </c>
      <c r="S153" s="376">
        <v>47468</v>
      </c>
      <c r="T153" s="376">
        <v>47468</v>
      </c>
      <c r="U153" s="376">
        <v>206364</v>
      </c>
      <c r="V153" s="376">
        <v>195656</v>
      </c>
      <c r="W153" s="381" t="s">
        <v>841</v>
      </c>
    </row>
    <row r="154" spans="1:23" s="376" customFormat="1" ht="6.75" customHeight="1" x14ac:dyDescent="0.15">
      <c r="A154" s="787"/>
      <c r="W154" s="381"/>
    </row>
    <row r="155" spans="1:23" s="376" customFormat="1" ht="9.75" customHeight="1" x14ac:dyDescent="0.15">
      <c r="A155" s="756" t="s">
        <v>842</v>
      </c>
      <c r="B155" s="376">
        <v>160014</v>
      </c>
      <c r="C155" s="376">
        <v>123352</v>
      </c>
      <c r="D155" s="376">
        <v>120011</v>
      </c>
      <c r="E155" s="376" t="s">
        <v>839</v>
      </c>
      <c r="F155" s="376" t="s">
        <v>839</v>
      </c>
      <c r="G155" s="376" t="s">
        <v>839</v>
      </c>
      <c r="H155" s="376" t="s">
        <v>839</v>
      </c>
      <c r="I155" s="376" t="s">
        <v>839</v>
      </c>
      <c r="J155" s="376">
        <v>630066</v>
      </c>
      <c r="K155" s="376" t="s">
        <v>839</v>
      </c>
      <c r="L155" s="376">
        <v>630066</v>
      </c>
      <c r="M155" s="376" t="s">
        <v>839</v>
      </c>
      <c r="N155" s="376" t="s">
        <v>839</v>
      </c>
      <c r="O155" s="376" t="s">
        <v>839</v>
      </c>
      <c r="P155" s="376" t="s">
        <v>839</v>
      </c>
      <c r="Q155" s="376" t="s">
        <v>839</v>
      </c>
      <c r="R155" s="376" t="s">
        <v>839</v>
      </c>
      <c r="S155" s="376">
        <v>70068</v>
      </c>
      <c r="T155" s="376">
        <v>70068</v>
      </c>
      <c r="U155" s="376">
        <v>196667</v>
      </c>
      <c r="V155" s="376">
        <v>166073</v>
      </c>
      <c r="W155" s="381" t="s">
        <v>673</v>
      </c>
    </row>
    <row r="156" spans="1:23" s="376" customFormat="1" ht="9.75" customHeight="1" x14ac:dyDescent="0.15">
      <c r="A156" s="756" t="s">
        <v>843</v>
      </c>
      <c r="B156" s="376">
        <v>208568</v>
      </c>
      <c r="C156" s="376">
        <v>140382</v>
      </c>
      <c r="D156" s="376">
        <v>99928</v>
      </c>
      <c r="E156" s="376" t="s">
        <v>839</v>
      </c>
      <c r="F156" s="376" t="s">
        <v>839</v>
      </c>
      <c r="G156" s="376">
        <v>78</v>
      </c>
      <c r="H156" s="376">
        <v>72400</v>
      </c>
      <c r="I156" s="376">
        <v>72400</v>
      </c>
      <c r="J156" s="376">
        <v>1362727</v>
      </c>
      <c r="K156" s="376">
        <v>61428</v>
      </c>
      <c r="L156" s="376">
        <v>1251314</v>
      </c>
      <c r="M156" s="376" t="s">
        <v>839</v>
      </c>
      <c r="N156" s="376">
        <v>49985</v>
      </c>
      <c r="O156" s="376">
        <v>50000</v>
      </c>
      <c r="P156" s="376" t="s">
        <v>839</v>
      </c>
      <c r="Q156" s="376" t="s">
        <v>839</v>
      </c>
      <c r="R156" s="376">
        <v>50000</v>
      </c>
      <c r="S156" s="376" t="s">
        <v>839</v>
      </c>
      <c r="T156" s="376" t="s">
        <v>839</v>
      </c>
      <c r="U156" s="376">
        <v>134850</v>
      </c>
      <c r="V156" s="376">
        <v>134850</v>
      </c>
      <c r="W156" s="381" t="s">
        <v>844</v>
      </c>
    </row>
    <row r="157" spans="1:23" s="376" customFormat="1" ht="6.75" customHeight="1" x14ac:dyDescent="0.15">
      <c r="A157" s="787"/>
      <c r="W157" s="381"/>
    </row>
    <row r="158" spans="1:23" s="376" customFormat="1" ht="9.75" customHeight="1" x14ac:dyDescent="0.15">
      <c r="A158" s="756" t="s">
        <v>845</v>
      </c>
      <c r="B158" s="376" t="s">
        <v>839</v>
      </c>
      <c r="C158" s="376">
        <v>38000</v>
      </c>
      <c r="D158" s="376" t="s">
        <v>839</v>
      </c>
      <c r="E158" s="376" t="s">
        <v>839</v>
      </c>
      <c r="F158" s="376" t="s">
        <v>839</v>
      </c>
      <c r="G158" s="376" t="s">
        <v>839</v>
      </c>
      <c r="H158" s="376" t="s">
        <v>839</v>
      </c>
      <c r="I158" s="376" t="s">
        <v>839</v>
      </c>
      <c r="J158" s="376">
        <v>88866</v>
      </c>
      <c r="K158" s="376" t="s">
        <v>839</v>
      </c>
      <c r="L158" s="376">
        <v>88866</v>
      </c>
      <c r="M158" s="376" t="s">
        <v>839</v>
      </c>
      <c r="N158" s="376" t="s">
        <v>839</v>
      </c>
      <c r="O158" s="376" t="s">
        <v>839</v>
      </c>
      <c r="P158" s="376" t="s">
        <v>839</v>
      </c>
      <c r="Q158" s="376" t="s">
        <v>839</v>
      </c>
      <c r="R158" s="376" t="s">
        <v>839</v>
      </c>
      <c r="S158" s="376">
        <v>47468</v>
      </c>
      <c r="T158" s="376">
        <v>47468</v>
      </c>
      <c r="U158" s="376">
        <v>71514</v>
      </c>
      <c r="V158" s="376">
        <v>60806</v>
      </c>
      <c r="W158" s="381" t="s">
        <v>677</v>
      </c>
    </row>
    <row r="159" spans="1:23" s="376" customFormat="1" ht="9.75" customHeight="1" x14ac:dyDescent="0.15">
      <c r="A159" s="756" t="s">
        <v>674</v>
      </c>
      <c r="B159" s="376" t="s">
        <v>839</v>
      </c>
      <c r="C159" s="376" t="s">
        <v>839</v>
      </c>
      <c r="D159" s="376" t="s">
        <v>839</v>
      </c>
      <c r="E159" s="376" t="s">
        <v>839</v>
      </c>
      <c r="F159" s="376" t="s">
        <v>839</v>
      </c>
      <c r="G159" s="376" t="s">
        <v>839</v>
      </c>
      <c r="H159" s="376" t="s">
        <v>839</v>
      </c>
      <c r="I159" s="376" t="s">
        <v>839</v>
      </c>
      <c r="J159" s="376">
        <v>473694</v>
      </c>
      <c r="K159" s="376">
        <v>11502</v>
      </c>
      <c r="L159" s="376">
        <v>412207</v>
      </c>
      <c r="M159" s="376" t="s">
        <v>839</v>
      </c>
      <c r="N159" s="376">
        <v>49985</v>
      </c>
      <c r="O159" s="376">
        <v>50000</v>
      </c>
      <c r="P159" s="376" t="s">
        <v>839</v>
      </c>
      <c r="Q159" s="376" t="s">
        <v>839</v>
      </c>
      <c r="R159" s="376">
        <v>50000</v>
      </c>
      <c r="S159" s="376" t="s">
        <v>839</v>
      </c>
      <c r="T159" s="376" t="s">
        <v>839</v>
      </c>
      <c r="U159" s="376">
        <v>53914</v>
      </c>
      <c r="V159" s="376">
        <v>53914</v>
      </c>
      <c r="W159" s="381" t="s">
        <v>89</v>
      </c>
    </row>
    <row r="160" spans="1:23" s="376" customFormat="1" ht="9.75" customHeight="1" x14ac:dyDescent="0.15">
      <c r="A160" s="756" t="s">
        <v>675</v>
      </c>
      <c r="B160" s="376">
        <v>167166</v>
      </c>
      <c r="C160" s="376">
        <v>140382</v>
      </c>
      <c r="D160" s="376">
        <v>99928</v>
      </c>
      <c r="E160" s="376" t="s">
        <v>839</v>
      </c>
      <c r="F160" s="376" t="s">
        <v>839</v>
      </c>
      <c r="G160" s="376" t="s">
        <v>839</v>
      </c>
      <c r="H160" s="376">
        <v>72400</v>
      </c>
      <c r="I160" s="376">
        <v>72400</v>
      </c>
      <c r="J160" s="376">
        <v>457506</v>
      </c>
      <c r="K160" s="376" t="s">
        <v>839</v>
      </c>
      <c r="L160" s="376">
        <v>457506</v>
      </c>
      <c r="M160" s="376" t="s">
        <v>839</v>
      </c>
      <c r="N160" s="376" t="s">
        <v>839</v>
      </c>
      <c r="O160" s="376" t="s">
        <v>839</v>
      </c>
      <c r="P160" s="376" t="s">
        <v>839</v>
      </c>
      <c r="Q160" s="376" t="s">
        <v>839</v>
      </c>
      <c r="R160" s="376" t="s">
        <v>839</v>
      </c>
      <c r="S160" s="376" t="s">
        <v>839</v>
      </c>
      <c r="T160" s="376" t="s">
        <v>839</v>
      </c>
      <c r="U160" s="376">
        <v>80936</v>
      </c>
      <c r="V160" s="376">
        <v>80936</v>
      </c>
      <c r="W160" s="381" t="s">
        <v>90</v>
      </c>
    </row>
    <row r="161" spans="1:23" s="376" customFormat="1" ht="9.75" customHeight="1" x14ac:dyDescent="0.15">
      <c r="A161" s="756" t="s">
        <v>676</v>
      </c>
      <c r="B161" s="376" t="s">
        <v>839</v>
      </c>
      <c r="C161" s="376" t="s">
        <v>839</v>
      </c>
      <c r="D161" s="376" t="s">
        <v>839</v>
      </c>
      <c r="E161" s="376" t="s">
        <v>839</v>
      </c>
      <c r="F161" s="376" t="s">
        <v>839</v>
      </c>
      <c r="G161" s="376" t="s">
        <v>839</v>
      </c>
      <c r="H161" s="376" t="s">
        <v>839</v>
      </c>
      <c r="I161" s="376" t="s">
        <v>839</v>
      </c>
      <c r="J161" s="376">
        <v>146821</v>
      </c>
      <c r="K161" s="376" t="s">
        <v>839</v>
      </c>
      <c r="L161" s="376">
        <v>146821</v>
      </c>
      <c r="M161" s="376" t="s">
        <v>839</v>
      </c>
      <c r="N161" s="376" t="s">
        <v>839</v>
      </c>
      <c r="O161" s="376" t="s">
        <v>839</v>
      </c>
      <c r="P161" s="376" t="s">
        <v>839</v>
      </c>
      <c r="Q161" s="376" t="s">
        <v>839</v>
      </c>
      <c r="R161" s="376" t="s">
        <v>839</v>
      </c>
      <c r="S161" s="376" t="s">
        <v>839</v>
      </c>
      <c r="T161" s="376" t="s">
        <v>839</v>
      </c>
      <c r="U161" s="376" t="s">
        <v>839</v>
      </c>
      <c r="V161" s="376" t="s">
        <v>839</v>
      </c>
      <c r="W161" s="381" t="s">
        <v>91</v>
      </c>
    </row>
    <row r="162" spans="1:23" s="376" customFormat="1" ht="9.75" customHeight="1" x14ac:dyDescent="0.15">
      <c r="A162" s="756" t="s">
        <v>846</v>
      </c>
      <c r="B162" s="376">
        <v>41402</v>
      </c>
      <c r="C162" s="376" t="s">
        <v>839</v>
      </c>
      <c r="D162" s="376" t="s">
        <v>839</v>
      </c>
      <c r="E162" s="376" t="s">
        <v>839</v>
      </c>
      <c r="F162" s="376" t="s">
        <v>839</v>
      </c>
      <c r="G162" s="376">
        <v>78</v>
      </c>
      <c r="H162" s="376" t="s">
        <v>839</v>
      </c>
      <c r="I162" s="376" t="s">
        <v>839</v>
      </c>
      <c r="J162" s="376">
        <v>284706</v>
      </c>
      <c r="K162" s="376">
        <v>49926</v>
      </c>
      <c r="L162" s="376">
        <v>234780</v>
      </c>
      <c r="M162" s="376" t="s">
        <v>839</v>
      </c>
      <c r="N162" s="376" t="s">
        <v>839</v>
      </c>
      <c r="O162" s="376" t="s">
        <v>839</v>
      </c>
      <c r="P162" s="376" t="s">
        <v>839</v>
      </c>
      <c r="Q162" s="376" t="s">
        <v>839</v>
      </c>
      <c r="R162" s="376" t="s">
        <v>839</v>
      </c>
      <c r="S162" s="376" t="s">
        <v>839</v>
      </c>
      <c r="T162" s="376" t="s">
        <v>839</v>
      </c>
      <c r="U162" s="376" t="s">
        <v>839</v>
      </c>
      <c r="V162" s="376" t="s">
        <v>839</v>
      </c>
      <c r="W162" s="381" t="s">
        <v>847</v>
      </c>
    </row>
    <row r="163" spans="1:23" s="376" customFormat="1" ht="6.75" customHeight="1" x14ac:dyDescent="0.15">
      <c r="A163" s="787"/>
      <c r="W163" s="381"/>
    </row>
    <row r="164" spans="1:23" s="376" customFormat="1" ht="9.75" customHeight="1" x14ac:dyDescent="0.15">
      <c r="A164" s="756" t="s">
        <v>848</v>
      </c>
      <c r="B164" s="376" t="s">
        <v>839</v>
      </c>
      <c r="C164" s="376" t="s">
        <v>839</v>
      </c>
      <c r="D164" s="376" t="s">
        <v>839</v>
      </c>
      <c r="E164" s="376" t="s">
        <v>839</v>
      </c>
      <c r="F164" s="376" t="s">
        <v>839</v>
      </c>
      <c r="G164" s="376" t="s">
        <v>839</v>
      </c>
      <c r="H164" s="376" t="s">
        <v>839</v>
      </c>
      <c r="I164" s="376" t="s">
        <v>839</v>
      </c>
      <c r="J164" s="376">
        <v>40002</v>
      </c>
      <c r="K164" s="376" t="s">
        <v>839</v>
      </c>
      <c r="L164" s="376">
        <v>40002</v>
      </c>
      <c r="M164" s="376" t="s">
        <v>839</v>
      </c>
      <c r="N164" s="376" t="s">
        <v>839</v>
      </c>
      <c r="O164" s="376" t="s">
        <v>839</v>
      </c>
      <c r="P164" s="376" t="s">
        <v>839</v>
      </c>
      <c r="Q164" s="376" t="s">
        <v>839</v>
      </c>
      <c r="R164" s="376" t="s">
        <v>839</v>
      </c>
      <c r="S164" s="376" t="s">
        <v>839</v>
      </c>
      <c r="T164" s="376" t="s">
        <v>839</v>
      </c>
      <c r="U164" s="376">
        <v>33303</v>
      </c>
      <c r="V164" s="376">
        <v>33303</v>
      </c>
      <c r="W164" s="381" t="s">
        <v>689</v>
      </c>
    </row>
    <row r="165" spans="1:23" s="376" customFormat="1" ht="9.75" customHeight="1" x14ac:dyDescent="0.15">
      <c r="A165" s="756" t="s">
        <v>678</v>
      </c>
      <c r="B165" s="376" t="s">
        <v>839</v>
      </c>
      <c r="C165" s="376">
        <v>38000</v>
      </c>
      <c r="D165" s="376" t="s">
        <v>839</v>
      </c>
      <c r="E165" s="376" t="s">
        <v>839</v>
      </c>
      <c r="F165" s="376" t="s">
        <v>839</v>
      </c>
      <c r="G165" s="376" t="s">
        <v>839</v>
      </c>
      <c r="H165" s="376" t="s">
        <v>839</v>
      </c>
      <c r="I165" s="376" t="s">
        <v>839</v>
      </c>
      <c r="J165" s="376">
        <v>48228</v>
      </c>
      <c r="K165" s="376" t="s">
        <v>839</v>
      </c>
      <c r="L165" s="376">
        <v>48228</v>
      </c>
      <c r="M165" s="376" t="s">
        <v>839</v>
      </c>
      <c r="N165" s="376" t="s">
        <v>839</v>
      </c>
      <c r="O165" s="376" t="s">
        <v>839</v>
      </c>
      <c r="P165" s="376" t="s">
        <v>839</v>
      </c>
      <c r="Q165" s="376" t="s">
        <v>839</v>
      </c>
      <c r="R165" s="376" t="s">
        <v>839</v>
      </c>
      <c r="S165" s="376" t="s">
        <v>839</v>
      </c>
      <c r="T165" s="376" t="s">
        <v>839</v>
      </c>
      <c r="U165" s="376">
        <v>31667</v>
      </c>
      <c r="V165" s="376">
        <v>27503</v>
      </c>
      <c r="W165" s="381" t="s">
        <v>77</v>
      </c>
    </row>
    <row r="166" spans="1:23" s="376" customFormat="1" ht="9.75" customHeight="1" x14ac:dyDescent="0.15">
      <c r="A166" s="756" t="s">
        <v>679</v>
      </c>
      <c r="B166" s="376" t="s">
        <v>839</v>
      </c>
      <c r="C166" s="376" t="s">
        <v>839</v>
      </c>
      <c r="D166" s="376" t="s">
        <v>839</v>
      </c>
      <c r="E166" s="376" t="s">
        <v>839</v>
      </c>
      <c r="F166" s="376" t="s">
        <v>839</v>
      </c>
      <c r="G166" s="376" t="s">
        <v>839</v>
      </c>
      <c r="H166" s="376" t="s">
        <v>839</v>
      </c>
      <c r="I166" s="376" t="s">
        <v>839</v>
      </c>
      <c r="J166" s="376">
        <v>636</v>
      </c>
      <c r="K166" s="376" t="s">
        <v>839</v>
      </c>
      <c r="L166" s="376">
        <v>636</v>
      </c>
      <c r="M166" s="376" t="s">
        <v>839</v>
      </c>
      <c r="N166" s="376" t="s">
        <v>839</v>
      </c>
      <c r="O166" s="376" t="s">
        <v>839</v>
      </c>
      <c r="P166" s="376" t="s">
        <v>839</v>
      </c>
      <c r="Q166" s="376" t="s">
        <v>839</v>
      </c>
      <c r="R166" s="376" t="s">
        <v>839</v>
      </c>
      <c r="S166" s="376">
        <v>47468</v>
      </c>
      <c r="T166" s="376">
        <v>47468</v>
      </c>
      <c r="U166" s="376">
        <v>6544</v>
      </c>
      <c r="V166" s="376" t="s">
        <v>839</v>
      </c>
      <c r="W166" s="381" t="s">
        <v>78</v>
      </c>
    </row>
    <row r="167" spans="1:23" s="376" customFormat="1" ht="9.75" customHeight="1" x14ac:dyDescent="0.15">
      <c r="A167" s="756" t="s">
        <v>680</v>
      </c>
      <c r="B167" s="376" t="s">
        <v>839</v>
      </c>
      <c r="C167" s="376" t="s">
        <v>839</v>
      </c>
      <c r="D167" s="376" t="s">
        <v>839</v>
      </c>
      <c r="E167" s="376" t="s">
        <v>839</v>
      </c>
      <c r="F167" s="376" t="s">
        <v>839</v>
      </c>
      <c r="G167" s="376" t="s">
        <v>839</v>
      </c>
      <c r="H167" s="376" t="s">
        <v>839</v>
      </c>
      <c r="I167" s="376" t="s">
        <v>839</v>
      </c>
      <c r="J167" s="376">
        <v>50817</v>
      </c>
      <c r="K167" s="376" t="s">
        <v>839</v>
      </c>
      <c r="L167" s="376">
        <v>50817</v>
      </c>
      <c r="M167" s="376" t="s">
        <v>839</v>
      </c>
      <c r="N167" s="376" t="s">
        <v>839</v>
      </c>
      <c r="O167" s="376" t="s">
        <v>839</v>
      </c>
      <c r="P167" s="376" t="s">
        <v>839</v>
      </c>
      <c r="Q167" s="376" t="s">
        <v>839</v>
      </c>
      <c r="R167" s="376" t="s">
        <v>839</v>
      </c>
      <c r="S167" s="376" t="s">
        <v>839</v>
      </c>
      <c r="T167" s="376" t="s">
        <v>839</v>
      </c>
      <c r="U167" s="376" t="s">
        <v>839</v>
      </c>
      <c r="V167" s="376" t="s">
        <v>839</v>
      </c>
      <c r="W167" s="381" t="s">
        <v>79</v>
      </c>
    </row>
    <row r="168" spans="1:23" s="376" customFormat="1" ht="9.75" customHeight="1" x14ac:dyDescent="0.15">
      <c r="A168" s="756" t="s">
        <v>681</v>
      </c>
      <c r="B168" s="376" t="s">
        <v>839</v>
      </c>
      <c r="C168" s="376" t="s">
        <v>839</v>
      </c>
      <c r="D168" s="376" t="s">
        <v>839</v>
      </c>
      <c r="E168" s="376" t="s">
        <v>839</v>
      </c>
      <c r="F168" s="376" t="s">
        <v>839</v>
      </c>
      <c r="G168" s="376" t="s">
        <v>839</v>
      </c>
      <c r="H168" s="376" t="s">
        <v>839</v>
      </c>
      <c r="I168" s="376" t="s">
        <v>839</v>
      </c>
      <c r="J168" s="376">
        <v>270761</v>
      </c>
      <c r="K168" s="376">
        <v>11502</v>
      </c>
      <c r="L168" s="376">
        <v>259259</v>
      </c>
      <c r="M168" s="376" t="s">
        <v>839</v>
      </c>
      <c r="N168" s="376" t="s">
        <v>839</v>
      </c>
      <c r="O168" s="376">
        <v>50000</v>
      </c>
      <c r="P168" s="376" t="s">
        <v>839</v>
      </c>
      <c r="Q168" s="376" t="s">
        <v>839</v>
      </c>
      <c r="R168" s="376">
        <v>50000</v>
      </c>
      <c r="S168" s="376" t="s">
        <v>839</v>
      </c>
      <c r="T168" s="376" t="s">
        <v>839</v>
      </c>
      <c r="U168" s="376">
        <v>26952</v>
      </c>
      <c r="V168" s="376">
        <v>26952</v>
      </c>
      <c r="W168" s="381" t="s">
        <v>92</v>
      </c>
    </row>
    <row r="169" spans="1:23" s="376" customFormat="1" ht="9.75" customHeight="1" x14ac:dyDescent="0.15">
      <c r="A169" s="756" t="s">
        <v>682</v>
      </c>
      <c r="B169" s="376" t="s">
        <v>839</v>
      </c>
      <c r="C169" s="376" t="s">
        <v>839</v>
      </c>
      <c r="D169" s="376" t="s">
        <v>839</v>
      </c>
      <c r="E169" s="376" t="s">
        <v>839</v>
      </c>
      <c r="F169" s="376" t="s">
        <v>839</v>
      </c>
      <c r="G169" s="376" t="s">
        <v>839</v>
      </c>
      <c r="H169" s="376" t="s">
        <v>839</v>
      </c>
      <c r="I169" s="376" t="s">
        <v>839</v>
      </c>
      <c r="J169" s="376">
        <v>152116</v>
      </c>
      <c r="K169" s="376" t="s">
        <v>839</v>
      </c>
      <c r="L169" s="376">
        <v>102131</v>
      </c>
      <c r="M169" s="376" t="s">
        <v>839</v>
      </c>
      <c r="N169" s="376">
        <v>49985</v>
      </c>
      <c r="O169" s="376" t="s">
        <v>839</v>
      </c>
      <c r="P169" s="376" t="s">
        <v>839</v>
      </c>
      <c r="Q169" s="376" t="s">
        <v>839</v>
      </c>
      <c r="R169" s="376" t="s">
        <v>839</v>
      </c>
      <c r="S169" s="376" t="s">
        <v>839</v>
      </c>
      <c r="T169" s="376" t="s">
        <v>839</v>
      </c>
      <c r="U169" s="376">
        <v>26962</v>
      </c>
      <c r="V169" s="376">
        <v>26962</v>
      </c>
      <c r="W169" s="381" t="s">
        <v>93</v>
      </c>
    </row>
    <row r="170" spans="1:23" s="376" customFormat="1" ht="9.75" customHeight="1" x14ac:dyDescent="0.15">
      <c r="A170" s="756" t="s">
        <v>683</v>
      </c>
      <c r="B170" s="376">
        <v>83362</v>
      </c>
      <c r="C170" s="376">
        <v>60801</v>
      </c>
      <c r="D170" s="376" t="s">
        <v>839</v>
      </c>
      <c r="E170" s="376" t="s">
        <v>839</v>
      </c>
      <c r="F170" s="376" t="s">
        <v>839</v>
      </c>
      <c r="G170" s="376" t="s">
        <v>839</v>
      </c>
      <c r="H170" s="376" t="s">
        <v>839</v>
      </c>
      <c r="I170" s="376" t="s">
        <v>839</v>
      </c>
      <c r="J170" s="376">
        <v>152197</v>
      </c>
      <c r="K170" s="376" t="s">
        <v>839</v>
      </c>
      <c r="L170" s="376">
        <v>152197</v>
      </c>
      <c r="M170" s="376" t="s">
        <v>839</v>
      </c>
      <c r="N170" s="376" t="s">
        <v>839</v>
      </c>
      <c r="O170" s="376" t="s">
        <v>839</v>
      </c>
      <c r="P170" s="376" t="s">
        <v>839</v>
      </c>
      <c r="Q170" s="376" t="s">
        <v>839</v>
      </c>
      <c r="R170" s="376" t="s">
        <v>839</v>
      </c>
      <c r="S170" s="376" t="s">
        <v>839</v>
      </c>
      <c r="T170" s="376" t="s">
        <v>839</v>
      </c>
      <c r="U170" s="376">
        <v>26992</v>
      </c>
      <c r="V170" s="376">
        <v>26992</v>
      </c>
      <c r="W170" s="381" t="s">
        <v>94</v>
      </c>
    </row>
    <row r="171" spans="1:23" s="376" customFormat="1" ht="9.75" customHeight="1" x14ac:dyDescent="0.15">
      <c r="A171" s="756" t="s">
        <v>684</v>
      </c>
      <c r="B171" s="376">
        <v>41902</v>
      </c>
      <c r="C171" s="376">
        <v>79581</v>
      </c>
      <c r="D171" s="376">
        <v>49950</v>
      </c>
      <c r="E171" s="376" t="s">
        <v>839</v>
      </c>
      <c r="F171" s="376" t="s">
        <v>839</v>
      </c>
      <c r="G171" s="376" t="s">
        <v>839</v>
      </c>
      <c r="H171" s="376" t="s">
        <v>839</v>
      </c>
      <c r="I171" s="376" t="s">
        <v>839</v>
      </c>
      <c r="J171" s="376">
        <v>202368</v>
      </c>
      <c r="K171" s="376" t="s">
        <v>839</v>
      </c>
      <c r="L171" s="376">
        <v>202368</v>
      </c>
      <c r="M171" s="376" t="s">
        <v>839</v>
      </c>
      <c r="N171" s="376" t="s">
        <v>839</v>
      </c>
      <c r="O171" s="376" t="s">
        <v>839</v>
      </c>
      <c r="P171" s="376" t="s">
        <v>839</v>
      </c>
      <c r="Q171" s="376" t="s">
        <v>839</v>
      </c>
      <c r="R171" s="376" t="s">
        <v>839</v>
      </c>
      <c r="S171" s="376" t="s">
        <v>839</v>
      </c>
      <c r="T171" s="376" t="s">
        <v>839</v>
      </c>
      <c r="U171" s="376">
        <v>26972</v>
      </c>
      <c r="V171" s="376">
        <v>26972</v>
      </c>
      <c r="W171" s="381" t="s">
        <v>95</v>
      </c>
    </row>
    <row r="172" spans="1:23" s="376" customFormat="1" ht="9.75" customHeight="1" x14ac:dyDescent="0.15">
      <c r="A172" s="756" t="s">
        <v>685</v>
      </c>
      <c r="B172" s="376">
        <v>41902</v>
      </c>
      <c r="C172" s="376" t="s">
        <v>839</v>
      </c>
      <c r="D172" s="376">
        <v>49978</v>
      </c>
      <c r="E172" s="376" t="s">
        <v>839</v>
      </c>
      <c r="F172" s="376" t="s">
        <v>839</v>
      </c>
      <c r="G172" s="376" t="s">
        <v>839</v>
      </c>
      <c r="H172" s="376">
        <v>72400</v>
      </c>
      <c r="I172" s="376">
        <v>72400</v>
      </c>
      <c r="J172" s="376">
        <v>102941</v>
      </c>
      <c r="K172" s="376" t="s">
        <v>839</v>
      </c>
      <c r="L172" s="376">
        <v>102941</v>
      </c>
      <c r="M172" s="376" t="s">
        <v>839</v>
      </c>
      <c r="N172" s="376" t="s">
        <v>839</v>
      </c>
      <c r="O172" s="376" t="s">
        <v>839</v>
      </c>
      <c r="P172" s="376" t="s">
        <v>839</v>
      </c>
      <c r="Q172" s="376" t="s">
        <v>839</v>
      </c>
      <c r="R172" s="376" t="s">
        <v>839</v>
      </c>
      <c r="S172" s="376" t="s">
        <v>839</v>
      </c>
      <c r="T172" s="376" t="s">
        <v>839</v>
      </c>
      <c r="U172" s="376">
        <v>26972</v>
      </c>
      <c r="V172" s="376">
        <v>26972</v>
      </c>
      <c r="W172" s="381" t="s">
        <v>96</v>
      </c>
    </row>
    <row r="173" spans="1:23" s="376" customFormat="1" ht="9.75" customHeight="1" x14ac:dyDescent="0.15">
      <c r="A173" s="756" t="s">
        <v>686</v>
      </c>
      <c r="B173" s="376" t="s">
        <v>839</v>
      </c>
      <c r="C173" s="376" t="s">
        <v>839</v>
      </c>
      <c r="D173" s="376" t="s">
        <v>839</v>
      </c>
      <c r="E173" s="376" t="s">
        <v>839</v>
      </c>
      <c r="F173" s="376" t="s">
        <v>839</v>
      </c>
      <c r="G173" s="376" t="s">
        <v>839</v>
      </c>
      <c r="H173" s="376" t="s">
        <v>839</v>
      </c>
      <c r="I173" s="376" t="s">
        <v>839</v>
      </c>
      <c r="J173" s="376">
        <v>146821</v>
      </c>
      <c r="K173" s="376" t="s">
        <v>839</v>
      </c>
      <c r="L173" s="376">
        <v>146821</v>
      </c>
      <c r="M173" s="376" t="s">
        <v>839</v>
      </c>
      <c r="N173" s="376" t="s">
        <v>839</v>
      </c>
      <c r="O173" s="376" t="s">
        <v>839</v>
      </c>
      <c r="P173" s="376" t="s">
        <v>839</v>
      </c>
      <c r="Q173" s="376" t="s">
        <v>839</v>
      </c>
      <c r="R173" s="376" t="s">
        <v>839</v>
      </c>
      <c r="S173" s="376" t="s">
        <v>839</v>
      </c>
      <c r="T173" s="376" t="s">
        <v>839</v>
      </c>
      <c r="U173" s="376" t="s">
        <v>839</v>
      </c>
      <c r="V173" s="376" t="s">
        <v>839</v>
      </c>
      <c r="W173" s="381" t="s">
        <v>80</v>
      </c>
    </row>
    <row r="174" spans="1:23" s="376" customFormat="1" ht="9.75" customHeight="1" x14ac:dyDescent="0.15">
      <c r="A174" s="756" t="s">
        <v>687</v>
      </c>
      <c r="B174" s="376" t="s">
        <v>839</v>
      </c>
      <c r="C174" s="376" t="s">
        <v>839</v>
      </c>
      <c r="D174" s="376" t="s">
        <v>839</v>
      </c>
      <c r="E174" s="376" t="s">
        <v>839</v>
      </c>
      <c r="F174" s="376" t="s">
        <v>839</v>
      </c>
      <c r="G174" s="376" t="s">
        <v>839</v>
      </c>
      <c r="H174" s="376" t="s">
        <v>839</v>
      </c>
      <c r="I174" s="376" t="s">
        <v>839</v>
      </c>
      <c r="J174" s="376" t="s">
        <v>839</v>
      </c>
      <c r="K174" s="376" t="s">
        <v>839</v>
      </c>
      <c r="L174" s="376" t="s">
        <v>839</v>
      </c>
      <c r="M174" s="376" t="s">
        <v>839</v>
      </c>
      <c r="N174" s="376" t="s">
        <v>839</v>
      </c>
      <c r="O174" s="376" t="s">
        <v>839</v>
      </c>
      <c r="P174" s="376" t="s">
        <v>839</v>
      </c>
      <c r="Q174" s="376" t="s">
        <v>839</v>
      </c>
      <c r="R174" s="376" t="s">
        <v>839</v>
      </c>
      <c r="S174" s="376" t="s">
        <v>839</v>
      </c>
      <c r="T174" s="376" t="s">
        <v>839</v>
      </c>
      <c r="U174" s="376" t="s">
        <v>839</v>
      </c>
      <c r="V174" s="376" t="s">
        <v>839</v>
      </c>
      <c r="W174" s="381" t="s">
        <v>81</v>
      </c>
    </row>
    <row r="175" spans="1:23" s="376" customFormat="1" ht="9.75" customHeight="1" x14ac:dyDescent="0.15">
      <c r="A175" s="756" t="s">
        <v>688</v>
      </c>
      <c r="B175" s="376" t="s">
        <v>839</v>
      </c>
      <c r="C175" s="376" t="s">
        <v>839</v>
      </c>
      <c r="D175" s="376" t="s">
        <v>839</v>
      </c>
      <c r="E175" s="376" t="s">
        <v>839</v>
      </c>
      <c r="F175" s="376" t="s">
        <v>839</v>
      </c>
      <c r="G175" s="376" t="s">
        <v>839</v>
      </c>
      <c r="H175" s="376" t="s">
        <v>839</v>
      </c>
      <c r="I175" s="376" t="s">
        <v>839</v>
      </c>
      <c r="J175" s="376" t="s">
        <v>839</v>
      </c>
      <c r="K175" s="376" t="s">
        <v>839</v>
      </c>
      <c r="L175" s="376" t="s">
        <v>839</v>
      </c>
      <c r="M175" s="376" t="s">
        <v>839</v>
      </c>
      <c r="N175" s="376" t="s">
        <v>839</v>
      </c>
      <c r="O175" s="376" t="s">
        <v>839</v>
      </c>
      <c r="P175" s="376" t="s">
        <v>839</v>
      </c>
      <c r="Q175" s="376" t="s">
        <v>839</v>
      </c>
      <c r="R175" s="376" t="s">
        <v>839</v>
      </c>
      <c r="S175" s="376" t="s">
        <v>839</v>
      </c>
      <c r="T175" s="376" t="s">
        <v>839</v>
      </c>
      <c r="U175" s="376" t="s">
        <v>839</v>
      </c>
      <c r="V175" s="376" t="s">
        <v>839</v>
      </c>
      <c r="W175" s="381" t="s">
        <v>82</v>
      </c>
    </row>
    <row r="176" spans="1:23" s="376" customFormat="1" ht="9.75" customHeight="1" x14ac:dyDescent="0.15">
      <c r="A176" s="756" t="s">
        <v>849</v>
      </c>
      <c r="B176" s="376" t="s">
        <v>839</v>
      </c>
      <c r="C176" s="376" t="s">
        <v>839</v>
      </c>
      <c r="D176" s="376" t="s">
        <v>839</v>
      </c>
      <c r="E176" s="376" t="s">
        <v>839</v>
      </c>
      <c r="F176" s="376" t="s">
        <v>839</v>
      </c>
      <c r="G176" s="376" t="s">
        <v>839</v>
      </c>
      <c r="H176" s="376" t="s">
        <v>839</v>
      </c>
      <c r="I176" s="376" t="s">
        <v>839</v>
      </c>
      <c r="J176" s="376" t="s">
        <v>839</v>
      </c>
      <c r="K176" s="376" t="s">
        <v>839</v>
      </c>
      <c r="L176" s="376" t="s">
        <v>839</v>
      </c>
      <c r="M176" s="376" t="s">
        <v>839</v>
      </c>
      <c r="N176" s="376" t="s">
        <v>839</v>
      </c>
      <c r="O176" s="376" t="s">
        <v>839</v>
      </c>
      <c r="P176" s="376" t="s">
        <v>839</v>
      </c>
      <c r="Q176" s="376" t="s">
        <v>839</v>
      </c>
      <c r="R176" s="376" t="s">
        <v>839</v>
      </c>
      <c r="S176" s="376" t="s">
        <v>839</v>
      </c>
      <c r="T176" s="376" t="s">
        <v>839</v>
      </c>
      <c r="U176" s="376" t="s">
        <v>839</v>
      </c>
      <c r="V176" s="376" t="s">
        <v>839</v>
      </c>
      <c r="W176" s="381" t="s">
        <v>850</v>
      </c>
    </row>
    <row r="177" spans="1:23" s="376" customFormat="1" ht="9.75" customHeight="1" x14ac:dyDescent="0.15">
      <c r="A177" s="756" t="s">
        <v>690</v>
      </c>
      <c r="B177" s="376" t="s">
        <v>839</v>
      </c>
      <c r="C177" s="376" t="s">
        <v>839</v>
      </c>
      <c r="D177" s="376" t="s">
        <v>839</v>
      </c>
      <c r="E177" s="376" t="s">
        <v>839</v>
      </c>
      <c r="F177" s="376" t="s">
        <v>839</v>
      </c>
      <c r="G177" s="376" t="s">
        <v>839</v>
      </c>
      <c r="H177" s="376" t="s">
        <v>839</v>
      </c>
      <c r="I177" s="376" t="s">
        <v>839</v>
      </c>
      <c r="J177" s="376">
        <v>137868</v>
      </c>
      <c r="K177" s="376" t="s">
        <v>839</v>
      </c>
      <c r="L177" s="376">
        <v>137868</v>
      </c>
      <c r="M177" s="376" t="s">
        <v>839</v>
      </c>
      <c r="N177" s="376" t="s">
        <v>839</v>
      </c>
      <c r="O177" s="376" t="s">
        <v>839</v>
      </c>
      <c r="P177" s="376" t="s">
        <v>839</v>
      </c>
      <c r="Q177" s="376" t="s">
        <v>839</v>
      </c>
      <c r="R177" s="376" t="s">
        <v>839</v>
      </c>
      <c r="S177" s="376" t="s">
        <v>839</v>
      </c>
      <c r="T177" s="376" t="s">
        <v>839</v>
      </c>
      <c r="U177" s="376" t="s">
        <v>839</v>
      </c>
      <c r="V177" s="376" t="s">
        <v>839</v>
      </c>
      <c r="W177" s="381" t="s">
        <v>77</v>
      </c>
    </row>
    <row r="178" spans="1:23" s="376" customFormat="1" ht="9.75" customHeight="1" x14ac:dyDescent="0.15">
      <c r="A178" s="757" t="s">
        <v>691</v>
      </c>
      <c r="B178" s="380">
        <v>41402</v>
      </c>
      <c r="C178" s="379" t="s">
        <v>839</v>
      </c>
      <c r="D178" s="379" t="s">
        <v>839</v>
      </c>
      <c r="E178" s="379" t="s">
        <v>839</v>
      </c>
      <c r="F178" s="379" t="s">
        <v>839</v>
      </c>
      <c r="G178" s="379">
        <v>78</v>
      </c>
      <c r="H178" s="379" t="s">
        <v>839</v>
      </c>
      <c r="I178" s="379" t="s">
        <v>839</v>
      </c>
      <c r="J178" s="379">
        <v>146838</v>
      </c>
      <c r="K178" s="379">
        <v>49926</v>
      </c>
      <c r="L178" s="379">
        <v>96912</v>
      </c>
      <c r="M178" s="379" t="s">
        <v>839</v>
      </c>
      <c r="N178" s="379" t="s">
        <v>839</v>
      </c>
      <c r="O178" s="379" t="s">
        <v>839</v>
      </c>
      <c r="P178" s="379" t="s">
        <v>839</v>
      </c>
      <c r="Q178" s="379" t="s">
        <v>839</v>
      </c>
      <c r="R178" s="379" t="s">
        <v>839</v>
      </c>
      <c r="S178" s="379" t="s">
        <v>839</v>
      </c>
      <c r="T178" s="379" t="s">
        <v>839</v>
      </c>
      <c r="U178" s="379" t="s">
        <v>839</v>
      </c>
      <c r="V178" s="379" t="s">
        <v>839</v>
      </c>
      <c r="W178" s="377" t="s">
        <v>78</v>
      </c>
    </row>
    <row r="179" spans="1:23" ht="12" customHeight="1" x14ac:dyDescent="0.15"/>
    <row r="180" spans="1:23" ht="12" customHeight="1" x14ac:dyDescent="0.15"/>
    <row r="181" spans="1:23" ht="12" customHeight="1" x14ac:dyDescent="0.15">
      <c r="K181" s="391" t="s">
        <v>97</v>
      </c>
    </row>
    <row r="182" spans="1:23" s="387" customFormat="1" ht="21" customHeight="1" x14ac:dyDescent="0.15">
      <c r="A182" s="1023" t="s">
        <v>185</v>
      </c>
      <c r="B182" s="390" t="s">
        <v>353</v>
      </c>
      <c r="C182" s="389"/>
      <c r="D182" s="389"/>
      <c r="E182" s="389"/>
      <c r="F182" s="389"/>
      <c r="G182" s="389"/>
      <c r="H182" s="389"/>
      <c r="I182" s="389"/>
      <c r="J182" s="732"/>
      <c r="K182" s="733" t="s">
        <v>309</v>
      </c>
      <c r="L182" s="389"/>
      <c r="M182" s="389"/>
      <c r="N182" s="389"/>
      <c r="O182" s="389"/>
      <c r="P182" s="389"/>
      <c r="Q182" s="389"/>
      <c r="R182" s="732"/>
      <c r="S182" s="733" t="s">
        <v>305</v>
      </c>
      <c r="T182" s="389"/>
      <c r="U182" s="389"/>
      <c r="V182" s="389"/>
      <c r="W182" s="1026" t="s">
        <v>83</v>
      </c>
    </row>
    <row r="183" spans="1:23" s="387" customFormat="1" ht="21" customHeight="1" x14ac:dyDescent="0.15">
      <c r="A183" s="1024"/>
      <c r="B183" s="390" t="s">
        <v>116</v>
      </c>
      <c r="C183" s="389"/>
      <c r="D183" s="389"/>
      <c r="E183" s="389"/>
      <c r="F183" s="389"/>
      <c r="G183" s="732"/>
      <c r="H183" s="733" t="s">
        <v>1004</v>
      </c>
      <c r="I183" s="389"/>
      <c r="J183" s="732"/>
      <c r="K183" s="1029" t="s">
        <v>306</v>
      </c>
      <c r="L183" s="733" t="s">
        <v>279</v>
      </c>
      <c r="M183" s="389"/>
      <c r="N183" s="732"/>
      <c r="O183" s="733" t="s">
        <v>272</v>
      </c>
      <c r="P183" s="732"/>
      <c r="Q183" s="733" t="s">
        <v>1004</v>
      </c>
      <c r="R183" s="732"/>
      <c r="S183" s="1029" t="s">
        <v>303</v>
      </c>
      <c r="T183" s="733" t="s">
        <v>279</v>
      </c>
      <c r="U183" s="389"/>
      <c r="V183" s="389"/>
      <c r="W183" s="1027"/>
    </row>
    <row r="184" spans="1:23" s="387" customFormat="1" ht="52.5" customHeight="1" x14ac:dyDescent="0.15">
      <c r="A184" s="1025"/>
      <c r="B184" s="388" t="s">
        <v>1003</v>
      </c>
      <c r="C184" s="388" t="s">
        <v>584</v>
      </c>
      <c r="D184" s="388" t="s">
        <v>330</v>
      </c>
      <c r="E184" s="388" t="s">
        <v>585</v>
      </c>
      <c r="F184" s="388" t="s">
        <v>351</v>
      </c>
      <c r="G184" s="388" t="s">
        <v>350</v>
      </c>
      <c r="H184" s="735" t="s">
        <v>329</v>
      </c>
      <c r="I184" s="388" t="s">
        <v>348</v>
      </c>
      <c r="J184" s="388" t="s">
        <v>328</v>
      </c>
      <c r="K184" s="1030"/>
      <c r="L184" s="735" t="s">
        <v>975</v>
      </c>
      <c r="M184" s="388" t="s">
        <v>270</v>
      </c>
      <c r="N184" s="388" t="s">
        <v>268</v>
      </c>
      <c r="O184" s="735" t="s">
        <v>980</v>
      </c>
      <c r="P184" s="388" t="s">
        <v>258</v>
      </c>
      <c r="Q184" s="735" t="s">
        <v>329</v>
      </c>
      <c r="R184" s="388" t="s">
        <v>348</v>
      </c>
      <c r="S184" s="1030"/>
      <c r="T184" s="735" t="s">
        <v>975</v>
      </c>
      <c r="U184" s="388" t="s">
        <v>270</v>
      </c>
      <c r="V184" s="392" t="s">
        <v>976</v>
      </c>
      <c r="W184" s="1028"/>
    </row>
    <row r="185" spans="1:23" s="376" customFormat="1" ht="9.75" customHeight="1" x14ac:dyDescent="0.15">
      <c r="A185" s="755" t="s">
        <v>838</v>
      </c>
      <c r="B185" s="386">
        <v>95614</v>
      </c>
      <c r="C185" s="385" t="s">
        <v>839</v>
      </c>
      <c r="D185" s="385" t="s">
        <v>839</v>
      </c>
      <c r="E185" s="385" t="s">
        <v>839</v>
      </c>
      <c r="F185" s="385" t="s">
        <v>839</v>
      </c>
      <c r="G185" s="385">
        <v>115485</v>
      </c>
      <c r="H185" s="385">
        <v>7267546</v>
      </c>
      <c r="I185" s="385">
        <v>1090</v>
      </c>
      <c r="J185" s="385">
        <v>7266456</v>
      </c>
      <c r="K185" s="385">
        <v>598845</v>
      </c>
      <c r="L185" s="385">
        <v>598731</v>
      </c>
      <c r="M185" s="385">
        <v>598731</v>
      </c>
      <c r="N185" s="385" t="s">
        <v>839</v>
      </c>
      <c r="O185" s="385" t="s">
        <v>839</v>
      </c>
      <c r="P185" s="385" t="s">
        <v>839</v>
      </c>
      <c r="Q185" s="385">
        <v>114</v>
      </c>
      <c r="R185" s="385">
        <v>114</v>
      </c>
      <c r="S185" s="385">
        <v>7538463</v>
      </c>
      <c r="T185" s="385">
        <v>2055882</v>
      </c>
      <c r="U185" s="385">
        <v>489464</v>
      </c>
      <c r="V185" s="385">
        <v>144405</v>
      </c>
      <c r="W185" s="383" t="s">
        <v>457</v>
      </c>
    </row>
    <row r="186" spans="1:23" s="376" customFormat="1" ht="9.75" customHeight="1" x14ac:dyDescent="0.15">
      <c r="A186" s="756" t="s">
        <v>669</v>
      </c>
      <c r="B186" s="376" t="s">
        <v>839</v>
      </c>
      <c r="C186" s="376">
        <v>512</v>
      </c>
      <c r="D186" s="376">
        <v>6248</v>
      </c>
      <c r="E186" s="376">
        <v>525</v>
      </c>
      <c r="F186" s="376">
        <v>1015</v>
      </c>
      <c r="G186" s="376">
        <v>113866</v>
      </c>
      <c r="H186" s="376">
        <v>7845409</v>
      </c>
      <c r="I186" s="376">
        <v>12000</v>
      </c>
      <c r="J186" s="376">
        <v>7833409</v>
      </c>
      <c r="K186" s="376">
        <v>955739</v>
      </c>
      <c r="L186" s="376">
        <v>932524</v>
      </c>
      <c r="M186" s="376">
        <v>932524</v>
      </c>
      <c r="N186" s="376" t="s">
        <v>839</v>
      </c>
      <c r="O186" s="376">
        <v>23097</v>
      </c>
      <c r="P186" s="376">
        <v>23097</v>
      </c>
      <c r="Q186" s="376">
        <v>118</v>
      </c>
      <c r="R186" s="376">
        <v>118</v>
      </c>
      <c r="S186" s="376">
        <v>9901113</v>
      </c>
      <c r="T186" s="376">
        <v>2472706</v>
      </c>
      <c r="U186" s="376">
        <v>507817</v>
      </c>
      <c r="V186" s="376">
        <v>365579</v>
      </c>
      <c r="W186" s="381" t="s">
        <v>512</v>
      </c>
    </row>
    <row r="187" spans="1:23" s="376" customFormat="1" ht="9.75" customHeight="1" x14ac:dyDescent="0.15">
      <c r="A187" s="756" t="s">
        <v>670</v>
      </c>
      <c r="B187" s="376" t="s">
        <v>839</v>
      </c>
      <c r="C187" s="376" t="s">
        <v>839</v>
      </c>
      <c r="D187" s="376" t="s">
        <v>839</v>
      </c>
      <c r="E187" s="376" t="s">
        <v>839</v>
      </c>
      <c r="F187" s="376" t="s">
        <v>839</v>
      </c>
      <c r="G187" s="376">
        <v>61751</v>
      </c>
      <c r="H187" s="376">
        <v>3483001</v>
      </c>
      <c r="I187" s="376" t="s">
        <v>839</v>
      </c>
      <c r="J187" s="376">
        <v>3483001</v>
      </c>
      <c r="K187" s="376">
        <v>1313743</v>
      </c>
      <c r="L187" s="376">
        <v>1212529</v>
      </c>
      <c r="M187" s="376">
        <v>1167129</v>
      </c>
      <c r="N187" s="376">
        <v>45400</v>
      </c>
      <c r="O187" s="376">
        <v>101086</v>
      </c>
      <c r="P187" s="376">
        <v>101086</v>
      </c>
      <c r="Q187" s="376">
        <v>128</v>
      </c>
      <c r="R187" s="376">
        <v>128</v>
      </c>
      <c r="S187" s="376">
        <v>3962210</v>
      </c>
      <c r="T187" s="376">
        <v>1543658</v>
      </c>
      <c r="U187" s="376">
        <v>801737</v>
      </c>
      <c r="V187" s="376">
        <v>76201</v>
      </c>
      <c r="W187" s="381" t="s">
        <v>620</v>
      </c>
    </row>
    <row r="188" spans="1:23" s="376" customFormat="1" ht="9.75" customHeight="1" x14ac:dyDescent="0.15">
      <c r="A188" s="756" t="s">
        <v>671</v>
      </c>
      <c r="B188" s="376" t="s">
        <v>839</v>
      </c>
      <c r="C188" s="376" t="s">
        <v>839</v>
      </c>
      <c r="D188" s="376" t="s">
        <v>839</v>
      </c>
      <c r="E188" s="376" t="s">
        <v>839</v>
      </c>
      <c r="F188" s="376" t="s">
        <v>839</v>
      </c>
      <c r="G188" s="376">
        <v>38951</v>
      </c>
      <c r="H188" s="376">
        <v>3855913</v>
      </c>
      <c r="I188" s="376" t="s">
        <v>839</v>
      </c>
      <c r="J188" s="376">
        <v>3855913</v>
      </c>
      <c r="K188" s="376">
        <v>511923</v>
      </c>
      <c r="L188" s="376">
        <v>404064</v>
      </c>
      <c r="M188" s="376">
        <v>404064</v>
      </c>
      <c r="N188" s="376" t="s">
        <v>839</v>
      </c>
      <c r="O188" s="376">
        <v>107739</v>
      </c>
      <c r="P188" s="376">
        <v>107739</v>
      </c>
      <c r="Q188" s="376">
        <v>120</v>
      </c>
      <c r="R188" s="376">
        <v>120</v>
      </c>
      <c r="S188" s="376">
        <v>4886875</v>
      </c>
      <c r="T188" s="376">
        <v>1645849</v>
      </c>
      <c r="U188" s="376">
        <v>645041</v>
      </c>
      <c r="V188" s="376">
        <v>113318</v>
      </c>
      <c r="W188" s="381" t="s">
        <v>672</v>
      </c>
    </row>
    <row r="189" spans="1:23" s="376" customFormat="1" ht="9.75" customHeight="1" x14ac:dyDescent="0.15">
      <c r="A189" s="756" t="s">
        <v>840</v>
      </c>
      <c r="B189" s="376" t="s">
        <v>839</v>
      </c>
      <c r="C189" s="376" t="s">
        <v>839</v>
      </c>
      <c r="D189" s="376" t="s">
        <v>839</v>
      </c>
      <c r="E189" s="376" t="s">
        <v>839</v>
      </c>
      <c r="F189" s="376" t="s">
        <v>839</v>
      </c>
      <c r="G189" s="376">
        <v>10708</v>
      </c>
      <c r="H189" s="376">
        <v>4687965</v>
      </c>
      <c r="I189" s="376" t="s">
        <v>839</v>
      </c>
      <c r="J189" s="376">
        <v>4687965</v>
      </c>
      <c r="K189" s="376">
        <v>1033947</v>
      </c>
      <c r="L189" s="376">
        <v>922070</v>
      </c>
      <c r="M189" s="376">
        <v>922070</v>
      </c>
      <c r="N189" s="376" t="s">
        <v>839</v>
      </c>
      <c r="O189" s="376">
        <v>111755</v>
      </c>
      <c r="P189" s="376">
        <v>111755</v>
      </c>
      <c r="Q189" s="376">
        <v>122</v>
      </c>
      <c r="R189" s="376">
        <v>122</v>
      </c>
      <c r="S189" s="376">
        <v>7805554</v>
      </c>
      <c r="T189" s="376">
        <v>2660425</v>
      </c>
      <c r="U189" s="376">
        <v>285920</v>
      </c>
      <c r="V189" s="376" t="s">
        <v>839</v>
      </c>
      <c r="W189" s="381" t="s">
        <v>841</v>
      </c>
    </row>
    <row r="190" spans="1:23" s="376" customFormat="1" ht="6.75" customHeight="1" x14ac:dyDescent="0.15">
      <c r="A190" s="787"/>
      <c r="W190" s="381"/>
    </row>
    <row r="191" spans="1:23" s="376" customFormat="1" ht="9.75" customHeight="1" x14ac:dyDescent="0.15">
      <c r="A191" s="756" t="s">
        <v>842</v>
      </c>
      <c r="B191" s="376" t="s">
        <v>839</v>
      </c>
      <c r="C191" s="376" t="s">
        <v>839</v>
      </c>
      <c r="D191" s="376" t="s">
        <v>839</v>
      </c>
      <c r="E191" s="376" t="s">
        <v>839</v>
      </c>
      <c r="F191" s="376" t="s">
        <v>839</v>
      </c>
      <c r="G191" s="376">
        <v>30594</v>
      </c>
      <c r="H191" s="376">
        <v>4029052</v>
      </c>
      <c r="I191" s="376" t="s">
        <v>839</v>
      </c>
      <c r="J191" s="376">
        <v>4029052</v>
      </c>
      <c r="K191" s="376">
        <v>384819</v>
      </c>
      <c r="L191" s="376">
        <v>276936</v>
      </c>
      <c r="M191" s="376">
        <v>276936</v>
      </c>
      <c r="N191" s="376" t="s">
        <v>839</v>
      </c>
      <c r="O191" s="376">
        <v>107739</v>
      </c>
      <c r="P191" s="376">
        <v>107739</v>
      </c>
      <c r="Q191" s="376">
        <v>144</v>
      </c>
      <c r="R191" s="376">
        <v>144</v>
      </c>
      <c r="S191" s="376">
        <v>5938069</v>
      </c>
      <c r="T191" s="376">
        <v>2152360</v>
      </c>
      <c r="U191" s="376">
        <v>462136</v>
      </c>
      <c r="V191" s="376">
        <v>63435</v>
      </c>
      <c r="W191" s="381" t="s">
        <v>673</v>
      </c>
    </row>
    <row r="192" spans="1:23" s="376" customFormat="1" ht="9.75" customHeight="1" x14ac:dyDescent="0.15">
      <c r="A192" s="756" t="s">
        <v>843</v>
      </c>
      <c r="B192" s="376" t="s">
        <v>839</v>
      </c>
      <c r="C192" s="376" t="s">
        <v>839</v>
      </c>
      <c r="D192" s="376" t="s">
        <v>839</v>
      </c>
      <c r="E192" s="376" t="s">
        <v>839</v>
      </c>
      <c r="F192" s="376" t="s">
        <v>839</v>
      </c>
      <c r="G192" s="376" t="s">
        <v>839</v>
      </c>
      <c r="H192" s="376">
        <v>5082003</v>
      </c>
      <c r="I192" s="376" t="s">
        <v>839</v>
      </c>
      <c r="J192" s="376">
        <v>5082003</v>
      </c>
      <c r="K192" s="376">
        <v>1122791</v>
      </c>
      <c r="L192" s="376">
        <v>964442</v>
      </c>
      <c r="M192" s="376">
        <v>964442</v>
      </c>
      <c r="N192" s="376" t="s">
        <v>839</v>
      </c>
      <c r="O192" s="376">
        <v>158255</v>
      </c>
      <c r="P192" s="376">
        <v>158255</v>
      </c>
      <c r="Q192" s="376">
        <v>94</v>
      </c>
      <c r="R192" s="376">
        <v>94</v>
      </c>
      <c r="S192" s="376">
        <v>7995993</v>
      </c>
      <c r="T192" s="376">
        <v>2342165</v>
      </c>
      <c r="U192" s="376">
        <v>259456</v>
      </c>
      <c r="V192" s="376" t="s">
        <v>839</v>
      </c>
      <c r="W192" s="381" t="s">
        <v>844</v>
      </c>
    </row>
    <row r="193" spans="1:23" s="376" customFormat="1" ht="6.75" customHeight="1" x14ac:dyDescent="0.15">
      <c r="A193" s="787"/>
      <c r="W193" s="381"/>
    </row>
    <row r="194" spans="1:23" s="376" customFormat="1" ht="9.75" customHeight="1" x14ac:dyDescent="0.15">
      <c r="A194" s="756" t="s">
        <v>845</v>
      </c>
      <c r="B194" s="376" t="s">
        <v>839</v>
      </c>
      <c r="C194" s="376" t="s">
        <v>839</v>
      </c>
      <c r="D194" s="376" t="s">
        <v>839</v>
      </c>
      <c r="E194" s="376" t="s">
        <v>839</v>
      </c>
      <c r="F194" s="376" t="s">
        <v>839</v>
      </c>
      <c r="G194" s="376">
        <v>10708</v>
      </c>
      <c r="H194" s="376">
        <v>1043451</v>
      </c>
      <c r="I194" s="376" t="s">
        <v>839</v>
      </c>
      <c r="J194" s="376">
        <v>1043451</v>
      </c>
      <c r="K194" s="376">
        <v>157366</v>
      </c>
      <c r="L194" s="376">
        <v>157268</v>
      </c>
      <c r="M194" s="376">
        <v>157268</v>
      </c>
      <c r="N194" s="376" t="s">
        <v>839</v>
      </c>
      <c r="O194" s="376" t="s">
        <v>839</v>
      </c>
      <c r="P194" s="376" t="s">
        <v>839</v>
      </c>
      <c r="Q194" s="376">
        <v>98</v>
      </c>
      <c r="R194" s="376">
        <v>98</v>
      </c>
      <c r="S194" s="376">
        <v>1984912</v>
      </c>
      <c r="T194" s="376">
        <v>914824</v>
      </c>
      <c r="U194" s="376">
        <v>125449</v>
      </c>
      <c r="V194" s="376" t="s">
        <v>839</v>
      </c>
      <c r="W194" s="381" t="s">
        <v>677</v>
      </c>
    </row>
    <row r="195" spans="1:23" s="376" customFormat="1" ht="9.75" customHeight="1" x14ac:dyDescent="0.15">
      <c r="A195" s="756" t="s">
        <v>674</v>
      </c>
      <c r="B195" s="376" t="s">
        <v>839</v>
      </c>
      <c r="C195" s="376" t="s">
        <v>839</v>
      </c>
      <c r="D195" s="376" t="s">
        <v>839</v>
      </c>
      <c r="E195" s="376" t="s">
        <v>839</v>
      </c>
      <c r="F195" s="376" t="s">
        <v>839</v>
      </c>
      <c r="G195" s="376" t="s">
        <v>839</v>
      </c>
      <c r="H195" s="376">
        <v>1051694</v>
      </c>
      <c r="I195" s="376" t="s">
        <v>839</v>
      </c>
      <c r="J195" s="376">
        <v>1051694</v>
      </c>
      <c r="K195" s="376">
        <v>121734</v>
      </c>
      <c r="L195" s="376">
        <v>50000</v>
      </c>
      <c r="M195" s="376">
        <v>50000</v>
      </c>
      <c r="N195" s="376" t="s">
        <v>839</v>
      </c>
      <c r="O195" s="376">
        <v>71730</v>
      </c>
      <c r="P195" s="376">
        <v>71730</v>
      </c>
      <c r="Q195" s="376">
        <v>4</v>
      </c>
      <c r="R195" s="376">
        <v>4</v>
      </c>
      <c r="S195" s="376">
        <v>1696770</v>
      </c>
      <c r="T195" s="376">
        <v>516273</v>
      </c>
      <c r="U195" s="376">
        <v>92756</v>
      </c>
      <c r="V195" s="376" t="s">
        <v>839</v>
      </c>
      <c r="W195" s="381" t="s">
        <v>89</v>
      </c>
    </row>
    <row r="196" spans="1:23" s="376" customFormat="1" ht="9.75" customHeight="1" x14ac:dyDescent="0.15">
      <c r="A196" s="756" t="s">
        <v>675</v>
      </c>
      <c r="B196" s="376" t="s">
        <v>839</v>
      </c>
      <c r="C196" s="376" t="s">
        <v>839</v>
      </c>
      <c r="D196" s="376" t="s">
        <v>839</v>
      </c>
      <c r="E196" s="376" t="s">
        <v>839</v>
      </c>
      <c r="F196" s="376" t="s">
        <v>839</v>
      </c>
      <c r="G196" s="376" t="s">
        <v>839</v>
      </c>
      <c r="H196" s="376">
        <v>1229445</v>
      </c>
      <c r="I196" s="376" t="s">
        <v>839</v>
      </c>
      <c r="J196" s="376">
        <v>1229445</v>
      </c>
      <c r="K196" s="376">
        <v>238377</v>
      </c>
      <c r="L196" s="376">
        <v>198350</v>
      </c>
      <c r="M196" s="376">
        <v>198350</v>
      </c>
      <c r="N196" s="376" t="s">
        <v>839</v>
      </c>
      <c r="O196" s="376">
        <v>40025</v>
      </c>
      <c r="P196" s="376">
        <v>40025</v>
      </c>
      <c r="Q196" s="376">
        <v>2</v>
      </c>
      <c r="R196" s="376">
        <v>2</v>
      </c>
      <c r="S196" s="376">
        <v>2403495</v>
      </c>
      <c r="T196" s="376">
        <v>814049</v>
      </c>
      <c r="U196" s="376">
        <v>39365</v>
      </c>
      <c r="V196" s="376" t="s">
        <v>839</v>
      </c>
      <c r="W196" s="381" t="s">
        <v>90</v>
      </c>
    </row>
    <row r="197" spans="1:23" s="376" customFormat="1" ht="9.75" customHeight="1" x14ac:dyDescent="0.15">
      <c r="A197" s="756" t="s">
        <v>676</v>
      </c>
      <c r="B197" s="376" t="s">
        <v>839</v>
      </c>
      <c r="C197" s="376" t="s">
        <v>839</v>
      </c>
      <c r="D197" s="376" t="s">
        <v>839</v>
      </c>
      <c r="E197" s="376" t="s">
        <v>839</v>
      </c>
      <c r="F197" s="376" t="s">
        <v>839</v>
      </c>
      <c r="G197" s="376" t="s">
        <v>839</v>
      </c>
      <c r="H197" s="376">
        <v>1363375</v>
      </c>
      <c r="I197" s="376" t="s">
        <v>839</v>
      </c>
      <c r="J197" s="376">
        <v>1363375</v>
      </c>
      <c r="K197" s="376">
        <v>516470</v>
      </c>
      <c r="L197" s="376">
        <v>516452</v>
      </c>
      <c r="M197" s="376">
        <v>516452</v>
      </c>
      <c r="N197" s="376" t="s">
        <v>839</v>
      </c>
      <c r="O197" s="376" t="s">
        <v>839</v>
      </c>
      <c r="P197" s="376" t="s">
        <v>839</v>
      </c>
      <c r="Q197" s="376">
        <v>18</v>
      </c>
      <c r="R197" s="376">
        <v>18</v>
      </c>
      <c r="S197" s="376">
        <v>1720377</v>
      </c>
      <c r="T197" s="376">
        <v>415279</v>
      </c>
      <c r="U197" s="376">
        <v>28350</v>
      </c>
      <c r="V197" s="376" t="s">
        <v>839</v>
      </c>
      <c r="W197" s="381" t="s">
        <v>91</v>
      </c>
    </row>
    <row r="198" spans="1:23" s="376" customFormat="1" ht="9.75" customHeight="1" x14ac:dyDescent="0.15">
      <c r="A198" s="756" t="s">
        <v>846</v>
      </c>
      <c r="B198" s="376" t="s">
        <v>839</v>
      </c>
      <c r="C198" s="376" t="s">
        <v>839</v>
      </c>
      <c r="D198" s="376" t="s">
        <v>839</v>
      </c>
      <c r="E198" s="376" t="s">
        <v>839</v>
      </c>
      <c r="F198" s="376" t="s">
        <v>839</v>
      </c>
      <c r="G198" s="376" t="s">
        <v>839</v>
      </c>
      <c r="H198" s="376">
        <v>1437489</v>
      </c>
      <c r="I198" s="376" t="s">
        <v>839</v>
      </c>
      <c r="J198" s="376">
        <v>1437489</v>
      </c>
      <c r="K198" s="376">
        <v>246210</v>
      </c>
      <c r="L198" s="376">
        <v>199640</v>
      </c>
      <c r="M198" s="376">
        <v>199640</v>
      </c>
      <c r="N198" s="376" t="s">
        <v>839</v>
      </c>
      <c r="O198" s="376">
        <v>46500</v>
      </c>
      <c r="P198" s="376">
        <v>46500</v>
      </c>
      <c r="Q198" s="376">
        <v>70</v>
      </c>
      <c r="R198" s="376">
        <v>70</v>
      </c>
      <c r="S198" s="376">
        <v>2175351</v>
      </c>
      <c r="T198" s="376">
        <v>596564</v>
      </c>
      <c r="U198" s="376">
        <v>98985</v>
      </c>
      <c r="V198" s="376" t="s">
        <v>839</v>
      </c>
      <c r="W198" s="381" t="s">
        <v>847</v>
      </c>
    </row>
    <row r="199" spans="1:23" s="376" customFormat="1" ht="6.75" customHeight="1" x14ac:dyDescent="0.15">
      <c r="A199" s="787"/>
      <c r="W199" s="381"/>
    </row>
    <row r="200" spans="1:23" s="376" customFormat="1" ht="9.75" customHeight="1" x14ac:dyDescent="0.15">
      <c r="A200" s="756" t="s">
        <v>848</v>
      </c>
      <c r="B200" s="376" t="s">
        <v>839</v>
      </c>
      <c r="C200" s="376" t="s">
        <v>839</v>
      </c>
      <c r="D200" s="376" t="s">
        <v>839</v>
      </c>
      <c r="E200" s="376" t="s">
        <v>839</v>
      </c>
      <c r="F200" s="376" t="s">
        <v>839</v>
      </c>
      <c r="G200" s="376" t="s">
        <v>839</v>
      </c>
      <c r="H200" s="376">
        <v>386277</v>
      </c>
      <c r="I200" s="376" t="s">
        <v>839</v>
      </c>
      <c r="J200" s="376">
        <v>386277</v>
      </c>
      <c r="K200" s="376">
        <v>117430</v>
      </c>
      <c r="L200" s="376">
        <v>117402</v>
      </c>
      <c r="M200" s="376">
        <v>117402</v>
      </c>
      <c r="N200" s="376" t="s">
        <v>839</v>
      </c>
      <c r="O200" s="376" t="s">
        <v>839</v>
      </c>
      <c r="P200" s="376" t="s">
        <v>839</v>
      </c>
      <c r="Q200" s="376">
        <v>28</v>
      </c>
      <c r="R200" s="376">
        <v>28</v>
      </c>
      <c r="S200" s="376">
        <v>798732</v>
      </c>
      <c r="T200" s="376">
        <v>358852</v>
      </c>
      <c r="U200" s="376">
        <v>94029</v>
      </c>
      <c r="V200" s="376" t="s">
        <v>839</v>
      </c>
      <c r="W200" s="381" t="s">
        <v>689</v>
      </c>
    </row>
    <row r="201" spans="1:23" s="376" customFormat="1" ht="9.75" customHeight="1" x14ac:dyDescent="0.15">
      <c r="A201" s="756" t="s">
        <v>678</v>
      </c>
      <c r="B201" s="376" t="s">
        <v>839</v>
      </c>
      <c r="C201" s="376" t="s">
        <v>839</v>
      </c>
      <c r="D201" s="376" t="s">
        <v>839</v>
      </c>
      <c r="E201" s="376" t="s">
        <v>839</v>
      </c>
      <c r="F201" s="376" t="s">
        <v>839</v>
      </c>
      <c r="G201" s="376">
        <v>4164</v>
      </c>
      <c r="H201" s="376">
        <v>266100</v>
      </c>
      <c r="I201" s="376" t="s">
        <v>839</v>
      </c>
      <c r="J201" s="376">
        <v>266100</v>
      </c>
      <c r="K201" s="376">
        <v>39898</v>
      </c>
      <c r="L201" s="376">
        <v>39866</v>
      </c>
      <c r="M201" s="376">
        <v>39866</v>
      </c>
      <c r="N201" s="376" t="s">
        <v>839</v>
      </c>
      <c r="O201" s="376" t="s">
        <v>839</v>
      </c>
      <c r="P201" s="376" t="s">
        <v>839</v>
      </c>
      <c r="Q201" s="376">
        <v>32</v>
      </c>
      <c r="R201" s="376">
        <v>32</v>
      </c>
      <c r="S201" s="376">
        <v>566969</v>
      </c>
      <c r="T201" s="376">
        <v>246039</v>
      </c>
      <c r="U201" s="376" t="s">
        <v>839</v>
      </c>
      <c r="V201" s="376" t="s">
        <v>839</v>
      </c>
      <c r="W201" s="381" t="s">
        <v>77</v>
      </c>
    </row>
    <row r="202" spans="1:23" s="376" customFormat="1" ht="9.75" customHeight="1" x14ac:dyDescent="0.15">
      <c r="A202" s="756" t="s">
        <v>679</v>
      </c>
      <c r="B202" s="376" t="s">
        <v>839</v>
      </c>
      <c r="C202" s="376" t="s">
        <v>839</v>
      </c>
      <c r="D202" s="376" t="s">
        <v>839</v>
      </c>
      <c r="E202" s="376" t="s">
        <v>839</v>
      </c>
      <c r="F202" s="376" t="s">
        <v>839</v>
      </c>
      <c r="G202" s="376">
        <v>6544</v>
      </c>
      <c r="H202" s="376">
        <v>391074</v>
      </c>
      <c r="I202" s="376" t="s">
        <v>839</v>
      </c>
      <c r="J202" s="376">
        <v>391074</v>
      </c>
      <c r="K202" s="376">
        <v>38</v>
      </c>
      <c r="L202" s="376" t="s">
        <v>839</v>
      </c>
      <c r="M202" s="376" t="s">
        <v>839</v>
      </c>
      <c r="N202" s="376" t="s">
        <v>839</v>
      </c>
      <c r="O202" s="376" t="s">
        <v>839</v>
      </c>
      <c r="P202" s="376" t="s">
        <v>839</v>
      </c>
      <c r="Q202" s="376">
        <v>38</v>
      </c>
      <c r="R202" s="376">
        <v>38</v>
      </c>
      <c r="S202" s="376">
        <v>619211</v>
      </c>
      <c r="T202" s="376">
        <v>309933</v>
      </c>
      <c r="U202" s="376">
        <v>31420</v>
      </c>
      <c r="V202" s="376" t="s">
        <v>839</v>
      </c>
      <c r="W202" s="381" t="s">
        <v>78</v>
      </c>
    </row>
    <row r="203" spans="1:23" s="376" customFormat="1" ht="9.75" customHeight="1" x14ac:dyDescent="0.15">
      <c r="A203" s="756" t="s">
        <v>680</v>
      </c>
      <c r="B203" s="376" t="s">
        <v>839</v>
      </c>
      <c r="C203" s="376" t="s">
        <v>839</v>
      </c>
      <c r="D203" s="376" t="s">
        <v>839</v>
      </c>
      <c r="E203" s="376" t="s">
        <v>839</v>
      </c>
      <c r="F203" s="376" t="s">
        <v>839</v>
      </c>
      <c r="G203" s="376" t="s">
        <v>839</v>
      </c>
      <c r="H203" s="376">
        <v>351081</v>
      </c>
      <c r="I203" s="376" t="s">
        <v>839</v>
      </c>
      <c r="J203" s="376">
        <v>351081</v>
      </c>
      <c r="K203" s="376" t="s">
        <v>839</v>
      </c>
      <c r="L203" s="376" t="s">
        <v>839</v>
      </c>
      <c r="M203" s="376" t="s">
        <v>839</v>
      </c>
      <c r="N203" s="376" t="s">
        <v>839</v>
      </c>
      <c r="O203" s="376" t="s">
        <v>839</v>
      </c>
      <c r="P203" s="376" t="s">
        <v>839</v>
      </c>
      <c r="Q203" s="376" t="s">
        <v>839</v>
      </c>
      <c r="R203" s="376" t="s">
        <v>839</v>
      </c>
      <c r="S203" s="376">
        <v>361800</v>
      </c>
      <c r="T203" s="376">
        <v>82302</v>
      </c>
      <c r="U203" s="376">
        <v>2380</v>
      </c>
      <c r="V203" s="376" t="s">
        <v>839</v>
      </c>
      <c r="W203" s="381" t="s">
        <v>79</v>
      </c>
    </row>
    <row r="204" spans="1:23" s="376" customFormat="1" ht="9.75" customHeight="1" x14ac:dyDescent="0.15">
      <c r="A204" s="756" t="s">
        <v>681</v>
      </c>
      <c r="B204" s="376" t="s">
        <v>839</v>
      </c>
      <c r="C204" s="376" t="s">
        <v>839</v>
      </c>
      <c r="D204" s="376" t="s">
        <v>839</v>
      </c>
      <c r="E204" s="376" t="s">
        <v>839</v>
      </c>
      <c r="F204" s="376" t="s">
        <v>839</v>
      </c>
      <c r="G204" s="376" t="s">
        <v>839</v>
      </c>
      <c r="H204" s="376">
        <v>345092</v>
      </c>
      <c r="I204" s="376" t="s">
        <v>839</v>
      </c>
      <c r="J204" s="376">
        <v>345092</v>
      </c>
      <c r="K204" s="376">
        <v>71730</v>
      </c>
      <c r="L204" s="376" t="s">
        <v>839</v>
      </c>
      <c r="M204" s="376" t="s">
        <v>839</v>
      </c>
      <c r="N204" s="376" t="s">
        <v>839</v>
      </c>
      <c r="O204" s="376">
        <v>71730</v>
      </c>
      <c r="P204" s="376">
        <v>71730</v>
      </c>
      <c r="Q204" s="376" t="s">
        <v>839</v>
      </c>
      <c r="R204" s="376" t="s">
        <v>839</v>
      </c>
      <c r="S204" s="376">
        <v>661175</v>
      </c>
      <c r="T204" s="376">
        <v>154826</v>
      </c>
      <c r="U204" s="376">
        <v>60926</v>
      </c>
      <c r="V204" s="376" t="s">
        <v>839</v>
      </c>
      <c r="W204" s="381" t="s">
        <v>92</v>
      </c>
    </row>
    <row r="205" spans="1:23" s="376" customFormat="1" ht="9.75" customHeight="1" x14ac:dyDescent="0.15">
      <c r="A205" s="756" t="s">
        <v>682</v>
      </c>
      <c r="B205" s="376" t="s">
        <v>839</v>
      </c>
      <c r="C205" s="376" t="s">
        <v>839</v>
      </c>
      <c r="D205" s="376" t="s">
        <v>839</v>
      </c>
      <c r="E205" s="376" t="s">
        <v>839</v>
      </c>
      <c r="F205" s="376" t="s">
        <v>839</v>
      </c>
      <c r="G205" s="376" t="s">
        <v>839</v>
      </c>
      <c r="H205" s="376">
        <v>355521</v>
      </c>
      <c r="I205" s="376" t="s">
        <v>839</v>
      </c>
      <c r="J205" s="376">
        <v>355521</v>
      </c>
      <c r="K205" s="376">
        <v>50004</v>
      </c>
      <c r="L205" s="376">
        <v>50000</v>
      </c>
      <c r="M205" s="376">
        <v>50000</v>
      </c>
      <c r="N205" s="376" t="s">
        <v>839</v>
      </c>
      <c r="O205" s="376" t="s">
        <v>839</v>
      </c>
      <c r="P205" s="376" t="s">
        <v>839</v>
      </c>
      <c r="Q205" s="376">
        <v>4</v>
      </c>
      <c r="R205" s="376">
        <v>4</v>
      </c>
      <c r="S205" s="376">
        <v>673795</v>
      </c>
      <c r="T205" s="376">
        <v>279145</v>
      </c>
      <c r="U205" s="376">
        <v>29450</v>
      </c>
      <c r="V205" s="376" t="s">
        <v>839</v>
      </c>
      <c r="W205" s="381" t="s">
        <v>93</v>
      </c>
    </row>
    <row r="206" spans="1:23" s="376" customFormat="1" ht="9.75" customHeight="1" x14ac:dyDescent="0.15">
      <c r="A206" s="756" t="s">
        <v>683</v>
      </c>
      <c r="B206" s="376" t="s">
        <v>839</v>
      </c>
      <c r="C206" s="376" t="s">
        <v>839</v>
      </c>
      <c r="D206" s="376" t="s">
        <v>839</v>
      </c>
      <c r="E206" s="376" t="s">
        <v>839</v>
      </c>
      <c r="F206" s="376" t="s">
        <v>839</v>
      </c>
      <c r="G206" s="376" t="s">
        <v>839</v>
      </c>
      <c r="H206" s="376">
        <v>402647</v>
      </c>
      <c r="I206" s="376" t="s">
        <v>839</v>
      </c>
      <c r="J206" s="376">
        <v>402647</v>
      </c>
      <c r="K206" s="376">
        <v>94850</v>
      </c>
      <c r="L206" s="376">
        <v>74850</v>
      </c>
      <c r="M206" s="376">
        <v>74850</v>
      </c>
      <c r="N206" s="376" t="s">
        <v>839</v>
      </c>
      <c r="O206" s="376">
        <v>20000</v>
      </c>
      <c r="P206" s="376">
        <v>20000</v>
      </c>
      <c r="Q206" s="376" t="s">
        <v>839</v>
      </c>
      <c r="R206" s="376" t="s">
        <v>839</v>
      </c>
      <c r="S206" s="376">
        <v>572586</v>
      </c>
      <c r="T206" s="376">
        <v>228053</v>
      </c>
      <c r="U206" s="376">
        <v>27150</v>
      </c>
      <c r="V206" s="376" t="s">
        <v>839</v>
      </c>
      <c r="W206" s="381" t="s">
        <v>94</v>
      </c>
    </row>
    <row r="207" spans="1:23" s="376" customFormat="1" ht="9.75" customHeight="1" x14ac:dyDescent="0.15">
      <c r="A207" s="756" t="s">
        <v>684</v>
      </c>
      <c r="B207" s="376" t="s">
        <v>839</v>
      </c>
      <c r="C207" s="376" t="s">
        <v>839</v>
      </c>
      <c r="D207" s="376" t="s">
        <v>839</v>
      </c>
      <c r="E207" s="376" t="s">
        <v>839</v>
      </c>
      <c r="F207" s="376" t="s">
        <v>839</v>
      </c>
      <c r="G207" s="376" t="s">
        <v>839</v>
      </c>
      <c r="H207" s="376">
        <v>420079</v>
      </c>
      <c r="I207" s="376" t="s">
        <v>839</v>
      </c>
      <c r="J207" s="376">
        <v>420079</v>
      </c>
      <c r="K207" s="376">
        <v>69927</v>
      </c>
      <c r="L207" s="376">
        <v>49900</v>
      </c>
      <c r="M207" s="376">
        <v>49900</v>
      </c>
      <c r="N207" s="376" t="s">
        <v>839</v>
      </c>
      <c r="O207" s="376">
        <v>20025</v>
      </c>
      <c r="P207" s="376">
        <v>20025</v>
      </c>
      <c r="Q207" s="376">
        <v>2</v>
      </c>
      <c r="R207" s="376">
        <v>2</v>
      </c>
      <c r="S207" s="376">
        <v>895843</v>
      </c>
      <c r="T207" s="376">
        <v>294092</v>
      </c>
      <c r="U207" s="376" t="s">
        <v>839</v>
      </c>
      <c r="V207" s="376" t="s">
        <v>839</v>
      </c>
      <c r="W207" s="381" t="s">
        <v>95</v>
      </c>
    </row>
    <row r="208" spans="1:23" s="376" customFormat="1" ht="9.75" customHeight="1" x14ac:dyDescent="0.15">
      <c r="A208" s="756" t="s">
        <v>685</v>
      </c>
      <c r="B208" s="376" t="s">
        <v>839</v>
      </c>
      <c r="C208" s="376" t="s">
        <v>839</v>
      </c>
      <c r="D208" s="376" t="s">
        <v>839</v>
      </c>
      <c r="E208" s="376" t="s">
        <v>839</v>
      </c>
      <c r="F208" s="376" t="s">
        <v>839</v>
      </c>
      <c r="G208" s="376" t="s">
        <v>839</v>
      </c>
      <c r="H208" s="376">
        <v>406719</v>
      </c>
      <c r="I208" s="376" t="s">
        <v>839</v>
      </c>
      <c r="J208" s="376">
        <v>406719</v>
      </c>
      <c r="K208" s="376">
        <v>73600</v>
      </c>
      <c r="L208" s="376">
        <v>73600</v>
      </c>
      <c r="M208" s="376">
        <v>73600</v>
      </c>
      <c r="N208" s="376" t="s">
        <v>839</v>
      </c>
      <c r="O208" s="376" t="s">
        <v>839</v>
      </c>
      <c r="P208" s="376" t="s">
        <v>839</v>
      </c>
      <c r="Q208" s="376" t="s">
        <v>839</v>
      </c>
      <c r="R208" s="376" t="s">
        <v>839</v>
      </c>
      <c r="S208" s="376">
        <v>935066</v>
      </c>
      <c r="T208" s="376">
        <v>291904</v>
      </c>
      <c r="U208" s="376">
        <v>12215</v>
      </c>
      <c r="V208" s="376" t="s">
        <v>839</v>
      </c>
      <c r="W208" s="381" t="s">
        <v>96</v>
      </c>
    </row>
    <row r="209" spans="1:23" s="376" customFormat="1" ht="9.75" customHeight="1" x14ac:dyDescent="0.15">
      <c r="A209" s="756" t="s">
        <v>686</v>
      </c>
      <c r="B209" s="376" t="s">
        <v>839</v>
      </c>
      <c r="C209" s="376" t="s">
        <v>839</v>
      </c>
      <c r="D209" s="376" t="s">
        <v>839</v>
      </c>
      <c r="E209" s="376" t="s">
        <v>839</v>
      </c>
      <c r="F209" s="376" t="s">
        <v>839</v>
      </c>
      <c r="G209" s="376" t="s">
        <v>839</v>
      </c>
      <c r="H209" s="376">
        <v>404739</v>
      </c>
      <c r="I209" s="376" t="s">
        <v>839</v>
      </c>
      <c r="J209" s="376">
        <v>404739</v>
      </c>
      <c r="K209" s="376">
        <v>170423</v>
      </c>
      <c r="L209" s="376">
        <v>170409</v>
      </c>
      <c r="M209" s="376">
        <v>170409</v>
      </c>
      <c r="N209" s="376" t="s">
        <v>839</v>
      </c>
      <c r="O209" s="376" t="s">
        <v>839</v>
      </c>
      <c r="P209" s="376" t="s">
        <v>839</v>
      </c>
      <c r="Q209" s="376">
        <v>14</v>
      </c>
      <c r="R209" s="376">
        <v>14</v>
      </c>
      <c r="S209" s="376">
        <v>435104</v>
      </c>
      <c r="T209" s="376">
        <v>122730</v>
      </c>
      <c r="U209" s="376" t="s">
        <v>839</v>
      </c>
      <c r="V209" s="376" t="s">
        <v>839</v>
      </c>
      <c r="W209" s="381" t="s">
        <v>80</v>
      </c>
    </row>
    <row r="210" spans="1:23" s="376" customFormat="1" ht="9.75" customHeight="1" x14ac:dyDescent="0.15">
      <c r="A210" s="756" t="s">
        <v>687</v>
      </c>
      <c r="B210" s="376" t="s">
        <v>839</v>
      </c>
      <c r="C210" s="376" t="s">
        <v>839</v>
      </c>
      <c r="D210" s="376" t="s">
        <v>839</v>
      </c>
      <c r="E210" s="376" t="s">
        <v>839</v>
      </c>
      <c r="F210" s="376" t="s">
        <v>839</v>
      </c>
      <c r="G210" s="376" t="s">
        <v>839</v>
      </c>
      <c r="H210" s="376">
        <v>436788</v>
      </c>
      <c r="I210" s="376" t="s">
        <v>839</v>
      </c>
      <c r="J210" s="376">
        <v>436788</v>
      </c>
      <c r="K210" s="376">
        <v>197822</v>
      </c>
      <c r="L210" s="376">
        <v>197822</v>
      </c>
      <c r="M210" s="376">
        <v>197822</v>
      </c>
      <c r="N210" s="376" t="s">
        <v>839</v>
      </c>
      <c r="O210" s="376" t="s">
        <v>839</v>
      </c>
      <c r="P210" s="376" t="s">
        <v>839</v>
      </c>
      <c r="Q210" s="376" t="s">
        <v>839</v>
      </c>
      <c r="R210" s="376" t="s">
        <v>839</v>
      </c>
      <c r="S210" s="376">
        <v>578165</v>
      </c>
      <c r="T210" s="376">
        <v>42601</v>
      </c>
      <c r="U210" s="376" t="s">
        <v>839</v>
      </c>
      <c r="V210" s="376" t="s">
        <v>839</v>
      </c>
      <c r="W210" s="381" t="s">
        <v>81</v>
      </c>
    </row>
    <row r="211" spans="1:23" s="376" customFormat="1" ht="9.75" customHeight="1" x14ac:dyDescent="0.15">
      <c r="A211" s="756" t="s">
        <v>688</v>
      </c>
      <c r="B211" s="376" t="s">
        <v>839</v>
      </c>
      <c r="C211" s="376" t="s">
        <v>839</v>
      </c>
      <c r="D211" s="376" t="s">
        <v>839</v>
      </c>
      <c r="E211" s="376" t="s">
        <v>839</v>
      </c>
      <c r="F211" s="376" t="s">
        <v>839</v>
      </c>
      <c r="G211" s="376" t="s">
        <v>839</v>
      </c>
      <c r="H211" s="376">
        <v>521848</v>
      </c>
      <c r="I211" s="376" t="s">
        <v>839</v>
      </c>
      <c r="J211" s="376">
        <v>521848</v>
      </c>
      <c r="K211" s="376">
        <v>148225</v>
      </c>
      <c r="L211" s="376">
        <v>148221</v>
      </c>
      <c r="M211" s="376">
        <v>148221</v>
      </c>
      <c r="N211" s="376" t="s">
        <v>839</v>
      </c>
      <c r="O211" s="376" t="s">
        <v>839</v>
      </c>
      <c r="P211" s="376" t="s">
        <v>839</v>
      </c>
      <c r="Q211" s="376">
        <v>4</v>
      </c>
      <c r="R211" s="376">
        <v>4</v>
      </c>
      <c r="S211" s="376">
        <v>707108</v>
      </c>
      <c r="T211" s="376">
        <v>249948</v>
      </c>
      <c r="U211" s="376">
        <v>28350</v>
      </c>
      <c r="V211" s="376" t="s">
        <v>839</v>
      </c>
      <c r="W211" s="381" t="s">
        <v>82</v>
      </c>
    </row>
    <row r="212" spans="1:23" s="376" customFormat="1" ht="9.75" customHeight="1" x14ac:dyDescent="0.15">
      <c r="A212" s="756" t="s">
        <v>849</v>
      </c>
      <c r="B212" s="376" t="s">
        <v>839</v>
      </c>
      <c r="C212" s="376" t="s">
        <v>839</v>
      </c>
      <c r="D212" s="376" t="s">
        <v>839</v>
      </c>
      <c r="E212" s="376" t="s">
        <v>839</v>
      </c>
      <c r="F212" s="376" t="s">
        <v>839</v>
      </c>
      <c r="G212" s="376" t="s">
        <v>839</v>
      </c>
      <c r="H212" s="376">
        <v>473627</v>
      </c>
      <c r="I212" s="376" t="s">
        <v>839</v>
      </c>
      <c r="J212" s="376">
        <v>473627</v>
      </c>
      <c r="K212" s="376">
        <v>98392</v>
      </c>
      <c r="L212" s="376">
        <v>98370</v>
      </c>
      <c r="M212" s="376">
        <v>98370</v>
      </c>
      <c r="N212" s="376" t="s">
        <v>839</v>
      </c>
      <c r="O212" s="376" t="s">
        <v>839</v>
      </c>
      <c r="P212" s="376" t="s">
        <v>839</v>
      </c>
      <c r="Q212" s="376">
        <v>22</v>
      </c>
      <c r="R212" s="376">
        <v>22</v>
      </c>
      <c r="S212" s="376">
        <v>845038</v>
      </c>
      <c r="T212" s="376">
        <v>262197</v>
      </c>
      <c r="U212" s="376" t="s">
        <v>839</v>
      </c>
      <c r="V212" s="376" t="s">
        <v>839</v>
      </c>
      <c r="W212" s="381" t="s">
        <v>850</v>
      </c>
    </row>
    <row r="213" spans="1:23" s="376" customFormat="1" ht="9.75" customHeight="1" x14ac:dyDescent="0.15">
      <c r="A213" s="756" t="s">
        <v>690</v>
      </c>
      <c r="B213" s="376" t="s">
        <v>839</v>
      </c>
      <c r="C213" s="376" t="s">
        <v>839</v>
      </c>
      <c r="D213" s="376" t="s">
        <v>839</v>
      </c>
      <c r="E213" s="376" t="s">
        <v>839</v>
      </c>
      <c r="F213" s="376" t="s">
        <v>839</v>
      </c>
      <c r="G213" s="376" t="s">
        <v>839</v>
      </c>
      <c r="H213" s="376">
        <v>439068</v>
      </c>
      <c r="I213" s="376" t="s">
        <v>839</v>
      </c>
      <c r="J213" s="376">
        <v>439068</v>
      </c>
      <c r="K213" s="376">
        <v>101306</v>
      </c>
      <c r="L213" s="376">
        <v>101270</v>
      </c>
      <c r="M213" s="376">
        <v>101270</v>
      </c>
      <c r="N213" s="376" t="s">
        <v>839</v>
      </c>
      <c r="O213" s="376" t="s">
        <v>839</v>
      </c>
      <c r="P213" s="376" t="s">
        <v>839</v>
      </c>
      <c r="Q213" s="376">
        <v>36</v>
      </c>
      <c r="R213" s="376">
        <v>36</v>
      </c>
      <c r="S213" s="376">
        <v>694407</v>
      </c>
      <c r="T213" s="376">
        <v>192297</v>
      </c>
      <c r="U213" s="376">
        <v>49995</v>
      </c>
      <c r="V213" s="376" t="s">
        <v>839</v>
      </c>
      <c r="W213" s="381" t="s">
        <v>77</v>
      </c>
    </row>
    <row r="214" spans="1:23" s="376" customFormat="1" ht="9.75" customHeight="1" x14ac:dyDescent="0.15">
      <c r="A214" s="757" t="s">
        <v>691</v>
      </c>
      <c r="B214" s="380" t="s">
        <v>839</v>
      </c>
      <c r="C214" s="379" t="s">
        <v>839</v>
      </c>
      <c r="D214" s="379" t="s">
        <v>839</v>
      </c>
      <c r="E214" s="379" t="s">
        <v>839</v>
      </c>
      <c r="F214" s="379" t="s">
        <v>839</v>
      </c>
      <c r="G214" s="379" t="s">
        <v>839</v>
      </c>
      <c r="H214" s="379">
        <v>524794</v>
      </c>
      <c r="I214" s="379" t="s">
        <v>839</v>
      </c>
      <c r="J214" s="379">
        <v>524794</v>
      </c>
      <c r="K214" s="379">
        <v>46512</v>
      </c>
      <c r="L214" s="379" t="s">
        <v>839</v>
      </c>
      <c r="M214" s="379" t="s">
        <v>839</v>
      </c>
      <c r="N214" s="379" t="s">
        <v>839</v>
      </c>
      <c r="O214" s="379">
        <v>46500</v>
      </c>
      <c r="P214" s="379">
        <v>46500</v>
      </c>
      <c r="Q214" s="379">
        <v>12</v>
      </c>
      <c r="R214" s="379">
        <v>12</v>
      </c>
      <c r="S214" s="379">
        <v>635906</v>
      </c>
      <c r="T214" s="379">
        <v>142070</v>
      </c>
      <c r="U214" s="379">
        <v>48990</v>
      </c>
      <c r="V214" s="379" t="s">
        <v>839</v>
      </c>
      <c r="W214" s="377" t="s">
        <v>78</v>
      </c>
    </row>
    <row r="215" spans="1:23" ht="12" customHeight="1" x14ac:dyDescent="0.15"/>
    <row r="216" spans="1:23" ht="12" customHeight="1" x14ac:dyDescent="0.15"/>
    <row r="217" spans="1:23" ht="12" customHeight="1" x14ac:dyDescent="0.15">
      <c r="K217" s="391" t="s">
        <v>97</v>
      </c>
      <c r="V217" s="394" t="s">
        <v>984</v>
      </c>
    </row>
    <row r="218" spans="1:23" s="387" customFormat="1" ht="21" customHeight="1" x14ac:dyDescent="0.15">
      <c r="A218" s="1023" t="s">
        <v>185</v>
      </c>
      <c r="B218" s="390" t="s">
        <v>352</v>
      </c>
      <c r="C218" s="389"/>
      <c r="D218" s="389"/>
      <c r="E218" s="389"/>
      <c r="F218" s="389"/>
      <c r="G218" s="389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  <c r="T218" s="389"/>
      <c r="U218" s="389"/>
      <c r="V218" s="389"/>
      <c r="W218" s="1026" t="s">
        <v>83</v>
      </c>
    </row>
    <row r="219" spans="1:23" s="387" customFormat="1" ht="21" customHeight="1" x14ac:dyDescent="0.15">
      <c r="A219" s="1024"/>
      <c r="B219" s="390" t="s">
        <v>274</v>
      </c>
      <c r="C219" s="389"/>
      <c r="D219" s="389"/>
      <c r="E219" s="389"/>
      <c r="F219" s="389"/>
      <c r="G219" s="389"/>
      <c r="H219" s="389"/>
      <c r="I219" s="389"/>
      <c r="J219" s="732"/>
      <c r="K219" s="733" t="s">
        <v>273</v>
      </c>
      <c r="L219" s="389"/>
      <c r="M219" s="732"/>
      <c r="N219" s="733" t="s">
        <v>272</v>
      </c>
      <c r="O219" s="389"/>
      <c r="P219" s="389"/>
      <c r="Q219" s="389"/>
      <c r="R219" s="732"/>
      <c r="S219" s="733" t="s">
        <v>271</v>
      </c>
      <c r="T219" s="389"/>
      <c r="U219" s="389"/>
      <c r="V219" s="389"/>
      <c r="W219" s="1027"/>
    </row>
    <row r="220" spans="1:23" s="387" customFormat="1" ht="52.5" customHeight="1" x14ac:dyDescent="0.15">
      <c r="A220" s="1025"/>
      <c r="B220" s="388" t="s">
        <v>285</v>
      </c>
      <c r="C220" s="388" t="s">
        <v>291</v>
      </c>
      <c r="D220" s="388" t="s">
        <v>339</v>
      </c>
      <c r="E220" s="388" t="s">
        <v>290</v>
      </c>
      <c r="F220" s="388" t="s">
        <v>269</v>
      </c>
      <c r="G220" s="388" t="s">
        <v>268</v>
      </c>
      <c r="H220" s="388" t="s">
        <v>318</v>
      </c>
      <c r="I220" s="388" t="s">
        <v>266</v>
      </c>
      <c r="J220" s="388" t="s">
        <v>315</v>
      </c>
      <c r="K220" s="735" t="s">
        <v>106</v>
      </c>
      <c r="L220" s="393" t="s">
        <v>979</v>
      </c>
      <c r="M220" s="388" t="s">
        <v>262</v>
      </c>
      <c r="N220" s="735" t="s">
        <v>980</v>
      </c>
      <c r="O220" s="388" t="s">
        <v>287</v>
      </c>
      <c r="P220" s="388" t="s">
        <v>258</v>
      </c>
      <c r="Q220" s="388" t="s">
        <v>311</v>
      </c>
      <c r="R220" s="388" t="s">
        <v>280</v>
      </c>
      <c r="S220" s="735" t="s">
        <v>982</v>
      </c>
      <c r="T220" s="388" t="s">
        <v>333</v>
      </c>
      <c r="U220" s="388" t="s">
        <v>257</v>
      </c>
      <c r="V220" s="392" t="s">
        <v>332</v>
      </c>
      <c r="W220" s="1028"/>
    </row>
    <row r="221" spans="1:23" s="376" customFormat="1" ht="9.75" customHeight="1" x14ac:dyDescent="0.15">
      <c r="A221" s="755" t="s">
        <v>838</v>
      </c>
      <c r="B221" s="386">
        <v>443043</v>
      </c>
      <c r="C221" s="385">
        <v>301646</v>
      </c>
      <c r="D221" s="385" t="s">
        <v>839</v>
      </c>
      <c r="E221" s="385" t="s">
        <v>839</v>
      </c>
      <c r="F221" s="385">
        <v>294382</v>
      </c>
      <c r="G221" s="385">
        <v>45500</v>
      </c>
      <c r="H221" s="385">
        <v>337442</v>
      </c>
      <c r="I221" s="385" t="s">
        <v>839</v>
      </c>
      <c r="J221" s="385" t="s">
        <v>839</v>
      </c>
      <c r="K221" s="385" t="s">
        <v>839</v>
      </c>
      <c r="L221" s="385" t="s">
        <v>839</v>
      </c>
      <c r="M221" s="385" t="s">
        <v>839</v>
      </c>
      <c r="N221" s="385">
        <v>658071</v>
      </c>
      <c r="O221" s="385">
        <v>74536</v>
      </c>
      <c r="P221" s="385">
        <v>192497</v>
      </c>
      <c r="Q221" s="385">
        <v>391038</v>
      </c>
      <c r="R221" s="385" t="s">
        <v>839</v>
      </c>
      <c r="S221" s="385">
        <v>613877</v>
      </c>
      <c r="T221" s="385" t="s">
        <v>839</v>
      </c>
      <c r="U221" s="385" t="s">
        <v>839</v>
      </c>
      <c r="V221" s="385">
        <v>613877</v>
      </c>
      <c r="W221" s="383" t="s">
        <v>457</v>
      </c>
    </row>
    <row r="222" spans="1:23" s="376" customFormat="1" ht="9.75" customHeight="1" x14ac:dyDescent="0.15">
      <c r="A222" s="756" t="s">
        <v>669</v>
      </c>
      <c r="B222" s="376">
        <v>638684</v>
      </c>
      <c r="C222" s="376">
        <v>341653</v>
      </c>
      <c r="D222" s="376" t="s">
        <v>839</v>
      </c>
      <c r="E222" s="376">
        <v>80107</v>
      </c>
      <c r="F222" s="376">
        <v>198304</v>
      </c>
      <c r="G222" s="376">
        <v>152563</v>
      </c>
      <c r="H222" s="376">
        <v>187999</v>
      </c>
      <c r="I222" s="376" t="s">
        <v>839</v>
      </c>
      <c r="J222" s="376" t="s">
        <v>839</v>
      </c>
      <c r="K222" s="376" t="s">
        <v>839</v>
      </c>
      <c r="L222" s="376" t="s">
        <v>839</v>
      </c>
      <c r="M222" s="376" t="s">
        <v>839</v>
      </c>
      <c r="N222" s="376">
        <v>246056</v>
      </c>
      <c r="O222" s="376" t="s">
        <v>839</v>
      </c>
      <c r="P222" s="376">
        <v>68323</v>
      </c>
      <c r="Q222" s="376">
        <v>149254</v>
      </c>
      <c r="R222" s="376">
        <v>28479</v>
      </c>
      <c r="S222" s="376">
        <v>1478028</v>
      </c>
      <c r="T222" s="376">
        <v>164905</v>
      </c>
      <c r="U222" s="376" t="s">
        <v>839</v>
      </c>
      <c r="V222" s="376">
        <v>1313123</v>
      </c>
      <c r="W222" s="381" t="s">
        <v>512</v>
      </c>
    </row>
    <row r="223" spans="1:23" s="376" customFormat="1" ht="9.75" customHeight="1" x14ac:dyDescent="0.15">
      <c r="A223" s="756" t="s">
        <v>670</v>
      </c>
      <c r="B223" s="376">
        <v>50000</v>
      </c>
      <c r="C223" s="376">
        <v>127841</v>
      </c>
      <c r="D223" s="376" t="s">
        <v>839</v>
      </c>
      <c r="E223" s="376">
        <v>43901</v>
      </c>
      <c r="F223" s="376">
        <v>85370</v>
      </c>
      <c r="G223" s="376">
        <v>195030</v>
      </c>
      <c r="H223" s="376">
        <v>89701</v>
      </c>
      <c r="I223" s="376" t="s">
        <v>839</v>
      </c>
      <c r="J223" s="376">
        <v>73877</v>
      </c>
      <c r="K223" s="376">
        <v>119888</v>
      </c>
      <c r="L223" s="376">
        <v>119888</v>
      </c>
      <c r="M223" s="376" t="s">
        <v>839</v>
      </c>
      <c r="N223" s="376">
        <v>12680</v>
      </c>
      <c r="O223" s="376" t="s">
        <v>839</v>
      </c>
      <c r="P223" s="376">
        <v>12680</v>
      </c>
      <c r="Q223" s="376" t="s">
        <v>839</v>
      </c>
      <c r="R223" s="376" t="s">
        <v>839</v>
      </c>
      <c r="S223" s="376">
        <v>83186</v>
      </c>
      <c r="T223" s="376" t="s">
        <v>839</v>
      </c>
      <c r="U223" s="376" t="s">
        <v>839</v>
      </c>
      <c r="V223" s="376">
        <v>83186</v>
      </c>
      <c r="W223" s="381" t="s">
        <v>620</v>
      </c>
    </row>
    <row r="224" spans="1:23" s="376" customFormat="1" ht="9.75" customHeight="1" x14ac:dyDescent="0.15">
      <c r="A224" s="756" t="s">
        <v>671</v>
      </c>
      <c r="B224" s="376" t="s">
        <v>839</v>
      </c>
      <c r="C224" s="376">
        <v>133072</v>
      </c>
      <c r="D224" s="376" t="s">
        <v>839</v>
      </c>
      <c r="E224" s="376" t="s">
        <v>839</v>
      </c>
      <c r="F224" s="376">
        <v>147880</v>
      </c>
      <c r="G224" s="376">
        <v>102330</v>
      </c>
      <c r="H224" s="376">
        <v>405831</v>
      </c>
      <c r="I224" s="376" t="s">
        <v>839</v>
      </c>
      <c r="J224" s="376">
        <v>98377</v>
      </c>
      <c r="K224" s="376" t="s">
        <v>839</v>
      </c>
      <c r="L224" s="376" t="s">
        <v>839</v>
      </c>
      <c r="M224" s="376" t="s">
        <v>839</v>
      </c>
      <c r="N224" s="376">
        <v>100285</v>
      </c>
      <c r="O224" s="376" t="s">
        <v>839</v>
      </c>
      <c r="P224" s="376">
        <v>51081</v>
      </c>
      <c r="Q224" s="376">
        <v>49204</v>
      </c>
      <c r="R224" s="376" t="s">
        <v>839</v>
      </c>
      <c r="S224" s="376">
        <v>833501</v>
      </c>
      <c r="T224" s="376">
        <v>136060</v>
      </c>
      <c r="U224" s="376">
        <v>97652</v>
      </c>
      <c r="V224" s="376">
        <v>599789</v>
      </c>
      <c r="W224" s="381" t="s">
        <v>672</v>
      </c>
    </row>
    <row r="225" spans="1:23" s="376" customFormat="1" ht="9.75" customHeight="1" x14ac:dyDescent="0.15">
      <c r="A225" s="756" t="s">
        <v>840</v>
      </c>
      <c r="B225" s="376" t="s">
        <v>839</v>
      </c>
      <c r="C225" s="376">
        <v>37295</v>
      </c>
      <c r="D225" s="376" t="s">
        <v>839</v>
      </c>
      <c r="E225" s="376">
        <v>97751</v>
      </c>
      <c r="F225" s="376">
        <v>441006</v>
      </c>
      <c r="G225" s="376">
        <v>66632</v>
      </c>
      <c r="H225" s="376">
        <v>1218656</v>
      </c>
      <c r="I225" s="376">
        <v>1697</v>
      </c>
      <c r="J225" s="376">
        <v>511468</v>
      </c>
      <c r="K225" s="376">
        <v>123708</v>
      </c>
      <c r="L225" s="376" t="s">
        <v>839</v>
      </c>
      <c r="M225" s="376">
        <v>123708</v>
      </c>
      <c r="N225" s="376">
        <v>436912</v>
      </c>
      <c r="O225" s="376" t="s">
        <v>839</v>
      </c>
      <c r="P225" s="376">
        <v>89353</v>
      </c>
      <c r="Q225" s="376">
        <v>347559</v>
      </c>
      <c r="R225" s="376" t="s">
        <v>839</v>
      </c>
      <c r="S225" s="376">
        <v>949279</v>
      </c>
      <c r="T225" s="376">
        <v>90681</v>
      </c>
      <c r="U225" s="376" t="s">
        <v>839</v>
      </c>
      <c r="V225" s="376">
        <v>858598</v>
      </c>
      <c r="W225" s="381" t="s">
        <v>841</v>
      </c>
    </row>
    <row r="226" spans="1:23" s="376" customFormat="1" ht="6.75" customHeight="1" x14ac:dyDescent="0.15">
      <c r="A226" s="787"/>
      <c r="W226" s="381"/>
    </row>
    <row r="227" spans="1:23" s="376" customFormat="1" ht="9.75" customHeight="1" x14ac:dyDescent="0.15">
      <c r="A227" s="756" t="s">
        <v>842</v>
      </c>
      <c r="B227" s="376" t="s">
        <v>839</v>
      </c>
      <c r="C227" s="376">
        <v>133072</v>
      </c>
      <c r="D227" s="376" t="s">
        <v>839</v>
      </c>
      <c r="E227" s="376">
        <v>50051</v>
      </c>
      <c r="F227" s="376">
        <v>252073</v>
      </c>
      <c r="G227" s="376">
        <v>102330</v>
      </c>
      <c r="H227" s="376">
        <v>791890</v>
      </c>
      <c r="I227" s="376" t="s">
        <v>839</v>
      </c>
      <c r="J227" s="376">
        <v>297373</v>
      </c>
      <c r="K227" s="376" t="s">
        <v>839</v>
      </c>
      <c r="L227" s="376" t="s">
        <v>839</v>
      </c>
      <c r="M227" s="376" t="s">
        <v>839</v>
      </c>
      <c r="N227" s="376">
        <v>127548</v>
      </c>
      <c r="O227" s="376" t="s">
        <v>839</v>
      </c>
      <c r="P227" s="376">
        <v>78344</v>
      </c>
      <c r="Q227" s="376">
        <v>49204</v>
      </c>
      <c r="R227" s="376" t="s">
        <v>839</v>
      </c>
      <c r="S227" s="376">
        <v>1023287</v>
      </c>
      <c r="T227" s="376">
        <v>181391</v>
      </c>
      <c r="U227" s="376">
        <v>97652</v>
      </c>
      <c r="V227" s="376">
        <v>744244</v>
      </c>
      <c r="W227" s="381" t="s">
        <v>673</v>
      </c>
    </row>
    <row r="228" spans="1:23" s="376" customFormat="1" ht="9.75" customHeight="1" x14ac:dyDescent="0.15">
      <c r="A228" s="756" t="s">
        <v>843</v>
      </c>
      <c r="B228" s="376" t="s">
        <v>839</v>
      </c>
      <c r="C228" s="376">
        <v>66051</v>
      </c>
      <c r="D228" s="376">
        <v>50050</v>
      </c>
      <c r="E228" s="376">
        <v>47700</v>
      </c>
      <c r="F228" s="376">
        <v>429741</v>
      </c>
      <c r="G228" s="376">
        <v>66632</v>
      </c>
      <c r="H228" s="376">
        <v>976366</v>
      </c>
      <c r="I228" s="376">
        <v>1697</v>
      </c>
      <c r="J228" s="376">
        <v>444472</v>
      </c>
      <c r="K228" s="376">
        <v>123708</v>
      </c>
      <c r="L228" s="376" t="s">
        <v>839</v>
      </c>
      <c r="M228" s="376">
        <v>123708</v>
      </c>
      <c r="N228" s="376">
        <v>729620</v>
      </c>
      <c r="O228" s="376" t="s">
        <v>839</v>
      </c>
      <c r="P228" s="376">
        <v>62090</v>
      </c>
      <c r="Q228" s="376">
        <v>667530</v>
      </c>
      <c r="R228" s="376" t="s">
        <v>839</v>
      </c>
      <c r="S228" s="376">
        <v>1009463</v>
      </c>
      <c r="T228" s="376">
        <v>45350</v>
      </c>
      <c r="U228" s="376">
        <v>49100</v>
      </c>
      <c r="V228" s="376">
        <v>915013</v>
      </c>
      <c r="W228" s="381" t="s">
        <v>844</v>
      </c>
    </row>
    <row r="229" spans="1:23" s="376" customFormat="1" ht="6.75" customHeight="1" x14ac:dyDescent="0.15">
      <c r="A229" s="787"/>
      <c r="W229" s="381"/>
    </row>
    <row r="230" spans="1:23" s="376" customFormat="1" ht="9.75" customHeight="1" x14ac:dyDescent="0.15">
      <c r="A230" s="756" t="s">
        <v>845</v>
      </c>
      <c r="B230" s="376" t="s">
        <v>839</v>
      </c>
      <c r="C230" s="376" t="s">
        <v>839</v>
      </c>
      <c r="D230" s="376" t="s">
        <v>839</v>
      </c>
      <c r="E230" s="376">
        <v>50051</v>
      </c>
      <c r="F230" s="376">
        <v>154269</v>
      </c>
      <c r="G230" s="376" t="s">
        <v>839</v>
      </c>
      <c r="H230" s="376">
        <v>386059</v>
      </c>
      <c r="I230" s="376" t="s">
        <v>839</v>
      </c>
      <c r="J230" s="376">
        <v>198996</v>
      </c>
      <c r="K230" s="376" t="s">
        <v>839</v>
      </c>
      <c r="L230" s="376" t="s">
        <v>839</v>
      </c>
      <c r="M230" s="376" t="s">
        <v>839</v>
      </c>
      <c r="N230" s="376">
        <v>27263</v>
      </c>
      <c r="O230" s="376" t="s">
        <v>839</v>
      </c>
      <c r="P230" s="376">
        <v>27263</v>
      </c>
      <c r="Q230" s="376" t="s">
        <v>839</v>
      </c>
      <c r="R230" s="376" t="s">
        <v>839</v>
      </c>
      <c r="S230" s="376">
        <v>189786</v>
      </c>
      <c r="T230" s="376">
        <v>45331</v>
      </c>
      <c r="U230" s="376" t="s">
        <v>839</v>
      </c>
      <c r="V230" s="376">
        <v>144455</v>
      </c>
      <c r="W230" s="381" t="s">
        <v>677</v>
      </c>
    </row>
    <row r="231" spans="1:23" s="376" customFormat="1" ht="9.75" customHeight="1" x14ac:dyDescent="0.15">
      <c r="A231" s="756" t="s">
        <v>674</v>
      </c>
      <c r="B231" s="376" t="s">
        <v>839</v>
      </c>
      <c r="C231" s="376" t="s">
        <v>839</v>
      </c>
      <c r="D231" s="376" t="s">
        <v>839</v>
      </c>
      <c r="E231" s="376">
        <v>47700</v>
      </c>
      <c r="F231" s="376">
        <v>50001</v>
      </c>
      <c r="G231" s="376">
        <v>49690</v>
      </c>
      <c r="H231" s="376">
        <v>246194</v>
      </c>
      <c r="I231" s="376" t="s">
        <v>839</v>
      </c>
      <c r="J231" s="376">
        <v>29932</v>
      </c>
      <c r="K231" s="376" t="s">
        <v>839</v>
      </c>
      <c r="L231" s="376" t="s">
        <v>839</v>
      </c>
      <c r="M231" s="376" t="s">
        <v>839</v>
      </c>
      <c r="N231" s="376">
        <v>214361</v>
      </c>
      <c r="O231" s="376" t="s">
        <v>839</v>
      </c>
      <c r="P231" s="376">
        <v>14590</v>
      </c>
      <c r="Q231" s="376">
        <v>199771</v>
      </c>
      <c r="R231" s="376" t="s">
        <v>839</v>
      </c>
      <c r="S231" s="376">
        <v>145372</v>
      </c>
      <c r="T231" s="376">
        <v>45350</v>
      </c>
      <c r="U231" s="376" t="s">
        <v>839</v>
      </c>
      <c r="V231" s="376">
        <v>100022</v>
      </c>
      <c r="W231" s="381" t="s">
        <v>89</v>
      </c>
    </row>
    <row r="232" spans="1:23" s="376" customFormat="1" ht="9.75" customHeight="1" x14ac:dyDescent="0.15">
      <c r="A232" s="756" t="s">
        <v>675</v>
      </c>
      <c r="B232" s="376" t="s">
        <v>839</v>
      </c>
      <c r="C232" s="376">
        <v>25202</v>
      </c>
      <c r="D232" s="376" t="s">
        <v>839</v>
      </c>
      <c r="E232" s="376" t="s">
        <v>839</v>
      </c>
      <c r="F232" s="376">
        <v>72531</v>
      </c>
      <c r="G232" s="376">
        <v>16942</v>
      </c>
      <c r="H232" s="376">
        <v>375772</v>
      </c>
      <c r="I232" s="376">
        <v>1697</v>
      </c>
      <c r="J232" s="376">
        <v>282540</v>
      </c>
      <c r="K232" s="376" t="s">
        <v>839</v>
      </c>
      <c r="L232" s="376" t="s">
        <v>839</v>
      </c>
      <c r="M232" s="376" t="s">
        <v>839</v>
      </c>
      <c r="N232" s="376">
        <v>145444</v>
      </c>
      <c r="O232" s="376" t="s">
        <v>839</v>
      </c>
      <c r="P232" s="376">
        <v>47500</v>
      </c>
      <c r="Q232" s="376">
        <v>97944</v>
      </c>
      <c r="R232" s="376" t="s">
        <v>839</v>
      </c>
      <c r="S232" s="376">
        <v>150055</v>
      </c>
      <c r="T232" s="376" t="s">
        <v>839</v>
      </c>
      <c r="U232" s="376" t="s">
        <v>839</v>
      </c>
      <c r="V232" s="376">
        <v>150055</v>
      </c>
      <c r="W232" s="381" t="s">
        <v>90</v>
      </c>
    </row>
    <row r="233" spans="1:23" s="376" customFormat="1" ht="9.75" customHeight="1" x14ac:dyDescent="0.15">
      <c r="A233" s="756" t="s">
        <v>676</v>
      </c>
      <c r="B233" s="376" t="s">
        <v>839</v>
      </c>
      <c r="C233" s="376">
        <v>12093</v>
      </c>
      <c r="D233" s="376" t="s">
        <v>839</v>
      </c>
      <c r="E233" s="376" t="s">
        <v>839</v>
      </c>
      <c r="F233" s="376">
        <v>164205</v>
      </c>
      <c r="G233" s="376" t="s">
        <v>839</v>
      </c>
      <c r="H233" s="376">
        <v>210631</v>
      </c>
      <c r="I233" s="376" t="s">
        <v>839</v>
      </c>
      <c r="J233" s="376" t="s">
        <v>839</v>
      </c>
      <c r="K233" s="376">
        <v>123708</v>
      </c>
      <c r="L233" s="376" t="s">
        <v>839</v>
      </c>
      <c r="M233" s="376">
        <v>123708</v>
      </c>
      <c r="N233" s="376">
        <v>49844</v>
      </c>
      <c r="O233" s="376" t="s">
        <v>839</v>
      </c>
      <c r="P233" s="376" t="s">
        <v>839</v>
      </c>
      <c r="Q233" s="376">
        <v>49844</v>
      </c>
      <c r="R233" s="376" t="s">
        <v>839</v>
      </c>
      <c r="S233" s="376">
        <v>464066</v>
      </c>
      <c r="T233" s="376" t="s">
        <v>839</v>
      </c>
      <c r="U233" s="376" t="s">
        <v>839</v>
      </c>
      <c r="V233" s="376">
        <v>464066</v>
      </c>
      <c r="W233" s="381" t="s">
        <v>91</v>
      </c>
    </row>
    <row r="234" spans="1:23" s="376" customFormat="1" ht="9.75" customHeight="1" x14ac:dyDescent="0.15">
      <c r="A234" s="756" t="s">
        <v>846</v>
      </c>
      <c r="B234" s="376" t="s">
        <v>839</v>
      </c>
      <c r="C234" s="376">
        <v>28756</v>
      </c>
      <c r="D234" s="376">
        <v>50050</v>
      </c>
      <c r="E234" s="376" t="s">
        <v>839</v>
      </c>
      <c r="F234" s="376">
        <v>143004</v>
      </c>
      <c r="G234" s="376" t="s">
        <v>839</v>
      </c>
      <c r="H234" s="376">
        <v>143769</v>
      </c>
      <c r="I234" s="376" t="s">
        <v>839</v>
      </c>
      <c r="J234" s="376">
        <v>132000</v>
      </c>
      <c r="K234" s="376" t="s">
        <v>839</v>
      </c>
      <c r="L234" s="376" t="s">
        <v>839</v>
      </c>
      <c r="M234" s="376" t="s">
        <v>839</v>
      </c>
      <c r="N234" s="376">
        <v>319971</v>
      </c>
      <c r="O234" s="376" t="s">
        <v>839</v>
      </c>
      <c r="P234" s="376" t="s">
        <v>839</v>
      </c>
      <c r="Q234" s="376">
        <v>319971</v>
      </c>
      <c r="R234" s="376" t="s">
        <v>839</v>
      </c>
      <c r="S234" s="376">
        <v>249970</v>
      </c>
      <c r="T234" s="376" t="s">
        <v>839</v>
      </c>
      <c r="U234" s="376">
        <v>49100</v>
      </c>
      <c r="V234" s="376">
        <v>200870</v>
      </c>
      <c r="W234" s="381" t="s">
        <v>847</v>
      </c>
    </row>
    <row r="235" spans="1:23" s="376" customFormat="1" ht="6.75" customHeight="1" x14ac:dyDescent="0.15">
      <c r="A235" s="787"/>
      <c r="W235" s="381"/>
    </row>
    <row r="236" spans="1:23" s="376" customFormat="1" ht="9.75" customHeight="1" x14ac:dyDescent="0.15">
      <c r="A236" s="756" t="s">
        <v>848</v>
      </c>
      <c r="B236" s="376" t="s">
        <v>839</v>
      </c>
      <c r="C236" s="376" t="s">
        <v>839</v>
      </c>
      <c r="D236" s="376" t="s">
        <v>839</v>
      </c>
      <c r="E236" s="376">
        <v>50051</v>
      </c>
      <c r="F236" s="376">
        <v>66701</v>
      </c>
      <c r="G236" s="376" t="s">
        <v>839</v>
      </c>
      <c r="H236" s="376">
        <v>98066</v>
      </c>
      <c r="I236" s="376" t="s">
        <v>839</v>
      </c>
      <c r="J236" s="376">
        <v>50005</v>
      </c>
      <c r="K236" s="376" t="s">
        <v>839</v>
      </c>
      <c r="L236" s="376" t="s">
        <v>839</v>
      </c>
      <c r="M236" s="376" t="s">
        <v>839</v>
      </c>
      <c r="N236" s="376" t="s">
        <v>839</v>
      </c>
      <c r="O236" s="376" t="s">
        <v>839</v>
      </c>
      <c r="P236" s="376" t="s">
        <v>839</v>
      </c>
      <c r="Q236" s="376" t="s">
        <v>839</v>
      </c>
      <c r="R236" s="376" t="s">
        <v>839</v>
      </c>
      <c r="S236" s="376">
        <v>95335</v>
      </c>
      <c r="T236" s="376">
        <v>45331</v>
      </c>
      <c r="U236" s="376" t="s">
        <v>839</v>
      </c>
      <c r="V236" s="376">
        <v>50004</v>
      </c>
      <c r="W236" s="381" t="s">
        <v>689</v>
      </c>
    </row>
    <row r="237" spans="1:23" s="376" customFormat="1" ht="9.75" customHeight="1" x14ac:dyDescent="0.15">
      <c r="A237" s="756" t="s">
        <v>678</v>
      </c>
      <c r="B237" s="376" t="s">
        <v>839</v>
      </c>
      <c r="C237" s="376" t="s">
        <v>839</v>
      </c>
      <c r="D237" s="376" t="s">
        <v>839</v>
      </c>
      <c r="E237" s="376" t="s">
        <v>839</v>
      </c>
      <c r="F237" s="376" t="s">
        <v>839</v>
      </c>
      <c r="G237" s="376" t="s">
        <v>839</v>
      </c>
      <c r="H237" s="376">
        <v>97048</v>
      </c>
      <c r="I237" s="376" t="s">
        <v>839</v>
      </c>
      <c r="J237" s="376">
        <v>148991</v>
      </c>
      <c r="K237" s="376" t="s">
        <v>839</v>
      </c>
      <c r="L237" s="376" t="s">
        <v>839</v>
      </c>
      <c r="M237" s="376" t="s">
        <v>839</v>
      </c>
      <c r="N237" s="376">
        <v>19318</v>
      </c>
      <c r="O237" s="376" t="s">
        <v>839</v>
      </c>
      <c r="P237" s="376">
        <v>19318</v>
      </c>
      <c r="Q237" s="376" t="s">
        <v>839</v>
      </c>
      <c r="R237" s="376" t="s">
        <v>839</v>
      </c>
      <c r="S237" s="376">
        <v>44431</v>
      </c>
      <c r="T237" s="376" t="s">
        <v>839</v>
      </c>
      <c r="U237" s="376" t="s">
        <v>839</v>
      </c>
      <c r="V237" s="376">
        <v>44431</v>
      </c>
      <c r="W237" s="381" t="s">
        <v>77</v>
      </c>
    </row>
    <row r="238" spans="1:23" s="376" customFormat="1" ht="9.75" customHeight="1" x14ac:dyDescent="0.15">
      <c r="A238" s="756" t="s">
        <v>679</v>
      </c>
      <c r="B238" s="376" t="s">
        <v>839</v>
      </c>
      <c r="C238" s="376" t="s">
        <v>839</v>
      </c>
      <c r="D238" s="376" t="s">
        <v>839</v>
      </c>
      <c r="E238" s="376" t="s">
        <v>839</v>
      </c>
      <c r="F238" s="376">
        <v>87568</v>
      </c>
      <c r="G238" s="376" t="s">
        <v>839</v>
      </c>
      <c r="H238" s="376">
        <v>190945</v>
      </c>
      <c r="I238" s="376" t="s">
        <v>839</v>
      </c>
      <c r="J238" s="376" t="s">
        <v>839</v>
      </c>
      <c r="K238" s="376" t="s">
        <v>839</v>
      </c>
      <c r="L238" s="376" t="s">
        <v>839</v>
      </c>
      <c r="M238" s="376" t="s">
        <v>839</v>
      </c>
      <c r="N238" s="376">
        <v>7945</v>
      </c>
      <c r="O238" s="376" t="s">
        <v>839</v>
      </c>
      <c r="P238" s="376">
        <v>7945</v>
      </c>
      <c r="Q238" s="376" t="s">
        <v>839</v>
      </c>
      <c r="R238" s="376" t="s">
        <v>839</v>
      </c>
      <c r="S238" s="376">
        <v>50020</v>
      </c>
      <c r="T238" s="376" t="s">
        <v>839</v>
      </c>
      <c r="U238" s="376" t="s">
        <v>839</v>
      </c>
      <c r="V238" s="376">
        <v>50020</v>
      </c>
      <c r="W238" s="381" t="s">
        <v>78</v>
      </c>
    </row>
    <row r="239" spans="1:23" s="376" customFormat="1" ht="9.75" customHeight="1" x14ac:dyDescent="0.15">
      <c r="A239" s="756" t="s">
        <v>680</v>
      </c>
      <c r="B239" s="376" t="s">
        <v>839</v>
      </c>
      <c r="C239" s="376" t="s">
        <v>839</v>
      </c>
      <c r="D239" s="376" t="s">
        <v>839</v>
      </c>
      <c r="E239" s="376" t="s">
        <v>839</v>
      </c>
      <c r="F239" s="376" t="s">
        <v>839</v>
      </c>
      <c r="G239" s="376" t="s">
        <v>839</v>
      </c>
      <c r="H239" s="376">
        <v>49990</v>
      </c>
      <c r="I239" s="376" t="s">
        <v>839</v>
      </c>
      <c r="J239" s="376">
        <v>29932</v>
      </c>
      <c r="K239" s="376" t="s">
        <v>839</v>
      </c>
      <c r="L239" s="376" t="s">
        <v>839</v>
      </c>
      <c r="M239" s="376" t="s">
        <v>839</v>
      </c>
      <c r="N239" s="376">
        <v>99767</v>
      </c>
      <c r="O239" s="376" t="s">
        <v>839</v>
      </c>
      <c r="P239" s="376" t="s">
        <v>839</v>
      </c>
      <c r="Q239" s="376">
        <v>99767</v>
      </c>
      <c r="R239" s="376" t="s">
        <v>839</v>
      </c>
      <c r="S239" s="376" t="s">
        <v>839</v>
      </c>
      <c r="T239" s="376" t="s">
        <v>839</v>
      </c>
      <c r="U239" s="376" t="s">
        <v>839</v>
      </c>
      <c r="V239" s="376" t="s">
        <v>839</v>
      </c>
      <c r="W239" s="381" t="s">
        <v>79</v>
      </c>
    </row>
    <row r="240" spans="1:23" s="376" customFormat="1" ht="9.75" customHeight="1" x14ac:dyDescent="0.15">
      <c r="A240" s="756" t="s">
        <v>681</v>
      </c>
      <c r="B240" s="376" t="s">
        <v>839</v>
      </c>
      <c r="C240" s="376" t="s">
        <v>839</v>
      </c>
      <c r="D240" s="376" t="s">
        <v>839</v>
      </c>
      <c r="E240" s="376">
        <v>47700</v>
      </c>
      <c r="F240" s="376" t="s">
        <v>839</v>
      </c>
      <c r="G240" s="376" t="s">
        <v>839</v>
      </c>
      <c r="H240" s="376">
        <v>46200</v>
      </c>
      <c r="I240" s="376" t="s">
        <v>839</v>
      </c>
      <c r="J240" s="376" t="s">
        <v>839</v>
      </c>
      <c r="K240" s="376" t="s">
        <v>839</v>
      </c>
      <c r="L240" s="376" t="s">
        <v>839</v>
      </c>
      <c r="M240" s="376" t="s">
        <v>839</v>
      </c>
      <c r="N240" s="376">
        <v>114594</v>
      </c>
      <c r="O240" s="376" t="s">
        <v>839</v>
      </c>
      <c r="P240" s="376">
        <v>14590</v>
      </c>
      <c r="Q240" s="376">
        <v>100004</v>
      </c>
      <c r="R240" s="376" t="s">
        <v>839</v>
      </c>
      <c r="S240" s="376">
        <v>50020</v>
      </c>
      <c r="T240" s="376" t="s">
        <v>839</v>
      </c>
      <c r="U240" s="376" t="s">
        <v>839</v>
      </c>
      <c r="V240" s="376">
        <v>50020</v>
      </c>
      <c r="W240" s="381" t="s">
        <v>92</v>
      </c>
    </row>
    <row r="241" spans="1:23" s="376" customFormat="1" ht="9.75" customHeight="1" x14ac:dyDescent="0.15">
      <c r="A241" s="756" t="s">
        <v>682</v>
      </c>
      <c r="B241" s="376" t="s">
        <v>839</v>
      </c>
      <c r="C241" s="376" t="s">
        <v>839</v>
      </c>
      <c r="D241" s="376" t="s">
        <v>839</v>
      </c>
      <c r="E241" s="376" t="s">
        <v>839</v>
      </c>
      <c r="F241" s="376">
        <v>50001</v>
      </c>
      <c r="G241" s="376">
        <v>49690</v>
      </c>
      <c r="H241" s="376">
        <v>150004</v>
      </c>
      <c r="I241" s="376" t="s">
        <v>839</v>
      </c>
      <c r="J241" s="376" t="s">
        <v>839</v>
      </c>
      <c r="K241" s="376" t="s">
        <v>839</v>
      </c>
      <c r="L241" s="376" t="s">
        <v>839</v>
      </c>
      <c r="M241" s="376" t="s">
        <v>839</v>
      </c>
      <c r="N241" s="376" t="s">
        <v>839</v>
      </c>
      <c r="O241" s="376" t="s">
        <v>839</v>
      </c>
      <c r="P241" s="376" t="s">
        <v>839</v>
      </c>
      <c r="Q241" s="376" t="s">
        <v>839</v>
      </c>
      <c r="R241" s="376" t="s">
        <v>839</v>
      </c>
      <c r="S241" s="376">
        <v>95352</v>
      </c>
      <c r="T241" s="376">
        <v>45350</v>
      </c>
      <c r="U241" s="376" t="s">
        <v>839</v>
      </c>
      <c r="V241" s="376">
        <v>50002</v>
      </c>
      <c r="W241" s="381" t="s">
        <v>93</v>
      </c>
    </row>
    <row r="242" spans="1:23" s="376" customFormat="1" ht="9.75" customHeight="1" x14ac:dyDescent="0.15">
      <c r="A242" s="756" t="s">
        <v>683</v>
      </c>
      <c r="B242" s="376" t="s">
        <v>839</v>
      </c>
      <c r="C242" s="376" t="s">
        <v>839</v>
      </c>
      <c r="D242" s="376" t="s">
        <v>839</v>
      </c>
      <c r="E242" s="376" t="s">
        <v>839</v>
      </c>
      <c r="F242" s="376" t="s">
        <v>839</v>
      </c>
      <c r="G242" s="376" t="s">
        <v>839</v>
      </c>
      <c r="H242" s="376">
        <v>151647</v>
      </c>
      <c r="I242" s="376" t="s">
        <v>839</v>
      </c>
      <c r="J242" s="376">
        <v>49256</v>
      </c>
      <c r="K242" s="376" t="s">
        <v>839</v>
      </c>
      <c r="L242" s="376" t="s">
        <v>839</v>
      </c>
      <c r="M242" s="376" t="s">
        <v>839</v>
      </c>
      <c r="N242" s="376" t="s">
        <v>839</v>
      </c>
      <c r="O242" s="376" t="s">
        <v>839</v>
      </c>
      <c r="P242" s="376" t="s">
        <v>839</v>
      </c>
      <c r="Q242" s="376" t="s">
        <v>839</v>
      </c>
      <c r="R242" s="376" t="s">
        <v>839</v>
      </c>
      <c r="S242" s="376">
        <v>50050</v>
      </c>
      <c r="T242" s="376" t="s">
        <v>839</v>
      </c>
      <c r="U242" s="376" t="s">
        <v>839</v>
      </c>
      <c r="V242" s="376">
        <v>50050</v>
      </c>
      <c r="W242" s="381" t="s">
        <v>94</v>
      </c>
    </row>
    <row r="243" spans="1:23" s="376" customFormat="1" ht="9.75" customHeight="1" x14ac:dyDescent="0.15">
      <c r="A243" s="756" t="s">
        <v>684</v>
      </c>
      <c r="B243" s="376" t="s">
        <v>839</v>
      </c>
      <c r="C243" s="376">
        <v>25202</v>
      </c>
      <c r="D243" s="376" t="s">
        <v>839</v>
      </c>
      <c r="E243" s="376" t="s">
        <v>839</v>
      </c>
      <c r="F243" s="376">
        <v>72531</v>
      </c>
      <c r="G243" s="376" t="s">
        <v>839</v>
      </c>
      <c r="H243" s="376">
        <v>94587</v>
      </c>
      <c r="I243" s="376">
        <v>1697</v>
      </c>
      <c r="J243" s="376">
        <v>100075</v>
      </c>
      <c r="K243" s="376" t="s">
        <v>839</v>
      </c>
      <c r="L243" s="376" t="s">
        <v>839</v>
      </c>
      <c r="M243" s="376" t="s">
        <v>839</v>
      </c>
      <c r="N243" s="376">
        <v>49848</v>
      </c>
      <c r="O243" s="376" t="s">
        <v>839</v>
      </c>
      <c r="P243" s="376" t="s">
        <v>839</v>
      </c>
      <c r="Q243" s="376">
        <v>49848</v>
      </c>
      <c r="R243" s="376" t="s">
        <v>839</v>
      </c>
      <c r="S243" s="376">
        <v>50003</v>
      </c>
      <c r="T243" s="376" t="s">
        <v>839</v>
      </c>
      <c r="U243" s="376" t="s">
        <v>839</v>
      </c>
      <c r="V243" s="376">
        <v>50003</v>
      </c>
      <c r="W243" s="381" t="s">
        <v>95</v>
      </c>
    </row>
    <row r="244" spans="1:23" s="376" customFormat="1" ht="9.75" customHeight="1" x14ac:dyDescent="0.15">
      <c r="A244" s="756" t="s">
        <v>685</v>
      </c>
      <c r="B244" s="376" t="s">
        <v>839</v>
      </c>
      <c r="C244" s="376" t="s">
        <v>839</v>
      </c>
      <c r="D244" s="376" t="s">
        <v>839</v>
      </c>
      <c r="E244" s="376" t="s">
        <v>839</v>
      </c>
      <c r="F244" s="376" t="s">
        <v>839</v>
      </c>
      <c r="G244" s="376">
        <v>16942</v>
      </c>
      <c r="H244" s="376">
        <v>129538</v>
      </c>
      <c r="I244" s="376" t="s">
        <v>839</v>
      </c>
      <c r="J244" s="376">
        <v>133209</v>
      </c>
      <c r="K244" s="376" t="s">
        <v>839</v>
      </c>
      <c r="L244" s="376" t="s">
        <v>839</v>
      </c>
      <c r="M244" s="376" t="s">
        <v>839</v>
      </c>
      <c r="N244" s="376">
        <v>95596</v>
      </c>
      <c r="O244" s="376" t="s">
        <v>839</v>
      </c>
      <c r="P244" s="376">
        <v>47500</v>
      </c>
      <c r="Q244" s="376">
        <v>48096</v>
      </c>
      <c r="R244" s="376" t="s">
        <v>839</v>
      </c>
      <c r="S244" s="376">
        <v>50002</v>
      </c>
      <c r="T244" s="376" t="s">
        <v>839</v>
      </c>
      <c r="U244" s="376" t="s">
        <v>839</v>
      </c>
      <c r="V244" s="376">
        <v>50002</v>
      </c>
      <c r="W244" s="381" t="s">
        <v>96</v>
      </c>
    </row>
    <row r="245" spans="1:23" s="376" customFormat="1" ht="9.75" customHeight="1" x14ac:dyDescent="0.15">
      <c r="A245" s="756" t="s">
        <v>686</v>
      </c>
      <c r="B245" s="376" t="s">
        <v>839</v>
      </c>
      <c r="C245" s="376" t="s">
        <v>839</v>
      </c>
      <c r="D245" s="376" t="s">
        <v>839</v>
      </c>
      <c r="E245" s="376" t="s">
        <v>839</v>
      </c>
      <c r="F245" s="376" t="s">
        <v>839</v>
      </c>
      <c r="G245" s="376" t="s">
        <v>839</v>
      </c>
      <c r="H245" s="376">
        <v>122730</v>
      </c>
      <c r="I245" s="376" t="s">
        <v>839</v>
      </c>
      <c r="J245" s="376" t="s">
        <v>839</v>
      </c>
      <c r="K245" s="376" t="s">
        <v>839</v>
      </c>
      <c r="L245" s="376" t="s">
        <v>839</v>
      </c>
      <c r="M245" s="376" t="s">
        <v>839</v>
      </c>
      <c r="N245" s="376" t="s">
        <v>839</v>
      </c>
      <c r="O245" s="376" t="s">
        <v>839</v>
      </c>
      <c r="P245" s="376" t="s">
        <v>839</v>
      </c>
      <c r="Q245" s="376" t="s">
        <v>839</v>
      </c>
      <c r="R245" s="376" t="s">
        <v>839</v>
      </c>
      <c r="S245" s="376" t="s">
        <v>839</v>
      </c>
      <c r="T245" s="376" t="s">
        <v>839</v>
      </c>
      <c r="U245" s="376" t="s">
        <v>839</v>
      </c>
      <c r="V245" s="376" t="s">
        <v>839</v>
      </c>
      <c r="W245" s="381" t="s">
        <v>80</v>
      </c>
    </row>
    <row r="246" spans="1:23" s="376" customFormat="1" ht="9.75" customHeight="1" x14ac:dyDescent="0.15">
      <c r="A246" s="756" t="s">
        <v>687</v>
      </c>
      <c r="B246" s="376" t="s">
        <v>839</v>
      </c>
      <c r="C246" s="376" t="s">
        <v>839</v>
      </c>
      <c r="D246" s="376" t="s">
        <v>839</v>
      </c>
      <c r="E246" s="376" t="s">
        <v>839</v>
      </c>
      <c r="F246" s="376" t="s">
        <v>839</v>
      </c>
      <c r="G246" s="376" t="s">
        <v>839</v>
      </c>
      <c r="H246" s="376">
        <v>42601</v>
      </c>
      <c r="I246" s="376" t="s">
        <v>839</v>
      </c>
      <c r="J246" s="376" t="s">
        <v>839</v>
      </c>
      <c r="K246" s="376" t="s">
        <v>839</v>
      </c>
      <c r="L246" s="376" t="s">
        <v>839</v>
      </c>
      <c r="M246" s="376" t="s">
        <v>839</v>
      </c>
      <c r="N246" s="376">
        <v>49844</v>
      </c>
      <c r="O246" s="376" t="s">
        <v>839</v>
      </c>
      <c r="P246" s="376" t="s">
        <v>839</v>
      </c>
      <c r="Q246" s="376">
        <v>49844</v>
      </c>
      <c r="R246" s="376" t="s">
        <v>839</v>
      </c>
      <c r="S246" s="376">
        <v>363986</v>
      </c>
      <c r="T246" s="376" t="s">
        <v>839</v>
      </c>
      <c r="U246" s="376" t="s">
        <v>839</v>
      </c>
      <c r="V246" s="376">
        <v>363986</v>
      </c>
      <c r="W246" s="381" t="s">
        <v>81</v>
      </c>
    </row>
    <row r="247" spans="1:23" s="376" customFormat="1" ht="9.75" customHeight="1" x14ac:dyDescent="0.15">
      <c r="A247" s="756" t="s">
        <v>688</v>
      </c>
      <c r="B247" s="376" t="s">
        <v>839</v>
      </c>
      <c r="C247" s="376">
        <v>12093</v>
      </c>
      <c r="D247" s="376" t="s">
        <v>839</v>
      </c>
      <c r="E247" s="376" t="s">
        <v>839</v>
      </c>
      <c r="F247" s="376">
        <v>164205</v>
      </c>
      <c r="G247" s="376" t="s">
        <v>839</v>
      </c>
      <c r="H247" s="376">
        <v>45300</v>
      </c>
      <c r="I247" s="376" t="s">
        <v>839</v>
      </c>
      <c r="J247" s="376" t="s">
        <v>839</v>
      </c>
      <c r="K247" s="376">
        <v>123708</v>
      </c>
      <c r="L247" s="376" t="s">
        <v>839</v>
      </c>
      <c r="M247" s="376">
        <v>123708</v>
      </c>
      <c r="N247" s="376" t="s">
        <v>839</v>
      </c>
      <c r="O247" s="376" t="s">
        <v>839</v>
      </c>
      <c r="P247" s="376" t="s">
        <v>839</v>
      </c>
      <c r="Q247" s="376" t="s">
        <v>839</v>
      </c>
      <c r="R247" s="376" t="s">
        <v>839</v>
      </c>
      <c r="S247" s="376">
        <v>100080</v>
      </c>
      <c r="T247" s="376" t="s">
        <v>839</v>
      </c>
      <c r="U247" s="376" t="s">
        <v>839</v>
      </c>
      <c r="V247" s="376">
        <v>100080</v>
      </c>
      <c r="W247" s="381" t="s">
        <v>82</v>
      </c>
    </row>
    <row r="248" spans="1:23" s="376" customFormat="1" ht="9.75" customHeight="1" x14ac:dyDescent="0.15">
      <c r="A248" s="756" t="s">
        <v>849</v>
      </c>
      <c r="B248" s="376" t="s">
        <v>839</v>
      </c>
      <c r="C248" s="376">
        <v>28756</v>
      </c>
      <c r="D248" s="376">
        <v>50050</v>
      </c>
      <c r="E248" s="376" t="s">
        <v>839</v>
      </c>
      <c r="F248" s="376">
        <v>43002</v>
      </c>
      <c r="G248" s="376" t="s">
        <v>839</v>
      </c>
      <c r="H248" s="376">
        <v>96089</v>
      </c>
      <c r="I248" s="376" t="s">
        <v>839</v>
      </c>
      <c r="J248" s="376">
        <v>44300</v>
      </c>
      <c r="K248" s="376" t="s">
        <v>839</v>
      </c>
      <c r="L248" s="376" t="s">
        <v>839</v>
      </c>
      <c r="M248" s="376" t="s">
        <v>839</v>
      </c>
      <c r="N248" s="376">
        <v>89811</v>
      </c>
      <c r="O248" s="376" t="s">
        <v>839</v>
      </c>
      <c r="P248" s="376" t="s">
        <v>839</v>
      </c>
      <c r="Q248" s="376">
        <v>89811</v>
      </c>
      <c r="R248" s="376" t="s">
        <v>839</v>
      </c>
      <c r="S248" s="376">
        <v>200870</v>
      </c>
      <c r="T248" s="376" t="s">
        <v>839</v>
      </c>
      <c r="U248" s="376" t="s">
        <v>839</v>
      </c>
      <c r="V248" s="376">
        <v>200870</v>
      </c>
      <c r="W248" s="381" t="s">
        <v>850</v>
      </c>
    </row>
    <row r="249" spans="1:23" s="376" customFormat="1" ht="9.75" customHeight="1" x14ac:dyDescent="0.15">
      <c r="A249" s="756" t="s">
        <v>690</v>
      </c>
      <c r="B249" s="376" t="s">
        <v>839</v>
      </c>
      <c r="C249" s="376" t="s">
        <v>839</v>
      </c>
      <c r="D249" s="376" t="s">
        <v>839</v>
      </c>
      <c r="E249" s="376" t="s">
        <v>839</v>
      </c>
      <c r="F249" s="376">
        <v>100002</v>
      </c>
      <c r="G249" s="376" t="s">
        <v>839</v>
      </c>
      <c r="H249" s="376" t="s">
        <v>839</v>
      </c>
      <c r="I249" s="376" t="s">
        <v>839</v>
      </c>
      <c r="J249" s="376">
        <v>42300</v>
      </c>
      <c r="K249" s="376" t="s">
        <v>839</v>
      </c>
      <c r="L249" s="376" t="s">
        <v>839</v>
      </c>
      <c r="M249" s="376" t="s">
        <v>839</v>
      </c>
      <c r="N249" s="376">
        <v>88085</v>
      </c>
      <c r="O249" s="376" t="s">
        <v>839</v>
      </c>
      <c r="P249" s="376" t="s">
        <v>839</v>
      </c>
      <c r="Q249" s="376">
        <v>88085</v>
      </c>
      <c r="R249" s="376" t="s">
        <v>839</v>
      </c>
      <c r="S249" s="376" t="s">
        <v>839</v>
      </c>
      <c r="T249" s="376" t="s">
        <v>839</v>
      </c>
      <c r="U249" s="376" t="s">
        <v>839</v>
      </c>
      <c r="V249" s="376" t="s">
        <v>839</v>
      </c>
      <c r="W249" s="381" t="s">
        <v>77</v>
      </c>
    </row>
    <row r="250" spans="1:23" s="376" customFormat="1" ht="9.75" customHeight="1" x14ac:dyDescent="0.15">
      <c r="A250" s="757" t="s">
        <v>691</v>
      </c>
      <c r="B250" s="380" t="s">
        <v>839</v>
      </c>
      <c r="C250" s="379" t="s">
        <v>839</v>
      </c>
      <c r="D250" s="379" t="s">
        <v>839</v>
      </c>
      <c r="E250" s="379" t="s">
        <v>839</v>
      </c>
      <c r="F250" s="379" t="s">
        <v>839</v>
      </c>
      <c r="G250" s="379" t="s">
        <v>839</v>
      </c>
      <c r="H250" s="379">
        <v>47680</v>
      </c>
      <c r="I250" s="379" t="s">
        <v>839</v>
      </c>
      <c r="J250" s="379">
        <v>45400</v>
      </c>
      <c r="K250" s="379" t="s">
        <v>839</v>
      </c>
      <c r="L250" s="379" t="s">
        <v>839</v>
      </c>
      <c r="M250" s="379" t="s">
        <v>839</v>
      </c>
      <c r="N250" s="379">
        <v>142075</v>
      </c>
      <c r="O250" s="379" t="s">
        <v>839</v>
      </c>
      <c r="P250" s="379" t="s">
        <v>839</v>
      </c>
      <c r="Q250" s="379">
        <v>142075</v>
      </c>
      <c r="R250" s="379" t="s">
        <v>839</v>
      </c>
      <c r="S250" s="379">
        <v>49100</v>
      </c>
      <c r="T250" s="379" t="s">
        <v>839</v>
      </c>
      <c r="U250" s="379">
        <v>49100</v>
      </c>
      <c r="V250" s="379" t="s">
        <v>839</v>
      </c>
      <c r="W250" s="377" t="s">
        <v>78</v>
      </c>
    </row>
    <row r="251" spans="1:23" ht="12" customHeight="1" x14ac:dyDescent="0.15"/>
    <row r="252" spans="1:23" ht="12" customHeight="1" x14ac:dyDescent="0.15"/>
    <row r="253" spans="1:23" ht="12" customHeight="1" x14ac:dyDescent="0.15">
      <c r="K253" s="391" t="s">
        <v>97</v>
      </c>
    </row>
    <row r="254" spans="1:23" s="387" customFormat="1" ht="21" customHeight="1" x14ac:dyDescent="0.15">
      <c r="A254" s="1023" t="s">
        <v>185</v>
      </c>
      <c r="B254" s="390" t="s">
        <v>352</v>
      </c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732"/>
      <c r="S254" s="733" t="s">
        <v>304</v>
      </c>
      <c r="T254" s="389"/>
      <c r="U254" s="389"/>
      <c r="V254" s="389"/>
      <c r="W254" s="1026" t="s">
        <v>83</v>
      </c>
    </row>
    <row r="255" spans="1:23" s="387" customFormat="1" ht="21" customHeight="1" x14ac:dyDescent="0.15">
      <c r="A255" s="1024"/>
      <c r="B255" s="733" t="s">
        <v>256</v>
      </c>
      <c r="C255" s="389"/>
      <c r="D255" s="389"/>
      <c r="E255" s="732"/>
      <c r="F255" s="733" t="s">
        <v>255</v>
      </c>
      <c r="G255" s="389"/>
      <c r="H255" s="389"/>
      <c r="I255" s="389"/>
      <c r="J255" s="389"/>
      <c r="K255" s="389"/>
      <c r="L255" s="389"/>
      <c r="M255" s="389"/>
      <c r="N255" s="389"/>
      <c r="O255" s="732"/>
      <c r="P255" s="733" t="s">
        <v>1004</v>
      </c>
      <c r="Q255" s="389"/>
      <c r="R255" s="732"/>
      <c r="S255" s="1029" t="s">
        <v>302</v>
      </c>
      <c r="T255" s="733" t="s">
        <v>279</v>
      </c>
      <c r="U255" s="389"/>
      <c r="V255" s="389"/>
      <c r="W255" s="1027"/>
    </row>
    <row r="256" spans="1:23" s="387" customFormat="1" ht="52.5" customHeight="1" x14ac:dyDescent="0.15">
      <c r="A256" s="1025"/>
      <c r="B256" s="735" t="s">
        <v>983</v>
      </c>
      <c r="C256" s="393" t="s">
        <v>1001</v>
      </c>
      <c r="D256" s="388" t="s">
        <v>985</v>
      </c>
      <c r="E256" s="393" t="s">
        <v>1002</v>
      </c>
      <c r="F256" s="735" t="s">
        <v>986</v>
      </c>
      <c r="G256" s="388" t="s">
        <v>250</v>
      </c>
      <c r="H256" s="388" t="s">
        <v>1003</v>
      </c>
      <c r="I256" s="388" t="s">
        <v>584</v>
      </c>
      <c r="J256" s="388" t="s">
        <v>330</v>
      </c>
      <c r="K256" s="388" t="s">
        <v>585</v>
      </c>
      <c r="L256" s="388" t="s">
        <v>351</v>
      </c>
      <c r="M256" s="388" t="s">
        <v>350</v>
      </c>
      <c r="N256" s="388" t="s">
        <v>449</v>
      </c>
      <c r="O256" s="388" t="s">
        <v>349</v>
      </c>
      <c r="P256" s="735" t="s">
        <v>329</v>
      </c>
      <c r="Q256" s="388" t="s">
        <v>348</v>
      </c>
      <c r="R256" s="388" t="s">
        <v>328</v>
      </c>
      <c r="S256" s="1030"/>
      <c r="T256" s="735" t="s">
        <v>975</v>
      </c>
      <c r="U256" s="388" t="s">
        <v>270</v>
      </c>
      <c r="V256" s="392" t="s">
        <v>976</v>
      </c>
      <c r="W256" s="1028"/>
    </row>
    <row r="257" spans="1:23" s="376" customFormat="1" ht="9.75" customHeight="1" x14ac:dyDescent="0.15">
      <c r="A257" s="755" t="s">
        <v>838</v>
      </c>
      <c r="B257" s="386">
        <v>55108</v>
      </c>
      <c r="C257" s="385">
        <v>44001</v>
      </c>
      <c r="D257" s="385" t="s">
        <v>839</v>
      </c>
      <c r="E257" s="385">
        <v>11107</v>
      </c>
      <c r="F257" s="385">
        <v>3984907</v>
      </c>
      <c r="G257" s="385">
        <v>3456972</v>
      </c>
      <c r="H257" s="385">
        <v>369448</v>
      </c>
      <c r="I257" s="385" t="s">
        <v>839</v>
      </c>
      <c r="J257" s="385" t="s">
        <v>839</v>
      </c>
      <c r="K257" s="385" t="s">
        <v>839</v>
      </c>
      <c r="L257" s="385" t="s">
        <v>839</v>
      </c>
      <c r="M257" s="385">
        <v>125751</v>
      </c>
      <c r="N257" s="385">
        <v>32736</v>
      </c>
      <c r="O257" s="385" t="s">
        <v>839</v>
      </c>
      <c r="P257" s="385">
        <v>170618</v>
      </c>
      <c r="Q257" s="385">
        <v>158913</v>
      </c>
      <c r="R257" s="385">
        <v>11705</v>
      </c>
      <c r="S257" s="385">
        <v>1057505</v>
      </c>
      <c r="T257" s="385">
        <v>916549</v>
      </c>
      <c r="U257" s="385">
        <v>487945</v>
      </c>
      <c r="V257" s="385">
        <v>283692</v>
      </c>
      <c r="W257" s="383" t="s">
        <v>457</v>
      </c>
    </row>
    <row r="258" spans="1:23" s="376" customFormat="1" ht="9.75" customHeight="1" x14ac:dyDescent="0.15">
      <c r="A258" s="756" t="s">
        <v>669</v>
      </c>
      <c r="B258" s="376">
        <v>94050</v>
      </c>
      <c r="C258" s="376">
        <v>94050</v>
      </c>
      <c r="D258" s="376" t="s">
        <v>839</v>
      </c>
      <c r="E258" s="376" t="s">
        <v>839</v>
      </c>
      <c r="F258" s="376">
        <v>5419197</v>
      </c>
      <c r="G258" s="376">
        <v>4925895</v>
      </c>
      <c r="H258" s="376">
        <v>304586</v>
      </c>
      <c r="I258" s="376">
        <v>12031</v>
      </c>
      <c r="J258" s="376">
        <v>11641</v>
      </c>
      <c r="K258" s="376">
        <v>9431</v>
      </c>
      <c r="L258" s="376">
        <v>21279</v>
      </c>
      <c r="M258" s="376">
        <v>93659</v>
      </c>
      <c r="N258" s="376">
        <v>40675</v>
      </c>
      <c r="O258" s="376" t="s">
        <v>839</v>
      </c>
      <c r="P258" s="376">
        <v>191076</v>
      </c>
      <c r="Q258" s="376">
        <v>162481</v>
      </c>
      <c r="R258" s="376">
        <v>28595</v>
      </c>
      <c r="S258" s="376">
        <v>1672616</v>
      </c>
      <c r="T258" s="376">
        <v>1552558</v>
      </c>
      <c r="U258" s="376">
        <v>530039</v>
      </c>
      <c r="V258" s="376">
        <v>363766</v>
      </c>
      <c r="W258" s="381" t="s">
        <v>512</v>
      </c>
    </row>
    <row r="259" spans="1:23" s="376" customFormat="1" ht="9.75" customHeight="1" x14ac:dyDescent="0.15">
      <c r="A259" s="756" t="s">
        <v>670</v>
      </c>
      <c r="B259" s="376">
        <v>114000</v>
      </c>
      <c r="C259" s="376">
        <v>114000</v>
      </c>
      <c r="D259" s="376" t="s">
        <v>839</v>
      </c>
      <c r="E259" s="376" t="s">
        <v>839</v>
      </c>
      <c r="F259" s="376">
        <v>2002000</v>
      </c>
      <c r="G259" s="376">
        <v>1780657</v>
      </c>
      <c r="H259" s="376">
        <v>185720</v>
      </c>
      <c r="I259" s="376" t="s">
        <v>839</v>
      </c>
      <c r="J259" s="376" t="s">
        <v>839</v>
      </c>
      <c r="K259" s="376" t="s">
        <v>839</v>
      </c>
      <c r="L259" s="376" t="s">
        <v>839</v>
      </c>
      <c r="M259" s="376">
        <v>29573</v>
      </c>
      <c r="N259" s="376" t="s">
        <v>839</v>
      </c>
      <c r="O259" s="376">
        <v>6050</v>
      </c>
      <c r="P259" s="376">
        <v>86798</v>
      </c>
      <c r="Q259" s="376">
        <v>75672</v>
      </c>
      <c r="R259" s="376">
        <v>11126</v>
      </c>
      <c r="S259" s="376">
        <v>1327820</v>
      </c>
      <c r="T259" s="376">
        <v>1261782</v>
      </c>
      <c r="U259" s="376">
        <v>391582</v>
      </c>
      <c r="V259" s="376">
        <v>259238</v>
      </c>
      <c r="W259" s="381" t="s">
        <v>620</v>
      </c>
    </row>
    <row r="260" spans="1:23" s="376" customFormat="1" ht="9.75" customHeight="1" x14ac:dyDescent="0.15">
      <c r="A260" s="756" t="s">
        <v>671</v>
      </c>
      <c r="B260" s="376">
        <v>100031</v>
      </c>
      <c r="C260" s="376" t="s">
        <v>839</v>
      </c>
      <c r="D260" s="376">
        <v>100031</v>
      </c>
      <c r="E260" s="376" t="s">
        <v>839</v>
      </c>
      <c r="F260" s="376">
        <v>2064434</v>
      </c>
      <c r="G260" s="376">
        <v>1800341</v>
      </c>
      <c r="H260" s="376">
        <v>141069</v>
      </c>
      <c r="I260" s="376" t="s">
        <v>839</v>
      </c>
      <c r="J260" s="376" t="s">
        <v>839</v>
      </c>
      <c r="K260" s="376" t="s">
        <v>839</v>
      </c>
      <c r="L260" s="376" t="s">
        <v>839</v>
      </c>
      <c r="M260" s="376">
        <v>112694</v>
      </c>
      <c r="N260" s="376">
        <v>10330</v>
      </c>
      <c r="O260" s="376" t="s">
        <v>839</v>
      </c>
      <c r="P260" s="376">
        <v>142775</v>
      </c>
      <c r="Q260" s="376">
        <v>128773</v>
      </c>
      <c r="R260" s="376">
        <v>14002</v>
      </c>
      <c r="S260" s="376">
        <v>775956</v>
      </c>
      <c r="T260" s="376">
        <v>728535</v>
      </c>
      <c r="U260" s="376">
        <v>158221</v>
      </c>
      <c r="V260" s="376">
        <v>74654</v>
      </c>
      <c r="W260" s="381" t="s">
        <v>672</v>
      </c>
    </row>
    <row r="261" spans="1:23" s="376" customFormat="1" ht="9.75" customHeight="1" x14ac:dyDescent="0.15">
      <c r="A261" s="756" t="s">
        <v>840</v>
      </c>
      <c r="B261" s="376" t="s">
        <v>839</v>
      </c>
      <c r="C261" s="376" t="s">
        <v>839</v>
      </c>
      <c r="D261" s="376" t="s">
        <v>839</v>
      </c>
      <c r="E261" s="376" t="s">
        <v>839</v>
      </c>
      <c r="F261" s="376">
        <v>3568987</v>
      </c>
      <c r="G261" s="376">
        <v>3003069</v>
      </c>
      <c r="H261" s="376">
        <v>518570</v>
      </c>
      <c r="I261" s="376" t="s">
        <v>839</v>
      </c>
      <c r="J261" s="376" t="s">
        <v>839</v>
      </c>
      <c r="K261" s="376" t="s">
        <v>839</v>
      </c>
      <c r="L261" s="376" t="s">
        <v>839</v>
      </c>
      <c r="M261" s="376">
        <v>47348</v>
      </c>
      <c r="N261" s="376" t="s">
        <v>839</v>
      </c>
      <c r="O261" s="376" t="s">
        <v>839</v>
      </c>
      <c r="P261" s="376">
        <v>66243</v>
      </c>
      <c r="Q261" s="376">
        <v>55618</v>
      </c>
      <c r="R261" s="376">
        <v>10625</v>
      </c>
      <c r="S261" s="376">
        <v>204144</v>
      </c>
      <c r="T261" s="376">
        <v>187035</v>
      </c>
      <c r="U261" s="376">
        <v>103181</v>
      </c>
      <c r="V261" s="376">
        <v>24978</v>
      </c>
      <c r="W261" s="381" t="s">
        <v>841</v>
      </c>
    </row>
    <row r="262" spans="1:23" s="376" customFormat="1" ht="6.75" customHeight="1" x14ac:dyDescent="0.15">
      <c r="A262" s="787"/>
      <c r="W262" s="381"/>
    </row>
    <row r="263" spans="1:23" s="376" customFormat="1" ht="9.75" customHeight="1" x14ac:dyDescent="0.15">
      <c r="A263" s="756" t="s">
        <v>842</v>
      </c>
      <c r="B263" s="376">
        <v>100031</v>
      </c>
      <c r="C263" s="376" t="s">
        <v>839</v>
      </c>
      <c r="D263" s="376">
        <v>100031</v>
      </c>
      <c r="E263" s="376" t="s">
        <v>839</v>
      </c>
      <c r="F263" s="376">
        <v>2420449</v>
      </c>
      <c r="G263" s="376">
        <v>2015350</v>
      </c>
      <c r="H263" s="376">
        <v>264898</v>
      </c>
      <c r="I263" s="376" t="s">
        <v>839</v>
      </c>
      <c r="J263" s="376" t="s">
        <v>839</v>
      </c>
      <c r="K263" s="376" t="s">
        <v>839</v>
      </c>
      <c r="L263" s="376" t="s">
        <v>839</v>
      </c>
      <c r="M263" s="376">
        <v>140201</v>
      </c>
      <c r="N263" s="376" t="s">
        <v>839</v>
      </c>
      <c r="O263" s="376" t="s">
        <v>839</v>
      </c>
      <c r="P263" s="376">
        <v>114394</v>
      </c>
      <c r="Q263" s="376">
        <v>101726</v>
      </c>
      <c r="R263" s="376">
        <v>12668</v>
      </c>
      <c r="S263" s="376">
        <v>446974</v>
      </c>
      <c r="T263" s="376">
        <v>408960</v>
      </c>
      <c r="U263" s="376">
        <v>128488</v>
      </c>
      <c r="V263" s="376">
        <v>41939</v>
      </c>
      <c r="W263" s="381" t="s">
        <v>673</v>
      </c>
    </row>
    <row r="264" spans="1:23" s="376" customFormat="1" ht="9.75" customHeight="1" x14ac:dyDescent="0.15">
      <c r="A264" s="756" t="s">
        <v>843</v>
      </c>
      <c r="B264" s="376" t="s">
        <v>839</v>
      </c>
      <c r="C264" s="376" t="s">
        <v>839</v>
      </c>
      <c r="D264" s="376" t="s">
        <v>839</v>
      </c>
      <c r="E264" s="376" t="s">
        <v>839</v>
      </c>
      <c r="F264" s="376">
        <v>3725678</v>
      </c>
      <c r="G264" s="376">
        <v>3216704</v>
      </c>
      <c r="H264" s="376">
        <v>508974</v>
      </c>
      <c r="I264" s="376" t="s">
        <v>839</v>
      </c>
      <c r="J264" s="376" t="s">
        <v>839</v>
      </c>
      <c r="K264" s="376" t="s">
        <v>839</v>
      </c>
      <c r="L264" s="376" t="s">
        <v>839</v>
      </c>
      <c r="M264" s="376" t="s">
        <v>839</v>
      </c>
      <c r="N264" s="376" t="s">
        <v>839</v>
      </c>
      <c r="O264" s="376" t="s">
        <v>839</v>
      </c>
      <c r="P264" s="376">
        <v>65359</v>
      </c>
      <c r="Q264" s="376">
        <v>54483</v>
      </c>
      <c r="R264" s="376">
        <v>10876</v>
      </c>
      <c r="S264" s="376">
        <v>173141</v>
      </c>
      <c r="T264" s="376">
        <v>159307</v>
      </c>
      <c r="U264" s="376">
        <v>82686</v>
      </c>
      <c r="V264" s="376">
        <v>55459</v>
      </c>
      <c r="W264" s="381" t="s">
        <v>844</v>
      </c>
    </row>
    <row r="265" spans="1:23" s="376" customFormat="1" ht="6.75" customHeight="1" x14ac:dyDescent="0.15">
      <c r="A265" s="787"/>
      <c r="W265" s="381"/>
    </row>
    <row r="266" spans="1:23" s="376" customFormat="1" ht="9.75" customHeight="1" x14ac:dyDescent="0.15">
      <c r="A266" s="756" t="s">
        <v>845</v>
      </c>
      <c r="B266" s="376" t="s">
        <v>839</v>
      </c>
      <c r="C266" s="376" t="s">
        <v>839</v>
      </c>
      <c r="D266" s="376" t="s">
        <v>839</v>
      </c>
      <c r="E266" s="376" t="s">
        <v>839</v>
      </c>
      <c r="F266" s="376">
        <v>831051</v>
      </c>
      <c r="G266" s="376">
        <v>659874</v>
      </c>
      <c r="H266" s="376">
        <v>123829</v>
      </c>
      <c r="I266" s="376" t="s">
        <v>839</v>
      </c>
      <c r="J266" s="376" t="s">
        <v>839</v>
      </c>
      <c r="K266" s="376" t="s">
        <v>839</v>
      </c>
      <c r="L266" s="376" t="s">
        <v>839</v>
      </c>
      <c r="M266" s="376">
        <v>47348</v>
      </c>
      <c r="N266" s="376" t="s">
        <v>839</v>
      </c>
      <c r="O266" s="376" t="s">
        <v>839</v>
      </c>
      <c r="P266" s="376">
        <v>21988</v>
      </c>
      <c r="Q266" s="376">
        <v>18506</v>
      </c>
      <c r="R266" s="376">
        <v>3482</v>
      </c>
      <c r="S266" s="376">
        <v>72943</v>
      </c>
      <c r="T266" s="376">
        <v>67739</v>
      </c>
      <c r="U266" s="376">
        <v>30025</v>
      </c>
      <c r="V266" s="376" t="s">
        <v>839</v>
      </c>
      <c r="W266" s="381" t="s">
        <v>677</v>
      </c>
    </row>
    <row r="267" spans="1:23" s="376" customFormat="1" ht="9.75" customHeight="1" x14ac:dyDescent="0.15">
      <c r="A267" s="756" t="s">
        <v>674</v>
      </c>
      <c r="B267" s="376" t="s">
        <v>839</v>
      </c>
      <c r="C267" s="376" t="s">
        <v>839</v>
      </c>
      <c r="D267" s="376" t="s">
        <v>839</v>
      </c>
      <c r="E267" s="376" t="s">
        <v>839</v>
      </c>
      <c r="F267" s="376">
        <v>807192</v>
      </c>
      <c r="G267" s="376">
        <v>663529</v>
      </c>
      <c r="H267" s="376">
        <v>143663</v>
      </c>
      <c r="I267" s="376" t="s">
        <v>839</v>
      </c>
      <c r="J267" s="376" t="s">
        <v>839</v>
      </c>
      <c r="K267" s="376" t="s">
        <v>839</v>
      </c>
      <c r="L267" s="376" t="s">
        <v>839</v>
      </c>
      <c r="M267" s="376" t="s">
        <v>839</v>
      </c>
      <c r="N267" s="376" t="s">
        <v>839</v>
      </c>
      <c r="O267" s="376" t="s">
        <v>839</v>
      </c>
      <c r="P267" s="376">
        <v>13572</v>
      </c>
      <c r="Q267" s="376">
        <v>11176</v>
      </c>
      <c r="R267" s="376">
        <v>2396</v>
      </c>
      <c r="S267" s="376">
        <v>36219</v>
      </c>
      <c r="T267" s="376">
        <v>30430</v>
      </c>
      <c r="U267" s="376">
        <v>30430</v>
      </c>
      <c r="V267" s="376" t="s">
        <v>839</v>
      </c>
      <c r="W267" s="381" t="s">
        <v>89</v>
      </c>
    </row>
    <row r="268" spans="1:23" s="376" customFormat="1" ht="9.75" customHeight="1" x14ac:dyDescent="0.15">
      <c r="A268" s="756" t="s">
        <v>675</v>
      </c>
      <c r="B268" s="376" t="s">
        <v>839</v>
      </c>
      <c r="C268" s="376" t="s">
        <v>839</v>
      </c>
      <c r="D268" s="376" t="s">
        <v>839</v>
      </c>
      <c r="E268" s="376" t="s">
        <v>839</v>
      </c>
      <c r="F268" s="376">
        <v>1281455</v>
      </c>
      <c r="G268" s="376">
        <v>1158108</v>
      </c>
      <c r="H268" s="376">
        <v>123347</v>
      </c>
      <c r="I268" s="376" t="s">
        <v>839</v>
      </c>
      <c r="J268" s="376" t="s">
        <v>839</v>
      </c>
      <c r="K268" s="376" t="s">
        <v>839</v>
      </c>
      <c r="L268" s="376" t="s">
        <v>839</v>
      </c>
      <c r="M268" s="376" t="s">
        <v>839</v>
      </c>
      <c r="N268" s="376" t="s">
        <v>839</v>
      </c>
      <c r="O268" s="376" t="s">
        <v>839</v>
      </c>
      <c r="P268" s="376">
        <v>12492</v>
      </c>
      <c r="Q268" s="376">
        <v>10281</v>
      </c>
      <c r="R268" s="376">
        <v>2211</v>
      </c>
      <c r="S268" s="376">
        <v>52545</v>
      </c>
      <c r="T268" s="376">
        <v>48930</v>
      </c>
      <c r="U268" s="376">
        <v>23811</v>
      </c>
      <c r="V268" s="376">
        <v>14957</v>
      </c>
      <c r="W268" s="381" t="s">
        <v>90</v>
      </c>
    </row>
    <row r="269" spans="1:23" s="376" customFormat="1" ht="9.75" customHeight="1" x14ac:dyDescent="0.15">
      <c r="A269" s="756" t="s">
        <v>676</v>
      </c>
      <c r="B269" s="376" t="s">
        <v>839</v>
      </c>
      <c r="C269" s="376" t="s">
        <v>839</v>
      </c>
      <c r="D269" s="376" t="s">
        <v>839</v>
      </c>
      <c r="E269" s="376" t="s">
        <v>839</v>
      </c>
      <c r="F269" s="376">
        <v>649289</v>
      </c>
      <c r="G269" s="376">
        <v>521558</v>
      </c>
      <c r="H269" s="376">
        <v>127731</v>
      </c>
      <c r="I269" s="376" t="s">
        <v>839</v>
      </c>
      <c r="J269" s="376" t="s">
        <v>839</v>
      </c>
      <c r="K269" s="376" t="s">
        <v>839</v>
      </c>
      <c r="L269" s="376" t="s">
        <v>839</v>
      </c>
      <c r="M269" s="376" t="s">
        <v>839</v>
      </c>
      <c r="N269" s="376" t="s">
        <v>839</v>
      </c>
      <c r="O269" s="376" t="s">
        <v>839</v>
      </c>
      <c r="P269" s="376">
        <v>18191</v>
      </c>
      <c r="Q269" s="376">
        <v>15655</v>
      </c>
      <c r="R269" s="376">
        <v>2536</v>
      </c>
      <c r="S269" s="376">
        <v>42437</v>
      </c>
      <c r="T269" s="376">
        <v>39936</v>
      </c>
      <c r="U269" s="376">
        <v>18915</v>
      </c>
      <c r="V269" s="376">
        <v>10021</v>
      </c>
      <c r="W269" s="381" t="s">
        <v>91</v>
      </c>
    </row>
    <row r="270" spans="1:23" s="376" customFormat="1" ht="9.75" customHeight="1" x14ac:dyDescent="0.15">
      <c r="A270" s="756" t="s">
        <v>846</v>
      </c>
      <c r="B270" s="376" t="s">
        <v>839</v>
      </c>
      <c r="C270" s="376" t="s">
        <v>839</v>
      </c>
      <c r="D270" s="376" t="s">
        <v>839</v>
      </c>
      <c r="E270" s="376" t="s">
        <v>839</v>
      </c>
      <c r="F270" s="376">
        <v>987742</v>
      </c>
      <c r="G270" s="376">
        <v>873509</v>
      </c>
      <c r="H270" s="376">
        <v>114233</v>
      </c>
      <c r="I270" s="376" t="s">
        <v>839</v>
      </c>
      <c r="J270" s="376" t="s">
        <v>839</v>
      </c>
      <c r="K270" s="376" t="s">
        <v>839</v>
      </c>
      <c r="L270" s="376" t="s">
        <v>839</v>
      </c>
      <c r="M270" s="376" t="s">
        <v>839</v>
      </c>
      <c r="N270" s="376" t="s">
        <v>839</v>
      </c>
      <c r="O270" s="376" t="s">
        <v>839</v>
      </c>
      <c r="P270" s="376">
        <v>21104</v>
      </c>
      <c r="Q270" s="376">
        <v>17371</v>
      </c>
      <c r="R270" s="376">
        <v>3733</v>
      </c>
      <c r="S270" s="376">
        <v>41940</v>
      </c>
      <c r="T270" s="376">
        <v>40011</v>
      </c>
      <c r="U270" s="376">
        <v>9530</v>
      </c>
      <c r="V270" s="376">
        <v>30481</v>
      </c>
      <c r="W270" s="381" t="s">
        <v>847</v>
      </c>
    </row>
    <row r="271" spans="1:23" s="376" customFormat="1" ht="6.75" customHeight="1" x14ac:dyDescent="0.15">
      <c r="A271" s="787"/>
      <c r="W271" s="381"/>
    </row>
    <row r="272" spans="1:23" s="376" customFormat="1" ht="9.75" customHeight="1" x14ac:dyDescent="0.15">
      <c r="A272" s="756" t="s">
        <v>848</v>
      </c>
      <c r="B272" s="376" t="s">
        <v>839</v>
      </c>
      <c r="C272" s="376" t="s">
        <v>839</v>
      </c>
      <c r="D272" s="376" t="s">
        <v>839</v>
      </c>
      <c r="E272" s="376" t="s">
        <v>839</v>
      </c>
      <c r="F272" s="376">
        <v>336782</v>
      </c>
      <c r="G272" s="376">
        <v>228628</v>
      </c>
      <c r="H272" s="376">
        <v>108154</v>
      </c>
      <c r="I272" s="376" t="s">
        <v>839</v>
      </c>
      <c r="J272" s="376" t="s">
        <v>839</v>
      </c>
      <c r="K272" s="376" t="s">
        <v>839</v>
      </c>
      <c r="L272" s="376" t="s">
        <v>839</v>
      </c>
      <c r="M272" s="376" t="s">
        <v>839</v>
      </c>
      <c r="N272" s="376" t="s">
        <v>839</v>
      </c>
      <c r="O272" s="376" t="s">
        <v>839</v>
      </c>
      <c r="P272" s="376">
        <v>7763</v>
      </c>
      <c r="Q272" s="376">
        <v>6197</v>
      </c>
      <c r="R272" s="376">
        <v>1566</v>
      </c>
      <c r="S272" s="376">
        <v>14000</v>
      </c>
      <c r="T272" s="376">
        <v>12801</v>
      </c>
      <c r="U272" s="376">
        <v>12801</v>
      </c>
      <c r="V272" s="376" t="s">
        <v>839</v>
      </c>
      <c r="W272" s="381" t="s">
        <v>689</v>
      </c>
    </row>
    <row r="273" spans="1:23" s="376" customFormat="1" ht="9.75" customHeight="1" x14ac:dyDescent="0.15">
      <c r="A273" s="756" t="s">
        <v>678</v>
      </c>
      <c r="B273" s="376" t="s">
        <v>839</v>
      </c>
      <c r="C273" s="376" t="s">
        <v>839</v>
      </c>
      <c r="D273" s="376" t="s">
        <v>839</v>
      </c>
      <c r="E273" s="376" t="s">
        <v>839</v>
      </c>
      <c r="F273" s="376">
        <v>250410</v>
      </c>
      <c r="G273" s="376">
        <v>226137</v>
      </c>
      <c r="H273" s="376" t="s">
        <v>839</v>
      </c>
      <c r="I273" s="376" t="s">
        <v>839</v>
      </c>
      <c r="J273" s="376" t="s">
        <v>839</v>
      </c>
      <c r="K273" s="376" t="s">
        <v>839</v>
      </c>
      <c r="L273" s="376" t="s">
        <v>839</v>
      </c>
      <c r="M273" s="376">
        <v>24273</v>
      </c>
      <c r="N273" s="376" t="s">
        <v>839</v>
      </c>
      <c r="O273" s="376" t="s">
        <v>839</v>
      </c>
      <c r="P273" s="376">
        <v>6771</v>
      </c>
      <c r="Q273" s="376">
        <v>5935</v>
      </c>
      <c r="R273" s="376">
        <v>836</v>
      </c>
      <c r="S273" s="376">
        <v>30572</v>
      </c>
      <c r="T273" s="376">
        <v>28425</v>
      </c>
      <c r="U273" s="376">
        <v>14225</v>
      </c>
      <c r="V273" s="376" t="s">
        <v>839</v>
      </c>
      <c r="W273" s="381" t="s">
        <v>77</v>
      </c>
    </row>
    <row r="274" spans="1:23" s="376" customFormat="1" ht="9.75" customHeight="1" x14ac:dyDescent="0.15">
      <c r="A274" s="756" t="s">
        <v>679</v>
      </c>
      <c r="B274" s="376" t="s">
        <v>839</v>
      </c>
      <c r="C274" s="376" t="s">
        <v>839</v>
      </c>
      <c r="D274" s="376" t="s">
        <v>839</v>
      </c>
      <c r="E274" s="376" t="s">
        <v>839</v>
      </c>
      <c r="F274" s="376">
        <v>243859</v>
      </c>
      <c r="G274" s="376">
        <v>205109</v>
      </c>
      <c r="H274" s="376">
        <v>15675</v>
      </c>
      <c r="I274" s="376" t="s">
        <v>839</v>
      </c>
      <c r="J274" s="376" t="s">
        <v>839</v>
      </c>
      <c r="K274" s="376" t="s">
        <v>839</v>
      </c>
      <c r="L274" s="376" t="s">
        <v>839</v>
      </c>
      <c r="M274" s="376">
        <v>23075</v>
      </c>
      <c r="N274" s="376" t="s">
        <v>839</v>
      </c>
      <c r="O274" s="376" t="s">
        <v>839</v>
      </c>
      <c r="P274" s="376">
        <v>7454</v>
      </c>
      <c r="Q274" s="376">
        <v>6374</v>
      </c>
      <c r="R274" s="376">
        <v>1080</v>
      </c>
      <c r="S274" s="376">
        <v>28371</v>
      </c>
      <c r="T274" s="376">
        <v>26513</v>
      </c>
      <c r="U274" s="376">
        <v>2999</v>
      </c>
      <c r="V274" s="376" t="s">
        <v>839</v>
      </c>
      <c r="W274" s="381" t="s">
        <v>78</v>
      </c>
    </row>
    <row r="275" spans="1:23" s="376" customFormat="1" ht="9.75" customHeight="1" x14ac:dyDescent="0.15">
      <c r="A275" s="756" t="s">
        <v>680</v>
      </c>
      <c r="B275" s="376" t="s">
        <v>839</v>
      </c>
      <c r="C275" s="376" t="s">
        <v>839</v>
      </c>
      <c r="D275" s="376" t="s">
        <v>839</v>
      </c>
      <c r="E275" s="376" t="s">
        <v>839</v>
      </c>
      <c r="F275" s="376">
        <v>173398</v>
      </c>
      <c r="G275" s="376">
        <v>158448</v>
      </c>
      <c r="H275" s="376">
        <v>14950</v>
      </c>
      <c r="I275" s="376" t="s">
        <v>839</v>
      </c>
      <c r="J275" s="376" t="s">
        <v>839</v>
      </c>
      <c r="K275" s="376" t="s">
        <v>839</v>
      </c>
      <c r="L275" s="376" t="s">
        <v>839</v>
      </c>
      <c r="M275" s="376" t="s">
        <v>839</v>
      </c>
      <c r="N275" s="376" t="s">
        <v>839</v>
      </c>
      <c r="O275" s="376" t="s">
        <v>839</v>
      </c>
      <c r="P275" s="376">
        <v>6333</v>
      </c>
      <c r="Q275" s="376">
        <v>5404</v>
      </c>
      <c r="R275" s="376">
        <v>929</v>
      </c>
      <c r="S275" s="376">
        <v>15079</v>
      </c>
      <c r="T275" s="376">
        <v>12800</v>
      </c>
      <c r="U275" s="376">
        <v>12800</v>
      </c>
      <c r="V275" s="376" t="s">
        <v>839</v>
      </c>
      <c r="W275" s="381" t="s">
        <v>79</v>
      </c>
    </row>
    <row r="276" spans="1:23" s="376" customFormat="1" ht="9.75" customHeight="1" x14ac:dyDescent="0.15">
      <c r="A276" s="756" t="s">
        <v>681</v>
      </c>
      <c r="B276" s="376" t="s">
        <v>839</v>
      </c>
      <c r="C276" s="376" t="s">
        <v>839</v>
      </c>
      <c r="D276" s="376" t="s">
        <v>839</v>
      </c>
      <c r="E276" s="376" t="s">
        <v>839</v>
      </c>
      <c r="F276" s="376">
        <v>337675</v>
      </c>
      <c r="G276" s="376">
        <v>274216</v>
      </c>
      <c r="H276" s="376">
        <v>63459</v>
      </c>
      <c r="I276" s="376" t="s">
        <v>839</v>
      </c>
      <c r="J276" s="376" t="s">
        <v>839</v>
      </c>
      <c r="K276" s="376" t="s">
        <v>839</v>
      </c>
      <c r="L276" s="376" t="s">
        <v>839</v>
      </c>
      <c r="M276" s="376" t="s">
        <v>839</v>
      </c>
      <c r="N276" s="376" t="s">
        <v>839</v>
      </c>
      <c r="O276" s="376" t="s">
        <v>839</v>
      </c>
      <c r="P276" s="376">
        <v>4060</v>
      </c>
      <c r="Q276" s="376">
        <v>3323</v>
      </c>
      <c r="R276" s="376">
        <v>737</v>
      </c>
      <c r="S276" s="376">
        <v>18832</v>
      </c>
      <c r="T276" s="376">
        <v>17630</v>
      </c>
      <c r="U276" s="376">
        <v>17630</v>
      </c>
      <c r="V276" s="376" t="s">
        <v>839</v>
      </c>
      <c r="W276" s="381" t="s">
        <v>92</v>
      </c>
    </row>
    <row r="277" spans="1:23" s="376" customFormat="1" ht="9.75" customHeight="1" x14ac:dyDescent="0.15">
      <c r="A277" s="756" t="s">
        <v>682</v>
      </c>
      <c r="B277" s="376" t="s">
        <v>839</v>
      </c>
      <c r="C277" s="376" t="s">
        <v>839</v>
      </c>
      <c r="D277" s="376" t="s">
        <v>839</v>
      </c>
      <c r="E277" s="376" t="s">
        <v>839</v>
      </c>
      <c r="F277" s="376">
        <v>296119</v>
      </c>
      <c r="G277" s="376">
        <v>230865</v>
      </c>
      <c r="H277" s="376">
        <v>65254</v>
      </c>
      <c r="I277" s="376" t="s">
        <v>839</v>
      </c>
      <c r="J277" s="376" t="s">
        <v>839</v>
      </c>
      <c r="K277" s="376" t="s">
        <v>839</v>
      </c>
      <c r="L277" s="376" t="s">
        <v>839</v>
      </c>
      <c r="M277" s="376" t="s">
        <v>839</v>
      </c>
      <c r="N277" s="376" t="s">
        <v>839</v>
      </c>
      <c r="O277" s="376" t="s">
        <v>839</v>
      </c>
      <c r="P277" s="376">
        <v>3179</v>
      </c>
      <c r="Q277" s="376">
        <v>2449</v>
      </c>
      <c r="R277" s="376">
        <v>730</v>
      </c>
      <c r="S277" s="376">
        <v>2308</v>
      </c>
      <c r="T277" s="376" t="s">
        <v>839</v>
      </c>
      <c r="U277" s="376" t="s">
        <v>839</v>
      </c>
      <c r="V277" s="376" t="s">
        <v>839</v>
      </c>
      <c r="W277" s="381" t="s">
        <v>93</v>
      </c>
    </row>
    <row r="278" spans="1:23" s="376" customFormat="1" ht="9.75" customHeight="1" x14ac:dyDescent="0.15">
      <c r="A278" s="756" t="s">
        <v>683</v>
      </c>
      <c r="B278" s="376" t="s">
        <v>839</v>
      </c>
      <c r="C278" s="376" t="s">
        <v>839</v>
      </c>
      <c r="D278" s="376" t="s">
        <v>839</v>
      </c>
      <c r="E278" s="376" t="s">
        <v>839</v>
      </c>
      <c r="F278" s="376">
        <v>290862</v>
      </c>
      <c r="G278" s="376">
        <v>275133</v>
      </c>
      <c r="H278" s="376">
        <v>15729</v>
      </c>
      <c r="I278" s="376" t="s">
        <v>839</v>
      </c>
      <c r="J278" s="376" t="s">
        <v>839</v>
      </c>
      <c r="K278" s="376" t="s">
        <v>839</v>
      </c>
      <c r="L278" s="376" t="s">
        <v>839</v>
      </c>
      <c r="M278" s="376" t="s">
        <v>839</v>
      </c>
      <c r="N278" s="376" t="s">
        <v>839</v>
      </c>
      <c r="O278" s="376" t="s">
        <v>839</v>
      </c>
      <c r="P278" s="376">
        <v>3621</v>
      </c>
      <c r="Q278" s="376">
        <v>3043</v>
      </c>
      <c r="R278" s="376">
        <v>578</v>
      </c>
      <c r="S278" s="376">
        <v>5827</v>
      </c>
      <c r="T278" s="376">
        <v>4990</v>
      </c>
      <c r="U278" s="376" t="s">
        <v>839</v>
      </c>
      <c r="V278" s="376" t="s">
        <v>839</v>
      </c>
      <c r="W278" s="381" t="s">
        <v>94</v>
      </c>
    </row>
    <row r="279" spans="1:23" s="376" customFormat="1" ht="9.75" customHeight="1" x14ac:dyDescent="0.15">
      <c r="A279" s="756" t="s">
        <v>684</v>
      </c>
      <c r="B279" s="376" t="s">
        <v>839</v>
      </c>
      <c r="C279" s="376" t="s">
        <v>839</v>
      </c>
      <c r="D279" s="376" t="s">
        <v>839</v>
      </c>
      <c r="E279" s="376" t="s">
        <v>839</v>
      </c>
      <c r="F279" s="376">
        <v>497502</v>
      </c>
      <c r="G279" s="376">
        <v>497502</v>
      </c>
      <c r="H279" s="376" t="s">
        <v>839</v>
      </c>
      <c r="I279" s="376" t="s">
        <v>839</v>
      </c>
      <c r="J279" s="376" t="s">
        <v>839</v>
      </c>
      <c r="K279" s="376" t="s">
        <v>839</v>
      </c>
      <c r="L279" s="376" t="s">
        <v>839</v>
      </c>
      <c r="M279" s="376" t="s">
        <v>839</v>
      </c>
      <c r="N279" s="376" t="s">
        <v>839</v>
      </c>
      <c r="O279" s="376" t="s">
        <v>839</v>
      </c>
      <c r="P279" s="376">
        <v>4398</v>
      </c>
      <c r="Q279" s="376">
        <v>3569</v>
      </c>
      <c r="R279" s="376">
        <v>829</v>
      </c>
      <c r="S279" s="376">
        <v>16351</v>
      </c>
      <c r="T279" s="376">
        <v>14697</v>
      </c>
      <c r="U279" s="376">
        <v>9525</v>
      </c>
      <c r="V279" s="376" t="s">
        <v>839</v>
      </c>
      <c r="W279" s="381" t="s">
        <v>95</v>
      </c>
    </row>
    <row r="280" spans="1:23" s="376" customFormat="1" ht="9.75" customHeight="1" x14ac:dyDescent="0.15">
      <c r="A280" s="756" t="s">
        <v>685</v>
      </c>
      <c r="B280" s="376" t="s">
        <v>839</v>
      </c>
      <c r="C280" s="376" t="s">
        <v>839</v>
      </c>
      <c r="D280" s="376" t="s">
        <v>839</v>
      </c>
      <c r="E280" s="376" t="s">
        <v>839</v>
      </c>
      <c r="F280" s="376">
        <v>493091</v>
      </c>
      <c r="G280" s="376">
        <v>385473</v>
      </c>
      <c r="H280" s="376">
        <v>107618</v>
      </c>
      <c r="I280" s="376" t="s">
        <v>839</v>
      </c>
      <c r="J280" s="376" t="s">
        <v>839</v>
      </c>
      <c r="K280" s="376" t="s">
        <v>839</v>
      </c>
      <c r="L280" s="376" t="s">
        <v>839</v>
      </c>
      <c r="M280" s="376" t="s">
        <v>839</v>
      </c>
      <c r="N280" s="376" t="s">
        <v>839</v>
      </c>
      <c r="O280" s="376" t="s">
        <v>839</v>
      </c>
      <c r="P280" s="376">
        <v>4473</v>
      </c>
      <c r="Q280" s="376">
        <v>3669</v>
      </c>
      <c r="R280" s="376">
        <v>804</v>
      </c>
      <c r="S280" s="376">
        <v>30367</v>
      </c>
      <c r="T280" s="376">
        <v>29243</v>
      </c>
      <c r="U280" s="376">
        <v>14286</v>
      </c>
      <c r="V280" s="376">
        <v>14957</v>
      </c>
      <c r="W280" s="381" t="s">
        <v>96</v>
      </c>
    </row>
    <row r="281" spans="1:23" s="376" customFormat="1" ht="9.75" customHeight="1" x14ac:dyDescent="0.15">
      <c r="A281" s="756" t="s">
        <v>686</v>
      </c>
      <c r="B281" s="376" t="s">
        <v>839</v>
      </c>
      <c r="C281" s="376" t="s">
        <v>839</v>
      </c>
      <c r="D281" s="376" t="s">
        <v>839</v>
      </c>
      <c r="E281" s="376" t="s">
        <v>839</v>
      </c>
      <c r="F281" s="376">
        <v>306766</v>
      </c>
      <c r="G281" s="376">
        <v>306766</v>
      </c>
      <c r="H281" s="376" t="s">
        <v>839</v>
      </c>
      <c r="I281" s="376" t="s">
        <v>839</v>
      </c>
      <c r="J281" s="376" t="s">
        <v>839</v>
      </c>
      <c r="K281" s="376" t="s">
        <v>839</v>
      </c>
      <c r="L281" s="376" t="s">
        <v>839</v>
      </c>
      <c r="M281" s="376" t="s">
        <v>839</v>
      </c>
      <c r="N281" s="376" t="s">
        <v>839</v>
      </c>
      <c r="O281" s="376" t="s">
        <v>839</v>
      </c>
      <c r="P281" s="376">
        <v>5608</v>
      </c>
      <c r="Q281" s="376">
        <v>4297</v>
      </c>
      <c r="R281" s="376">
        <v>1311</v>
      </c>
      <c r="S281" s="376">
        <v>15570</v>
      </c>
      <c r="T281" s="376">
        <v>14721</v>
      </c>
      <c r="U281" s="376">
        <v>4700</v>
      </c>
      <c r="V281" s="376">
        <v>10021</v>
      </c>
      <c r="W281" s="381" t="s">
        <v>80</v>
      </c>
    </row>
    <row r="282" spans="1:23" s="376" customFormat="1" ht="9.75" customHeight="1" x14ac:dyDescent="0.15">
      <c r="A282" s="756" t="s">
        <v>687</v>
      </c>
      <c r="B282" s="376" t="s">
        <v>839</v>
      </c>
      <c r="C282" s="376" t="s">
        <v>839</v>
      </c>
      <c r="D282" s="376" t="s">
        <v>839</v>
      </c>
      <c r="E282" s="376" t="s">
        <v>839</v>
      </c>
      <c r="F282" s="376">
        <v>115567</v>
      </c>
      <c r="G282" s="376">
        <v>98130</v>
      </c>
      <c r="H282" s="376">
        <v>17437</v>
      </c>
      <c r="I282" s="376" t="s">
        <v>839</v>
      </c>
      <c r="J282" s="376" t="s">
        <v>839</v>
      </c>
      <c r="K282" s="376" t="s">
        <v>839</v>
      </c>
      <c r="L282" s="376" t="s">
        <v>839</v>
      </c>
      <c r="M282" s="376" t="s">
        <v>839</v>
      </c>
      <c r="N282" s="376" t="s">
        <v>839</v>
      </c>
      <c r="O282" s="376" t="s">
        <v>839</v>
      </c>
      <c r="P282" s="376">
        <v>6167</v>
      </c>
      <c r="Q282" s="376">
        <v>5419</v>
      </c>
      <c r="R282" s="376">
        <v>748</v>
      </c>
      <c r="S282" s="376">
        <v>21253</v>
      </c>
      <c r="T282" s="376">
        <v>20515</v>
      </c>
      <c r="U282" s="376">
        <v>9515</v>
      </c>
      <c r="V282" s="376" t="s">
        <v>839</v>
      </c>
      <c r="W282" s="381" t="s">
        <v>81</v>
      </c>
    </row>
    <row r="283" spans="1:23" s="376" customFormat="1" ht="9.75" customHeight="1" x14ac:dyDescent="0.15">
      <c r="A283" s="756" t="s">
        <v>688</v>
      </c>
      <c r="B283" s="376" t="s">
        <v>839</v>
      </c>
      <c r="C283" s="376" t="s">
        <v>839</v>
      </c>
      <c r="D283" s="376" t="s">
        <v>839</v>
      </c>
      <c r="E283" s="376" t="s">
        <v>839</v>
      </c>
      <c r="F283" s="376">
        <v>226956</v>
      </c>
      <c r="G283" s="376">
        <v>116662</v>
      </c>
      <c r="H283" s="376">
        <v>110294</v>
      </c>
      <c r="I283" s="376" t="s">
        <v>839</v>
      </c>
      <c r="J283" s="376" t="s">
        <v>839</v>
      </c>
      <c r="K283" s="376" t="s">
        <v>839</v>
      </c>
      <c r="L283" s="376" t="s">
        <v>839</v>
      </c>
      <c r="M283" s="376" t="s">
        <v>839</v>
      </c>
      <c r="N283" s="376" t="s">
        <v>839</v>
      </c>
      <c r="O283" s="376" t="s">
        <v>839</v>
      </c>
      <c r="P283" s="376">
        <v>6416</v>
      </c>
      <c r="Q283" s="376">
        <v>5939</v>
      </c>
      <c r="R283" s="376">
        <v>477</v>
      </c>
      <c r="S283" s="376">
        <v>5614</v>
      </c>
      <c r="T283" s="376">
        <v>4700</v>
      </c>
      <c r="U283" s="376">
        <v>4700</v>
      </c>
      <c r="V283" s="376" t="s">
        <v>839</v>
      </c>
      <c r="W283" s="381" t="s">
        <v>82</v>
      </c>
    </row>
    <row r="284" spans="1:23" s="376" customFormat="1" ht="9.75" customHeight="1" x14ac:dyDescent="0.15">
      <c r="A284" s="756" t="s">
        <v>849</v>
      </c>
      <c r="B284" s="376" t="s">
        <v>839</v>
      </c>
      <c r="C284" s="376" t="s">
        <v>839</v>
      </c>
      <c r="D284" s="376" t="s">
        <v>839</v>
      </c>
      <c r="E284" s="376" t="s">
        <v>839</v>
      </c>
      <c r="F284" s="376">
        <v>286182</v>
      </c>
      <c r="G284" s="376">
        <v>286182</v>
      </c>
      <c r="H284" s="376" t="s">
        <v>839</v>
      </c>
      <c r="I284" s="376" t="s">
        <v>839</v>
      </c>
      <c r="J284" s="376" t="s">
        <v>839</v>
      </c>
      <c r="K284" s="376" t="s">
        <v>839</v>
      </c>
      <c r="L284" s="376" t="s">
        <v>839</v>
      </c>
      <c r="M284" s="376" t="s">
        <v>839</v>
      </c>
      <c r="N284" s="376" t="s">
        <v>839</v>
      </c>
      <c r="O284" s="376" t="s">
        <v>839</v>
      </c>
      <c r="P284" s="376">
        <v>5978</v>
      </c>
      <c r="Q284" s="376">
        <v>5080</v>
      </c>
      <c r="R284" s="376">
        <v>898</v>
      </c>
      <c r="S284" s="376">
        <v>31692</v>
      </c>
      <c r="T284" s="376">
        <v>30481</v>
      </c>
      <c r="U284" s="376" t="s">
        <v>839</v>
      </c>
      <c r="V284" s="376">
        <v>30481</v>
      </c>
      <c r="W284" s="381" t="s">
        <v>850</v>
      </c>
    </row>
    <row r="285" spans="1:23" s="376" customFormat="1" ht="9.75" customHeight="1" x14ac:dyDescent="0.15">
      <c r="A285" s="756" t="s">
        <v>690</v>
      </c>
      <c r="B285" s="376" t="s">
        <v>839</v>
      </c>
      <c r="C285" s="376" t="s">
        <v>839</v>
      </c>
      <c r="D285" s="376" t="s">
        <v>839</v>
      </c>
      <c r="E285" s="376" t="s">
        <v>839</v>
      </c>
      <c r="F285" s="376">
        <v>407348</v>
      </c>
      <c r="G285" s="376">
        <v>357318</v>
      </c>
      <c r="H285" s="376">
        <v>50030</v>
      </c>
      <c r="I285" s="376" t="s">
        <v>839</v>
      </c>
      <c r="J285" s="376" t="s">
        <v>839</v>
      </c>
      <c r="K285" s="376" t="s">
        <v>839</v>
      </c>
      <c r="L285" s="376" t="s">
        <v>839</v>
      </c>
      <c r="M285" s="376" t="s">
        <v>839</v>
      </c>
      <c r="N285" s="376" t="s">
        <v>839</v>
      </c>
      <c r="O285" s="376" t="s">
        <v>839</v>
      </c>
      <c r="P285" s="376">
        <v>6677</v>
      </c>
      <c r="Q285" s="376">
        <v>5933</v>
      </c>
      <c r="R285" s="376">
        <v>744</v>
      </c>
      <c r="S285" s="376">
        <v>465</v>
      </c>
      <c r="T285" s="376" t="s">
        <v>839</v>
      </c>
      <c r="U285" s="376" t="s">
        <v>839</v>
      </c>
      <c r="V285" s="376" t="s">
        <v>839</v>
      </c>
      <c r="W285" s="381" t="s">
        <v>77</v>
      </c>
    </row>
    <row r="286" spans="1:23" s="376" customFormat="1" ht="9.75" customHeight="1" x14ac:dyDescent="0.15">
      <c r="A286" s="757" t="s">
        <v>691</v>
      </c>
      <c r="B286" s="380" t="s">
        <v>839</v>
      </c>
      <c r="C286" s="379" t="s">
        <v>839</v>
      </c>
      <c r="D286" s="379" t="s">
        <v>839</v>
      </c>
      <c r="E286" s="379" t="s">
        <v>839</v>
      </c>
      <c r="F286" s="379">
        <v>294212</v>
      </c>
      <c r="G286" s="379">
        <v>230009</v>
      </c>
      <c r="H286" s="379">
        <v>64203</v>
      </c>
      <c r="I286" s="379" t="s">
        <v>839</v>
      </c>
      <c r="J286" s="379" t="s">
        <v>839</v>
      </c>
      <c r="K286" s="379" t="s">
        <v>839</v>
      </c>
      <c r="L286" s="379" t="s">
        <v>839</v>
      </c>
      <c r="M286" s="379" t="s">
        <v>839</v>
      </c>
      <c r="N286" s="379" t="s">
        <v>839</v>
      </c>
      <c r="O286" s="379" t="s">
        <v>839</v>
      </c>
      <c r="P286" s="379">
        <v>8449</v>
      </c>
      <c r="Q286" s="379">
        <v>6358</v>
      </c>
      <c r="R286" s="379">
        <v>2091</v>
      </c>
      <c r="S286" s="379">
        <v>9783</v>
      </c>
      <c r="T286" s="379">
        <v>9530</v>
      </c>
      <c r="U286" s="379">
        <v>9530</v>
      </c>
      <c r="V286" s="379" t="s">
        <v>839</v>
      </c>
      <c r="W286" s="377" t="s">
        <v>78</v>
      </c>
    </row>
    <row r="287" spans="1:23" ht="12" customHeight="1" x14ac:dyDescent="0.15"/>
    <row r="288" spans="1:23" ht="12" customHeight="1" x14ac:dyDescent="0.15"/>
    <row r="289" spans="1:23" ht="12" customHeight="1" x14ac:dyDescent="0.15">
      <c r="K289" s="391" t="s">
        <v>97</v>
      </c>
      <c r="V289" s="394" t="s">
        <v>984</v>
      </c>
    </row>
    <row r="290" spans="1:23" s="387" customFormat="1" ht="21" customHeight="1" x14ac:dyDescent="0.15">
      <c r="A290" s="1023" t="s">
        <v>185</v>
      </c>
      <c r="B290" s="390" t="s">
        <v>1007</v>
      </c>
      <c r="C290" s="389"/>
      <c r="D290" s="389"/>
      <c r="E290" s="389"/>
      <c r="F290" s="732"/>
      <c r="G290" s="733" t="s">
        <v>990</v>
      </c>
      <c r="H290" s="389"/>
      <c r="I290" s="389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  <c r="T290" s="389"/>
      <c r="U290" s="732"/>
      <c r="V290" s="733" t="s">
        <v>301</v>
      </c>
      <c r="W290" s="1026" t="s">
        <v>83</v>
      </c>
    </row>
    <row r="291" spans="1:23" s="387" customFormat="1" ht="21" customHeight="1" x14ac:dyDescent="0.15">
      <c r="A291" s="1024"/>
      <c r="B291" s="390" t="s">
        <v>274</v>
      </c>
      <c r="C291" s="389"/>
      <c r="D291" s="732"/>
      <c r="E291" s="733" t="s">
        <v>1004</v>
      </c>
      <c r="F291" s="732"/>
      <c r="G291" s="1031" t="s">
        <v>1008</v>
      </c>
      <c r="H291" s="733" t="s">
        <v>279</v>
      </c>
      <c r="I291" s="389"/>
      <c r="J291" s="389"/>
      <c r="K291" s="389"/>
      <c r="L291" s="389"/>
      <c r="M291" s="389"/>
      <c r="N291" s="389"/>
      <c r="O291" s="732"/>
      <c r="P291" s="733" t="s">
        <v>272</v>
      </c>
      <c r="Q291" s="732"/>
      <c r="R291" s="733" t="s">
        <v>255</v>
      </c>
      <c r="S291" s="732"/>
      <c r="T291" s="733" t="s">
        <v>1004</v>
      </c>
      <c r="U291" s="732"/>
      <c r="V291" s="1027" t="s">
        <v>300</v>
      </c>
      <c r="W291" s="1027"/>
    </row>
    <row r="292" spans="1:23" s="387" customFormat="1" ht="52.5" customHeight="1" x14ac:dyDescent="0.15">
      <c r="A292" s="1025"/>
      <c r="B292" s="388" t="s">
        <v>269</v>
      </c>
      <c r="C292" s="388" t="s">
        <v>268</v>
      </c>
      <c r="D292" s="388" t="s">
        <v>266</v>
      </c>
      <c r="E292" s="735" t="s">
        <v>329</v>
      </c>
      <c r="F292" s="388" t="s">
        <v>328</v>
      </c>
      <c r="G292" s="1032"/>
      <c r="H292" s="735" t="s">
        <v>975</v>
      </c>
      <c r="I292" s="388" t="s">
        <v>270</v>
      </c>
      <c r="J292" s="388" t="s">
        <v>976</v>
      </c>
      <c r="K292" s="388" t="s">
        <v>285</v>
      </c>
      <c r="L292" s="388" t="s">
        <v>291</v>
      </c>
      <c r="M292" s="388" t="s">
        <v>269</v>
      </c>
      <c r="N292" s="388" t="s">
        <v>268</v>
      </c>
      <c r="O292" s="388" t="s">
        <v>266</v>
      </c>
      <c r="P292" s="735" t="s">
        <v>980</v>
      </c>
      <c r="Q292" s="388" t="s">
        <v>258</v>
      </c>
      <c r="R292" s="735" t="s">
        <v>986</v>
      </c>
      <c r="S292" s="388" t="s">
        <v>330</v>
      </c>
      <c r="T292" s="735" t="s">
        <v>329</v>
      </c>
      <c r="U292" s="388" t="s">
        <v>328</v>
      </c>
      <c r="V292" s="1028"/>
      <c r="W292" s="1028"/>
    </row>
    <row r="293" spans="1:23" s="376" customFormat="1" ht="9.75" customHeight="1" x14ac:dyDescent="0.15">
      <c r="A293" s="755" t="s">
        <v>838</v>
      </c>
      <c r="B293" s="386">
        <v>86720</v>
      </c>
      <c r="C293" s="385">
        <v>58192</v>
      </c>
      <c r="D293" s="385" t="s">
        <v>839</v>
      </c>
      <c r="E293" s="385">
        <v>140956</v>
      </c>
      <c r="F293" s="385">
        <v>140956</v>
      </c>
      <c r="G293" s="385">
        <v>7883344</v>
      </c>
      <c r="H293" s="385">
        <v>3161676</v>
      </c>
      <c r="I293" s="385">
        <v>456923</v>
      </c>
      <c r="J293" s="385">
        <v>1141541</v>
      </c>
      <c r="K293" s="385" t="s">
        <v>839</v>
      </c>
      <c r="L293" s="385">
        <v>275844</v>
      </c>
      <c r="M293" s="385">
        <v>811185</v>
      </c>
      <c r="N293" s="385">
        <v>476183</v>
      </c>
      <c r="O293" s="385" t="s">
        <v>839</v>
      </c>
      <c r="P293" s="385" t="s">
        <v>839</v>
      </c>
      <c r="Q293" s="385" t="s">
        <v>839</v>
      </c>
      <c r="R293" s="385" t="s">
        <v>839</v>
      </c>
      <c r="S293" s="385" t="s">
        <v>839</v>
      </c>
      <c r="T293" s="385">
        <v>4721668</v>
      </c>
      <c r="U293" s="385">
        <v>4721668</v>
      </c>
      <c r="V293" s="385">
        <v>981798</v>
      </c>
      <c r="W293" s="383" t="s">
        <v>457</v>
      </c>
    </row>
    <row r="294" spans="1:23" s="376" customFormat="1" ht="9.75" customHeight="1" x14ac:dyDescent="0.15">
      <c r="A294" s="756" t="s">
        <v>669</v>
      </c>
      <c r="B294" s="376">
        <v>175741</v>
      </c>
      <c r="C294" s="376">
        <v>385663</v>
      </c>
      <c r="D294" s="376">
        <v>97349</v>
      </c>
      <c r="E294" s="376">
        <v>120058</v>
      </c>
      <c r="F294" s="376">
        <v>120058</v>
      </c>
      <c r="G294" s="376">
        <v>6964735</v>
      </c>
      <c r="H294" s="376">
        <v>2257258</v>
      </c>
      <c r="I294" s="376">
        <v>327861</v>
      </c>
      <c r="J294" s="376">
        <v>1032009</v>
      </c>
      <c r="K294" s="376" t="s">
        <v>839</v>
      </c>
      <c r="L294" s="376">
        <v>91913</v>
      </c>
      <c r="M294" s="376">
        <v>699774</v>
      </c>
      <c r="N294" s="376">
        <v>105701</v>
      </c>
      <c r="O294" s="376" t="s">
        <v>839</v>
      </c>
      <c r="P294" s="376">
        <v>153551</v>
      </c>
      <c r="Q294" s="376">
        <v>153551</v>
      </c>
      <c r="R294" s="376">
        <v>10241</v>
      </c>
      <c r="S294" s="376">
        <v>10241</v>
      </c>
      <c r="T294" s="376">
        <v>4543685</v>
      </c>
      <c r="U294" s="376">
        <v>4543685</v>
      </c>
      <c r="V294" s="376">
        <v>839240</v>
      </c>
      <c r="W294" s="381" t="s">
        <v>512</v>
      </c>
    </row>
    <row r="295" spans="1:23" s="376" customFormat="1" ht="9.75" customHeight="1" x14ac:dyDescent="0.15">
      <c r="A295" s="756" t="s">
        <v>670</v>
      </c>
      <c r="B295" s="376">
        <v>118025</v>
      </c>
      <c r="C295" s="376">
        <v>486497</v>
      </c>
      <c r="D295" s="376">
        <v>6440</v>
      </c>
      <c r="E295" s="376">
        <v>66038</v>
      </c>
      <c r="F295" s="376">
        <v>66038</v>
      </c>
      <c r="G295" s="376">
        <v>7623042</v>
      </c>
      <c r="H295" s="376">
        <v>2488615</v>
      </c>
      <c r="I295" s="376">
        <v>666325</v>
      </c>
      <c r="J295" s="376">
        <v>374103</v>
      </c>
      <c r="K295" s="376" t="s">
        <v>839</v>
      </c>
      <c r="L295" s="376" t="s">
        <v>839</v>
      </c>
      <c r="M295" s="376">
        <v>920692</v>
      </c>
      <c r="N295" s="376">
        <v>509745</v>
      </c>
      <c r="O295" s="376">
        <v>17750</v>
      </c>
      <c r="P295" s="376">
        <v>22565</v>
      </c>
      <c r="Q295" s="376">
        <v>22565</v>
      </c>
      <c r="R295" s="376" t="s">
        <v>839</v>
      </c>
      <c r="S295" s="376" t="s">
        <v>839</v>
      </c>
      <c r="T295" s="376">
        <v>5111862</v>
      </c>
      <c r="U295" s="376">
        <v>5111862</v>
      </c>
      <c r="V295" s="376">
        <v>749232</v>
      </c>
      <c r="W295" s="381" t="s">
        <v>620</v>
      </c>
    </row>
    <row r="296" spans="1:23" s="376" customFormat="1" ht="9.75" customHeight="1" x14ac:dyDescent="0.15">
      <c r="A296" s="756" t="s">
        <v>671</v>
      </c>
      <c r="B296" s="376">
        <v>173230</v>
      </c>
      <c r="C296" s="376">
        <v>170488</v>
      </c>
      <c r="D296" s="376">
        <v>151942</v>
      </c>
      <c r="E296" s="376">
        <v>47421</v>
      </c>
      <c r="F296" s="376">
        <v>47421</v>
      </c>
      <c r="G296" s="376">
        <v>7383184</v>
      </c>
      <c r="H296" s="376">
        <v>2027048</v>
      </c>
      <c r="I296" s="376">
        <v>583734</v>
      </c>
      <c r="J296" s="376">
        <v>94875</v>
      </c>
      <c r="K296" s="376" t="s">
        <v>839</v>
      </c>
      <c r="L296" s="376" t="s">
        <v>839</v>
      </c>
      <c r="M296" s="376">
        <v>993440</v>
      </c>
      <c r="N296" s="376">
        <v>354999</v>
      </c>
      <c r="O296" s="376" t="s">
        <v>839</v>
      </c>
      <c r="P296" s="376" t="s">
        <v>839</v>
      </c>
      <c r="Q296" s="376" t="s">
        <v>839</v>
      </c>
      <c r="R296" s="376" t="s">
        <v>839</v>
      </c>
      <c r="S296" s="376" t="s">
        <v>839</v>
      </c>
      <c r="T296" s="376">
        <v>5356136</v>
      </c>
      <c r="U296" s="376">
        <v>5356136</v>
      </c>
      <c r="V296" s="376">
        <v>766211</v>
      </c>
      <c r="W296" s="381" t="s">
        <v>672</v>
      </c>
    </row>
    <row r="297" spans="1:23" s="376" customFormat="1" ht="9.75" customHeight="1" x14ac:dyDescent="0.15">
      <c r="A297" s="756" t="s">
        <v>840</v>
      </c>
      <c r="B297" s="376">
        <v>24362</v>
      </c>
      <c r="C297" s="376">
        <v>34514</v>
      </c>
      <c r="D297" s="376" t="s">
        <v>839</v>
      </c>
      <c r="E297" s="376">
        <v>17109</v>
      </c>
      <c r="F297" s="376">
        <v>17109</v>
      </c>
      <c r="G297" s="376">
        <v>8342946</v>
      </c>
      <c r="H297" s="376">
        <v>3121817</v>
      </c>
      <c r="I297" s="376">
        <v>387607</v>
      </c>
      <c r="J297" s="376">
        <v>333506</v>
      </c>
      <c r="K297" s="376">
        <v>55900</v>
      </c>
      <c r="L297" s="376">
        <v>142338</v>
      </c>
      <c r="M297" s="376">
        <v>1965426</v>
      </c>
      <c r="N297" s="376">
        <v>237040</v>
      </c>
      <c r="O297" s="376" t="s">
        <v>839</v>
      </c>
      <c r="P297" s="376">
        <v>101597</v>
      </c>
      <c r="Q297" s="376">
        <v>101597</v>
      </c>
      <c r="R297" s="376" t="s">
        <v>839</v>
      </c>
      <c r="S297" s="376" t="s">
        <v>839</v>
      </c>
      <c r="T297" s="376">
        <v>5119532</v>
      </c>
      <c r="U297" s="376">
        <v>5119532</v>
      </c>
      <c r="V297" s="376">
        <v>794064</v>
      </c>
      <c r="W297" s="381" t="s">
        <v>841</v>
      </c>
    </row>
    <row r="298" spans="1:23" s="376" customFormat="1" ht="6.75" customHeight="1" x14ac:dyDescent="0.15">
      <c r="A298" s="787"/>
      <c r="W298" s="381"/>
    </row>
    <row r="299" spans="1:23" s="376" customFormat="1" ht="9.75" customHeight="1" x14ac:dyDescent="0.15">
      <c r="A299" s="756" t="s">
        <v>842</v>
      </c>
      <c r="B299" s="376">
        <v>143994</v>
      </c>
      <c r="C299" s="376">
        <v>87870</v>
      </c>
      <c r="D299" s="376">
        <v>6669</v>
      </c>
      <c r="E299" s="376">
        <v>38014</v>
      </c>
      <c r="F299" s="376">
        <v>38014</v>
      </c>
      <c r="G299" s="376">
        <v>7473126</v>
      </c>
      <c r="H299" s="376">
        <v>2135413</v>
      </c>
      <c r="I299" s="376">
        <v>475807</v>
      </c>
      <c r="J299" s="376">
        <v>136566</v>
      </c>
      <c r="K299" s="376">
        <v>55900</v>
      </c>
      <c r="L299" s="376" t="s">
        <v>839</v>
      </c>
      <c r="M299" s="376">
        <v>1202480</v>
      </c>
      <c r="N299" s="376">
        <v>264660</v>
      </c>
      <c r="O299" s="376" t="s">
        <v>839</v>
      </c>
      <c r="P299" s="376">
        <v>101597</v>
      </c>
      <c r="Q299" s="376">
        <v>101597</v>
      </c>
      <c r="R299" s="376" t="s">
        <v>839</v>
      </c>
      <c r="S299" s="376" t="s">
        <v>839</v>
      </c>
      <c r="T299" s="376">
        <v>5236116</v>
      </c>
      <c r="U299" s="376">
        <v>5236116</v>
      </c>
      <c r="V299" s="376">
        <v>723422</v>
      </c>
      <c r="W299" s="381" t="s">
        <v>673</v>
      </c>
    </row>
    <row r="300" spans="1:23" s="376" customFormat="1" ht="9.75" customHeight="1" x14ac:dyDescent="0.15">
      <c r="A300" s="756" t="s">
        <v>843</v>
      </c>
      <c r="B300" s="376">
        <v>10162</v>
      </c>
      <c r="C300" s="376">
        <v>11000</v>
      </c>
      <c r="D300" s="376" t="s">
        <v>839</v>
      </c>
      <c r="E300" s="376">
        <v>13834</v>
      </c>
      <c r="F300" s="376">
        <v>13834</v>
      </c>
      <c r="G300" s="376">
        <v>8459777</v>
      </c>
      <c r="H300" s="376">
        <v>3298117</v>
      </c>
      <c r="I300" s="376">
        <v>415021</v>
      </c>
      <c r="J300" s="376">
        <v>588885</v>
      </c>
      <c r="K300" s="376" t="s">
        <v>839</v>
      </c>
      <c r="L300" s="376">
        <v>142338</v>
      </c>
      <c r="M300" s="376">
        <v>1840362</v>
      </c>
      <c r="N300" s="376">
        <v>311511</v>
      </c>
      <c r="O300" s="376" t="s">
        <v>839</v>
      </c>
      <c r="P300" s="376" t="s">
        <v>839</v>
      </c>
      <c r="Q300" s="376" t="s">
        <v>839</v>
      </c>
      <c r="R300" s="376" t="s">
        <v>839</v>
      </c>
      <c r="S300" s="376" t="s">
        <v>839</v>
      </c>
      <c r="T300" s="376">
        <v>5161660</v>
      </c>
      <c r="U300" s="376">
        <v>5161660</v>
      </c>
      <c r="V300" s="376">
        <v>765879</v>
      </c>
      <c r="W300" s="381" t="s">
        <v>844</v>
      </c>
    </row>
    <row r="301" spans="1:23" s="376" customFormat="1" ht="6.75" customHeight="1" x14ac:dyDescent="0.15">
      <c r="A301" s="787"/>
      <c r="W301" s="381"/>
    </row>
    <row r="302" spans="1:23" s="376" customFormat="1" ht="9.75" customHeight="1" x14ac:dyDescent="0.15">
      <c r="A302" s="756" t="s">
        <v>845</v>
      </c>
      <c r="B302" s="376">
        <v>14200</v>
      </c>
      <c r="C302" s="376">
        <v>23514</v>
      </c>
      <c r="D302" s="376" t="s">
        <v>839</v>
      </c>
      <c r="E302" s="376">
        <v>5204</v>
      </c>
      <c r="F302" s="376">
        <v>5204</v>
      </c>
      <c r="G302" s="376">
        <v>2025887</v>
      </c>
      <c r="H302" s="376">
        <v>641917</v>
      </c>
      <c r="I302" s="376">
        <v>99702</v>
      </c>
      <c r="J302" s="376">
        <v>73355</v>
      </c>
      <c r="K302" s="376">
        <v>55900</v>
      </c>
      <c r="L302" s="376" t="s">
        <v>839</v>
      </c>
      <c r="M302" s="376">
        <v>381039</v>
      </c>
      <c r="N302" s="376">
        <v>31921</v>
      </c>
      <c r="O302" s="376" t="s">
        <v>839</v>
      </c>
      <c r="P302" s="376">
        <v>101597</v>
      </c>
      <c r="Q302" s="376">
        <v>101597</v>
      </c>
      <c r="R302" s="376" t="s">
        <v>839</v>
      </c>
      <c r="S302" s="376" t="s">
        <v>839</v>
      </c>
      <c r="T302" s="376">
        <v>1282373</v>
      </c>
      <c r="U302" s="376">
        <v>1282373</v>
      </c>
      <c r="V302" s="376">
        <v>203887</v>
      </c>
      <c r="W302" s="381" t="s">
        <v>677</v>
      </c>
    </row>
    <row r="303" spans="1:23" s="376" customFormat="1" ht="9.75" customHeight="1" x14ac:dyDescent="0.15">
      <c r="A303" s="756" t="s">
        <v>674</v>
      </c>
      <c r="B303" s="376" t="s">
        <v>839</v>
      </c>
      <c r="C303" s="376" t="s">
        <v>839</v>
      </c>
      <c r="D303" s="376" t="s">
        <v>839</v>
      </c>
      <c r="E303" s="376">
        <v>5789</v>
      </c>
      <c r="F303" s="376">
        <v>5789</v>
      </c>
      <c r="G303" s="376">
        <v>2123969</v>
      </c>
      <c r="H303" s="376">
        <v>914233</v>
      </c>
      <c r="I303" s="376">
        <v>100415</v>
      </c>
      <c r="J303" s="376" t="s">
        <v>839</v>
      </c>
      <c r="K303" s="376" t="s">
        <v>839</v>
      </c>
      <c r="L303" s="376" t="s">
        <v>839</v>
      </c>
      <c r="M303" s="376">
        <v>813818</v>
      </c>
      <c r="N303" s="376" t="s">
        <v>839</v>
      </c>
      <c r="O303" s="376" t="s">
        <v>839</v>
      </c>
      <c r="P303" s="376" t="s">
        <v>839</v>
      </c>
      <c r="Q303" s="376" t="s">
        <v>839</v>
      </c>
      <c r="R303" s="376" t="s">
        <v>839</v>
      </c>
      <c r="S303" s="376" t="s">
        <v>839</v>
      </c>
      <c r="T303" s="376">
        <v>1209736</v>
      </c>
      <c r="U303" s="376">
        <v>1209736</v>
      </c>
      <c r="V303" s="376">
        <v>220067</v>
      </c>
      <c r="W303" s="381" t="s">
        <v>89</v>
      </c>
    </row>
    <row r="304" spans="1:23" s="376" customFormat="1" ht="9.75" customHeight="1" x14ac:dyDescent="0.15">
      <c r="A304" s="756" t="s">
        <v>675</v>
      </c>
      <c r="B304" s="376">
        <v>10162</v>
      </c>
      <c r="C304" s="376" t="s">
        <v>839</v>
      </c>
      <c r="D304" s="376" t="s">
        <v>839</v>
      </c>
      <c r="E304" s="376">
        <v>3615</v>
      </c>
      <c r="F304" s="376">
        <v>3615</v>
      </c>
      <c r="G304" s="376">
        <v>2411614</v>
      </c>
      <c r="H304" s="376">
        <v>1101694</v>
      </c>
      <c r="I304" s="376">
        <v>100943</v>
      </c>
      <c r="J304" s="376">
        <v>216666</v>
      </c>
      <c r="K304" s="376" t="s">
        <v>839</v>
      </c>
      <c r="L304" s="376">
        <v>122338</v>
      </c>
      <c r="M304" s="376">
        <v>575941</v>
      </c>
      <c r="N304" s="376">
        <v>85806</v>
      </c>
      <c r="O304" s="376" t="s">
        <v>839</v>
      </c>
      <c r="P304" s="376" t="s">
        <v>839</v>
      </c>
      <c r="Q304" s="376" t="s">
        <v>839</v>
      </c>
      <c r="R304" s="376" t="s">
        <v>839</v>
      </c>
      <c r="S304" s="376" t="s">
        <v>839</v>
      </c>
      <c r="T304" s="376">
        <v>1309920</v>
      </c>
      <c r="U304" s="376">
        <v>1309920</v>
      </c>
      <c r="V304" s="376">
        <v>199574</v>
      </c>
      <c r="W304" s="381" t="s">
        <v>90</v>
      </c>
    </row>
    <row r="305" spans="1:23" s="376" customFormat="1" ht="9.75" customHeight="1" x14ac:dyDescent="0.15">
      <c r="A305" s="756" t="s">
        <v>676</v>
      </c>
      <c r="B305" s="376" t="s">
        <v>839</v>
      </c>
      <c r="C305" s="376">
        <v>11000</v>
      </c>
      <c r="D305" s="376" t="s">
        <v>839</v>
      </c>
      <c r="E305" s="376">
        <v>2501</v>
      </c>
      <c r="F305" s="376">
        <v>2501</v>
      </c>
      <c r="G305" s="376">
        <v>1781476</v>
      </c>
      <c r="H305" s="376">
        <v>463973</v>
      </c>
      <c r="I305" s="376">
        <v>86547</v>
      </c>
      <c r="J305" s="376">
        <v>43485</v>
      </c>
      <c r="K305" s="376" t="s">
        <v>839</v>
      </c>
      <c r="L305" s="376">
        <v>20000</v>
      </c>
      <c r="M305" s="376">
        <v>194628</v>
      </c>
      <c r="N305" s="376">
        <v>119313</v>
      </c>
      <c r="O305" s="376" t="s">
        <v>839</v>
      </c>
      <c r="P305" s="376" t="s">
        <v>839</v>
      </c>
      <c r="Q305" s="376" t="s">
        <v>839</v>
      </c>
      <c r="R305" s="376" t="s">
        <v>839</v>
      </c>
      <c r="S305" s="376" t="s">
        <v>839</v>
      </c>
      <c r="T305" s="376">
        <v>1317503</v>
      </c>
      <c r="U305" s="376">
        <v>1317503</v>
      </c>
      <c r="V305" s="376">
        <v>170536</v>
      </c>
      <c r="W305" s="381" t="s">
        <v>91</v>
      </c>
    </row>
    <row r="306" spans="1:23" s="376" customFormat="1" ht="9.75" customHeight="1" x14ac:dyDescent="0.15">
      <c r="A306" s="756" t="s">
        <v>846</v>
      </c>
      <c r="B306" s="376" t="s">
        <v>839</v>
      </c>
      <c r="C306" s="376" t="s">
        <v>839</v>
      </c>
      <c r="D306" s="376" t="s">
        <v>839</v>
      </c>
      <c r="E306" s="376">
        <v>1929</v>
      </c>
      <c r="F306" s="376">
        <v>1929</v>
      </c>
      <c r="G306" s="376">
        <v>2142718</v>
      </c>
      <c r="H306" s="376">
        <v>818217</v>
      </c>
      <c r="I306" s="376">
        <v>127116</v>
      </c>
      <c r="J306" s="376">
        <v>328734</v>
      </c>
      <c r="K306" s="376" t="s">
        <v>839</v>
      </c>
      <c r="L306" s="376" t="s">
        <v>839</v>
      </c>
      <c r="M306" s="376">
        <v>255975</v>
      </c>
      <c r="N306" s="376">
        <v>106392</v>
      </c>
      <c r="O306" s="376" t="s">
        <v>839</v>
      </c>
      <c r="P306" s="376" t="s">
        <v>839</v>
      </c>
      <c r="Q306" s="376" t="s">
        <v>839</v>
      </c>
      <c r="R306" s="376" t="s">
        <v>839</v>
      </c>
      <c r="S306" s="376" t="s">
        <v>839</v>
      </c>
      <c r="T306" s="376">
        <v>1324501</v>
      </c>
      <c r="U306" s="376">
        <v>1324501</v>
      </c>
      <c r="V306" s="376">
        <v>175702</v>
      </c>
      <c r="W306" s="381" t="s">
        <v>847</v>
      </c>
    </row>
    <row r="307" spans="1:23" s="376" customFormat="1" ht="6.75" customHeight="1" x14ac:dyDescent="0.15">
      <c r="A307" s="787"/>
      <c r="W307" s="381"/>
    </row>
    <row r="308" spans="1:23" s="376" customFormat="1" ht="9.75" customHeight="1" x14ac:dyDescent="0.15">
      <c r="A308" s="756" t="s">
        <v>848</v>
      </c>
      <c r="B308" s="376" t="s">
        <v>839</v>
      </c>
      <c r="C308" s="376" t="s">
        <v>839</v>
      </c>
      <c r="D308" s="376" t="s">
        <v>839</v>
      </c>
      <c r="E308" s="376">
        <v>1199</v>
      </c>
      <c r="F308" s="376">
        <v>1199</v>
      </c>
      <c r="G308" s="376">
        <v>601220</v>
      </c>
      <c r="H308" s="376">
        <v>171140</v>
      </c>
      <c r="I308" s="376">
        <v>59701</v>
      </c>
      <c r="J308" s="376" t="s">
        <v>839</v>
      </c>
      <c r="K308" s="376" t="s">
        <v>839</v>
      </c>
      <c r="L308" s="376" t="s">
        <v>839</v>
      </c>
      <c r="M308" s="376">
        <v>111439</v>
      </c>
      <c r="N308" s="376" t="s">
        <v>839</v>
      </c>
      <c r="O308" s="376" t="s">
        <v>839</v>
      </c>
      <c r="P308" s="376" t="s">
        <v>839</v>
      </c>
      <c r="Q308" s="376" t="s">
        <v>839</v>
      </c>
      <c r="R308" s="376" t="s">
        <v>839</v>
      </c>
      <c r="S308" s="376" t="s">
        <v>839</v>
      </c>
      <c r="T308" s="376">
        <v>430080</v>
      </c>
      <c r="U308" s="376">
        <v>430080</v>
      </c>
      <c r="V308" s="376">
        <v>58029</v>
      </c>
      <c r="W308" s="381" t="s">
        <v>689</v>
      </c>
    </row>
    <row r="309" spans="1:23" s="376" customFormat="1" ht="9.75" customHeight="1" x14ac:dyDescent="0.15">
      <c r="A309" s="756" t="s">
        <v>678</v>
      </c>
      <c r="B309" s="376">
        <v>14200</v>
      </c>
      <c r="C309" s="376" t="s">
        <v>839</v>
      </c>
      <c r="D309" s="376" t="s">
        <v>839</v>
      </c>
      <c r="E309" s="376">
        <v>2147</v>
      </c>
      <c r="F309" s="376">
        <v>2147</v>
      </c>
      <c r="G309" s="376">
        <v>686889</v>
      </c>
      <c r="H309" s="376">
        <v>262170</v>
      </c>
      <c r="I309" s="376">
        <v>25001</v>
      </c>
      <c r="J309" s="376">
        <v>28388</v>
      </c>
      <c r="K309" s="376">
        <v>55900</v>
      </c>
      <c r="L309" s="376" t="s">
        <v>839</v>
      </c>
      <c r="M309" s="376">
        <v>152881</v>
      </c>
      <c r="N309" s="376" t="s">
        <v>839</v>
      </c>
      <c r="O309" s="376" t="s">
        <v>839</v>
      </c>
      <c r="P309" s="376" t="s">
        <v>839</v>
      </c>
      <c r="Q309" s="376" t="s">
        <v>839</v>
      </c>
      <c r="R309" s="376" t="s">
        <v>839</v>
      </c>
      <c r="S309" s="376" t="s">
        <v>839</v>
      </c>
      <c r="T309" s="376">
        <v>424719</v>
      </c>
      <c r="U309" s="376">
        <v>424719</v>
      </c>
      <c r="V309" s="376">
        <v>61837</v>
      </c>
      <c r="W309" s="381" t="s">
        <v>77</v>
      </c>
    </row>
    <row r="310" spans="1:23" s="376" customFormat="1" ht="9.75" customHeight="1" x14ac:dyDescent="0.15">
      <c r="A310" s="756" t="s">
        <v>679</v>
      </c>
      <c r="B310" s="376" t="s">
        <v>839</v>
      </c>
      <c r="C310" s="376">
        <v>23514</v>
      </c>
      <c r="D310" s="376" t="s">
        <v>839</v>
      </c>
      <c r="E310" s="376">
        <v>1858</v>
      </c>
      <c r="F310" s="376">
        <v>1858</v>
      </c>
      <c r="G310" s="376">
        <v>737778</v>
      </c>
      <c r="H310" s="376">
        <v>208607</v>
      </c>
      <c r="I310" s="376">
        <v>15000</v>
      </c>
      <c r="J310" s="376">
        <v>44967</v>
      </c>
      <c r="K310" s="376" t="s">
        <v>839</v>
      </c>
      <c r="L310" s="376" t="s">
        <v>839</v>
      </c>
      <c r="M310" s="376">
        <v>116719</v>
      </c>
      <c r="N310" s="376">
        <v>31921</v>
      </c>
      <c r="O310" s="376" t="s">
        <v>839</v>
      </c>
      <c r="P310" s="376">
        <v>101597</v>
      </c>
      <c r="Q310" s="376">
        <v>101597</v>
      </c>
      <c r="R310" s="376" t="s">
        <v>839</v>
      </c>
      <c r="S310" s="376" t="s">
        <v>839</v>
      </c>
      <c r="T310" s="376">
        <v>427574</v>
      </c>
      <c r="U310" s="376">
        <v>427574</v>
      </c>
      <c r="V310" s="376">
        <v>84021</v>
      </c>
      <c r="W310" s="381" t="s">
        <v>78</v>
      </c>
    </row>
    <row r="311" spans="1:23" s="376" customFormat="1" ht="9.75" customHeight="1" x14ac:dyDescent="0.15">
      <c r="A311" s="756" t="s">
        <v>680</v>
      </c>
      <c r="B311" s="376" t="s">
        <v>839</v>
      </c>
      <c r="C311" s="376" t="s">
        <v>839</v>
      </c>
      <c r="D311" s="376" t="s">
        <v>839</v>
      </c>
      <c r="E311" s="376">
        <v>2279</v>
      </c>
      <c r="F311" s="376">
        <v>2279</v>
      </c>
      <c r="G311" s="376">
        <v>681823</v>
      </c>
      <c r="H311" s="376">
        <v>291700</v>
      </c>
      <c r="I311" s="376">
        <v>20001</v>
      </c>
      <c r="J311" s="376" t="s">
        <v>839</v>
      </c>
      <c r="K311" s="376" t="s">
        <v>839</v>
      </c>
      <c r="L311" s="376" t="s">
        <v>839</v>
      </c>
      <c r="M311" s="376">
        <v>271699</v>
      </c>
      <c r="N311" s="376" t="s">
        <v>839</v>
      </c>
      <c r="O311" s="376" t="s">
        <v>839</v>
      </c>
      <c r="P311" s="376" t="s">
        <v>839</v>
      </c>
      <c r="Q311" s="376" t="s">
        <v>839</v>
      </c>
      <c r="R311" s="376" t="s">
        <v>839</v>
      </c>
      <c r="S311" s="376" t="s">
        <v>839</v>
      </c>
      <c r="T311" s="376">
        <v>390123</v>
      </c>
      <c r="U311" s="376">
        <v>390123</v>
      </c>
      <c r="V311" s="376">
        <v>71698</v>
      </c>
      <c r="W311" s="381" t="s">
        <v>79</v>
      </c>
    </row>
    <row r="312" spans="1:23" s="376" customFormat="1" ht="9.75" customHeight="1" x14ac:dyDescent="0.15">
      <c r="A312" s="756" t="s">
        <v>681</v>
      </c>
      <c r="B312" s="376" t="s">
        <v>839</v>
      </c>
      <c r="C312" s="376" t="s">
        <v>839</v>
      </c>
      <c r="D312" s="376" t="s">
        <v>839</v>
      </c>
      <c r="E312" s="376">
        <v>1202</v>
      </c>
      <c r="F312" s="376">
        <v>1202</v>
      </c>
      <c r="G312" s="376">
        <v>721198</v>
      </c>
      <c r="H312" s="376">
        <v>337060</v>
      </c>
      <c r="I312" s="376">
        <v>47971</v>
      </c>
      <c r="J312" s="376" t="s">
        <v>839</v>
      </c>
      <c r="K312" s="376" t="s">
        <v>839</v>
      </c>
      <c r="L312" s="376" t="s">
        <v>839</v>
      </c>
      <c r="M312" s="376">
        <v>289089</v>
      </c>
      <c r="N312" s="376" t="s">
        <v>839</v>
      </c>
      <c r="O312" s="376" t="s">
        <v>839</v>
      </c>
      <c r="P312" s="376" t="s">
        <v>839</v>
      </c>
      <c r="Q312" s="376" t="s">
        <v>839</v>
      </c>
      <c r="R312" s="376" t="s">
        <v>839</v>
      </c>
      <c r="S312" s="376" t="s">
        <v>839</v>
      </c>
      <c r="T312" s="376">
        <v>384138</v>
      </c>
      <c r="U312" s="376">
        <v>384138</v>
      </c>
      <c r="V312" s="376">
        <v>79391</v>
      </c>
      <c r="W312" s="381" t="s">
        <v>92</v>
      </c>
    </row>
    <row r="313" spans="1:23" s="376" customFormat="1" ht="9.75" customHeight="1" x14ac:dyDescent="0.15">
      <c r="A313" s="756" t="s">
        <v>682</v>
      </c>
      <c r="B313" s="376" t="s">
        <v>839</v>
      </c>
      <c r="C313" s="376" t="s">
        <v>839</v>
      </c>
      <c r="D313" s="376" t="s">
        <v>839</v>
      </c>
      <c r="E313" s="376">
        <v>2308</v>
      </c>
      <c r="F313" s="376">
        <v>2308</v>
      </c>
      <c r="G313" s="376">
        <v>720948</v>
      </c>
      <c r="H313" s="376">
        <v>285473</v>
      </c>
      <c r="I313" s="376">
        <v>32443</v>
      </c>
      <c r="J313" s="376" t="s">
        <v>839</v>
      </c>
      <c r="K313" s="376" t="s">
        <v>839</v>
      </c>
      <c r="L313" s="376" t="s">
        <v>839</v>
      </c>
      <c r="M313" s="376">
        <v>253030</v>
      </c>
      <c r="N313" s="376" t="s">
        <v>839</v>
      </c>
      <c r="O313" s="376" t="s">
        <v>839</v>
      </c>
      <c r="P313" s="376" t="s">
        <v>839</v>
      </c>
      <c r="Q313" s="376" t="s">
        <v>839</v>
      </c>
      <c r="R313" s="376" t="s">
        <v>839</v>
      </c>
      <c r="S313" s="376" t="s">
        <v>839</v>
      </c>
      <c r="T313" s="376">
        <v>435475</v>
      </c>
      <c r="U313" s="376">
        <v>435475</v>
      </c>
      <c r="V313" s="376">
        <v>68978</v>
      </c>
      <c r="W313" s="381" t="s">
        <v>93</v>
      </c>
    </row>
    <row r="314" spans="1:23" s="376" customFormat="1" ht="9.75" customHeight="1" x14ac:dyDescent="0.15">
      <c r="A314" s="756" t="s">
        <v>683</v>
      </c>
      <c r="B314" s="376">
        <v>4990</v>
      </c>
      <c r="C314" s="376" t="s">
        <v>839</v>
      </c>
      <c r="D314" s="376" t="s">
        <v>839</v>
      </c>
      <c r="E314" s="376">
        <v>837</v>
      </c>
      <c r="F314" s="376">
        <v>837</v>
      </c>
      <c r="G314" s="376">
        <v>805598</v>
      </c>
      <c r="H314" s="376">
        <v>373316</v>
      </c>
      <c r="I314" s="376">
        <v>65942</v>
      </c>
      <c r="J314" s="376">
        <v>89558</v>
      </c>
      <c r="K314" s="376" t="s">
        <v>839</v>
      </c>
      <c r="L314" s="376">
        <v>78330</v>
      </c>
      <c r="M314" s="376">
        <v>139486</v>
      </c>
      <c r="N314" s="376" t="s">
        <v>839</v>
      </c>
      <c r="O314" s="376" t="s">
        <v>839</v>
      </c>
      <c r="P314" s="376" t="s">
        <v>839</v>
      </c>
      <c r="Q314" s="376" t="s">
        <v>839</v>
      </c>
      <c r="R314" s="376" t="s">
        <v>839</v>
      </c>
      <c r="S314" s="376" t="s">
        <v>839</v>
      </c>
      <c r="T314" s="376">
        <v>432282</v>
      </c>
      <c r="U314" s="376">
        <v>432282</v>
      </c>
      <c r="V314" s="376">
        <v>74231</v>
      </c>
      <c r="W314" s="381" t="s">
        <v>94</v>
      </c>
    </row>
    <row r="315" spans="1:23" s="376" customFormat="1" ht="9.75" customHeight="1" x14ac:dyDescent="0.15">
      <c r="A315" s="756" t="s">
        <v>684</v>
      </c>
      <c r="B315" s="376">
        <v>5172</v>
      </c>
      <c r="C315" s="376" t="s">
        <v>839</v>
      </c>
      <c r="D315" s="376" t="s">
        <v>839</v>
      </c>
      <c r="E315" s="376">
        <v>1654</v>
      </c>
      <c r="F315" s="376">
        <v>1654</v>
      </c>
      <c r="G315" s="376">
        <v>725053</v>
      </c>
      <c r="H315" s="376">
        <v>287932</v>
      </c>
      <c r="I315" s="376">
        <v>15000</v>
      </c>
      <c r="J315" s="376">
        <v>43021</v>
      </c>
      <c r="K315" s="376" t="s">
        <v>839</v>
      </c>
      <c r="L315" s="376" t="s">
        <v>839</v>
      </c>
      <c r="M315" s="376">
        <v>193506</v>
      </c>
      <c r="N315" s="376">
        <v>36405</v>
      </c>
      <c r="O315" s="376" t="s">
        <v>839</v>
      </c>
      <c r="P315" s="376" t="s">
        <v>839</v>
      </c>
      <c r="Q315" s="376" t="s">
        <v>839</v>
      </c>
      <c r="R315" s="376" t="s">
        <v>839</v>
      </c>
      <c r="S315" s="376" t="s">
        <v>839</v>
      </c>
      <c r="T315" s="376">
        <v>437121</v>
      </c>
      <c r="U315" s="376">
        <v>437121</v>
      </c>
      <c r="V315" s="376">
        <v>56029</v>
      </c>
      <c r="W315" s="381" t="s">
        <v>95</v>
      </c>
    </row>
    <row r="316" spans="1:23" s="376" customFormat="1" ht="9.75" customHeight="1" x14ac:dyDescent="0.15">
      <c r="A316" s="756" t="s">
        <v>685</v>
      </c>
      <c r="B316" s="376" t="s">
        <v>839</v>
      </c>
      <c r="C316" s="376" t="s">
        <v>839</v>
      </c>
      <c r="D316" s="376" t="s">
        <v>839</v>
      </c>
      <c r="E316" s="376">
        <v>1124</v>
      </c>
      <c r="F316" s="376">
        <v>1124</v>
      </c>
      <c r="G316" s="376">
        <v>880963</v>
      </c>
      <c r="H316" s="376">
        <v>440446</v>
      </c>
      <c r="I316" s="376">
        <v>20001</v>
      </c>
      <c r="J316" s="376">
        <v>84087</v>
      </c>
      <c r="K316" s="376" t="s">
        <v>839</v>
      </c>
      <c r="L316" s="376">
        <v>44008</v>
      </c>
      <c r="M316" s="376">
        <v>242949</v>
      </c>
      <c r="N316" s="376">
        <v>49401</v>
      </c>
      <c r="O316" s="376" t="s">
        <v>839</v>
      </c>
      <c r="P316" s="376" t="s">
        <v>839</v>
      </c>
      <c r="Q316" s="376" t="s">
        <v>839</v>
      </c>
      <c r="R316" s="376" t="s">
        <v>839</v>
      </c>
      <c r="S316" s="376" t="s">
        <v>839</v>
      </c>
      <c r="T316" s="376">
        <v>440517</v>
      </c>
      <c r="U316" s="376">
        <v>440517</v>
      </c>
      <c r="V316" s="376">
        <v>69314</v>
      </c>
      <c r="W316" s="381" t="s">
        <v>96</v>
      </c>
    </row>
    <row r="317" spans="1:23" s="376" customFormat="1" ht="9.75" customHeight="1" x14ac:dyDescent="0.15">
      <c r="A317" s="756" t="s">
        <v>686</v>
      </c>
      <c r="B317" s="376" t="s">
        <v>839</v>
      </c>
      <c r="C317" s="376" t="s">
        <v>839</v>
      </c>
      <c r="D317" s="376" t="s">
        <v>839</v>
      </c>
      <c r="E317" s="376">
        <v>849</v>
      </c>
      <c r="F317" s="376">
        <v>849</v>
      </c>
      <c r="G317" s="376">
        <v>630826</v>
      </c>
      <c r="H317" s="376">
        <v>158864</v>
      </c>
      <c r="I317" s="376">
        <v>20001</v>
      </c>
      <c r="J317" s="376">
        <v>43485</v>
      </c>
      <c r="K317" s="376" t="s">
        <v>839</v>
      </c>
      <c r="L317" s="376" t="s">
        <v>839</v>
      </c>
      <c r="M317" s="376">
        <v>95378</v>
      </c>
      <c r="N317" s="376" t="s">
        <v>839</v>
      </c>
      <c r="O317" s="376" t="s">
        <v>839</v>
      </c>
      <c r="P317" s="376" t="s">
        <v>839</v>
      </c>
      <c r="Q317" s="376" t="s">
        <v>839</v>
      </c>
      <c r="R317" s="376" t="s">
        <v>839</v>
      </c>
      <c r="S317" s="376" t="s">
        <v>839</v>
      </c>
      <c r="T317" s="376">
        <v>471962</v>
      </c>
      <c r="U317" s="376">
        <v>471962</v>
      </c>
      <c r="V317" s="376">
        <v>44347</v>
      </c>
      <c r="W317" s="381" t="s">
        <v>80</v>
      </c>
    </row>
    <row r="318" spans="1:23" s="376" customFormat="1" ht="9.75" customHeight="1" x14ac:dyDescent="0.15">
      <c r="A318" s="756" t="s">
        <v>687</v>
      </c>
      <c r="B318" s="376" t="s">
        <v>839</v>
      </c>
      <c r="C318" s="376">
        <v>11000</v>
      </c>
      <c r="D318" s="376" t="s">
        <v>839</v>
      </c>
      <c r="E318" s="376">
        <v>738</v>
      </c>
      <c r="F318" s="376">
        <v>738</v>
      </c>
      <c r="G318" s="376">
        <v>556047</v>
      </c>
      <c r="H318" s="376">
        <v>129934</v>
      </c>
      <c r="I318" s="376">
        <v>17001</v>
      </c>
      <c r="J318" s="376" t="s">
        <v>839</v>
      </c>
      <c r="K318" s="376" t="s">
        <v>839</v>
      </c>
      <c r="L318" s="376">
        <v>20000</v>
      </c>
      <c r="M318" s="376">
        <v>58523</v>
      </c>
      <c r="N318" s="376">
        <v>34410</v>
      </c>
      <c r="O318" s="376" t="s">
        <v>839</v>
      </c>
      <c r="P318" s="376" t="s">
        <v>839</v>
      </c>
      <c r="Q318" s="376" t="s">
        <v>839</v>
      </c>
      <c r="R318" s="376" t="s">
        <v>839</v>
      </c>
      <c r="S318" s="376" t="s">
        <v>839</v>
      </c>
      <c r="T318" s="376">
        <v>426113</v>
      </c>
      <c r="U318" s="376">
        <v>426113</v>
      </c>
      <c r="V318" s="376">
        <v>58286</v>
      </c>
      <c r="W318" s="381" t="s">
        <v>81</v>
      </c>
    </row>
    <row r="319" spans="1:23" s="376" customFormat="1" ht="9.75" customHeight="1" x14ac:dyDescent="0.15">
      <c r="A319" s="756" t="s">
        <v>688</v>
      </c>
      <c r="B319" s="376" t="s">
        <v>839</v>
      </c>
      <c r="C319" s="376" t="s">
        <v>839</v>
      </c>
      <c r="D319" s="376" t="s">
        <v>839</v>
      </c>
      <c r="E319" s="376">
        <v>914</v>
      </c>
      <c r="F319" s="376">
        <v>914</v>
      </c>
      <c r="G319" s="376">
        <v>594603</v>
      </c>
      <c r="H319" s="376">
        <v>175175</v>
      </c>
      <c r="I319" s="376">
        <v>49545</v>
      </c>
      <c r="J319" s="376" t="s">
        <v>839</v>
      </c>
      <c r="K319" s="376" t="s">
        <v>839</v>
      </c>
      <c r="L319" s="376" t="s">
        <v>839</v>
      </c>
      <c r="M319" s="376">
        <v>40727</v>
      </c>
      <c r="N319" s="376">
        <v>84903</v>
      </c>
      <c r="O319" s="376" t="s">
        <v>839</v>
      </c>
      <c r="P319" s="376" t="s">
        <v>839</v>
      </c>
      <c r="Q319" s="376" t="s">
        <v>839</v>
      </c>
      <c r="R319" s="376" t="s">
        <v>839</v>
      </c>
      <c r="S319" s="376" t="s">
        <v>839</v>
      </c>
      <c r="T319" s="376">
        <v>419428</v>
      </c>
      <c r="U319" s="376">
        <v>419428</v>
      </c>
      <c r="V319" s="376">
        <v>67903</v>
      </c>
      <c r="W319" s="381" t="s">
        <v>82</v>
      </c>
    </row>
    <row r="320" spans="1:23" s="376" customFormat="1" ht="9.75" customHeight="1" x14ac:dyDescent="0.15">
      <c r="A320" s="756" t="s">
        <v>849</v>
      </c>
      <c r="B320" s="376" t="s">
        <v>839</v>
      </c>
      <c r="C320" s="376" t="s">
        <v>839</v>
      </c>
      <c r="D320" s="376" t="s">
        <v>839</v>
      </c>
      <c r="E320" s="376">
        <v>1211</v>
      </c>
      <c r="F320" s="376">
        <v>1211</v>
      </c>
      <c r="G320" s="376">
        <v>676939</v>
      </c>
      <c r="H320" s="376">
        <v>253979</v>
      </c>
      <c r="I320" s="376">
        <v>55666</v>
      </c>
      <c r="J320" s="376">
        <v>60620</v>
      </c>
      <c r="K320" s="376" t="s">
        <v>839</v>
      </c>
      <c r="L320" s="376" t="s">
        <v>839</v>
      </c>
      <c r="M320" s="376">
        <v>137693</v>
      </c>
      <c r="N320" s="376" t="s">
        <v>839</v>
      </c>
      <c r="O320" s="376" t="s">
        <v>839</v>
      </c>
      <c r="P320" s="376" t="s">
        <v>839</v>
      </c>
      <c r="Q320" s="376" t="s">
        <v>839</v>
      </c>
      <c r="R320" s="376" t="s">
        <v>839</v>
      </c>
      <c r="S320" s="376" t="s">
        <v>839</v>
      </c>
      <c r="T320" s="376">
        <v>422960</v>
      </c>
      <c r="U320" s="376">
        <v>422960</v>
      </c>
      <c r="V320" s="376">
        <v>56591</v>
      </c>
      <c r="W320" s="381" t="s">
        <v>850</v>
      </c>
    </row>
    <row r="321" spans="1:23" s="376" customFormat="1" ht="9.75" customHeight="1" x14ac:dyDescent="0.15">
      <c r="A321" s="756" t="s">
        <v>690</v>
      </c>
      <c r="B321" s="376" t="s">
        <v>839</v>
      </c>
      <c r="C321" s="376" t="s">
        <v>839</v>
      </c>
      <c r="D321" s="376" t="s">
        <v>839</v>
      </c>
      <c r="E321" s="376">
        <v>465</v>
      </c>
      <c r="F321" s="376">
        <v>465</v>
      </c>
      <c r="G321" s="376">
        <v>733841</v>
      </c>
      <c r="H321" s="376">
        <v>313062</v>
      </c>
      <c r="I321" s="376">
        <v>25091</v>
      </c>
      <c r="J321" s="376">
        <v>101297</v>
      </c>
      <c r="K321" s="376" t="s">
        <v>839</v>
      </c>
      <c r="L321" s="376" t="s">
        <v>839</v>
      </c>
      <c r="M321" s="376">
        <v>80282</v>
      </c>
      <c r="N321" s="376">
        <v>106392</v>
      </c>
      <c r="O321" s="376" t="s">
        <v>839</v>
      </c>
      <c r="P321" s="376" t="s">
        <v>839</v>
      </c>
      <c r="Q321" s="376" t="s">
        <v>839</v>
      </c>
      <c r="R321" s="376" t="s">
        <v>839</v>
      </c>
      <c r="S321" s="376" t="s">
        <v>839</v>
      </c>
      <c r="T321" s="376">
        <v>420779</v>
      </c>
      <c r="U321" s="376">
        <v>420779</v>
      </c>
      <c r="V321" s="376">
        <v>51381</v>
      </c>
      <c r="W321" s="381" t="s">
        <v>77</v>
      </c>
    </row>
    <row r="322" spans="1:23" s="376" customFormat="1" ht="9.75" customHeight="1" x14ac:dyDescent="0.15">
      <c r="A322" s="757" t="s">
        <v>691</v>
      </c>
      <c r="B322" s="380" t="s">
        <v>839</v>
      </c>
      <c r="C322" s="379" t="s">
        <v>839</v>
      </c>
      <c r="D322" s="379" t="s">
        <v>839</v>
      </c>
      <c r="E322" s="379">
        <v>253</v>
      </c>
      <c r="F322" s="379">
        <v>253</v>
      </c>
      <c r="G322" s="379">
        <v>731938</v>
      </c>
      <c r="H322" s="379">
        <v>251176</v>
      </c>
      <c r="I322" s="379">
        <v>46359</v>
      </c>
      <c r="J322" s="379">
        <v>166817</v>
      </c>
      <c r="K322" s="379" t="s">
        <v>839</v>
      </c>
      <c r="L322" s="379" t="s">
        <v>839</v>
      </c>
      <c r="M322" s="379">
        <v>38000</v>
      </c>
      <c r="N322" s="379" t="s">
        <v>839</v>
      </c>
      <c r="O322" s="379" t="s">
        <v>839</v>
      </c>
      <c r="P322" s="379" t="s">
        <v>839</v>
      </c>
      <c r="Q322" s="379" t="s">
        <v>839</v>
      </c>
      <c r="R322" s="379" t="s">
        <v>839</v>
      </c>
      <c r="S322" s="379" t="s">
        <v>839</v>
      </c>
      <c r="T322" s="379">
        <v>480762</v>
      </c>
      <c r="U322" s="379">
        <v>480762</v>
      </c>
      <c r="V322" s="379">
        <v>67730</v>
      </c>
      <c r="W322" s="377" t="s">
        <v>78</v>
      </c>
    </row>
    <row r="323" spans="1:23" ht="12" customHeight="1" x14ac:dyDescent="0.15"/>
    <row r="324" spans="1:23" ht="12" customHeight="1" x14ac:dyDescent="0.15"/>
    <row r="325" spans="1:23" ht="12" customHeight="1" x14ac:dyDescent="0.15">
      <c r="K325" s="391" t="s">
        <v>97</v>
      </c>
    </row>
    <row r="326" spans="1:23" s="387" customFormat="1" ht="21" customHeight="1" x14ac:dyDescent="0.15">
      <c r="A326" s="1023" t="s">
        <v>185</v>
      </c>
      <c r="B326" s="390" t="s">
        <v>298</v>
      </c>
      <c r="C326" s="389"/>
      <c r="D326" s="389"/>
      <c r="E326" s="389"/>
      <c r="F326" s="389"/>
      <c r="G326" s="389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  <c r="T326" s="389"/>
      <c r="U326" s="389"/>
      <c r="V326" s="389"/>
      <c r="W326" s="1026" t="s">
        <v>83</v>
      </c>
    </row>
    <row r="327" spans="1:23" s="387" customFormat="1" ht="21" customHeight="1" x14ac:dyDescent="0.15">
      <c r="A327" s="1024"/>
      <c r="B327" s="733" t="s">
        <v>279</v>
      </c>
      <c r="C327" s="389"/>
      <c r="D327" s="389"/>
      <c r="E327" s="389"/>
      <c r="F327" s="389"/>
      <c r="G327" s="389"/>
      <c r="H327" s="389"/>
      <c r="I327" s="389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  <c r="T327" s="389"/>
      <c r="U327" s="389"/>
      <c r="V327" s="389"/>
      <c r="W327" s="1027"/>
    </row>
    <row r="328" spans="1:23" s="387" customFormat="1" ht="52.5" customHeight="1" x14ac:dyDescent="0.15">
      <c r="A328" s="1025"/>
      <c r="B328" s="735" t="s">
        <v>975</v>
      </c>
      <c r="C328" s="388" t="s">
        <v>270</v>
      </c>
      <c r="D328" s="388" t="s">
        <v>976</v>
      </c>
      <c r="E328" s="388" t="s">
        <v>285</v>
      </c>
      <c r="F328" s="388" t="s">
        <v>347</v>
      </c>
      <c r="G328" s="388" t="s">
        <v>291</v>
      </c>
      <c r="H328" s="388" t="s">
        <v>339</v>
      </c>
      <c r="I328" s="388" t="s">
        <v>290</v>
      </c>
      <c r="J328" s="388" t="s">
        <v>269</v>
      </c>
      <c r="K328" s="388" t="s">
        <v>268</v>
      </c>
      <c r="L328" s="388" t="s">
        <v>318</v>
      </c>
      <c r="M328" s="388" t="s">
        <v>266</v>
      </c>
      <c r="N328" s="388" t="s">
        <v>346</v>
      </c>
      <c r="O328" s="388" t="s">
        <v>295</v>
      </c>
      <c r="P328" s="388" t="s">
        <v>317</v>
      </c>
      <c r="Q328" s="388" t="s">
        <v>315</v>
      </c>
      <c r="R328" s="388" t="s">
        <v>278</v>
      </c>
      <c r="S328" s="388" t="s">
        <v>277</v>
      </c>
      <c r="T328" s="388" t="s">
        <v>276</v>
      </c>
      <c r="U328" s="388" t="s">
        <v>345</v>
      </c>
      <c r="V328" s="392" t="s">
        <v>344</v>
      </c>
      <c r="W328" s="1028"/>
    </row>
    <row r="329" spans="1:23" s="376" customFormat="1" ht="9.75" customHeight="1" x14ac:dyDescent="0.15">
      <c r="A329" s="755" t="s">
        <v>838</v>
      </c>
      <c r="B329" s="386">
        <v>935247</v>
      </c>
      <c r="C329" s="385">
        <v>149188</v>
      </c>
      <c r="D329" s="385">
        <v>181351</v>
      </c>
      <c r="E329" s="385">
        <v>54560</v>
      </c>
      <c r="F329" s="385">
        <v>97</v>
      </c>
      <c r="G329" s="385">
        <v>5854</v>
      </c>
      <c r="H329" s="385">
        <v>55655</v>
      </c>
      <c r="I329" s="385">
        <v>104925</v>
      </c>
      <c r="J329" s="385">
        <v>349856</v>
      </c>
      <c r="K329" s="385">
        <v>17929</v>
      </c>
      <c r="L329" s="385">
        <v>1854</v>
      </c>
      <c r="M329" s="385">
        <v>9839</v>
      </c>
      <c r="N329" s="385">
        <v>164</v>
      </c>
      <c r="O329" s="385">
        <v>3120</v>
      </c>
      <c r="P329" s="385" t="s">
        <v>839</v>
      </c>
      <c r="Q329" s="385">
        <v>48</v>
      </c>
      <c r="R329" s="385">
        <v>16</v>
      </c>
      <c r="S329" s="385">
        <v>3</v>
      </c>
      <c r="T329" s="385">
        <v>24</v>
      </c>
      <c r="U329" s="385">
        <v>3</v>
      </c>
      <c r="V329" s="385">
        <v>1</v>
      </c>
      <c r="W329" s="383" t="s">
        <v>457</v>
      </c>
    </row>
    <row r="330" spans="1:23" s="376" customFormat="1" ht="9.75" customHeight="1" x14ac:dyDescent="0.15">
      <c r="A330" s="756" t="s">
        <v>669</v>
      </c>
      <c r="B330" s="376">
        <v>795062</v>
      </c>
      <c r="C330" s="376">
        <v>114636</v>
      </c>
      <c r="D330" s="376">
        <v>150822</v>
      </c>
      <c r="E330" s="376">
        <v>38220</v>
      </c>
      <c r="F330" s="376">
        <v>103</v>
      </c>
      <c r="G330" s="376">
        <v>2326</v>
      </c>
      <c r="H330" s="376">
        <v>20499</v>
      </c>
      <c r="I330" s="376">
        <v>67022</v>
      </c>
      <c r="J330" s="376">
        <v>372238</v>
      </c>
      <c r="K330" s="376">
        <v>12606</v>
      </c>
      <c r="L330" s="376">
        <v>3757</v>
      </c>
      <c r="M330" s="376">
        <v>9030</v>
      </c>
      <c r="N330" s="376">
        <v>6</v>
      </c>
      <c r="O330" s="376">
        <v>2824</v>
      </c>
      <c r="P330" s="376">
        <v>1</v>
      </c>
      <c r="Q330" s="376">
        <v>32</v>
      </c>
      <c r="R330" s="376">
        <v>6</v>
      </c>
      <c r="S330" s="376">
        <v>13</v>
      </c>
      <c r="T330" s="376" t="s">
        <v>839</v>
      </c>
      <c r="U330" s="376">
        <v>6</v>
      </c>
      <c r="V330" s="376" t="s">
        <v>839</v>
      </c>
      <c r="W330" s="381" t="s">
        <v>512</v>
      </c>
    </row>
    <row r="331" spans="1:23" s="376" customFormat="1" ht="9.75" customHeight="1" x14ac:dyDescent="0.15">
      <c r="A331" s="756" t="s">
        <v>670</v>
      </c>
      <c r="B331" s="376">
        <v>711893</v>
      </c>
      <c r="C331" s="376">
        <v>115989</v>
      </c>
      <c r="D331" s="376">
        <v>132449</v>
      </c>
      <c r="E331" s="376">
        <v>35919</v>
      </c>
      <c r="F331" s="376">
        <v>66</v>
      </c>
      <c r="G331" s="376">
        <v>6381</v>
      </c>
      <c r="H331" s="376">
        <v>24349</v>
      </c>
      <c r="I331" s="376">
        <v>44811</v>
      </c>
      <c r="J331" s="376">
        <v>327748</v>
      </c>
      <c r="K331" s="376">
        <v>11745</v>
      </c>
      <c r="L331" s="376">
        <v>2717</v>
      </c>
      <c r="M331" s="376">
        <v>6836</v>
      </c>
      <c r="N331" s="376">
        <v>3</v>
      </c>
      <c r="O331" s="376">
        <v>2442</v>
      </c>
      <c r="P331" s="376">
        <v>3</v>
      </c>
      <c r="Q331" s="376" t="s">
        <v>839</v>
      </c>
      <c r="R331" s="376">
        <v>4</v>
      </c>
      <c r="S331" s="376" t="s">
        <v>839</v>
      </c>
      <c r="T331" s="376" t="s">
        <v>839</v>
      </c>
      <c r="U331" s="376">
        <v>3</v>
      </c>
      <c r="V331" s="376">
        <v>2</v>
      </c>
      <c r="W331" s="381" t="s">
        <v>620</v>
      </c>
    </row>
    <row r="332" spans="1:23" s="376" customFormat="1" ht="9.75" customHeight="1" x14ac:dyDescent="0.15">
      <c r="A332" s="756" t="s">
        <v>671</v>
      </c>
      <c r="B332" s="376">
        <v>726285</v>
      </c>
      <c r="C332" s="376">
        <v>117046</v>
      </c>
      <c r="D332" s="376">
        <v>153485</v>
      </c>
      <c r="E332" s="376">
        <v>35061</v>
      </c>
      <c r="F332" s="376">
        <v>60</v>
      </c>
      <c r="G332" s="376">
        <v>9758</v>
      </c>
      <c r="H332" s="376">
        <v>23855</v>
      </c>
      <c r="I332" s="376">
        <v>53273</v>
      </c>
      <c r="J332" s="376">
        <v>302197</v>
      </c>
      <c r="K332" s="376">
        <v>11340</v>
      </c>
      <c r="L332" s="376">
        <v>3308</v>
      </c>
      <c r="M332" s="376">
        <v>11239</v>
      </c>
      <c r="N332" s="376" t="s">
        <v>839</v>
      </c>
      <c r="O332" s="376">
        <v>5017</v>
      </c>
      <c r="P332" s="376">
        <v>6</v>
      </c>
      <c r="Q332" s="376" t="s">
        <v>839</v>
      </c>
      <c r="R332" s="376">
        <v>34</v>
      </c>
      <c r="S332" s="376">
        <v>14</v>
      </c>
      <c r="T332" s="376" t="s">
        <v>839</v>
      </c>
      <c r="U332" s="376">
        <v>3</v>
      </c>
      <c r="V332" s="376" t="s">
        <v>839</v>
      </c>
      <c r="W332" s="381" t="s">
        <v>672</v>
      </c>
    </row>
    <row r="333" spans="1:23" s="376" customFormat="1" ht="9.75" customHeight="1" x14ac:dyDescent="0.15">
      <c r="A333" s="756" t="s">
        <v>840</v>
      </c>
      <c r="B333" s="376">
        <v>759351</v>
      </c>
      <c r="C333" s="376">
        <v>101856</v>
      </c>
      <c r="D333" s="376">
        <v>126531</v>
      </c>
      <c r="E333" s="376">
        <v>42154</v>
      </c>
      <c r="F333" s="376">
        <v>119</v>
      </c>
      <c r="G333" s="376">
        <v>1990</v>
      </c>
      <c r="H333" s="376">
        <v>22428</v>
      </c>
      <c r="I333" s="376">
        <v>54519</v>
      </c>
      <c r="J333" s="376">
        <v>386199</v>
      </c>
      <c r="K333" s="376">
        <v>7558</v>
      </c>
      <c r="L333" s="376">
        <v>525</v>
      </c>
      <c r="M333" s="376">
        <v>9532</v>
      </c>
      <c r="N333" s="376" t="s">
        <v>839</v>
      </c>
      <c r="O333" s="376">
        <v>5179</v>
      </c>
      <c r="P333" s="376" t="s">
        <v>839</v>
      </c>
      <c r="Q333" s="376">
        <v>16</v>
      </c>
      <c r="R333" s="376" t="s">
        <v>839</v>
      </c>
      <c r="S333" s="376" t="s">
        <v>839</v>
      </c>
      <c r="T333" s="376" t="s">
        <v>839</v>
      </c>
      <c r="U333" s="376">
        <v>6</v>
      </c>
      <c r="V333" s="376" t="s">
        <v>839</v>
      </c>
      <c r="W333" s="381" t="s">
        <v>841</v>
      </c>
    </row>
    <row r="334" spans="1:23" s="376" customFormat="1" ht="6.75" customHeight="1" x14ac:dyDescent="0.15">
      <c r="A334" s="787"/>
      <c r="W334" s="381"/>
    </row>
    <row r="335" spans="1:23" s="376" customFormat="1" ht="9.75" customHeight="1" x14ac:dyDescent="0.15">
      <c r="A335" s="756" t="s">
        <v>842</v>
      </c>
      <c r="B335" s="376">
        <v>686598</v>
      </c>
      <c r="C335" s="376">
        <v>105893</v>
      </c>
      <c r="D335" s="376">
        <v>148649</v>
      </c>
      <c r="E335" s="376">
        <v>36502</v>
      </c>
      <c r="F335" s="376">
        <v>80</v>
      </c>
      <c r="G335" s="376">
        <v>10463</v>
      </c>
      <c r="H335" s="376">
        <v>31220</v>
      </c>
      <c r="I335" s="376">
        <v>50904</v>
      </c>
      <c r="J335" s="376">
        <v>273872</v>
      </c>
      <c r="K335" s="376">
        <v>10546</v>
      </c>
      <c r="L335" s="376">
        <v>3155</v>
      </c>
      <c r="M335" s="376">
        <v>10763</v>
      </c>
      <c r="N335" s="376" t="s">
        <v>839</v>
      </c>
      <c r="O335" s="376">
        <v>3848</v>
      </c>
      <c r="P335" s="376">
        <v>6</v>
      </c>
      <c r="Q335" s="376" t="s">
        <v>839</v>
      </c>
      <c r="R335" s="376">
        <v>34</v>
      </c>
      <c r="S335" s="376">
        <v>14</v>
      </c>
      <c r="T335" s="376" t="s">
        <v>839</v>
      </c>
      <c r="U335" s="376">
        <v>4</v>
      </c>
      <c r="V335" s="376" t="s">
        <v>839</v>
      </c>
      <c r="W335" s="381" t="s">
        <v>673</v>
      </c>
    </row>
    <row r="336" spans="1:23" s="376" customFormat="1" ht="9.75" customHeight="1" x14ac:dyDescent="0.15">
      <c r="A336" s="756" t="s">
        <v>843</v>
      </c>
      <c r="B336" s="376">
        <v>731994</v>
      </c>
      <c r="C336" s="376">
        <v>96356</v>
      </c>
      <c r="D336" s="376">
        <v>117544</v>
      </c>
      <c r="E336" s="376">
        <v>37837</v>
      </c>
      <c r="F336" s="376">
        <v>144</v>
      </c>
      <c r="G336" s="376">
        <v>106</v>
      </c>
      <c r="H336" s="376">
        <v>19199</v>
      </c>
      <c r="I336" s="376">
        <v>50678</v>
      </c>
      <c r="J336" s="376">
        <v>384502</v>
      </c>
      <c r="K336" s="376">
        <v>7689</v>
      </c>
      <c r="L336" s="376">
        <v>714</v>
      </c>
      <c r="M336" s="376">
        <v>9179</v>
      </c>
      <c r="N336" s="376" t="s">
        <v>839</v>
      </c>
      <c r="O336" s="376">
        <v>7100</v>
      </c>
      <c r="P336" s="376" t="s">
        <v>839</v>
      </c>
      <c r="Q336" s="376">
        <v>16</v>
      </c>
      <c r="R336" s="376" t="s">
        <v>839</v>
      </c>
      <c r="S336" s="376" t="s">
        <v>839</v>
      </c>
      <c r="T336" s="376" t="s">
        <v>839</v>
      </c>
      <c r="U336" s="376">
        <v>5</v>
      </c>
      <c r="V336" s="376" t="s">
        <v>839</v>
      </c>
      <c r="W336" s="381" t="s">
        <v>844</v>
      </c>
    </row>
    <row r="337" spans="1:23" s="376" customFormat="1" ht="6.75" customHeight="1" x14ac:dyDescent="0.15">
      <c r="A337" s="787"/>
      <c r="W337" s="381"/>
    </row>
    <row r="338" spans="1:23" s="376" customFormat="1" ht="9.75" customHeight="1" x14ac:dyDescent="0.15">
      <c r="A338" s="756" t="s">
        <v>845</v>
      </c>
      <c r="B338" s="376">
        <v>195089</v>
      </c>
      <c r="C338" s="376">
        <v>28763</v>
      </c>
      <c r="D338" s="376">
        <v>36519</v>
      </c>
      <c r="E338" s="376">
        <v>9913</v>
      </c>
      <c r="F338" s="376">
        <v>26</v>
      </c>
      <c r="G338" s="376">
        <v>1901</v>
      </c>
      <c r="H338" s="376">
        <v>10689</v>
      </c>
      <c r="I338" s="376">
        <v>15095</v>
      </c>
      <c r="J338" s="376">
        <v>87313</v>
      </c>
      <c r="K338" s="376">
        <v>1479</v>
      </c>
      <c r="L338" s="376">
        <v>67</v>
      </c>
      <c r="M338" s="376">
        <v>2114</v>
      </c>
      <c r="N338" s="376" t="s">
        <v>839</v>
      </c>
      <c r="O338" s="376">
        <v>976</v>
      </c>
      <c r="P338" s="376" t="s">
        <v>839</v>
      </c>
      <c r="Q338" s="376" t="s">
        <v>839</v>
      </c>
      <c r="R338" s="376" t="s">
        <v>839</v>
      </c>
      <c r="S338" s="376" t="s">
        <v>839</v>
      </c>
      <c r="T338" s="376" t="s">
        <v>839</v>
      </c>
      <c r="U338" s="376">
        <v>1</v>
      </c>
      <c r="V338" s="376" t="s">
        <v>839</v>
      </c>
      <c r="W338" s="381" t="s">
        <v>677</v>
      </c>
    </row>
    <row r="339" spans="1:23" s="376" customFormat="1" ht="9.75" customHeight="1" x14ac:dyDescent="0.15">
      <c r="A339" s="756" t="s">
        <v>674</v>
      </c>
      <c r="B339" s="376">
        <v>210685</v>
      </c>
      <c r="C339" s="376">
        <v>31165</v>
      </c>
      <c r="D339" s="376">
        <v>36435</v>
      </c>
      <c r="E339" s="376">
        <v>11068</v>
      </c>
      <c r="F339" s="376">
        <v>27</v>
      </c>
      <c r="G339" s="376">
        <v>34</v>
      </c>
      <c r="H339" s="376">
        <v>3862</v>
      </c>
      <c r="I339" s="376">
        <v>13301</v>
      </c>
      <c r="J339" s="376">
        <v>108511</v>
      </c>
      <c r="K339" s="376">
        <v>2714</v>
      </c>
      <c r="L339" s="376">
        <v>153</v>
      </c>
      <c r="M339" s="376">
        <v>2490</v>
      </c>
      <c r="N339" s="376" t="s">
        <v>839</v>
      </c>
      <c r="O339" s="376">
        <v>683</v>
      </c>
      <c r="P339" s="376" t="s">
        <v>839</v>
      </c>
      <c r="Q339" s="376" t="s">
        <v>839</v>
      </c>
      <c r="R339" s="376" t="s">
        <v>839</v>
      </c>
      <c r="S339" s="376" t="s">
        <v>839</v>
      </c>
      <c r="T339" s="376" t="s">
        <v>839</v>
      </c>
      <c r="U339" s="376">
        <v>1</v>
      </c>
      <c r="V339" s="376" t="s">
        <v>839</v>
      </c>
      <c r="W339" s="381" t="s">
        <v>89</v>
      </c>
    </row>
    <row r="340" spans="1:23" s="376" customFormat="1" ht="9.75" customHeight="1" x14ac:dyDescent="0.15">
      <c r="A340" s="756" t="s">
        <v>675</v>
      </c>
      <c r="B340" s="376">
        <v>190802</v>
      </c>
      <c r="C340" s="376">
        <v>22459</v>
      </c>
      <c r="D340" s="376">
        <v>25830</v>
      </c>
      <c r="E340" s="376">
        <v>9022</v>
      </c>
      <c r="F340" s="376">
        <v>24</v>
      </c>
      <c r="G340" s="376">
        <v>32</v>
      </c>
      <c r="H340" s="376">
        <v>2669</v>
      </c>
      <c r="I340" s="376">
        <v>14907</v>
      </c>
      <c r="J340" s="376">
        <v>109596</v>
      </c>
      <c r="K340" s="376">
        <v>2270</v>
      </c>
      <c r="L340" s="376">
        <v>211</v>
      </c>
      <c r="M340" s="376">
        <v>2427</v>
      </c>
      <c r="N340" s="376" t="s">
        <v>839</v>
      </c>
      <c r="O340" s="376">
        <v>1138</v>
      </c>
      <c r="P340" s="376" t="s">
        <v>839</v>
      </c>
      <c r="Q340" s="376">
        <v>16</v>
      </c>
      <c r="R340" s="376" t="s">
        <v>839</v>
      </c>
      <c r="S340" s="376" t="s">
        <v>839</v>
      </c>
      <c r="T340" s="376" t="s">
        <v>839</v>
      </c>
      <c r="U340" s="376">
        <v>1</v>
      </c>
      <c r="V340" s="376" t="s">
        <v>839</v>
      </c>
      <c r="W340" s="381" t="s">
        <v>90</v>
      </c>
    </row>
    <row r="341" spans="1:23" s="376" customFormat="1" ht="9.75" customHeight="1" x14ac:dyDescent="0.15">
      <c r="A341" s="756" t="s">
        <v>676</v>
      </c>
      <c r="B341" s="376">
        <v>162775</v>
      </c>
      <c r="C341" s="376">
        <v>19469</v>
      </c>
      <c r="D341" s="376">
        <v>27747</v>
      </c>
      <c r="E341" s="376">
        <v>12151</v>
      </c>
      <c r="F341" s="376">
        <v>42</v>
      </c>
      <c r="G341" s="376">
        <v>23</v>
      </c>
      <c r="H341" s="376">
        <v>5208</v>
      </c>
      <c r="I341" s="376">
        <v>11216</v>
      </c>
      <c r="J341" s="376">
        <v>80779</v>
      </c>
      <c r="K341" s="376">
        <v>1095</v>
      </c>
      <c r="L341" s="376">
        <v>94</v>
      </c>
      <c r="M341" s="376">
        <v>2501</v>
      </c>
      <c r="N341" s="376" t="s">
        <v>839</v>
      </c>
      <c r="O341" s="376">
        <v>2382</v>
      </c>
      <c r="P341" s="376" t="s">
        <v>839</v>
      </c>
      <c r="Q341" s="376" t="s">
        <v>839</v>
      </c>
      <c r="R341" s="376" t="s">
        <v>839</v>
      </c>
      <c r="S341" s="376" t="s">
        <v>839</v>
      </c>
      <c r="T341" s="376" t="s">
        <v>839</v>
      </c>
      <c r="U341" s="376">
        <v>3</v>
      </c>
      <c r="V341" s="376" t="s">
        <v>839</v>
      </c>
      <c r="W341" s="381" t="s">
        <v>91</v>
      </c>
    </row>
    <row r="342" spans="1:23" s="376" customFormat="1" ht="9.75" customHeight="1" x14ac:dyDescent="0.15">
      <c r="A342" s="756" t="s">
        <v>846</v>
      </c>
      <c r="B342" s="376">
        <v>167732</v>
      </c>
      <c r="C342" s="376">
        <v>23263</v>
      </c>
      <c r="D342" s="376">
        <v>27532</v>
      </c>
      <c r="E342" s="376">
        <v>5596</v>
      </c>
      <c r="F342" s="376">
        <v>51</v>
      </c>
      <c r="G342" s="376">
        <v>17</v>
      </c>
      <c r="H342" s="376">
        <v>7460</v>
      </c>
      <c r="I342" s="376">
        <v>11254</v>
      </c>
      <c r="J342" s="376">
        <v>85616</v>
      </c>
      <c r="K342" s="376">
        <v>1610</v>
      </c>
      <c r="L342" s="376">
        <v>256</v>
      </c>
      <c r="M342" s="376">
        <v>1761</v>
      </c>
      <c r="N342" s="376" t="s">
        <v>839</v>
      </c>
      <c r="O342" s="376">
        <v>2897</v>
      </c>
      <c r="P342" s="376" t="s">
        <v>839</v>
      </c>
      <c r="Q342" s="376" t="s">
        <v>839</v>
      </c>
      <c r="R342" s="376" t="s">
        <v>839</v>
      </c>
      <c r="S342" s="376" t="s">
        <v>839</v>
      </c>
      <c r="T342" s="376" t="s">
        <v>839</v>
      </c>
      <c r="U342" s="376" t="s">
        <v>839</v>
      </c>
      <c r="V342" s="376" t="s">
        <v>839</v>
      </c>
      <c r="W342" s="381" t="s">
        <v>847</v>
      </c>
    </row>
    <row r="343" spans="1:23" s="376" customFormat="1" ht="6.75" customHeight="1" x14ac:dyDescent="0.15">
      <c r="A343" s="787"/>
      <c r="W343" s="381"/>
    </row>
    <row r="344" spans="1:23" s="376" customFormat="1" ht="9.75" customHeight="1" x14ac:dyDescent="0.15">
      <c r="A344" s="756" t="s">
        <v>848</v>
      </c>
      <c r="B344" s="376">
        <v>55609</v>
      </c>
      <c r="C344" s="376">
        <v>7668</v>
      </c>
      <c r="D344" s="376">
        <v>10371</v>
      </c>
      <c r="E344" s="376">
        <v>2714</v>
      </c>
      <c r="F344" s="376">
        <v>3</v>
      </c>
      <c r="G344" s="376">
        <v>980</v>
      </c>
      <c r="H344" s="376">
        <v>273</v>
      </c>
      <c r="I344" s="376">
        <v>4004</v>
      </c>
      <c r="J344" s="376">
        <v>27868</v>
      </c>
      <c r="K344" s="376">
        <v>482</v>
      </c>
      <c r="L344" s="376">
        <v>16</v>
      </c>
      <c r="M344" s="376">
        <v>885</v>
      </c>
      <c r="N344" s="376" t="s">
        <v>839</v>
      </c>
      <c r="O344" s="376">
        <v>254</v>
      </c>
      <c r="P344" s="376" t="s">
        <v>839</v>
      </c>
      <c r="Q344" s="376" t="s">
        <v>839</v>
      </c>
      <c r="R344" s="376" t="s">
        <v>839</v>
      </c>
      <c r="S344" s="376" t="s">
        <v>839</v>
      </c>
      <c r="T344" s="376" t="s">
        <v>839</v>
      </c>
      <c r="U344" s="376">
        <v>1</v>
      </c>
      <c r="V344" s="376" t="s">
        <v>839</v>
      </c>
      <c r="W344" s="381" t="s">
        <v>689</v>
      </c>
    </row>
    <row r="345" spans="1:23" s="376" customFormat="1" ht="9.75" customHeight="1" x14ac:dyDescent="0.15">
      <c r="A345" s="756" t="s">
        <v>678</v>
      </c>
      <c r="B345" s="376">
        <v>58726</v>
      </c>
      <c r="C345" s="376">
        <v>10196</v>
      </c>
      <c r="D345" s="376">
        <v>13214</v>
      </c>
      <c r="E345" s="376">
        <v>1173</v>
      </c>
      <c r="F345" s="376">
        <v>12</v>
      </c>
      <c r="G345" s="376">
        <v>19</v>
      </c>
      <c r="H345" s="376">
        <v>4643</v>
      </c>
      <c r="I345" s="376">
        <v>2699</v>
      </c>
      <c r="J345" s="376">
        <v>25327</v>
      </c>
      <c r="K345" s="376">
        <v>547</v>
      </c>
      <c r="L345" s="376">
        <v>19</v>
      </c>
      <c r="M345" s="376">
        <v>494</v>
      </c>
      <c r="N345" s="376" t="s">
        <v>839</v>
      </c>
      <c r="O345" s="376">
        <v>337</v>
      </c>
      <c r="P345" s="376" t="s">
        <v>839</v>
      </c>
      <c r="Q345" s="376" t="s">
        <v>839</v>
      </c>
      <c r="R345" s="376" t="s">
        <v>839</v>
      </c>
      <c r="S345" s="376" t="s">
        <v>839</v>
      </c>
      <c r="T345" s="376" t="s">
        <v>839</v>
      </c>
      <c r="U345" s="376" t="s">
        <v>839</v>
      </c>
      <c r="V345" s="376" t="s">
        <v>839</v>
      </c>
      <c r="W345" s="381" t="s">
        <v>77</v>
      </c>
    </row>
    <row r="346" spans="1:23" s="376" customFormat="1" ht="9.75" customHeight="1" x14ac:dyDescent="0.15">
      <c r="A346" s="756" t="s">
        <v>679</v>
      </c>
      <c r="B346" s="376">
        <v>80754</v>
      </c>
      <c r="C346" s="376">
        <v>10899</v>
      </c>
      <c r="D346" s="376">
        <v>12934</v>
      </c>
      <c r="E346" s="376">
        <v>6026</v>
      </c>
      <c r="F346" s="376">
        <v>11</v>
      </c>
      <c r="G346" s="376">
        <v>902</v>
      </c>
      <c r="H346" s="376">
        <v>5773</v>
      </c>
      <c r="I346" s="376">
        <v>8392</v>
      </c>
      <c r="J346" s="376">
        <v>34118</v>
      </c>
      <c r="K346" s="376">
        <v>450</v>
      </c>
      <c r="L346" s="376">
        <v>32</v>
      </c>
      <c r="M346" s="376">
        <v>735</v>
      </c>
      <c r="N346" s="376" t="s">
        <v>839</v>
      </c>
      <c r="O346" s="376">
        <v>385</v>
      </c>
      <c r="P346" s="376" t="s">
        <v>839</v>
      </c>
      <c r="Q346" s="376" t="s">
        <v>839</v>
      </c>
      <c r="R346" s="376" t="s">
        <v>839</v>
      </c>
      <c r="S346" s="376" t="s">
        <v>839</v>
      </c>
      <c r="T346" s="376" t="s">
        <v>839</v>
      </c>
      <c r="U346" s="376" t="s">
        <v>839</v>
      </c>
      <c r="V346" s="376" t="s">
        <v>839</v>
      </c>
      <c r="W346" s="381" t="s">
        <v>78</v>
      </c>
    </row>
    <row r="347" spans="1:23" s="376" customFormat="1" ht="9.75" customHeight="1" x14ac:dyDescent="0.15">
      <c r="A347" s="756" t="s">
        <v>680</v>
      </c>
      <c r="B347" s="376">
        <v>67408</v>
      </c>
      <c r="C347" s="376">
        <v>9394</v>
      </c>
      <c r="D347" s="376">
        <v>11692</v>
      </c>
      <c r="E347" s="376">
        <v>1438</v>
      </c>
      <c r="F347" s="376">
        <v>11</v>
      </c>
      <c r="G347" s="376" t="s">
        <v>839</v>
      </c>
      <c r="H347" s="376">
        <v>1469</v>
      </c>
      <c r="I347" s="376">
        <v>4508</v>
      </c>
      <c r="J347" s="376">
        <v>37136</v>
      </c>
      <c r="K347" s="376">
        <v>736</v>
      </c>
      <c r="L347" s="376">
        <v>54</v>
      </c>
      <c r="M347" s="376">
        <v>685</v>
      </c>
      <c r="N347" s="376" t="s">
        <v>839</v>
      </c>
      <c r="O347" s="376">
        <v>196</v>
      </c>
      <c r="P347" s="376" t="s">
        <v>839</v>
      </c>
      <c r="Q347" s="376" t="s">
        <v>839</v>
      </c>
      <c r="R347" s="376" t="s">
        <v>839</v>
      </c>
      <c r="S347" s="376" t="s">
        <v>839</v>
      </c>
      <c r="T347" s="376" t="s">
        <v>839</v>
      </c>
      <c r="U347" s="376" t="s">
        <v>839</v>
      </c>
      <c r="V347" s="376" t="s">
        <v>839</v>
      </c>
      <c r="W347" s="381" t="s">
        <v>79</v>
      </c>
    </row>
    <row r="348" spans="1:23" s="376" customFormat="1" ht="9.75" customHeight="1" x14ac:dyDescent="0.15">
      <c r="A348" s="756" t="s">
        <v>681</v>
      </c>
      <c r="B348" s="376">
        <v>77385</v>
      </c>
      <c r="C348" s="376">
        <v>11995</v>
      </c>
      <c r="D348" s="376">
        <v>11985</v>
      </c>
      <c r="E348" s="376">
        <v>5096</v>
      </c>
      <c r="F348" s="376">
        <v>8</v>
      </c>
      <c r="G348" s="376">
        <v>18</v>
      </c>
      <c r="H348" s="376">
        <v>2149</v>
      </c>
      <c r="I348" s="376">
        <v>5534</v>
      </c>
      <c r="J348" s="376">
        <v>39076</v>
      </c>
      <c r="K348" s="376">
        <v>382</v>
      </c>
      <c r="L348" s="376">
        <v>18</v>
      </c>
      <c r="M348" s="376">
        <v>890</v>
      </c>
      <c r="N348" s="376" t="s">
        <v>839</v>
      </c>
      <c r="O348" s="376">
        <v>227</v>
      </c>
      <c r="P348" s="376" t="s">
        <v>839</v>
      </c>
      <c r="Q348" s="376" t="s">
        <v>839</v>
      </c>
      <c r="R348" s="376" t="s">
        <v>839</v>
      </c>
      <c r="S348" s="376" t="s">
        <v>839</v>
      </c>
      <c r="T348" s="376" t="s">
        <v>839</v>
      </c>
      <c r="U348" s="376">
        <v>1</v>
      </c>
      <c r="V348" s="376" t="s">
        <v>839</v>
      </c>
      <c r="W348" s="381" t="s">
        <v>92</v>
      </c>
    </row>
    <row r="349" spans="1:23" s="376" customFormat="1" ht="9.75" customHeight="1" x14ac:dyDescent="0.15">
      <c r="A349" s="756" t="s">
        <v>682</v>
      </c>
      <c r="B349" s="376">
        <v>65892</v>
      </c>
      <c r="C349" s="376">
        <v>9776</v>
      </c>
      <c r="D349" s="376">
        <v>12758</v>
      </c>
      <c r="E349" s="376">
        <v>4534</v>
      </c>
      <c r="F349" s="376">
        <v>8</v>
      </c>
      <c r="G349" s="376">
        <v>16</v>
      </c>
      <c r="H349" s="376">
        <v>244</v>
      </c>
      <c r="I349" s="376">
        <v>3259</v>
      </c>
      <c r="J349" s="376">
        <v>32299</v>
      </c>
      <c r="K349" s="376">
        <v>1596</v>
      </c>
      <c r="L349" s="376">
        <v>81</v>
      </c>
      <c r="M349" s="376">
        <v>915</v>
      </c>
      <c r="N349" s="376" t="s">
        <v>839</v>
      </c>
      <c r="O349" s="376">
        <v>260</v>
      </c>
      <c r="P349" s="376" t="s">
        <v>839</v>
      </c>
      <c r="Q349" s="376" t="s">
        <v>839</v>
      </c>
      <c r="R349" s="376" t="s">
        <v>839</v>
      </c>
      <c r="S349" s="376" t="s">
        <v>839</v>
      </c>
      <c r="T349" s="376" t="s">
        <v>839</v>
      </c>
      <c r="U349" s="376" t="s">
        <v>839</v>
      </c>
      <c r="V349" s="376" t="s">
        <v>839</v>
      </c>
      <c r="W349" s="381" t="s">
        <v>93</v>
      </c>
    </row>
    <row r="350" spans="1:23" s="376" customFormat="1" ht="9.75" customHeight="1" x14ac:dyDescent="0.15">
      <c r="A350" s="756" t="s">
        <v>683</v>
      </c>
      <c r="B350" s="376">
        <v>71856</v>
      </c>
      <c r="C350" s="376">
        <v>8689</v>
      </c>
      <c r="D350" s="376">
        <v>11085</v>
      </c>
      <c r="E350" s="376">
        <v>1785</v>
      </c>
      <c r="F350" s="376">
        <v>6</v>
      </c>
      <c r="G350" s="376" t="s">
        <v>839</v>
      </c>
      <c r="H350" s="376">
        <v>2143</v>
      </c>
      <c r="I350" s="376">
        <v>6580</v>
      </c>
      <c r="J350" s="376">
        <v>38514</v>
      </c>
      <c r="K350" s="376">
        <v>1264</v>
      </c>
      <c r="L350" s="376">
        <v>84</v>
      </c>
      <c r="M350" s="376">
        <v>1002</v>
      </c>
      <c r="N350" s="376" t="s">
        <v>839</v>
      </c>
      <c r="O350" s="376">
        <v>556</v>
      </c>
      <c r="P350" s="376" t="s">
        <v>839</v>
      </c>
      <c r="Q350" s="376" t="s">
        <v>839</v>
      </c>
      <c r="R350" s="376" t="s">
        <v>839</v>
      </c>
      <c r="S350" s="376" t="s">
        <v>839</v>
      </c>
      <c r="T350" s="376" t="s">
        <v>839</v>
      </c>
      <c r="U350" s="376" t="s">
        <v>839</v>
      </c>
      <c r="V350" s="376" t="s">
        <v>839</v>
      </c>
      <c r="W350" s="381" t="s">
        <v>94</v>
      </c>
    </row>
    <row r="351" spans="1:23" s="376" customFormat="1" ht="9.75" customHeight="1" x14ac:dyDescent="0.15">
      <c r="A351" s="756" t="s">
        <v>684</v>
      </c>
      <c r="B351" s="376">
        <v>52621</v>
      </c>
      <c r="C351" s="376">
        <v>6727</v>
      </c>
      <c r="D351" s="376">
        <v>7647</v>
      </c>
      <c r="E351" s="376">
        <v>4047</v>
      </c>
      <c r="F351" s="376">
        <v>5</v>
      </c>
      <c r="G351" s="376">
        <v>16</v>
      </c>
      <c r="H351" s="376">
        <v>223</v>
      </c>
      <c r="I351" s="376">
        <v>5888</v>
      </c>
      <c r="J351" s="376">
        <v>26593</v>
      </c>
      <c r="K351" s="376">
        <v>530</v>
      </c>
      <c r="L351" s="376">
        <v>48</v>
      </c>
      <c r="M351" s="376">
        <v>586</v>
      </c>
      <c r="N351" s="376" t="s">
        <v>839</v>
      </c>
      <c r="O351" s="376">
        <v>285</v>
      </c>
      <c r="P351" s="376" t="s">
        <v>839</v>
      </c>
      <c r="Q351" s="376">
        <v>16</v>
      </c>
      <c r="R351" s="376" t="s">
        <v>839</v>
      </c>
      <c r="S351" s="376" t="s">
        <v>839</v>
      </c>
      <c r="T351" s="376" t="s">
        <v>839</v>
      </c>
      <c r="U351" s="376" t="s">
        <v>839</v>
      </c>
      <c r="V351" s="376" t="s">
        <v>839</v>
      </c>
      <c r="W351" s="381" t="s">
        <v>95</v>
      </c>
    </row>
    <row r="352" spans="1:23" s="376" customFormat="1" ht="9.75" customHeight="1" x14ac:dyDescent="0.15">
      <c r="A352" s="756" t="s">
        <v>685</v>
      </c>
      <c r="B352" s="376">
        <v>66325</v>
      </c>
      <c r="C352" s="376">
        <v>7043</v>
      </c>
      <c r="D352" s="376">
        <v>7098</v>
      </c>
      <c r="E352" s="376">
        <v>3190</v>
      </c>
      <c r="F352" s="376">
        <v>13</v>
      </c>
      <c r="G352" s="376">
        <v>16</v>
      </c>
      <c r="H352" s="376">
        <v>303</v>
      </c>
      <c r="I352" s="376">
        <v>2439</v>
      </c>
      <c r="J352" s="376">
        <v>44489</v>
      </c>
      <c r="K352" s="376">
        <v>476</v>
      </c>
      <c r="L352" s="376">
        <v>79</v>
      </c>
      <c r="M352" s="376">
        <v>839</v>
      </c>
      <c r="N352" s="376" t="s">
        <v>839</v>
      </c>
      <c r="O352" s="376">
        <v>297</v>
      </c>
      <c r="P352" s="376" t="s">
        <v>839</v>
      </c>
      <c r="Q352" s="376" t="s">
        <v>839</v>
      </c>
      <c r="R352" s="376" t="s">
        <v>839</v>
      </c>
      <c r="S352" s="376" t="s">
        <v>839</v>
      </c>
      <c r="T352" s="376" t="s">
        <v>839</v>
      </c>
      <c r="U352" s="376">
        <v>1</v>
      </c>
      <c r="V352" s="376" t="s">
        <v>839</v>
      </c>
      <c r="W352" s="381" t="s">
        <v>96</v>
      </c>
    </row>
    <row r="353" spans="1:23" s="376" customFormat="1" ht="9.75" customHeight="1" x14ac:dyDescent="0.15">
      <c r="A353" s="756" t="s">
        <v>686</v>
      </c>
      <c r="B353" s="376">
        <v>41860</v>
      </c>
      <c r="C353" s="376">
        <v>4170</v>
      </c>
      <c r="D353" s="376">
        <v>9582</v>
      </c>
      <c r="E353" s="376">
        <v>5192</v>
      </c>
      <c r="F353" s="376">
        <v>11</v>
      </c>
      <c r="G353" s="376">
        <v>16</v>
      </c>
      <c r="H353" s="376">
        <v>2033</v>
      </c>
      <c r="I353" s="376">
        <v>2669</v>
      </c>
      <c r="J353" s="376">
        <v>16572</v>
      </c>
      <c r="K353" s="376">
        <v>451</v>
      </c>
      <c r="L353" s="376">
        <v>1</v>
      </c>
      <c r="M353" s="376">
        <v>907</v>
      </c>
      <c r="N353" s="376" t="s">
        <v>839</v>
      </c>
      <c r="O353" s="376">
        <v>204</v>
      </c>
      <c r="P353" s="376" t="s">
        <v>839</v>
      </c>
      <c r="Q353" s="376" t="s">
        <v>839</v>
      </c>
      <c r="R353" s="376" t="s">
        <v>839</v>
      </c>
      <c r="S353" s="376" t="s">
        <v>839</v>
      </c>
      <c r="T353" s="376" t="s">
        <v>839</v>
      </c>
      <c r="U353" s="376">
        <v>2</v>
      </c>
      <c r="V353" s="376" t="s">
        <v>839</v>
      </c>
      <c r="W353" s="381" t="s">
        <v>80</v>
      </c>
    </row>
    <row r="354" spans="1:23" s="376" customFormat="1" ht="9.75" customHeight="1" x14ac:dyDescent="0.15">
      <c r="A354" s="756" t="s">
        <v>687</v>
      </c>
      <c r="B354" s="376">
        <v>55499</v>
      </c>
      <c r="C354" s="376">
        <v>7215</v>
      </c>
      <c r="D354" s="376">
        <v>12106</v>
      </c>
      <c r="E354" s="376">
        <v>4027</v>
      </c>
      <c r="F354" s="376">
        <v>12</v>
      </c>
      <c r="G354" s="376">
        <v>4</v>
      </c>
      <c r="H354" s="376">
        <v>262</v>
      </c>
      <c r="I354" s="376">
        <v>4481</v>
      </c>
      <c r="J354" s="376">
        <v>25561</v>
      </c>
      <c r="K354" s="376">
        <v>212</v>
      </c>
      <c r="L354" s="376">
        <v>60</v>
      </c>
      <c r="M354" s="376">
        <v>665</v>
      </c>
      <c r="N354" s="376" t="s">
        <v>839</v>
      </c>
      <c r="O354" s="376">
        <v>879</v>
      </c>
      <c r="P354" s="376" t="s">
        <v>839</v>
      </c>
      <c r="Q354" s="376" t="s">
        <v>839</v>
      </c>
      <c r="R354" s="376" t="s">
        <v>839</v>
      </c>
      <c r="S354" s="376" t="s">
        <v>839</v>
      </c>
      <c r="T354" s="376" t="s">
        <v>839</v>
      </c>
      <c r="U354" s="376" t="s">
        <v>839</v>
      </c>
      <c r="V354" s="376" t="s">
        <v>839</v>
      </c>
      <c r="W354" s="381" t="s">
        <v>81</v>
      </c>
    </row>
    <row r="355" spans="1:23" s="376" customFormat="1" ht="9.75" customHeight="1" x14ac:dyDescent="0.15">
      <c r="A355" s="756" t="s">
        <v>688</v>
      </c>
      <c r="B355" s="376">
        <v>65416</v>
      </c>
      <c r="C355" s="376">
        <v>8084</v>
      </c>
      <c r="D355" s="376">
        <v>6059</v>
      </c>
      <c r="E355" s="376">
        <v>2932</v>
      </c>
      <c r="F355" s="376">
        <v>19</v>
      </c>
      <c r="G355" s="376">
        <v>3</v>
      </c>
      <c r="H355" s="376">
        <v>2913</v>
      </c>
      <c r="I355" s="376">
        <v>4066</v>
      </c>
      <c r="J355" s="376">
        <v>38646</v>
      </c>
      <c r="K355" s="376">
        <v>432</v>
      </c>
      <c r="L355" s="376">
        <v>33</v>
      </c>
      <c r="M355" s="376">
        <v>929</v>
      </c>
      <c r="N355" s="376" t="s">
        <v>839</v>
      </c>
      <c r="O355" s="376">
        <v>1299</v>
      </c>
      <c r="P355" s="376" t="s">
        <v>839</v>
      </c>
      <c r="Q355" s="376" t="s">
        <v>839</v>
      </c>
      <c r="R355" s="376" t="s">
        <v>839</v>
      </c>
      <c r="S355" s="376" t="s">
        <v>839</v>
      </c>
      <c r="T355" s="376" t="s">
        <v>839</v>
      </c>
      <c r="U355" s="376">
        <v>1</v>
      </c>
      <c r="V355" s="376" t="s">
        <v>839</v>
      </c>
      <c r="W355" s="381" t="s">
        <v>82</v>
      </c>
    </row>
    <row r="356" spans="1:23" s="376" customFormat="1" ht="9.75" customHeight="1" x14ac:dyDescent="0.15">
      <c r="A356" s="756" t="s">
        <v>849</v>
      </c>
      <c r="B356" s="376">
        <v>53612</v>
      </c>
      <c r="C356" s="376">
        <v>7188</v>
      </c>
      <c r="D356" s="376">
        <v>8618</v>
      </c>
      <c r="E356" s="376">
        <v>1052</v>
      </c>
      <c r="F356" s="376">
        <v>10</v>
      </c>
      <c r="G356" s="376" t="s">
        <v>839</v>
      </c>
      <c r="H356" s="376">
        <v>120</v>
      </c>
      <c r="I356" s="376">
        <v>2590</v>
      </c>
      <c r="J356" s="376">
        <v>32269</v>
      </c>
      <c r="K356" s="376">
        <v>683</v>
      </c>
      <c r="L356" s="376">
        <v>150</v>
      </c>
      <c r="M356" s="376">
        <v>584</v>
      </c>
      <c r="N356" s="376" t="s">
        <v>839</v>
      </c>
      <c r="O356" s="376">
        <v>205</v>
      </c>
      <c r="P356" s="376" t="s">
        <v>839</v>
      </c>
      <c r="Q356" s="376" t="s">
        <v>839</v>
      </c>
      <c r="R356" s="376" t="s">
        <v>839</v>
      </c>
      <c r="S356" s="376" t="s">
        <v>839</v>
      </c>
      <c r="T356" s="376" t="s">
        <v>839</v>
      </c>
      <c r="U356" s="376" t="s">
        <v>839</v>
      </c>
      <c r="V356" s="376" t="s">
        <v>839</v>
      </c>
      <c r="W356" s="381" t="s">
        <v>850</v>
      </c>
    </row>
    <row r="357" spans="1:23" s="376" customFormat="1" ht="9.75" customHeight="1" x14ac:dyDescent="0.15">
      <c r="A357" s="756" t="s">
        <v>690</v>
      </c>
      <c r="B357" s="376">
        <v>49134</v>
      </c>
      <c r="C357" s="376">
        <v>9127</v>
      </c>
      <c r="D357" s="376">
        <v>9396</v>
      </c>
      <c r="E357" s="376">
        <v>1724</v>
      </c>
      <c r="F357" s="376">
        <v>21</v>
      </c>
      <c r="G357" s="376" t="s">
        <v>839</v>
      </c>
      <c r="H357" s="376">
        <v>4738</v>
      </c>
      <c r="I357" s="376">
        <v>3830</v>
      </c>
      <c r="J357" s="376">
        <v>18396</v>
      </c>
      <c r="K357" s="376">
        <v>508</v>
      </c>
      <c r="L357" s="376">
        <v>13</v>
      </c>
      <c r="M357" s="376">
        <v>491</v>
      </c>
      <c r="N357" s="376" t="s">
        <v>839</v>
      </c>
      <c r="O357" s="376">
        <v>828</v>
      </c>
      <c r="P357" s="376" t="s">
        <v>839</v>
      </c>
      <c r="Q357" s="376" t="s">
        <v>839</v>
      </c>
      <c r="R357" s="376" t="s">
        <v>839</v>
      </c>
      <c r="S357" s="376" t="s">
        <v>839</v>
      </c>
      <c r="T357" s="376" t="s">
        <v>839</v>
      </c>
      <c r="U357" s="376" t="s">
        <v>839</v>
      </c>
      <c r="V357" s="376" t="s">
        <v>839</v>
      </c>
      <c r="W357" s="381" t="s">
        <v>77</v>
      </c>
    </row>
    <row r="358" spans="1:23" s="376" customFormat="1" ht="9.75" customHeight="1" x14ac:dyDescent="0.15">
      <c r="A358" s="757" t="s">
        <v>691</v>
      </c>
      <c r="B358" s="380">
        <v>64986</v>
      </c>
      <c r="C358" s="379">
        <v>6948</v>
      </c>
      <c r="D358" s="379">
        <v>9518</v>
      </c>
      <c r="E358" s="379">
        <v>2820</v>
      </c>
      <c r="F358" s="379">
        <v>20</v>
      </c>
      <c r="G358" s="379">
        <v>17</v>
      </c>
      <c r="H358" s="379">
        <v>2602</v>
      </c>
      <c r="I358" s="379">
        <v>4834</v>
      </c>
      <c r="J358" s="379">
        <v>34951</v>
      </c>
      <c r="K358" s="379">
        <v>419</v>
      </c>
      <c r="L358" s="379">
        <v>93</v>
      </c>
      <c r="M358" s="379">
        <v>686</v>
      </c>
      <c r="N358" s="379" t="s">
        <v>839</v>
      </c>
      <c r="O358" s="379">
        <v>1864</v>
      </c>
      <c r="P358" s="379" t="s">
        <v>839</v>
      </c>
      <c r="Q358" s="379" t="s">
        <v>839</v>
      </c>
      <c r="R358" s="379" t="s">
        <v>839</v>
      </c>
      <c r="S358" s="379" t="s">
        <v>839</v>
      </c>
      <c r="T358" s="379" t="s">
        <v>839</v>
      </c>
      <c r="U358" s="379" t="s">
        <v>839</v>
      </c>
      <c r="V358" s="379" t="s">
        <v>839</v>
      </c>
      <c r="W358" s="377" t="s">
        <v>78</v>
      </c>
    </row>
    <row r="359" spans="1:23" ht="12" customHeight="1" x14ac:dyDescent="0.15"/>
    <row r="360" spans="1:23" ht="12" customHeight="1" x14ac:dyDescent="0.15"/>
    <row r="361" spans="1:23" ht="12" customHeight="1" x14ac:dyDescent="0.15">
      <c r="K361" s="391" t="s">
        <v>97</v>
      </c>
      <c r="V361" s="394" t="s">
        <v>984</v>
      </c>
    </row>
    <row r="362" spans="1:23" s="387" customFormat="1" ht="21" customHeight="1" x14ac:dyDescent="0.15">
      <c r="A362" s="1023" t="s">
        <v>185</v>
      </c>
      <c r="B362" s="390" t="s">
        <v>298</v>
      </c>
      <c r="C362" s="389"/>
      <c r="D362" s="389"/>
      <c r="E362" s="389"/>
      <c r="F362" s="389"/>
      <c r="G362" s="389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  <c r="T362" s="389"/>
      <c r="U362" s="389"/>
      <c r="V362" s="389"/>
      <c r="W362" s="1026" t="s">
        <v>83</v>
      </c>
    </row>
    <row r="363" spans="1:23" s="387" customFormat="1" ht="21" customHeight="1" x14ac:dyDescent="0.15">
      <c r="A363" s="1024"/>
      <c r="B363" s="390" t="s">
        <v>274</v>
      </c>
      <c r="C363" s="389"/>
      <c r="D363" s="389"/>
      <c r="E363" s="732"/>
      <c r="F363" s="733" t="s">
        <v>273</v>
      </c>
      <c r="G363" s="389"/>
      <c r="H363" s="389"/>
      <c r="I363" s="389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  <c r="T363" s="389"/>
      <c r="U363" s="732"/>
      <c r="V363" s="733" t="s">
        <v>272</v>
      </c>
      <c r="W363" s="1027"/>
    </row>
    <row r="364" spans="1:23" s="387" customFormat="1" ht="52.5" customHeight="1" x14ac:dyDescent="0.15">
      <c r="A364" s="1025"/>
      <c r="B364" s="393" t="s">
        <v>977</v>
      </c>
      <c r="C364" s="388" t="s">
        <v>1009</v>
      </c>
      <c r="D364" s="388" t="s">
        <v>1010</v>
      </c>
      <c r="E364" s="388" t="s">
        <v>1011</v>
      </c>
      <c r="F364" s="735" t="s">
        <v>106</v>
      </c>
      <c r="G364" s="388" t="s">
        <v>586</v>
      </c>
      <c r="H364" s="388" t="s">
        <v>343</v>
      </c>
      <c r="I364" s="388" t="s">
        <v>299</v>
      </c>
      <c r="J364" s="388" t="s">
        <v>156</v>
      </c>
      <c r="K364" s="388" t="s">
        <v>262</v>
      </c>
      <c r="L364" s="388" t="s">
        <v>261</v>
      </c>
      <c r="M364" s="388" t="s">
        <v>289</v>
      </c>
      <c r="N364" s="388" t="s">
        <v>260</v>
      </c>
      <c r="O364" s="388" t="s">
        <v>342</v>
      </c>
      <c r="P364" s="388" t="s">
        <v>259</v>
      </c>
      <c r="Q364" s="388" t="s">
        <v>478</v>
      </c>
      <c r="R364" s="388" t="s">
        <v>288</v>
      </c>
      <c r="S364" s="388" t="s">
        <v>587</v>
      </c>
      <c r="T364" s="388" t="s">
        <v>312</v>
      </c>
      <c r="U364" s="388" t="s">
        <v>341</v>
      </c>
      <c r="V364" s="734" t="s">
        <v>980</v>
      </c>
      <c r="W364" s="1028"/>
    </row>
    <row r="365" spans="1:23" s="376" customFormat="1" ht="9.75" customHeight="1" x14ac:dyDescent="0.15">
      <c r="A365" s="755" t="s">
        <v>838</v>
      </c>
      <c r="B365" s="386">
        <v>760</v>
      </c>
      <c r="C365" s="385" t="s">
        <v>839</v>
      </c>
      <c r="D365" s="385" t="s">
        <v>839</v>
      </c>
      <c r="E365" s="385" t="s">
        <v>839</v>
      </c>
      <c r="F365" s="385">
        <v>32485</v>
      </c>
      <c r="G365" s="385" t="s">
        <v>839</v>
      </c>
      <c r="H365" s="385">
        <v>56</v>
      </c>
      <c r="I365" s="385">
        <v>415</v>
      </c>
      <c r="J365" s="385">
        <v>21001</v>
      </c>
      <c r="K365" s="385">
        <v>1524</v>
      </c>
      <c r="L365" s="385">
        <v>14</v>
      </c>
      <c r="M365" s="385">
        <v>2280</v>
      </c>
      <c r="N365" s="385">
        <v>28</v>
      </c>
      <c r="O365" s="385" t="s">
        <v>839</v>
      </c>
      <c r="P365" s="385">
        <v>6860</v>
      </c>
      <c r="Q365" s="385">
        <v>17</v>
      </c>
      <c r="R365" s="385">
        <v>236</v>
      </c>
      <c r="S365" s="385" t="s">
        <v>839</v>
      </c>
      <c r="T365" s="385">
        <v>14</v>
      </c>
      <c r="U365" s="385">
        <v>40</v>
      </c>
      <c r="V365" s="385">
        <v>4735</v>
      </c>
      <c r="W365" s="383" t="s">
        <v>457</v>
      </c>
    </row>
    <row r="366" spans="1:23" s="376" customFormat="1" ht="9.75" customHeight="1" x14ac:dyDescent="0.15">
      <c r="A366" s="756" t="s">
        <v>669</v>
      </c>
      <c r="B366" s="376">
        <v>659</v>
      </c>
      <c r="C366" s="376">
        <v>256</v>
      </c>
      <c r="D366" s="376" t="s">
        <v>839</v>
      </c>
      <c r="E366" s="376" t="s">
        <v>839</v>
      </c>
      <c r="F366" s="376">
        <v>33103</v>
      </c>
      <c r="G366" s="376">
        <v>28</v>
      </c>
      <c r="H366" s="376">
        <v>68</v>
      </c>
      <c r="I366" s="376">
        <v>345</v>
      </c>
      <c r="J366" s="376">
        <v>17904</v>
      </c>
      <c r="K366" s="376">
        <v>1453</v>
      </c>
      <c r="L366" s="376">
        <v>8</v>
      </c>
      <c r="M366" s="376">
        <v>605</v>
      </c>
      <c r="N366" s="376">
        <v>22</v>
      </c>
      <c r="O366" s="376">
        <v>10</v>
      </c>
      <c r="P366" s="376">
        <v>10581</v>
      </c>
      <c r="Q366" s="376" t="s">
        <v>839</v>
      </c>
      <c r="R366" s="376">
        <v>1829</v>
      </c>
      <c r="S366" s="376">
        <v>236</v>
      </c>
      <c r="T366" s="376" t="s">
        <v>839</v>
      </c>
      <c r="U366" s="376">
        <v>14</v>
      </c>
      <c r="V366" s="376">
        <v>4848</v>
      </c>
      <c r="W366" s="381" t="s">
        <v>512</v>
      </c>
    </row>
    <row r="367" spans="1:23" s="376" customFormat="1" ht="9.75" customHeight="1" x14ac:dyDescent="0.15">
      <c r="A367" s="756" t="s">
        <v>670</v>
      </c>
      <c r="B367" s="376">
        <v>202</v>
      </c>
      <c r="C367" s="376">
        <v>224</v>
      </c>
      <c r="D367" s="376" t="s">
        <v>839</v>
      </c>
      <c r="E367" s="376" t="s">
        <v>839</v>
      </c>
      <c r="F367" s="376">
        <v>28684</v>
      </c>
      <c r="G367" s="376" t="s">
        <v>839</v>
      </c>
      <c r="H367" s="376">
        <v>45</v>
      </c>
      <c r="I367" s="376">
        <v>224</v>
      </c>
      <c r="J367" s="376">
        <v>16760</v>
      </c>
      <c r="K367" s="376">
        <v>471</v>
      </c>
      <c r="L367" s="376">
        <v>6</v>
      </c>
      <c r="M367" s="376">
        <v>2471</v>
      </c>
      <c r="N367" s="376">
        <v>25</v>
      </c>
      <c r="O367" s="376" t="s">
        <v>839</v>
      </c>
      <c r="P367" s="376">
        <v>6389</v>
      </c>
      <c r="Q367" s="376" t="s">
        <v>839</v>
      </c>
      <c r="R367" s="376">
        <v>1793</v>
      </c>
      <c r="S367" s="376">
        <v>500</v>
      </c>
      <c r="T367" s="376" t="s">
        <v>839</v>
      </c>
      <c r="U367" s="376" t="s">
        <v>839</v>
      </c>
      <c r="V367" s="376">
        <v>3840</v>
      </c>
      <c r="W367" s="381" t="s">
        <v>620</v>
      </c>
    </row>
    <row r="368" spans="1:23" s="376" customFormat="1" ht="9.75" customHeight="1" x14ac:dyDescent="0.15">
      <c r="A368" s="756" t="s">
        <v>671</v>
      </c>
      <c r="B368" s="376">
        <v>189</v>
      </c>
      <c r="C368" s="376">
        <v>400</v>
      </c>
      <c r="D368" s="376" t="s">
        <v>839</v>
      </c>
      <c r="E368" s="376" t="s">
        <v>839</v>
      </c>
      <c r="F368" s="376">
        <v>30626</v>
      </c>
      <c r="G368" s="376" t="s">
        <v>839</v>
      </c>
      <c r="H368" s="376">
        <v>47</v>
      </c>
      <c r="I368" s="376">
        <v>161</v>
      </c>
      <c r="J368" s="376">
        <v>17882</v>
      </c>
      <c r="K368" s="376" t="s">
        <v>839</v>
      </c>
      <c r="L368" s="376">
        <v>12</v>
      </c>
      <c r="M368" s="376">
        <v>2584</v>
      </c>
      <c r="N368" s="376">
        <v>18</v>
      </c>
      <c r="O368" s="376" t="s">
        <v>839</v>
      </c>
      <c r="P368" s="376">
        <v>9221</v>
      </c>
      <c r="Q368" s="376" t="s">
        <v>839</v>
      </c>
      <c r="R368" s="376">
        <v>417</v>
      </c>
      <c r="S368" s="376">
        <v>284</v>
      </c>
      <c r="T368" s="376" t="s">
        <v>839</v>
      </c>
      <c r="U368" s="376" t="s">
        <v>839</v>
      </c>
      <c r="V368" s="376">
        <v>4954</v>
      </c>
      <c r="W368" s="381" t="s">
        <v>672</v>
      </c>
    </row>
    <row r="369" spans="1:23" s="376" customFormat="1" ht="9.75" customHeight="1" x14ac:dyDescent="0.15">
      <c r="A369" s="756" t="s">
        <v>840</v>
      </c>
      <c r="B369" s="376">
        <v>313</v>
      </c>
      <c r="C369" s="376">
        <v>416</v>
      </c>
      <c r="D369" s="376" t="s">
        <v>839</v>
      </c>
      <c r="E369" s="376">
        <v>10</v>
      </c>
      <c r="F369" s="376">
        <v>25169</v>
      </c>
      <c r="G369" s="376">
        <v>15</v>
      </c>
      <c r="H369" s="376">
        <v>31</v>
      </c>
      <c r="I369" s="376">
        <v>92</v>
      </c>
      <c r="J369" s="376">
        <v>15777</v>
      </c>
      <c r="K369" s="376" t="s">
        <v>839</v>
      </c>
      <c r="L369" s="376" t="s">
        <v>839</v>
      </c>
      <c r="M369" s="376">
        <v>1072</v>
      </c>
      <c r="N369" s="376">
        <v>33</v>
      </c>
      <c r="O369" s="376" t="s">
        <v>839</v>
      </c>
      <c r="P369" s="376">
        <v>7736</v>
      </c>
      <c r="Q369" s="376" t="s">
        <v>839</v>
      </c>
      <c r="R369" s="376">
        <v>49</v>
      </c>
      <c r="S369" s="376">
        <v>364</v>
      </c>
      <c r="T369" s="376" t="s">
        <v>839</v>
      </c>
      <c r="U369" s="376" t="s">
        <v>839</v>
      </c>
      <c r="V369" s="376">
        <v>5532</v>
      </c>
      <c r="W369" s="381" t="s">
        <v>841</v>
      </c>
    </row>
    <row r="370" spans="1:23" s="376" customFormat="1" ht="6.75" customHeight="1" x14ac:dyDescent="0.15">
      <c r="A370" s="787"/>
      <c r="W370" s="381"/>
    </row>
    <row r="371" spans="1:23" s="376" customFormat="1" ht="9.75" customHeight="1" x14ac:dyDescent="0.15">
      <c r="A371" s="756" t="s">
        <v>842</v>
      </c>
      <c r="B371" s="376">
        <v>213</v>
      </c>
      <c r="C371" s="376">
        <v>432</v>
      </c>
      <c r="D371" s="376" t="s">
        <v>839</v>
      </c>
      <c r="E371" s="376" t="s">
        <v>839</v>
      </c>
      <c r="F371" s="376">
        <v>27874</v>
      </c>
      <c r="G371" s="376">
        <v>15</v>
      </c>
      <c r="H371" s="376">
        <v>31</v>
      </c>
      <c r="I371" s="376">
        <v>207</v>
      </c>
      <c r="J371" s="376">
        <v>15879</v>
      </c>
      <c r="K371" s="376" t="s">
        <v>839</v>
      </c>
      <c r="L371" s="376">
        <v>9</v>
      </c>
      <c r="M371" s="376">
        <v>2371</v>
      </c>
      <c r="N371" s="376">
        <v>37</v>
      </c>
      <c r="O371" s="376" t="s">
        <v>839</v>
      </c>
      <c r="P371" s="376">
        <v>8762</v>
      </c>
      <c r="Q371" s="376" t="s">
        <v>839</v>
      </c>
      <c r="R371" s="376">
        <v>211</v>
      </c>
      <c r="S371" s="376">
        <v>352</v>
      </c>
      <c r="T371" s="376" t="s">
        <v>839</v>
      </c>
      <c r="U371" s="376" t="s">
        <v>839</v>
      </c>
      <c r="V371" s="376">
        <v>4701</v>
      </c>
      <c r="W371" s="381" t="s">
        <v>673</v>
      </c>
    </row>
    <row r="372" spans="1:23" s="376" customFormat="1" ht="9.75" customHeight="1" x14ac:dyDescent="0.15">
      <c r="A372" s="756" t="s">
        <v>843</v>
      </c>
      <c r="B372" s="376">
        <v>291</v>
      </c>
      <c r="C372" s="376">
        <v>576</v>
      </c>
      <c r="D372" s="376">
        <v>15</v>
      </c>
      <c r="E372" s="376">
        <v>43</v>
      </c>
      <c r="F372" s="376">
        <v>24401</v>
      </c>
      <c r="G372" s="376" t="s">
        <v>839</v>
      </c>
      <c r="H372" s="376">
        <v>31</v>
      </c>
      <c r="I372" s="376" t="s">
        <v>839</v>
      </c>
      <c r="J372" s="376">
        <v>15742</v>
      </c>
      <c r="K372" s="376" t="s">
        <v>839</v>
      </c>
      <c r="L372" s="376" t="s">
        <v>839</v>
      </c>
      <c r="M372" s="376">
        <v>383</v>
      </c>
      <c r="N372" s="376">
        <v>13</v>
      </c>
      <c r="O372" s="376" t="s">
        <v>839</v>
      </c>
      <c r="P372" s="376">
        <v>7936</v>
      </c>
      <c r="Q372" s="376" t="s">
        <v>839</v>
      </c>
      <c r="R372" s="376">
        <v>2</v>
      </c>
      <c r="S372" s="376">
        <v>294</v>
      </c>
      <c r="T372" s="376" t="s">
        <v>839</v>
      </c>
      <c r="U372" s="376" t="s">
        <v>839</v>
      </c>
      <c r="V372" s="376">
        <v>5711</v>
      </c>
      <c r="W372" s="381" t="s">
        <v>844</v>
      </c>
    </row>
    <row r="373" spans="1:23" s="376" customFormat="1" ht="6.75" customHeight="1" x14ac:dyDescent="0.15">
      <c r="A373" s="787"/>
      <c r="W373" s="381"/>
    </row>
    <row r="374" spans="1:23" s="376" customFormat="1" ht="9.75" customHeight="1" x14ac:dyDescent="0.15">
      <c r="A374" s="756" t="s">
        <v>845</v>
      </c>
      <c r="B374" s="376">
        <v>73</v>
      </c>
      <c r="C374" s="376">
        <v>160</v>
      </c>
      <c r="D374" s="376" t="s">
        <v>839</v>
      </c>
      <c r="E374" s="376" t="s">
        <v>839</v>
      </c>
      <c r="F374" s="376">
        <v>6754</v>
      </c>
      <c r="G374" s="376">
        <v>15</v>
      </c>
      <c r="H374" s="376" t="s">
        <v>839</v>
      </c>
      <c r="I374" s="376">
        <v>92</v>
      </c>
      <c r="J374" s="376">
        <v>3854</v>
      </c>
      <c r="K374" s="376" t="s">
        <v>839</v>
      </c>
      <c r="L374" s="376" t="s">
        <v>839</v>
      </c>
      <c r="M374" s="376">
        <v>705</v>
      </c>
      <c r="N374" s="376">
        <v>20</v>
      </c>
      <c r="O374" s="376" t="s">
        <v>839</v>
      </c>
      <c r="P374" s="376">
        <v>1881</v>
      </c>
      <c r="Q374" s="376" t="s">
        <v>839</v>
      </c>
      <c r="R374" s="376">
        <v>47</v>
      </c>
      <c r="S374" s="376">
        <v>140</v>
      </c>
      <c r="T374" s="376" t="s">
        <v>839</v>
      </c>
      <c r="U374" s="376" t="s">
        <v>839</v>
      </c>
      <c r="V374" s="376">
        <v>979</v>
      </c>
      <c r="W374" s="381" t="s">
        <v>677</v>
      </c>
    </row>
    <row r="375" spans="1:23" s="376" customFormat="1" ht="9.75" customHeight="1" x14ac:dyDescent="0.15">
      <c r="A375" s="756" t="s">
        <v>674</v>
      </c>
      <c r="B375" s="376">
        <v>81</v>
      </c>
      <c r="C375" s="376">
        <v>160</v>
      </c>
      <c r="D375" s="376" t="s">
        <v>839</v>
      </c>
      <c r="E375" s="376" t="s">
        <v>839</v>
      </c>
      <c r="F375" s="376">
        <v>6424</v>
      </c>
      <c r="G375" s="376" t="s">
        <v>839</v>
      </c>
      <c r="H375" s="376">
        <v>31</v>
      </c>
      <c r="I375" s="376" t="s">
        <v>839</v>
      </c>
      <c r="J375" s="376">
        <v>4378</v>
      </c>
      <c r="K375" s="376" t="s">
        <v>839</v>
      </c>
      <c r="L375" s="376" t="s">
        <v>839</v>
      </c>
      <c r="M375" s="376">
        <v>366</v>
      </c>
      <c r="N375" s="376">
        <v>4</v>
      </c>
      <c r="O375" s="376" t="s">
        <v>839</v>
      </c>
      <c r="P375" s="376">
        <v>1504</v>
      </c>
      <c r="Q375" s="376" t="s">
        <v>839</v>
      </c>
      <c r="R375" s="376">
        <v>2</v>
      </c>
      <c r="S375" s="376">
        <v>139</v>
      </c>
      <c r="T375" s="376" t="s">
        <v>839</v>
      </c>
      <c r="U375" s="376" t="s">
        <v>839</v>
      </c>
      <c r="V375" s="376">
        <v>1798</v>
      </c>
      <c r="W375" s="381" t="s">
        <v>89</v>
      </c>
    </row>
    <row r="376" spans="1:23" s="376" customFormat="1" ht="9.75" customHeight="1" x14ac:dyDescent="0.15">
      <c r="A376" s="756" t="s">
        <v>675</v>
      </c>
      <c r="B376" s="376">
        <v>104</v>
      </c>
      <c r="C376" s="376">
        <v>96</v>
      </c>
      <c r="D376" s="376" t="s">
        <v>839</v>
      </c>
      <c r="E376" s="376" t="s">
        <v>839</v>
      </c>
      <c r="F376" s="376">
        <v>6577</v>
      </c>
      <c r="G376" s="376" t="s">
        <v>839</v>
      </c>
      <c r="H376" s="376" t="s">
        <v>839</v>
      </c>
      <c r="I376" s="376" t="s">
        <v>839</v>
      </c>
      <c r="J376" s="376">
        <v>4028</v>
      </c>
      <c r="K376" s="376" t="s">
        <v>839</v>
      </c>
      <c r="L376" s="376" t="s">
        <v>839</v>
      </c>
      <c r="M376" s="376" t="s">
        <v>839</v>
      </c>
      <c r="N376" s="376">
        <v>5</v>
      </c>
      <c r="O376" s="376" t="s">
        <v>839</v>
      </c>
      <c r="P376" s="376">
        <v>2523</v>
      </c>
      <c r="Q376" s="376" t="s">
        <v>839</v>
      </c>
      <c r="R376" s="376" t="s">
        <v>839</v>
      </c>
      <c r="S376" s="376">
        <v>21</v>
      </c>
      <c r="T376" s="376" t="s">
        <v>839</v>
      </c>
      <c r="U376" s="376" t="s">
        <v>839</v>
      </c>
      <c r="V376" s="376">
        <v>1193</v>
      </c>
      <c r="W376" s="381" t="s">
        <v>90</v>
      </c>
    </row>
    <row r="377" spans="1:23" s="376" customFormat="1" ht="9.75" customHeight="1" x14ac:dyDescent="0.15">
      <c r="A377" s="756" t="s">
        <v>676</v>
      </c>
      <c r="B377" s="376">
        <v>55</v>
      </c>
      <c r="C377" s="376" t="s">
        <v>839</v>
      </c>
      <c r="D377" s="376" t="s">
        <v>839</v>
      </c>
      <c r="E377" s="376">
        <v>10</v>
      </c>
      <c r="F377" s="376">
        <v>5414</v>
      </c>
      <c r="G377" s="376" t="s">
        <v>839</v>
      </c>
      <c r="H377" s="376" t="s">
        <v>839</v>
      </c>
      <c r="I377" s="376" t="s">
        <v>839</v>
      </c>
      <c r="J377" s="376">
        <v>3517</v>
      </c>
      <c r="K377" s="376" t="s">
        <v>839</v>
      </c>
      <c r="L377" s="376" t="s">
        <v>839</v>
      </c>
      <c r="M377" s="376">
        <v>1</v>
      </c>
      <c r="N377" s="376">
        <v>4</v>
      </c>
      <c r="O377" s="376" t="s">
        <v>839</v>
      </c>
      <c r="P377" s="376">
        <v>1828</v>
      </c>
      <c r="Q377" s="376" t="s">
        <v>839</v>
      </c>
      <c r="R377" s="376" t="s">
        <v>839</v>
      </c>
      <c r="S377" s="376">
        <v>64</v>
      </c>
      <c r="T377" s="376" t="s">
        <v>839</v>
      </c>
      <c r="U377" s="376" t="s">
        <v>839</v>
      </c>
      <c r="V377" s="376">
        <v>1562</v>
      </c>
      <c r="W377" s="381" t="s">
        <v>91</v>
      </c>
    </row>
    <row r="378" spans="1:23" s="376" customFormat="1" ht="9.75" customHeight="1" x14ac:dyDescent="0.15">
      <c r="A378" s="756" t="s">
        <v>846</v>
      </c>
      <c r="B378" s="376">
        <v>51</v>
      </c>
      <c r="C378" s="376">
        <v>320</v>
      </c>
      <c r="D378" s="376">
        <v>15</v>
      </c>
      <c r="E378" s="376">
        <v>33</v>
      </c>
      <c r="F378" s="376">
        <v>5986</v>
      </c>
      <c r="G378" s="376" t="s">
        <v>839</v>
      </c>
      <c r="H378" s="376" t="s">
        <v>839</v>
      </c>
      <c r="I378" s="376" t="s">
        <v>839</v>
      </c>
      <c r="J378" s="376">
        <v>3819</v>
      </c>
      <c r="K378" s="376" t="s">
        <v>839</v>
      </c>
      <c r="L378" s="376" t="s">
        <v>839</v>
      </c>
      <c r="M378" s="376">
        <v>16</v>
      </c>
      <c r="N378" s="376" t="s">
        <v>839</v>
      </c>
      <c r="O378" s="376" t="s">
        <v>839</v>
      </c>
      <c r="P378" s="376">
        <v>2081</v>
      </c>
      <c r="Q378" s="376" t="s">
        <v>839</v>
      </c>
      <c r="R378" s="376" t="s">
        <v>839</v>
      </c>
      <c r="S378" s="376">
        <v>70</v>
      </c>
      <c r="T378" s="376" t="s">
        <v>839</v>
      </c>
      <c r="U378" s="376" t="s">
        <v>839</v>
      </c>
      <c r="V378" s="376">
        <v>1158</v>
      </c>
      <c r="W378" s="381" t="s">
        <v>847</v>
      </c>
    </row>
    <row r="379" spans="1:23" s="376" customFormat="1" ht="6.75" customHeight="1" x14ac:dyDescent="0.15">
      <c r="A379" s="787"/>
      <c r="W379" s="381"/>
    </row>
    <row r="380" spans="1:23" s="376" customFormat="1" ht="9.75" customHeight="1" x14ac:dyDescent="0.15">
      <c r="A380" s="756" t="s">
        <v>848</v>
      </c>
      <c r="B380" s="376">
        <v>26</v>
      </c>
      <c r="C380" s="376">
        <v>64</v>
      </c>
      <c r="D380" s="376" t="s">
        <v>839</v>
      </c>
      <c r="E380" s="376" t="s">
        <v>839</v>
      </c>
      <c r="F380" s="376">
        <v>1896</v>
      </c>
      <c r="G380" s="376" t="s">
        <v>839</v>
      </c>
      <c r="H380" s="376" t="s">
        <v>839</v>
      </c>
      <c r="I380" s="376">
        <v>46</v>
      </c>
      <c r="J380" s="376">
        <v>1140</v>
      </c>
      <c r="K380" s="376" t="s">
        <v>839</v>
      </c>
      <c r="L380" s="376" t="s">
        <v>839</v>
      </c>
      <c r="M380" s="376">
        <v>229</v>
      </c>
      <c r="N380" s="376">
        <v>7</v>
      </c>
      <c r="O380" s="376" t="s">
        <v>839</v>
      </c>
      <c r="P380" s="376">
        <v>473</v>
      </c>
      <c r="Q380" s="376" t="s">
        <v>839</v>
      </c>
      <c r="R380" s="376">
        <v>1</v>
      </c>
      <c r="S380" s="376" t="s">
        <v>839</v>
      </c>
      <c r="T380" s="376" t="s">
        <v>839</v>
      </c>
      <c r="U380" s="376" t="s">
        <v>839</v>
      </c>
      <c r="V380" s="376">
        <v>253</v>
      </c>
      <c r="W380" s="381" t="s">
        <v>689</v>
      </c>
    </row>
    <row r="381" spans="1:23" s="376" customFormat="1" ht="9.75" customHeight="1" x14ac:dyDescent="0.15">
      <c r="A381" s="756" t="s">
        <v>678</v>
      </c>
      <c r="B381" s="376">
        <v>30</v>
      </c>
      <c r="C381" s="376">
        <v>16</v>
      </c>
      <c r="D381" s="376" t="s">
        <v>839</v>
      </c>
      <c r="E381" s="376" t="s">
        <v>839</v>
      </c>
      <c r="F381" s="376">
        <v>2456</v>
      </c>
      <c r="G381" s="376" t="s">
        <v>839</v>
      </c>
      <c r="H381" s="376" t="s">
        <v>839</v>
      </c>
      <c r="I381" s="376">
        <v>46</v>
      </c>
      <c r="J381" s="376">
        <v>1502</v>
      </c>
      <c r="K381" s="376" t="s">
        <v>839</v>
      </c>
      <c r="L381" s="376" t="s">
        <v>839</v>
      </c>
      <c r="M381" s="376">
        <v>128</v>
      </c>
      <c r="N381" s="376">
        <v>7</v>
      </c>
      <c r="O381" s="376" t="s">
        <v>839</v>
      </c>
      <c r="P381" s="376">
        <v>703</v>
      </c>
      <c r="Q381" s="376" t="s">
        <v>839</v>
      </c>
      <c r="R381" s="376">
        <v>46</v>
      </c>
      <c r="S381" s="376">
        <v>24</v>
      </c>
      <c r="T381" s="376" t="s">
        <v>839</v>
      </c>
      <c r="U381" s="376" t="s">
        <v>839</v>
      </c>
      <c r="V381" s="376">
        <v>263</v>
      </c>
      <c r="W381" s="381" t="s">
        <v>77</v>
      </c>
    </row>
    <row r="382" spans="1:23" s="376" customFormat="1" ht="9.75" customHeight="1" x14ac:dyDescent="0.15">
      <c r="A382" s="756" t="s">
        <v>679</v>
      </c>
      <c r="B382" s="376">
        <v>17</v>
      </c>
      <c r="C382" s="376">
        <v>80</v>
      </c>
      <c r="D382" s="376" t="s">
        <v>839</v>
      </c>
      <c r="E382" s="376" t="s">
        <v>839</v>
      </c>
      <c r="F382" s="376">
        <v>2402</v>
      </c>
      <c r="G382" s="376">
        <v>15</v>
      </c>
      <c r="H382" s="376" t="s">
        <v>839</v>
      </c>
      <c r="I382" s="376" t="s">
        <v>839</v>
      </c>
      <c r="J382" s="376">
        <v>1212</v>
      </c>
      <c r="K382" s="376" t="s">
        <v>839</v>
      </c>
      <c r="L382" s="376" t="s">
        <v>839</v>
      </c>
      <c r="M382" s="376">
        <v>348</v>
      </c>
      <c r="N382" s="376">
        <v>6</v>
      </c>
      <c r="O382" s="376" t="s">
        <v>839</v>
      </c>
      <c r="P382" s="376">
        <v>705</v>
      </c>
      <c r="Q382" s="376" t="s">
        <v>839</v>
      </c>
      <c r="R382" s="376" t="s">
        <v>839</v>
      </c>
      <c r="S382" s="376">
        <v>116</v>
      </c>
      <c r="T382" s="376" t="s">
        <v>839</v>
      </c>
      <c r="U382" s="376" t="s">
        <v>839</v>
      </c>
      <c r="V382" s="376">
        <v>463</v>
      </c>
      <c r="W382" s="381" t="s">
        <v>78</v>
      </c>
    </row>
    <row r="383" spans="1:23" s="376" customFormat="1" ht="9.75" customHeight="1" x14ac:dyDescent="0.15">
      <c r="A383" s="756" t="s">
        <v>680</v>
      </c>
      <c r="B383" s="376">
        <v>25</v>
      </c>
      <c r="C383" s="376">
        <v>64</v>
      </c>
      <c r="D383" s="376" t="s">
        <v>839</v>
      </c>
      <c r="E383" s="376" t="s">
        <v>839</v>
      </c>
      <c r="F383" s="376">
        <v>3205</v>
      </c>
      <c r="G383" s="376" t="s">
        <v>839</v>
      </c>
      <c r="H383" s="376">
        <v>31</v>
      </c>
      <c r="I383" s="376" t="s">
        <v>839</v>
      </c>
      <c r="J383" s="376">
        <v>1866</v>
      </c>
      <c r="K383" s="376" t="s">
        <v>839</v>
      </c>
      <c r="L383" s="376" t="s">
        <v>839</v>
      </c>
      <c r="M383" s="376">
        <v>349</v>
      </c>
      <c r="N383" s="376" t="s">
        <v>839</v>
      </c>
      <c r="O383" s="376" t="s">
        <v>839</v>
      </c>
      <c r="P383" s="376">
        <v>903</v>
      </c>
      <c r="Q383" s="376" t="s">
        <v>839</v>
      </c>
      <c r="R383" s="376">
        <v>2</v>
      </c>
      <c r="S383" s="376">
        <v>54</v>
      </c>
      <c r="T383" s="376" t="s">
        <v>839</v>
      </c>
      <c r="U383" s="376" t="s">
        <v>839</v>
      </c>
      <c r="V383" s="376">
        <v>639</v>
      </c>
      <c r="W383" s="381" t="s">
        <v>79</v>
      </c>
    </row>
    <row r="384" spans="1:23" s="376" customFormat="1" ht="9.75" customHeight="1" x14ac:dyDescent="0.15">
      <c r="A384" s="756" t="s">
        <v>681</v>
      </c>
      <c r="B384" s="376">
        <v>6</v>
      </c>
      <c r="C384" s="376" t="s">
        <v>839</v>
      </c>
      <c r="D384" s="376" t="s">
        <v>839</v>
      </c>
      <c r="E384" s="376" t="s">
        <v>839</v>
      </c>
      <c r="F384" s="376">
        <v>1269</v>
      </c>
      <c r="G384" s="376" t="s">
        <v>839</v>
      </c>
      <c r="H384" s="376" t="s">
        <v>839</v>
      </c>
      <c r="I384" s="376" t="s">
        <v>839</v>
      </c>
      <c r="J384" s="376">
        <v>1052</v>
      </c>
      <c r="K384" s="376" t="s">
        <v>839</v>
      </c>
      <c r="L384" s="376" t="s">
        <v>839</v>
      </c>
      <c r="M384" s="376">
        <v>17</v>
      </c>
      <c r="N384" s="376" t="s">
        <v>839</v>
      </c>
      <c r="O384" s="376" t="s">
        <v>839</v>
      </c>
      <c r="P384" s="376">
        <v>139</v>
      </c>
      <c r="Q384" s="376" t="s">
        <v>839</v>
      </c>
      <c r="R384" s="376" t="s">
        <v>839</v>
      </c>
      <c r="S384" s="376">
        <v>61</v>
      </c>
      <c r="T384" s="376" t="s">
        <v>839</v>
      </c>
      <c r="U384" s="376" t="s">
        <v>839</v>
      </c>
      <c r="V384" s="376">
        <v>333</v>
      </c>
      <c r="W384" s="381" t="s">
        <v>92</v>
      </c>
    </row>
    <row r="385" spans="1:23" s="376" customFormat="1" ht="9.75" customHeight="1" x14ac:dyDescent="0.15">
      <c r="A385" s="756" t="s">
        <v>682</v>
      </c>
      <c r="B385" s="376">
        <v>50</v>
      </c>
      <c r="C385" s="376">
        <v>96</v>
      </c>
      <c r="D385" s="376" t="s">
        <v>839</v>
      </c>
      <c r="E385" s="376" t="s">
        <v>839</v>
      </c>
      <c r="F385" s="376">
        <v>1950</v>
      </c>
      <c r="G385" s="376" t="s">
        <v>839</v>
      </c>
      <c r="H385" s="376" t="s">
        <v>839</v>
      </c>
      <c r="I385" s="376" t="s">
        <v>839</v>
      </c>
      <c r="J385" s="376">
        <v>1460</v>
      </c>
      <c r="K385" s="376" t="s">
        <v>839</v>
      </c>
      <c r="L385" s="376" t="s">
        <v>839</v>
      </c>
      <c r="M385" s="376" t="s">
        <v>839</v>
      </c>
      <c r="N385" s="376">
        <v>4</v>
      </c>
      <c r="O385" s="376" t="s">
        <v>839</v>
      </c>
      <c r="P385" s="376">
        <v>462</v>
      </c>
      <c r="Q385" s="376" t="s">
        <v>839</v>
      </c>
      <c r="R385" s="376" t="s">
        <v>839</v>
      </c>
      <c r="S385" s="376">
        <v>24</v>
      </c>
      <c r="T385" s="376" t="s">
        <v>839</v>
      </c>
      <c r="U385" s="376" t="s">
        <v>839</v>
      </c>
      <c r="V385" s="376">
        <v>826</v>
      </c>
      <c r="W385" s="381" t="s">
        <v>93</v>
      </c>
    </row>
    <row r="386" spans="1:23" s="376" customFormat="1" ht="9.75" customHeight="1" x14ac:dyDescent="0.15">
      <c r="A386" s="756" t="s">
        <v>683</v>
      </c>
      <c r="B386" s="376">
        <v>52</v>
      </c>
      <c r="C386" s="376">
        <v>96</v>
      </c>
      <c r="D386" s="376" t="s">
        <v>839</v>
      </c>
      <c r="E386" s="376" t="s">
        <v>839</v>
      </c>
      <c r="F386" s="376">
        <v>1752</v>
      </c>
      <c r="G386" s="376" t="s">
        <v>839</v>
      </c>
      <c r="H386" s="376" t="s">
        <v>839</v>
      </c>
      <c r="I386" s="376" t="s">
        <v>839</v>
      </c>
      <c r="J386" s="376">
        <v>1110</v>
      </c>
      <c r="K386" s="376" t="s">
        <v>839</v>
      </c>
      <c r="L386" s="376" t="s">
        <v>839</v>
      </c>
      <c r="M386" s="376" t="s">
        <v>839</v>
      </c>
      <c r="N386" s="376" t="s">
        <v>839</v>
      </c>
      <c r="O386" s="376" t="s">
        <v>839</v>
      </c>
      <c r="P386" s="376">
        <v>621</v>
      </c>
      <c r="Q386" s="376" t="s">
        <v>839</v>
      </c>
      <c r="R386" s="376" t="s">
        <v>839</v>
      </c>
      <c r="S386" s="376">
        <v>21</v>
      </c>
      <c r="T386" s="376" t="s">
        <v>839</v>
      </c>
      <c r="U386" s="376" t="s">
        <v>839</v>
      </c>
      <c r="V386" s="376">
        <v>297</v>
      </c>
      <c r="W386" s="381" t="s">
        <v>94</v>
      </c>
    </row>
    <row r="387" spans="1:23" s="376" customFormat="1" ht="9.75" customHeight="1" x14ac:dyDescent="0.15">
      <c r="A387" s="756" t="s">
        <v>684</v>
      </c>
      <c r="B387" s="376">
        <v>10</v>
      </c>
      <c r="C387" s="376" t="s">
        <v>839</v>
      </c>
      <c r="D387" s="376" t="s">
        <v>839</v>
      </c>
      <c r="E387" s="376" t="s">
        <v>839</v>
      </c>
      <c r="F387" s="376">
        <v>2635</v>
      </c>
      <c r="G387" s="376" t="s">
        <v>839</v>
      </c>
      <c r="H387" s="376" t="s">
        <v>839</v>
      </c>
      <c r="I387" s="376" t="s">
        <v>839</v>
      </c>
      <c r="J387" s="376">
        <v>1296</v>
      </c>
      <c r="K387" s="376" t="s">
        <v>839</v>
      </c>
      <c r="L387" s="376" t="s">
        <v>839</v>
      </c>
      <c r="M387" s="376" t="s">
        <v>839</v>
      </c>
      <c r="N387" s="376" t="s">
        <v>839</v>
      </c>
      <c r="O387" s="376" t="s">
        <v>839</v>
      </c>
      <c r="P387" s="376">
        <v>1339</v>
      </c>
      <c r="Q387" s="376" t="s">
        <v>839</v>
      </c>
      <c r="R387" s="376" t="s">
        <v>839</v>
      </c>
      <c r="S387" s="376" t="s">
        <v>839</v>
      </c>
      <c r="T387" s="376" t="s">
        <v>839</v>
      </c>
      <c r="U387" s="376" t="s">
        <v>839</v>
      </c>
      <c r="V387" s="376">
        <v>477</v>
      </c>
      <c r="W387" s="381" t="s">
        <v>95</v>
      </c>
    </row>
    <row r="388" spans="1:23" s="376" customFormat="1" ht="9.75" customHeight="1" x14ac:dyDescent="0.15">
      <c r="A388" s="756" t="s">
        <v>685</v>
      </c>
      <c r="B388" s="376">
        <v>42</v>
      </c>
      <c r="C388" s="376" t="s">
        <v>839</v>
      </c>
      <c r="D388" s="376" t="s">
        <v>839</v>
      </c>
      <c r="E388" s="376" t="s">
        <v>839</v>
      </c>
      <c r="F388" s="376">
        <v>2190</v>
      </c>
      <c r="G388" s="376" t="s">
        <v>839</v>
      </c>
      <c r="H388" s="376" t="s">
        <v>839</v>
      </c>
      <c r="I388" s="376" t="s">
        <v>839</v>
      </c>
      <c r="J388" s="376">
        <v>1622</v>
      </c>
      <c r="K388" s="376" t="s">
        <v>839</v>
      </c>
      <c r="L388" s="376" t="s">
        <v>839</v>
      </c>
      <c r="M388" s="376" t="s">
        <v>839</v>
      </c>
      <c r="N388" s="376">
        <v>5</v>
      </c>
      <c r="O388" s="376" t="s">
        <v>839</v>
      </c>
      <c r="P388" s="376">
        <v>563</v>
      </c>
      <c r="Q388" s="376" t="s">
        <v>839</v>
      </c>
      <c r="R388" s="376" t="s">
        <v>839</v>
      </c>
      <c r="S388" s="376" t="s">
        <v>839</v>
      </c>
      <c r="T388" s="376" t="s">
        <v>839</v>
      </c>
      <c r="U388" s="376" t="s">
        <v>839</v>
      </c>
      <c r="V388" s="376">
        <v>419</v>
      </c>
      <c r="W388" s="381" t="s">
        <v>96</v>
      </c>
    </row>
    <row r="389" spans="1:23" s="376" customFormat="1" ht="9.75" customHeight="1" x14ac:dyDescent="0.15">
      <c r="A389" s="756" t="s">
        <v>686</v>
      </c>
      <c r="B389" s="376">
        <v>50</v>
      </c>
      <c r="C389" s="376" t="s">
        <v>839</v>
      </c>
      <c r="D389" s="376" t="s">
        <v>839</v>
      </c>
      <c r="E389" s="376" t="s">
        <v>839</v>
      </c>
      <c r="F389" s="376">
        <v>1560</v>
      </c>
      <c r="G389" s="376" t="s">
        <v>839</v>
      </c>
      <c r="H389" s="376" t="s">
        <v>839</v>
      </c>
      <c r="I389" s="376" t="s">
        <v>839</v>
      </c>
      <c r="J389" s="376">
        <v>1142</v>
      </c>
      <c r="K389" s="376" t="s">
        <v>839</v>
      </c>
      <c r="L389" s="376" t="s">
        <v>839</v>
      </c>
      <c r="M389" s="376">
        <v>1</v>
      </c>
      <c r="N389" s="376">
        <v>4</v>
      </c>
      <c r="O389" s="376" t="s">
        <v>839</v>
      </c>
      <c r="P389" s="376">
        <v>413</v>
      </c>
      <c r="Q389" s="376" t="s">
        <v>839</v>
      </c>
      <c r="R389" s="376" t="s">
        <v>839</v>
      </c>
      <c r="S389" s="376" t="s">
        <v>839</v>
      </c>
      <c r="T389" s="376" t="s">
        <v>839</v>
      </c>
      <c r="U389" s="376" t="s">
        <v>839</v>
      </c>
      <c r="V389" s="376">
        <v>613</v>
      </c>
      <c r="W389" s="381" t="s">
        <v>80</v>
      </c>
    </row>
    <row r="390" spans="1:23" s="376" customFormat="1" ht="9.75" customHeight="1" x14ac:dyDescent="0.15">
      <c r="A390" s="756" t="s">
        <v>687</v>
      </c>
      <c r="B390" s="376">
        <v>5</v>
      </c>
      <c r="C390" s="376" t="s">
        <v>839</v>
      </c>
      <c r="D390" s="376" t="s">
        <v>839</v>
      </c>
      <c r="E390" s="376">
        <v>10</v>
      </c>
      <c r="F390" s="376">
        <v>1976</v>
      </c>
      <c r="G390" s="376" t="s">
        <v>839</v>
      </c>
      <c r="H390" s="376" t="s">
        <v>839</v>
      </c>
      <c r="I390" s="376" t="s">
        <v>839</v>
      </c>
      <c r="J390" s="376">
        <v>1130</v>
      </c>
      <c r="K390" s="376" t="s">
        <v>839</v>
      </c>
      <c r="L390" s="376" t="s">
        <v>839</v>
      </c>
      <c r="M390" s="376" t="s">
        <v>839</v>
      </c>
      <c r="N390" s="376" t="s">
        <v>839</v>
      </c>
      <c r="O390" s="376" t="s">
        <v>839</v>
      </c>
      <c r="P390" s="376">
        <v>812</v>
      </c>
      <c r="Q390" s="376" t="s">
        <v>839</v>
      </c>
      <c r="R390" s="376" t="s">
        <v>839</v>
      </c>
      <c r="S390" s="376">
        <v>34</v>
      </c>
      <c r="T390" s="376" t="s">
        <v>839</v>
      </c>
      <c r="U390" s="376" t="s">
        <v>839</v>
      </c>
      <c r="V390" s="376">
        <v>591</v>
      </c>
      <c r="W390" s="381" t="s">
        <v>81</v>
      </c>
    </row>
    <row r="391" spans="1:23" s="376" customFormat="1" ht="9.75" customHeight="1" x14ac:dyDescent="0.15">
      <c r="A391" s="756" t="s">
        <v>688</v>
      </c>
      <c r="B391" s="376" t="s">
        <v>839</v>
      </c>
      <c r="C391" s="376" t="s">
        <v>839</v>
      </c>
      <c r="D391" s="376" t="s">
        <v>839</v>
      </c>
      <c r="E391" s="376" t="s">
        <v>839</v>
      </c>
      <c r="F391" s="376">
        <v>1878</v>
      </c>
      <c r="G391" s="376" t="s">
        <v>839</v>
      </c>
      <c r="H391" s="376" t="s">
        <v>839</v>
      </c>
      <c r="I391" s="376" t="s">
        <v>839</v>
      </c>
      <c r="J391" s="376">
        <v>1245</v>
      </c>
      <c r="K391" s="376" t="s">
        <v>839</v>
      </c>
      <c r="L391" s="376" t="s">
        <v>839</v>
      </c>
      <c r="M391" s="376" t="s">
        <v>839</v>
      </c>
      <c r="N391" s="376" t="s">
        <v>839</v>
      </c>
      <c r="O391" s="376" t="s">
        <v>839</v>
      </c>
      <c r="P391" s="376">
        <v>603</v>
      </c>
      <c r="Q391" s="376" t="s">
        <v>839</v>
      </c>
      <c r="R391" s="376" t="s">
        <v>839</v>
      </c>
      <c r="S391" s="376">
        <v>30</v>
      </c>
      <c r="T391" s="376" t="s">
        <v>839</v>
      </c>
      <c r="U391" s="376" t="s">
        <v>839</v>
      </c>
      <c r="V391" s="376">
        <v>358</v>
      </c>
      <c r="W391" s="381" t="s">
        <v>82</v>
      </c>
    </row>
    <row r="392" spans="1:23" s="376" customFormat="1" ht="9.75" customHeight="1" x14ac:dyDescent="0.15">
      <c r="A392" s="756" t="s">
        <v>849</v>
      </c>
      <c r="B392" s="376">
        <v>15</v>
      </c>
      <c r="C392" s="376">
        <v>128</v>
      </c>
      <c r="D392" s="376" t="s">
        <v>839</v>
      </c>
      <c r="E392" s="376" t="s">
        <v>839</v>
      </c>
      <c r="F392" s="376">
        <v>2266</v>
      </c>
      <c r="G392" s="376" t="s">
        <v>839</v>
      </c>
      <c r="H392" s="376" t="s">
        <v>839</v>
      </c>
      <c r="I392" s="376" t="s">
        <v>839</v>
      </c>
      <c r="J392" s="376">
        <v>1055</v>
      </c>
      <c r="K392" s="376" t="s">
        <v>839</v>
      </c>
      <c r="L392" s="376" t="s">
        <v>839</v>
      </c>
      <c r="M392" s="376" t="s">
        <v>839</v>
      </c>
      <c r="N392" s="376" t="s">
        <v>839</v>
      </c>
      <c r="O392" s="376" t="s">
        <v>839</v>
      </c>
      <c r="P392" s="376">
        <v>1171</v>
      </c>
      <c r="Q392" s="376" t="s">
        <v>839</v>
      </c>
      <c r="R392" s="376" t="s">
        <v>839</v>
      </c>
      <c r="S392" s="376">
        <v>40</v>
      </c>
      <c r="T392" s="376" t="s">
        <v>839</v>
      </c>
      <c r="U392" s="376" t="s">
        <v>839</v>
      </c>
      <c r="V392" s="376">
        <v>422</v>
      </c>
      <c r="W392" s="381" t="s">
        <v>850</v>
      </c>
    </row>
    <row r="393" spans="1:23" s="376" customFormat="1" ht="9.75" customHeight="1" x14ac:dyDescent="0.15">
      <c r="A393" s="756" t="s">
        <v>690</v>
      </c>
      <c r="B393" s="376">
        <v>30</v>
      </c>
      <c r="C393" s="376">
        <v>32</v>
      </c>
      <c r="D393" s="376" t="s">
        <v>839</v>
      </c>
      <c r="E393" s="376" t="s">
        <v>839</v>
      </c>
      <c r="F393" s="376">
        <v>1643</v>
      </c>
      <c r="G393" s="376" t="s">
        <v>839</v>
      </c>
      <c r="H393" s="376" t="s">
        <v>839</v>
      </c>
      <c r="I393" s="376" t="s">
        <v>839</v>
      </c>
      <c r="J393" s="376">
        <v>1196</v>
      </c>
      <c r="K393" s="376" t="s">
        <v>839</v>
      </c>
      <c r="L393" s="376" t="s">
        <v>839</v>
      </c>
      <c r="M393" s="376">
        <v>16</v>
      </c>
      <c r="N393" s="376" t="s">
        <v>839</v>
      </c>
      <c r="O393" s="376" t="s">
        <v>839</v>
      </c>
      <c r="P393" s="376">
        <v>416</v>
      </c>
      <c r="Q393" s="376" t="s">
        <v>839</v>
      </c>
      <c r="R393" s="376" t="s">
        <v>839</v>
      </c>
      <c r="S393" s="376">
        <v>15</v>
      </c>
      <c r="T393" s="376" t="s">
        <v>839</v>
      </c>
      <c r="U393" s="376" t="s">
        <v>839</v>
      </c>
      <c r="V393" s="376">
        <v>316</v>
      </c>
      <c r="W393" s="381" t="s">
        <v>77</v>
      </c>
    </row>
    <row r="394" spans="1:23" s="376" customFormat="1" ht="9.75" customHeight="1" x14ac:dyDescent="0.15">
      <c r="A394" s="757" t="s">
        <v>691</v>
      </c>
      <c r="B394" s="380">
        <v>6</v>
      </c>
      <c r="C394" s="379">
        <v>160</v>
      </c>
      <c r="D394" s="379">
        <v>15</v>
      </c>
      <c r="E394" s="379">
        <v>33</v>
      </c>
      <c r="F394" s="379">
        <v>2077</v>
      </c>
      <c r="G394" s="379" t="s">
        <v>839</v>
      </c>
      <c r="H394" s="379" t="s">
        <v>839</v>
      </c>
      <c r="I394" s="379" t="s">
        <v>839</v>
      </c>
      <c r="J394" s="379">
        <v>1568</v>
      </c>
      <c r="K394" s="379" t="s">
        <v>839</v>
      </c>
      <c r="L394" s="379" t="s">
        <v>839</v>
      </c>
      <c r="M394" s="379" t="s">
        <v>839</v>
      </c>
      <c r="N394" s="379" t="s">
        <v>839</v>
      </c>
      <c r="O394" s="379" t="s">
        <v>839</v>
      </c>
      <c r="P394" s="379">
        <v>494</v>
      </c>
      <c r="Q394" s="379" t="s">
        <v>839</v>
      </c>
      <c r="R394" s="379" t="s">
        <v>839</v>
      </c>
      <c r="S394" s="379">
        <v>15</v>
      </c>
      <c r="T394" s="379" t="s">
        <v>839</v>
      </c>
      <c r="U394" s="379" t="s">
        <v>839</v>
      </c>
      <c r="V394" s="379">
        <v>420</v>
      </c>
      <c r="W394" s="377" t="s">
        <v>78</v>
      </c>
    </row>
    <row r="395" spans="1:23" ht="12" customHeight="1" x14ac:dyDescent="0.15"/>
    <row r="396" spans="1:23" ht="12" customHeight="1" x14ac:dyDescent="0.15"/>
    <row r="397" spans="1:23" ht="12" customHeight="1" x14ac:dyDescent="0.15">
      <c r="K397" s="391" t="s">
        <v>97</v>
      </c>
    </row>
    <row r="398" spans="1:23" s="387" customFormat="1" ht="21" customHeight="1" x14ac:dyDescent="0.15">
      <c r="A398" s="1023" t="s">
        <v>185</v>
      </c>
      <c r="B398" s="390" t="s">
        <v>298</v>
      </c>
      <c r="C398" s="389"/>
      <c r="D398" s="389"/>
      <c r="E398" s="389"/>
      <c r="F398" s="389"/>
      <c r="G398" s="389"/>
      <c r="H398" s="389"/>
      <c r="I398" s="389"/>
      <c r="J398" s="389"/>
      <c r="K398" s="389"/>
      <c r="L398" s="389"/>
      <c r="M398" s="389"/>
      <c r="N398" s="389"/>
      <c r="O398" s="389"/>
      <c r="P398" s="389"/>
      <c r="Q398" s="389"/>
      <c r="R398" s="389"/>
      <c r="S398" s="389"/>
      <c r="T398" s="389"/>
      <c r="U398" s="389"/>
      <c r="V398" s="389"/>
      <c r="W398" s="1026" t="s">
        <v>83</v>
      </c>
    </row>
    <row r="399" spans="1:23" s="387" customFormat="1" ht="21" customHeight="1" x14ac:dyDescent="0.15">
      <c r="A399" s="1024"/>
      <c r="B399" s="390" t="s">
        <v>999</v>
      </c>
      <c r="C399" s="389"/>
      <c r="D399" s="389"/>
      <c r="E399" s="732"/>
      <c r="F399" s="733" t="s">
        <v>271</v>
      </c>
      <c r="G399" s="389"/>
      <c r="H399" s="389"/>
      <c r="I399" s="389"/>
      <c r="J399" s="389"/>
      <c r="K399" s="389"/>
      <c r="L399" s="389"/>
      <c r="M399" s="732"/>
      <c r="N399" s="733" t="s">
        <v>256</v>
      </c>
      <c r="O399" s="389"/>
      <c r="P399" s="389"/>
      <c r="Q399" s="732"/>
      <c r="R399" s="733" t="s">
        <v>255</v>
      </c>
      <c r="S399" s="389"/>
      <c r="T399" s="732"/>
      <c r="U399" s="733" t="s">
        <v>1004</v>
      </c>
      <c r="V399" s="389"/>
      <c r="W399" s="1027"/>
    </row>
    <row r="400" spans="1:23" s="387" customFormat="1" ht="52.5" customHeight="1" x14ac:dyDescent="0.15">
      <c r="A400" s="1025"/>
      <c r="B400" s="388" t="s">
        <v>258</v>
      </c>
      <c r="C400" s="388" t="s">
        <v>311</v>
      </c>
      <c r="D400" s="388" t="s">
        <v>280</v>
      </c>
      <c r="E400" s="388" t="s">
        <v>588</v>
      </c>
      <c r="F400" s="735" t="s">
        <v>982</v>
      </c>
      <c r="G400" s="388" t="s">
        <v>334</v>
      </c>
      <c r="H400" s="388" t="s">
        <v>333</v>
      </c>
      <c r="I400" s="388" t="s">
        <v>257</v>
      </c>
      <c r="J400" s="388" t="s">
        <v>479</v>
      </c>
      <c r="K400" s="388" t="s">
        <v>332</v>
      </c>
      <c r="L400" s="388" t="s">
        <v>254</v>
      </c>
      <c r="M400" s="388" t="s">
        <v>275</v>
      </c>
      <c r="N400" s="735" t="s">
        <v>983</v>
      </c>
      <c r="O400" s="388" t="s">
        <v>252</v>
      </c>
      <c r="P400" s="393" t="s">
        <v>1001</v>
      </c>
      <c r="Q400" s="388" t="s">
        <v>985</v>
      </c>
      <c r="R400" s="735" t="s">
        <v>986</v>
      </c>
      <c r="S400" s="388" t="s">
        <v>250</v>
      </c>
      <c r="T400" s="388" t="s">
        <v>1003</v>
      </c>
      <c r="U400" s="735" t="s">
        <v>329</v>
      </c>
      <c r="V400" s="392" t="s">
        <v>328</v>
      </c>
      <c r="W400" s="1028"/>
    </row>
    <row r="401" spans="1:23" s="376" customFormat="1" ht="9.75" customHeight="1" x14ac:dyDescent="0.15">
      <c r="A401" s="755" t="s">
        <v>838</v>
      </c>
      <c r="B401" s="386">
        <v>4306</v>
      </c>
      <c r="C401" s="385">
        <v>429</v>
      </c>
      <c r="D401" s="385" t="s">
        <v>839</v>
      </c>
      <c r="E401" s="385" t="s">
        <v>839</v>
      </c>
      <c r="F401" s="385">
        <v>1534</v>
      </c>
      <c r="G401" s="385">
        <v>8</v>
      </c>
      <c r="H401" s="385" t="s">
        <v>839</v>
      </c>
      <c r="I401" s="385">
        <v>364</v>
      </c>
      <c r="J401" s="385">
        <v>1</v>
      </c>
      <c r="K401" s="385" t="s">
        <v>839</v>
      </c>
      <c r="L401" s="385">
        <v>985</v>
      </c>
      <c r="M401" s="385">
        <v>176</v>
      </c>
      <c r="N401" s="385">
        <v>773</v>
      </c>
      <c r="O401" s="385">
        <v>58</v>
      </c>
      <c r="P401" s="385" t="s">
        <v>839</v>
      </c>
      <c r="Q401" s="385">
        <v>715</v>
      </c>
      <c r="R401" s="385">
        <v>1196</v>
      </c>
      <c r="S401" s="385">
        <v>722</v>
      </c>
      <c r="T401" s="385">
        <v>474</v>
      </c>
      <c r="U401" s="385">
        <v>5828</v>
      </c>
      <c r="V401" s="385">
        <v>5828</v>
      </c>
      <c r="W401" s="383" t="s">
        <v>457</v>
      </c>
    </row>
    <row r="402" spans="1:23" s="376" customFormat="1" ht="9.75" customHeight="1" x14ac:dyDescent="0.15">
      <c r="A402" s="756" t="s">
        <v>669</v>
      </c>
      <c r="B402" s="376">
        <v>4295</v>
      </c>
      <c r="C402" s="376">
        <v>552</v>
      </c>
      <c r="D402" s="376" t="s">
        <v>839</v>
      </c>
      <c r="E402" s="376">
        <v>1</v>
      </c>
      <c r="F402" s="376">
        <v>961</v>
      </c>
      <c r="G402" s="376">
        <v>16</v>
      </c>
      <c r="H402" s="376" t="s">
        <v>839</v>
      </c>
      <c r="I402" s="376">
        <v>66</v>
      </c>
      <c r="J402" s="376" t="s">
        <v>839</v>
      </c>
      <c r="K402" s="376">
        <v>5</v>
      </c>
      <c r="L402" s="376">
        <v>576</v>
      </c>
      <c r="M402" s="376">
        <v>298</v>
      </c>
      <c r="N402" s="376">
        <v>663</v>
      </c>
      <c r="O402" s="376">
        <v>12</v>
      </c>
      <c r="P402" s="376" t="s">
        <v>839</v>
      </c>
      <c r="Q402" s="376">
        <v>651</v>
      </c>
      <c r="R402" s="376">
        <v>1194</v>
      </c>
      <c r="S402" s="376">
        <v>718</v>
      </c>
      <c r="T402" s="376">
        <v>476</v>
      </c>
      <c r="U402" s="376">
        <v>3409</v>
      </c>
      <c r="V402" s="376">
        <v>3409</v>
      </c>
      <c r="W402" s="381" t="s">
        <v>512</v>
      </c>
    </row>
    <row r="403" spans="1:23" s="376" customFormat="1" ht="9.75" customHeight="1" x14ac:dyDescent="0.15">
      <c r="A403" s="756" t="s">
        <v>670</v>
      </c>
      <c r="B403" s="376">
        <v>3252</v>
      </c>
      <c r="C403" s="376">
        <v>588</v>
      </c>
      <c r="D403" s="376" t="s">
        <v>839</v>
      </c>
      <c r="E403" s="376" t="s">
        <v>839</v>
      </c>
      <c r="F403" s="376">
        <v>217</v>
      </c>
      <c r="G403" s="376" t="s">
        <v>839</v>
      </c>
      <c r="H403" s="376">
        <v>1</v>
      </c>
      <c r="I403" s="376">
        <v>1</v>
      </c>
      <c r="J403" s="376" t="s">
        <v>839</v>
      </c>
      <c r="K403" s="376" t="s">
        <v>839</v>
      </c>
      <c r="L403" s="376">
        <v>215</v>
      </c>
      <c r="M403" s="376" t="s">
        <v>839</v>
      </c>
      <c r="N403" s="376">
        <v>500</v>
      </c>
      <c r="O403" s="376">
        <v>32</v>
      </c>
      <c r="P403" s="376" t="s">
        <v>839</v>
      </c>
      <c r="Q403" s="376">
        <v>468</v>
      </c>
      <c r="R403" s="376">
        <v>1225</v>
      </c>
      <c r="S403" s="376">
        <v>917</v>
      </c>
      <c r="T403" s="376">
        <v>308</v>
      </c>
      <c r="U403" s="376">
        <v>2873</v>
      </c>
      <c r="V403" s="376">
        <v>2873</v>
      </c>
      <c r="W403" s="381" t="s">
        <v>620</v>
      </c>
    </row>
    <row r="404" spans="1:23" s="376" customFormat="1" ht="9.75" customHeight="1" x14ac:dyDescent="0.15">
      <c r="A404" s="756" t="s">
        <v>671</v>
      </c>
      <c r="B404" s="376">
        <v>3834</v>
      </c>
      <c r="C404" s="376">
        <v>1120</v>
      </c>
      <c r="D404" s="376" t="s">
        <v>839</v>
      </c>
      <c r="E404" s="376" t="s">
        <v>839</v>
      </c>
      <c r="F404" s="376">
        <v>454</v>
      </c>
      <c r="G404" s="376" t="s">
        <v>839</v>
      </c>
      <c r="H404" s="376" t="s">
        <v>839</v>
      </c>
      <c r="I404" s="376" t="s">
        <v>839</v>
      </c>
      <c r="J404" s="376" t="s">
        <v>839</v>
      </c>
      <c r="K404" s="376" t="s">
        <v>839</v>
      </c>
      <c r="L404" s="376">
        <v>454</v>
      </c>
      <c r="M404" s="376" t="s">
        <v>839</v>
      </c>
      <c r="N404" s="376">
        <v>367</v>
      </c>
      <c r="O404" s="376">
        <v>19</v>
      </c>
      <c r="P404" s="376" t="s">
        <v>839</v>
      </c>
      <c r="Q404" s="376">
        <v>348</v>
      </c>
      <c r="R404" s="376">
        <v>871</v>
      </c>
      <c r="S404" s="376">
        <v>743</v>
      </c>
      <c r="T404" s="376">
        <v>128</v>
      </c>
      <c r="U404" s="376">
        <v>2654</v>
      </c>
      <c r="V404" s="376">
        <v>2654</v>
      </c>
      <c r="W404" s="381" t="s">
        <v>672</v>
      </c>
    </row>
    <row r="405" spans="1:23" s="376" customFormat="1" ht="9.75" customHeight="1" x14ac:dyDescent="0.15">
      <c r="A405" s="756" t="s">
        <v>840</v>
      </c>
      <c r="B405" s="376">
        <v>4410</v>
      </c>
      <c r="C405" s="376">
        <v>959</v>
      </c>
      <c r="D405" s="376">
        <v>163</v>
      </c>
      <c r="E405" s="376" t="s">
        <v>839</v>
      </c>
      <c r="F405" s="376">
        <v>546</v>
      </c>
      <c r="G405" s="376">
        <v>1</v>
      </c>
      <c r="H405" s="376" t="s">
        <v>839</v>
      </c>
      <c r="I405" s="376">
        <v>1</v>
      </c>
      <c r="J405" s="376" t="s">
        <v>839</v>
      </c>
      <c r="K405" s="376" t="s">
        <v>839</v>
      </c>
      <c r="L405" s="376">
        <v>544</v>
      </c>
      <c r="M405" s="376" t="s">
        <v>839</v>
      </c>
      <c r="N405" s="376">
        <v>171</v>
      </c>
      <c r="O405" s="376">
        <v>32</v>
      </c>
      <c r="P405" s="376">
        <v>11</v>
      </c>
      <c r="Q405" s="376">
        <v>128</v>
      </c>
      <c r="R405" s="376">
        <v>757</v>
      </c>
      <c r="S405" s="376">
        <v>756</v>
      </c>
      <c r="T405" s="376">
        <v>1</v>
      </c>
      <c r="U405" s="376">
        <v>2538</v>
      </c>
      <c r="V405" s="376">
        <v>2538</v>
      </c>
      <c r="W405" s="381" t="s">
        <v>841</v>
      </c>
    </row>
    <row r="406" spans="1:23" s="376" customFormat="1" ht="6.75" customHeight="1" x14ac:dyDescent="0.15">
      <c r="A406" s="787"/>
      <c r="W406" s="381"/>
    </row>
    <row r="407" spans="1:23" s="376" customFormat="1" ht="9.75" customHeight="1" x14ac:dyDescent="0.15">
      <c r="A407" s="756" t="s">
        <v>842</v>
      </c>
      <c r="B407" s="376">
        <v>3759</v>
      </c>
      <c r="C407" s="376">
        <v>942</v>
      </c>
      <c r="D407" s="376" t="s">
        <v>839</v>
      </c>
      <c r="E407" s="376" t="s">
        <v>839</v>
      </c>
      <c r="F407" s="376">
        <v>465</v>
      </c>
      <c r="G407" s="376" t="s">
        <v>839</v>
      </c>
      <c r="H407" s="376" t="s">
        <v>839</v>
      </c>
      <c r="I407" s="376" t="s">
        <v>839</v>
      </c>
      <c r="J407" s="376" t="s">
        <v>839</v>
      </c>
      <c r="K407" s="376" t="s">
        <v>839</v>
      </c>
      <c r="L407" s="376">
        <v>465</v>
      </c>
      <c r="M407" s="376" t="s">
        <v>839</v>
      </c>
      <c r="N407" s="376">
        <v>291</v>
      </c>
      <c r="O407" s="376">
        <v>28</v>
      </c>
      <c r="P407" s="376">
        <v>11</v>
      </c>
      <c r="Q407" s="376">
        <v>252</v>
      </c>
      <c r="R407" s="376">
        <v>757</v>
      </c>
      <c r="S407" s="376">
        <v>725</v>
      </c>
      <c r="T407" s="376">
        <v>32</v>
      </c>
      <c r="U407" s="376">
        <v>2736</v>
      </c>
      <c r="V407" s="376">
        <v>2736</v>
      </c>
      <c r="W407" s="381" t="s">
        <v>673</v>
      </c>
    </row>
    <row r="408" spans="1:23" s="376" customFormat="1" ht="9.75" customHeight="1" x14ac:dyDescent="0.15">
      <c r="A408" s="756" t="s">
        <v>843</v>
      </c>
      <c r="B408" s="376">
        <v>4393</v>
      </c>
      <c r="C408" s="376">
        <v>1155</v>
      </c>
      <c r="D408" s="376">
        <v>163</v>
      </c>
      <c r="E408" s="376" t="s">
        <v>839</v>
      </c>
      <c r="F408" s="376">
        <v>497</v>
      </c>
      <c r="G408" s="376">
        <v>3</v>
      </c>
      <c r="H408" s="376" t="s">
        <v>839</v>
      </c>
      <c r="I408" s="376">
        <v>1</v>
      </c>
      <c r="J408" s="376" t="s">
        <v>839</v>
      </c>
      <c r="K408" s="376" t="s">
        <v>839</v>
      </c>
      <c r="L408" s="376">
        <v>493</v>
      </c>
      <c r="M408" s="376" t="s">
        <v>839</v>
      </c>
      <c r="N408" s="376">
        <v>112</v>
      </c>
      <c r="O408" s="376">
        <v>16</v>
      </c>
      <c r="P408" s="376" t="s">
        <v>839</v>
      </c>
      <c r="Q408" s="376">
        <v>96</v>
      </c>
      <c r="R408" s="376">
        <v>798</v>
      </c>
      <c r="S408" s="376">
        <v>797</v>
      </c>
      <c r="T408" s="376">
        <v>1</v>
      </c>
      <c r="U408" s="376">
        <v>2366</v>
      </c>
      <c r="V408" s="376">
        <v>2366</v>
      </c>
      <c r="W408" s="381" t="s">
        <v>844</v>
      </c>
    </row>
    <row r="409" spans="1:23" s="376" customFormat="1" ht="6.75" customHeight="1" x14ac:dyDescent="0.15">
      <c r="A409" s="787"/>
      <c r="W409" s="381"/>
    </row>
    <row r="410" spans="1:23" s="376" customFormat="1" ht="9.75" customHeight="1" x14ac:dyDescent="0.15">
      <c r="A410" s="756" t="s">
        <v>845</v>
      </c>
      <c r="B410" s="376">
        <v>815</v>
      </c>
      <c r="C410" s="376">
        <v>164</v>
      </c>
      <c r="D410" s="376" t="s">
        <v>839</v>
      </c>
      <c r="E410" s="376" t="s">
        <v>839</v>
      </c>
      <c r="F410" s="376">
        <v>160</v>
      </c>
      <c r="G410" s="376" t="s">
        <v>839</v>
      </c>
      <c r="H410" s="376" t="s">
        <v>839</v>
      </c>
      <c r="I410" s="376" t="s">
        <v>839</v>
      </c>
      <c r="J410" s="376" t="s">
        <v>839</v>
      </c>
      <c r="K410" s="376" t="s">
        <v>839</v>
      </c>
      <c r="L410" s="376">
        <v>160</v>
      </c>
      <c r="M410" s="376" t="s">
        <v>839</v>
      </c>
      <c r="N410" s="376">
        <v>59</v>
      </c>
      <c r="O410" s="376">
        <v>16</v>
      </c>
      <c r="P410" s="376">
        <v>11</v>
      </c>
      <c r="Q410" s="376">
        <v>32</v>
      </c>
      <c r="R410" s="376">
        <v>174</v>
      </c>
      <c r="S410" s="376">
        <v>174</v>
      </c>
      <c r="T410" s="376" t="s">
        <v>839</v>
      </c>
      <c r="U410" s="376">
        <v>672</v>
      </c>
      <c r="V410" s="376">
        <v>672</v>
      </c>
      <c r="W410" s="381" t="s">
        <v>677</v>
      </c>
    </row>
    <row r="411" spans="1:23" s="376" customFormat="1" ht="9.75" customHeight="1" x14ac:dyDescent="0.15">
      <c r="A411" s="756" t="s">
        <v>674</v>
      </c>
      <c r="B411" s="376">
        <v>1445</v>
      </c>
      <c r="C411" s="376">
        <v>353</v>
      </c>
      <c r="D411" s="376" t="s">
        <v>839</v>
      </c>
      <c r="E411" s="376" t="s">
        <v>839</v>
      </c>
      <c r="F411" s="376">
        <v>88</v>
      </c>
      <c r="G411" s="376">
        <v>1</v>
      </c>
      <c r="H411" s="376" t="s">
        <v>839</v>
      </c>
      <c r="I411" s="376">
        <v>1</v>
      </c>
      <c r="J411" s="376" t="s">
        <v>839</v>
      </c>
      <c r="K411" s="376" t="s">
        <v>839</v>
      </c>
      <c r="L411" s="376">
        <v>86</v>
      </c>
      <c r="M411" s="376" t="s">
        <v>839</v>
      </c>
      <c r="N411" s="376">
        <v>32</v>
      </c>
      <c r="O411" s="376">
        <v>16</v>
      </c>
      <c r="P411" s="376" t="s">
        <v>839</v>
      </c>
      <c r="Q411" s="376">
        <v>16</v>
      </c>
      <c r="R411" s="376">
        <v>259</v>
      </c>
      <c r="S411" s="376">
        <v>259</v>
      </c>
      <c r="T411" s="376" t="s">
        <v>839</v>
      </c>
      <c r="U411" s="376">
        <v>781</v>
      </c>
      <c r="V411" s="376">
        <v>781</v>
      </c>
      <c r="W411" s="381" t="s">
        <v>89</v>
      </c>
    </row>
    <row r="412" spans="1:23" s="376" customFormat="1" ht="9.75" customHeight="1" x14ac:dyDescent="0.15">
      <c r="A412" s="756" t="s">
        <v>675</v>
      </c>
      <c r="B412" s="376">
        <v>967</v>
      </c>
      <c r="C412" s="376">
        <v>226</v>
      </c>
      <c r="D412" s="376" t="s">
        <v>839</v>
      </c>
      <c r="E412" s="376" t="s">
        <v>839</v>
      </c>
      <c r="F412" s="376">
        <v>152</v>
      </c>
      <c r="G412" s="376" t="s">
        <v>839</v>
      </c>
      <c r="H412" s="376" t="s">
        <v>839</v>
      </c>
      <c r="I412" s="376" t="s">
        <v>839</v>
      </c>
      <c r="J412" s="376" t="s">
        <v>839</v>
      </c>
      <c r="K412" s="376" t="s">
        <v>839</v>
      </c>
      <c r="L412" s="376">
        <v>152</v>
      </c>
      <c r="M412" s="376" t="s">
        <v>839</v>
      </c>
      <c r="N412" s="376">
        <v>80</v>
      </c>
      <c r="O412" s="376" t="s">
        <v>839</v>
      </c>
      <c r="P412" s="376" t="s">
        <v>839</v>
      </c>
      <c r="Q412" s="376">
        <v>80</v>
      </c>
      <c r="R412" s="376">
        <v>179</v>
      </c>
      <c r="S412" s="376">
        <v>179</v>
      </c>
      <c r="T412" s="376" t="s">
        <v>839</v>
      </c>
      <c r="U412" s="376">
        <v>591</v>
      </c>
      <c r="V412" s="376">
        <v>591</v>
      </c>
      <c r="W412" s="381" t="s">
        <v>90</v>
      </c>
    </row>
    <row r="413" spans="1:23" s="376" customFormat="1" ht="9.75" customHeight="1" x14ac:dyDescent="0.15">
      <c r="A413" s="756" t="s">
        <v>676</v>
      </c>
      <c r="B413" s="376">
        <v>1183</v>
      </c>
      <c r="C413" s="376">
        <v>216</v>
      </c>
      <c r="D413" s="376">
        <v>163</v>
      </c>
      <c r="E413" s="376" t="s">
        <v>839</v>
      </c>
      <c r="F413" s="376">
        <v>146</v>
      </c>
      <c r="G413" s="376" t="s">
        <v>839</v>
      </c>
      <c r="H413" s="376" t="s">
        <v>839</v>
      </c>
      <c r="I413" s="376" t="s">
        <v>839</v>
      </c>
      <c r="J413" s="376" t="s">
        <v>839</v>
      </c>
      <c r="K413" s="376" t="s">
        <v>839</v>
      </c>
      <c r="L413" s="376">
        <v>146</v>
      </c>
      <c r="M413" s="376" t="s">
        <v>839</v>
      </c>
      <c r="N413" s="376" t="s">
        <v>839</v>
      </c>
      <c r="O413" s="376" t="s">
        <v>839</v>
      </c>
      <c r="P413" s="376" t="s">
        <v>839</v>
      </c>
      <c r="Q413" s="376" t="s">
        <v>839</v>
      </c>
      <c r="R413" s="376">
        <v>145</v>
      </c>
      <c r="S413" s="376">
        <v>144</v>
      </c>
      <c r="T413" s="376">
        <v>1</v>
      </c>
      <c r="U413" s="376">
        <v>494</v>
      </c>
      <c r="V413" s="376">
        <v>494</v>
      </c>
      <c r="W413" s="381" t="s">
        <v>91</v>
      </c>
    </row>
    <row r="414" spans="1:23" s="376" customFormat="1" ht="9.75" customHeight="1" x14ac:dyDescent="0.15">
      <c r="A414" s="756" t="s">
        <v>846</v>
      </c>
      <c r="B414" s="376">
        <v>798</v>
      </c>
      <c r="C414" s="376">
        <v>360</v>
      </c>
      <c r="D414" s="376" t="s">
        <v>839</v>
      </c>
      <c r="E414" s="376" t="s">
        <v>839</v>
      </c>
      <c r="F414" s="376">
        <v>111</v>
      </c>
      <c r="G414" s="376">
        <v>2</v>
      </c>
      <c r="H414" s="376" t="s">
        <v>839</v>
      </c>
      <c r="I414" s="376" t="s">
        <v>839</v>
      </c>
      <c r="J414" s="376" t="s">
        <v>839</v>
      </c>
      <c r="K414" s="376" t="s">
        <v>839</v>
      </c>
      <c r="L414" s="376">
        <v>109</v>
      </c>
      <c r="M414" s="376" t="s">
        <v>839</v>
      </c>
      <c r="N414" s="376" t="s">
        <v>839</v>
      </c>
      <c r="O414" s="376" t="s">
        <v>839</v>
      </c>
      <c r="P414" s="376" t="s">
        <v>839</v>
      </c>
      <c r="Q414" s="376" t="s">
        <v>839</v>
      </c>
      <c r="R414" s="376">
        <v>215</v>
      </c>
      <c r="S414" s="376">
        <v>215</v>
      </c>
      <c r="T414" s="376" t="s">
        <v>839</v>
      </c>
      <c r="U414" s="376">
        <v>500</v>
      </c>
      <c r="V414" s="376">
        <v>500</v>
      </c>
      <c r="W414" s="381" t="s">
        <v>847</v>
      </c>
    </row>
    <row r="415" spans="1:23" s="376" customFormat="1" ht="6.75" customHeight="1" x14ac:dyDescent="0.15">
      <c r="A415" s="787"/>
      <c r="W415" s="381"/>
    </row>
    <row r="416" spans="1:23" s="376" customFormat="1" ht="9.75" customHeight="1" x14ac:dyDescent="0.15">
      <c r="A416" s="756" t="s">
        <v>848</v>
      </c>
      <c r="B416" s="376">
        <v>199</v>
      </c>
      <c r="C416" s="376">
        <v>54</v>
      </c>
      <c r="D416" s="376" t="s">
        <v>839</v>
      </c>
      <c r="E416" s="376" t="s">
        <v>839</v>
      </c>
      <c r="F416" s="376">
        <v>20</v>
      </c>
      <c r="G416" s="376" t="s">
        <v>839</v>
      </c>
      <c r="H416" s="376" t="s">
        <v>839</v>
      </c>
      <c r="I416" s="376" t="s">
        <v>839</v>
      </c>
      <c r="J416" s="376" t="s">
        <v>839</v>
      </c>
      <c r="K416" s="376" t="s">
        <v>839</v>
      </c>
      <c r="L416" s="376">
        <v>20</v>
      </c>
      <c r="M416" s="376" t="s">
        <v>839</v>
      </c>
      <c r="N416" s="376">
        <v>43</v>
      </c>
      <c r="O416" s="376" t="s">
        <v>839</v>
      </c>
      <c r="P416" s="376">
        <v>11</v>
      </c>
      <c r="Q416" s="376">
        <v>32</v>
      </c>
      <c r="R416" s="376">
        <v>37</v>
      </c>
      <c r="S416" s="376">
        <v>37</v>
      </c>
      <c r="T416" s="376" t="s">
        <v>839</v>
      </c>
      <c r="U416" s="376">
        <v>171</v>
      </c>
      <c r="V416" s="376">
        <v>171</v>
      </c>
      <c r="W416" s="381" t="s">
        <v>689</v>
      </c>
    </row>
    <row r="417" spans="1:23" s="376" customFormat="1" ht="9.75" customHeight="1" x14ac:dyDescent="0.15">
      <c r="A417" s="756" t="s">
        <v>678</v>
      </c>
      <c r="B417" s="376">
        <v>205</v>
      </c>
      <c r="C417" s="376">
        <v>58</v>
      </c>
      <c r="D417" s="376" t="s">
        <v>839</v>
      </c>
      <c r="E417" s="376" t="s">
        <v>839</v>
      </c>
      <c r="F417" s="376">
        <v>77</v>
      </c>
      <c r="G417" s="376" t="s">
        <v>839</v>
      </c>
      <c r="H417" s="376" t="s">
        <v>839</v>
      </c>
      <c r="I417" s="376" t="s">
        <v>839</v>
      </c>
      <c r="J417" s="376" t="s">
        <v>839</v>
      </c>
      <c r="K417" s="376" t="s">
        <v>839</v>
      </c>
      <c r="L417" s="376">
        <v>77</v>
      </c>
      <c r="M417" s="376" t="s">
        <v>839</v>
      </c>
      <c r="N417" s="376">
        <v>16</v>
      </c>
      <c r="O417" s="376">
        <v>16</v>
      </c>
      <c r="P417" s="376" t="s">
        <v>839</v>
      </c>
      <c r="Q417" s="376" t="s">
        <v>839</v>
      </c>
      <c r="R417" s="376">
        <v>81</v>
      </c>
      <c r="S417" s="376">
        <v>81</v>
      </c>
      <c r="T417" s="376" t="s">
        <v>839</v>
      </c>
      <c r="U417" s="376">
        <v>218</v>
      </c>
      <c r="V417" s="376">
        <v>218</v>
      </c>
      <c r="W417" s="381" t="s">
        <v>77</v>
      </c>
    </row>
    <row r="418" spans="1:23" s="376" customFormat="1" ht="9.75" customHeight="1" x14ac:dyDescent="0.15">
      <c r="A418" s="756" t="s">
        <v>679</v>
      </c>
      <c r="B418" s="376">
        <v>411</v>
      </c>
      <c r="C418" s="376">
        <v>52</v>
      </c>
      <c r="D418" s="376" t="s">
        <v>839</v>
      </c>
      <c r="E418" s="376" t="s">
        <v>839</v>
      </c>
      <c r="F418" s="376">
        <v>63</v>
      </c>
      <c r="G418" s="376" t="s">
        <v>839</v>
      </c>
      <c r="H418" s="376" t="s">
        <v>839</v>
      </c>
      <c r="I418" s="376" t="s">
        <v>839</v>
      </c>
      <c r="J418" s="376" t="s">
        <v>839</v>
      </c>
      <c r="K418" s="376" t="s">
        <v>839</v>
      </c>
      <c r="L418" s="376">
        <v>63</v>
      </c>
      <c r="M418" s="376" t="s">
        <v>839</v>
      </c>
      <c r="N418" s="376" t="s">
        <v>839</v>
      </c>
      <c r="O418" s="376" t="s">
        <v>839</v>
      </c>
      <c r="P418" s="376" t="s">
        <v>839</v>
      </c>
      <c r="Q418" s="376" t="s">
        <v>839</v>
      </c>
      <c r="R418" s="376">
        <v>56</v>
      </c>
      <c r="S418" s="376">
        <v>56</v>
      </c>
      <c r="T418" s="376" t="s">
        <v>839</v>
      </c>
      <c r="U418" s="376">
        <v>283</v>
      </c>
      <c r="V418" s="376">
        <v>283</v>
      </c>
      <c r="W418" s="381" t="s">
        <v>78</v>
      </c>
    </row>
    <row r="419" spans="1:23" s="376" customFormat="1" ht="9.75" customHeight="1" x14ac:dyDescent="0.15">
      <c r="A419" s="756" t="s">
        <v>680</v>
      </c>
      <c r="B419" s="376">
        <v>451</v>
      </c>
      <c r="C419" s="376">
        <v>188</v>
      </c>
      <c r="D419" s="376" t="s">
        <v>839</v>
      </c>
      <c r="E419" s="376" t="s">
        <v>839</v>
      </c>
      <c r="F419" s="376">
        <v>30</v>
      </c>
      <c r="G419" s="376" t="s">
        <v>839</v>
      </c>
      <c r="H419" s="376" t="s">
        <v>839</v>
      </c>
      <c r="I419" s="376" t="s">
        <v>839</v>
      </c>
      <c r="J419" s="376" t="s">
        <v>839</v>
      </c>
      <c r="K419" s="376" t="s">
        <v>839</v>
      </c>
      <c r="L419" s="376">
        <v>30</v>
      </c>
      <c r="M419" s="376" t="s">
        <v>839</v>
      </c>
      <c r="N419" s="376">
        <v>16</v>
      </c>
      <c r="O419" s="376">
        <v>16</v>
      </c>
      <c r="P419" s="376" t="s">
        <v>839</v>
      </c>
      <c r="Q419" s="376" t="s">
        <v>839</v>
      </c>
      <c r="R419" s="376">
        <v>95</v>
      </c>
      <c r="S419" s="376">
        <v>95</v>
      </c>
      <c r="T419" s="376" t="s">
        <v>839</v>
      </c>
      <c r="U419" s="376">
        <v>305</v>
      </c>
      <c r="V419" s="376">
        <v>305</v>
      </c>
      <c r="W419" s="381" t="s">
        <v>79</v>
      </c>
    </row>
    <row r="420" spans="1:23" s="376" customFormat="1" ht="9.75" customHeight="1" x14ac:dyDescent="0.15">
      <c r="A420" s="756" t="s">
        <v>681</v>
      </c>
      <c r="B420" s="376">
        <v>284</v>
      </c>
      <c r="C420" s="376">
        <v>49</v>
      </c>
      <c r="D420" s="376" t="s">
        <v>839</v>
      </c>
      <c r="E420" s="376" t="s">
        <v>839</v>
      </c>
      <c r="F420" s="376">
        <v>26</v>
      </c>
      <c r="G420" s="376" t="s">
        <v>839</v>
      </c>
      <c r="H420" s="376" t="s">
        <v>839</v>
      </c>
      <c r="I420" s="376" t="s">
        <v>839</v>
      </c>
      <c r="J420" s="376" t="s">
        <v>839</v>
      </c>
      <c r="K420" s="376" t="s">
        <v>839</v>
      </c>
      <c r="L420" s="376">
        <v>26</v>
      </c>
      <c r="M420" s="376" t="s">
        <v>839</v>
      </c>
      <c r="N420" s="376">
        <v>16</v>
      </c>
      <c r="O420" s="376" t="s">
        <v>839</v>
      </c>
      <c r="P420" s="376" t="s">
        <v>839</v>
      </c>
      <c r="Q420" s="376">
        <v>16</v>
      </c>
      <c r="R420" s="376">
        <v>69</v>
      </c>
      <c r="S420" s="376">
        <v>69</v>
      </c>
      <c r="T420" s="376" t="s">
        <v>839</v>
      </c>
      <c r="U420" s="376">
        <v>293</v>
      </c>
      <c r="V420" s="376">
        <v>293</v>
      </c>
      <c r="W420" s="381" t="s">
        <v>92</v>
      </c>
    </row>
    <row r="421" spans="1:23" s="376" customFormat="1" ht="9.75" customHeight="1" x14ac:dyDescent="0.15">
      <c r="A421" s="756" t="s">
        <v>682</v>
      </c>
      <c r="B421" s="376">
        <v>710</v>
      </c>
      <c r="C421" s="376">
        <v>116</v>
      </c>
      <c r="D421" s="376" t="s">
        <v>839</v>
      </c>
      <c r="E421" s="376" t="s">
        <v>839</v>
      </c>
      <c r="F421" s="376">
        <v>32</v>
      </c>
      <c r="G421" s="376">
        <v>1</v>
      </c>
      <c r="H421" s="376" t="s">
        <v>839</v>
      </c>
      <c r="I421" s="376">
        <v>1</v>
      </c>
      <c r="J421" s="376" t="s">
        <v>839</v>
      </c>
      <c r="K421" s="376" t="s">
        <v>839</v>
      </c>
      <c r="L421" s="376">
        <v>30</v>
      </c>
      <c r="M421" s="376" t="s">
        <v>839</v>
      </c>
      <c r="N421" s="376" t="s">
        <v>839</v>
      </c>
      <c r="O421" s="376" t="s">
        <v>839</v>
      </c>
      <c r="P421" s="376" t="s">
        <v>839</v>
      </c>
      <c r="Q421" s="376" t="s">
        <v>839</v>
      </c>
      <c r="R421" s="376">
        <v>95</v>
      </c>
      <c r="S421" s="376">
        <v>95</v>
      </c>
      <c r="T421" s="376" t="s">
        <v>839</v>
      </c>
      <c r="U421" s="376">
        <v>183</v>
      </c>
      <c r="V421" s="376">
        <v>183</v>
      </c>
      <c r="W421" s="381" t="s">
        <v>93</v>
      </c>
    </row>
    <row r="422" spans="1:23" s="376" customFormat="1" ht="9.75" customHeight="1" x14ac:dyDescent="0.15">
      <c r="A422" s="756" t="s">
        <v>683</v>
      </c>
      <c r="B422" s="376">
        <v>210</v>
      </c>
      <c r="C422" s="376">
        <v>87</v>
      </c>
      <c r="D422" s="376" t="s">
        <v>839</v>
      </c>
      <c r="E422" s="376" t="s">
        <v>839</v>
      </c>
      <c r="F422" s="376">
        <v>40</v>
      </c>
      <c r="G422" s="376" t="s">
        <v>839</v>
      </c>
      <c r="H422" s="376" t="s">
        <v>839</v>
      </c>
      <c r="I422" s="376" t="s">
        <v>839</v>
      </c>
      <c r="J422" s="376" t="s">
        <v>839</v>
      </c>
      <c r="K422" s="376" t="s">
        <v>839</v>
      </c>
      <c r="L422" s="376">
        <v>40</v>
      </c>
      <c r="M422" s="376" t="s">
        <v>839</v>
      </c>
      <c r="N422" s="376" t="s">
        <v>839</v>
      </c>
      <c r="O422" s="376" t="s">
        <v>839</v>
      </c>
      <c r="P422" s="376" t="s">
        <v>839</v>
      </c>
      <c r="Q422" s="376" t="s">
        <v>839</v>
      </c>
      <c r="R422" s="376">
        <v>58</v>
      </c>
      <c r="S422" s="376">
        <v>58</v>
      </c>
      <c r="T422" s="376" t="s">
        <v>839</v>
      </c>
      <c r="U422" s="376">
        <v>228</v>
      </c>
      <c r="V422" s="376">
        <v>228</v>
      </c>
      <c r="W422" s="381" t="s">
        <v>94</v>
      </c>
    </row>
    <row r="423" spans="1:23" s="376" customFormat="1" ht="9.75" customHeight="1" x14ac:dyDescent="0.15">
      <c r="A423" s="756" t="s">
        <v>684</v>
      </c>
      <c r="B423" s="376">
        <v>386</v>
      </c>
      <c r="C423" s="376">
        <v>91</v>
      </c>
      <c r="D423" s="376" t="s">
        <v>839</v>
      </c>
      <c r="E423" s="376" t="s">
        <v>839</v>
      </c>
      <c r="F423" s="376">
        <v>51</v>
      </c>
      <c r="G423" s="376" t="s">
        <v>839</v>
      </c>
      <c r="H423" s="376" t="s">
        <v>839</v>
      </c>
      <c r="I423" s="376" t="s">
        <v>839</v>
      </c>
      <c r="J423" s="376" t="s">
        <v>839</v>
      </c>
      <c r="K423" s="376" t="s">
        <v>839</v>
      </c>
      <c r="L423" s="376">
        <v>51</v>
      </c>
      <c r="M423" s="376" t="s">
        <v>839</v>
      </c>
      <c r="N423" s="376">
        <v>48</v>
      </c>
      <c r="O423" s="376" t="s">
        <v>839</v>
      </c>
      <c r="P423" s="376" t="s">
        <v>839</v>
      </c>
      <c r="Q423" s="376">
        <v>48</v>
      </c>
      <c r="R423" s="376">
        <v>49</v>
      </c>
      <c r="S423" s="376">
        <v>49</v>
      </c>
      <c r="T423" s="376" t="s">
        <v>839</v>
      </c>
      <c r="U423" s="376">
        <v>148</v>
      </c>
      <c r="V423" s="376">
        <v>148</v>
      </c>
      <c r="W423" s="381" t="s">
        <v>95</v>
      </c>
    </row>
    <row r="424" spans="1:23" s="376" customFormat="1" ht="9.75" customHeight="1" x14ac:dyDescent="0.15">
      <c r="A424" s="756" t="s">
        <v>685</v>
      </c>
      <c r="B424" s="376">
        <v>371</v>
      </c>
      <c r="C424" s="376">
        <v>48</v>
      </c>
      <c r="D424" s="376" t="s">
        <v>839</v>
      </c>
      <c r="E424" s="376" t="s">
        <v>839</v>
      </c>
      <c r="F424" s="376">
        <v>61</v>
      </c>
      <c r="G424" s="376" t="s">
        <v>839</v>
      </c>
      <c r="H424" s="376" t="s">
        <v>839</v>
      </c>
      <c r="I424" s="376" t="s">
        <v>839</v>
      </c>
      <c r="J424" s="376" t="s">
        <v>839</v>
      </c>
      <c r="K424" s="376" t="s">
        <v>839</v>
      </c>
      <c r="L424" s="376">
        <v>61</v>
      </c>
      <c r="M424" s="376" t="s">
        <v>839</v>
      </c>
      <c r="N424" s="376">
        <v>32</v>
      </c>
      <c r="O424" s="376" t="s">
        <v>839</v>
      </c>
      <c r="P424" s="376" t="s">
        <v>839</v>
      </c>
      <c r="Q424" s="376">
        <v>32</v>
      </c>
      <c r="R424" s="376">
        <v>72</v>
      </c>
      <c r="S424" s="376">
        <v>72</v>
      </c>
      <c r="T424" s="376" t="s">
        <v>839</v>
      </c>
      <c r="U424" s="376">
        <v>215</v>
      </c>
      <c r="V424" s="376">
        <v>215</v>
      </c>
      <c r="W424" s="381" t="s">
        <v>96</v>
      </c>
    </row>
    <row r="425" spans="1:23" s="376" customFormat="1" ht="9.75" customHeight="1" x14ac:dyDescent="0.15">
      <c r="A425" s="756" t="s">
        <v>686</v>
      </c>
      <c r="B425" s="376">
        <v>518</v>
      </c>
      <c r="C425" s="376">
        <v>95</v>
      </c>
      <c r="D425" s="376" t="s">
        <v>839</v>
      </c>
      <c r="E425" s="376" t="s">
        <v>839</v>
      </c>
      <c r="F425" s="376">
        <v>49</v>
      </c>
      <c r="G425" s="376" t="s">
        <v>839</v>
      </c>
      <c r="H425" s="376" t="s">
        <v>839</v>
      </c>
      <c r="I425" s="376" t="s">
        <v>839</v>
      </c>
      <c r="J425" s="376" t="s">
        <v>839</v>
      </c>
      <c r="K425" s="376" t="s">
        <v>839</v>
      </c>
      <c r="L425" s="376">
        <v>49</v>
      </c>
      <c r="M425" s="376" t="s">
        <v>839</v>
      </c>
      <c r="N425" s="376" t="s">
        <v>839</v>
      </c>
      <c r="O425" s="376" t="s">
        <v>839</v>
      </c>
      <c r="P425" s="376" t="s">
        <v>839</v>
      </c>
      <c r="Q425" s="376" t="s">
        <v>839</v>
      </c>
      <c r="R425" s="376">
        <v>61</v>
      </c>
      <c r="S425" s="376">
        <v>61</v>
      </c>
      <c r="T425" s="376" t="s">
        <v>839</v>
      </c>
      <c r="U425" s="376">
        <v>204</v>
      </c>
      <c r="V425" s="376">
        <v>204</v>
      </c>
      <c r="W425" s="381" t="s">
        <v>80</v>
      </c>
    </row>
    <row r="426" spans="1:23" s="376" customFormat="1" ht="9.75" customHeight="1" x14ac:dyDescent="0.15">
      <c r="A426" s="756" t="s">
        <v>687</v>
      </c>
      <c r="B426" s="376">
        <v>413</v>
      </c>
      <c r="C426" s="376">
        <v>86</v>
      </c>
      <c r="D426" s="376">
        <v>92</v>
      </c>
      <c r="E426" s="376" t="s">
        <v>839</v>
      </c>
      <c r="F426" s="376">
        <v>39</v>
      </c>
      <c r="G426" s="376" t="s">
        <v>839</v>
      </c>
      <c r="H426" s="376" t="s">
        <v>839</v>
      </c>
      <c r="I426" s="376" t="s">
        <v>839</v>
      </c>
      <c r="J426" s="376" t="s">
        <v>839</v>
      </c>
      <c r="K426" s="376" t="s">
        <v>839</v>
      </c>
      <c r="L426" s="376">
        <v>39</v>
      </c>
      <c r="M426" s="376" t="s">
        <v>839</v>
      </c>
      <c r="N426" s="376" t="s">
        <v>839</v>
      </c>
      <c r="O426" s="376" t="s">
        <v>839</v>
      </c>
      <c r="P426" s="376" t="s">
        <v>839</v>
      </c>
      <c r="Q426" s="376" t="s">
        <v>839</v>
      </c>
      <c r="R426" s="376">
        <v>33</v>
      </c>
      <c r="S426" s="376">
        <v>33</v>
      </c>
      <c r="T426" s="376" t="s">
        <v>839</v>
      </c>
      <c r="U426" s="376">
        <v>148</v>
      </c>
      <c r="V426" s="376">
        <v>148</v>
      </c>
      <c r="W426" s="381" t="s">
        <v>81</v>
      </c>
    </row>
    <row r="427" spans="1:23" s="376" customFormat="1" ht="9.75" customHeight="1" x14ac:dyDescent="0.15">
      <c r="A427" s="756" t="s">
        <v>688</v>
      </c>
      <c r="B427" s="376">
        <v>252</v>
      </c>
      <c r="C427" s="376">
        <v>35</v>
      </c>
      <c r="D427" s="376">
        <v>71</v>
      </c>
      <c r="E427" s="376" t="s">
        <v>839</v>
      </c>
      <c r="F427" s="376">
        <v>58</v>
      </c>
      <c r="G427" s="376" t="s">
        <v>839</v>
      </c>
      <c r="H427" s="376" t="s">
        <v>839</v>
      </c>
      <c r="I427" s="376" t="s">
        <v>839</v>
      </c>
      <c r="J427" s="376" t="s">
        <v>839</v>
      </c>
      <c r="K427" s="376" t="s">
        <v>839</v>
      </c>
      <c r="L427" s="376">
        <v>58</v>
      </c>
      <c r="M427" s="376" t="s">
        <v>839</v>
      </c>
      <c r="N427" s="376" t="s">
        <v>839</v>
      </c>
      <c r="O427" s="376" t="s">
        <v>839</v>
      </c>
      <c r="P427" s="376" t="s">
        <v>839</v>
      </c>
      <c r="Q427" s="376" t="s">
        <v>839</v>
      </c>
      <c r="R427" s="376">
        <v>51</v>
      </c>
      <c r="S427" s="376">
        <v>50</v>
      </c>
      <c r="T427" s="376">
        <v>1</v>
      </c>
      <c r="U427" s="376">
        <v>142</v>
      </c>
      <c r="V427" s="376">
        <v>142</v>
      </c>
      <c r="W427" s="381" t="s">
        <v>82</v>
      </c>
    </row>
    <row r="428" spans="1:23" s="376" customFormat="1" ht="9.75" customHeight="1" x14ac:dyDescent="0.15">
      <c r="A428" s="756" t="s">
        <v>849</v>
      </c>
      <c r="B428" s="376">
        <v>299</v>
      </c>
      <c r="C428" s="376">
        <v>123</v>
      </c>
      <c r="D428" s="376" t="s">
        <v>839</v>
      </c>
      <c r="E428" s="376" t="s">
        <v>839</v>
      </c>
      <c r="F428" s="376">
        <v>29</v>
      </c>
      <c r="G428" s="376">
        <v>1</v>
      </c>
      <c r="H428" s="376" t="s">
        <v>839</v>
      </c>
      <c r="I428" s="376" t="s">
        <v>839</v>
      </c>
      <c r="J428" s="376" t="s">
        <v>839</v>
      </c>
      <c r="K428" s="376" t="s">
        <v>839</v>
      </c>
      <c r="L428" s="376">
        <v>28</v>
      </c>
      <c r="M428" s="376" t="s">
        <v>839</v>
      </c>
      <c r="N428" s="376" t="s">
        <v>839</v>
      </c>
      <c r="O428" s="376" t="s">
        <v>839</v>
      </c>
      <c r="P428" s="376" t="s">
        <v>839</v>
      </c>
      <c r="Q428" s="376" t="s">
        <v>839</v>
      </c>
      <c r="R428" s="376">
        <v>120</v>
      </c>
      <c r="S428" s="376">
        <v>120</v>
      </c>
      <c r="T428" s="376" t="s">
        <v>839</v>
      </c>
      <c r="U428" s="376">
        <v>142</v>
      </c>
      <c r="V428" s="376">
        <v>142</v>
      </c>
      <c r="W428" s="381" t="s">
        <v>850</v>
      </c>
    </row>
    <row r="429" spans="1:23" s="376" customFormat="1" ht="9.75" customHeight="1" x14ac:dyDescent="0.15">
      <c r="A429" s="756" t="s">
        <v>690</v>
      </c>
      <c r="B429" s="376">
        <v>205</v>
      </c>
      <c r="C429" s="376">
        <v>111</v>
      </c>
      <c r="D429" s="376" t="s">
        <v>839</v>
      </c>
      <c r="E429" s="376" t="s">
        <v>839</v>
      </c>
      <c r="F429" s="376">
        <v>21</v>
      </c>
      <c r="G429" s="376" t="s">
        <v>839</v>
      </c>
      <c r="H429" s="376" t="s">
        <v>839</v>
      </c>
      <c r="I429" s="376" t="s">
        <v>839</v>
      </c>
      <c r="J429" s="376" t="s">
        <v>839</v>
      </c>
      <c r="K429" s="376" t="s">
        <v>839</v>
      </c>
      <c r="L429" s="376">
        <v>21</v>
      </c>
      <c r="M429" s="376" t="s">
        <v>839</v>
      </c>
      <c r="N429" s="376" t="s">
        <v>839</v>
      </c>
      <c r="O429" s="376" t="s">
        <v>839</v>
      </c>
      <c r="P429" s="376" t="s">
        <v>839</v>
      </c>
      <c r="Q429" s="376" t="s">
        <v>839</v>
      </c>
      <c r="R429" s="376">
        <v>44</v>
      </c>
      <c r="S429" s="376">
        <v>44</v>
      </c>
      <c r="T429" s="376" t="s">
        <v>839</v>
      </c>
      <c r="U429" s="376">
        <v>223</v>
      </c>
      <c r="V429" s="376">
        <v>223</v>
      </c>
      <c r="W429" s="381" t="s">
        <v>77</v>
      </c>
    </row>
    <row r="430" spans="1:23" s="376" customFormat="1" ht="9.75" customHeight="1" x14ac:dyDescent="0.15">
      <c r="A430" s="757" t="s">
        <v>691</v>
      </c>
      <c r="B430" s="380">
        <v>294</v>
      </c>
      <c r="C430" s="379">
        <v>126</v>
      </c>
      <c r="D430" s="379" t="s">
        <v>839</v>
      </c>
      <c r="E430" s="379" t="s">
        <v>839</v>
      </c>
      <c r="F430" s="379">
        <v>61</v>
      </c>
      <c r="G430" s="379">
        <v>1</v>
      </c>
      <c r="H430" s="379" t="s">
        <v>839</v>
      </c>
      <c r="I430" s="379" t="s">
        <v>839</v>
      </c>
      <c r="J430" s="379" t="s">
        <v>839</v>
      </c>
      <c r="K430" s="379" t="s">
        <v>839</v>
      </c>
      <c r="L430" s="379">
        <v>60</v>
      </c>
      <c r="M430" s="379" t="s">
        <v>839</v>
      </c>
      <c r="N430" s="379" t="s">
        <v>839</v>
      </c>
      <c r="O430" s="379" t="s">
        <v>839</v>
      </c>
      <c r="P430" s="379" t="s">
        <v>839</v>
      </c>
      <c r="Q430" s="379" t="s">
        <v>839</v>
      </c>
      <c r="R430" s="379">
        <v>51</v>
      </c>
      <c r="S430" s="379">
        <v>51</v>
      </c>
      <c r="T430" s="379" t="s">
        <v>839</v>
      </c>
      <c r="U430" s="379">
        <v>135</v>
      </c>
      <c r="V430" s="379">
        <v>135</v>
      </c>
      <c r="W430" s="377" t="s">
        <v>78</v>
      </c>
    </row>
    <row r="431" spans="1:23" ht="12" customHeight="1" x14ac:dyDescent="0.15"/>
    <row r="432" spans="1:23" ht="12" customHeight="1" x14ac:dyDescent="0.15"/>
    <row r="433" spans="1:23" ht="12" customHeight="1" x14ac:dyDescent="0.15">
      <c r="K433" s="391" t="s">
        <v>97</v>
      </c>
      <c r="V433" s="394" t="s">
        <v>984</v>
      </c>
    </row>
    <row r="434" spans="1:23" s="387" customFormat="1" ht="21" customHeight="1" x14ac:dyDescent="0.15">
      <c r="A434" s="1023" t="s">
        <v>185</v>
      </c>
      <c r="B434" s="395" t="s">
        <v>297</v>
      </c>
      <c r="C434" s="389"/>
      <c r="D434" s="389"/>
      <c r="E434" s="389"/>
      <c r="F434" s="389"/>
      <c r="G434" s="389"/>
      <c r="H434" s="732"/>
      <c r="I434" s="733" t="s">
        <v>293</v>
      </c>
      <c r="J434" s="389"/>
      <c r="K434" s="389"/>
      <c r="L434" s="389"/>
      <c r="M434" s="389"/>
      <c r="N434" s="389"/>
      <c r="O434" s="389"/>
      <c r="P434" s="389"/>
      <c r="Q434" s="389"/>
      <c r="R434" s="389"/>
      <c r="S434" s="389"/>
      <c r="T434" s="389"/>
      <c r="U434" s="389"/>
      <c r="V434" s="389"/>
      <c r="W434" s="1026" t="s">
        <v>83</v>
      </c>
    </row>
    <row r="435" spans="1:23" s="387" customFormat="1" ht="21" customHeight="1" x14ac:dyDescent="0.15">
      <c r="A435" s="1024"/>
      <c r="B435" s="1029" t="s">
        <v>296</v>
      </c>
      <c r="C435" s="733" t="s">
        <v>279</v>
      </c>
      <c r="D435" s="389"/>
      <c r="E435" s="389"/>
      <c r="F435" s="389"/>
      <c r="G435" s="389"/>
      <c r="H435" s="732"/>
      <c r="I435" s="1029" t="s">
        <v>292</v>
      </c>
      <c r="J435" s="733" t="s">
        <v>279</v>
      </c>
      <c r="K435" s="389"/>
      <c r="L435" s="389"/>
      <c r="M435" s="389"/>
      <c r="N435" s="389"/>
      <c r="O435" s="389"/>
      <c r="P435" s="389"/>
      <c r="Q435" s="389"/>
      <c r="R435" s="389"/>
      <c r="S435" s="389"/>
      <c r="T435" s="389"/>
      <c r="U435" s="732"/>
      <c r="V435" s="733" t="s">
        <v>273</v>
      </c>
      <c r="W435" s="1027"/>
    </row>
    <row r="436" spans="1:23" s="387" customFormat="1" ht="52.5" customHeight="1" x14ac:dyDescent="0.15">
      <c r="A436" s="1025"/>
      <c r="B436" s="1030"/>
      <c r="C436" s="735" t="s">
        <v>975</v>
      </c>
      <c r="D436" s="388" t="s">
        <v>270</v>
      </c>
      <c r="E436" s="388" t="s">
        <v>976</v>
      </c>
      <c r="F436" s="388" t="s">
        <v>285</v>
      </c>
      <c r="G436" s="388" t="s">
        <v>291</v>
      </c>
      <c r="H436" s="388" t="s">
        <v>269</v>
      </c>
      <c r="I436" s="1030"/>
      <c r="J436" s="735" t="s">
        <v>975</v>
      </c>
      <c r="K436" s="388" t="s">
        <v>270</v>
      </c>
      <c r="L436" s="388" t="s">
        <v>976</v>
      </c>
      <c r="M436" s="388" t="s">
        <v>285</v>
      </c>
      <c r="N436" s="388" t="s">
        <v>339</v>
      </c>
      <c r="O436" s="388" t="s">
        <v>290</v>
      </c>
      <c r="P436" s="388" t="s">
        <v>269</v>
      </c>
      <c r="Q436" s="388" t="s">
        <v>268</v>
      </c>
      <c r="R436" s="388" t="s">
        <v>318</v>
      </c>
      <c r="S436" s="388" t="s">
        <v>266</v>
      </c>
      <c r="T436" s="388" t="s">
        <v>295</v>
      </c>
      <c r="U436" s="388" t="s">
        <v>1011</v>
      </c>
      <c r="V436" s="734" t="s">
        <v>106</v>
      </c>
      <c r="W436" s="1028"/>
    </row>
    <row r="437" spans="1:23" s="376" customFormat="1" ht="9.75" customHeight="1" x14ac:dyDescent="0.15">
      <c r="A437" s="755" t="s">
        <v>838</v>
      </c>
      <c r="B437" s="386">
        <v>86688</v>
      </c>
      <c r="C437" s="385">
        <v>86688</v>
      </c>
      <c r="D437" s="385">
        <v>9002</v>
      </c>
      <c r="E437" s="385">
        <v>38848</v>
      </c>
      <c r="F437" s="385">
        <v>3000</v>
      </c>
      <c r="G437" s="385">
        <v>2890</v>
      </c>
      <c r="H437" s="385">
        <v>32948</v>
      </c>
      <c r="I437" s="385">
        <v>841</v>
      </c>
      <c r="J437" s="385">
        <v>758</v>
      </c>
      <c r="K437" s="385">
        <v>52</v>
      </c>
      <c r="L437" s="385">
        <v>232</v>
      </c>
      <c r="M437" s="385">
        <v>37</v>
      </c>
      <c r="N437" s="385">
        <v>12</v>
      </c>
      <c r="O437" s="385">
        <v>158</v>
      </c>
      <c r="P437" s="385">
        <v>41</v>
      </c>
      <c r="Q437" s="385">
        <v>3</v>
      </c>
      <c r="R437" s="385" t="s">
        <v>839</v>
      </c>
      <c r="S437" s="385">
        <v>132</v>
      </c>
      <c r="T437" s="385">
        <v>91</v>
      </c>
      <c r="U437" s="385" t="s">
        <v>839</v>
      </c>
      <c r="V437" s="385">
        <v>50</v>
      </c>
      <c r="W437" s="383" t="s">
        <v>457</v>
      </c>
    </row>
    <row r="438" spans="1:23" s="376" customFormat="1" ht="9.75" customHeight="1" x14ac:dyDescent="0.15">
      <c r="A438" s="756" t="s">
        <v>669</v>
      </c>
      <c r="B438" s="376">
        <v>59956</v>
      </c>
      <c r="C438" s="376">
        <v>59956</v>
      </c>
      <c r="D438" s="376" t="s">
        <v>839</v>
      </c>
      <c r="E438" s="376">
        <v>53953</v>
      </c>
      <c r="F438" s="376" t="s">
        <v>839</v>
      </c>
      <c r="G438" s="376" t="s">
        <v>839</v>
      </c>
      <c r="H438" s="376">
        <v>6003</v>
      </c>
      <c r="I438" s="376">
        <v>923</v>
      </c>
      <c r="J438" s="376">
        <v>873</v>
      </c>
      <c r="K438" s="376">
        <v>40</v>
      </c>
      <c r="L438" s="376">
        <v>329</v>
      </c>
      <c r="M438" s="376">
        <v>10</v>
      </c>
      <c r="N438" s="376">
        <v>26</v>
      </c>
      <c r="O438" s="376">
        <v>107</v>
      </c>
      <c r="P438" s="376">
        <v>36</v>
      </c>
      <c r="Q438" s="376">
        <v>3</v>
      </c>
      <c r="R438" s="376" t="s">
        <v>839</v>
      </c>
      <c r="S438" s="376">
        <v>214</v>
      </c>
      <c r="T438" s="376">
        <v>108</v>
      </c>
      <c r="U438" s="376" t="s">
        <v>839</v>
      </c>
      <c r="V438" s="376">
        <v>35</v>
      </c>
      <c r="W438" s="381" t="s">
        <v>512</v>
      </c>
    </row>
    <row r="439" spans="1:23" s="376" customFormat="1" ht="9.75" customHeight="1" x14ac:dyDescent="0.15">
      <c r="A439" s="756" t="s">
        <v>670</v>
      </c>
      <c r="B439" s="376">
        <v>23765</v>
      </c>
      <c r="C439" s="376">
        <v>23765</v>
      </c>
      <c r="D439" s="376" t="s">
        <v>839</v>
      </c>
      <c r="E439" s="376">
        <v>23765</v>
      </c>
      <c r="F439" s="376" t="s">
        <v>839</v>
      </c>
      <c r="G439" s="376" t="s">
        <v>839</v>
      </c>
      <c r="H439" s="376" t="s">
        <v>839</v>
      </c>
      <c r="I439" s="376">
        <v>633</v>
      </c>
      <c r="J439" s="376">
        <v>588</v>
      </c>
      <c r="K439" s="376">
        <v>27</v>
      </c>
      <c r="L439" s="376">
        <v>307</v>
      </c>
      <c r="M439" s="376">
        <v>5</v>
      </c>
      <c r="N439" s="376">
        <v>18</v>
      </c>
      <c r="O439" s="376">
        <v>43</v>
      </c>
      <c r="P439" s="376">
        <v>6</v>
      </c>
      <c r="Q439" s="376" t="s">
        <v>839</v>
      </c>
      <c r="R439" s="376">
        <v>4</v>
      </c>
      <c r="S439" s="376">
        <v>148</v>
      </c>
      <c r="T439" s="376">
        <v>30</v>
      </c>
      <c r="U439" s="376" t="s">
        <v>839</v>
      </c>
      <c r="V439" s="376">
        <v>34</v>
      </c>
      <c r="W439" s="381" t="s">
        <v>620</v>
      </c>
    </row>
    <row r="440" spans="1:23" s="376" customFormat="1" ht="9.75" customHeight="1" x14ac:dyDescent="0.15">
      <c r="A440" s="756" t="s">
        <v>671</v>
      </c>
      <c r="B440" s="376">
        <v>14830</v>
      </c>
      <c r="C440" s="376">
        <v>14830</v>
      </c>
      <c r="D440" s="376" t="s">
        <v>839</v>
      </c>
      <c r="E440" s="376">
        <v>14830</v>
      </c>
      <c r="F440" s="376" t="s">
        <v>839</v>
      </c>
      <c r="G440" s="376" t="s">
        <v>839</v>
      </c>
      <c r="H440" s="376" t="s">
        <v>839</v>
      </c>
      <c r="I440" s="376">
        <v>831</v>
      </c>
      <c r="J440" s="376">
        <v>771</v>
      </c>
      <c r="K440" s="376">
        <v>45</v>
      </c>
      <c r="L440" s="376">
        <v>305</v>
      </c>
      <c r="M440" s="376">
        <v>33</v>
      </c>
      <c r="N440" s="376">
        <v>33</v>
      </c>
      <c r="O440" s="376">
        <v>100</v>
      </c>
      <c r="P440" s="376">
        <v>11</v>
      </c>
      <c r="Q440" s="376">
        <v>6</v>
      </c>
      <c r="R440" s="376">
        <v>2</v>
      </c>
      <c r="S440" s="376">
        <v>152</v>
      </c>
      <c r="T440" s="376">
        <v>84</v>
      </c>
      <c r="U440" s="376" t="s">
        <v>839</v>
      </c>
      <c r="V440" s="376">
        <v>37</v>
      </c>
      <c r="W440" s="381" t="s">
        <v>672</v>
      </c>
    </row>
    <row r="441" spans="1:23" s="376" customFormat="1" ht="9.75" customHeight="1" x14ac:dyDescent="0.15">
      <c r="A441" s="756" t="s">
        <v>840</v>
      </c>
      <c r="B441" s="376">
        <v>11421</v>
      </c>
      <c r="C441" s="376">
        <v>11421</v>
      </c>
      <c r="D441" s="376" t="s">
        <v>839</v>
      </c>
      <c r="E441" s="376">
        <v>11421</v>
      </c>
      <c r="F441" s="376" t="s">
        <v>839</v>
      </c>
      <c r="G441" s="376" t="s">
        <v>839</v>
      </c>
      <c r="H441" s="376" t="s">
        <v>839</v>
      </c>
      <c r="I441" s="376">
        <v>677</v>
      </c>
      <c r="J441" s="376">
        <v>610</v>
      </c>
      <c r="K441" s="376">
        <v>26</v>
      </c>
      <c r="L441" s="376">
        <v>139</v>
      </c>
      <c r="M441" s="376">
        <v>51</v>
      </c>
      <c r="N441" s="376">
        <v>57</v>
      </c>
      <c r="O441" s="376">
        <v>77</v>
      </c>
      <c r="P441" s="376">
        <v>6</v>
      </c>
      <c r="Q441" s="376">
        <v>2</v>
      </c>
      <c r="R441" s="376">
        <v>17</v>
      </c>
      <c r="S441" s="376">
        <v>143</v>
      </c>
      <c r="T441" s="376">
        <v>91</v>
      </c>
      <c r="U441" s="376">
        <v>1</v>
      </c>
      <c r="V441" s="376">
        <v>38</v>
      </c>
      <c r="W441" s="381" t="s">
        <v>841</v>
      </c>
    </row>
    <row r="442" spans="1:23" s="376" customFormat="1" ht="6.75" customHeight="1" x14ac:dyDescent="0.15">
      <c r="A442" s="787"/>
      <c r="W442" s="381"/>
    </row>
    <row r="443" spans="1:23" s="376" customFormat="1" ht="9.75" customHeight="1" x14ac:dyDescent="0.15">
      <c r="A443" s="756" t="s">
        <v>842</v>
      </c>
      <c r="B443" s="376">
        <v>14830</v>
      </c>
      <c r="C443" s="376">
        <v>14830</v>
      </c>
      <c r="D443" s="376" t="s">
        <v>839</v>
      </c>
      <c r="E443" s="376">
        <v>14830</v>
      </c>
      <c r="F443" s="376" t="s">
        <v>839</v>
      </c>
      <c r="G443" s="376" t="s">
        <v>839</v>
      </c>
      <c r="H443" s="376" t="s">
        <v>839</v>
      </c>
      <c r="I443" s="376">
        <v>807</v>
      </c>
      <c r="J443" s="376">
        <v>755</v>
      </c>
      <c r="K443" s="376">
        <v>32</v>
      </c>
      <c r="L443" s="376">
        <v>282</v>
      </c>
      <c r="M443" s="376">
        <v>43</v>
      </c>
      <c r="N443" s="376">
        <v>44</v>
      </c>
      <c r="O443" s="376">
        <v>98</v>
      </c>
      <c r="P443" s="376">
        <v>8</v>
      </c>
      <c r="Q443" s="376">
        <v>4</v>
      </c>
      <c r="R443" s="376">
        <v>9</v>
      </c>
      <c r="S443" s="376">
        <v>161</v>
      </c>
      <c r="T443" s="376">
        <v>74</v>
      </c>
      <c r="U443" s="376" t="s">
        <v>839</v>
      </c>
      <c r="V443" s="376">
        <v>30</v>
      </c>
      <c r="W443" s="381" t="s">
        <v>673</v>
      </c>
    </row>
    <row r="444" spans="1:23" s="376" customFormat="1" ht="9.75" customHeight="1" x14ac:dyDescent="0.15">
      <c r="A444" s="756" t="s">
        <v>843</v>
      </c>
      <c r="B444" s="376">
        <v>11421</v>
      </c>
      <c r="C444" s="376">
        <v>11421</v>
      </c>
      <c r="D444" s="376" t="s">
        <v>839</v>
      </c>
      <c r="E444" s="376">
        <v>11421</v>
      </c>
      <c r="F444" s="376" t="s">
        <v>839</v>
      </c>
      <c r="G444" s="376" t="s">
        <v>839</v>
      </c>
      <c r="H444" s="376" t="s">
        <v>839</v>
      </c>
      <c r="I444" s="376">
        <v>683</v>
      </c>
      <c r="J444" s="376">
        <v>608</v>
      </c>
      <c r="K444" s="376">
        <v>26</v>
      </c>
      <c r="L444" s="376">
        <v>120</v>
      </c>
      <c r="M444" s="376">
        <v>57</v>
      </c>
      <c r="N444" s="376">
        <v>61</v>
      </c>
      <c r="O444" s="376">
        <v>71</v>
      </c>
      <c r="P444" s="376">
        <v>12</v>
      </c>
      <c r="Q444" s="376">
        <v>4</v>
      </c>
      <c r="R444" s="376">
        <v>13</v>
      </c>
      <c r="S444" s="376">
        <v>148</v>
      </c>
      <c r="T444" s="376">
        <v>95</v>
      </c>
      <c r="U444" s="376">
        <v>1</v>
      </c>
      <c r="V444" s="376">
        <v>45</v>
      </c>
      <c r="W444" s="381" t="s">
        <v>844</v>
      </c>
    </row>
    <row r="445" spans="1:23" s="376" customFormat="1" ht="6.75" customHeight="1" x14ac:dyDescent="0.15">
      <c r="A445" s="787"/>
      <c r="W445" s="381"/>
    </row>
    <row r="446" spans="1:23" s="376" customFormat="1" ht="9.75" customHeight="1" x14ac:dyDescent="0.15">
      <c r="A446" s="756" t="s">
        <v>845</v>
      </c>
      <c r="B446" s="376" t="s">
        <v>839</v>
      </c>
      <c r="C446" s="376" t="s">
        <v>839</v>
      </c>
      <c r="D446" s="376" t="s">
        <v>839</v>
      </c>
      <c r="E446" s="376" t="s">
        <v>839</v>
      </c>
      <c r="F446" s="376" t="s">
        <v>839</v>
      </c>
      <c r="G446" s="376" t="s">
        <v>839</v>
      </c>
      <c r="H446" s="376" t="s">
        <v>839</v>
      </c>
      <c r="I446" s="376">
        <v>176</v>
      </c>
      <c r="J446" s="376">
        <v>167</v>
      </c>
      <c r="K446" s="376">
        <v>4</v>
      </c>
      <c r="L446" s="376">
        <v>50</v>
      </c>
      <c r="M446" s="376">
        <v>10</v>
      </c>
      <c r="N446" s="376">
        <v>16</v>
      </c>
      <c r="O446" s="376">
        <v>21</v>
      </c>
      <c r="P446" s="376" t="s">
        <v>839</v>
      </c>
      <c r="Q446" s="376" t="s">
        <v>839</v>
      </c>
      <c r="R446" s="376">
        <v>7</v>
      </c>
      <c r="S446" s="376">
        <v>38</v>
      </c>
      <c r="T446" s="376">
        <v>21</v>
      </c>
      <c r="U446" s="376" t="s">
        <v>839</v>
      </c>
      <c r="V446" s="376">
        <v>4</v>
      </c>
      <c r="W446" s="381" t="s">
        <v>677</v>
      </c>
    </row>
    <row r="447" spans="1:23" s="376" customFormat="1" ht="9.75" customHeight="1" x14ac:dyDescent="0.15">
      <c r="A447" s="756" t="s">
        <v>674</v>
      </c>
      <c r="B447" s="376">
        <v>4280</v>
      </c>
      <c r="C447" s="376">
        <v>4280</v>
      </c>
      <c r="D447" s="376" t="s">
        <v>839</v>
      </c>
      <c r="E447" s="376">
        <v>4280</v>
      </c>
      <c r="F447" s="376" t="s">
        <v>839</v>
      </c>
      <c r="G447" s="376" t="s">
        <v>839</v>
      </c>
      <c r="H447" s="376" t="s">
        <v>839</v>
      </c>
      <c r="I447" s="376">
        <v>162</v>
      </c>
      <c r="J447" s="376">
        <v>150</v>
      </c>
      <c r="K447" s="376">
        <v>4</v>
      </c>
      <c r="L447" s="376">
        <v>35</v>
      </c>
      <c r="M447" s="376">
        <v>15</v>
      </c>
      <c r="N447" s="376">
        <v>10</v>
      </c>
      <c r="O447" s="376">
        <v>14</v>
      </c>
      <c r="P447" s="376">
        <v>4</v>
      </c>
      <c r="Q447" s="376" t="s">
        <v>839</v>
      </c>
      <c r="R447" s="376">
        <v>10</v>
      </c>
      <c r="S447" s="376">
        <v>31</v>
      </c>
      <c r="T447" s="376">
        <v>27</v>
      </c>
      <c r="U447" s="376" t="s">
        <v>839</v>
      </c>
      <c r="V447" s="376">
        <v>4</v>
      </c>
      <c r="W447" s="381" t="s">
        <v>89</v>
      </c>
    </row>
    <row r="448" spans="1:23" s="376" customFormat="1" ht="9.75" customHeight="1" x14ac:dyDescent="0.15">
      <c r="A448" s="756" t="s">
        <v>675</v>
      </c>
      <c r="B448" s="376">
        <v>7141</v>
      </c>
      <c r="C448" s="376">
        <v>7141</v>
      </c>
      <c r="D448" s="376" t="s">
        <v>839</v>
      </c>
      <c r="E448" s="376">
        <v>7141</v>
      </c>
      <c r="F448" s="376" t="s">
        <v>839</v>
      </c>
      <c r="G448" s="376" t="s">
        <v>839</v>
      </c>
      <c r="H448" s="376" t="s">
        <v>839</v>
      </c>
      <c r="I448" s="376">
        <v>141</v>
      </c>
      <c r="J448" s="376">
        <v>122</v>
      </c>
      <c r="K448" s="376">
        <v>9</v>
      </c>
      <c r="L448" s="376">
        <v>14</v>
      </c>
      <c r="M448" s="376">
        <v>14</v>
      </c>
      <c r="N448" s="376">
        <v>14</v>
      </c>
      <c r="O448" s="376">
        <v>18</v>
      </c>
      <c r="P448" s="376" t="s">
        <v>839</v>
      </c>
      <c r="Q448" s="376">
        <v>1</v>
      </c>
      <c r="R448" s="376" t="s">
        <v>839</v>
      </c>
      <c r="S448" s="376">
        <v>40</v>
      </c>
      <c r="T448" s="376">
        <v>12</v>
      </c>
      <c r="U448" s="376" t="s">
        <v>839</v>
      </c>
      <c r="V448" s="376">
        <v>11</v>
      </c>
      <c r="W448" s="381" t="s">
        <v>90</v>
      </c>
    </row>
    <row r="449" spans="1:23" s="376" customFormat="1" ht="9.75" customHeight="1" x14ac:dyDescent="0.15">
      <c r="A449" s="756" t="s">
        <v>676</v>
      </c>
      <c r="B449" s="376" t="s">
        <v>839</v>
      </c>
      <c r="C449" s="376" t="s">
        <v>839</v>
      </c>
      <c r="D449" s="376" t="s">
        <v>839</v>
      </c>
      <c r="E449" s="376" t="s">
        <v>839</v>
      </c>
      <c r="F449" s="376" t="s">
        <v>839</v>
      </c>
      <c r="G449" s="376" t="s">
        <v>839</v>
      </c>
      <c r="H449" s="376" t="s">
        <v>839</v>
      </c>
      <c r="I449" s="376">
        <v>198</v>
      </c>
      <c r="J449" s="376">
        <v>171</v>
      </c>
      <c r="K449" s="376">
        <v>9</v>
      </c>
      <c r="L449" s="376">
        <v>40</v>
      </c>
      <c r="M449" s="376">
        <v>12</v>
      </c>
      <c r="N449" s="376">
        <v>17</v>
      </c>
      <c r="O449" s="376">
        <v>24</v>
      </c>
      <c r="P449" s="376">
        <v>2</v>
      </c>
      <c r="Q449" s="376">
        <v>1</v>
      </c>
      <c r="R449" s="376" t="s">
        <v>839</v>
      </c>
      <c r="S449" s="376">
        <v>34</v>
      </c>
      <c r="T449" s="376">
        <v>31</v>
      </c>
      <c r="U449" s="376">
        <v>1</v>
      </c>
      <c r="V449" s="376">
        <v>19</v>
      </c>
      <c r="W449" s="381" t="s">
        <v>91</v>
      </c>
    </row>
    <row r="450" spans="1:23" s="376" customFormat="1" ht="9.75" customHeight="1" x14ac:dyDescent="0.15">
      <c r="A450" s="756" t="s">
        <v>846</v>
      </c>
      <c r="B450" s="376" t="s">
        <v>839</v>
      </c>
      <c r="C450" s="376" t="s">
        <v>839</v>
      </c>
      <c r="D450" s="376" t="s">
        <v>839</v>
      </c>
      <c r="E450" s="376" t="s">
        <v>839</v>
      </c>
      <c r="F450" s="376" t="s">
        <v>839</v>
      </c>
      <c r="G450" s="376" t="s">
        <v>839</v>
      </c>
      <c r="H450" s="376" t="s">
        <v>839</v>
      </c>
      <c r="I450" s="376">
        <v>182</v>
      </c>
      <c r="J450" s="376">
        <v>165</v>
      </c>
      <c r="K450" s="376">
        <v>4</v>
      </c>
      <c r="L450" s="376">
        <v>31</v>
      </c>
      <c r="M450" s="376">
        <v>16</v>
      </c>
      <c r="N450" s="376">
        <v>20</v>
      </c>
      <c r="O450" s="376">
        <v>15</v>
      </c>
      <c r="P450" s="376">
        <v>6</v>
      </c>
      <c r="Q450" s="376">
        <v>2</v>
      </c>
      <c r="R450" s="376">
        <v>3</v>
      </c>
      <c r="S450" s="376">
        <v>43</v>
      </c>
      <c r="T450" s="376">
        <v>25</v>
      </c>
      <c r="U450" s="376" t="s">
        <v>839</v>
      </c>
      <c r="V450" s="376">
        <v>11</v>
      </c>
      <c r="W450" s="381" t="s">
        <v>847</v>
      </c>
    </row>
    <row r="451" spans="1:23" s="376" customFormat="1" ht="6.75" customHeight="1" x14ac:dyDescent="0.15">
      <c r="A451" s="787"/>
      <c r="W451" s="381"/>
    </row>
    <row r="452" spans="1:23" s="376" customFormat="1" ht="9.75" customHeight="1" x14ac:dyDescent="0.15">
      <c r="A452" s="756" t="s">
        <v>848</v>
      </c>
      <c r="B452" s="376" t="s">
        <v>839</v>
      </c>
      <c r="C452" s="376" t="s">
        <v>839</v>
      </c>
      <c r="D452" s="376" t="s">
        <v>839</v>
      </c>
      <c r="E452" s="376" t="s">
        <v>839</v>
      </c>
      <c r="F452" s="376" t="s">
        <v>839</v>
      </c>
      <c r="G452" s="376" t="s">
        <v>839</v>
      </c>
      <c r="H452" s="376" t="s">
        <v>839</v>
      </c>
      <c r="I452" s="376">
        <v>68</v>
      </c>
      <c r="J452" s="376">
        <v>64</v>
      </c>
      <c r="K452" s="376" t="s">
        <v>839</v>
      </c>
      <c r="L452" s="376">
        <v>25</v>
      </c>
      <c r="M452" s="376" t="s">
        <v>839</v>
      </c>
      <c r="N452" s="376">
        <v>5</v>
      </c>
      <c r="O452" s="376">
        <v>17</v>
      </c>
      <c r="P452" s="376" t="s">
        <v>839</v>
      </c>
      <c r="Q452" s="376" t="s">
        <v>839</v>
      </c>
      <c r="R452" s="376" t="s">
        <v>839</v>
      </c>
      <c r="S452" s="376">
        <v>7</v>
      </c>
      <c r="T452" s="376">
        <v>10</v>
      </c>
      <c r="U452" s="376" t="s">
        <v>839</v>
      </c>
      <c r="V452" s="376">
        <v>1</v>
      </c>
      <c r="W452" s="381" t="s">
        <v>689</v>
      </c>
    </row>
    <row r="453" spans="1:23" s="376" customFormat="1" ht="9.75" customHeight="1" x14ac:dyDescent="0.15">
      <c r="A453" s="756" t="s">
        <v>678</v>
      </c>
      <c r="B453" s="376" t="s">
        <v>839</v>
      </c>
      <c r="C453" s="376" t="s">
        <v>839</v>
      </c>
      <c r="D453" s="376" t="s">
        <v>839</v>
      </c>
      <c r="E453" s="376" t="s">
        <v>839</v>
      </c>
      <c r="F453" s="376" t="s">
        <v>839</v>
      </c>
      <c r="G453" s="376" t="s">
        <v>839</v>
      </c>
      <c r="H453" s="376" t="s">
        <v>839</v>
      </c>
      <c r="I453" s="376">
        <v>55</v>
      </c>
      <c r="J453" s="376">
        <v>54</v>
      </c>
      <c r="K453" s="376" t="s">
        <v>839</v>
      </c>
      <c r="L453" s="376">
        <v>12</v>
      </c>
      <c r="M453" s="376">
        <v>8</v>
      </c>
      <c r="N453" s="376">
        <v>9</v>
      </c>
      <c r="O453" s="376">
        <v>1</v>
      </c>
      <c r="P453" s="376" t="s">
        <v>839</v>
      </c>
      <c r="Q453" s="376" t="s">
        <v>839</v>
      </c>
      <c r="R453" s="376">
        <v>7</v>
      </c>
      <c r="S453" s="376">
        <v>13</v>
      </c>
      <c r="T453" s="376">
        <v>4</v>
      </c>
      <c r="U453" s="376" t="s">
        <v>839</v>
      </c>
      <c r="V453" s="376">
        <v>1</v>
      </c>
      <c r="W453" s="381" t="s">
        <v>77</v>
      </c>
    </row>
    <row r="454" spans="1:23" s="376" customFormat="1" ht="9.75" customHeight="1" x14ac:dyDescent="0.15">
      <c r="A454" s="756" t="s">
        <v>679</v>
      </c>
      <c r="B454" s="376" t="s">
        <v>839</v>
      </c>
      <c r="C454" s="376" t="s">
        <v>839</v>
      </c>
      <c r="D454" s="376" t="s">
        <v>839</v>
      </c>
      <c r="E454" s="376" t="s">
        <v>839</v>
      </c>
      <c r="F454" s="376" t="s">
        <v>839</v>
      </c>
      <c r="G454" s="376" t="s">
        <v>839</v>
      </c>
      <c r="H454" s="376" t="s">
        <v>839</v>
      </c>
      <c r="I454" s="376">
        <v>53</v>
      </c>
      <c r="J454" s="376">
        <v>49</v>
      </c>
      <c r="K454" s="376">
        <v>4</v>
      </c>
      <c r="L454" s="376">
        <v>13</v>
      </c>
      <c r="M454" s="376">
        <v>2</v>
      </c>
      <c r="N454" s="376">
        <v>2</v>
      </c>
      <c r="O454" s="376">
        <v>3</v>
      </c>
      <c r="P454" s="376" t="s">
        <v>839</v>
      </c>
      <c r="Q454" s="376" t="s">
        <v>839</v>
      </c>
      <c r="R454" s="376" t="s">
        <v>839</v>
      </c>
      <c r="S454" s="376">
        <v>18</v>
      </c>
      <c r="T454" s="376">
        <v>7</v>
      </c>
      <c r="U454" s="376" t="s">
        <v>839</v>
      </c>
      <c r="V454" s="376">
        <v>2</v>
      </c>
      <c r="W454" s="381" t="s">
        <v>78</v>
      </c>
    </row>
    <row r="455" spans="1:23" s="376" customFormat="1" ht="9.75" customHeight="1" x14ac:dyDescent="0.15">
      <c r="A455" s="756" t="s">
        <v>680</v>
      </c>
      <c r="B455" s="376" t="s">
        <v>839</v>
      </c>
      <c r="C455" s="376" t="s">
        <v>839</v>
      </c>
      <c r="D455" s="376" t="s">
        <v>839</v>
      </c>
      <c r="E455" s="376" t="s">
        <v>839</v>
      </c>
      <c r="F455" s="376" t="s">
        <v>839</v>
      </c>
      <c r="G455" s="376" t="s">
        <v>839</v>
      </c>
      <c r="H455" s="376" t="s">
        <v>839</v>
      </c>
      <c r="I455" s="376">
        <v>57</v>
      </c>
      <c r="J455" s="376">
        <v>53</v>
      </c>
      <c r="K455" s="376" t="s">
        <v>839</v>
      </c>
      <c r="L455" s="376">
        <v>15</v>
      </c>
      <c r="M455" s="376">
        <v>8</v>
      </c>
      <c r="N455" s="376">
        <v>4</v>
      </c>
      <c r="O455" s="376">
        <v>4</v>
      </c>
      <c r="P455" s="376" t="s">
        <v>839</v>
      </c>
      <c r="Q455" s="376" t="s">
        <v>839</v>
      </c>
      <c r="R455" s="376">
        <v>4</v>
      </c>
      <c r="S455" s="376">
        <v>12</v>
      </c>
      <c r="T455" s="376">
        <v>6</v>
      </c>
      <c r="U455" s="376" t="s">
        <v>839</v>
      </c>
      <c r="V455" s="376">
        <v>1</v>
      </c>
      <c r="W455" s="381" t="s">
        <v>79</v>
      </c>
    </row>
    <row r="456" spans="1:23" s="376" customFormat="1" ht="9.75" customHeight="1" x14ac:dyDescent="0.15">
      <c r="A456" s="756" t="s">
        <v>681</v>
      </c>
      <c r="B456" s="376" t="s">
        <v>839</v>
      </c>
      <c r="C456" s="376" t="s">
        <v>839</v>
      </c>
      <c r="D456" s="376" t="s">
        <v>839</v>
      </c>
      <c r="E456" s="376" t="s">
        <v>839</v>
      </c>
      <c r="F456" s="376" t="s">
        <v>839</v>
      </c>
      <c r="G456" s="376" t="s">
        <v>839</v>
      </c>
      <c r="H456" s="376" t="s">
        <v>839</v>
      </c>
      <c r="I456" s="376">
        <v>59</v>
      </c>
      <c r="J456" s="376">
        <v>54</v>
      </c>
      <c r="K456" s="376">
        <v>4</v>
      </c>
      <c r="L456" s="376">
        <v>19</v>
      </c>
      <c r="M456" s="376">
        <v>2</v>
      </c>
      <c r="N456" s="376">
        <v>6</v>
      </c>
      <c r="O456" s="376">
        <v>5</v>
      </c>
      <c r="P456" s="376">
        <v>2</v>
      </c>
      <c r="Q456" s="376" t="s">
        <v>839</v>
      </c>
      <c r="R456" s="376" t="s">
        <v>839</v>
      </c>
      <c r="S456" s="376">
        <v>8</v>
      </c>
      <c r="T456" s="376">
        <v>8</v>
      </c>
      <c r="U456" s="376" t="s">
        <v>839</v>
      </c>
      <c r="V456" s="376">
        <v>1</v>
      </c>
      <c r="W456" s="381" t="s">
        <v>92</v>
      </c>
    </row>
    <row r="457" spans="1:23" s="376" customFormat="1" ht="9.75" customHeight="1" x14ac:dyDescent="0.15">
      <c r="A457" s="756" t="s">
        <v>682</v>
      </c>
      <c r="B457" s="376">
        <v>4280</v>
      </c>
      <c r="C457" s="376">
        <v>4280</v>
      </c>
      <c r="D457" s="376" t="s">
        <v>839</v>
      </c>
      <c r="E457" s="376">
        <v>4280</v>
      </c>
      <c r="F457" s="376" t="s">
        <v>839</v>
      </c>
      <c r="G457" s="376" t="s">
        <v>839</v>
      </c>
      <c r="H457" s="376" t="s">
        <v>839</v>
      </c>
      <c r="I457" s="376">
        <v>46</v>
      </c>
      <c r="J457" s="376">
        <v>43</v>
      </c>
      <c r="K457" s="376" t="s">
        <v>839</v>
      </c>
      <c r="L457" s="376">
        <v>1</v>
      </c>
      <c r="M457" s="376">
        <v>5</v>
      </c>
      <c r="N457" s="376" t="s">
        <v>839</v>
      </c>
      <c r="O457" s="376">
        <v>5</v>
      </c>
      <c r="P457" s="376">
        <v>2</v>
      </c>
      <c r="Q457" s="376" t="s">
        <v>839</v>
      </c>
      <c r="R457" s="376">
        <v>6</v>
      </c>
      <c r="S457" s="376">
        <v>11</v>
      </c>
      <c r="T457" s="376">
        <v>13</v>
      </c>
      <c r="U457" s="376" t="s">
        <v>839</v>
      </c>
      <c r="V457" s="376">
        <v>2</v>
      </c>
      <c r="W457" s="381" t="s">
        <v>93</v>
      </c>
    </row>
    <row r="458" spans="1:23" s="376" customFormat="1" ht="9.75" customHeight="1" x14ac:dyDescent="0.15">
      <c r="A458" s="756" t="s">
        <v>683</v>
      </c>
      <c r="B458" s="376" t="s">
        <v>839</v>
      </c>
      <c r="C458" s="376" t="s">
        <v>839</v>
      </c>
      <c r="D458" s="376" t="s">
        <v>839</v>
      </c>
      <c r="E458" s="376" t="s">
        <v>839</v>
      </c>
      <c r="F458" s="376" t="s">
        <v>839</v>
      </c>
      <c r="G458" s="376" t="s">
        <v>839</v>
      </c>
      <c r="H458" s="376" t="s">
        <v>839</v>
      </c>
      <c r="I458" s="376">
        <v>38</v>
      </c>
      <c r="J458" s="376">
        <v>33</v>
      </c>
      <c r="K458" s="376" t="s">
        <v>839</v>
      </c>
      <c r="L458" s="376">
        <v>10</v>
      </c>
      <c r="M458" s="376">
        <v>4</v>
      </c>
      <c r="N458" s="376" t="s">
        <v>839</v>
      </c>
      <c r="O458" s="376">
        <v>3</v>
      </c>
      <c r="P458" s="376" t="s">
        <v>839</v>
      </c>
      <c r="Q458" s="376" t="s">
        <v>839</v>
      </c>
      <c r="R458" s="376" t="s">
        <v>839</v>
      </c>
      <c r="S458" s="376">
        <v>8</v>
      </c>
      <c r="T458" s="376">
        <v>8</v>
      </c>
      <c r="U458" s="376" t="s">
        <v>839</v>
      </c>
      <c r="V458" s="376">
        <v>2</v>
      </c>
      <c r="W458" s="381" t="s">
        <v>94</v>
      </c>
    </row>
    <row r="459" spans="1:23" s="376" customFormat="1" ht="9.75" customHeight="1" x14ac:dyDescent="0.15">
      <c r="A459" s="756" t="s">
        <v>684</v>
      </c>
      <c r="B459" s="376">
        <v>4141</v>
      </c>
      <c r="C459" s="376">
        <v>4141</v>
      </c>
      <c r="D459" s="376" t="s">
        <v>839</v>
      </c>
      <c r="E459" s="376">
        <v>4141</v>
      </c>
      <c r="F459" s="376" t="s">
        <v>839</v>
      </c>
      <c r="G459" s="376" t="s">
        <v>839</v>
      </c>
      <c r="H459" s="376" t="s">
        <v>839</v>
      </c>
      <c r="I459" s="376">
        <v>48</v>
      </c>
      <c r="J459" s="376">
        <v>39</v>
      </c>
      <c r="K459" s="376" t="s">
        <v>839</v>
      </c>
      <c r="L459" s="376">
        <v>2</v>
      </c>
      <c r="M459" s="376">
        <v>4</v>
      </c>
      <c r="N459" s="376" t="s">
        <v>839</v>
      </c>
      <c r="O459" s="376">
        <v>13</v>
      </c>
      <c r="P459" s="376" t="s">
        <v>839</v>
      </c>
      <c r="Q459" s="376">
        <v>1</v>
      </c>
      <c r="R459" s="376" t="s">
        <v>839</v>
      </c>
      <c r="S459" s="376">
        <v>19</v>
      </c>
      <c r="T459" s="376" t="s">
        <v>839</v>
      </c>
      <c r="U459" s="376" t="s">
        <v>839</v>
      </c>
      <c r="V459" s="376">
        <v>7</v>
      </c>
      <c r="W459" s="381" t="s">
        <v>95</v>
      </c>
    </row>
    <row r="460" spans="1:23" s="376" customFormat="1" ht="9.75" customHeight="1" x14ac:dyDescent="0.15">
      <c r="A460" s="756" t="s">
        <v>685</v>
      </c>
      <c r="B460" s="376">
        <v>3000</v>
      </c>
      <c r="C460" s="376">
        <v>3000</v>
      </c>
      <c r="D460" s="376" t="s">
        <v>839</v>
      </c>
      <c r="E460" s="376">
        <v>3000</v>
      </c>
      <c r="F460" s="376" t="s">
        <v>839</v>
      </c>
      <c r="G460" s="376" t="s">
        <v>839</v>
      </c>
      <c r="H460" s="376" t="s">
        <v>839</v>
      </c>
      <c r="I460" s="376">
        <v>55</v>
      </c>
      <c r="J460" s="376">
        <v>50</v>
      </c>
      <c r="K460" s="376">
        <v>9</v>
      </c>
      <c r="L460" s="376">
        <v>2</v>
      </c>
      <c r="M460" s="376">
        <v>6</v>
      </c>
      <c r="N460" s="376">
        <v>14</v>
      </c>
      <c r="O460" s="376">
        <v>2</v>
      </c>
      <c r="P460" s="376" t="s">
        <v>839</v>
      </c>
      <c r="Q460" s="376" t="s">
        <v>839</v>
      </c>
      <c r="R460" s="376" t="s">
        <v>839</v>
      </c>
      <c r="S460" s="376">
        <v>13</v>
      </c>
      <c r="T460" s="376">
        <v>4</v>
      </c>
      <c r="U460" s="376" t="s">
        <v>839</v>
      </c>
      <c r="V460" s="376">
        <v>2</v>
      </c>
      <c r="W460" s="381" t="s">
        <v>96</v>
      </c>
    </row>
    <row r="461" spans="1:23" s="376" customFormat="1" ht="9.75" customHeight="1" x14ac:dyDescent="0.15">
      <c r="A461" s="756" t="s">
        <v>686</v>
      </c>
      <c r="B461" s="376" t="s">
        <v>839</v>
      </c>
      <c r="C461" s="376" t="s">
        <v>839</v>
      </c>
      <c r="D461" s="376" t="s">
        <v>839</v>
      </c>
      <c r="E461" s="376" t="s">
        <v>839</v>
      </c>
      <c r="F461" s="376" t="s">
        <v>839</v>
      </c>
      <c r="G461" s="376" t="s">
        <v>839</v>
      </c>
      <c r="H461" s="376" t="s">
        <v>839</v>
      </c>
      <c r="I461" s="376">
        <v>50</v>
      </c>
      <c r="J461" s="376">
        <v>43</v>
      </c>
      <c r="K461" s="376" t="s">
        <v>839</v>
      </c>
      <c r="L461" s="376">
        <v>8</v>
      </c>
      <c r="M461" s="376">
        <v>1</v>
      </c>
      <c r="N461" s="376">
        <v>1</v>
      </c>
      <c r="O461" s="376">
        <v>13</v>
      </c>
      <c r="P461" s="376" t="s">
        <v>839</v>
      </c>
      <c r="Q461" s="376" t="s">
        <v>839</v>
      </c>
      <c r="R461" s="376" t="s">
        <v>839</v>
      </c>
      <c r="S461" s="376">
        <v>10</v>
      </c>
      <c r="T461" s="376">
        <v>10</v>
      </c>
      <c r="U461" s="376" t="s">
        <v>839</v>
      </c>
      <c r="V461" s="376">
        <v>7</v>
      </c>
      <c r="W461" s="381" t="s">
        <v>80</v>
      </c>
    </row>
    <row r="462" spans="1:23" s="376" customFormat="1" ht="9.75" customHeight="1" x14ac:dyDescent="0.15">
      <c r="A462" s="756" t="s">
        <v>687</v>
      </c>
      <c r="B462" s="376" t="s">
        <v>839</v>
      </c>
      <c r="C462" s="376" t="s">
        <v>839</v>
      </c>
      <c r="D462" s="376" t="s">
        <v>839</v>
      </c>
      <c r="E462" s="376" t="s">
        <v>839</v>
      </c>
      <c r="F462" s="376" t="s">
        <v>839</v>
      </c>
      <c r="G462" s="376" t="s">
        <v>839</v>
      </c>
      <c r="H462" s="376" t="s">
        <v>839</v>
      </c>
      <c r="I462" s="376">
        <v>59</v>
      </c>
      <c r="J462" s="376">
        <v>54</v>
      </c>
      <c r="K462" s="376">
        <v>5</v>
      </c>
      <c r="L462" s="376">
        <v>10</v>
      </c>
      <c r="M462" s="376">
        <v>6</v>
      </c>
      <c r="N462" s="376" t="s">
        <v>839</v>
      </c>
      <c r="O462" s="376">
        <v>6</v>
      </c>
      <c r="P462" s="376">
        <v>2</v>
      </c>
      <c r="Q462" s="376" t="s">
        <v>839</v>
      </c>
      <c r="R462" s="376" t="s">
        <v>839</v>
      </c>
      <c r="S462" s="376">
        <v>14</v>
      </c>
      <c r="T462" s="376">
        <v>10</v>
      </c>
      <c r="U462" s="376">
        <v>1</v>
      </c>
      <c r="V462" s="376">
        <v>2</v>
      </c>
      <c r="W462" s="381" t="s">
        <v>81</v>
      </c>
    </row>
    <row r="463" spans="1:23" s="376" customFormat="1" ht="9.75" customHeight="1" x14ac:dyDescent="0.15">
      <c r="A463" s="756" t="s">
        <v>688</v>
      </c>
      <c r="B463" s="376" t="s">
        <v>839</v>
      </c>
      <c r="C463" s="376" t="s">
        <v>839</v>
      </c>
      <c r="D463" s="376" t="s">
        <v>839</v>
      </c>
      <c r="E463" s="376" t="s">
        <v>839</v>
      </c>
      <c r="F463" s="376" t="s">
        <v>839</v>
      </c>
      <c r="G463" s="376" t="s">
        <v>839</v>
      </c>
      <c r="H463" s="376" t="s">
        <v>839</v>
      </c>
      <c r="I463" s="376">
        <v>89</v>
      </c>
      <c r="J463" s="376">
        <v>74</v>
      </c>
      <c r="K463" s="376">
        <v>4</v>
      </c>
      <c r="L463" s="376">
        <v>22</v>
      </c>
      <c r="M463" s="376">
        <v>5</v>
      </c>
      <c r="N463" s="376">
        <v>16</v>
      </c>
      <c r="O463" s="376">
        <v>5</v>
      </c>
      <c r="P463" s="376" t="s">
        <v>839</v>
      </c>
      <c r="Q463" s="376">
        <v>1</v>
      </c>
      <c r="R463" s="376" t="s">
        <v>839</v>
      </c>
      <c r="S463" s="376">
        <v>10</v>
      </c>
      <c r="T463" s="376">
        <v>11</v>
      </c>
      <c r="U463" s="376" t="s">
        <v>839</v>
      </c>
      <c r="V463" s="376">
        <v>10</v>
      </c>
      <c r="W463" s="381" t="s">
        <v>82</v>
      </c>
    </row>
    <row r="464" spans="1:23" s="376" customFormat="1" ht="9.75" customHeight="1" x14ac:dyDescent="0.15">
      <c r="A464" s="756" t="s">
        <v>849</v>
      </c>
      <c r="B464" s="376" t="s">
        <v>839</v>
      </c>
      <c r="C464" s="376" t="s">
        <v>839</v>
      </c>
      <c r="D464" s="376" t="s">
        <v>839</v>
      </c>
      <c r="E464" s="376" t="s">
        <v>839</v>
      </c>
      <c r="F464" s="376" t="s">
        <v>839</v>
      </c>
      <c r="G464" s="376" t="s">
        <v>839</v>
      </c>
      <c r="H464" s="376" t="s">
        <v>839</v>
      </c>
      <c r="I464" s="376">
        <v>51</v>
      </c>
      <c r="J464" s="376">
        <v>48</v>
      </c>
      <c r="K464" s="376" t="s">
        <v>839</v>
      </c>
      <c r="L464" s="376">
        <v>3</v>
      </c>
      <c r="M464" s="376">
        <v>10</v>
      </c>
      <c r="N464" s="376">
        <v>8</v>
      </c>
      <c r="O464" s="376">
        <v>7</v>
      </c>
      <c r="P464" s="376">
        <v>3</v>
      </c>
      <c r="Q464" s="376" t="s">
        <v>839</v>
      </c>
      <c r="R464" s="376" t="s">
        <v>839</v>
      </c>
      <c r="S464" s="376">
        <v>11</v>
      </c>
      <c r="T464" s="376">
        <v>6</v>
      </c>
      <c r="U464" s="376" t="s">
        <v>839</v>
      </c>
      <c r="V464" s="376">
        <v>2</v>
      </c>
      <c r="W464" s="381" t="s">
        <v>850</v>
      </c>
    </row>
    <row r="465" spans="1:23" s="376" customFormat="1" ht="9.75" customHeight="1" x14ac:dyDescent="0.15">
      <c r="A465" s="756" t="s">
        <v>690</v>
      </c>
      <c r="B465" s="376" t="s">
        <v>839</v>
      </c>
      <c r="C465" s="376" t="s">
        <v>839</v>
      </c>
      <c r="D465" s="376" t="s">
        <v>839</v>
      </c>
      <c r="E465" s="376" t="s">
        <v>839</v>
      </c>
      <c r="F465" s="376" t="s">
        <v>839</v>
      </c>
      <c r="G465" s="376" t="s">
        <v>839</v>
      </c>
      <c r="H465" s="376" t="s">
        <v>839</v>
      </c>
      <c r="I465" s="376">
        <v>46</v>
      </c>
      <c r="J465" s="376">
        <v>39</v>
      </c>
      <c r="K465" s="376">
        <v>3</v>
      </c>
      <c r="L465" s="376">
        <v>1</v>
      </c>
      <c r="M465" s="376">
        <v>6</v>
      </c>
      <c r="N465" s="376">
        <v>3</v>
      </c>
      <c r="O465" s="376">
        <v>5</v>
      </c>
      <c r="P465" s="376" t="s">
        <v>839</v>
      </c>
      <c r="Q465" s="376">
        <v>1</v>
      </c>
      <c r="R465" s="376" t="s">
        <v>839</v>
      </c>
      <c r="S465" s="376">
        <v>11</v>
      </c>
      <c r="T465" s="376">
        <v>9</v>
      </c>
      <c r="U465" s="376" t="s">
        <v>839</v>
      </c>
      <c r="V465" s="376">
        <v>2</v>
      </c>
      <c r="W465" s="381" t="s">
        <v>77</v>
      </c>
    </row>
    <row r="466" spans="1:23" s="376" customFormat="1" ht="9.75" customHeight="1" x14ac:dyDescent="0.15">
      <c r="A466" s="757" t="s">
        <v>691</v>
      </c>
      <c r="B466" s="380" t="s">
        <v>839</v>
      </c>
      <c r="C466" s="379" t="s">
        <v>839</v>
      </c>
      <c r="D466" s="379" t="s">
        <v>839</v>
      </c>
      <c r="E466" s="379" t="s">
        <v>839</v>
      </c>
      <c r="F466" s="379" t="s">
        <v>839</v>
      </c>
      <c r="G466" s="379" t="s">
        <v>839</v>
      </c>
      <c r="H466" s="379" t="s">
        <v>839</v>
      </c>
      <c r="I466" s="379">
        <v>85</v>
      </c>
      <c r="J466" s="379">
        <v>78</v>
      </c>
      <c r="K466" s="379">
        <v>1</v>
      </c>
      <c r="L466" s="379">
        <v>27</v>
      </c>
      <c r="M466" s="379" t="s">
        <v>839</v>
      </c>
      <c r="N466" s="379">
        <v>9</v>
      </c>
      <c r="O466" s="379">
        <v>3</v>
      </c>
      <c r="P466" s="379">
        <v>3</v>
      </c>
      <c r="Q466" s="379">
        <v>1</v>
      </c>
      <c r="R466" s="379">
        <v>3</v>
      </c>
      <c r="S466" s="379">
        <v>21</v>
      </c>
      <c r="T466" s="379">
        <v>10</v>
      </c>
      <c r="U466" s="379" t="s">
        <v>839</v>
      </c>
      <c r="V466" s="379">
        <v>7</v>
      </c>
      <c r="W466" s="377" t="s">
        <v>78</v>
      </c>
    </row>
    <row r="467" spans="1:23" ht="12" customHeight="1" x14ac:dyDescent="0.15"/>
    <row r="468" spans="1:23" ht="12" customHeight="1" x14ac:dyDescent="0.15"/>
    <row r="469" spans="1:23" ht="12" customHeight="1" x14ac:dyDescent="0.15">
      <c r="K469" s="391" t="s">
        <v>97</v>
      </c>
    </row>
    <row r="470" spans="1:23" s="387" customFormat="1" ht="21" customHeight="1" x14ac:dyDescent="0.15">
      <c r="A470" s="1023" t="s">
        <v>185</v>
      </c>
      <c r="B470" s="390" t="s">
        <v>340</v>
      </c>
      <c r="C470" s="389"/>
      <c r="D470" s="389"/>
      <c r="E470" s="389"/>
      <c r="F470" s="389"/>
      <c r="G470" s="389"/>
      <c r="H470" s="389"/>
      <c r="I470" s="389"/>
      <c r="J470" s="389"/>
      <c r="K470" s="389"/>
      <c r="L470" s="389"/>
      <c r="M470" s="389"/>
      <c r="N470" s="732"/>
      <c r="O470" s="733" t="s">
        <v>992</v>
      </c>
      <c r="P470" s="389"/>
      <c r="Q470" s="389"/>
      <c r="R470" s="389"/>
      <c r="S470" s="389"/>
      <c r="T470" s="389"/>
      <c r="U470" s="389"/>
      <c r="V470" s="389"/>
      <c r="W470" s="1026" t="s">
        <v>83</v>
      </c>
    </row>
    <row r="471" spans="1:23" s="387" customFormat="1" ht="21" customHeight="1" x14ac:dyDescent="0.15">
      <c r="A471" s="1024"/>
      <c r="B471" s="390" t="s">
        <v>988</v>
      </c>
      <c r="C471" s="389"/>
      <c r="D471" s="389"/>
      <c r="E471" s="732"/>
      <c r="F471" s="733" t="s">
        <v>272</v>
      </c>
      <c r="G471" s="389"/>
      <c r="H471" s="389"/>
      <c r="I471" s="732"/>
      <c r="J471" s="733" t="s">
        <v>271</v>
      </c>
      <c r="K471" s="389"/>
      <c r="L471" s="732"/>
      <c r="M471" s="733" t="s">
        <v>1004</v>
      </c>
      <c r="N471" s="732"/>
      <c r="O471" s="1031" t="s">
        <v>993</v>
      </c>
      <c r="P471" s="733" t="s">
        <v>279</v>
      </c>
      <c r="Q471" s="389"/>
      <c r="R471" s="389"/>
      <c r="S471" s="389"/>
      <c r="T471" s="389"/>
      <c r="U471" s="389"/>
      <c r="V471" s="389"/>
      <c r="W471" s="1027"/>
    </row>
    <row r="472" spans="1:23" s="387" customFormat="1" ht="52.5" customHeight="1" x14ac:dyDescent="0.15">
      <c r="A472" s="1025"/>
      <c r="B472" s="388" t="s">
        <v>156</v>
      </c>
      <c r="C472" s="388" t="s">
        <v>289</v>
      </c>
      <c r="D472" s="388" t="s">
        <v>259</v>
      </c>
      <c r="E472" s="388" t="s">
        <v>338</v>
      </c>
      <c r="F472" s="735" t="s">
        <v>980</v>
      </c>
      <c r="G472" s="388" t="s">
        <v>287</v>
      </c>
      <c r="H472" s="388" t="s">
        <v>258</v>
      </c>
      <c r="I472" s="388" t="s">
        <v>311</v>
      </c>
      <c r="J472" s="735" t="s">
        <v>982</v>
      </c>
      <c r="K472" s="388" t="s">
        <v>334</v>
      </c>
      <c r="L472" s="388" t="s">
        <v>254</v>
      </c>
      <c r="M472" s="735" t="s">
        <v>329</v>
      </c>
      <c r="N472" s="388" t="s">
        <v>328</v>
      </c>
      <c r="O472" s="1032"/>
      <c r="P472" s="735" t="s">
        <v>975</v>
      </c>
      <c r="Q472" s="388" t="s">
        <v>270</v>
      </c>
      <c r="R472" s="388" t="s">
        <v>976</v>
      </c>
      <c r="S472" s="388" t="s">
        <v>285</v>
      </c>
      <c r="T472" s="388" t="s">
        <v>291</v>
      </c>
      <c r="U472" s="388" t="s">
        <v>339</v>
      </c>
      <c r="V472" s="392" t="s">
        <v>290</v>
      </c>
      <c r="W472" s="1028"/>
    </row>
    <row r="473" spans="1:23" s="376" customFormat="1" ht="9.75" customHeight="1" x14ac:dyDescent="0.15">
      <c r="A473" s="755" t="s">
        <v>838</v>
      </c>
      <c r="B473" s="386">
        <v>25</v>
      </c>
      <c r="C473" s="385">
        <v>18</v>
      </c>
      <c r="D473" s="385">
        <v>7</v>
      </c>
      <c r="E473" s="385" t="s">
        <v>839</v>
      </c>
      <c r="F473" s="385">
        <v>17</v>
      </c>
      <c r="G473" s="385" t="s">
        <v>839</v>
      </c>
      <c r="H473" s="385">
        <v>16</v>
      </c>
      <c r="I473" s="385">
        <v>1</v>
      </c>
      <c r="J473" s="385">
        <v>3</v>
      </c>
      <c r="K473" s="385" t="s">
        <v>839</v>
      </c>
      <c r="L473" s="385">
        <v>3</v>
      </c>
      <c r="M473" s="385">
        <v>13</v>
      </c>
      <c r="N473" s="385">
        <v>13</v>
      </c>
      <c r="O473" s="385">
        <v>38725</v>
      </c>
      <c r="P473" s="385">
        <v>16728</v>
      </c>
      <c r="Q473" s="385">
        <v>2368</v>
      </c>
      <c r="R473" s="385">
        <v>1724</v>
      </c>
      <c r="S473" s="385">
        <v>3245</v>
      </c>
      <c r="T473" s="385">
        <v>11</v>
      </c>
      <c r="U473" s="385">
        <v>396</v>
      </c>
      <c r="V473" s="385">
        <v>6561</v>
      </c>
      <c r="W473" s="383" t="s">
        <v>457</v>
      </c>
    </row>
    <row r="474" spans="1:23" s="376" customFormat="1" ht="9.75" customHeight="1" x14ac:dyDescent="0.15">
      <c r="A474" s="756" t="s">
        <v>669</v>
      </c>
      <c r="B474" s="376">
        <v>34</v>
      </c>
      <c r="C474" s="376" t="s">
        <v>839</v>
      </c>
      <c r="D474" s="376" t="s">
        <v>839</v>
      </c>
      <c r="E474" s="376">
        <v>1</v>
      </c>
      <c r="F474" s="376">
        <v>15</v>
      </c>
      <c r="G474" s="376" t="s">
        <v>839</v>
      </c>
      <c r="H474" s="376">
        <v>15</v>
      </c>
      <c r="I474" s="376" t="s">
        <v>839</v>
      </c>
      <c r="J474" s="376" t="s">
        <v>839</v>
      </c>
      <c r="K474" s="376" t="s">
        <v>839</v>
      </c>
      <c r="L474" s="376" t="s">
        <v>839</v>
      </c>
      <c r="M474" s="376" t="s">
        <v>839</v>
      </c>
      <c r="N474" s="376" t="s">
        <v>839</v>
      </c>
      <c r="O474" s="376">
        <v>36055</v>
      </c>
      <c r="P474" s="376">
        <v>15105</v>
      </c>
      <c r="Q474" s="376">
        <v>2099</v>
      </c>
      <c r="R474" s="376">
        <v>1840</v>
      </c>
      <c r="S474" s="376">
        <v>2731</v>
      </c>
      <c r="T474" s="376">
        <v>16</v>
      </c>
      <c r="U474" s="376">
        <v>123</v>
      </c>
      <c r="V474" s="376">
        <v>5907</v>
      </c>
      <c r="W474" s="381" t="s">
        <v>512</v>
      </c>
    </row>
    <row r="475" spans="1:23" s="376" customFormat="1" ht="9.75" customHeight="1" x14ac:dyDescent="0.15">
      <c r="A475" s="756" t="s">
        <v>670</v>
      </c>
      <c r="B475" s="376">
        <v>32</v>
      </c>
      <c r="C475" s="376" t="s">
        <v>839</v>
      </c>
      <c r="D475" s="376">
        <v>2</v>
      </c>
      <c r="E475" s="376" t="s">
        <v>839</v>
      </c>
      <c r="F475" s="376">
        <v>11</v>
      </c>
      <c r="G475" s="376">
        <v>1</v>
      </c>
      <c r="H475" s="376">
        <v>9</v>
      </c>
      <c r="I475" s="376">
        <v>1</v>
      </c>
      <c r="J475" s="376" t="s">
        <v>839</v>
      </c>
      <c r="K475" s="376" t="s">
        <v>839</v>
      </c>
      <c r="L475" s="376" t="s">
        <v>839</v>
      </c>
      <c r="M475" s="376" t="s">
        <v>839</v>
      </c>
      <c r="N475" s="376" t="s">
        <v>839</v>
      </c>
      <c r="O475" s="376">
        <v>42715</v>
      </c>
      <c r="P475" s="376">
        <v>15731</v>
      </c>
      <c r="Q475" s="376">
        <v>2068</v>
      </c>
      <c r="R475" s="376">
        <v>1815</v>
      </c>
      <c r="S475" s="376">
        <v>2546</v>
      </c>
      <c r="T475" s="376">
        <v>25</v>
      </c>
      <c r="U475" s="376">
        <v>158</v>
      </c>
      <c r="V475" s="376">
        <v>7527</v>
      </c>
      <c r="W475" s="381" t="s">
        <v>620</v>
      </c>
    </row>
    <row r="476" spans="1:23" s="376" customFormat="1" ht="9.75" customHeight="1" x14ac:dyDescent="0.15">
      <c r="A476" s="756" t="s">
        <v>671</v>
      </c>
      <c r="B476" s="376">
        <v>23</v>
      </c>
      <c r="C476" s="376">
        <v>9</v>
      </c>
      <c r="D476" s="376">
        <v>5</v>
      </c>
      <c r="E476" s="376" t="s">
        <v>839</v>
      </c>
      <c r="F476" s="376">
        <v>23</v>
      </c>
      <c r="G476" s="376">
        <v>5</v>
      </c>
      <c r="H476" s="376">
        <v>15</v>
      </c>
      <c r="I476" s="376">
        <v>3</v>
      </c>
      <c r="J476" s="376" t="s">
        <v>839</v>
      </c>
      <c r="K476" s="376" t="s">
        <v>839</v>
      </c>
      <c r="L476" s="376" t="s">
        <v>839</v>
      </c>
      <c r="M476" s="376" t="s">
        <v>839</v>
      </c>
      <c r="N476" s="376" t="s">
        <v>839</v>
      </c>
      <c r="O476" s="376">
        <v>44158</v>
      </c>
      <c r="P476" s="376">
        <v>19467</v>
      </c>
      <c r="Q476" s="376">
        <v>2544</v>
      </c>
      <c r="R476" s="376">
        <v>1832</v>
      </c>
      <c r="S476" s="376">
        <v>2874</v>
      </c>
      <c r="T476" s="376">
        <v>29</v>
      </c>
      <c r="U476" s="376">
        <v>86</v>
      </c>
      <c r="V476" s="376">
        <v>10535</v>
      </c>
      <c r="W476" s="381" t="s">
        <v>672</v>
      </c>
    </row>
    <row r="477" spans="1:23" s="376" customFormat="1" ht="9.75" customHeight="1" x14ac:dyDescent="0.15">
      <c r="A477" s="756" t="s">
        <v>840</v>
      </c>
      <c r="B477" s="376">
        <v>17</v>
      </c>
      <c r="C477" s="376">
        <v>9</v>
      </c>
      <c r="D477" s="376">
        <v>12</v>
      </c>
      <c r="E477" s="376" t="s">
        <v>839</v>
      </c>
      <c r="F477" s="376">
        <v>24</v>
      </c>
      <c r="G477" s="376">
        <v>2</v>
      </c>
      <c r="H477" s="376">
        <v>16</v>
      </c>
      <c r="I477" s="376">
        <v>6</v>
      </c>
      <c r="J477" s="376">
        <v>1</v>
      </c>
      <c r="K477" s="376" t="s">
        <v>839</v>
      </c>
      <c r="L477" s="376">
        <v>1</v>
      </c>
      <c r="M477" s="376">
        <v>4</v>
      </c>
      <c r="N477" s="376">
        <v>4</v>
      </c>
      <c r="O477" s="376">
        <v>42975</v>
      </c>
      <c r="P477" s="376">
        <v>16329</v>
      </c>
      <c r="Q477" s="376">
        <v>2463</v>
      </c>
      <c r="R477" s="376">
        <v>2010</v>
      </c>
      <c r="S477" s="376">
        <v>2818</v>
      </c>
      <c r="T477" s="376">
        <v>33</v>
      </c>
      <c r="U477" s="376">
        <v>78</v>
      </c>
      <c r="V477" s="376">
        <v>7969</v>
      </c>
      <c r="W477" s="381" t="s">
        <v>841</v>
      </c>
    </row>
    <row r="478" spans="1:23" s="376" customFormat="1" ht="6.75" customHeight="1" x14ac:dyDescent="0.15">
      <c r="A478" s="787"/>
      <c r="W478" s="381"/>
    </row>
    <row r="479" spans="1:23" s="376" customFormat="1" ht="9.75" customHeight="1" x14ac:dyDescent="0.15">
      <c r="A479" s="756" t="s">
        <v>842</v>
      </c>
      <c r="B479" s="376">
        <v>21</v>
      </c>
      <c r="C479" s="376">
        <v>5</v>
      </c>
      <c r="D479" s="376">
        <v>4</v>
      </c>
      <c r="E479" s="376" t="s">
        <v>839</v>
      </c>
      <c r="F479" s="376">
        <v>22</v>
      </c>
      <c r="G479" s="376">
        <v>3</v>
      </c>
      <c r="H479" s="376">
        <v>15</v>
      </c>
      <c r="I479" s="376">
        <v>4</v>
      </c>
      <c r="J479" s="376" t="s">
        <v>839</v>
      </c>
      <c r="K479" s="376" t="s">
        <v>839</v>
      </c>
      <c r="L479" s="376" t="s">
        <v>839</v>
      </c>
      <c r="M479" s="376" t="s">
        <v>839</v>
      </c>
      <c r="N479" s="376" t="s">
        <v>839</v>
      </c>
      <c r="O479" s="376">
        <v>46346</v>
      </c>
      <c r="P479" s="376">
        <v>20419</v>
      </c>
      <c r="Q479" s="376">
        <v>2669</v>
      </c>
      <c r="R479" s="376">
        <v>1681</v>
      </c>
      <c r="S479" s="376">
        <v>2992</v>
      </c>
      <c r="T479" s="376">
        <v>33</v>
      </c>
      <c r="U479" s="376">
        <v>51</v>
      </c>
      <c r="V479" s="376">
        <v>11438</v>
      </c>
      <c r="W479" s="381" t="s">
        <v>673</v>
      </c>
    </row>
    <row r="480" spans="1:23" s="376" customFormat="1" ht="9.75" customHeight="1" x14ac:dyDescent="0.15">
      <c r="A480" s="756" t="s">
        <v>843</v>
      </c>
      <c r="B480" s="376">
        <v>18</v>
      </c>
      <c r="C480" s="376">
        <v>14</v>
      </c>
      <c r="D480" s="376">
        <v>12</v>
      </c>
      <c r="E480" s="376">
        <v>1</v>
      </c>
      <c r="F480" s="376">
        <v>24</v>
      </c>
      <c r="G480" s="376">
        <v>2</v>
      </c>
      <c r="H480" s="376">
        <v>17</v>
      </c>
      <c r="I480" s="376">
        <v>5</v>
      </c>
      <c r="J480" s="376">
        <v>2</v>
      </c>
      <c r="K480" s="376">
        <v>1</v>
      </c>
      <c r="L480" s="376">
        <v>1</v>
      </c>
      <c r="M480" s="376">
        <v>4</v>
      </c>
      <c r="N480" s="376">
        <v>4</v>
      </c>
      <c r="O480" s="376">
        <v>31107</v>
      </c>
      <c r="P480" s="376">
        <v>13460</v>
      </c>
      <c r="Q480" s="376">
        <v>2201</v>
      </c>
      <c r="R480" s="376">
        <v>2059</v>
      </c>
      <c r="S480" s="376">
        <v>2783</v>
      </c>
      <c r="T480" s="376">
        <v>22</v>
      </c>
      <c r="U480" s="376">
        <v>58</v>
      </c>
      <c r="V480" s="376">
        <v>5516</v>
      </c>
      <c r="W480" s="381" t="s">
        <v>844</v>
      </c>
    </row>
    <row r="481" spans="1:23" s="376" customFormat="1" ht="6.75" customHeight="1" x14ac:dyDescent="0.15">
      <c r="A481" s="787"/>
      <c r="W481" s="381"/>
    </row>
    <row r="482" spans="1:23" s="376" customFormat="1" ht="9.75" customHeight="1" x14ac:dyDescent="0.15">
      <c r="A482" s="756" t="s">
        <v>845</v>
      </c>
      <c r="B482" s="376">
        <v>4</v>
      </c>
      <c r="C482" s="376" t="s">
        <v>839</v>
      </c>
      <c r="D482" s="376" t="s">
        <v>839</v>
      </c>
      <c r="E482" s="376" t="s">
        <v>839</v>
      </c>
      <c r="F482" s="376">
        <v>5</v>
      </c>
      <c r="G482" s="376" t="s">
        <v>839</v>
      </c>
      <c r="H482" s="376">
        <v>3</v>
      </c>
      <c r="I482" s="376">
        <v>2</v>
      </c>
      <c r="J482" s="376" t="s">
        <v>839</v>
      </c>
      <c r="K482" s="376" t="s">
        <v>839</v>
      </c>
      <c r="L482" s="376" t="s">
        <v>839</v>
      </c>
      <c r="M482" s="376" t="s">
        <v>839</v>
      </c>
      <c r="N482" s="376" t="s">
        <v>839</v>
      </c>
      <c r="O482" s="376">
        <v>15762</v>
      </c>
      <c r="P482" s="376">
        <v>5049</v>
      </c>
      <c r="Q482" s="376">
        <v>661</v>
      </c>
      <c r="R482" s="376">
        <v>400</v>
      </c>
      <c r="S482" s="376">
        <v>354</v>
      </c>
      <c r="T482" s="376">
        <v>11</v>
      </c>
      <c r="U482" s="376">
        <v>22</v>
      </c>
      <c r="V482" s="376">
        <v>3281</v>
      </c>
      <c r="W482" s="381" t="s">
        <v>677</v>
      </c>
    </row>
    <row r="483" spans="1:23" s="376" customFormat="1" ht="9.75" customHeight="1" x14ac:dyDescent="0.15">
      <c r="A483" s="756" t="s">
        <v>674</v>
      </c>
      <c r="B483" s="376">
        <v>4</v>
      </c>
      <c r="C483" s="376" t="s">
        <v>839</v>
      </c>
      <c r="D483" s="376" t="s">
        <v>839</v>
      </c>
      <c r="E483" s="376" t="s">
        <v>839</v>
      </c>
      <c r="F483" s="376">
        <v>5</v>
      </c>
      <c r="G483" s="376" t="s">
        <v>839</v>
      </c>
      <c r="H483" s="376">
        <v>4</v>
      </c>
      <c r="I483" s="376">
        <v>1</v>
      </c>
      <c r="J483" s="376" t="s">
        <v>839</v>
      </c>
      <c r="K483" s="376" t="s">
        <v>839</v>
      </c>
      <c r="L483" s="376" t="s">
        <v>839</v>
      </c>
      <c r="M483" s="376">
        <v>3</v>
      </c>
      <c r="N483" s="376">
        <v>3</v>
      </c>
      <c r="O483" s="376">
        <v>10969</v>
      </c>
      <c r="P483" s="376">
        <v>4614</v>
      </c>
      <c r="Q483" s="376">
        <v>812</v>
      </c>
      <c r="R483" s="376">
        <v>589</v>
      </c>
      <c r="S483" s="376">
        <v>1005</v>
      </c>
      <c r="T483" s="376">
        <v>11</v>
      </c>
      <c r="U483" s="376">
        <v>22</v>
      </c>
      <c r="V483" s="376">
        <v>1926</v>
      </c>
      <c r="W483" s="381" t="s">
        <v>89</v>
      </c>
    </row>
    <row r="484" spans="1:23" s="376" customFormat="1" ht="9.75" customHeight="1" x14ac:dyDescent="0.15">
      <c r="A484" s="756" t="s">
        <v>675</v>
      </c>
      <c r="B484" s="376">
        <v>5</v>
      </c>
      <c r="C484" s="376" t="s">
        <v>839</v>
      </c>
      <c r="D484" s="376">
        <v>6</v>
      </c>
      <c r="E484" s="376" t="s">
        <v>839</v>
      </c>
      <c r="F484" s="376">
        <v>8</v>
      </c>
      <c r="G484" s="376" t="s">
        <v>839</v>
      </c>
      <c r="H484" s="376">
        <v>6</v>
      </c>
      <c r="I484" s="376">
        <v>2</v>
      </c>
      <c r="J484" s="376" t="s">
        <v>839</v>
      </c>
      <c r="K484" s="376" t="s">
        <v>839</v>
      </c>
      <c r="L484" s="376" t="s">
        <v>839</v>
      </c>
      <c r="M484" s="376" t="s">
        <v>839</v>
      </c>
      <c r="N484" s="376" t="s">
        <v>839</v>
      </c>
      <c r="O484" s="376">
        <v>8911</v>
      </c>
      <c r="P484" s="376">
        <v>3153</v>
      </c>
      <c r="Q484" s="376">
        <v>664</v>
      </c>
      <c r="R484" s="376">
        <v>374</v>
      </c>
      <c r="S484" s="376">
        <v>592</v>
      </c>
      <c r="T484" s="376" t="s">
        <v>839</v>
      </c>
      <c r="U484" s="376">
        <v>34</v>
      </c>
      <c r="V484" s="376">
        <v>1256</v>
      </c>
      <c r="W484" s="381" t="s">
        <v>90</v>
      </c>
    </row>
    <row r="485" spans="1:23" s="376" customFormat="1" ht="9.75" customHeight="1" x14ac:dyDescent="0.15">
      <c r="A485" s="756" t="s">
        <v>676</v>
      </c>
      <c r="B485" s="376">
        <v>4</v>
      </c>
      <c r="C485" s="376">
        <v>9</v>
      </c>
      <c r="D485" s="376">
        <v>6</v>
      </c>
      <c r="E485" s="376" t="s">
        <v>839</v>
      </c>
      <c r="F485" s="376">
        <v>6</v>
      </c>
      <c r="G485" s="376">
        <v>2</v>
      </c>
      <c r="H485" s="376">
        <v>3</v>
      </c>
      <c r="I485" s="376">
        <v>1</v>
      </c>
      <c r="J485" s="376">
        <v>1</v>
      </c>
      <c r="K485" s="376" t="s">
        <v>839</v>
      </c>
      <c r="L485" s="376">
        <v>1</v>
      </c>
      <c r="M485" s="376">
        <v>1</v>
      </c>
      <c r="N485" s="376">
        <v>1</v>
      </c>
      <c r="O485" s="376">
        <v>7333</v>
      </c>
      <c r="P485" s="376">
        <v>3513</v>
      </c>
      <c r="Q485" s="376">
        <v>326</v>
      </c>
      <c r="R485" s="376">
        <v>647</v>
      </c>
      <c r="S485" s="376">
        <v>867</v>
      </c>
      <c r="T485" s="376">
        <v>11</v>
      </c>
      <c r="U485" s="376" t="s">
        <v>839</v>
      </c>
      <c r="V485" s="376">
        <v>1506</v>
      </c>
      <c r="W485" s="381" t="s">
        <v>91</v>
      </c>
    </row>
    <row r="486" spans="1:23" s="376" customFormat="1" ht="9.75" customHeight="1" x14ac:dyDescent="0.15">
      <c r="A486" s="756" t="s">
        <v>846</v>
      </c>
      <c r="B486" s="376">
        <v>5</v>
      </c>
      <c r="C486" s="376">
        <v>5</v>
      </c>
      <c r="D486" s="376" t="s">
        <v>839</v>
      </c>
      <c r="E486" s="376">
        <v>1</v>
      </c>
      <c r="F486" s="376">
        <v>5</v>
      </c>
      <c r="G486" s="376" t="s">
        <v>839</v>
      </c>
      <c r="H486" s="376">
        <v>4</v>
      </c>
      <c r="I486" s="376">
        <v>1</v>
      </c>
      <c r="J486" s="376">
        <v>1</v>
      </c>
      <c r="K486" s="376">
        <v>1</v>
      </c>
      <c r="L486" s="376" t="s">
        <v>839</v>
      </c>
      <c r="M486" s="376" t="s">
        <v>839</v>
      </c>
      <c r="N486" s="376" t="s">
        <v>839</v>
      </c>
      <c r="O486" s="376">
        <v>3894</v>
      </c>
      <c r="P486" s="376">
        <v>2180</v>
      </c>
      <c r="Q486" s="376">
        <v>399</v>
      </c>
      <c r="R486" s="376">
        <v>449</v>
      </c>
      <c r="S486" s="376">
        <v>319</v>
      </c>
      <c r="T486" s="376" t="s">
        <v>839</v>
      </c>
      <c r="U486" s="376">
        <v>2</v>
      </c>
      <c r="V486" s="376">
        <v>828</v>
      </c>
      <c r="W486" s="381" t="s">
        <v>847</v>
      </c>
    </row>
    <row r="487" spans="1:23" s="376" customFormat="1" ht="6.75" customHeight="1" x14ac:dyDescent="0.15">
      <c r="A487" s="787"/>
      <c r="W487" s="381"/>
    </row>
    <row r="488" spans="1:23" s="376" customFormat="1" ht="9.75" customHeight="1" x14ac:dyDescent="0.15">
      <c r="A488" s="756" t="s">
        <v>848</v>
      </c>
      <c r="B488" s="376">
        <v>1</v>
      </c>
      <c r="C488" s="376" t="s">
        <v>839</v>
      </c>
      <c r="D488" s="376" t="s">
        <v>839</v>
      </c>
      <c r="E488" s="376" t="s">
        <v>839</v>
      </c>
      <c r="F488" s="376">
        <v>3</v>
      </c>
      <c r="G488" s="376" t="s">
        <v>839</v>
      </c>
      <c r="H488" s="376">
        <v>2</v>
      </c>
      <c r="I488" s="376">
        <v>1</v>
      </c>
      <c r="J488" s="376" t="s">
        <v>839</v>
      </c>
      <c r="K488" s="376" t="s">
        <v>839</v>
      </c>
      <c r="L488" s="376" t="s">
        <v>839</v>
      </c>
      <c r="M488" s="376" t="s">
        <v>839</v>
      </c>
      <c r="N488" s="376" t="s">
        <v>839</v>
      </c>
      <c r="O488" s="376">
        <v>4723</v>
      </c>
      <c r="P488" s="376">
        <v>1001</v>
      </c>
      <c r="Q488" s="376">
        <v>138</v>
      </c>
      <c r="R488" s="376">
        <v>109</v>
      </c>
      <c r="S488" s="376">
        <v>3</v>
      </c>
      <c r="T488" s="376" t="s">
        <v>839</v>
      </c>
      <c r="U488" s="376" t="s">
        <v>839</v>
      </c>
      <c r="V488" s="376">
        <v>603</v>
      </c>
      <c r="W488" s="381" t="s">
        <v>689</v>
      </c>
    </row>
    <row r="489" spans="1:23" s="376" customFormat="1" ht="9.75" customHeight="1" x14ac:dyDescent="0.15">
      <c r="A489" s="756" t="s">
        <v>678</v>
      </c>
      <c r="B489" s="376">
        <v>1</v>
      </c>
      <c r="C489" s="376" t="s">
        <v>839</v>
      </c>
      <c r="D489" s="376" t="s">
        <v>839</v>
      </c>
      <c r="E489" s="376" t="s">
        <v>839</v>
      </c>
      <c r="F489" s="376" t="s">
        <v>839</v>
      </c>
      <c r="G489" s="376" t="s">
        <v>839</v>
      </c>
      <c r="H489" s="376" t="s">
        <v>839</v>
      </c>
      <c r="I489" s="376" t="s">
        <v>839</v>
      </c>
      <c r="J489" s="376" t="s">
        <v>839</v>
      </c>
      <c r="K489" s="376" t="s">
        <v>839</v>
      </c>
      <c r="L489" s="376" t="s">
        <v>839</v>
      </c>
      <c r="M489" s="376" t="s">
        <v>839</v>
      </c>
      <c r="N489" s="376" t="s">
        <v>839</v>
      </c>
      <c r="O489" s="376">
        <v>5923</v>
      </c>
      <c r="P489" s="376">
        <v>2152</v>
      </c>
      <c r="Q489" s="376">
        <v>192</v>
      </c>
      <c r="R489" s="376">
        <v>134</v>
      </c>
      <c r="S489" s="376">
        <v>348</v>
      </c>
      <c r="T489" s="376" t="s">
        <v>839</v>
      </c>
      <c r="U489" s="376">
        <v>22</v>
      </c>
      <c r="V489" s="376">
        <v>1369</v>
      </c>
      <c r="W489" s="381" t="s">
        <v>77</v>
      </c>
    </row>
    <row r="490" spans="1:23" s="376" customFormat="1" ht="9.75" customHeight="1" x14ac:dyDescent="0.15">
      <c r="A490" s="756" t="s">
        <v>679</v>
      </c>
      <c r="B490" s="376">
        <v>2</v>
      </c>
      <c r="C490" s="376" t="s">
        <v>839</v>
      </c>
      <c r="D490" s="376" t="s">
        <v>839</v>
      </c>
      <c r="E490" s="376" t="s">
        <v>839</v>
      </c>
      <c r="F490" s="376">
        <v>2</v>
      </c>
      <c r="G490" s="376" t="s">
        <v>839</v>
      </c>
      <c r="H490" s="376">
        <v>1</v>
      </c>
      <c r="I490" s="376">
        <v>1</v>
      </c>
      <c r="J490" s="376" t="s">
        <v>839</v>
      </c>
      <c r="K490" s="376" t="s">
        <v>839</v>
      </c>
      <c r="L490" s="376" t="s">
        <v>839</v>
      </c>
      <c r="M490" s="376" t="s">
        <v>839</v>
      </c>
      <c r="N490" s="376" t="s">
        <v>839</v>
      </c>
      <c r="O490" s="376">
        <v>5116</v>
      </c>
      <c r="P490" s="376">
        <v>1896</v>
      </c>
      <c r="Q490" s="376">
        <v>331</v>
      </c>
      <c r="R490" s="376">
        <v>157</v>
      </c>
      <c r="S490" s="376">
        <v>3</v>
      </c>
      <c r="T490" s="376">
        <v>11</v>
      </c>
      <c r="U490" s="376" t="s">
        <v>839</v>
      </c>
      <c r="V490" s="376">
        <v>1309</v>
      </c>
      <c r="W490" s="381" t="s">
        <v>78</v>
      </c>
    </row>
    <row r="491" spans="1:23" s="376" customFormat="1" ht="9.75" customHeight="1" x14ac:dyDescent="0.15">
      <c r="A491" s="756" t="s">
        <v>680</v>
      </c>
      <c r="B491" s="376">
        <v>1</v>
      </c>
      <c r="C491" s="376" t="s">
        <v>839</v>
      </c>
      <c r="D491" s="376" t="s">
        <v>839</v>
      </c>
      <c r="E491" s="376" t="s">
        <v>839</v>
      </c>
      <c r="F491" s="376">
        <v>3</v>
      </c>
      <c r="G491" s="376" t="s">
        <v>839</v>
      </c>
      <c r="H491" s="376">
        <v>3</v>
      </c>
      <c r="I491" s="376" t="s">
        <v>839</v>
      </c>
      <c r="J491" s="376" t="s">
        <v>839</v>
      </c>
      <c r="K491" s="376" t="s">
        <v>839</v>
      </c>
      <c r="L491" s="376" t="s">
        <v>839</v>
      </c>
      <c r="M491" s="376" t="s">
        <v>839</v>
      </c>
      <c r="N491" s="376" t="s">
        <v>839</v>
      </c>
      <c r="O491" s="376">
        <v>4631</v>
      </c>
      <c r="P491" s="376">
        <v>2003</v>
      </c>
      <c r="Q491" s="376">
        <v>313</v>
      </c>
      <c r="R491" s="376">
        <v>233</v>
      </c>
      <c r="S491" s="376">
        <v>763</v>
      </c>
      <c r="T491" s="376" t="s">
        <v>839</v>
      </c>
      <c r="U491" s="376">
        <v>22</v>
      </c>
      <c r="V491" s="376">
        <v>577</v>
      </c>
      <c r="W491" s="381" t="s">
        <v>79</v>
      </c>
    </row>
    <row r="492" spans="1:23" s="376" customFormat="1" ht="9.75" customHeight="1" x14ac:dyDescent="0.15">
      <c r="A492" s="756" t="s">
        <v>681</v>
      </c>
      <c r="B492" s="376">
        <v>1</v>
      </c>
      <c r="C492" s="376" t="s">
        <v>839</v>
      </c>
      <c r="D492" s="376" t="s">
        <v>839</v>
      </c>
      <c r="E492" s="376" t="s">
        <v>839</v>
      </c>
      <c r="F492" s="376">
        <v>1</v>
      </c>
      <c r="G492" s="376" t="s">
        <v>839</v>
      </c>
      <c r="H492" s="376">
        <v>1</v>
      </c>
      <c r="I492" s="376" t="s">
        <v>839</v>
      </c>
      <c r="J492" s="376" t="s">
        <v>839</v>
      </c>
      <c r="K492" s="376" t="s">
        <v>839</v>
      </c>
      <c r="L492" s="376" t="s">
        <v>839</v>
      </c>
      <c r="M492" s="376">
        <v>3</v>
      </c>
      <c r="N492" s="376">
        <v>3</v>
      </c>
      <c r="O492" s="376">
        <v>1993</v>
      </c>
      <c r="P492" s="376">
        <v>1236</v>
      </c>
      <c r="Q492" s="376">
        <v>174</v>
      </c>
      <c r="R492" s="376">
        <v>131</v>
      </c>
      <c r="S492" s="376">
        <v>214</v>
      </c>
      <c r="T492" s="376" t="s">
        <v>839</v>
      </c>
      <c r="U492" s="376" t="s">
        <v>839</v>
      </c>
      <c r="V492" s="376">
        <v>674</v>
      </c>
      <c r="W492" s="381" t="s">
        <v>92</v>
      </c>
    </row>
    <row r="493" spans="1:23" s="376" customFormat="1" ht="9.75" customHeight="1" x14ac:dyDescent="0.15">
      <c r="A493" s="756" t="s">
        <v>682</v>
      </c>
      <c r="B493" s="376">
        <v>2</v>
      </c>
      <c r="C493" s="376" t="s">
        <v>839</v>
      </c>
      <c r="D493" s="376" t="s">
        <v>839</v>
      </c>
      <c r="E493" s="376" t="s">
        <v>839</v>
      </c>
      <c r="F493" s="376">
        <v>1</v>
      </c>
      <c r="G493" s="376" t="s">
        <v>839</v>
      </c>
      <c r="H493" s="376" t="s">
        <v>839</v>
      </c>
      <c r="I493" s="376">
        <v>1</v>
      </c>
      <c r="J493" s="376" t="s">
        <v>839</v>
      </c>
      <c r="K493" s="376" t="s">
        <v>839</v>
      </c>
      <c r="L493" s="376" t="s">
        <v>839</v>
      </c>
      <c r="M493" s="376" t="s">
        <v>839</v>
      </c>
      <c r="N493" s="376" t="s">
        <v>839</v>
      </c>
      <c r="O493" s="376">
        <v>4345</v>
      </c>
      <c r="P493" s="376">
        <v>1375</v>
      </c>
      <c r="Q493" s="376">
        <v>325</v>
      </c>
      <c r="R493" s="376">
        <v>225</v>
      </c>
      <c r="S493" s="376">
        <v>28</v>
      </c>
      <c r="T493" s="376">
        <v>11</v>
      </c>
      <c r="U493" s="376" t="s">
        <v>839</v>
      </c>
      <c r="V493" s="376">
        <v>675</v>
      </c>
      <c r="W493" s="381" t="s">
        <v>93</v>
      </c>
    </row>
    <row r="494" spans="1:23" s="376" customFormat="1" ht="9.75" customHeight="1" x14ac:dyDescent="0.15">
      <c r="A494" s="756" t="s">
        <v>683</v>
      </c>
      <c r="B494" s="376">
        <v>1</v>
      </c>
      <c r="C494" s="376" t="s">
        <v>839</v>
      </c>
      <c r="D494" s="376">
        <v>1</v>
      </c>
      <c r="E494" s="376" t="s">
        <v>839</v>
      </c>
      <c r="F494" s="376">
        <v>3</v>
      </c>
      <c r="G494" s="376" t="s">
        <v>839</v>
      </c>
      <c r="H494" s="376">
        <v>3</v>
      </c>
      <c r="I494" s="376" t="s">
        <v>839</v>
      </c>
      <c r="J494" s="376" t="s">
        <v>839</v>
      </c>
      <c r="K494" s="376" t="s">
        <v>839</v>
      </c>
      <c r="L494" s="376" t="s">
        <v>839</v>
      </c>
      <c r="M494" s="376" t="s">
        <v>839</v>
      </c>
      <c r="N494" s="376" t="s">
        <v>839</v>
      </c>
      <c r="O494" s="376">
        <v>2866</v>
      </c>
      <c r="P494" s="376">
        <v>841</v>
      </c>
      <c r="Q494" s="376">
        <v>178</v>
      </c>
      <c r="R494" s="376">
        <v>166</v>
      </c>
      <c r="S494" s="376">
        <v>177</v>
      </c>
      <c r="T494" s="376" t="s">
        <v>839</v>
      </c>
      <c r="U494" s="376" t="s">
        <v>839</v>
      </c>
      <c r="V494" s="376">
        <v>248</v>
      </c>
      <c r="W494" s="381" t="s">
        <v>94</v>
      </c>
    </row>
    <row r="495" spans="1:23" s="376" customFormat="1" ht="9.75" customHeight="1" x14ac:dyDescent="0.15">
      <c r="A495" s="756" t="s">
        <v>684</v>
      </c>
      <c r="B495" s="376">
        <v>2</v>
      </c>
      <c r="C495" s="376" t="s">
        <v>839</v>
      </c>
      <c r="D495" s="376">
        <v>5</v>
      </c>
      <c r="E495" s="376" t="s">
        <v>839</v>
      </c>
      <c r="F495" s="376">
        <v>2</v>
      </c>
      <c r="G495" s="376" t="s">
        <v>839</v>
      </c>
      <c r="H495" s="376">
        <v>1</v>
      </c>
      <c r="I495" s="376">
        <v>1</v>
      </c>
      <c r="J495" s="376" t="s">
        <v>839</v>
      </c>
      <c r="K495" s="376" t="s">
        <v>839</v>
      </c>
      <c r="L495" s="376" t="s">
        <v>839</v>
      </c>
      <c r="M495" s="376" t="s">
        <v>839</v>
      </c>
      <c r="N495" s="376" t="s">
        <v>839</v>
      </c>
      <c r="O495" s="376">
        <v>1460</v>
      </c>
      <c r="P495" s="376">
        <v>893</v>
      </c>
      <c r="Q495" s="376">
        <v>230</v>
      </c>
      <c r="R495" s="376">
        <v>114</v>
      </c>
      <c r="S495" s="376">
        <v>219</v>
      </c>
      <c r="T495" s="376" t="s">
        <v>839</v>
      </c>
      <c r="U495" s="376">
        <v>17</v>
      </c>
      <c r="V495" s="376">
        <v>228</v>
      </c>
      <c r="W495" s="381" t="s">
        <v>95</v>
      </c>
    </row>
    <row r="496" spans="1:23" s="376" customFormat="1" ht="9.75" customHeight="1" x14ac:dyDescent="0.15">
      <c r="A496" s="756" t="s">
        <v>685</v>
      </c>
      <c r="B496" s="376">
        <v>2</v>
      </c>
      <c r="C496" s="376" t="s">
        <v>839</v>
      </c>
      <c r="D496" s="376" t="s">
        <v>839</v>
      </c>
      <c r="E496" s="376" t="s">
        <v>839</v>
      </c>
      <c r="F496" s="376">
        <v>3</v>
      </c>
      <c r="G496" s="376" t="s">
        <v>839</v>
      </c>
      <c r="H496" s="376">
        <v>2</v>
      </c>
      <c r="I496" s="376">
        <v>1</v>
      </c>
      <c r="J496" s="376" t="s">
        <v>839</v>
      </c>
      <c r="K496" s="376" t="s">
        <v>839</v>
      </c>
      <c r="L496" s="376" t="s">
        <v>839</v>
      </c>
      <c r="M496" s="376" t="s">
        <v>839</v>
      </c>
      <c r="N496" s="376" t="s">
        <v>839</v>
      </c>
      <c r="O496" s="376">
        <v>4585</v>
      </c>
      <c r="P496" s="376">
        <v>1419</v>
      </c>
      <c r="Q496" s="376">
        <v>256</v>
      </c>
      <c r="R496" s="376">
        <v>94</v>
      </c>
      <c r="S496" s="376">
        <v>196</v>
      </c>
      <c r="T496" s="376" t="s">
        <v>839</v>
      </c>
      <c r="U496" s="376">
        <v>17</v>
      </c>
      <c r="V496" s="376">
        <v>780</v>
      </c>
      <c r="W496" s="381" t="s">
        <v>96</v>
      </c>
    </row>
    <row r="497" spans="1:23" s="376" customFormat="1" ht="9.75" customHeight="1" x14ac:dyDescent="0.15">
      <c r="A497" s="756" t="s">
        <v>686</v>
      </c>
      <c r="B497" s="376">
        <v>1</v>
      </c>
      <c r="C497" s="376" t="s">
        <v>839</v>
      </c>
      <c r="D497" s="376">
        <v>6</v>
      </c>
      <c r="E497" s="376" t="s">
        <v>839</v>
      </c>
      <c r="F497" s="376" t="s">
        <v>839</v>
      </c>
      <c r="G497" s="376" t="s">
        <v>839</v>
      </c>
      <c r="H497" s="376" t="s">
        <v>839</v>
      </c>
      <c r="I497" s="376" t="s">
        <v>839</v>
      </c>
      <c r="J497" s="376" t="s">
        <v>839</v>
      </c>
      <c r="K497" s="376" t="s">
        <v>839</v>
      </c>
      <c r="L497" s="376" t="s">
        <v>839</v>
      </c>
      <c r="M497" s="376" t="s">
        <v>839</v>
      </c>
      <c r="N497" s="376" t="s">
        <v>839</v>
      </c>
      <c r="O497" s="376">
        <v>4303</v>
      </c>
      <c r="P497" s="376">
        <v>1373</v>
      </c>
      <c r="Q497" s="376">
        <v>141</v>
      </c>
      <c r="R497" s="376">
        <v>260</v>
      </c>
      <c r="S497" s="376">
        <v>155</v>
      </c>
      <c r="T497" s="376" t="s">
        <v>839</v>
      </c>
      <c r="U497" s="376" t="s">
        <v>839</v>
      </c>
      <c r="V497" s="376">
        <v>731</v>
      </c>
      <c r="W497" s="381" t="s">
        <v>80</v>
      </c>
    </row>
    <row r="498" spans="1:23" s="376" customFormat="1" ht="9.75" customHeight="1" x14ac:dyDescent="0.15">
      <c r="A498" s="756" t="s">
        <v>687</v>
      </c>
      <c r="B498" s="376">
        <v>1</v>
      </c>
      <c r="C498" s="376">
        <v>1</v>
      </c>
      <c r="D498" s="376" t="s">
        <v>839</v>
      </c>
      <c r="E498" s="376" t="s">
        <v>839</v>
      </c>
      <c r="F498" s="376">
        <v>2</v>
      </c>
      <c r="G498" s="376">
        <v>1</v>
      </c>
      <c r="H498" s="376" t="s">
        <v>839</v>
      </c>
      <c r="I498" s="376">
        <v>1</v>
      </c>
      <c r="J498" s="376" t="s">
        <v>839</v>
      </c>
      <c r="K498" s="376" t="s">
        <v>839</v>
      </c>
      <c r="L498" s="376" t="s">
        <v>839</v>
      </c>
      <c r="M498" s="376">
        <v>1</v>
      </c>
      <c r="N498" s="376">
        <v>1</v>
      </c>
      <c r="O498" s="376">
        <v>1472</v>
      </c>
      <c r="P498" s="376">
        <v>1019</v>
      </c>
      <c r="Q498" s="376">
        <v>35</v>
      </c>
      <c r="R498" s="376">
        <v>197</v>
      </c>
      <c r="S498" s="376">
        <v>245</v>
      </c>
      <c r="T498" s="376">
        <v>11</v>
      </c>
      <c r="U498" s="376" t="s">
        <v>839</v>
      </c>
      <c r="V498" s="376">
        <v>496</v>
      </c>
      <c r="W498" s="381" t="s">
        <v>81</v>
      </c>
    </row>
    <row r="499" spans="1:23" s="376" customFormat="1" ht="9.75" customHeight="1" x14ac:dyDescent="0.15">
      <c r="A499" s="756" t="s">
        <v>688</v>
      </c>
      <c r="B499" s="376">
        <v>2</v>
      </c>
      <c r="C499" s="376">
        <v>8</v>
      </c>
      <c r="D499" s="376" t="s">
        <v>839</v>
      </c>
      <c r="E499" s="376" t="s">
        <v>839</v>
      </c>
      <c r="F499" s="376">
        <v>4</v>
      </c>
      <c r="G499" s="376">
        <v>1</v>
      </c>
      <c r="H499" s="376">
        <v>3</v>
      </c>
      <c r="I499" s="376" t="s">
        <v>839</v>
      </c>
      <c r="J499" s="376">
        <v>1</v>
      </c>
      <c r="K499" s="376" t="s">
        <v>839</v>
      </c>
      <c r="L499" s="376">
        <v>1</v>
      </c>
      <c r="M499" s="376" t="s">
        <v>839</v>
      </c>
      <c r="N499" s="376" t="s">
        <v>839</v>
      </c>
      <c r="O499" s="376">
        <v>1558</v>
      </c>
      <c r="P499" s="376">
        <v>1121</v>
      </c>
      <c r="Q499" s="376">
        <v>150</v>
      </c>
      <c r="R499" s="376">
        <v>190</v>
      </c>
      <c r="S499" s="376">
        <v>467</v>
      </c>
      <c r="T499" s="376" t="s">
        <v>839</v>
      </c>
      <c r="U499" s="376" t="s">
        <v>839</v>
      </c>
      <c r="V499" s="376">
        <v>279</v>
      </c>
      <c r="W499" s="381" t="s">
        <v>82</v>
      </c>
    </row>
    <row r="500" spans="1:23" s="376" customFormat="1" ht="9.75" customHeight="1" x14ac:dyDescent="0.15">
      <c r="A500" s="756" t="s">
        <v>849</v>
      </c>
      <c r="B500" s="376">
        <v>1</v>
      </c>
      <c r="C500" s="376">
        <v>1</v>
      </c>
      <c r="D500" s="376" t="s">
        <v>839</v>
      </c>
      <c r="E500" s="376" t="s">
        <v>839</v>
      </c>
      <c r="F500" s="376" t="s">
        <v>839</v>
      </c>
      <c r="G500" s="376" t="s">
        <v>839</v>
      </c>
      <c r="H500" s="376" t="s">
        <v>839</v>
      </c>
      <c r="I500" s="376" t="s">
        <v>839</v>
      </c>
      <c r="J500" s="376">
        <v>1</v>
      </c>
      <c r="K500" s="376">
        <v>1</v>
      </c>
      <c r="L500" s="376" t="s">
        <v>839</v>
      </c>
      <c r="M500" s="376" t="s">
        <v>839</v>
      </c>
      <c r="N500" s="376" t="s">
        <v>839</v>
      </c>
      <c r="O500" s="376">
        <v>1296</v>
      </c>
      <c r="P500" s="376">
        <v>704</v>
      </c>
      <c r="Q500" s="376">
        <v>84</v>
      </c>
      <c r="R500" s="376">
        <v>184</v>
      </c>
      <c r="S500" s="376">
        <v>87</v>
      </c>
      <c r="T500" s="376" t="s">
        <v>839</v>
      </c>
      <c r="U500" s="376" t="s">
        <v>839</v>
      </c>
      <c r="V500" s="376">
        <v>321</v>
      </c>
      <c r="W500" s="381" t="s">
        <v>850</v>
      </c>
    </row>
    <row r="501" spans="1:23" s="376" customFormat="1" ht="9.75" customHeight="1" x14ac:dyDescent="0.15">
      <c r="A501" s="756" t="s">
        <v>690</v>
      </c>
      <c r="B501" s="376">
        <v>2</v>
      </c>
      <c r="C501" s="376" t="s">
        <v>839</v>
      </c>
      <c r="D501" s="376" t="s">
        <v>839</v>
      </c>
      <c r="E501" s="376" t="s">
        <v>839</v>
      </c>
      <c r="F501" s="376">
        <v>5</v>
      </c>
      <c r="G501" s="376" t="s">
        <v>839</v>
      </c>
      <c r="H501" s="376">
        <v>4</v>
      </c>
      <c r="I501" s="376">
        <v>1</v>
      </c>
      <c r="J501" s="376" t="s">
        <v>839</v>
      </c>
      <c r="K501" s="376" t="s">
        <v>839</v>
      </c>
      <c r="L501" s="376" t="s">
        <v>839</v>
      </c>
      <c r="M501" s="376" t="s">
        <v>839</v>
      </c>
      <c r="N501" s="376" t="s">
        <v>839</v>
      </c>
      <c r="O501" s="376">
        <v>1509</v>
      </c>
      <c r="P501" s="376">
        <v>791</v>
      </c>
      <c r="Q501" s="376">
        <v>155</v>
      </c>
      <c r="R501" s="376">
        <v>144</v>
      </c>
      <c r="S501" s="376">
        <v>6</v>
      </c>
      <c r="T501" s="376" t="s">
        <v>839</v>
      </c>
      <c r="U501" s="376">
        <v>2</v>
      </c>
      <c r="V501" s="376">
        <v>410</v>
      </c>
      <c r="W501" s="381" t="s">
        <v>77</v>
      </c>
    </row>
    <row r="502" spans="1:23" s="376" customFormat="1" ht="9.75" customHeight="1" x14ac:dyDescent="0.15">
      <c r="A502" s="757" t="s">
        <v>691</v>
      </c>
      <c r="B502" s="380">
        <v>2</v>
      </c>
      <c r="C502" s="379">
        <v>4</v>
      </c>
      <c r="D502" s="379" t="s">
        <v>839</v>
      </c>
      <c r="E502" s="379">
        <v>1</v>
      </c>
      <c r="F502" s="379" t="s">
        <v>839</v>
      </c>
      <c r="G502" s="379" t="s">
        <v>839</v>
      </c>
      <c r="H502" s="379" t="s">
        <v>839</v>
      </c>
      <c r="I502" s="379" t="s">
        <v>839</v>
      </c>
      <c r="J502" s="379" t="s">
        <v>839</v>
      </c>
      <c r="K502" s="379" t="s">
        <v>839</v>
      </c>
      <c r="L502" s="379" t="s">
        <v>839</v>
      </c>
      <c r="M502" s="379" t="s">
        <v>839</v>
      </c>
      <c r="N502" s="379" t="s">
        <v>839</v>
      </c>
      <c r="O502" s="379">
        <v>1089</v>
      </c>
      <c r="P502" s="379">
        <v>685</v>
      </c>
      <c r="Q502" s="379">
        <v>160</v>
      </c>
      <c r="R502" s="379">
        <v>121</v>
      </c>
      <c r="S502" s="379">
        <v>226</v>
      </c>
      <c r="T502" s="379" t="s">
        <v>839</v>
      </c>
      <c r="U502" s="379" t="s">
        <v>839</v>
      </c>
      <c r="V502" s="379">
        <v>97</v>
      </c>
      <c r="W502" s="377" t="s">
        <v>78</v>
      </c>
    </row>
    <row r="503" spans="1:23" ht="12" customHeight="1" x14ac:dyDescent="0.15"/>
    <row r="504" spans="1:23" ht="12" customHeight="1" x14ac:dyDescent="0.15"/>
    <row r="505" spans="1:23" ht="12" customHeight="1" x14ac:dyDescent="0.15">
      <c r="K505" s="391" t="s">
        <v>97</v>
      </c>
      <c r="V505" s="394" t="s">
        <v>984</v>
      </c>
    </row>
    <row r="506" spans="1:23" s="387" customFormat="1" ht="21" customHeight="1" x14ac:dyDescent="0.15">
      <c r="A506" s="1023" t="s">
        <v>185</v>
      </c>
      <c r="B506" s="390" t="s">
        <v>336</v>
      </c>
      <c r="C506" s="389"/>
      <c r="D506" s="389"/>
      <c r="E506" s="389"/>
      <c r="F506" s="389"/>
      <c r="G506" s="389"/>
      <c r="H506" s="389"/>
      <c r="I506" s="389"/>
      <c r="J506" s="389"/>
      <c r="K506" s="389"/>
      <c r="L506" s="389"/>
      <c r="M506" s="389"/>
      <c r="N506" s="389"/>
      <c r="O506" s="389"/>
      <c r="P506" s="389"/>
      <c r="Q506" s="389"/>
      <c r="R506" s="389"/>
      <c r="S506" s="389"/>
      <c r="T506" s="389"/>
      <c r="U506" s="389"/>
      <c r="V506" s="389"/>
      <c r="W506" s="1026" t="s">
        <v>83</v>
      </c>
    </row>
    <row r="507" spans="1:23" s="387" customFormat="1" ht="21" customHeight="1" x14ac:dyDescent="0.15">
      <c r="A507" s="1024"/>
      <c r="B507" s="390" t="s">
        <v>274</v>
      </c>
      <c r="C507" s="389"/>
      <c r="D507" s="389"/>
      <c r="E507" s="389"/>
      <c r="F507" s="389"/>
      <c r="G507" s="389"/>
      <c r="H507" s="389"/>
      <c r="I507" s="389"/>
      <c r="J507" s="389"/>
      <c r="K507" s="732"/>
      <c r="L507" s="733" t="s">
        <v>273</v>
      </c>
      <c r="M507" s="389"/>
      <c r="N507" s="389"/>
      <c r="O507" s="389"/>
      <c r="P507" s="389"/>
      <c r="Q507" s="389"/>
      <c r="R507" s="389"/>
      <c r="S507" s="389"/>
      <c r="T507" s="389"/>
      <c r="U507" s="732"/>
      <c r="V507" s="733" t="s">
        <v>272</v>
      </c>
      <c r="W507" s="1027"/>
    </row>
    <row r="508" spans="1:23" s="387" customFormat="1" ht="52.5" customHeight="1" x14ac:dyDescent="0.15">
      <c r="A508" s="1025"/>
      <c r="B508" s="388" t="s">
        <v>269</v>
      </c>
      <c r="C508" s="388" t="s">
        <v>268</v>
      </c>
      <c r="D508" s="388" t="s">
        <v>318</v>
      </c>
      <c r="E508" s="388" t="s">
        <v>266</v>
      </c>
      <c r="F508" s="388" t="s">
        <v>295</v>
      </c>
      <c r="G508" s="388" t="s">
        <v>317</v>
      </c>
      <c r="H508" s="388" t="s">
        <v>316</v>
      </c>
      <c r="I508" s="388" t="s">
        <v>315</v>
      </c>
      <c r="J508" s="388" t="s">
        <v>278</v>
      </c>
      <c r="K508" s="393" t="s">
        <v>977</v>
      </c>
      <c r="L508" s="735" t="s">
        <v>106</v>
      </c>
      <c r="M508" s="388" t="s">
        <v>156</v>
      </c>
      <c r="N508" s="388" t="s">
        <v>1012</v>
      </c>
      <c r="O508" s="393" t="s">
        <v>979</v>
      </c>
      <c r="P508" s="388" t="s">
        <v>289</v>
      </c>
      <c r="Q508" s="388" t="s">
        <v>260</v>
      </c>
      <c r="R508" s="388" t="s">
        <v>294</v>
      </c>
      <c r="S508" s="388" t="s">
        <v>338</v>
      </c>
      <c r="T508" s="388" t="s">
        <v>313</v>
      </c>
      <c r="U508" s="388" t="s">
        <v>288</v>
      </c>
      <c r="V508" s="734" t="s">
        <v>980</v>
      </c>
      <c r="W508" s="1028"/>
    </row>
    <row r="509" spans="1:23" s="376" customFormat="1" ht="9.75" customHeight="1" x14ac:dyDescent="0.15">
      <c r="A509" s="755" t="s">
        <v>838</v>
      </c>
      <c r="B509" s="386">
        <v>77</v>
      </c>
      <c r="C509" s="385">
        <v>5</v>
      </c>
      <c r="D509" s="385">
        <v>164</v>
      </c>
      <c r="E509" s="385">
        <v>387</v>
      </c>
      <c r="F509" s="385">
        <v>1123</v>
      </c>
      <c r="G509" s="385">
        <v>107</v>
      </c>
      <c r="H509" s="385">
        <v>544</v>
      </c>
      <c r="I509" s="385">
        <v>8</v>
      </c>
      <c r="J509" s="385">
        <v>8</v>
      </c>
      <c r="K509" s="385" t="s">
        <v>839</v>
      </c>
      <c r="L509" s="385">
        <v>1442</v>
      </c>
      <c r="M509" s="385">
        <v>3</v>
      </c>
      <c r="N509" s="385">
        <v>5</v>
      </c>
      <c r="O509" s="385">
        <v>18</v>
      </c>
      <c r="P509" s="385">
        <v>946</v>
      </c>
      <c r="Q509" s="385">
        <v>11</v>
      </c>
      <c r="R509" s="385" t="s">
        <v>839</v>
      </c>
      <c r="S509" s="385">
        <v>336</v>
      </c>
      <c r="T509" s="385" t="s">
        <v>839</v>
      </c>
      <c r="U509" s="385">
        <v>123</v>
      </c>
      <c r="V509" s="385">
        <v>19309</v>
      </c>
      <c r="W509" s="383" t="s">
        <v>457</v>
      </c>
    </row>
    <row r="510" spans="1:23" s="376" customFormat="1" ht="9.75" customHeight="1" x14ac:dyDescent="0.15">
      <c r="A510" s="756" t="s">
        <v>669</v>
      </c>
      <c r="B510" s="376">
        <v>36</v>
      </c>
      <c r="C510" s="376">
        <v>4</v>
      </c>
      <c r="D510" s="376">
        <v>138</v>
      </c>
      <c r="E510" s="376">
        <v>376</v>
      </c>
      <c r="F510" s="376">
        <v>1140</v>
      </c>
      <c r="G510" s="376">
        <v>89</v>
      </c>
      <c r="H510" s="376">
        <v>580</v>
      </c>
      <c r="I510" s="376">
        <v>10</v>
      </c>
      <c r="J510" s="376">
        <v>16</v>
      </c>
      <c r="K510" s="376" t="s">
        <v>839</v>
      </c>
      <c r="L510" s="376">
        <v>3781</v>
      </c>
      <c r="M510" s="376">
        <v>3</v>
      </c>
      <c r="N510" s="376">
        <v>2</v>
      </c>
      <c r="O510" s="376">
        <v>18</v>
      </c>
      <c r="P510" s="376">
        <v>3302</v>
      </c>
      <c r="Q510" s="376">
        <v>11</v>
      </c>
      <c r="R510" s="376" t="s">
        <v>839</v>
      </c>
      <c r="S510" s="376">
        <v>313</v>
      </c>
      <c r="T510" s="376" t="s">
        <v>839</v>
      </c>
      <c r="U510" s="376">
        <v>132</v>
      </c>
      <c r="V510" s="376">
        <v>16208</v>
      </c>
      <c r="W510" s="381" t="s">
        <v>512</v>
      </c>
    </row>
    <row r="511" spans="1:23" s="376" customFormat="1" ht="9.75" customHeight="1" x14ac:dyDescent="0.15">
      <c r="A511" s="756" t="s">
        <v>670</v>
      </c>
      <c r="B511" s="376">
        <v>26</v>
      </c>
      <c r="C511" s="376">
        <v>22</v>
      </c>
      <c r="D511" s="376">
        <v>130</v>
      </c>
      <c r="E511" s="376">
        <v>77</v>
      </c>
      <c r="F511" s="376">
        <v>784</v>
      </c>
      <c r="G511" s="376">
        <v>55</v>
      </c>
      <c r="H511" s="376">
        <v>478</v>
      </c>
      <c r="I511" s="376">
        <v>9</v>
      </c>
      <c r="J511" s="376">
        <v>8</v>
      </c>
      <c r="K511" s="376">
        <v>3</v>
      </c>
      <c r="L511" s="376">
        <v>3630</v>
      </c>
      <c r="M511" s="376">
        <v>4</v>
      </c>
      <c r="N511" s="376">
        <v>4</v>
      </c>
      <c r="O511" s="376">
        <v>54</v>
      </c>
      <c r="P511" s="376">
        <v>3028</v>
      </c>
      <c r="Q511" s="376">
        <v>12</v>
      </c>
      <c r="R511" s="376" t="s">
        <v>839</v>
      </c>
      <c r="S511" s="376">
        <v>336</v>
      </c>
      <c r="T511" s="376" t="s">
        <v>839</v>
      </c>
      <c r="U511" s="376">
        <v>192</v>
      </c>
      <c r="V511" s="376">
        <v>18200</v>
      </c>
      <c r="W511" s="381" t="s">
        <v>620</v>
      </c>
    </row>
    <row r="512" spans="1:23" s="376" customFormat="1" ht="9.75" customHeight="1" x14ac:dyDescent="0.15">
      <c r="A512" s="756" t="s">
        <v>671</v>
      </c>
      <c r="B512" s="376">
        <v>16</v>
      </c>
      <c r="C512" s="376">
        <v>5</v>
      </c>
      <c r="D512" s="376">
        <v>114</v>
      </c>
      <c r="E512" s="376">
        <v>134</v>
      </c>
      <c r="F512" s="376">
        <v>590</v>
      </c>
      <c r="G512" s="376">
        <v>139</v>
      </c>
      <c r="H512" s="376">
        <v>554</v>
      </c>
      <c r="I512" s="376">
        <v>5</v>
      </c>
      <c r="J512" s="376">
        <v>8</v>
      </c>
      <c r="K512" s="376">
        <v>2</v>
      </c>
      <c r="L512" s="376">
        <v>8081</v>
      </c>
      <c r="M512" s="376">
        <v>3</v>
      </c>
      <c r="N512" s="376">
        <v>6</v>
      </c>
      <c r="O512" s="376">
        <v>122</v>
      </c>
      <c r="P512" s="376">
        <v>7294</v>
      </c>
      <c r="Q512" s="376">
        <v>116</v>
      </c>
      <c r="R512" s="376" t="s">
        <v>839</v>
      </c>
      <c r="S512" s="376">
        <v>178</v>
      </c>
      <c r="T512" s="376">
        <v>99</v>
      </c>
      <c r="U512" s="376">
        <v>263</v>
      </c>
      <c r="V512" s="376">
        <v>15415</v>
      </c>
      <c r="W512" s="381" t="s">
        <v>672</v>
      </c>
    </row>
    <row r="513" spans="1:23" s="376" customFormat="1" ht="9.75" customHeight="1" x14ac:dyDescent="0.15">
      <c r="A513" s="756" t="s">
        <v>840</v>
      </c>
      <c r="B513" s="376">
        <v>12</v>
      </c>
      <c r="C513" s="376">
        <v>19</v>
      </c>
      <c r="D513" s="376">
        <v>154</v>
      </c>
      <c r="E513" s="376">
        <v>121</v>
      </c>
      <c r="F513" s="376">
        <v>294</v>
      </c>
      <c r="G513" s="376">
        <v>103</v>
      </c>
      <c r="H513" s="376">
        <v>244</v>
      </c>
      <c r="I513" s="376" t="s">
        <v>839</v>
      </c>
      <c r="J513" s="376">
        <v>8</v>
      </c>
      <c r="K513" s="376">
        <v>3</v>
      </c>
      <c r="L513" s="376">
        <v>8702</v>
      </c>
      <c r="M513" s="376">
        <v>3</v>
      </c>
      <c r="N513" s="376">
        <v>13</v>
      </c>
      <c r="O513" s="376">
        <v>143</v>
      </c>
      <c r="P513" s="376">
        <v>3924</v>
      </c>
      <c r="Q513" s="376">
        <v>4011</v>
      </c>
      <c r="R513" s="376">
        <v>344</v>
      </c>
      <c r="S513" s="376" t="s">
        <v>839</v>
      </c>
      <c r="T513" s="376">
        <v>32</v>
      </c>
      <c r="U513" s="376">
        <v>232</v>
      </c>
      <c r="V513" s="376">
        <v>16968</v>
      </c>
      <c r="W513" s="381" t="s">
        <v>841</v>
      </c>
    </row>
    <row r="514" spans="1:23" s="376" customFormat="1" ht="6.75" customHeight="1" x14ac:dyDescent="0.15">
      <c r="A514" s="787"/>
      <c r="W514" s="381"/>
    </row>
    <row r="515" spans="1:23" s="376" customFormat="1" ht="9.75" customHeight="1" x14ac:dyDescent="0.15">
      <c r="A515" s="756" t="s">
        <v>842</v>
      </c>
      <c r="B515" s="376">
        <v>16</v>
      </c>
      <c r="C515" s="376">
        <v>4</v>
      </c>
      <c r="D515" s="376">
        <v>129</v>
      </c>
      <c r="E515" s="376">
        <v>144</v>
      </c>
      <c r="F515" s="376">
        <v>599</v>
      </c>
      <c r="G515" s="376">
        <v>135</v>
      </c>
      <c r="H515" s="376">
        <v>513</v>
      </c>
      <c r="I515" s="376">
        <v>5</v>
      </c>
      <c r="J515" s="376">
        <v>8</v>
      </c>
      <c r="K515" s="376">
        <v>2</v>
      </c>
      <c r="L515" s="376">
        <v>10511</v>
      </c>
      <c r="M515" s="376">
        <v>3</v>
      </c>
      <c r="N515" s="376">
        <v>10</v>
      </c>
      <c r="O515" s="376">
        <v>174</v>
      </c>
      <c r="P515" s="376">
        <v>7708</v>
      </c>
      <c r="Q515" s="376">
        <v>2108</v>
      </c>
      <c r="R515" s="376" t="s">
        <v>839</v>
      </c>
      <c r="S515" s="376">
        <v>134</v>
      </c>
      <c r="T515" s="376">
        <v>99</v>
      </c>
      <c r="U515" s="376">
        <v>275</v>
      </c>
      <c r="V515" s="376">
        <v>14301</v>
      </c>
      <c r="W515" s="381" t="s">
        <v>673</v>
      </c>
    </row>
    <row r="516" spans="1:23" s="376" customFormat="1" ht="9.75" customHeight="1" x14ac:dyDescent="0.15">
      <c r="A516" s="756" t="s">
        <v>843</v>
      </c>
      <c r="B516" s="376">
        <v>12</v>
      </c>
      <c r="C516" s="376">
        <v>30</v>
      </c>
      <c r="D516" s="376">
        <v>150</v>
      </c>
      <c r="E516" s="376">
        <v>110</v>
      </c>
      <c r="F516" s="376">
        <v>267</v>
      </c>
      <c r="G516" s="376">
        <v>85</v>
      </c>
      <c r="H516" s="376">
        <v>156</v>
      </c>
      <c r="I516" s="376" t="s">
        <v>839</v>
      </c>
      <c r="J516" s="376">
        <v>8</v>
      </c>
      <c r="K516" s="376">
        <v>3</v>
      </c>
      <c r="L516" s="376">
        <v>4593</v>
      </c>
      <c r="M516" s="376">
        <v>2</v>
      </c>
      <c r="N516" s="376">
        <v>9</v>
      </c>
      <c r="O516" s="376">
        <v>92</v>
      </c>
      <c r="P516" s="376">
        <v>1859</v>
      </c>
      <c r="Q516" s="376">
        <v>2019</v>
      </c>
      <c r="R516" s="376">
        <v>344</v>
      </c>
      <c r="S516" s="376" t="s">
        <v>839</v>
      </c>
      <c r="T516" s="376">
        <v>48</v>
      </c>
      <c r="U516" s="376">
        <v>220</v>
      </c>
      <c r="V516" s="376">
        <v>12281</v>
      </c>
      <c r="W516" s="381" t="s">
        <v>844</v>
      </c>
    </row>
    <row r="517" spans="1:23" s="376" customFormat="1" ht="6.75" customHeight="1" x14ac:dyDescent="0.15">
      <c r="A517" s="787"/>
      <c r="W517" s="381"/>
    </row>
    <row r="518" spans="1:23" s="376" customFormat="1" ht="9.75" customHeight="1" x14ac:dyDescent="0.15">
      <c r="A518" s="756" t="s">
        <v>845</v>
      </c>
      <c r="B518" s="376" t="s">
        <v>839</v>
      </c>
      <c r="C518" s="376" t="s">
        <v>839</v>
      </c>
      <c r="D518" s="376">
        <v>56</v>
      </c>
      <c r="E518" s="376">
        <v>44</v>
      </c>
      <c r="F518" s="376">
        <v>62</v>
      </c>
      <c r="G518" s="376">
        <v>35</v>
      </c>
      <c r="H518" s="376">
        <v>123</v>
      </c>
      <c r="I518" s="376" t="s">
        <v>839</v>
      </c>
      <c r="J518" s="376" t="s">
        <v>839</v>
      </c>
      <c r="K518" s="376" t="s">
        <v>839</v>
      </c>
      <c r="L518" s="376">
        <v>4181</v>
      </c>
      <c r="M518" s="376">
        <v>1</v>
      </c>
      <c r="N518" s="376">
        <v>4</v>
      </c>
      <c r="O518" s="376">
        <v>52</v>
      </c>
      <c r="P518" s="376">
        <v>2065</v>
      </c>
      <c r="Q518" s="376">
        <v>1992</v>
      </c>
      <c r="R518" s="376" t="s">
        <v>839</v>
      </c>
      <c r="S518" s="376" t="s">
        <v>839</v>
      </c>
      <c r="T518" s="376" t="s">
        <v>839</v>
      </c>
      <c r="U518" s="376">
        <v>67</v>
      </c>
      <c r="V518" s="376">
        <v>6249</v>
      </c>
      <c r="W518" s="381" t="s">
        <v>677</v>
      </c>
    </row>
    <row r="519" spans="1:23" s="376" customFormat="1" ht="9.75" customHeight="1" x14ac:dyDescent="0.15">
      <c r="A519" s="756" t="s">
        <v>674</v>
      </c>
      <c r="B519" s="376">
        <v>12</v>
      </c>
      <c r="C519" s="376">
        <v>8</v>
      </c>
      <c r="D519" s="376">
        <v>41</v>
      </c>
      <c r="E519" s="376">
        <v>11</v>
      </c>
      <c r="F519" s="376">
        <v>99</v>
      </c>
      <c r="G519" s="376">
        <v>34</v>
      </c>
      <c r="H519" s="376">
        <v>35</v>
      </c>
      <c r="I519" s="376" t="s">
        <v>839</v>
      </c>
      <c r="J519" s="376">
        <v>8</v>
      </c>
      <c r="K519" s="376">
        <v>1</v>
      </c>
      <c r="L519" s="376">
        <v>3318</v>
      </c>
      <c r="M519" s="376">
        <v>1</v>
      </c>
      <c r="N519" s="376">
        <v>5</v>
      </c>
      <c r="O519" s="376">
        <v>74</v>
      </c>
      <c r="P519" s="376">
        <v>1171</v>
      </c>
      <c r="Q519" s="376">
        <v>2019</v>
      </c>
      <c r="R519" s="376" t="s">
        <v>839</v>
      </c>
      <c r="S519" s="376" t="s">
        <v>839</v>
      </c>
      <c r="T519" s="376" t="s">
        <v>839</v>
      </c>
      <c r="U519" s="376">
        <v>48</v>
      </c>
      <c r="V519" s="376">
        <v>2797</v>
      </c>
      <c r="W519" s="381" t="s">
        <v>89</v>
      </c>
    </row>
    <row r="520" spans="1:23" s="376" customFormat="1" ht="9.75" customHeight="1" x14ac:dyDescent="0.15">
      <c r="A520" s="756" t="s">
        <v>675</v>
      </c>
      <c r="B520" s="376" t="s">
        <v>839</v>
      </c>
      <c r="C520" s="376">
        <v>11</v>
      </c>
      <c r="D520" s="376">
        <v>16</v>
      </c>
      <c r="E520" s="376">
        <v>55</v>
      </c>
      <c r="F520" s="376">
        <v>98</v>
      </c>
      <c r="G520" s="376">
        <v>17</v>
      </c>
      <c r="H520" s="376">
        <v>35</v>
      </c>
      <c r="I520" s="376" t="s">
        <v>839</v>
      </c>
      <c r="J520" s="376" t="s">
        <v>839</v>
      </c>
      <c r="K520" s="376">
        <v>1</v>
      </c>
      <c r="L520" s="376">
        <v>996</v>
      </c>
      <c r="M520" s="376" t="s">
        <v>839</v>
      </c>
      <c r="N520" s="376" t="s">
        <v>839</v>
      </c>
      <c r="O520" s="376" t="s">
        <v>839</v>
      </c>
      <c r="P520" s="376">
        <v>688</v>
      </c>
      <c r="Q520" s="376" t="s">
        <v>839</v>
      </c>
      <c r="R520" s="376">
        <v>241</v>
      </c>
      <c r="S520" s="376" t="s">
        <v>839</v>
      </c>
      <c r="T520" s="376" t="s">
        <v>839</v>
      </c>
      <c r="U520" s="376">
        <v>67</v>
      </c>
      <c r="V520" s="376">
        <v>4521</v>
      </c>
      <c r="W520" s="381" t="s">
        <v>90</v>
      </c>
    </row>
    <row r="521" spans="1:23" s="376" customFormat="1" ht="9.75" customHeight="1" x14ac:dyDescent="0.15">
      <c r="A521" s="756" t="s">
        <v>676</v>
      </c>
      <c r="B521" s="376" t="s">
        <v>839</v>
      </c>
      <c r="C521" s="376" t="s">
        <v>839</v>
      </c>
      <c r="D521" s="376">
        <v>41</v>
      </c>
      <c r="E521" s="376">
        <v>11</v>
      </c>
      <c r="F521" s="376">
        <v>35</v>
      </c>
      <c r="G521" s="376">
        <v>17</v>
      </c>
      <c r="H521" s="376">
        <v>51</v>
      </c>
      <c r="I521" s="376" t="s">
        <v>839</v>
      </c>
      <c r="J521" s="376" t="s">
        <v>839</v>
      </c>
      <c r="K521" s="376">
        <v>1</v>
      </c>
      <c r="L521" s="376">
        <v>207</v>
      </c>
      <c r="M521" s="376">
        <v>1</v>
      </c>
      <c r="N521" s="376">
        <v>4</v>
      </c>
      <c r="O521" s="376">
        <v>17</v>
      </c>
      <c r="P521" s="376" t="s">
        <v>839</v>
      </c>
      <c r="Q521" s="376" t="s">
        <v>839</v>
      </c>
      <c r="R521" s="376">
        <v>103</v>
      </c>
      <c r="S521" s="376" t="s">
        <v>839</v>
      </c>
      <c r="T521" s="376">
        <v>32</v>
      </c>
      <c r="U521" s="376">
        <v>50</v>
      </c>
      <c r="V521" s="376">
        <v>3401</v>
      </c>
      <c r="W521" s="381" t="s">
        <v>91</v>
      </c>
    </row>
    <row r="522" spans="1:23" s="376" customFormat="1" ht="9.75" customHeight="1" x14ac:dyDescent="0.15">
      <c r="A522" s="756" t="s">
        <v>846</v>
      </c>
      <c r="B522" s="376" t="s">
        <v>839</v>
      </c>
      <c r="C522" s="376">
        <v>11</v>
      </c>
      <c r="D522" s="376">
        <v>52</v>
      </c>
      <c r="E522" s="376">
        <v>33</v>
      </c>
      <c r="F522" s="376">
        <v>35</v>
      </c>
      <c r="G522" s="376">
        <v>17</v>
      </c>
      <c r="H522" s="376">
        <v>35</v>
      </c>
      <c r="I522" s="376" t="s">
        <v>839</v>
      </c>
      <c r="J522" s="376" t="s">
        <v>839</v>
      </c>
      <c r="K522" s="376" t="s">
        <v>839</v>
      </c>
      <c r="L522" s="376">
        <v>72</v>
      </c>
      <c r="M522" s="376" t="s">
        <v>839</v>
      </c>
      <c r="N522" s="376" t="s">
        <v>839</v>
      </c>
      <c r="O522" s="376">
        <v>1</v>
      </c>
      <c r="P522" s="376" t="s">
        <v>839</v>
      </c>
      <c r="Q522" s="376" t="s">
        <v>839</v>
      </c>
      <c r="R522" s="376" t="s">
        <v>839</v>
      </c>
      <c r="S522" s="376" t="s">
        <v>839</v>
      </c>
      <c r="T522" s="376">
        <v>16</v>
      </c>
      <c r="U522" s="376">
        <v>55</v>
      </c>
      <c r="V522" s="376">
        <v>1562</v>
      </c>
      <c r="W522" s="381" t="s">
        <v>847</v>
      </c>
    </row>
    <row r="523" spans="1:23" s="376" customFormat="1" ht="6.75" customHeight="1" x14ac:dyDescent="0.15">
      <c r="A523" s="787"/>
      <c r="W523" s="381"/>
    </row>
    <row r="524" spans="1:23" s="376" customFormat="1" ht="9.75" customHeight="1" x14ac:dyDescent="0.15">
      <c r="A524" s="756" t="s">
        <v>848</v>
      </c>
      <c r="B524" s="376" t="s">
        <v>839</v>
      </c>
      <c r="C524" s="376" t="s">
        <v>839</v>
      </c>
      <c r="D524" s="376" t="s">
        <v>839</v>
      </c>
      <c r="E524" s="376">
        <v>33</v>
      </c>
      <c r="F524" s="376">
        <v>45</v>
      </c>
      <c r="G524" s="376">
        <v>35</v>
      </c>
      <c r="H524" s="376">
        <v>35</v>
      </c>
      <c r="I524" s="376" t="s">
        <v>839</v>
      </c>
      <c r="J524" s="376" t="s">
        <v>839</v>
      </c>
      <c r="K524" s="376" t="s">
        <v>839</v>
      </c>
      <c r="L524" s="376">
        <v>259</v>
      </c>
      <c r="M524" s="376" t="s">
        <v>839</v>
      </c>
      <c r="N524" s="376" t="s">
        <v>839</v>
      </c>
      <c r="O524" s="376">
        <v>17</v>
      </c>
      <c r="P524" s="376">
        <v>207</v>
      </c>
      <c r="Q524" s="376">
        <v>1</v>
      </c>
      <c r="R524" s="376" t="s">
        <v>839</v>
      </c>
      <c r="S524" s="376" t="s">
        <v>839</v>
      </c>
      <c r="T524" s="376" t="s">
        <v>839</v>
      </c>
      <c r="U524" s="376">
        <v>34</v>
      </c>
      <c r="V524" s="376">
        <v>3355</v>
      </c>
      <c r="W524" s="381" t="s">
        <v>689</v>
      </c>
    </row>
    <row r="525" spans="1:23" s="376" customFormat="1" ht="9.75" customHeight="1" x14ac:dyDescent="0.15">
      <c r="A525" s="756" t="s">
        <v>678</v>
      </c>
      <c r="B525" s="376" t="s">
        <v>839</v>
      </c>
      <c r="C525" s="376" t="s">
        <v>839</v>
      </c>
      <c r="D525" s="376" t="s">
        <v>839</v>
      </c>
      <c r="E525" s="376" t="s">
        <v>839</v>
      </c>
      <c r="F525" s="376">
        <v>17</v>
      </c>
      <c r="G525" s="376" t="s">
        <v>839</v>
      </c>
      <c r="H525" s="376">
        <v>70</v>
      </c>
      <c r="I525" s="376" t="s">
        <v>839</v>
      </c>
      <c r="J525" s="376" t="s">
        <v>839</v>
      </c>
      <c r="K525" s="376" t="s">
        <v>839</v>
      </c>
      <c r="L525" s="376">
        <v>3056</v>
      </c>
      <c r="M525" s="376">
        <v>1</v>
      </c>
      <c r="N525" s="376">
        <v>4</v>
      </c>
      <c r="O525" s="376">
        <v>17</v>
      </c>
      <c r="P525" s="376">
        <v>1032</v>
      </c>
      <c r="Q525" s="376">
        <v>1991</v>
      </c>
      <c r="R525" s="376" t="s">
        <v>839</v>
      </c>
      <c r="S525" s="376" t="s">
        <v>839</v>
      </c>
      <c r="T525" s="376" t="s">
        <v>839</v>
      </c>
      <c r="U525" s="376">
        <v>11</v>
      </c>
      <c r="V525" s="376">
        <v>620</v>
      </c>
      <c r="W525" s="381" t="s">
        <v>77</v>
      </c>
    </row>
    <row r="526" spans="1:23" s="376" customFormat="1" ht="9.75" customHeight="1" x14ac:dyDescent="0.15">
      <c r="A526" s="756" t="s">
        <v>679</v>
      </c>
      <c r="B526" s="376" t="s">
        <v>839</v>
      </c>
      <c r="C526" s="376" t="s">
        <v>839</v>
      </c>
      <c r="D526" s="376">
        <v>56</v>
      </c>
      <c r="E526" s="376">
        <v>11</v>
      </c>
      <c r="F526" s="376" t="s">
        <v>839</v>
      </c>
      <c r="G526" s="376" t="s">
        <v>839</v>
      </c>
      <c r="H526" s="376">
        <v>18</v>
      </c>
      <c r="I526" s="376" t="s">
        <v>839</v>
      </c>
      <c r="J526" s="376" t="s">
        <v>839</v>
      </c>
      <c r="K526" s="376" t="s">
        <v>839</v>
      </c>
      <c r="L526" s="376">
        <v>866</v>
      </c>
      <c r="M526" s="376" t="s">
        <v>839</v>
      </c>
      <c r="N526" s="376" t="s">
        <v>839</v>
      </c>
      <c r="O526" s="376">
        <v>18</v>
      </c>
      <c r="P526" s="376">
        <v>826</v>
      </c>
      <c r="Q526" s="376" t="s">
        <v>839</v>
      </c>
      <c r="R526" s="376" t="s">
        <v>839</v>
      </c>
      <c r="S526" s="376" t="s">
        <v>839</v>
      </c>
      <c r="T526" s="376" t="s">
        <v>839</v>
      </c>
      <c r="U526" s="376">
        <v>22</v>
      </c>
      <c r="V526" s="376">
        <v>2274</v>
      </c>
      <c r="W526" s="381" t="s">
        <v>78</v>
      </c>
    </row>
    <row r="527" spans="1:23" s="376" customFormat="1" ht="9.75" customHeight="1" x14ac:dyDescent="0.15">
      <c r="A527" s="756" t="s">
        <v>680</v>
      </c>
      <c r="B527" s="376">
        <v>1</v>
      </c>
      <c r="C527" s="376" t="s">
        <v>839</v>
      </c>
      <c r="D527" s="376">
        <v>16</v>
      </c>
      <c r="E527" s="376" t="s">
        <v>839</v>
      </c>
      <c r="F527" s="376">
        <v>17</v>
      </c>
      <c r="G527" s="376">
        <v>17</v>
      </c>
      <c r="H527" s="376">
        <v>35</v>
      </c>
      <c r="I527" s="376" t="s">
        <v>839</v>
      </c>
      <c r="J527" s="376">
        <v>8</v>
      </c>
      <c r="K527" s="376">
        <v>1</v>
      </c>
      <c r="L527" s="376">
        <v>461</v>
      </c>
      <c r="M527" s="376" t="s">
        <v>839</v>
      </c>
      <c r="N527" s="376" t="s">
        <v>839</v>
      </c>
      <c r="O527" s="376">
        <v>37</v>
      </c>
      <c r="P527" s="376">
        <v>413</v>
      </c>
      <c r="Q527" s="376" t="s">
        <v>839</v>
      </c>
      <c r="R527" s="376" t="s">
        <v>839</v>
      </c>
      <c r="S527" s="376" t="s">
        <v>839</v>
      </c>
      <c r="T527" s="376" t="s">
        <v>839</v>
      </c>
      <c r="U527" s="376">
        <v>11</v>
      </c>
      <c r="V527" s="376">
        <v>2069</v>
      </c>
      <c r="W527" s="381" t="s">
        <v>79</v>
      </c>
    </row>
    <row r="528" spans="1:23" s="376" customFormat="1" ht="9.75" customHeight="1" x14ac:dyDescent="0.15">
      <c r="A528" s="756" t="s">
        <v>681</v>
      </c>
      <c r="B528" s="376">
        <v>11</v>
      </c>
      <c r="C528" s="376">
        <v>7</v>
      </c>
      <c r="D528" s="376">
        <v>25</v>
      </c>
      <c r="E528" s="376" t="s">
        <v>839</v>
      </c>
      <c r="F528" s="376" t="s">
        <v>839</v>
      </c>
      <c r="G528" s="376" t="s">
        <v>839</v>
      </c>
      <c r="H528" s="376" t="s">
        <v>839</v>
      </c>
      <c r="I528" s="376" t="s">
        <v>839</v>
      </c>
      <c r="J528" s="376" t="s">
        <v>839</v>
      </c>
      <c r="K528" s="376" t="s">
        <v>839</v>
      </c>
      <c r="L528" s="376">
        <v>425</v>
      </c>
      <c r="M528" s="376" t="s">
        <v>839</v>
      </c>
      <c r="N528" s="376" t="s">
        <v>839</v>
      </c>
      <c r="O528" s="376" t="s">
        <v>839</v>
      </c>
      <c r="P528" s="376">
        <v>414</v>
      </c>
      <c r="Q528" s="376" t="s">
        <v>839</v>
      </c>
      <c r="R528" s="376" t="s">
        <v>839</v>
      </c>
      <c r="S528" s="376" t="s">
        <v>839</v>
      </c>
      <c r="T528" s="376" t="s">
        <v>839</v>
      </c>
      <c r="U528" s="376">
        <v>11</v>
      </c>
      <c r="V528" s="376">
        <v>224</v>
      </c>
      <c r="W528" s="381" t="s">
        <v>92</v>
      </c>
    </row>
    <row r="529" spans="1:23" s="376" customFormat="1" ht="9.75" customHeight="1" x14ac:dyDescent="0.15">
      <c r="A529" s="756" t="s">
        <v>682</v>
      </c>
      <c r="B529" s="376" t="s">
        <v>839</v>
      </c>
      <c r="C529" s="376">
        <v>1</v>
      </c>
      <c r="D529" s="376" t="s">
        <v>839</v>
      </c>
      <c r="E529" s="376">
        <v>11</v>
      </c>
      <c r="F529" s="376">
        <v>82</v>
      </c>
      <c r="G529" s="376">
        <v>17</v>
      </c>
      <c r="H529" s="376" t="s">
        <v>839</v>
      </c>
      <c r="I529" s="376" t="s">
        <v>839</v>
      </c>
      <c r="J529" s="376" t="s">
        <v>839</v>
      </c>
      <c r="K529" s="376" t="s">
        <v>839</v>
      </c>
      <c r="L529" s="376">
        <v>2432</v>
      </c>
      <c r="M529" s="376">
        <v>1</v>
      </c>
      <c r="N529" s="376">
        <v>5</v>
      </c>
      <c r="O529" s="376">
        <v>37</v>
      </c>
      <c r="P529" s="376">
        <v>344</v>
      </c>
      <c r="Q529" s="376">
        <v>2019</v>
      </c>
      <c r="R529" s="376" t="s">
        <v>839</v>
      </c>
      <c r="S529" s="376" t="s">
        <v>839</v>
      </c>
      <c r="T529" s="376" t="s">
        <v>839</v>
      </c>
      <c r="U529" s="376">
        <v>26</v>
      </c>
      <c r="V529" s="376">
        <v>504</v>
      </c>
      <c r="W529" s="381" t="s">
        <v>93</v>
      </c>
    </row>
    <row r="530" spans="1:23" s="376" customFormat="1" ht="9.75" customHeight="1" x14ac:dyDescent="0.15">
      <c r="A530" s="756" t="s">
        <v>683</v>
      </c>
      <c r="B530" s="376" t="s">
        <v>839</v>
      </c>
      <c r="C530" s="376" t="s">
        <v>839</v>
      </c>
      <c r="D530" s="376">
        <v>16</v>
      </c>
      <c r="E530" s="376">
        <v>22</v>
      </c>
      <c r="F530" s="376">
        <v>17</v>
      </c>
      <c r="G530" s="376">
        <v>17</v>
      </c>
      <c r="H530" s="376" t="s">
        <v>839</v>
      </c>
      <c r="I530" s="376" t="s">
        <v>839</v>
      </c>
      <c r="J530" s="376" t="s">
        <v>839</v>
      </c>
      <c r="K530" s="376" t="s">
        <v>839</v>
      </c>
      <c r="L530" s="376">
        <v>476</v>
      </c>
      <c r="M530" s="376" t="s">
        <v>839</v>
      </c>
      <c r="N530" s="376" t="s">
        <v>839</v>
      </c>
      <c r="O530" s="376" t="s">
        <v>839</v>
      </c>
      <c r="P530" s="376">
        <v>344</v>
      </c>
      <c r="Q530" s="376" t="s">
        <v>839</v>
      </c>
      <c r="R530" s="376">
        <v>121</v>
      </c>
      <c r="S530" s="376" t="s">
        <v>839</v>
      </c>
      <c r="T530" s="376" t="s">
        <v>839</v>
      </c>
      <c r="U530" s="376">
        <v>11</v>
      </c>
      <c r="V530" s="376">
        <v>1427</v>
      </c>
      <c r="W530" s="381" t="s">
        <v>94</v>
      </c>
    </row>
    <row r="531" spans="1:23" s="376" customFormat="1" ht="9.75" customHeight="1" x14ac:dyDescent="0.15">
      <c r="A531" s="756" t="s">
        <v>684</v>
      </c>
      <c r="B531" s="376" t="s">
        <v>839</v>
      </c>
      <c r="C531" s="376" t="s">
        <v>839</v>
      </c>
      <c r="D531" s="376" t="s">
        <v>839</v>
      </c>
      <c r="E531" s="376">
        <v>22</v>
      </c>
      <c r="F531" s="376">
        <v>63</v>
      </c>
      <c r="G531" s="376" t="s">
        <v>839</v>
      </c>
      <c r="H531" s="376" t="s">
        <v>839</v>
      </c>
      <c r="I531" s="376" t="s">
        <v>839</v>
      </c>
      <c r="J531" s="376" t="s">
        <v>839</v>
      </c>
      <c r="K531" s="376" t="s">
        <v>839</v>
      </c>
      <c r="L531" s="376">
        <v>154</v>
      </c>
      <c r="M531" s="376" t="s">
        <v>839</v>
      </c>
      <c r="N531" s="376" t="s">
        <v>839</v>
      </c>
      <c r="O531" s="376" t="s">
        <v>839</v>
      </c>
      <c r="P531" s="376" t="s">
        <v>839</v>
      </c>
      <c r="Q531" s="376" t="s">
        <v>839</v>
      </c>
      <c r="R531" s="376">
        <v>120</v>
      </c>
      <c r="S531" s="376" t="s">
        <v>839</v>
      </c>
      <c r="T531" s="376" t="s">
        <v>839</v>
      </c>
      <c r="U531" s="376">
        <v>34</v>
      </c>
      <c r="V531" s="376">
        <v>380</v>
      </c>
      <c r="W531" s="381" t="s">
        <v>95</v>
      </c>
    </row>
    <row r="532" spans="1:23" s="376" customFormat="1" ht="9.75" customHeight="1" x14ac:dyDescent="0.15">
      <c r="A532" s="756" t="s">
        <v>685</v>
      </c>
      <c r="B532" s="376" t="s">
        <v>839</v>
      </c>
      <c r="C532" s="376">
        <v>11</v>
      </c>
      <c r="D532" s="376" t="s">
        <v>839</v>
      </c>
      <c r="E532" s="376">
        <v>11</v>
      </c>
      <c r="F532" s="376">
        <v>18</v>
      </c>
      <c r="G532" s="376" t="s">
        <v>839</v>
      </c>
      <c r="H532" s="376">
        <v>35</v>
      </c>
      <c r="I532" s="376" t="s">
        <v>839</v>
      </c>
      <c r="J532" s="376" t="s">
        <v>839</v>
      </c>
      <c r="K532" s="376">
        <v>1</v>
      </c>
      <c r="L532" s="376">
        <v>366</v>
      </c>
      <c r="M532" s="376" t="s">
        <v>839</v>
      </c>
      <c r="N532" s="376" t="s">
        <v>839</v>
      </c>
      <c r="O532" s="376" t="s">
        <v>839</v>
      </c>
      <c r="P532" s="376">
        <v>344</v>
      </c>
      <c r="Q532" s="376" t="s">
        <v>839</v>
      </c>
      <c r="R532" s="376" t="s">
        <v>839</v>
      </c>
      <c r="S532" s="376" t="s">
        <v>839</v>
      </c>
      <c r="T532" s="376" t="s">
        <v>839</v>
      </c>
      <c r="U532" s="376">
        <v>22</v>
      </c>
      <c r="V532" s="376">
        <v>2714</v>
      </c>
      <c r="W532" s="381" t="s">
        <v>96</v>
      </c>
    </row>
    <row r="533" spans="1:23" s="376" customFormat="1" ht="9.75" customHeight="1" x14ac:dyDescent="0.15">
      <c r="A533" s="756" t="s">
        <v>686</v>
      </c>
      <c r="B533" s="376" t="s">
        <v>839</v>
      </c>
      <c r="C533" s="376" t="s">
        <v>839</v>
      </c>
      <c r="D533" s="376">
        <v>41</v>
      </c>
      <c r="E533" s="376">
        <v>11</v>
      </c>
      <c r="F533" s="376">
        <v>17</v>
      </c>
      <c r="G533" s="376" t="s">
        <v>839</v>
      </c>
      <c r="H533" s="376">
        <v>17</v>
      </c>
      <c r="I533" s="376" t="s">
        <v>839</v>
      </c>
      <c r="J533" s="376" t="s">
        <v>839</v>
      </c>
      <c r="K533" s="376" t="s">
        <v>839</v>
      </c>
      <c r="L533" s="376">
        <v>141</v>
      </c>
      <c r="M533" s="376" t="s">
        <v>839</v>
      </c>
      <c r="N533" s="376" t="s">
        <v>839</v>
      </c>
      <c r="O533" s="376" t="s">
        <v>839</v>
      </c>
      <c r="P533" s="376" t="s">
        <v>839</v>
      </c>
      <c r="Q533" s="376" t="s">
        <v>839</v>
      </c>
      <c r="R533" s="376">
        <v>103</v>
      </c>
      <c r="S533" s="376" t="s">
        <v>839</v>
      </c>
      <c r="T533" s="376">
        <v>16</v>
      </c>
      <c r="U533" s="376">
        <v>22</v>
      </c>
      <c r="V533" s="376">
        <v>2686</v>
      </c>
      <c r="W533" s="381" t="s">
        <v>80</v>
      </c>
    </row>
    <row r="534" spans="1:23" s="376" customFormat="1" ht="9.75" customHeight="1" x14ac:dyDescent="0.15">
      <c r="A534" s="756" t="s">
        <v>687</v>
      </c>
      <c r="B534" s="376" t="s">
        <v>839</v>
      </c>
      <c r="C534" s="376" t="s">
        <v>839</v>
      </c>
      <c r="D534" s="376" t="s">
        <v>839</v>
      </c>
      <c r="E534" s="376" t="s">
        <v>839</v>
      </c>
      <c r="F534" s="376">
        <v>1</v>
      </c>
      <c r="G534" s="376">
        <v>17</v>
      </c>
      <c r="H534" s="376">
        <v>17</v>
      </c>
      <c r="I534" s="376" t="s">
        <v>839</v>
      </c>
      <c r="J534" s="376" t="s">
        <v>839</v>
      </c>
      <c r="K534" s="376" t="s">
        <v>839</v>
      </c>
      <c r="L534" s="376">
        <v>21</v>
      </c>
      <c r="M534" s="376" t="s">
        <v>839</v>
      </c>
      <c r="N534" s="376">
        <v>4</v>
      </c>
      <c r="O534" s="376" t="s">
        <v>839</v>
      </c>
      <c r="P534" s="376" t="s">
        <v>839</v>
      </c>
      <c r="Q534" s="376" t="s">
        <v>839</v>
      </c>
      <c r="R534" s="376" t="s">
        <v>839</v>
      </c>
      <c r="S534" s="376" t="s">
        <v>839</v>
      </c>
      <c r="T534" s="376" t="s">
        <v>839</v>
      </c>
      <c r="U534" s="376">
        <v>17</v>
      </c>
      <c r="V534" s="376">
        <v>399</v>
      </c>
      <c r="W534" s="381" t="s">
        <v>81</v>
      </c>
    </row>
    <row r="535" spans="1:23" s="376" customFormat="1" ht="9.75" customHeight="1" x14ac:dyDescent="0.15">
      <c r="A535" s="756" t="s">
        <v>688</v>
      </c>
      <c r="B535" s="376" t="s">
        <v>839</v>
      </c>
      <c r="C535" s="376" t="s">
        <v>839</v>
      </c>
      <c r="D535" s="376" t="s">
        <v>839</v>
      </c>
      <c r="E535" s="376" t="s">
        <v>839</v>
      </c>
      <c r="F535" s="376">
        <v>17</v>
      </c>
      <c r="G535" s="376" t="s">
        <v>839</v>
      </c>
      <c r="H535" s="376">
        <v>17</v>
      </c>
      <c r="I535" s="376" t="s">
        <v>839</v>
      </c>
      <c r="J535" s="376" t="s">
        <v>839</v>
      </c>
      <c r="K535" s="376">
        <v>1</v>
      </c>
      <c r="L535" s="376">
        <v>45</v>
      </c>
      <c r="M535" s="376">
        <v>1</v>
      </c>
      <c r="N535" s="376" t="s">
        <v>839</v>
      </c>
      <c r="O535" s="376">
        <v>17</v>
      </c>
      <c r="P535" s="376" t="s">
        <v>839</v>
      </c>
      <c r="Q535" s="376" t="s">
        <v>839</v>
      </c>
      <c r="R535" s="376" t="s">
        <v>839</v>
      </c>
      <c r="S535" s="376" t="s">
        <v>839</v>
      </c>
      <c r="T535" s="376">
        <v>16</v>
      </c>
      <c r="U535" s="376">
        <v>11</v>
      </c>
      <c r="V535" s="376">
        <v>316</v>
      </c>
      <c r="W535" s="381" t="s">
        <v>82</v>
      </c>
    </row>
    <row r="536" spans="1:23" s="376" customFormat="1" ht="9.75" customHeight="1" x14ac:dyDescent="0.15">
      <c r="A536" s="756" t="s">
        <v>849</v>
      </c>
      <c r="B536" s="376" t="s">
        <v>839</v>
      </c>
      <c r="C536" s="376" t="s">
        <v>839</v>
      </c>
      <c r="D536" s="376" t="s">
        <v>839</v>
      </c>
      <c r="E536" s="376">
        <v>11</v>
      </c>
      <c r="F536" s="376" t="s">
        <v>839</v>
      </c>
      <c r="G536" s="376">
        <v>17</v>
      </c>
      <c r="H536" s="376" t="s">
        <v>839</v>
      </c>
      <c r="I536" s="376" t="s">
        <v>839</v>
      </c>
      <c r="J536" s="376" t="s">
        <v>839</v>
      </c>
      <c r="K536" s="376" t="s">
        <v>839</v>
      </c>
      <c r="L536" s="376">
        <v>22</v>
      </c>
      <c r="M536" s="376" t="s">
        <v>839</v>
      </c>
      <c r="N536" s="376" t="s">
        <v>839</v>
      </c>
      <c r="O536" s="376" t="s">
        <v>839</v>
      </c>
      <c r="P536" s="376" t="s">
        <v>839</v>
      </c>
      <c r="Q536" s="376" t="s">
        <v>839</v>
      </c>
      <c r="R536" s="376" t="s">
        <v>839</v>
      </c>
      <c r="S536" s="376" t="s">
        <v>839</v>
      </c>
      <c r="T536" s="376" t="s">
        <v>839</v>
      </c>
      <c r="U536" s="376">
        <v>22</v>
      </c>
      <c r="V536" s="376">
        <v>542</v>
      </c>
      <c r="W536" s="381" t="s">
        <v>850</v>
      </c>
    </row>
    <row r="537" spans="1:23" s="376" customFormat="1" ht="9.75" customHeight="1" x14ac:dyDescent="0.15">
      <c r="A537" s="756" t="s">
        <v>690</v>
      </c>
      <c r="B537" s="376" t="s">
        <v>839</v>
      </c>
      <c r="C537" s="376">
        <v>11</v>
      </c>
      <c r="D537" s="376">
        <v>52</v>
      </c>
      <c r="E537" s="376">
        <v>11</v>
      </c>
      <c r="F537" s="376" t="s">
        <v>839</v>
      </c>
      <c r="G537" s="376" t="s">
        <v>839</v>
      </c>
      <c r="H537" s="376" t="s">
        <v>839</v>
      </c>
      <c r="I537" s="376" t="s">
        <v>839</v>
      </c>
      <c r="J537" s="376" t="s">
        <v>839</v>
      </c>
      <c r="K537" s="376" t="s">
        <v>839</v>
      </c>
      <c r="L537" s="376">
        <v>11</v>
      </c>
      <c r="M537" s="376" t="s">
        <v>839</v>
      </c>
      <c r="N537" s="376" t="s">
        <v>839</v>
      </c>
      <c r="O537" s="376" t="s">
        <v>839</v>
      </c>
      <c r="P537" s="376" t="s">
        <v>839</v>
      </c>
      <c r="Q537" s="376" t="s">
        <v>839</v>
      </c>
      <c r="R537" s="376" t="s">
        <v>839</v>
      </c>
      <c r="S537" s="376" t="s">
        <v>839</v>
      </c>
      <c r="T537" s="376" t="s">
        <v>839</v>
      </c>
      <c r="U537" s="376">
        <v>11</v>
      </c>
      <c r="V537" s="376">
        <v>686</v>
      </c>
      <c r="W537" s="381" t="s">
        <v>77</v>
      </c>
    </row>
    <row r="538" spans="1:23" s="376" customFormat="1" ht="9.75" customHeight="1" x14ac:dyDescent="0.15">
      <c r="A538" s="757" t="s">
        <v>691</v>
      </c>
      <c r="B538" s="380" t="s">
        <v>839</v>
      </c>
      <c r="C538" s="379" t="s">
        <v>839</v>
      </c>
      <c r="D538" s="379" t="s">
        <v>839</v>
      </c>
      <c r="E538" s="379">
        <v>11</v>
      </c>
      <c r="F538" s="379">
        <v>35</v>
      </c>
      <c r="G538" s="379" t="s">
        <v>839</v>
      </c>
      <c r="H538" s="379">
        <v>35</v>
      </c>
      <c r="I538" s="379" t="s">
        <v>839</v>
      </c>
      <c r="J538" s="379" t="s">
        <v>839</v>
      </c>
      <c r="K538" s="379" t="s">
        <v>839</v>
      </c>
      <c r="L538" s="379">
        <v>39</v>
      </c>
      <c r="M538" s="379" t="s">
        <v>839</v>
      </c>
      <c r="N538" s="379" t="s">
        <v>839</v>
      </c>
      <c r="O538" s="379">
        <v>1</v>
      </c>
      <c r="P538" s="379" t="s">
        <v>839</v>
      </c>
      <c r="Q538" s="379" t="s">
        <v>839</v>
      </c>
      <c r="R538" s="379" t="s">
        <v>839</v>
      </c>
      <c r="S538" s="379" t="s">
        <v>839</v>
      </c>
      <c r="T538" s="379">
        <v>16</v>
      </c>
      <c r="U538" s="379">
        <v>22</v>
      </c>
      <c r="V538" s="379">
        <v>334</v>
      </c>
      <c r="W538" s="377" t="s">
        <v>78</v>
      </c>
    </row>
    <row r="539" spans="1:23" ht="12" customHeight="1" x14ac:dyDescent="0.15"/>
    <row r="540" spans="1:23" ht="12" customHeight="1" x14ac:dyDescent="0.15"/>
    <row r="541" spans="1:23" ht="12" customHeight="1" x14ac:dyDescent="0.15">
      <c r="K541" s="391" t="s">
        <v>97</v>
      </c>
    </row>
    <row r="542" spans="1:23" s="387" customFormat="1" ht="21" customHeight="1" x14ac:dyDescent="0.15">
      <c r="A542" s="1023" t="s">
        <v>185</v>
      </c>
      <c r="B542" s="390" t="s">
        <v>336</v>
      </c>
      <c r="C542" s="389"/>
      <c r="D542" s="389"/>
      <c r="E542" s="389"/>
      <c r="F542" s="389"/>
      <c r="G542" s="389"/>
      <c r="H542" s="389"/>
      <c r="I542" s="389"/>
      <c r="J542" s="389"/>
      <c r="K542" s="389"/>
      <c r="L542" s="389"/>
      <c r="M542" s="389"/>
      <c r="N542" s="389"/>
      <c r="O542" s="389"/>
      <c r="P542" s="389"/>
      <c r="Q542" s="389"/>
      <c r="R542" s="389"/>
      <c r="S542" s="389"/>
      <c r="T542" s="389"/>
      <c r="U542" s="389"/>
      <c r="V542" s="389"/>
      <c r="W542" s="1026" t="s">
        <v>83</v>
      </c>
    </row>
    <row r="543" spans="1:23" s="387" customFormat="1" ht="21" customHeight="1" x14ac:dyDescent="0.15">
      <c r="A543" s="1024"/>
      <c r="B543" s="390" t="s">
        <v>999</v>
      </c>
      <c r="C543" s="389"/>
      <c r="D543" s="389"/>
      <c r="E543" s="389"/>
      <c r="F543" s="389"/>
      <c r="G543" s="732"/>
      <c r="H543" s="733" t="s">
        <v>271</v>
      </c>
      <c r="I543" s="389"/>
      <c r="J543" s="389"/>
      <c r="K543" s="389"/>
      <c r="L543" s="389"/>
      <c r="M543" s="389"/>
      <c r="N543" s="389"/>
      <c r="O543" s="389"/>
      <c r="P543" s="732"/>
      <c r="Q543" s="733" t="s">
        <v>256</v>
      </c>
      <c r="R543" s="389"/>
      <c r="S543" s="732"/>
      <c r="T543" s="733" t="s">
        <v>255</v>
      </c>
      <c r="U543" s="389"/>
      <c r="V543" s="389"/>
      <c r="W543" s="1027"/>
    </row>
    <row r="544" spans="1:23" s="387" customFormat="1" ht="52.5" customHeight="1" x14ac:dyDescent="0.15">
      <c r="A544" s="1025"/>
      <c r="B544" s="388" t="s">
        <v>287</v>
      </c>
      <c r="C544" s="388" t="s">
        <v>258</v>
      </c>
      <c r="D544" s="388" t="s">
        <v>311</v>
      </c>
      <c r="E544" s="388" t="s">
        <v>337</v>
      </c>
      <c r="F544" s="388" t="s">
        <v>1013</v>
      </c>
      <c r="G544" s="388" t="s">
        <v>335</v>
      </c>
      <c r="H544" s="735" t="s">
        <v>982</v>
      </c>
      <c r="I544" s="388" t="s">
        <v>334</v>
      </c>
      <c r="J544" s="388" t="s">
        <v>1014</v>
      </c>
      <c r="K544" s="388" t="s">
        <v>333</v>
      </c>
      <c r="L544" s="388" t="s">
        <v>257</v>
      </c>
      <c r="M544" s="388" t="s">
        <v>332</v>
      </c>
      <c r="N544" s="388" t="s">
        <v>254</v>
      </c>
      <c r="O544" s="388" t="s">
        <v>590</v>
      </c>
      <c r="P544" s="388" t="s">
        <v>275</v>
      </c>
      <c r="Q544" s="735" t="s">
        <v>983</v>
      </c>
      <c r="R544" s="388" t="s">
        <v>331</v>
      </c>
      <c r="S544" s="388" t="s">
        <v>985</v>
      </c>
      <c r="T544" s="735" t="s">
        <v>986</v>
      </c>
      <c r="U544" s="388" t="s">
        <v>250</v>
      </c>
      <c r="V544" s="392" t="s">
        <v>1003</v>
      </c>
      <c r="W544" s="1028"/>
    </row>
    <row r="545" spans="1:23" s="376" customFormat="1" ht="9.75" customHeight="1" x14ac:dyDescent="0.15">
      <c r="A545" s="755" t="s">
        <v>838</v>
      </c>
      <c r="B545" s="386">
        <v>189</v>
      </c>
      <c r="C545" s="385">
        <v>18622</v>
      </c>
      <c r="D545" s="385">
        <v>17</v>
      </c>
      <c r="E545" s="385" t="s">
        <v>839</v>
      </c>
      <c r="F545" s="385">
        <v>481</v>
      </c>
      <c r="G545" s="385" t="s">
        <v>839</v>
      </c>
      <c r="H545" s="385">
        <v>517</v>
      </c>
      <c r="I545" s="385">
        <v>69</v>
      </c>
      <c r="J545" s="385" t="s">
        <v>839</v>
      </c>
      <c r="K545" s="385">
        <v>52</v>
      </c>
      <c r="L545" s="385">
        <v>9</v>
      </c>
      <c r="M545" s="385">
        <v>192</v>
      </c>
      <c r="N545" s="385">
        <v>56</v>
      </c>
      <c r="O545" s="385" t="s">
        <v>839</v>
      </c>
      <c r="P545" s="385">
        <v>139</v>
      </c>
      <c r="Q545" s="385">
        <v>406</v>
      </c>
      <c r="R545" s="385">
        <v>140</v>
      </c>
      <c r="S545" s="385">
        <v>266</v>
      </c>
      <c r="T545" s="385">
        <v>323</v>
      </c>
      <c r="U545" s="385">
        <v>209</v>
      </c>
      <c r="V545" s="385">
        <v>114</v>
      </c>
      <c r="W545" s="383" t="s">
        <v>457</v>
      </c>
    </row>
    <row r="546" spans="1:23" s="376" customFormat="1" ht="9.75" customHeight="1" x14ac:dyDescent="0.15">
      <c r="A546" s="756" t="s">
        <v>669</v>
      </c>
      <c r="B546" s="376">
        <v>198</v>
      </c>
      <c r="C546" s="376">
        <v>15597</v>
      </c>
      <c r="D546" s="376" t="s">
        <v>839</v>
      </c>
      <c r="E546" s="376" t="s">
        <v>839</v>
      </c>
      <c r="F546" s="376">
        <v>310</v>
      </c>
      <c r="G546" s="376">
        <v>103</v>
      </c>
      <c r="H546" s="376">
        <v>350</v>
      </c>
      <c r="I546" s="376">
        <v>99</v>
      </c>
      <c r="J546" s="376" t="s">
        <v>839</v>
      </c>
      <c r="K546" s="376">
        <v>24</v>
      </c>
      <c r="L546" s="376" t="s">
        <v>839</v>
      </c>
      <c r="M546" s="376">
        <v>156</v>
      </c>
      <c r="N546" s="376" t="s">
        <v>839</v>
      </c>
      <c r="O546" s="376" t="s">
        <v>839</v>
      </c>
      <c r="P546" s="376">
        <v>71</v>
      </c>
      <c r="Q546" s="376">
        <v>307</v>
      </c>
      <c r="R546" s="376">
        <v>87</v>
      </c>
      <c r="S546" s="376">
        <v>220</v>
      </c>
      <c r="T546" s="376">
        <v>304</v>
      </c>
      <c r="U546" s="376">
        <v>184</v>
      </c>
      <c r="V546" s="376">
        <v>120</v>
      </c>
      <c r="W546" s="381" t="s">
        <v>512</v>
      </c>
    </row>
    <row r="547" spans="1:23" s="376" customFormat="1" ht="9.75" customHeight="1" x14ac:dyDescent="0.15">
      <c r="A547" s="756" t="s">
        <v>670</v>
      </c>
      <c r="B547" s="376">
        <v>198</v>
      </c>
      <c r="C547" s="376">
        <v>16111</v>
      </c>
      <c r="D547" s="376" t="s">
        <v>839</v>
      </c>
      <c r="E547" s="376">
        <v>14</v>
      </c>
      <c r="F547" s="376">
        <v>1463</v>
      </c>
      <c r="G547" s="376">
        <v>414</v>
      </c>
      <c r="H547" s="376">
        <v>4652</v>
      </c>
      <c r="I547" s="376">
        <v>72</v>
      </c>
      <c r="J547" s="376">
        <v>129</v>
      </c>
      <c r="K547" s="376">
        <v>36</v>
      </c>
      <c r="L547" s="376">
        <v>86</v>
      </c>
      <c r="M547" s="376">
        <v>173</v>
      </c>
      <c r="N547" s="376">
        <v>4036</v>
      </c>
      <c r="O547" s="376">
        <v>34</v>
      </c>
      <c r="P547" s="376">
        <v>86</v>
      </c>
      <c r="Q547" s="376">
        <v>191</v>
      </c>
      <c r="R547" s="376">
        <v>34</v>
      </c>
      <c r="S547" s="376">
        <v>157</v>
      </c>
      <c r="T547" s="376">
        <v>311</v>
      </c>
      <c r="U547" s="376">
        <v>190</v>
      </c>
      <c r="V547" s="376">
        <v>121</v>
      </c>
      <c r="W547" s="381" t="s">
        <v>620</v>
      </c>
    </row>
    <row r="548" spans="1:23" s="376" customFormat="1" ht="9.75" customHeight="1" x14ac:dyDescent="0.15">
      <c r="A548" s="756" t="s">
        <v>671</v>
      </c>
      <c r="B548" s="376">
        <v>252</v>
      </c>
      <c r="C548" s="376">
        <v>12778</v>
      </c>
      <c r="D548" s="376" t="s">
        <v>839</v>
      </c>
      <c r="E548" s="376" t="s">
        <v>839</v>
      </c>
      <c r="F548" s="376">
        <v>2385</v>
      </c>
      <c r="G548" s="376" t="s">
        <v>839</v>
      </c>
      <c r="H548" s="376">
        <v>577</v>
      </c>
      <c r="I548" s="376">
        <v>75</v>
      </c>
      <c r="J548" s="376" t="s">
        <v>839</v>
      </c>
      <c r="K548" s="376">
        <v>29</v>
      </c>
      <c r="L548" s="376">
        <v>137</v>
      </c>
      <c r="M548" s="376">
        <v>122</v>
      </c>
      <c r="N548" s="376">
        <v>129</v>
      </c>
      <c r="O548" s="376">
        <v>52</v>
      </c>
      <c r="P548" s="376">
        <v>33</v>
      </c>
      <c r="Q548" s="376">
        <v>356</v>
      </c>
      <c r="R548" s="376">
        <v>104</v>
      </c>
      <c r="S548" s="376">
        <v>252</v>
      </c>
      <c r="T548" s="376">
        <v>262</v>
      </c>
      <c r="U548" s="376">
        <v>124</v>
      </c>
      <c r="V548" s="376">
        <v>138</v>
      </c>
      <c r="W548" s="381" t="s">
        <v>672</v>
      </c>
    </row>
    <row r="549" spans="1:23" s="376" customFormat="1" ht="9.75" customHeight="1" x14ac:dyDescent="0.15">
      <c r="A549" s="756" t="s">
        <v>840</v>
      </c>
      <c r="B549" s="376">
        <v>288</v>
      </c>
      <c r="C549" s="376">
        <v>16652</v>
      </c>
      <c r="D549" s="376" t="s">
        <v>839</v>
      </c>
      <c r="E549" s="376">
        <v>2</v>
      </c>
      <c r="F549" s="376">
        <v>26</v>
      </c>
      <c r="G549" s="376" t="s">
        <v>839</v>
      </c>
      <c r="H549" s="376">
        <v>392</v>
      </c>
      <c r="I549" s="376">
        <v>156</v>
      </c>
      <c r="J549" s="376" t="s">
        <v>839</v>
      </c>
      <c r="K549" s="376">
        <v>36</v>
      </c>
      <c r="L549" s="376">
        <v>95</v>
      </c>
      <c r="M549" s="376">
        <v>87</v>
      </c>
      <c r="N549" s="376" t="s">
        <v>839</v>
      </c>
      <c r="O549" s="376">
        <v>18</v>
      </c>
      <c r="P549" s="376" t="s">
        <v>839</v>
      </c>
      <c r="Q549" s="376">
        <v>321</v>
      </c>
      <c r="R549" s="376">
        <v>85</v>
      </c>
      <c r="S549" s="376">
        <v>236</v>
      </c>
      <c r="T549" s="376">
        <v>263</v>
      </c>
      <c r="U549" s="376">
        <v>112</v>
      </c>
      <c r="V549" s="376">
        <v>151</v>
      </c>
      <c r="W549" s="381" t="s">
        <v>841</v>
      </c>
    </row>
    <row r="550" spans="1:23" s="376" customFormat="1" ht="6.75" customHeight="1" x14ac:dyDescent="0.15">
      <c r="A550" s="787"/>
      <c r="W550" s="381"/>
    </row>
    <row r="551" spans="1:23" s="376" customFormat="1" ht="9.75" customHeight="1" x14ac:dyDescent="0.15">
      <c r="A551" s="756" t="s">
        <v>842</v>
      </c>
      <c r="B551" s="376">
        <v>216</v>
      </c>
      <c r="C551" s="376">
        <v>13311</v>
      </c>
      <c r="D551" s="376" t="s">
        <v>839</v>
      </c>
      <c r="E551" s="376" t="s">
        <v>839</v>
      </c>
      <c r="F551" s="376">
        <v>774</v>
      </c>
      <c r="G551" s="376" t="s">
        <v>839</v>
      </c>
      <c r="H551" s="376">
        <v>467</v>
      </c>
      <c r="I551" s="376">
        <v>138</v>
      </c>
      <c r="J551" s="376" t="s">
        <v>839</v>
      </c>
      <c r="K551" s="376">
        <v>47</v>
      </c>
      <c r="L551" s="376">
        <v>125</v>
      </c>
      <c r="M551" s="376">
        <v>87</v>
      </c>
      <c r="N551" s="376" t="s">
        <v>839</v>
      </c>
      <c r="O551" s="376">
        <v>70</v>
      </c>
      <c r="P551" s="376" t="s">
        <v>839</v>
      </c>
      <c r="Q551" s="376">
        <v>371</v>
      </c>
      <c r="R551" s="376">
        <v>104</v>
      </c>
      <c r="S551" s="376">
        <v>267</v>
      </c>
      <c r="T551" s="376">
        <v>277</v>
      </c>
      <c r="U551" s="376">
        <v>124</v>
      </c>
      <c r="V551" s="376">
        <v>153</v>
      </c>
      <c r="W551" s="381" t="s">
        <v>673</v>
      </c>
    </row>
    <row r="552" spans="1:23" s="376" customFormat="1" ht="9.75" customHeight="1" x14ac:dyDescent="0.15">
      <c r="A552" s="756" t="s">
        <v>843</v>
      </c>
      <c r="B552" s="376">
        <v>252</v>
      </c>
      <c r="C552" s="376">
        <v>11736</v>
      </c>
      <c r="D552" s="376" t="s">
        <v>839</v>
      </c>
      <c r="E552" s="376">
        <v>10</v>
      </c>
      <c r="F552" s="376">
        <v>283</v>
      </c>
      <c r="G552" s="376" t="s">
        <v>839</v>
      </c>
      <c r="H552" s="376">
        <v>236</v>
      </c>
      <c r="I552" s="376">
        <v>93</v>
      </c>
      <c r="J552" s="376" t="s">
        <v>839</v>
      </c>
      <c r="K552" s="376">
        <v>18</v>
      </c>
      <c r="L552" s="376">
        <v>73</v>
      </c>
      <c r="M552" s="376">
        <v>52</v>
      </c>
      <c r="N552" s="376" t="s">
        <v>839</v>
      </c>
      <c r="O552" s="376" t="s">
        <v>839</v>
      </c>
      <c r="P552" s="376" t="s">
        <v>839</v>
      </c>
      <c r="Q552" s="376">
        <v>306</v>
      </c>
      <c r="R552" s="376">
        <v>85</v>
      </c>
      <c r="S552" s="376">
        <v>221</v>
      </c>
      <c r="T552" s="376">
        <v>231</v>
      </c>
      <c r="U552" s="376">
        <v>113</v>
      </c>
      <c r="V552" s="376">
        <v>118</v>
      </c>
      <c r="W552" s="381" t="s">
        <v>844</v>
      </c>
    </row>
    <row r="553" spans="1:23" s="376" customFormat="1" ht="6.75" customHeight="1" x14ac:dyDescent="0.15">
      <c r="A553" s="787"/>
      <c r="W553" s="381"/>
    </row>
    <row r="554" spans="1:23" s="376" customFormat="1" ht="9.75" customHeight="1" x14ac:dyDescent="0.15">
      <c r="A554" s="756" t="s">
        <v>845</v>
      </c>
      <c r="B554" s="376">
        <v>72</v>
      </c>
      <c r="C554" s="376">
        <v>6151</v>
      </c>
      <c r="D554" s="376" t="s">
        <v>839</v>
      </c>
      <c r="E554" s="376" t="s">
        <v>839</v>
      </c>
      <c r="F554" s="376">
        <v>26</v>
      </c>
      <c r="G554" s="376" t="s">
        <v>839</v>
      </c>
      <c r="H554" s="376">
        <v>156</v>
      </c>
      <c r="I554" s="376">
        <v>63</v>
      </c>
      <c r="J554" s="376" t="s">
        <v>839</v>
      </c>
      <c r="K554" s="376">
        <v>18</v>
      </c>
      <c r="L554" s="376">
        <v>22</v>
      </c>
      <c r="M554" s="376">
        <v>35</v>
      </c>
      <c r="N554" s="376" t="s">
        <v>839</v>
      </c>
      <c r="O554" s="376">
        <v>18</v>
      </c>
      <c r="P554" s="376" t="s">
        <v>839</v>
      </c>
      <c r="Q554" s="376">
        <v>47</v>
      </c>
      <c r="R554" s="376" t="s">
        <v>839</v>
      </c>
      <c r="S554" s="376">
        <v>47</v>
      </c>
      <c r="T554" s="376">
        <v>80</v>
      </c>
      <c r="U554" s="376">
        <v>30</v>
      </c>
      <c r="V554" s="376">
        <v>50</v>
      </c>
      <c r="W554" s="381" t="s">
        <v>677</v>
      </c>
    </row>
    <row r="555" spans="1:23" s="376" customFormat="1" ht="9.75" customHeight="1" x14ac:dyDescent="0.15">
      <c r="A555" s="756" t="s">
        <v>674</v>
      </c>
      <c r="B555" s="376">
        <v>36</v>
      </c>
      <c r="C555" s="376">
        <v>2761</v>
      </c>
      <c r="D555" s="376" t="s">
        <v>839</v>
      </c>
      <c r="E555" s="376" t="s">
        <v>839</v>
      </c>
      <c r="F555" s="376" t="s">
        <v>839</v>
      </c>
      <c r="G555" s="376" t="s">
        <v>839</v>
      </c>
      <c r="H555" s="376">
        <v>45</v>
      </c>
      <c r="I555" s="376" t="s">
        <v>839</v>
      </c>
      <c r="J555" s="376" t="s">
        <v>839</v>
      </c>
      <c r="K555" s="376" t="s">
        <v>839</v>
      </c>
      <c r="L555" s="376">
        <v>28</v>
      </c>
      <c r="M555" s="376">
        <v>17</v>
      </c>
      <c r="N555" s="376" t="s">
        <v>839</v>
      </c>
      <c r="O555" s="376" t="s">
        <v>839</v>
      </c>
      <c r="P555" s="376" t="s">
        <v>839</v>
      </c>
      <c r="Q555" s="376">
        <v>80</v>
      </c>
      <c r="R555" s="376">
        <v>17</v>
      </c>
      <c r="S555" s="376">
        <v>63</v>
      </c>
      <c r="T555" s="376">
        <v>115</v>
      </c>
      <c r="U555" s="376">
        <v>65</v>
      </c>
      <c r="V555" s="376">
        <v>50</v>
      </c>
      <c r="W555" s="381" t="s">
        <v>89</v>
      </c>
    </row>
    <row r="556" spans="1:23" s="376" customFormat="1" ht="9.75" customHeight="1" x14ac:dyDescent="0.15">
      <c r="A556" s="756" t="s">
        <v>675</v>
      </c>
      <c r="B556" s="376">
        <v>90</v>
      </c>
      <c r="C556" s="376">
        <v>4431</v>
      </c>
      <c r="D556" s="376" t="s">
        <v>839</v>
      </c>
      <c r="E556" s="376" t="s">
        <v>839</v>
      </c>
      <c r="F556" s="376" t="s">
        <v>839</v>
      </c>
      <c r="G556" s="376" t="s">
        <v>839</v>
      </c>
      <c r="H556" s="376">
        <v>110</v>
      </c>
      <c r="I556" s="376">
        <v>58</v>
      </c>
      <c r="J556" s="376" t="s">
        <v>839</v>
      </c>
      <c r="K556" s="376">
        <v>18</v>
      </c>
      <c r="L556" s="376">
        <v>34</v>
      </c>
      <c r="M556" s="376" t="s">
        <v>839</v>
      </c>
      <c r="N556" s="376" t="s">
        <v>839</v>
      </c>
      <c r="O556" s="376" t="s">
        <v>839</v>
      </c>
      <c r="P556" s="376" t="s">
        <v>839</v>
      </c>
      <c r="Q556" s="376">
        <v>80</v>
      </c>
      <c r="R556" s="376">
        <v>17</v>
      </c>
      <c r="S556" s="376">
        <v>63</v>
      </c>
      <c r="T556" s="376">
        <v>51</v>
      </c>
      <c r="U556" s="376">
        <v>17</v>
      </c>
      <c r="V556" s="376">
        <v>34</v>
      </c>
      <c r="W556" s="381" t="s">
        <v>90</v>
      </c>
    </row>
    <row r="557" spans="1:23" s="376" customFormat="1" ht="9.75" customHeight="1" x14ac:dyDescent="0.15">
      <c r="A557" s="756" t="s">
        <v>676</v>
      </c>
      <c r="B557" s="376">
        <v>90</v>
      </c>
      <c r="C557" s="376">
        <v>3309</v>
      </c>
      <c r="D557" s="376" t="s">
        <v>839</v>
      </c>
      <c r="E557" s="376">
        <v>2</v>
      </c>
      <c r="F557" s="376" t="s">
        <v>839</v>
      </c>
      <c r="G557" s="376" t="s">
        <v>839</v>
      </c>
      <c r="H557" s="376">
        <v>81</v>
      </c>
      <c r="I557" s="376">
        <v>35</v>
      </c>
      <c r="J557" s="376" t="s">
        <v>839</v>
      </c>
      <c r="K557" s="376" t="s">
        <v>839</v>
      </c>
      <c r="L557" s="376">
        <v>11</v>
      </c>
      <c r="M557" s="376">
        <v>35</v>
      </c>
      <c r="N557" s="376" t="s">
        <v>839</v>
      </c>
      <c r="O557" s="376" t="s">
        <v>839</v>
      </c>
      <c r="P557" s="376" t="s">
        <v>839</v>
      </c>
      <c r="Q557" s="376">
        <v>114</v>
      </c>
      <c r="R557" s="376">
        <v>51</v>
      </c>
      <c r="S557" s="376">
        <v>63</v>
      </c>
      <c r="T557" s="376">
        <v>17</v>
      </c>
      <c r="U557" s="376" t="s">
        <v>839</v>
      </c>
      <c r="V557" s="376">
        <v>17</v>
      </c>
      <c r="W557" s="381" t="s">
        <v>91</v>
      </c>
    </row>
    <row r="558" spans="1:23" s="376" customFormat="1" ht="9.75" customHeight="1" x14ac:dyDescent="0.15">
      <c r="A558" s="756" t="s">
        <v>846</v>
      </c>
      <c r="B558" s="376">
        <v>36</v>
      </c>
      <c r="C558" s="376">
        <v>1235</v>
      </c>
      <c r="D558" s="376" t="s">
        <v>839</v>
      </c>
      <c r="E558" s="376">
        <v>8</v>
      </c>
      <c r="F558" s="376">
        <v>283</v>
      </c>
      <c r="G558" s="376" t="s">
        <v>839</v>
      </c>
      <c r="H558" s="376" t="s">
        <v>839</v>
      </c>
      <c r="I558" s="376" t="s">
        <v>839</v>
      </c>
      <c r="J558" s="376" t="s">
        <v>839</v>
      </c>
      <c r="K558" s="376" t="s">
        <v>839</v>
      </c>
      <c r="L558" s="376" t="s">
        <v>839</v>
      </c>
      <c r="M558" s="376" t="s">
        <v>839</v>
      </c>
      <c r="N558" s="376" t="s">
        <v>839</v>
      </c>
      <c r="O558" s="376" t="s">
        <v>839</v>
      </c>
      <c r="P558" s="376" t="s">
        <v>839</v>
      </c>
      <c r="Q558" s="376">
        <v>32</v>
      </c>
      <c r="R558" s="376" t="s">
        <v>839</v>
      </c>
      <c r="S558" s="376">
        <v>32</v>
      </c>
      <c r="T558" s="376">
        <v>48</v>
      </c>
      <c r="U558" s="376">
        <v>31</v>
      </c>
      <c r="V558" s="376">
        <v>17</v>
      </c>
      <c r="W558" s="381" t="s">
        <v>847</v>
      </c>
    </row>
    <row r="559" spans="1:23" s="376" customFormat="1" ht="6.75" customHeight="1" x14ac:dyDescent="0.15">
      <c r="A559" s="787"/>
      <c r="W559" s="381"/>
    </row>
    <row r="560" spans="1:23" s="376" customFormat="1" ht="9.75" customHeight="1" x14ac:dyDescent="0.15">
      <c r="A560" s="756" t="s">
        <v>848</v>
      </c>
      <c r="B560" s="376" t="s">
        <v>839</v>
      </c>
      <c r="C560" s="376">
        <v>3355</v>
      </c>
      <c r="D560" s="376" t="s">
        <v>839</v>
      </c>
      <c r="E560" s="376" t="s">
        <v>839</v>
      </c>
      <c r="F560" s="376" t="s">
        <v>839</v>
      </c>
      <c r="G560" s="376" t="s">
        <v>839</v>
      </c>
      <c r="H560" s="376">
        <v>73</v>
      </c>
      <c r="I560" s="376">
        <v>16</v>
      </c>
      <c r="J560" s="376" t="s">
        <v>839</v>
      </c>
      <c r="K560" s="376" t="s">
        <v>839</v>
      </c>
      <c r="L560" s="376">
        <v>22</v>
      </c>
      <c r="M560" s="376">
        <v>35</v>
      </c>
      <c r="N560" s="376" t="s">
        <v>839</v>
      </c>
      <c r="O560" s="376" t="s">
        <v>839</v>
      </c>
      <c r="P560" s="376" t="s">
        <v>839</v>
      </c>
      <c r="Q560" s="376" t="s">
        <v>839</v>
      </c>
      <c r="R560" s="376" t="s">
        <v>839</v>
      </c>
      <c r="S560" s="376" t="s">
        <v>839</v>
      </c>
      <c r="T560" s="376">
        <v>35</v>
      </c>
      <c r="U560" s="376" t="s">
        <v>839</v>
      </c>
      <c r="V560" s="376">
        <v>35</v>
      </c>
      <c r="W560" s="381" t="s">
        <v>689</v>
      </c>
    </row>
    <row r="561" spans="1:23" s="376" customFormat="1" ht="9.75" customHeight="1" x14ac:dyDescent="0.15">
      <c r="A561" s="756" t="s">
        <v>678</v>
      </c>
      <c r="B561" s="376">
        <v>36</v>
      </c>
      <c r="C561" s="376">
        <v>558</v>
      </c>
      <c r="D561" s="376" t="s">
        <v>839</v>
      </c>
      <c r="E561" s="376" t="s">
        <v>839</v>
      </c>
      <c r="F561" s="376">
        <v>26</v>
      </c>
      <c r="G561" s="376" t="s">
        <v>839</v>
      </c>
      <c r="H561" s="376">
        <v>19</v>
      </c>
      <c r="I561" s="376">
        <v>1</v>
      </c>
      <c r="J561" s="376" t="s">
        <v>839</v>
      </c>
      <c r="K561" s="376" t="s">
        <v>839</v>
      </c>
      <c r="L561" s="376" t="s">
        <v>839</v>
      </c>
      <c r="M561" s="376" t="s">
        <v>839</v>
      </c>
      <c r="N561" s="376" t="s">
        <v>839</v>
      </c>
      <c r="O561" s="376">
        <v>18</v>
      </c>
      <c r="P561" s="376" t="s">
        <v>839</v>
      </c>
      <c r="Q561" s="376">
        <v>31</v>
      </c>
      <c r="R561" s="376" t="s">
        <v>839</v>
      </c>
      <c r="S561" s="376">
        <v>31</v>
      </c>
      <c r="T561" s="376">
        <v>45</v>
      </c>
      <c r="U561" s="376">
        <v>30</v>
      </c>
      <c r="V561" s="376">
        <v>15</v>
      </c>
      <c r="W561" s="381" t="s">
        <v>77</v>
      </c>
    </row>
    <row r="562" spans="1:23" s="376" customFormat="1" ht="9.75" customHeight="1" x14ac:dyDescent="0.15">
      <c r="A562" s="756" t="s">
        <v>679</v>
      </c>
      <c r="B562" s="376">
        <v>36</v>
      </c>
      <c r="C562" s="376">
        <v>2238</v>
      </c>
      <c r="D562" s="376" t="s">
        <v>839</v>
      </c>
      <c r="E562" s="376" t="s">
        <v>839</v>
      </c>
      <c r="F562" s="376" t="s">
        <v>839</v>
      </c>
      <c r="G562" s="376" t="s">
        <v>839</v>
      </c>
      <c r="H562" s="376">
        <v>64</v>
      </c>
      <c r="I562" s="376">
        <v>46</v>
      </c>
      <c r="J562" s="376" t="s">
        <v>839</v>
      </c>
      <c r="K562" s="376">
        <v>18</v>
      </c>
      <c r="L562" s="376" t="s">
        <v>839</v>
      </c>
      <c r="M562" s="376" t="s">
        <v>839</v>
      </c>
      <c r="N562" s="376" t="s">
        <v>839</v>
      </c>
      <c r="O562" s="376" t="s">
        <v>839</v>
      </c>
      <c r="P562" s="376" t="s">
        <v>839</v>
      </c>
      <c r="Q562" s="376">
        <v>16</v>
      </c>
      <c r="R562" s="376" t="s">
        <v>839</v>
      </c>
      <c r="S562" s="376">
        <v>16</v>
      </c>
      <c r="T562" s="376" t="s">
        <v>839</v>
      </c>
      <c r="U562" s="376" t="s">
        <v>839</v>
      </c>
      <c r="V562" s="376" t="s">
        <v>839</v>
      </c>
      <c r="W562" s="381" t="s">
        <v>78</v>
      </c>
    </row>
    <row r="563" spans="1:23" s="376" customFormat="1" ht="9.75" customHeight="1" x14ac:dyDescent="0.15">
      <c r="A563" s="756" t="s">
        <v>680</v>
      </c>
      <c r="B563" s="376">
        <v>18</v>
      </c>
      <c r="C563" s="376">
        <v>2051</v>
      </c>
      <c r="D563" s="376" t="s">
        <v>839</v>
      </c>
      <c r="E563" s="376" t="s">
        <v>839</v>
      </c>
      <c r="F563" s="376" t="s">
        <v>839</v>
      </c>
      <c r="G563" s="376" t="s">
        <v>839</v>
      </c>
      <c r="H563" s="376">
        <v>34</v>
      </c>
      <c r="I563" s="376" t="s">
        <v>839</v>
      </c>
      <c r="J563" s="376" t="s">
        <v>839</v>
      </c>
      <c r="K563" s="376" t="s">
        <v>839</v>
      </c>
      <c r="L563" s="376">
        <v>17</v>
      </c>
      <c r="M563" s="376">
        <v>17</v>
      </c>
      <c r="N563" s="376" t="s">
        <v>839</v>
      </c>
      <c r="O563" s="376" t="s">
        <v>839</v>
      </c>
      <c r="P563" s="376" t="s">
        <v>839</v>
      </c>
      <c r="Q563" s="376">
        <v>16</v>
      </c>
      <c r="R563" s="376" t="s">
        <v>839</v>
      </c>
      <c r="S563" s="376">
        <v>16</v>
      </c>
      <c r="T563" s="376">
        <v>48</v>
      </c>
      <c r="U563" s="376">
        <v>48</v>
      </c>
      <c r="V563" s="376" t="s">
        <v>839</v>
      </c>
      <c r="W563" s="381" t="s">
        <v>79</v>
      </c>
    </row>
    <row r="564" spans="1:23" s="376" customFormat="1" ht="9.75" customHeight="1" x14ac:dyDescent="0.15">
      <c r="A564" s="756" t="s">
        <v>681</v>
      </c>
      <c r="B564" s="376">
        <v>18</v>
      </c>
      <c r="C564" s="376">
        <v>206</v>
      </c>
      <c r="D564" s="376" t="s">
        <v>839</v>
      </c>
      <c r="E564" s="376" t="s">
        <v>839</v>
      </c>
      <c r="F564" s="376" t="s">
        <v>839</v>
      </c>
      <c r="G564" s="376" t="s">
        <v>839</v>
      </c>
      <c r="H564" s="376">
        <v>11</v>
      </c>
      <c r="I564" s="376" t="s">
        <v>839</v>
      </c>
      <c r="J564" s="376" t="s">
        <v>839</v>
      </c>
      <c r="K564" s="376" t="s">
        <v>839</v>
      </c>
      <c r="L564" s="376">
        <v>11</v>
      </c>
      <c r="M564" s="376" t="s">
        <v>839</v>
      </c>
      <c r="N564" s="376" t="s">
        <v>839</v>
      </c>
      <c r="O564" s="376" t="s">
        <v>839</v>
      </c>
      <c r="P564" s="376" t="s">
        <v>839</v>
      </c>
      <c r="Q564" s="376">
        <v>64</v>
      </c>
      <c r="R564" s="376">
        <v>17</v>
      </c>
      <c r="S564" s="376">
        <v>47</v>
      </c>
      <c r="T564" s="376">
        <v>33</v>
      </c>
      <c r="U564" s="376" t="s">
        <v>839</v>
      </c>
      <c r="V564" s="376">
        <v>33</v>
      </c>
      <c r="W564" s="381" t="s">
        <v>92</v>
      </c>
    </row>
    <row r="565" spans="1:23" s="376" customFormat="1" ht="9.75" customHeight="1" x14ac:dyDescent="0.15">
      <c r="A565" s="756" t="s">
        <v>682</v>
      </c>
      <c r="B565" s="376" t="s">
        <v>839</v>
      </c>
      <c r="C565" s="376">
        <v>504</v>
      </c>
      <c r="D565" s="376" t="s">
        <v>839</v>
      </c>
      <c r="E565" s="376" t="s">
        <v>839</v>
      </c>
      <c r="F565" s="376" t="s">
        <v>839</v>
      </c>
      <c r="G565" s="376" t="s">
        <v>839</v>
      </c>
      <c r="H565" s="376" t="s">
        <v>839</v>
      </c>
      <c r="I565" s="376" t="s">
        <v>839</v>
      </c>
      <c r="J565" s="376" t="s">
        <v>839</v>
      </c>
      <c r="K565" s="376" t="s">
        <v>839</v>
      </c>
      <c r="L565" s="376" t="s">
        <v>839</v>
      </c>
      <c r="M565" s="376" t="s">
        <v>839</v>
      </c>
      <c r="N565" s="376" t="s">
        <v>839</v>
      </c>
      <c r="O565" s="376" t="s">
        <v>839</v>
      </c>
      <c r="P565" s="376" t="s">
        <v>839</v>
      </c>
      <c r="Q565" s="376" t="s">
        <v>839</v>
      </c>
      <c r="R565" s="376" t="s">
        <v>839</v>
      </c>
      <c r="S565" s="376" t="s">
        <v>839</v>
      </c>
      <c r="T565" s="376">
        <v>34</v>
      </c>
      <c r="U565" s="376">
        <v>17</v>
      </c>
      <c r="V565" s="376">
        <v>17</v>
      </c>
      <c r="W565" s="381" t="s">
        <v>93</v>
      </c>
    </row>
    <row r="566" spans="1:23" s="376" customFormat="1" ht="9.75" customHeight="1" x14ac:dyDescent="0.15">
      <c r="A566" s="756" t="s">
        <v>683</v>
      </c>
      <c r="B566" s="376">
        <v>54</v>
      </c>
      <c r="C566" s="376">
        <v>1373</v>
      </c>
      <c r="D566" s="376" t="s">
        <v>839</v>
      </c>
      <c r="E566" s="376" t="s">
        <v>839</v>
      </c>
      <c r="F566" s="376" t="s">
        <v>839</v>
      </c>
      <c r="G566" s="376" t="s">
        <v>839</v>
      </c>
      <c r="H566" s="376">
        <v>58</v>
      </c>
      <c r="I566" s="376">
        <v>41</v>
      </c>
      <c r="J566" s="376" t="s">
        <v>839</v>
      </c>
      <c r="K566" s="376" t="s">
        <v>839</v>
      </c>
      <c r="L566" s="376">
        <v>17</v>
      </c>
      <c r="M566" s="376" t="s">
        <v>839</v>
      </c>
      <c r="N566" s="376" t="s">
        <v>839</v>
      </c>
      <c r="O566" s="376" t="s">
        <v>839</v>
      </c>
      <c r="P566" s="376" t="s">
        <v>839</v>
      </c>
      <c r="Q566" s="376">
        <v>64</v>
      </c>
      <c r="R566" s="376">
        <v>17</v>
      </c>
      <c r="S566" s="376">
        <v>47</v>
      </c>
      <c r="T566" s="376" t="s">
        <v>839</v>
      </c>
      <c r="U566" s="376" t="s">
        <v>839</v>
      </c>
      <c r="V566" s="376" t="s">
        <v>839</v>
      </c>
      <c r="W566" s="381" t="s">
        <v>94</v>
      </c>
    </row>
    <row r="567" spans="1:23" s="376" customFormat="1" ht="9.75" customHeight="1" x14ac:dyDescent="0.15">
      <c r="A567" s="756" t="s">
        <v>684</v>
      </c>
      <c r="B567" s="376">
        <v>18</v>
      </c>
      <c r="C567" s="376">
        <v>362</v>
      </c>
      <c r="D567" s="376" t="s">
        <v>839</v>
      </c>
      <c r="E567" s="376" t="s">
        <v>839</v>
      </c>
      <c r="F567" s="376" t="s">
        <v>839</v>
      </c>
      <c r="G567" s="376" t="s">
        <v>839</v>
      </c>
      <c r="H567" s="376">
        <v>17</v>
      </c>
      <c r="I567" s="376">
        <v>17</v>
      </c>
      <c r="J567" s="376" t="s">
        <v>839</v>
      </c>
      <c r="K567" s="376" t="s">
        <v>839</v>
      </c>
      <c r="L567" s="376" t="s">
        <v>839</v>
      </c>
      <c r="M567" s="376" t="s">
        <v>839</v>
      </c>
      <c r="N567" s="376" t="s">
        <v>839</v>
      </c>
      <c r="O567" s="376" t="s">
        <v>839</v>
      </c>
      <c r="P567" s="376" t="s">
        <v>839</v>
      </c>
      <c r="Q567" s="376" t="s">
        <v>839</v>
      </c>
      <c r="R567" s="376" t="s">
        <v>839</v>
      </c>
      <c r="S567" s="376" t="s">
        <v>839</v>
      </c>
      <c r="T567" s="376">
        <v>16</v>
      </c>
      <c r="U567" s="376" t="s">
        <v>839</v>
      </c>
      <c r="V567" s="376">
        <v>16</v>
      </c>
      <c r="W567" s="381" t="s">
        <v>95</v>
      </c>
    </row>
    <row r="568" spans="1:23" s="376" customFormat="1" ht="9.75" customHeight="1" x14ac:dyDescent="0.15">
      <c r="A568" s="756" t="s">
        <v>685</v>
      </c>
      <c r="B568" s="376">
        <v>18</v>
      </c>
      <c r="C568" s="376">
        <v>2696</v>
      </c>
      <c r="D568" s="376" t="s">
        <v>839</v>
      </c>
      <c r="E568" s="376" t="s">
        <v>839</v>
      </c>
      <c r="F568" s="376" t="s">
        <v>839</v>
      </c>
      <c r="G568" s="376" t="s">
        <v>839</v>
      </c>
      <c r="H568" s="376">
        <v>35</v>
      </c>
      <c r="I568" s="376" t="s">
        <v>839</v>
      </c>
      <c r="J568" s="376" t="s">
        <v>839</v>
      </c>
      <c r="K568" s="376">
        <v>18</v>
      </c>
      <c r="L568" s="376">
        <v>17</v>
      </c>
      <c r="M568" s="376" t="s">
        <v>839</v>
      </c>
      <c r="N568" s="376" t="s">
        <v>839</v>
      </c>
      <c r="O568" s="376" t="s">
        <v>839</v>
      </c>
      <c r="P568" s="376" t="s">
        <v>839</v>
      </c>
      <c r="Q568" s="376">
        <v>16</v>
      </c>
      <c r="R568" s="376" t="s">
        <v>839</v>
      </c>
      <c r="S568" s="376">
        <v>16</v>
      </c>
      <c r="T568" s="376">
        <v>35</v>
      </c>
      <c r="U568" s="376">
        <v>17</v>
      </c>
      <c r="V568" s="376">
        <v>18</v>
      </c>
      <c r="W568" s="381" t="s">
        <v>96</v>
      </c>
    </row>
    <row r="569" spans="1:23" s="376" customFormat="1" ht="9.75" customHeight="1" x14ac:dyDescent="0.15">
      <c r="A569" s="756" t="s">
        <v>686</v>
      </c>
      <c r="B569" s="376">
        <v>36</v>
      </c>
      <c r="C569" s="376">
        <v>2650</v>
      </c>
      <c r="D569" s="376" t="s">
        <v>839</v>
      </c>
      <c r="E569" s="376" t="s">
        <v>839</v>
      </c>
      <c r="F569" s="376" t="s">
        <v>839</v>
      </c>
      <c r="G569" s="376" t="s">
        <v>839</v>
      </c>
      <c r="H569" s="376">
        <v>70</v>
      </c>
      <c r="I569" s="376">
        <v>35</v>
      </c>
      <c r="J569" s="376" t="s">
        <v>839</v>
      </c>
      <c r="K569" s="376" t="s">
        <v>839</v>
      </c>
      <c r="L569" s="376" t="s">
        <v>839</v>
      </c>
      <c r="M569" s="376">
        <v>35</v>
      </c>
      <c r="N569" s="376" t="s">
        <v>839</v>
      </c>
      <c r="O569" s="376" t="s">
        <v>839</v>
      </c>
      <c r="P569" s="376" t="s">
        <v>839</v>
      </c>
      <c r="Q569" s="376">
        <v>33</v>
      </c>
      <c r="R569" s="376">
        <v>17</v>
      </c>
      <c r="S569" s="376">
        <v>16</v>
      </c>
      <c r="T569" s="376" t="s">
        <v>839</v>
      </c>
      <c r="U569" s="376" t="s">
        <v>839</v>
      </c>
      <c r="V569" s="376" t="s">
        <v>839</v>
      </c>
      <c r="W569" s="381" t="s">
        <v>80</v>
      </c>
    </row>
    <row r="570" spans="1:23" s="376" customFormat="1" ht="9.75" customHeight="1" x14ac:dyDescent="0.15">
      <c r="A570" s="756" t="s">
        <v>687</v>
      </c>
      <c r="B570" s="376">
        <v>18</v>
      </c>
      <c r="C570" s="376">
        <v>379</v>
      </c>
      <c r="D570" s="376" t="s">
        <v>839</v>
      </c>
      <c r="E570" s="376">
        <v>2</v>
      </c>
      <c r="F570" s="376" t="s">
        <v>839</v>
      </c>
      <c r="G570" s="376" t="s">
        <v>839</v>
      </c>
      <c r="H570" s="376" t="s">
        <v>839</v>
      </c>
      <c r="I570" s="376" t="s">
        <v>839</v>
      </c>
      <c r="J570" s="376" t="s">
        <v>839</v>
      </c>
      <c r="K570" s="376" t="s">
        <v>839</v>
      </c>
      <c r="L570" s="376" t="s">
        <v>839</v>
      </c>
      <c r="M570" s="376" t="s">
        <v>839</v>
      </c>
      <c r="N570" s="376" t="s">
        <v>839</v>
      </c>
      <c r="O570" s="376" t="s">
        <v>839</v>
      </c>
      <c r="P570" s="376" t="s">
        <v>839</v>
      </c>
      <c r="Q570" s="376">
        <v>33</v>
      </c>
      <c r="R570" s="376">
        <v>17</v>
      </c>
      <c r="S570" s="376">
        <v>16</v>
      </c>
      <c r="T570" s="376" t="s">
        <v>839</v>
      </c>
      <c r="U570" s="376" t="s">
        <v>839</v>
      </c>
      <c r="V570" s="376" t="s">
        <v>839</v>
      </c>
      <c r="W570" s="381" t="s">
        <v>81</v>
      </c>
    </row>
    <row r="571" spans="1:23" s="376" customFormat="1" ht="9.75" customHeight="1" x14ac:dyDescent="0.15">
      <c r="A571" s="756" t="s">
        <v>688</v>
      </c>
      <c r="B571" s="376">
        <v>36</v>
      </c>
      <c r="C571" s="376">
        <v>280</v>
      </c>
      <c r="D571" s="376" t="s">
        <v>839</v>
      </c>
      <c r="E571" s="376" t="s">
        <v>839</v>
      </c>
      <c r="F571" s="376" t="s">
        <v>839</v>
      </c>
      <c r="G571" s="376" t="s">
        <v>839</v>
      </c>
      <c r="H571" s="376">
        <v>11</v>
      </c>
      <c r="I571" s="376" t="s">
        <v>839</v>
      </c>
      <c r="J571" s="376" t="s">
        <v>839</v>
      </c>
      <c r="K571" s="376" t="s">
        <v>839</v>
      </c>
      <c r="L571" s="376">
        <v>11</v>
      </c>
      <c r="M571" s="376" t="s">
        <v>839</v>
      </c>
      <c r="N571" s="376" t="s">
        <v>839</v>
      </c>
      <c r="O571" s="376" t="s">
        <v>839</v>
      </c>
      <c r="P571" s="376" t="s">
        <v>839</v>
      </c>
      <c r="Q571" s="376">
        <v>48</v>
      </c>
      <c r="R571" s="376">
        <v>17</v>
      </c>
      <c r="S571" s="376">
        <v>31</v>
      </c>
      <c r="T571" s="376">
        <v>17</v>
      </c>
      <c r="U571" s="376" t="s">
        <v>839</v>
      </c>
      <c r="V571" s="376">
        <v>17</v>
      </c>
      <c r="W571" s="381" t="s">
        <v>82</v>
      </c>
    </row>
    <row r="572" spans="1:23" s="376" customFormat="1" ht="9.75" customHeight="1" x14ac:dyDescent="0.15">
      <c r="A572" s="756" t="s">
        <v>849</v>
      </c>
      <c r="B572" s="376" t="s">
        <v>839</v>
      </c>
      <c r="C572" s="376">
        <v>542</v>
      </c>
      <c r="D572" s="376" t="s">
        <v>839</v>
      </c>
      <c r="E572" s="376" t="s">
        <v>839</v>
      </c>
      <c r="F572" s="376" t="s">
        <v>839</v>
      </c>
      <c r="G572" s="376" t="s">
        <v>839</v>
      </c>
      <c r="H572" s="376" t="s">
        <v>839</v>
      </c>
      <c r="I572" s="376" t="s">
        <v>839</v>
      </c>
      <c r="J572" s="376" t="s">
        <v>839</v>
      </c>
      <c r="K572" s="376" t="s">
        <v>839</v>
      </c>
      <c r="L572" s="376" t="s">
        <v>839</v>
      </c>
      <c r="M572" s="376" t="s">
        <v>839</v>
      </c>
      <c r="N572" s="376" t="s">
        <v>839</v>
      </c>
      <c r="O572" s="376" t="s">
        <v>839</v>
      </c>
      <c r="P572" s="376" t="s">
        <v>839</v>
      </c>
      <c r="Q572" s="376">
        <v>16</v>
      </c>
      <c r="R572" s="376" t="s">
        <v>839</v>
      </c>
      <c r="S572" s="376">
        <v>16</v>
      </c>
      <c r="T572" s="376">
        <v>12</v>
      </c>
      <c r="U572" s="376">
        <v>12</v>
      </c>
      <c r="V572" s="376" t="s">
        <v>839</v>
      </c>
      <c r="W572" s="381" t="s">
        <v>850</v>
      </c>
    </row>
    <row r="573" spans="1:23" s="376" customFormat="1" ht="9.75" customHeight="1" x14ac:dyDescent="0.15">
      <c r="A573" s="756" t="s">
        <v>690</v>
      </c>
      <c r="B573" s="376">
        <v>36</v>
      </c>
      <c r="C573" s="376">
        <v>547</v>
      </c>
      <c r="D573" s="376" t="s">
        <v>839</v>
      </c>
      <c r="E573" s="376" t="s">
        <v>839</v>
      </c>
      <c r="F573" s="376">
        <v>103</v>
      </c>
      <c r="G573" s="376" t="s">
        <v>839</v>
      </c>
      <c r="H573" s="376" t="s">
        <v>839</v>
      </c>
      <c r="I573" s="376" t="s">
        <v>839</v>
      </c>
      <c r="J573" s="376" t="s">
        <v>839</v>
      </c>
      <c r="K573" s="376" t="s">
        <v>839</v>
      </c>
      <c r="L573" s="376" t="s">
        <v>839</v>
      </c>
      <c r="M573" s="376" t="s">
        <v>839</v>
      </c>
      <c r="N573" s="376" t="s">
        <v>839</v>
      </c>
      <c r="O573" s="376" t="s">
        <v>839</v>
      </c>
      <c r="P573" s="376" t="s">
        <v>839</v>
      </c>
      <c r="Q573" s="376" t="s">
        <v>839</v>
      </c>
      <c r="R573" s="376" t="s">
        <v>839</v>
      </c>
      <c r="S573" s="376" t="s">
        <v>839</v>
      </c>
      <c r="T573" s="376">
        <v>21</v>
      </c>
      <c r="U573" s="376">
        <v>4</v>
      </c>
      <c r="V573" s="376">
        <v>17</v>
      </c>
      <c r="W573" s="381" t="s">
        <v>77</v>
      </c>
    </row>
    <row r="574" spans="1:23" s="376" customFormat="1" ht="9.75" customHeight="1" x14ac:dyDescent="0.15">
      <c r="A574" s="757" t="s">
        <v>691</v>
      </c>
      <c r="B574" s="380" t="s">
        <v>839</v>
      </c>
      <c r="C574" s="379">
        <v>146</v>
      </c>
      <c r="D574" s="379" t="s">
        <v>839</v>
      </c>
      <c r="E574" s="379">
        <v>8</v>
      </c>
      <c r="F574" s="379">
        <v>180</v>
      </c>
      <c r="G574" s="379" t="s">
        <v>839</v>
      </c>
      <c r="H574" s="379" t="s">
        <v>839</v>
      </c>
      <c r="I574" s="379" t="s">
        <v>839</v>
      </c>
      <c r="J574" s="379" t="s">
        <v>839</v>
      </c>
      <c r="K574" s="379" t="s">
        <v>839</v>
      </c>
      <c r="L574" s="379" t="s">
        <v>839</v>
      </c>
      <c r="M574" s="379" t="s">
        <v>839</v>
      </c>
      <c r="N574" s="379" t="s">
        <v>839</v>
      </c>
      <c r="O574" s="379" t="s">
        <v>839</v>
      </c>
      <c r="P574" s="379" t="s">
        <v>839</v>
      </c>
      <c r="Q574" s="379">
        <v>16</v>
      </c>
      <c r="R574" s="379" t="s">
        <v>839</v>
      </c>
      <c r="S574" s="379">
        <v>16</v>
      </c>
      <c r="T574" s="379">
        <v>15</v>
      </c>
      <c r="U574" s="379">
        <v>15</v>
      </c>
      <c r="V574" s="379" t="s">
        <v>839</v>
      </c>
      <c r="W574" s="377" t="s">
        <v>78</v>
      </c>
    </row>
    <row r="575" spans="1:23" ht="12" customHeight="1" x14ac:dyDescent="0.15"/>
    <row r="576" spans="1:23" ht="12" customHeight="1" x14ac:dyDescent="0.15"/>
    <row r="577" spans="1:20" ht="12" customHeight="1" x14ac:dyDescent="0.15">
      <c r="K577" s="391" t="s">
        <v>97</v>
      </c>
      <c r="T577" s="394" t="s">
        <v>984</v>
      </c>
    </row>
    <row r="578" spans="1:20" s="387" customFormat="1" ht="21" customHeight="1" x14ac:dyDescent="0.15">
      <c r="A578" s="1023" t="s">
        <v>185</v>
      </c>
      <c r="B578" s="773" t="s">
        <v>994</v>
      </c>
      <c r="C578" s="389"/>
      <c r="D578" s="389"/>
      <c r="E578" s="389"/>
      <c r="F578" s="389"/>
      <c r="G578" s="389"/>
      <c r="H578" s="732"/>
      <c r="I578" s="733" t="s">
        <v>283</v>
      </c>
      <c r="J578" s="389"/>
      <c r="K578" s="389"/>
      <c r="L578" s="389"/>
      <c r="M578" s="389"/>
      <c r="N578" s="389"/>
      <c r="O578" s="732"/>
      <c r="P578" s="733" t="s">
        <v>282</v>
      </c>
      <c r="Q578" s="389"/>
      <c r="R578" s="389"/>
      <c r="S578" s="732"/>
      <c r="T578" s="1026" t="s">
        <v>83</v>
      </c>
    </row>
    <row r="579" spans="1:20" s="387" customFormat="1" ht="21" customHeight="1" x14ac:dyDescent="0.15">
      <c r="A579" s="1024"/>
      <c r="B579" s="1029" t="s">
        <v>286</v>
      </c>
      <c r="C579" s="733" t="s">
        <v>279</v>
      </c>
      <c r="D579" s="389"/>
      <c r="E579" s="389"/>
      <c r="F579" s="732"/>
      <c r="G579" s="733" t="s">
        <v>1004</v>
      </c>
      <c r="H579" s="732"/>
      <c r="I579" s="1031" t="s">
        <v>998</v>
      </c>
      <c r="J579" s="733" t="s">
        <v>279</v>
      </c>
      <c r="K579" s="389"/>
      <c r="L579" s="389"/>
      <c r="M579" s="732"/>
      <c r="N579" s="733" t="s">
        <v>1004</v>
      </c>
      <c r="O579" s="732"/>
      <c r="P579" s="1029" t="s">
        <v>281</v>
      </c>
      <c r="Q579" s="733" t="s">
        <v>279</v>
      </c>
      <c r="R579" s="389"/>
      <c r="S579" s="732"/>
      <c r="T579" s="1027"/>
    </row>
    <row r="580" spans="1:20" s="387" customFormat="1" ht="52.5" customHeight="1" x14ac:dyDescent="0.15">
      <c r="A580" s="1025"/>
      <c r="B580" s="1030"/>
      <c r="C580" s="735" t="s">
        <v>975</v>
      </c>
      <c r="D580" s="388" t="s">
        <v>270</v>
      </c>
      <c r="E580" s="388" t="s">
        <v>976</v>
      </c>
      <c r="F580" s="388" t="s">
        <v>285</v>
      </c>
      <c r="G580" s="735" t="s">
        <v>329</v>
      </c>
      <c r="H580" s="388" t="s">
        <v>328</v>
      </c>
      <c r="I580" s="1032"/>
      <c r="J580" s="735" t="s">
        <v>975</v>
      </c>
      <c r="K580" s="388" t="s">
        <v>270</v>
      </c>
      <c r="L580" s="388" t="s">
        <v>976</v>
      </c>
      <c r="M580" s="388" t="s">
        <v>285</v>
      </c>
      <c r="N580" s="735" t="s">
        <v>329</v>
      </c>
      <c r="O580" s="388" t="s">
        <v>328</v>
      </c>
      <c r="P580" s="1030"/>
      <c r="Q580" s="735" t="s">
        <v>975</v>
      </c>
      <c r="R580" s="388" t="s">
        <v>270</v>
      </c>
      <c r="S580" s="388" t="s">
        <v>976</v>
      </c>
      <c r="T580" s="1028"/>
    </row>
    <row r="581" spans="1:20" s="376" customFormat="1" ht="9.75" customHeight="1" x14ac:dyDescent="0.15">
      <c r="A581" s="755" t="s">
        <v>838</v>
      </c>
      <c r="B581" s="386">
        <v>259632</v>
      </c>
      <c r="C581" s="385">
        <v>259632</v>
      </c>
      <c r="D581" s="385">
        <v>48920</v>
      </c>
      <c r="E581" s="385">
        <v>206047</v>
      </c>
      <c r="F581" s="385">
        <v>4665</v>
      </c>
      <c r="G581" s="385" t="s">
        <v>839</v>
      </c>
      <c r="H581" s="385" t="s">
        <v>839</v>
      </c>
      <c r="I581" s="385">
        <v>210580</v>
      </c>
      <c r="J581" s="385">
        <v>210580</v>
      </c>
      <c r="K581" s="385">
        <v>22346</v>
      </c>
      <c r="L581" s="385">
        <v>183569</v>
      </c>
      <c r="M581" s="385">
        <v>4665</v>
      </c>
      <c r="N581" s="385" t="s">
        <v>839</v>
      </c>
      <c r="O581" s="385" t="s">
        <v>839</v>
      </c>
      <c r="P581" s="385">
        <v>49052</v>
      </c>
      <c r="Q581" s="385">
        <v>49052</v>
      </c>
      <c r="R581" s="385">
        <v>26574</v>
      </c>
      <c r="S581" s="384">
        <v>22478</v>
      </c>
      <c r="T581" s="383" t="s">
        <v>457</v>
      </c>
    </row>
    <row r="582" spans="1:20" s="376" customFormat="1" ht="9.75" customHeight="1" x14ac:dyDescent="0.15">
      <c r="A582" s="756" t="s">
        <v>669</v>
      </c>
      <c r="B582" s="376">
        <v>186335</v>
      </c>
      <c r="C582" s="376">
        <v>186078</v>
      </c>
      <c r="D582" s="376">
        <v>16613</v>
      </c>
      <c r="E582" s="376">
        <v>169465</v>
      </c>
      <c r="F582" s="376" t="s">
        <v>839</v>
      </c>
      <c r="G582" s="376">
        <v>257</v>
      </c>
      <c r="H582" s="376">
        <v>257</v>
      </c>
      <c r="I582" s="376">
        <v>163822</v>
      </c>
      <c r="J582" s="376">
        <v>163565</v>
      </c>
      <c r="K582" s="376">
        <v>6107</v>
      </c>
      <c r="L582" s="376">
        <v>157458</v>
      </c>
      <c r="M582" s="376" t="s">
        <v>839</v>
      </c>
      <c r="N582" s="376">
        <v>257</v>
      </c>
      <c r="O582" s="376">
        <v>257</v>
      </c>
      <c r="P582" s="376">
        <v>22513</v>
      </c>
      <c r="Q582" s="376">
        <v>22513</v>
      </c>
      <c r="R582" s="376">
        <v>10506</v>
      </c>
      <c r="S582" s="382">
        <v>12007</v>
      </c>
      <c r="T582" s="381" t="s">
        <v>512</v>
      </c>
    </row>
    <row r="583" spans="1:20" s="376" customFormat="1" ht="9.75" customHeight="1" x14ac:dyDescent="0.15">
      <c r="A583" s="756" t="s">
        <v>670</v>
      </c>
      <c r="B583" s="376">
        <v>133245</v>
      </c>
      <c r="C583" s="376">
        <v>133245</v>
      </c>
      <c r="D583" s="376">
        <v>26131</v>
      </c>
      <c r="E583" s="376">
        <v>93639</v>
      </c>
      <c r="F583" s="376">
        <v>13475</v>
      </c>
      <c r="G583" s="376" t="s">
        <v>839</v>
      </c>
      <c r="H583" s="376" t="s">
        <v>839</v>
      </c>
      <c r="I583" s="376">
        <v>110328</v>
      </c>
      <c r="J583" s="376">
        <v>110328</v>
      </c>
      <c r="K583" s="376">
        <v>9217</v>
      </c>
      <c r="L583" s="376">
        <v>87636</v>
      </c>
      <c r="M583" s="376">
        <v>13475</v>
      </c>
      <c r="N583" s="376" t="s">
        <v>839</v>
      </c>
      <c r="O583" s="376" t="s">
        <v>839</v>
      </c>
      <c r="P583" s="376">
        <v>22917</v>
      </c>
      <c r="Q583" s="376">
        <v>22917</v>
      </c>
      <c r="R583" s="376">
        <v>16914</v>
      </c>
      <c r="S583" s="382">
        <v>6003</v>
      </c>
      <c r="T583" s="381" t="s">
        <v>620</v>
      </c>
    </row>
    <row r="584" spans="1:20" s="376" customFormat="1" ht="9.75" customHeight="1" x14ac:dyDescent="0.15">
      <c r="A584" s="756" t="s">
        <v>671</v>
      </c>
      <c r="B584" s="376">
        <v>147278</v>
      </c>
      <c r="C584" s="376">
        <v>147278</v>
      </c>
      <c r="D584" s="376">
        <v>14309</v>
      </c>
      <c r="E584" s="376">
        <v>106158</v>
      </c>
      <c r="F584" s="376">
        <v>26811</v>
      </c>
      <c r="G584" s="376" t="s">
        <v>839</v>
      </c>
      <c r="H584" s="376" t="s">
        <v>839</v>
      </c>
      <c r="I584" s="376">
        <v>133767</v>
      </c>
      <c r="J584" s="376">
        <v>133767</v>
      </c>
      <c r="K584" s="376">
        <v>3740</v>
      </c>
      <c r="L584" s="376">
        <v>103216</v>
      </c>
      <c r="M584" s="376">
        <v>26811</v>
      </c>
      <c r="N584" s="376" t="s">
        <v>839</v>
      </c>
      <c r="O584" s="376" t="s">
        <v>839</v>
      </c>
      <c r="P584" s="376">
        <v>13511</v>
      </c>
      <c r="Q584" s="376">
        <v>13511</v>
      </c>
      <c r="R584" s="376">
        <v>10569</v>
      </c>
      <c r="S584" s="382">
        <v>2942</v>
      </c>
      <c r="T584" s="381" t="s">
        <v>672</v>
      </c>
    </row>
    <row r="585" spans="1:20" s="376" customFormat="1" ht="9.75" customHeight="1" x14ac:dyDescent="0.15">
      <c r="A585" s="756" t="s">
        <v>840</v>
      </c>
      <c r="B585" s="376">
        <v>236149</v>
      </c>
      <c r="C585" s="376">
        <v>236149</v>
      </c>
      <c r="D585" s="376">
        <v>15198</v>
      </c>
      <c r="E585" s="376">
        <v>167626</v>
      </c>
      <c r="F585" s="376">
        <v>53325</v>
      </c>
      <c r="G585" s="376" t="s">
        <v>839</v>
      </c>
      <c r="H585" s="376" t="s">
        <v>839</v>
      </c>
      <c r="I585" s="376">
        <v>227133</v>
      </c>
      <c r="J585" s="376">
        <v>227133</v>
      </c>
      <c r="K585" s="376">
        <v>6182</v>
      </c>
      <c r="L585" s="376">
        <v>167626</v>
      </c>
      <c r="M585" s="376">
        <v>53325</v>
      </c>
      <c r="N585" s="376" t="s">
        <v>839</v>
      </c>
      <c r="O585" s="376" t="s">
        <v>839</v>
      </c>
      <c r="P585" s="376">
        <v>9016</v>
      </c>
      <c r="Q585" s="376">
        <v>9016</v>
      </c>
      <c r="R585" s="376">
        <v>9016</v>
      </c>
      <c r="S585" s="382" t="s">
        <v>839</v>
      </c>
      <c r="T585" s="381" t="s">
        <v>841</v>
      </c>
    </row>
    <row r="586" spans="1:20" s="376" customFormat="1" ht="6.75" customHeight="1" x14ac:dyDescent="0.15">
      <c r="A586" s="787"/>
      <c r="S586" s="382"/>
      <c r="T586" s="381"/>
    </row>
    <row r="587" spans="1:20" s="376" customFormat="1" ht="9.75" customHeight="1" x14ac:dyDescent="0.15">
      <c r="A587" s="756" t="s">
        <v>842</v>
      </c>
      <c r="B587" s="376">
        <v>183639</v>
      </c>
      <c r="C587" s="376">
        <v>183639</v>
      </c>
      <c r="D587" s="376">
        <v>13978</v>
      </c>
      <c r="E587" s="376">
        <v>126880</v>
      </c>
      <c r="F587" s="376">
        <v>42781</v>
      </c>
      <c r="G587" s="376" t="s">
        <v>839</v>
      </c>
      <c r="H587" s="376" t="s">
        <v>839</v>
      </c>
      <c r="I587" s="376">
        <v>168625</v>
      </c>
      <c r="J587" s="376">
        <v>168625</v>
      </c>
      <c r="K587" s="376">
        <v>1906</v>
      </c>
      <c r="L587" s="376">
        <v>123938</v>
      </c>
      <c r="M587" s="376">
        <v>42781</v>
      </c>
      <c r="N587" s="376" t="s">
        <v>839</v>
      </c>
      <c r="O587" s="376" t="s">
        <v>839</v>
      </c>
      <c r="P587" s="376">
        <v>15014</v>
      </c>
      <c r="Q587" s="376">
        <v>15014</v>
      </c>
      <c r="R587" s="376">
        <v>12072</v>
      </c>
      <c r="S587" s="382">
        <v>2942</v>
      </c>
      <c r="T587" s="381" t="s">
        <v>673</v>
      </c>
    </row>
    <row r="588" spans="1:20" s="376" customFormat="1" ht="9.75" customHeight="1" x14ac:dyDescent="0.15">
      <c r="A588" s="756" t="s">
        <v>843</v>
      </c>
      <c r="B588" s="376">
        <v>249331</v>
      </c>
      <c r="C588" s="376">
        <v>249331</v>
      </c>
      <c r="D588" s="376">
        <v>13094</v>
      </c>
      <c r="E588" s="376">
        <v>184600</v>
      </c>
      <c r="F588" s="376">
        <v>51637</v>
      </c>
      <c r="G588" s="376" t="s">
        <v>839</v>
      </c>
      <c r="H588" s="376" t="s">
        <v>839</v>
      </c>
      <c r="I588" s="376">
        <v>241818</v>
      </c>
      <c r="J588" s="376">
        <v>241818</v>
      </c>
      <c r="K588" s="376">
        <v>5581</v>
      </c>
      <c r="L588" s="376">
        <v>184600</v>
      </c>
      <c r="M588" s="376">
        <v>51637</v>
      </c>
      <c r="N588" s="376" t="s">
        <v>839</v>
      </c>
      <c r="O588" s="376" t="s">
        <v>839</v>
      </c>
      <c r="P588" s="376">
        <v>7513</v>
      </c>
      <c r="Q588" s="376">
        <v>7513</v>
      </c>
      <c r="R588" s="376">
        <v>7513</v>
      </c>
      <c r="S588" s="382" t="s">
        <v>839</v>
      </c>
      <c r="T588" s="381" t="s">
        <v>844</v>
      </c>
    </row>
    <row r="589" spans="1:20" s="376" customFormat="1" ht="6.75" customHeight="1" x14ac:dyDescent="0.15">
      <c r="A589" s="787"/>
      <c r="S589" s="382"/>
      <c r="T589" s="381"/>
    </row>
    <row r="590" spans="1:20" s="376" customFormat="1" ht="9.75" customHeight="1" x14ac:dyDescent="0.15">
      <c r="A590" s="756" t="s">
        <v>845</v>
      </c>
      <c r="B590" s="376">
        <v>46255</v>
      </c>
      <c r="C590" s="376">
        <v>46255</v>
      </c>
      <c r="D590" s="376">
        <v>3606</v>
      </c>
      <c r="E590" s="376">
        <v>26679</v>
      </c>
      <c r="F590" s="376">
        <v>15970</v>
      </c>
      <c r="G590" s="376" t="s">
        <v>839</v>
      </c>
      <c r="H590" s="376" t="s">
        <v>839</v>
      </c>
      <c r="I590" s="376">
        <v>43250</v>
      </c>
      <c r="J590" s="376">
        <v>43250</v>
      </c>
      <c r="K590" s="376">
        <v>601</v>
      </c>
      <c r="L590" s="376">
        <v>26679</v>
      </c>
      <c r="M590" s="376">
        <v>15970</v>
      </c>
      <c r="N590" s="376" t="s">
        <v>839</v>
      </c>
      <c r="O590" s="376" t="s">
        <v>839</v>
      </c>
      <c r="P590" s="376">
        <v>3005</v>
      </c>
      <c r="Q590" s="376">
        <v>3005</v>
      </c>
      <c r="R590" s="376">
        <v>3005</v>
      </c>
      <c r="S590" s="382" t="s">
        <v>839</v>
      </c>
      <c r="T590" s="381" t="s">
        <v>677</v>
      </c>
    </row>
    <row r="591" spans="1:20" s="376" customFormat="1" ht="9.75" customHeight="1" x14ac:dyDescent="0.15">
      <c r="A591" s="756" t="s">
        <v>674</v>
      </c>
      <c r="B591" s="376">
        <v>62973</v>
      </c>
      <c r="C591" s="376">
        <v>62973</v>
      </c>
      <c r="D591" s="376">
        <v>9288</v>
      </c>
      <c r="E591" s="376">
        <v>44377</v>
      </c>
      <c r="F591" s="376">
        <v>9308</v>
      </c>
      <c r="G591" s="376" t="s">
        <v>839</v>
      </c>
      <c r="H591" s="376" t="s">
        <v>839</v>
      </c>
      <c r="I591" s="376">
        <v>58464</v>
      </c>
      <c r="J591" s="376">
        <v>58464</v>
      </c>
      <c r="K591" s="376">
        <v>4779</v>
      </c>
      <c r="L591" s="376">
        <v>44377</v>
      </c>
      <c r="M591" s="376">
        <v>9308</v>
      </c>
      <c r="N591" s="376" t="s">
        <v>839</v>
      </c>
      <c r="O591" s="376" t="s">
        <v>839</v>
      </c>
      <c r="P591" s="376">
        <v>4509</v>
      </c>
      <c r="Q591" s="376">
        <v>4509</v>
      </c>
      <c r="R591" s="376">
        <v>4509</v>
      </c>
      <c r="S591" s="382" t="s">
        <v>839</v>
      </c>
      <c r="T591" s="381" t="s">
        <v>89</v>
      </c>
    </row>
    <row r="592" spans="1:20" s="376" customFormat="1" ht="9.75" customHeight="1" x14ac:dyDescent="0.15">
      <c r="A592" s="756" t="s">
        <v>675</v>
      </c>
      <c r="B592" s="376">
        <v>74710</v>
      </c>
      <c r="C592" s="376">
        <v>74710</v>
      </c>
      <c r="D592" s="376">
        <v>2304</v>
      </c>
      <c r="E592" s="376">
        <v>58434</v>
      </c>
      <c r="F592" s="376">
        <v>13972</v>
      </c>
      <c r="G592" s="376" t="s">
        <v>839</v>
      </c>
      <c r="H592" s="376" t="s">
        <v>839</v>
      </c>
      <c r="I592" s="376">
        <v>73208</v>
      </c>
      <c r="J592" s="376">
        <v>73208</v>
      </c>
      <c r="K592" s="376">
        <v>802</v>
      </c>
      <c r="L592" s="376">
        <v>58434</v>
      </c>
      <c r="M592" s="376">
        <v>13972</v>
      </c>
      <c r="N592" s="376" t="s">
        <v>839</v>
      </c>
      <c r="O592" s="376" t="s">
        <v>839</v>
      </c>
      <c r="P592" s="376">
        <v>1502</v>
      </c>
      <c r="Q592" s="376">
        <v>1502</v>
      </c>
      <c r="R592" s="376">
        <v>1502</v>
      </c>
      <c r="S592" s="382" t="s">
        <v>839</v>
      </c>
      <c r="T592" s="381" t="s">
        <v>90</v>
      </c>
    </row>
    <row r="593" spans="1:20" s="376" customFormat="1" ht="9.75" customHeight="1" x14ac:dyDescent="0.15">
      <c r="A593" s="756" t="s">
        <v>676</v>
      </c>
      <c r="B593" s="376">
        <v>52211</v>
      </c>
      <c r="C593" s="376">
        <v>52211</v>
      </c>
      <c r="D593" s="376" t="s">
        <v>839</v>
      </c>
      <c r="E593" s="376">
        <v>38136</v>
      </c>
      <c r="F593" s="376">
        <v>14075</v>
      </c>
      <c r="G593" s="376" t="s">
        <v>839</v>
      </c>
      <c r="H593" s="376" t="s">
        <v>839</v>
      </c>
      <c r="I593" s="376">
        <v>52211</v>
      </c>
      <c r="J593" s="376">
        <v>52211</v>
      </c>
      <c r="K593" s="376" t="s">
        <v>839</v>
      </c>
      <c r="L593" s="376">
        <v>38136</v>
      </c>
      <c r="M593" s="376">
        <v>14075</v>
      </c>
      <c r="N593" s="376" t="s">
        <v>839</v>
      </c>
      <c r="O593" s="376" t="s">
        <v>839</v>
      </c>
      <c r="P593" s="376" t="s">
        <v>839</v>
      </c>
      <c r="Q593" s="376" t="s">
        <v>839</v>
      </c>
      <c r="R593" s="376" t="s">
        <v>839</v>
      </c>
      <c r="S593" s="382" t="s">
        <v>839</v>
      </c>
      <c r="T593" s="381" t="s">
        <v>91</v>
      </c>
    </row>
    <row r="594" spans="1:20" s="376" customFormat="1" ht="9.75" customHeight="1" x14ac:dyDescent="0.15">
      <c r="A594" s="756" t="s">
        <v>846</v>
      </c>
      <c r="B594" s="376">
        <v>59437</v>
      </c>
      <c r="C594" s="376">
        <v>59437</v>
      </c>
      <c r="D594" s="376">
        <v>1502</v>
      </c>
      <c r="E594" s="376">
        <v>43653</v>
      </c>
      <c r="F594" s="376">
        <v>14282</v>
      </c>
      <c r="G594" s="376" t="s">
        <v>839</v>
      </c>
      <c r="H594" s="376" t="s">
        <v>839</v>
      </c>
      <c r="I594" s="376">
        <v>57935</v>
      </c>
      <c r="J594" s="376">
        <v>57935</v>
      </c>
      <c r="K594" s="376" t="s">
        <v>839</v>
      </c>
      <c r="L594" s="376">
        <v>43653</v>
      </c>
      <c r="M594" s="376">
        <v>14282</v>
      </c>
      <c r="N594" s="376" t="s">
        <v>839</v>
      </c>
      <c r="O594" s="376" t="s">
        <v>839</v>
      </c>
      <c r="P594" s="376">
        <v>1502</v>
      </c>
      <c r="Q594" s="376">
        <v>1502</v>
      </c>
      <c r="R594" s="376">
        <v>1502</v>
      </c>
      <c r="S594" s="382" t="s">
        <v>839</v>
      </c>
      <c r="T594" s="381" t="s">
        <v>847</v>
      </c>
    </row>
    <row r="595" spans="1:20" s="376" customFormat="1" ht="6.75" customHeight="1" x14ac:dyDescent="0.15">
      <c r="A595" s="787"/>
      <c r="S595" s="382"/>
      <c r="T595" s="381"/>
    </row>
    <row r="596" spans="1:20" s="376" customFormat="1" ht="9.75" customHeight="1" x14ac:dyDescent="0.15">
      <c r="A596" s="756" t="s">
        <v>848</v>
      </c>
      <c r="B596" s="376">
        <v>10679</v>
      </c>
      <c r="C596" s="376">
        <v>10679</v>
      </c>
      <c r="D596" s="376" t="s">
        <v>839</v>
      </c>
      <c r="E596" s="376">
        <v>4466</v>
      </c>
      <c r="F596" s="376">
        <v>6213</v>
      </c>
      <c r="G596" s="376" t="s">
        <v>839</v>
      </c>
      <c r="H596" s="376" t="s">
        <v>839</v>
      </c>
      <c r="I596" s="376">
        <v>10679</v>
      </c>
      <c r="J596" s="376">
        <v>10679</v>
      </c>
      <c r="K596" s="376" t="s">
        <v>839</v>
      </c>
      <c r="L596" s="376">
        <v>4466</v>
      </c>
      <c r="M596" s="376">
        <v>6213</v>
      </c>
      <c r="N596" s="376" t="s">
        <v>839</v>
      </c>
      <c r="O596" s="376" t="s">
        <v>839</v>
      </c>
      <c r="P596" s="376" t="s">
        <v>839</v>
      </c>
      <c r="Q596" s="376" t="s">
        <v>839</v>
      </c>
      <c r="R596" s="376" t="s">
        <v>839</v>
      </c>
      <c r="S596" s="382" t="s">
        <v>839</v>
      </c>
      <c r="T596" s="381" t="s">
        <v>689</v>
      </c>
    </row>
    <row r="597" spans="1:20" s="376" customFormat="1" ht="9.75" customHeight="1" x14ac:dyDescent="0.15">
      <c r="A597" s="756" t="s">
        <v>678</v>
      </c>
      <c r="B597" s="376">
        <v>11494</v>
      </c>
      <c r="C597" s="376">
        <v>11494</v>
      </c>
      <c r="D597" s="376">
        <v>601</v>
      </c>
      <c r="E597" s="376">
        <v>6133</v>
      </c>
      <c r="F597" s="376">
        <v>4760</v>
      </c>
      <c r="G597" s="376" t="s">
        <v>839</v>
      </c>
      <c r="H597" s="376" t="s">
        <v>839</v>
      </c>
      <c r="I597" s="376">
        <v>11494</v>
      </c>
      <c r="J597" s="376">
        <v>11494</v>
      </c>
      <c r="K597" s="376">
        <v>601</v>
      </c>
      <c r="L597" s="376">
        <v>6133</v>
      </c>
      <c r="M597" s="376">
        <v>4760</v>
      </c>
      <c r="N597" s="376" t="s">
        <v>839</v>
      </c>
      <c r="O597" s="376" t="s">
        <v>839</v>
      </c>
      <c r="P597" s="376" t="s">
        <v>839</v>
      </c>
      <c r="Q597" s="376" t="s">
        <v>839</v>
      </c>
      <c r="R597" s="376" t="s">
        <v>839</v>
      </c>
      <c r="S597" s="382" t="s">
        <v>839</v>
      </c>
      <c r="T597" s="381" t="s">
        <v>77</v>
      </c>
    </row>
    <row r="598" spans="1:20" s="376" customFormat="1" ht="9.75" customHeight="1" x14ac:dyDescent="0.15">
      <c r="A598" s="756" t="s">
        <v>679</v>
      </c>
      <c r="B598" s="376">
        <v>24082</v>
      </c>
      <c r="C598" s="376">
        <v>24082</v>
      </c>
      <c r="D598" s="376">
        <v>3005</v>
      </c>
      <c r="E598" s="376">
        <v>16080</v>
      </c>
      <c r="F598" s="376">
        <v>4997</v>
      </c>
      <c r="G598" s="376" t="s">
        <v>839</v>
      </c>
      <c r="H598" s="376" t="s">
        <v>839</v>
      </c>
      <c r="I598" s="376">
        <v>21077</v>
      </c>
      <c r="J598" s="376">
        <v>21077</v>
      </c>
      <c r="K598" s="376" t="s">
        <v>839</v>
      </c>
      <c r="L598" s="376">
        <v>16080</v>
      </c>
      <c r="M598" s="376">
        <v>4997</v>
      </c>
      <c r="N598" s="376" t="s">
        <v>839</v>
      </c>
      <c r="O598" s="376" t="s">
        <v>839</v>
      </c>
      <c r="P598" s="376">
        <v>3005</v>
      </c>
      <c r="Q598" s="376">
        <v>3005</v>
      </c>
      <c r="R598" s="376">
        <v>3005</v>
      </c>
      <c r="S598" s="382" t="s">
        <v>839</v>
      </c>
      <c r="T598" s="381" t="s">
        <v>78</v>
      </c>
    </row>
    <row r="599" spans="1:20" s="376" customFormat="1" ht="9.75" customHeight="1" x14ac:dyDescent="0.15">
      <c r="A599" s="756" t="s">
        <v>680</v>
      </c>
      <c r="B599" s="376">
        <v>22285</v>
      </c>
      <c r="C599" s="376">
        <v>22285</v>
      </c>
      <c r="D599" s="376">
        <v>6133</v>
      </c>
      <c r="E599" s="376">
        <v>11392</v>
      </c>
      <c r="F599" s="376">
        <v>4760</v>
      </c>
      <c r="G599" s="376" t="s">
        <v>839</v>
      </c>
      <c r="H599" s="376" t="s">
        <v>839</v>
      </c>
      <c r="I599" s="376">
        <v>17776</v>
      </c>
      <c r="J599" s="376">
        <v>17776</v>
      </c>
      <c r="K599" s="376">
        <v>1624</v>
      </c>
      <c r="L599" s="376">
        <v>11392</v>
      </c>
      <c r="M599" s="376">
        <v>4760</v>
      </c>
      <c r="N599" s="376" t="s">
        <v>839</v>
      </c>
      <c r="O599" s="376" t="s">
        <v>839</v>
      </c>
      <c r="P599" s="376">
        <v>4509</v>
      </c>
      <c r="Q599" s="376">
        <v>4509</v>
      </c>
      <c r="R599" s="376">
        <v>4509</v>
      </c>
      <c r="S599" s="382" t="s">
        <v>839</v>
      </c>
      <c r="T599" s="381" t="s">
        <v>79</v>
      </c>
    </row>
    <row r="600" spans="1:20" s="376" customFormat="1" ht="9.75" customHeight="1" x14ac:dyDescent="0.15">
      <c r="A600" s="756" t="s">
        <v>681</v>
      </c>
      <c r="B600" s="376">
        <v>16878</v>
      </c>
      <c r="C600" s="376">
        <v>16878</v>
      </c>
      <c r="D600" s="376">
        <v>1607</v>
      </c>
      <c r="E600" s="376">
        <v>13676</v>
      </c>
      <c r="F600" s="376">
        <v>1595</v>
      </c>
      <c r="G600" s="376" t="s">
        <v>839</v>
      </c>
      <c r="H600" s="376" t="s">
        <v>839</v>
      </c>
      <c r="I600" s="376">
        <v>16878</v>
      </c>
      <c r="J600" s="376">
        <v>16878</v>
      </c>
      <c r="K600" s="376">
        <v>1607</v>
      </c>
      <c r="L600" s="376">
        <v>13676</v>
      </c>
      <c r="M600" s="376">
        <v>1595</v>
      </c>
      <c r="N600" s="376" t="s">
        <v>839</v>
      </c>
      <c r="O600" s="376" t="s">
        <v>839</v>
      </c>
      <c r="P600" s="376" t="s">
        <v>839</v>
      </c>
      <c r="Q600" s="376" t="s">
        <v>839</v>
      </c>
      <c r="R600" s="376" t="s">
        <v>839</v>
      </c>
      <c r="S600" s="382" t="s">
        <v>839</v>
      </c>
      <c r="T600" s="381" t="s">
        <v>92</v>
      </c>
    </row>
    <row r="601" spans="1:20" s="376" customFormat="1" ht="9.75" customHeight="1" x14ac:dyDescent="0.15">
      <c r="A601" s="756" t="s">
        <v>682</v>
      </c>
      <c r="B601" s="376">
        <v>23810</v>
      </c>
      <c r="C601" s="376">
        <v>23810</v>
      </c>
      <c r="D601" s="376">
        <v>1548</v>
      </c>
      <c r="E601" s="376">
        <v>19309</v>
      </c>
      <c r="F601" s="376">
        <v>2953</v>
      </c>
      <c r="G601" s="376" t="s">
        <v>839</v>
      </c>
      <c r="H601" s="376" t="s">
        <v>839</v>
      </c>
      <c r="I601" s="376">
        <v>23810</v>
      </c>
      <c r="J601" s="376">
        <v>23810</v>
      </c>
      <c r="K601" s="376">
        <v>1548</v>
      </c>
      <c r="L601" s="376">
        <v>19309</v>
      </c>
      <c r="M601" s="376">
        <v>2953</v>
      </c>
      <c r="N601" s="376" t="s">
        <v>839</v>
      </c>
      <c r="O601" s="376" t="s">
        <v>839</v>
      </c>
      <c r="P601" s="376" t="s">
        <v>839</v>
      </c>
      <c r="Q601" s="376" t="s">
        <v>839</v>
      </c>
      <c r="R601" s="376" t="s">
        <v>839</v>
      </c>
      <c r="S601" s="382" t="s">
        <v>839</v>
      </c>
      <c r="T601" s="381" t="s">
        <v>93</v>
      </c>
    </row>
    <row r="602" spans="1:20" s="376" customFormat="1" ht="9.75" customHeight="1" x14ac:dyDescent="0.15">
      <c r="A602" s="756" t="s">
        <v>683</v>
      </c>
      <c r="B602" s="376">
        <v>28712</v>
      </c>
      <c r="C602" s="376">
        <v>28712</v>
      </c>
      <c r="D602" s="376" t="s">
        <v>839</v>
      </c>
      <c r="E602" s="376">
        <v>19190</v>
      </c>
      <c r="F602" s="376">
        <v>9522</v>
      </c>
      <c r="G602" s="376" t="s">
        <v>839</v>
      </c>
      <c r="H602" s="376" t="s">
        <v>839</v>
      </c>
      <c r="I602" s="376">
        <v>28712</v>
      </c>
      <c r="J602" s="376">
        <v>28712</v>
      </c>
      <c r="K602" s="376" t="s">
        <v>839</v>
      </c>
      <c r="L602" s="376">
        <v>19190</v>
      </c>
      <c r="M602" s="376">
        <v>9522</v>
      </c>
      <c r="N602" s="376" t="s">
        <v>839</v>
      </c>
      <c r="O602" s="376" t="s">
        <v>839</v>
      </c>
      <c r="P602" s="376" t="s">
        <v>839</v>
      </c>
      <c r="Q602" s="376" t="s">
        <v>839</v>
      </c>
      <c r="R602" s="376" t="s">
        <v>839</v>
      </c>
      <c r="S602" s="382" t="s">
        <v>839</v>
      </c>
      <c r="T602" s="381" t="s">
        <v>94</v>
      </c>
    </row>
    <row r="603" spans="1:20" s="376" customFormat="1" ht="9.75" customHeight="1" x14ac:dyDescent="0.15">
      <c r="A603" s="756" t="s">
        <v>684</v>
      </c>
      <c r="B603" s="376">
        <v>21549</v>
      </c>
      <c r="C603" s="376">
        <v>21549</v>
      </c>
      <c r="D603" s="376">
        <v>802</v>
      </c>
      <c r="E603" s="376">
        <v>19299</v>
      </c>
      <c r="F603" s="376">
        <v>1448</v>
      </c>
      <c r="G603" s="376" t="s">
        <v>839</v>
      </c>
      <c r="H603" s="376" t="s">
        <v>839</v>
      </c>
      <c r="I603" s="376">
        <v>21549</v>
      </c>
      <c r="J603" s="376">
        <v>21549</v>
      </c>
      <c r="K603" s="376">
        <v>802</v>
      </c>
      <c r="L603" s="376">
        <v>19299</v>
      </c>
      <c r="M603" s="376">
        <v>1448</v>
      </c>
      <c r="N603" s="376" t="s">
        <v>839</v>
      </c>
      <c r="O603" s="376" t="s">
        <v>839</v>
      </c>
      <c r="P603" s="376" t="s">
        <v>839</v>
      </c>
      <c r="Q603" s="376" t="s">
        <v>839</v>
      </c>
      <c r="R603" s="376" t="s">
        <v>839</v>
      </c>
      <c r="S603" s="382" t="s">
        <v>839</v>
      </c>
      <c r="T603" s="381" t="s">
        <v>95</v>
      </c>
    </row>
    <row r="604" spans="1:20" s="376" customFormat="1" ht="9.75" customHeight="1" x14ac:dyDescent="0.15">
      <c r="A604" s="756" t="s">
        <v>685</v>
      </c>
      <c r="B604" s="376">
        <v>24449</v>
      </c>
      <c r="C604" s="376">
        <v>24449</v>
      </c>
      <c r="D604" s="376">
        <v>1502</v>
      </c>
      <c r="E604" s="376">
        <v>19945</v>
      </c>
      <c r="F604" s="376">
        <v>3002</v>
      </c>
      <c r="G604" s="376" t="s">
        <v>839</v>
      </c>
      <c r="H604" s="376" t="s">
        <v>839</v>
      </c>
      <c r="I604" s="376">
        <v>22947</v>
      </c>
      <c r="J604" s="376">
        <v>22947</v>
      </c>
      <c r="K604" s="376" t="s">
        <v>839</v>
      </c>
      <c r="L604" s="376">
        <v>19945</v>
      </c>
      <c r="M604" s="376">
        <v>3002</v>
      </c>
      <c r="N604" s="376" t="s">
        <v>839</v>
      </c>
      <c r="O604" s="376" t="s">
        <v>839</v>
      </c>
      <c r="P604" s="376">
        <v>1502</v>
      </c>
      <c r="Q604" s="376">
        <v>1502</v>
      </c>
      <c r="R604" s="376">
        <v>1502</v>
      </c>
      <c r="S604" s="382" t="s">
        <v>839</v>
      </c>
      <c r="T604" s="381" t="s">
        <v>96</v>
      </c>
    </row>
    <row r="605" spans="1:20" s="376" customFormat="1" ht="9.75" customHeight="1" x14ac:dyDescent="0.15">
      <c r="A605" s="756" t="s">
        <v>686</v>
      </c>
      <c r="B605" s="376">
        <v>18330</v>
      </c>
      <c r="C605" s="376">
        <v>18330</v>
      </c>
      <c r="D605" s="376" t="s">
        <v>839</v>
      </c>
      <c r="E605" s="376">
        <v>13569</v>
      </c>
      <c r="F605" s="376">
        <v>4761</v>
      </c>
      <c r="G605" s="376" t="s">
        <v>839</v>
      </c>
      <c r="H605" s="376" t="s">
        <v>839</v>
      </c>
      <c r="I605" s="376">
        <v>18330</v>
      </c>
      <c r="J605" s="376">
        <v>18330</v>
      </c>
      <c r="K605" s="376" t="s">
        <v>839</v>
      </c>
      <c r="L605" s="376">
        <v>13569</v>
      </c>
      <c r="M605" s="376">
        <v>4761</v>
      </c>
      <c r="N605" s="376" t="s">
        <v>839</v>
      </c>
      <c r="O605" s="376" t="s">
        <v>839</v>
      </c>
      <c r="P605" s="376" t="s">
        <v>839</v>
      </c>
      <c r="Q605" s="376" t="s">
        <v>839</v>
      </c>
      <c r="R605" s="376" t="s">
        <v>839</v>
      </c>
      <c r="S605" s="382" t="s">
        <v>839</v>
      </c>
      <c r="T605" s="381" t="s">
        <v>80</v>
      </c>
    </row>
    <row r="606" spans="1:20" s="376" customFormat="1" ht="9.75" customHeight="1" x14ac:dyDescent="0.15">
      <c r="A606" s="756" t="s">
        <v>687</v>
      </c>
      <c r="B606" s="376">
        <v>15286</v>
      </c>
      <c r="C606" s="376">
        <v>15286</v>
      </c>
      <c r="D606" s="376" t="s">
        <v>839</v>
      </c>
      <c r="E606" s="376">
        <v>10733</v>
      </c>
      <c r="F606" s="376">
        <v>4553</v>
      </c>
      <c r="G606" s="376" t="s">
        <v>839</v>
      </c>
      <c r="H606" s="376" t="s">
        <v>839</v>
      </c>
      <c r="I606" s="376">
        <v>15286</v>
      </c>
      <c r="J606" s="376">
        <v>15286</v>
      </c>
      <c r="K606" s="376" t="s">
        <v>839</v>
      </c>
      <c r="L606" s="376">
        <v>10733</v>
      </c>
      <c r="M606" s="376">
        <v>4553</v>
      </c>
      <c r="N606" s="376" t="s">
        <v>839</v>
      </c>
      <c r="O606" s="376" t="s">
        <v>839</v>
      </c>
      <c r="P606" s="376" t="s">
        <v>839</v>
      </c>
      <c r="Q606" s="376" t="s">
        <v>839</v>
      </c>
      <c r="R606" s="376" t="s">
        <v>839</v>
      </c>
      <c r="S606" s="382" t="s">
        <v>839</v>
      </c>
      <c r="T606" s="381" t="s">
        <v>81</v>
      </c>
    </row>
    <row r="607" spans="1:20" s="376" customFormat="1" ht="9.75" customHeight="1" x14ac:dyDescent="0.15">
      <c r="A607" s="756" t="s">
        <v>688</v>
      </c>
      <c r="B607" s="376">
        <v>18595</v>
      </c>
      <c r="C607" s="376">
        <v>18595</v>
      </c>
      <c r="D607" s="376" t="s">
        <v>839</v>
      </c>
      <c r="E607" s="376">
        <v>13834</v>
      </c>
      <c r="F607" s="376">
        <v>4761</v>
      </c>
      <c r="G607" s="376" t="s">
        <v>839</v>
      </c>
      <c r="H607" s="376" t="s">
        <v>839</v>
      </c>
      <c r="I607" s="376">
        <v>18595</v>
      </c>
      <c r="J607" s="376">
        <v>18595</v>
      </c>
      <c r="K607" s="376" t="s">
        <v>839</v>
      </c>
      <c r="L607" s="376">
        <v>13834</v>
      </c>
      <c r="M607" s="376">
        <v>4761</v>
      </c>
      <c r="N607" s="376" t="s">
        <v>839</v>
      </c>
      <c r="O607" s="376" t="s">
        <v>839</v>
      </c>
      <c r="P607" s="376" t="s">
        <v>839</v>
      </c>
      <c r="Q607" s="376" t="s">
        <v>839</v>
      </c>
      <c r="R607" s="376" t="s">
        <v>839</v>
      </c>
      <c r="S607" s="382" t="s">
        <v>839</v>
      </c>
      <c r="T607" s="381" t="s">
        <v>82</v>
      </c>
    </row>
    <row r="608" spans="1:20" s="376" customFormat="1" ht="9.75" customHeight="1" x14ac:dyDescent="0.15">
      <c r="A608" s="756" t="s">
        <v>849</v>
      </c>
      <c r="B608" s="376">
        <v>15993</v>
      </c>
      <c r="C608" s="376">
        <v>15993</v>
      </c>
      <c r="D608" s="376" t="s">
        <v>839</v>
      </c>
      <c r="E608" s="376">
        <v>11233</v>
      </c>
      <c r="F608" s="376">
        <v>4760</v>
      </c>
      <c r="G608" s="376" t="s">
        <v>839</v>
      </c>
      <c r="H608" s="376" t="s">
        <v>839</v>
      </c>
      <c r="I608" s="376">
        <v>15993</v>
      </c>
      <c r="J608" s="376">
        <v>15993</v>
      </c>
      <c r="K608" s="376" t="s">
        <v>839</v>
      </c>
      <c r="L608" s="376">
        <v>11233</v>
      </c>
      <c r="M608" s="376">
        <v>4760</v>
      </c>
      <c r="N608" s="376" t="s">
        <v>839</v>
      </c>
      <c r="O608" s="376" t="s">
        <v>839</v>
      </c>
      <c r="P608" s="376" t="s">
        <v>839</v>
      </c>
      <c r="Q608" s="376" t="s">
        <v>839</v>
      </c>
      <c r="R608" s="376" t="s">
        <v>839</v>
      </c>
      <c r="S608" s="382" t="s">
        <v>839</v>
      </c>
      <c r="T608" s="381" t="s">
        <v>850</v>
      </c>
    </row>
    <row r="609" spans="1:20" s="376" customFormat="1" ht="9.75" customHeight="1" x14ac:dyDescent="0.15">
      <c r="A609" s="756" t="s">
        <v>690</v>
      </c>
      <c r="B609" s="376">
        <v>18701</v>
      </c>
      <c r="C609" s="376">
        <v>18701</v>
      </c>
      <c r="D609" s="376" t="s">
        <v>839</v>
      </c>
      <c r="E609" s="376">
        <v>13940</v>
      </c>
      <c r="F609" s="376">
        <v>4761</v>
      </c>
      <c r="G609" s="376" t="s">
        <v>839</v>
      </c>
      <c r="H609" s="376" t="s">
        <v>839</v>
      </c>
      <c r="I609" s="376">
        <v>18701</v>
      </c>
      <c r="J609" s="376">
        <v>18701</v>
      </c>
      <c r="K609" s="376" t="s">
        <v>839</v>
      </c>
      <c r="L609" s="376">
        <v>13940</v>
      </c>
      <c r="M609" s="376">
        <v>4761</v>
      </c>
      <c r="N609" s="376" t="s">
        <v>839</v>
      </c>
      <c r="O609" s="376" t="s">
        <v>839</v>
      </c>
      <c r="P609" s="376" t="s">
        <v>839</v>
      </c>
      <c r="Q609" s="376" t="s">
        <v>839</v>
      </c>
      <c r="R609" s="376" t="s">
        <v>839</v>
      </c>
      <c r="S609" s="382" t="s">
        <v>839</v>
      </c>
      <c r="T609" s="381" t="s">
        <v>77</v>
      </c>
    </row>
    <row r="610" spans="1:20" s="376" customFormat="1" ht="9.75" customHeight="1" x14ac:dyDescent="0.15">
      <c r="A610" s="757" t="s">
        <v>691</v>
      </c>
      <c r="B610" s="380">
        <v>24743</v>
      </c>
      <c r="C610" s="379">
        <v>24743</v>
      </c>
      <c r="D610" s="379">
        <v>1502</v>
      </c>
      <c r="E610" s="379">
        <v>18480</v>
      </c>
      <c r="F610" s="379">
        <v>4761</v>
      </c>
      <c r="G610" s="379" t="s">
        <v>839</v>
      </c>
      <c r="H610" s="379" t="s">
        <v>839</v>
      </c>
      <c r="I610" s="379">
        <v>23241</v>
      </c>
      <c r="J610" s="379">
        <v>23241</v>
      </c>
      <c r="K610" s="379" t="s">
        <v>839</v>
      </c>
      <c r="L610" s="379">
        <v>18480</v>
      </c>
      <c r="M610" s="379">
        <v>4761</v>
      </c>
      <c r="N610" s="379" t="s">
        <v>839</v>
      </c>
      <c r="O610" s="379" t="s">
        <v>839</v>
      </c>
      <c r="P610" s="379">
        <v>1502</v>
      </c>
      <c r="Q610" s="379">
        <v>1502</v>
      </c>
      <c r="R610" s="379">
        <v>1502</v>
      </c>
      <c r="S610" s="378" t="s">
        <v>839</v>
      </c>
      <c r="T610" s="377" t="s">
        <v>78</v>
      </c>
    </row>
    <row r="611" spans="1:20" ht="12" customHeight="1" x14ac:dyDescent="0.15"/>
    <row r="612" spans="1:20" ht="12" customHeight="1" x14ac:dyDescent="0.15"/>
    <row r="613" spans="1:20" ht="12" customHeight="1" x14ac:dyDescent="0.15"/>
  </sheetData>
  <mergeCells count="49">
    <mergeCell ref="A506:A508"/>
    <mergeCell ref="W506:W508"/>
    <mergeCell ref="A542:A544"/>
    <mergeCell ref="W542:W544"/>
    <mergeCell ref="A578:A580"/>
    <mergeCell ref="T578:T580"/>
    <mergeCell ref="B579:B580"/>
    <mergeCell ref="I579:I580"/>
    <mergeCell ref="P579:P580"/>
    <mergeCell ref="A434:A436"/>
    <mergeCell ref="W434:W436"/>
    <mergeCell ref="B435:B436"/>
    <mergeCell ref="I435:I436"/>
    <mergeCell ref="A470:A472"/>
    <mergeCell ref="W470:W472"/>
    <mergeCell ref="O471:O472"/>
    <mergeCell ref="A326:A328"/>
    <mergeCell ref="W326:W328"/>
    <mergeCell ref="A362:A364"/>
    <mergeCell ref="W362:W364"/>
    <mergeCell ref="A398:A400"/>
    <mergeCell ref="W398:W400"/>
    <mergeCell ref="A254:A256"/>
    <mergeCell ref="W254:W256"/>
    <mergeCell ref="S255:S256"/>
    <mergeCell ref="A290:A292"/>
    <mergeCell ref="W290:W292"/>
    <mergeCell ref="G291:G292"/>
    <mergeCell ref="V291:V292"/>
    <mergeCell ref="A182:A184"/>
    <mergeCell ref="W182:W184"/>
    <mergeCell ref="K183:K184"/>
    <mergeCell ref="S183:S184"/>
    <mergeCell ref="A218:A220"/>
    <mergeCell ref="W218:W220"/>
    <mergeCell ref="A110:A112"/>
    <mergeCell ref="W110:W112"/>
    <mergeCell ref="P111:P112"/>
    <mergeCell ref="S111:S112"/>
    <mergeCell ref="A146:A148"/>
    <mergeCell ref="W146:W148"/>
    <mergeCell ref="A74:A76"/>
    <mergeCell ref="W74:W76"/>
    <mergeCell ref="G75:G76"/>
    <mergeCell ref="A2:A4"/>
    <mergeCell ref="W2:W4"/>
    <mergeCell ref="B3:B4"/>
    <mergeCell ref="A38:A40"/>
    <mergeCell ref="W38:W40"/>
  </mergeCells>
  <phoneticPr fontId="32"/>
  <pageMargins left="0.59055118110236227" right="0.59055118110236227" top="0.59055118110236227" bottom="0.59055118110236227" header="0.51181102362204722" footer="0.51181102362204722"/>
  <pageSetup paperSize="9" scale="94" pageOrder="overThenDown" orientation="portrait" r:id="rId1"/>
  <headerFooter alignWithMargins="0"/>
  <rowBreaks count="8" manualBreakCount="8">
    <brk id="72" max="22" man="1"/>
    <brk id="144" max="22" man="1"/>
    <brk id="216" max="22" man="1"/>
    <brk id="288" max="22" man="1"/>
    <brk id="360" max="22" man="1"/>
    <brk id="432" max="22" man="1"/>
    <brk id="504" max="22" man="1"/>
    <brk id="576" max="22" man="1"/>
  </rowBreaks>
  <colBreaks count="1" manualBreakCount="1">
    <brk id="11" max="609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41F2-875D-4FCF-A9FB-E6884F6C6269}">
  <dimension ref="A1:X60"/>
  <sheetViews>
    <sheetView view="pageBreakPreview" topLeftCell="A3" zoomScaleNormal="75" zoomScaleSheetLayoutView="100" workbookViewId="0">
      <pane xSplit="5" ySplit="8" topLeftCell="F11" activePane="bottomRight" state="frozen"/>
      <selection activeCell="A3" sqref="A3"/>
      <selection pane="topRight" activeCell="G3" sqref="G3"/>
      <selection pane="bottomLeft" activeCell="A12" sqref="A12"/>
      <selection pane="bottomRight"/>
    </sheetView>
  </sheetViews>
  <sheetFormatPr defaultRowHeight="13.5" x14ac:dyDescent="0.15"/>
  <cols>
    <col min="1" max="1" width="2.625" style="173" customWidth="1"/>
    <col min="2" max="2" width="3.625" style="173" customWidth="1"/>
    <col min="3" max="3" width="11.625" style="173" customWidth="1"/>
    <col min="4" max="4" width="0.875" style="173" customWidth="1"/>
    <col min="5" max="5" width="9.125" style="173" customWidth="1"/>
    <col min="6" max="20" width="8.125" style="173" customWidth="1"/>
    <col min="21" max="21" width="12.375" style="173" customWidth="1"/>
    <col min="22" max="22" width="2.625" style="174" customWidth="1"/>
    <col min="23" max="16384" width="9" style="173"/>
  </cols>
  <sheetData>
    <row r="1" spans="1:24" ht="24.95" customHeight="1" x14ac:dyDescent="0.15"/>
    <row r="2" spans="1:24" ht="30" customHeight="1" x14ac:dyDescent="0.2">
      <c r="A2" s="452" t="s">
        <v>361</v>
      </c>
      <c r="B2" s="467"/>
      <c r="C2" s="467"/>
      <c r="D2" s="467"/>
      <c r="E2" s="464"/>
      <c r="F2" s="464"/>
      <c r="G2" s="464"/>
      <c r="H2" s="464"/>
      <c r="I2" s="466"/>
      <c r="J2" s="464"/>
      <c r="K2" s="464"/>
      <c r="L2" s="464"/>
      <c r="M2" s="464"/>
      <c r="N2" s="464"/>
      <c r="O2" s="464"/>
      <c r="P2" s="464"/>
      <c r="Q2" s="464"/>
      <c r="R2" s="465"/>
      <c r="S2" s="465"/>
      <c r="T2" s="465"/>
      <c r="U2" s="464"/>
      <c r="V2" s="464"/>
    </row>
    <row r="3" spans="1:24" ht="17.100000000000001" customHeight="1" x14ac:dyDescent="0.15">
      <c r="I3" s="463"/>
      <c r="J3" s="463"/>
      <c r="K3" s="463"/>
      <c r="L3" s="463"/>
      <c r="M3" s="463"/>
      <c r="N3" s="463"/>
      <c r="O3" s="463"/>
      <c r="P3" s="463"/>
      <c r="Q3" s="463"/>
      <c r="V3" s="173"/>
    </row>
    <row r="4" spans="1:24" s="457" customFormat="1" ht="14.85" customHeight="1" x14ac:dyDescent="0.15">
      <c r="A4" s="462"/>
      <c r="B4" s="461"/>
      <c r="G4" s="450"/>
      <c r="H4" s="458"/>
      <c r="I4" s="458"/>
      <c r="J4" s="458"/>
      <c r="K4" s="458"/>
      <c r="M4" s="460"/>
      <c r="N4" s="450"/>
      <c r="O4" s="450"/>
      <c r="P4" s="450"/>
      <c r="Q4" s="450"/>
      <c r="R4" s="460"/>
      <c r="S4" s="450"/>
      <c r="T4" s="459"/>
      <c r="U4" s="450"/>
      <c r="V4" s="458"/>
    </row>
    <row r="5" spans="1:24" ht="14.85" customHeight="1" x14ac:dyDescent="0.2">
      <c r="A5" s="456"/>
      <c r="B5" s="455"/>
      <c r="G5" s="450"/>
      <c r="H5" s="454"/>
      <c r="I5" s="454"/>
      <c r="J5" s="454"/>
      <c r="K5" s="454"/>
      <c r="L5" s="450"/>
      <c r="M5" s="450"/>
      <c r="N5" s="450"/>
      <c r="O5" s="436"/>
      <c r="P5" s="450"/>
      <c r="Q5" s="450"/>
      <c r="R5" s="453"/>
      <c r="S5" s="452"/>
      <c r="T5" s="451"/>
      <c r="U5" s="450"/>
    </row>
    <row r="6" spans="1:24" ht="14.85" customHeight="1" x14ac:dyDescent="0.2">
      <c r="A6" s="774"/>
      <c r="B6" s="294" t="s">
        <v>360</v>
      </c>
      <c r="C6" s="775"/>
      <c r="D6" s="775"/>
      <c r="E6" s="775"/>
      <c r="F6" s="775"/>
      <c r="G6" s="775"/>
      <c r="H6" s="776"/>
      <c r="I6" s="776"/>
      <c r="J6" s="775"/>
      <c r="K6" s="775"/>
      <c r="L6" s="775"/>
      <c r="M6" s="777"/>
      <c r="N6" s="777"/>
      <c r="O6" s="293"/>
      <c r="P6" s="764"/>
      <c r="Q6" s="778"/>
      <c r="S6" s="779"/>
      <c r="T6" s="150" t="s">
        <v>722</v>
      </c>
      <c r="U6" s="293"/>
    </row>
    <row r="7" spans="1:24" s="175" customFormat="1" ht="14.85" customHeight="1" x14ac:dyDescent="0.15">
      <c r="A7" s="169"/>
      <c r="B7" s="447"/>
      <c r="C7" s="447"/>
      <c r="D7" s="449"/>
      <c r="E7" s="407"/>
      <c r="F7" s="212"/>
      <c r="G7" s="212"/>
      <c r="H7" s="212"/>
      <c r="I7" s="212"/>
      <c r="J7" s="212"/>
      <c r="K7" s="212"/>
      <c r="L7" s="212"/>
      <c r="M7" s="211"/>
      <c r="N7" s="210"/>
      <c r="O7" s="209"/>
      <c r="P7" s="209"/>
      <c r="Q7" s="209"/>
      <c r="R7" s="448"/>
      <c r="S7" s="208"/>
      <c r="T7" s="207"/>
      <c r="U7" s="1033" t="s">
        <v>652</v>
      </c>
      <c r="V7" s="443"/>
    </row>
    <row r="8" spans="1:24" s="175" customFormat="1" ht="21.75" customHeight="1" x14ac:dyDescent="0.15">
      <c r="A8" s="169"/>
      <c r="B8" s="1007" t="s">
        <v>528</v>
      </c>
      <c r="C8" s="1007"/>
      <c r="D8" s="1008"/>
      <c r="E8" s="200" t="s">
        <v>240</v>
      </c>
      <c r="F8" s="195" t="s">
        <v>529</v>
      </c>
      <c r="G8" s="195" t="s">
        <v>530</v>
      </c>
      <c r="H8" s="195" t="s">
        <v>531</v>
      </c>
      <c r="I8" s="195" t="s">
        <v>532</v>
      </c>
      <c r="J8" s="195" t="s">
        <v>533</v>
      </c>
      <c r="K8" s="195" t="s">
        <v>534</v>
      </c>
      <c r="L8" s="205"/>
      <c r="M8" s="204"/>
      <c r="N8" s="197" t="s">
        <v>535</v>
      </c>
      <c r="O8" s="198" t="s">
        <v>536</v>
      </c>
      <c r="P8" s="198" t="s">
        <v>537</v>
      </c>
      <c r="Q8" s="198" t="s">
        <v>538</v>
      </c>
      <c r="R8" s="203" t="s">
        <v>734</v>
      </c>
      <c r="S8" s="202"/>
      <c r="T8" s="201"/>
      <c r="U8" s="1034"/>
      <c r="V8" s="443"/>
    </row>
    <row r="9" spans="1:24" s="175" customFormat="1" ht="14.25" customHeight="1" x14ac:dyDescent="0.15">
      <c r="A9" s="169"/>
      <c r="B9" s="447"/>
      <c r="C9" s="447"/>
      <c r="D9" s="446"/>
      <c r="E9" s="200"/>
      <c r="F9" s="195" t="s">
        <v>237</v>
      </c>
      <c r="G9" s="195" t="s">
        <v>237</v>
      </c>
      <c r="H9" s="195" t="s">
        <v>238</v>
      </c>
      <c r="I9" s="195"/>
      <c r="J9" s="195"/>
      <c r="K9" s="195" t="s">
        <v>237</v>
      </c>
      <c r="L9" s="195" t="s">
        <v>236</v>
      </c>
      <c r="M9" s="199" t="s">
        <v>235</v>
      </c>
      <c r="N9" s="197"/>
      <c r="O9" s="198"/>
      <c r="P9" s="198"/>
      <c r="Q9" s="198"/>
      <c r="R9" s="198"/>
      <c r="S9" s="198" t="s">
        <v>540</v>
      </c>
      <c r="T9" s="197" t="s">
        <v>541</v>
      </c>
      <c r="U9" s="1034"/>
      <c r="V9" s="443"/>
    </row>
    <row r="10" spans="1:24" s="442" customFormat="1" ht="33.75" customHeight="1" x14ac:dyDescent="0.15">
      <c r="A10" s="445"/>
      <c r="B10" s="726"/>
      <c r="C10" s="726"/>
      <c r="D10" s="444"/>
      <c r="E10" s="194" t="s">
        <v>947</v>
      </c>
      <c r="F10" s="194" t="s">
        <v>234</v>
      </c>
      <c r="G10" s="194" t="s">
        <v>550</v>
      </c>
      <c r="H10" s="194" t="s">
        <v>551</v>
      </c>
      <c r="I10" s="194" t="s">
        <v>233</v>
      </c>
      <c r="J10" s="194" t="s">
        <v>542</v>
      </c>
      <c r="K10" s="194" t="s">
        <v>948</v>
      </c>
      <c r="L10" s="194" t="s">
        <v>552</v>
      </c>
      <c r="M10" s="193" t="s">
        <v>553</v>
      </c>
      <c r="N10" s="192" t="s">
        <v>242</v>
      </c>
      <c r="O10" s="192" t="s">
        <v>232</v>
      </c>
      <c r="P10" s="192" t="s">
        <v>231</v>
      </c>
      <c r="Q10" s="191" t="s">
        <v>230</v>
      </c>
      <c r="R10" s="729" t="s">
        <v>554</v>
      </c>
      <c r="S10" s="190"/>
      <c r="T10" s="190"/>
      <c r="U10" s="1035"/>
      <c r="V10" s="443"/>
    </row>
    <row r="11" spans="1:24" s="175" customFormat="1" ht="13.5" customHeight="1" x14ac:dyDescent="0.15">
      <c r="A11" s="169"/>
      <c r="B11" s="1036" t="s">
        <v>1015</v>
      </c>
      <c r="C11" s="1036"/>
      <c r="D11" s="441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39"/>
      <c r="U11" s="440"/>
      <c r="V11" s="169"/>
    </row>
    <row r="12" spans="1:24" s="175" customFormat="1" ht="14.25" customHeight="1" x14ac:dyDescent="0.15">
      <c r="A12" s="169"/>
      <c r="B12" s="439"/>
      <c r="C12" s="423" t="s">
        <v>203</v>
      </c>
      <c r="D12" s="422"/>
      <c r="E12" s="438">
        <v>9333125</v>
      </c>
      <c r="F12" s="421">
        <v>1815070</v>
      </c>
      <c r="G12" s="421">
        <v>1443522</v>
      </c>
      <c r="H12" s="421">
        <v>816738</v>
      </c>
      <c r="I12" s="421">
        <v>1852369</v>
      </c>
      <c r="J12" s="421">
        <v>1509823</v>
      </c>
      <c r="K12" s="421">
        <v>1895603</v>
      </c>
      <c r="L12" s="421">
        <v>723800</v>
      </c>
      <c r="M12" s="421">
        <v>1171803</v>
      </c>
      <c r="N12" s="421">
        <v>461973</v>
      </c>
      <c r="O12" s="421">
        <v>222217</v>
      </c>
      <c r="P12" s="421">
        <v>9285</v>
      </c>
      <c r="Q12" s="421">
        <v>16596</v>
      </c>
      <c r="R12" s="432">
        <v>1712530</v>
      </c>
      <c r="S12" s="432">
        <v>1109079</v>
      </c>
      <c r="T12" s="845">
        <v>603451</v>
      </c>
      <c r="U12" s="419" t="s">
        <v>740</v>
      </c>
      <c r="V12" s="169"/>
    </row>
    <row r="13" spans="1:24" s="175" customFormat="1" ht="14.1" customHeight="1" x14ac:dyDescent="0.15">
      <c r="A13" s="169"/>
      <c r="B13" s="418" t="s">
        <v>359</v>
      </c>
      <c r="C13" s="417" t="s">
        <v>358</v>
      </c>
      <c r="D13" s="287"/>
      <c r="E13" s="406">
        <v>4731620</v>
      </c>
      <c r="F13" s="406">
        <v>883658</v>
      </c>
      <c r="G13" s="406">
        <v>934293</v>
      </c>
      <c r="H13" s="406">
        <v>437589</v>
      </c>
      <c r="I13" s="406">
        <v>716233</v>
      </c>
      <c r="J13" s="406">
        <v>725951</v>
      </c>
      <c r="K13" s="406">
        <v>1033896</v>
      </c>
      <c r="L13" s="406">
        <v>269713</v>
      </c>
      <c r="M13" s="406">
        <v>764183</v>
      </c>
      <c r="N13" s="406">
        <v>168753</v>
      </c>
      <c r="O13" s="406">
        <v>159409</v>
      </c>
      <c r="P13" s="406" t="s">
        <v>599</v>
      </c>
      <c r="Q13" s="406">
        <v>3974</v>
      </c>
      <c r="R13" s="431">
        <v>216913</v>
      </c>
      <c r="S13" s="431">
        <v>74505</v>
      </c>
      <c r="T13" s="630">
        <v>142408</v>
      </c>
      <c r="U13" s="119" t="s">
        <v>211</v>
      </c>
      <c r="V13" s="169"/>
    </row>
    <row r="14" spans="1:24" s="175" customFormat="1" ht="14.1" customHeight="1" x14ac:dyDescent="0.15">
      <c r="A14" s="169"/>
      <c r="B14" s="430"/>
      <c r="C14" s="429" t="s">
        <v>357</v>
      </c>
      <c r="D14" s="428"/>
      <c r="E14" s="427">
        <v>4601505</v>
      </c>
      <c r="F14" s="427">
        <v>931412</v>
      </c>
      <c r="G14" s="427">
        <v>509229</v>
      </c>
      <c r="H14" s="427">
        <v>379149</v>
      </c>
      <c r="I14" s="427">
        <v>1136136</v>
      </c>
      <c r="J14" s="427">
        <v>783872</v>
      </c>
      <c r="K14" s="427">
        <v>861707</v>
      </c>
      <c r="L14" s="427">
        <v>454087</v>
      </c>
      <c r="M14" s="427">
        <v>407620</v>
      </c>
      <c r="N14" s="427">
        <v>293220</v>
      </c>
      <c r="O14" s="427">
        <v>62808</v>
      </c>
      <c r="P14" s="427">
        <v>9285</v>
      </c>
      <c r="Q14" s="427">
        <v>12622</v>
      </c>
      <c r="R14" s="426">
        <v>1495617</v>
      </c>
      <c r="S14" s="426">
        <v>1034574</v>
      </c>
      <c r="T14" s="846">
        <v>461043</v>
      </c>
      <c r="U14" s="425" t="s">
        <v>356</v>
      </c>
      <c r="V14" s="169"/>
    </row>
    <row r="15" spans="1:24" s="175" customFormat="1" ht="14.25" customHeight="1" x14ac:dyDescent="0.15">
      <c r="A15" s="169"/>
      <c r="B15" s="424"/>
      <c r="C15" s="423" t="s">
        <v>203</v>
      </c>
      <c r="D15" s="422"/>
      <c r="E15" s="421">
        <v>8530160</v>
      </c>
      <c r="F15" s="421">
        <v>1758779</v>
      </c>
      <c r="G15" s="421">
        <v>1424826</v>
      </c>
      <c r="H15" s="421">
        <v>725208</v>
      </c>
      <c r="I15" s="421">
        <v>1401227</v>
      </c>
      <c r="J15" s="421">
        <v>1434627</v>
      </c>
      <c r="K15" s="421">
        <v>1785493</v>
      </c>
      <c r="L15" s="421">
        <v>695135</v>
      </c>
      <c r="M15" s="421">
        <v>1090358</v>
      </c>
      <c r="N15" s="421">
        <v>466991</v>
      </c>
      <c r="O15" s="421">
        <v>208079</v>
      </c>
      <c r="P15" s="421">
        <v>9432</v>
      </c>
      <c r="Q15" s="421">
        <v>15434</v>
      </c>
      <c r="R15" s="432">
        <v>1516947</v>
      </c>
      <c r="S15" s="432">
        <v>897596</v>
      </c>
      <c r="T15" s="845">
        <v>619351</v>
      </c>
      <c r="U15" s="437" t="s">
        <v>741</v>
      </c>
      <c r="V15" s="169"/>
      <c r="X15" s="436"/>
    </row>
    <row r="16" spans="1:24" s="175" customFormat="1" ht="14.1" customHeight="1" x14ac:dyDescent="0.15">
      <c r="A16" s="169"/>
      <c r="B16" s="418" t="s">
        <v>735</v>
      </c>
      <c r="C16" s="417" t="s">
        <v>358</v>
      </c>
      <c r="D16" s="287"/>
      <c r="E16" s="406">
        <v>4495463</v>
      </c>
      <c r="F16" s="406">
        <v>854794</v>
      </c>
      <c r="G16" s="406">
        <v>1010418</v>
      </c>
      <c r="H16" s="406">
        <v>358847</v>
      </c>
      <c r="I16" s="406">
        <v>540953</v>
      </c>
      <c r="J16" s="406">
        <v>727430</v>
      </c>
      <c r="K16" s="406">
        <v>1003021</v>
      </c>
      <c r="L16" s="406">
        <v>272592</v>
      </c>
      <c r="M16" s="406">
        <v>730429</v>
      </c>
      <c r="N16" s="406">
        <v>167994</v>
      </c>
      <c r="O16" s="406">
        <v>145725</v>
      </c>
      <c r="P16" s="406" t="s">
        <v>599</v>
      </c>
      <c r="Q16" s="406">
        <v>4182</v>
      </c>
      <c r="R16" s="431">
        <v>218468</v>
      </c>
      <c r="S16" s="431">
        <v>76114</v>
      </c>
      <c r="T16" s="629">
        <v>142354</v>
      </c>
      <c r="U16" s="119" t="s">
        <v>211</v>
      </c>
      <c r="V16" s="169"/>
    </row>
    <row r="17" spans="1:22" s="175" customFormat="1" ht="14.1" customHeight="1" x14ac:dyDescent="0.15">
      <c r="A17" s="169"/>
      <c r="B17" s="430"/>
      <c r="C17" s="429" t="s">
        <v>357</v>
      </c>
      <c r="D17" s="428"/>
      <c r="E17" s="427">
        <v>4034697</v>
      </c>
      <c r="F17" s="427">
        <v>903985</v>
      </c>
      <c r="G17" s="427">
        <v>414408</v>
      </c>
      <c r="H17" s="427">
        <v>366361</v>
      </c>
      <c r="I17" s="427">
        <v>860274</v>
      </c>
      <c r="J17" s="427">
        <v>707197</v>
      </c>
      <c r="K17" s="427">
        <v>782472</v>
      </c>
      <c r="L17" s="427">
        <v>422543</v>
      </c>
      <c r="M17" s="427">
        <v>359929</v>
      </c>
      <c r="N17" s="427">
        <v>298997</v>
      </c>
      <c r="O17" s="427">
        <v>62354</v>
      </c>
      <c r="P17" s="427">
        <v>9432</v>
      </c>
      <c r="Q17" s="427">
        <v>11252</v>
      </c>
      <c r="R17" s="426">
        <v>1298479</v>
      </c>
      <c r="S17" s="426">
        <v>821482</v>
      </c>
      <c r="T17" s="846">
        <v>476997</v>
      </c>
      <c r="U17" s="425" t="s">
        <v>356</v>
      </c>
      <c r="V17" s="169"/>
    </row>
    <row r="18" spans="1:22" s="175" customFormat="1" ht="14.25" customHeight="1" x14ac:dyDescent="0.15">
      <c r="A18" s="169"/>
      <c r="B18" s="424"/>
      <c r="C18" s="423" t="s">
        <v>203</v>
      </c>
      <c r="D18" s="422"/>
      <c r="E18" s="421">
        <v>7574603</v>
      </c>
      <c r="F18" s="421">
        <v>1568093</v>
      </c>
      <c r="G18" s="421">
        <v>1342405</v>
      </c>
      <c r="H18" s="421">
        <v>736627</v>
      </c>
      <c r="I18" s="421">
        <v>1137694</v>
      </c>
      <c r="J18" s="421">
        <v>1188467</v>
      </c>
      <c r="K18" s="421">
        <v>1601317</v>
      </c>
      <c r="L18" s="421">
        <v>645851</v>
      </c>
      <c r="M18" s="421">
        <v>955466</v>
      </c>
      <c r="N18" s="421">
        <v>445765</v>
      </c>
      <c r="O18" s="421">
        <v>197149</v>
      </c>
      <c r="P18" s="421">
        <v>9322</v>
      </c>
      <c r="Q18" s="421">
        <v>14424</v>
      </c>
      <c r="R18" s="432">
        <v>1571974</v>
      </c>
      <c r="S18" s="432">
        <v>944894</v>
      </c>
      <c r="T18" s="845">
        <v>627080</v>
      </c>
      <c r="U18" s="419" t="s">
        <v>742</v>
      </c>
      <c r="V18" s="169"/>
    </row>
    <row r="19" spans="1:22" s="175" customFormat="1" ht="14.1" customHeight="1" x14ac:dyDescent="0.15">
      <c r="A19" s="169"/>
      <c r="B19" s="418" t="s">
        <v>736</v>
      </c>
      <c r="C19" s="417" t="s">
        <v>358</v>
      </c>
      <c r="D19" s="287"/>
      <c r="E19" s="406">
        <v>4100564</v>
      </c>
      <c r="F19" s="406">
        <v>731112</v>
      </c>
      <c r="G19" s="406">
        <v>979865</v>
      </c>
      <c r="H19" s="406">
        <v>438655</v>
      </c>
      <c r="I19" s="406">
        <v>443957</v>
      </c>
      <c r="J19" s="406">
        <v>571374</v>
      </c>
      <c r="K19" s="406">
        <v>935601</v>
      </c>
      <c r="L19" s="406">
        <v>247704</v>
      </c>
      <c r="M19" s="406">
        <v>687897</v>
      </c>
      <c r="N19" s="406">
        <v>162812</v>
      </c>
      <c r="O19" s="406">
        <v>138550</v>
      </c>
      <c r="P19" s="406" t="s">
        <v>599</v>
      </c>
      <c r="Q19" s="406">
        <v>3710</v>
      </c>
      <c r="R19" s="431">
        <v>199965</v>
      </c>
      <c r="S19" s="431">
        <v>72552</v>
      </c>
      <c r="T19" s="629">
        <v>127413</v>
      </c>
      <c r="U19" s="119" t="s">
        <v>211</v>
      </c>
      <c r="V19" s="169"/>
    </row>
    <row r="20" spans="1:22" s="175" customFormat="1" ht="14.1" customHeight="1" x14ac:dyDescent="0.15">
      <c r="A20" s="169"/>
      <c r="B20" s="430"/>
      <c r="C20" s="429" t="s">
        <v>357</v>
      </c>
      <c r="D20" s="428"/>
      <c r="E20" s="427">
        <v>3474039</v>
      </c>
      <c r="F20" s="427">
        <v>836981</v>
      </c>
      <c r="G20" s="427">
        <v>362540</v>
      </c>
      <c r="H20" s="427">
        <v>297972</v>
      </c>
      <c r="I20" s="427">
        <v>693737</v>
      </c>
      <c r="J20" s="427">
        <v>617093</v>
      </c>
      <c r="K20" s="427">
        <v>665716</v>
      </c>
      <c r="L20" s="427">
        <v>398147</v>
      </c>
      <c r="M20" s="427">
        <v>267569</v>
      </c>
      <c r="N20" s="427">
        <v>282953</v>
      </c>
      <c r="O20" s="427">
        <v>58599</v>
      </c>
      <c r="P20" s="427">
        <v>9322</v>
      </c>
      <c r="Q20" s="427">
        <v>10714</v>
      </c>
      <c r="R20" s="426">
        <v>1372009</v>
      </c>
      <c r="S20" s="426">
        <v>872342</v>
      </c>
      <c r="T20" s="846">
        <v>499667</v>
      </c>
      <c r="U20" s="425" t="s">
        <v>356</v>
      </c>
      <c r="V20" s="169"/>
    </row>
    <row r="21" spans="1:22" s="175" customFormat="1" ht="14.25" customHeight="1" x14ac:dyDescent="0.15">
      <c r="A21" s="169"/>
      <c r="B21" s="424"/>
      <c r="C21" s="423" t="s">
        <v>203</v>
      </c>
      <c r="D21" s="422"/>
      <c r="E21" s="421">
        <v>8020300</v>
      </c>
      <c r="F21" s="421">
        <v>1647157</v>
      </c>
      <c r="G21" s="421">
        <v>1403417</v>
      </c>
      <c r="H21" s="421">
        <v>810098</v>
      </c>
      <c r="I21" s="421">
        <v>1210137</v>
      </c>
      <c r="J21" s="421">
        <v>1204310</v>
      </c>
      <c r="K21" s="421">
        <v>1745181</v>
      </c>
      <c r="L21" s="421">
        <v>704312</v>
      </c>
      <c r="M21" s="421">
        <v>1040869</v>
      </c>
      <c r="N21" s="421">
        <v>452789</v>
      </c>
      <c r="O21" s="421">
        <v>240875</v>
      </c>
      <c r="P21" s="421">
        <v>9445</v>
      </c>
      <c r="Q21" s="421">
        <v>14305</v>
      </c>
      <c r="R21" s="432">
        <v>1609842</v>
      </c>
      <c r="S21" s="432">
        <v>966520</v>
      </c>
      <c r="T21" s="845">
        <v>643322</v>
      </c>
      <c r="U21" s="419" t="s">
        <v>1016</v>
      </c>
      <c r="V21" s="169"/>
    </row>
    <row r="22" spans="1:22" s="175" customFormat="1" ht="14.1" customHeight="1" x14ac:dyDescent="0.15">
      <c r="A22" s="169"/>
      <c r="B22" s="418" t="s">
        <v>653</v>
      </c>
      <c r="C22" s="417" t="s">
        <v>358</v>
      </c>
      <c r="D22" s="287"/>
      <c r="E22" s="406">
        <v>4451720</v>
      </c>
      <c r="F22" s="406">
        <v>809501</v>
      </c>
      <c r="G22" s="406">
        <v>1007279</v>
      </c>
      <c r="H22" s="406">
        <v>500377</v>
      </c>
      <c r="I22" s="406">
        <v>557331</v>
      </c>
      <c r="J22" s="406">
        <v>548696</v>
      </c>
      <c r="K22" s="406">
        <v>1028536</v>
      </c>
      <c r="L22" s="406">
        <v>274815</v>
      </c>
      <c r="M22" s="406">
        <v>753721</v>
      </c>
      <c r="N22" s="406">
        <v>152784</v>
      </c>
      <c r="O22" s="406">
        <v>177410</v>
      </c>
      <c r="P22" s="406" t="s">
        <v>599</v>
      </c>
      <c r="Q22" s="406">
        <v>3934</v>
      </c>
      <c r="R22" s="431">
        <v>213107</v>
      </c>
      <c r="S22" s="431">
        <v>75269</v>
      </c>
      <c r="T22" s="629">
        <v>137838</v>
      </c>
      <c r="U22" s="119" t="s">
        <v>211</v>
      </c>
      <c r="V22" s="169"/>
    </row>
    <row r="23" spans="1:22" s="175" customFormat="1" ht="14.1" customHeight="1" x14ac:dyDescent="0.15">
      <c r="A23" s="169"/>
      <c r="B23" s="430"/>
      <c r="C23" s="429" t="s">
        <v>357</v>
      </c>
      <c r="D23" s="428"/>
      <c r="E23" s="427">
        <v>3568580</v>
      </c>
      <c r="F23" s="427">
        <v>837656</v>
      </c>
      <c r="G23" s="427">
        <v>396138</v>
      </c>
      <c r="H23" s="427">
        <v>309721</v>
      </c>
      <c r="I23" s="427">
        <v>652806</v>
      </c>
      <c r="J23" s="427">
        <v>655614</v>
      </c>
      <c r="K23" s="427">
        <v>716645</v>
      </c>
      <c r="L23" s="427">
        <v>429497</v>
      </c>
      <c r="M23" s="427">
        <v>287148</v>
      </c>
      <c r="N23" s="427">
        <v>300005</v>
      </c>
      <c r="O23" s="427">
        <v>63465</v>
      </c>
      <c r="P23" s="427">
        <v>9445</v>
      </c>
      <c r="Q23" s="427">
        <v>10371</v>
      </c>
      <c r="R23" s="426">
        <v>1396735</v>
      </c>
      <c r="S23" s="426">
        <v>891251</v>
      </c>
      <c r="T23" s="846">
        <v>505484</v>
      </c>
      <c r="U23" s="425" t="s">
        <v>356</v>
      </c>
      <c r="V23" s="169"/>
    </row>
    <row r="24" spans="1:22" s="175" customFormat="1" ht="14.25" customHeight="1" x14ac:dyDescent="0.15">
      <c r="A24" s="169"/>
      <c r="B24" s="424"/>
      <c r="C24" s="423" t="s">
        <v>203</v>
      </c>
      <c r="D24" s="422"/>
      <c r="E24" s="421">
        <v>8583545</v>
      </c>
      <c r="F24" s="421">
        <v>1653763</v>
      </c>
      <c r="G24" s="421">
        <v>1564260</v>
      </c>
      <c r="H24" s="421">
        <v>763559</v>
      </c>
      <c r="I24" s="421">
        <v>1364082</v>
      </c>
      <c r="J24" s="421">
        <v>1373774</v>
      </c>
      <c r="K24" s="421">
        <v>1864107</v>
      </c>
      <c r="L24" s="421">
        <v>733047</v>
      </c>
      <c r="M24" s="421">
        <v>1131060</v>
      </c>
      <c r="N24" s="421">
        <v>462369</v>
      </c>
      <c r="O24" s="421">
        <v>238038</v>
      </c>
      <c r="P24" s="421">
        <v>9714</v>
      </c>
      <c r="Q24" s="421">
        <v>14518</v>
      </c>
      <c r="R24" s="432">
        <v>1687154</v>
      </c>
      <c r="S24" s="432">
        <v>1035353</v>
      </c>
      <c r="T24" s="845">
        <v>651801</v>
      </c>
      <c r="U24" s="419" t="s">
        <v>1017</v>
      </c>
      <c r="V24" s="169"/>
    </row>
    <row r="25" spans="1:22" s="175" customFormat="1" ht="14.1" customHeight="1" x14ac:dyDescent="0.15">
      <c r="A25" s="169"/>
      <c r="B25" s="418" t="s">
        <v>654</v>
      </c>
      <c r="C25" s="417" t="s">
        <v>358</v>
      </c>
      <c r="D25" s="287"/>
      <c r="E25" s="406">
        <v>4726213</v>
      </c>
      <c r="F25" s="406">
        <v>795281</v>
      </c>
      <c r="G25" s="406">
        <v>1129776</v>
      </c>
      <c r="H25" s="406">
        <v>459297</v>
      </c>
      <c r="I25" s="406">
        <v>601132</v>
      </c>
      <c r="J25" s="406">
        <v>657959</v>
      </c>
      <c r="K25" s="406">
        <v>1082768</v>
      </c>
      <c r="L25" s="406">
        <v>285358</v>
      </c>
      <c r="M25" s="406">
        <v>797410</v>
      </c>
      <c r="N25" s="406">
        <v>152865</v>
      </c>
      <c r="O25" s="406">
        <v>173521</v>
      </c>
      <c r="P25" s="406" t="s">
        <v>599</v>
      </c>
      <c r="Q25" s="406">
        <v>4061</v>
      </c>
      <c r="R25" s="431">
        <v>221456</v>
      </c>
      <c r="S25" s="431">
        <v>80823</v>
      </c>
      <c r="T25" s="629">
        <v>140633</v>
      </c>
      <c r="U25" s="119" t="s">
        <v>737</v>
      </c>
      <c r="V25" s="169"/>
    </row>
    <row r="26" spans="1:22" s="175" customFormat="1" ht="14.1" customHeight="1" x14ac:dyDescent="0.15">
      <c r="A26" s="169"/>
      <c r="B26" s="430"/>
      <c r="C26" s="429" t="s">
        <v>357</v>
      </c>
      <c r="D26" s="428"/>
      <c r="E26" s="427">
        <v>3857332</v>
      </c>
      <c r="F26" s="427">
        <v>858482</v>
      </c>
      <c r="G26" s="427">
        <v>434484</v>
      </c>
      <c r="H26" s="427">
        <v>304262</v>
      </c>
      <c r="I26" s="427">
        <v>762950</v>
      </c>
      <c r="J26" s="427">
        <v>715815</v>
      </c>
      <c r="K26" s="427">
        <v>781339</v>
      </c>
      <c r="L26" s="427">
        <v>447689</v>
      </c>
      <c r="M26" s="427">
        <v>333650</v>
      </c>
      <c r="N26" s="427">
        <v>309504</v>
      </c>
      <c r="O26" s="427">
        <v>64517</v>
      </c>
      <c r="P26" s="427">
        <v>9714</v>
      </c>
      <c r="Q26" s="427">
        <v>10457</v>
      </c>
      <c r="R26" s="426">
        <v>1465698</v>
      </c>
      <c r="S26" s="426">
        <v>954530</v>
      </c>
      <c r="T26" s="846">
        <v>511168</v>
      </c>
      <c r="U26" s="425" t="s">
        <v>356</v>
      </c>
      <c r="V26" s="169"/>
    </row>
    <row r="27" spans="1:22" s="175" customFormat="1" ht="14.25" customHeight="1" x14ac:dyDescent="0.15">
      <c r="A27" s="169"/>
      <c r="B27" s="424"/>
      <c r="C27" s="423" t="s">
        <v>203</v>
      </c>
      <c r="D27" s="422"/>
      <c r="E27" s="421">
        <v>8470104</v>
      </c>
      <c r="F27" s="421">
        <v>1584075</v>
      </c>
      <c r="G27" s="421">
        <v>1532298</v>
      </c>
      <c r="H27" s="421">
        <v>773878</v>
      </c>
      <c r="I27" s="421">
        <v>1441833</v>
      </c>
      <c r="J27" s="421">
        <v>1335609</v>
      </c>
      <c r="K27" s="421">
        <v>1802411</v>
      </c>
      <c r="L27" s="421">
        <v>688873</v>
      </c>
      <c r="M27" s="421">
        <v>1113538</v>
      </c>
      <c r="N27" s="421">
        <v>471783</v>
      </c>
      <c r="O27" s="421">
        <v>206881</v>
      </c>
      <c r="P27" s="421">
        <v>10148</v>
      </c>
      <c r="Q27" s="421">
        <v>13739</v>
      </c>
      <c r="R27" s="432">
        <v>1722248</v>
      </c>
      <c r="S27" s="432">
        <v>1052315</v>
      </c>
      <c r="T27" s="845">
        <v>669933</v>
      </c>
      <c r="U27" s="419" t="s">
        <v>1018</v>
      </c>
      <c r="V27" s="169"/>
    </row>
    <row r="28" spans="1:22" s="175" customFormat="1" ht="14.1" customHeight="1" x14ac:dyDescent="0.15">
      <c r="A28" s="169"/>
      <c r="B28" s="418" t="s">
        <v>738</v>
      </c>
      <c r="C28" s="417" t="s">
        <v>358</v>
      </c>
      <c r="D28" s="287"/>
      <c r="E28" s="406">
        <v>4640264</v>
      </c>
      <c r="F28" s="406">
        <v>747976</v>
      </c>
      <c r="G28" s="406">
        <v>1088729</v>
      </c>
      <c r="H28" s="406">
        <v>477531</v>
      </c>
      <c r="I28" s="406">
        <v>603496</v>
      </c>
      <c r="J28" s="406">
        <v>669232</v>
      </c>
      <c r="K28" s="406">
        <v>1053300</v>
      </c>
      <c r="L28" s="406">
        <v>270696</v>
      </c>
      <c r="M28" s="406">
        <v>782604</v>
      </c>
      <c r="N28" s="406">
        <v>153304</v>
      </c>
      <c r="O28" s="406">
        <v>148312</v>
      </c>
      <c r="P28" s="406" t="s">
        <v>599</v>
      </c>
      <c r="Q28" s="406">
        <v>3793</v>
      </c>
      <c r="R28" s="431">
        <v>220830</v>
      </c>
      <c r="S28" s="431">
        <v>74663</v>
      </c>
      <c r="T28" s="629">
        <v>146167</v>
      </c>
      <c r="U28" s="119" t="s">
        <v>211</v>
      </c>
      <c r="V28" s="169"/>
    </row>
    <row r="29" spans="1:22" s="175" customFormat="1" ht="14.1" customHeight="1" x14ac:dyDescent="0.15">
      <c r="A29" s="169"/>
      <c r="B29" s="430"/>
      <c r="C29" s="429" t="s">
        <v>357</v>
      </c>
      <c r="D29" s="428"/>
      <c r="E29" s="427">
        <v>3829840</v>
      </c>
      <c r="F29" s="427">
        <v>836099</v>
      </c>
      <c r="G29" s="427">
        <v>443569</v>
      </c>
      <c r="H29" s="427">
        <v>296347</v>
      </c>
      <c r="I29" s="427">
        <v>838337</v>
      </c>
      <c r="J29" s="427">
        <v>666377</v>
      </c>
      <c r="K29" s="427">
        <v>749111</v>
      </c>
      <c r="L29" s="427">
        <v>418177</v>
      </c>
      <c r="M29" s="427">
        <v>330934</v>
      </c>
      <c r="N29" s="427">
        <v>318479</v>
      </c>
      <c r="O29" s="427">
        <v>58569</v>
      </c>
      <c r="P29" s="427">
        <v>10148</v>
      </c>
      <c r="Q29" s="427">
        <v>9946</v>
      </c>
      <c r="R29" s="426">
        <v>1501418</v>
      </c>
      <c r="S29" s="426">
        <v>977652</v>
      </c>
      <c r="T29" s="846">
        <v>523766</v>
      </c>
      <c r="U29" s="425" t="s">
        <v>356</v>
      </c>
      <c r="V29" s="169"/>
    </row>
    <row r="30" spans="1:22" s="175" customFormat="1" ht="14.25" customHeight="1" x14ac:dyDescent="0.15">
      <c r="A30" s="169"/>
      <c r="B30" s="424"/>
      <c r="C30" s="423" t="s">
        <v>203</v>
      </c>
      <c r="D30" s="422"/>
      <c r="E30" s="421">
        <v>8526112</v>
      </c>
      <c r="F30" s="421">
        <v>1421422</v>
      </c>
      <c r="G30" s="421">
        <v>1474283</v>
      </c>
      <c r="H30" s="421">
        <v>866290</v>
      </c>
      <c r="I30" s="421">
        <v>1653712</v>
      </c>
      <c r="J30" s="421">
        <v>1401516</v>
      </c>
      <c r="K30" s="421">
        <v>1708889</v>
      </c>
      <c r="L30" s="421">
        <v>672520</v>
      </c>
      <c r="M30" s="421">
        <v>1036369</v>
      </c>
      <c r="N30" s="421">
        <v>488947</v>
      </c>
      <c r="O30" s="421">
        <v>242415</v>
      </c>
      <c r="P30" s="421">
        <v>9848</v>
      </c>
      <c r="Q30" s="421">
        <v>14104</v>
      </c>
      <c r="R30" s="432">
        <v>1806070</v>
      </c>
      <c r="S30" s="432">
        <v>1174004</v>
      </c>
      <c r="T30" s="845">
        <v>632066</v>
      </c>
      <c r="U30" s="419" t="s">
        <v>1019</v>
      </c>
      <c r="V30" s="169"/>
    </row>
    <row r="31" spans="1:22" s="175" customFormat="1" ht="14.1" customHeight="1" x14ac:dyDescent="0.15">
      <c r="A31" s="169"/>
      <c r="B31" s="418" t="s">
        <v>655</v>
      </c>
      <c r="C31" s="417" t="s">
        <v>358</v>
      </c>
      <c r="D31" s="287"/>
      <c r="E31" s="406">
        <v>4797922</v>
      </c>
      <c r="F31" s="406">
        <v>697929</v>
      </c>
      <c r="G31" s="406">
        <v>1009306</v>
      </c>
      <c r="H31" s="406">
        <v>583821</v>
      </c>
      <c r="I31" s="406">
        <v>679634</v>
      </c>
      <c r="J31" s="406">
        <v>789676</v>
      </c>
      <c r="K31" s="406">
        <v>1037556</v>
      </c>
      <c r="L31" s="406">
        <v>276608</v>
      </c>
      <c r="M31" s="406">
        <v>760948</v>
      </c>
      <c r="N31" s="406">
        <v>153644</v>
      </c>
      <c r="O31" s="406">
        <v>181330</v>
      </c>
      <c r="P31" s="406" t="s">
        <v>599</v>
      </c>
      <c r="Q31" s="406">
        <v>4624</v>
      </c>
      <c r="R31" s="431">
        <v>212372</v>
      </c>
      <c r="S31" s="431">
        <v>74857</v>
      </c>
      <c r="T31" s="629">
        <v>137515</v>
      </c>
      <c r="U31" s="119" t="s">
        <v>211</v>
      </c>
      <c r="V31" s="169"/>
    </row>
    <row r="32" spans="1:22" s="175" customFormat="1" ht="14.1" customHeight="1" x14ac:dyDescent="0.15">
      <c r="A32" s="169"/>
      <c r="B32" s="430"/>
      <c r="C32" s="429" t="s">
        <v>357</v>
      </c>
      <c r="D32" s="428"/>
      <c r="E32" s="427">
        <v>3728190</v>
      </c>
      <c r="F32" s="427">
        <v>723493</v>
      </c>
      <c r="G32" s="427">
        <v>464977</v>
      </c>
      <c r="H32" s="427">
        <v>282469</v>
      </c>
      <c r="I32" s="427">
        <v>974078</v>
      </c>
      <c r="J32" s="427">
        <v>611840</v>
      </c>
      <c r="K32" s="427">
        <v>671333</v>
      </c>
      <c r="L32" s="427">
        <v>395912</v>
      </c>
      <c r="M32" s="427">
        <v>275421</v>
      </c>
      <c r="N32" s="427">
        <v>335303</v>
      </c>
      <c r="O32" s="427">
        <v>61085</v>
      </c>
      <c r="P32" s="427">
        <v>9848</v>
      </c>
      <c r="Q32" s="427">
        <v>9480</v>
      </c>
      <c r="R32" s="426">
        <v>1593698</v>
      </c>
      <c r="S32" s="426">
        <v>1099147</v>
      </c>
      <c r="T32" s="846">
        <v>494551</v>
      </c>
      <c r="U32" s="425" t="s">
        <v>356</v>
      </c>
      <c r="V32" s="169"/>
    </row>
    <row r="33" spans="1:22" s="175" customFormat="1" ht="14.25" customHeight="1" x14ac:dyDescent="0.15">
      <c r="A33" s="169"/>
      <c r="B33" s="424"/>
      <c r="C33" s="423" t="s">
        <v>203</v>
      </c>
      <c r="D33" s="422"/>
      <c r="E33" s="421">
        <v>8873411</v>
      </c>
      <c r="F33" s="421">
        <v>1537434</v>
      </c>
      <c r="G33" s="421">
        <v>1288093</v>
      </c>
      <c r="H33" s="421">
        <v>923214</v>
      </c>
      <c r="I33" s="421">
        <v>1892764</v>
      </c>
      <c r="J33" s="421">
        <v>1413262</v>
      </c>
      <c r="K33" s="421">
        <v>1818644</v>
      </c>
      <c r="L33" s="421">
        <v>687715</v>
      </c>
      <c r="M33" s="421">
        <v>1130929</v>
      </c>
      <c r="N33" s="421">
        <v>501781</v>
      </c>
      <c r="O33" s="421">
        <v>223035</v>
      </c>
      <c r="P33" s="421">
        <v>9829</v>
      </c>
      <c r="Q33" s="421">
        <v>16075</v>
      </c>
      <c r="R33" s="432">
        <v>1987530</v>
      </c>
      <c r="S33" s="432">
        <v>1318251</v>
      </c>
      <c r="T33" s="845">
        <v>669279</v>
      </c>
      <c r="U33" s="419" t="s">
        <v>1020</v>
      </c>
      <c r="V33" s="169"/>
    </row>
    <row r="34" spans="1:22" s="175" customFormat="1" ht="14.1" customHeight="1" x14ac:dyDescent="0.15">
      <c r="A34" s="169"/>
      <c r="B34" s="418" t="s">
        <v>656</v>
      </c>
      <c r="C34" s="417" t="s">
        <v>358</v>
      </c>
      <c r="D34" s="287"/>
      <c r="E34" s="406">
        <v>5028069</v>
      </c>
      <c r="F34" s="406">
        <v>761960</v>
      </c>
      <c r="G34" s="406">
        <v>929035</v>
      </c>
      <c r="H34" s="406">
        <v>656493</v>
      </c>
      <c r="I34" s="406">
        <v>773845</v>
      </c>
      <c r="J34" s="406">
        <v>791689</v>
      </c>
      <c r="K34" s="406">
        <v>1115047</v>
      </c>
      <c r="L34" s="406">
        <v>300664</v>
      </c>
      <c r="M34" s="406">
        <v>814383</v>
      </c>
      <c r="N34" s="406">
        <v>176928</v>
      </c>
      <c r="O34" s="406">
        <v>166792</v>
      </c>
      <c r="P34" s="406" t="s">
        <v>599</v>
      </c>
      <c r="Q34" s="406">
        <v>5045</v>
      </c>
      <c r="R34" s="431">
        <v>220150</v>
      </c>
      <c r="S34" s="431">
        <v>77690</v>
      </c>
      <c r="T34" s="629">
        <v>142460</v>
      </c>
      <c r="U34" s="119" t="s">
        <v>211</v>
      </c>
      <c r="V34" s="169"/>
    </row>
    <row r="35" spans="1:22" s="175" customFormat="1" ht="14.1" customHeight="1" x14ac:dyDescent="0.15">
      <c r="A35" s="169"/>
      <c r="B35" s="430"/>
      <c r="C35" s="429" t="s">
        <v>357</v>
      </c>
      <c r="D35" s="428"/>
      <c r="E35" s="427">
        <v>3845342</v>
      </c>
      <c r="F35" s="427">
        <v>775474</v>
      </c>
      <c r="G35" s="427">
        <v>359058</v>
      </c>
      <c r="H35" s="427">
        <v>266721</v>
      </c>
      <c r="I35" s="427">
        <v>1118919</v>
      </c>
      <c r="J35" s="427">
        <v>621573</v>
      </c>
      <c r="K35" s="427">
        <v>703597</v>
      </c>
      <c r="L35" s="427">
        <v>387051</v>
      </c>
      <c r="M35" s="427">
        <v>316546</v>
      </c>
      <c r="N35" s="427">
        <v>324853</v>
      </c>
      <c r="O35" s="427">
        <v>56243</v>
      </c>
      <c r="P35" s="427">
        <v>9829</v>
      </c>
      <c r="Q35" s="427">
        <v>11030</v>
      </c>
      <c r="R35" s="426">
        <v>1767380</v>
      </c>
      <c r="S35" s="426">
        <v>1240561</v>
      </c>
      <c r="T35" s="846">
        <v>526819</v>
      </c>
      <c r="U35" s="425" t="s">
        <v>356</v>
      </c>
      <c r="V35" s="169"/>
    </row>
    <row r="36" spans="1:22" s="175" customFormat="1" ht="14.25" customHeight="1" x14ac:dyDescent="0.15">
      <c r="A36" s="169"/>
      <c r="B36" s="424"/>
      <c r="C36" s="423" t="s">
        <v>203</v>
      </c>
      <c r="D36" s="422"/>
      <c r="E36" s="421">
        <v>9204420</v>
      </c>
      <c r="F36" s="421">
        <v>1558780</v>
      </c>
      <c r="G36" s="421">
        <v>1520396</v>
      </c>
      <c r="H36" s="421">
        <v>842147</v>
      </c>
      <c r="I36" s="421">
        <v>2189961</v>
      </c>
      <c r="J36" s="421">
        <v>1261959</v>
      </c>
      <c r="K36" s="421">
        <v>1831177</v>
      </c>
      <c r="L36" s="421">
        <v>698539</v>
      </c>
      <c r="M36" s="421">
        <v>1132638</v>
      </c>
      <c r="N36" s="421">
        <v>464471</v>
      </c>
      <c r="O36" s="421">
        <v>202913</v>
      </c>
      <c r="P36" s="421">
        <v>9519</v>
      </c>
      <c r="Q36" s="421">
        <v>17262</v>
      </c>
      <c r="R36" s="432">
        <v>2082525</v>
      </c>
      <c r="S36" s="432">
        <v>1387418</v>
      </c>
      <c r="T36" s="845">
        <v>695107</v>
      </c>
      <c r="U36" s="419" t="s">
        <v>1021</v>
      </c>
      <c r="V36" s="169"/>
    </row>
    <row r="37" spans="1:22" s="175" customFormat="1" ht="14.1" customHeight="1" x14ac:dyDescent="0.15">
      <c r="A37" s="169"/>
      <c r="B37" s="418" t="s">
        <v>739</v>
      </c>
      <c r="C37" s="417" t="s">
        <v>358</v>
      </c>
      <c r="D37" s="287"/>
      <c r="E37" s="406">
        <v>5044758</v>
      </c>
      <c r="F37" s="406">
        <v>775701</v>
      </c>
      <c r="G37" s="406">
        <v>1090248</v>
      </c>
      <c r="H37" s="406">
        <v>573483</v>
      </c>
      <c r="I37" s="406">
        <v>924918</v>
      </c>
      <c r="J37" s="406">
        <v>641004</v>
      </c>
      <c r="K37" s="406">
        <v>1039404</v>
      </c>
      <c r="L37" s="406">
        <v>286717</v>
      </c>
      <c r="M37" s="406">
        <v>752687</v>
      </c>
      <c r="N37" s="406">
        <v>148985</v>
      </c>
      <c r="O37" s="406">
        <v>147674</v>
      </c>
      <c r="P37" s="406" t="s">
        <v>599</v>
      </c>
      <c r="Q37" s="406">
        <v>6006</v>
      </c>
      <c r="R37" s="431">
        <v>214835</v>
      </c>
      <c r="S37" s="431">
        <v>71113</v>
      </c>
      <c r="T37" s="629">
        <v>143722</v>
      </c>
      <c r="U37" s="119" t="s">
        <v>211</v>
      </c>
      <c r="V37" s="169"/>
    </row>
    <row r="38" spans="1:22" s="175" customFormat="1" ht="14.1" customHeight="1" x14ac:dyDescent="0.15">
      <c r="A38" s="169"/>
      <c r="B38" s="430"/>
      <c r="C38" s="429" t="s">
        <v>357</v>
      </c>
      <c r="D38" s="428"/>
      <c r="E38" s="427">
        <v>4159662</v>
      </c>
      <c r="F38" s="427">
        <v>783079</v>
      </c>
      <c r="G38" s="427">
        <v>430148</v>
      </c>
      <c r="H38" s="427">
        <v>268664</v>
      </c>
      <c r="I38" s="427">
        <v>1265043</v>
      </c>
      <c r="J38" s="427">
        <v>620955</v>
      </c>
      <c r="K38" s="427">
        <v>791773</v>
      </c>
      <c r="L38" s="427">
        <v>411822</v>
      </c>
      <c r="M38" s="427">
        <v>379951</v>
      </c>
      <c r="N38" s="427">
        <v>315486</v>
      </c>
      <c r="O38" s="427">
        <v>55239</v>
      </c>
      <c r="P38" s="427">
        <v>9519</v>
      </c>
      <c r="Q38" s="427">
        <v>11256</v>
      </c>
      <c r="R38" s="426">
        <v>1867690</v>
      </c>
      <c r="S38" s="426">
        <v>1316305</v>
      </c>
      <c r="T38" s="846">
        <v>551385</v>
      </c>
      <c r="U38" s="425" t="s">
        <v>356</v>
      </c>
      <c r="V38" s="169"/>
    </row>
    <row r="39" spans="1:22" s="175" customFormat="1" ht="14.25" customHeight="1" x14ac:dyDescent="0.15">
      <c r="A39" s="169"/>
      <c r="B39" s="424"/>
      <c r="C39" s="423" t="s">
        <v>203</v>
      </c>
      <c r="D39" s="422"/>
      <c r="E39" s="421">
        <v>9853217</v>
      </c>
      <c r="F39" s="421">
        <v>1564622</v>
      </c>
      <c r="G39" s="421">
        <v>1573229</v>
      </c>
      <c r="H39" s="421">
        <v>880812</v>
      </c>
      <c r="I39" s="421">
        <v>2439861</v>
      </c>
      <c r="J39" s="421">
        <v>1427790</v>
      </c>
      <c r="K39" s="421">
        <v>1966903</v>
      </c>
      <c r="L39" s="421">
        <v>745163</v>
      </c>
      <c r="M39" s="421">
        <v>1221740</v>
      </c>
      <c r="N39" s="421">
        <v>482634</v>
      </c>
      <c r="O39" s="421">
        <v>231677</v>
      </c>
      <c r="P39" s="421">
        <v>9502</v>
      </c>
      <c r="Q39" s="421">
        <v>16448</v>
      </c>
      <c r="R39" s="432">
        <v>2098216</v>
      </c>
      <c r="S39" s="432">
        <v>1447274</v>
      </c>
      <c r="T39" s="845">
        <v>650942</v>
      </c>
      <c r="U39" s="419" t="s">
        <v>1022</v>
      </c>
      <c r="V39" s="169"/>
    </row>
    <row r="40" spans="1:22" s="175" customFormat="1" ht="14.1" customHeight="1" x14ac:dyDescent="0.15">
      <c r="A40" s="169"/>
      <c r="B40" s="418" t="s">
        <v>657</v>
      </c>
      <c r="C40" s="417" t="s">
        <v>358</v>
      </c>
      <c r="D40" s="287"/>
      <c r="E40" s="406">
        <v>5198505</v>
      </c>
      <c r="F40" s="406">
        <v>739415</v>
      </c>
      <c r="G40" s="406">
        <v>1136505</v>
      </c>
      <c r="H40" s="406">
        <v>572460</v>
      </c>
      <c r="I40" s="406">
        <v>918948</v>
      </c>
      <c r="J40" s="406">
        <v>737161</v>
      </c>
      <c r="K40" s="406">
        <v>1094016</v>
      </c>
      <c r="L40" s="406">
        <v>287691</v>
      </c>
      <c r="M40" s="406">
        <v>806325</v>
      </c>
      <c r="N40" s="406">
        <v>170500</v>
      </c>
      <c r="O40" s="406">
        <v>176695</v>
      </c>
      <c r="P40" s="406" t="s">
        <v>599</v>
      </c>
      <c r="Q40" s="406">
        <v>4995</v>
      </c>
      <c r="R40" s="431">
        <v>205314</v>
      </c>
      <c r="S40" s="431">
        <v>78501</v>
      </c>
      <c r="T40" s="629">
        <v>126813</v>
      </c>
      <c r="U40" s="119" t="s">
        <v>211</v>
      </c>
      <c r="V40" s="169"/>
    </row>
    <row r="41" spans="1:22" s="175" customFormat="1" ht="14.1" customHeight="1" x14ac:dyDescent="0.15">
      <c r="A41" s="169"/>
      <c r="B41" s="430"/>
      <c r="C41" s="429" t="s">
        <v>357</v>
      </c>
      <c r="D41" s="428"/>
      <c r="E41" s="427">
        <v>4654712</v>
      </c>
      <c r="F41" s="427">
        <v>825207</v>
      </c>
      <c r="G41" s="427">
        <v>436724</v>
      </c>
      <c r="H41" s="427">
        <v>308352</v>
      </c>
      <c r="I41" s="427">
        <v>1520913</v>
      </c>
      <c r="J41" s="427">
        <v>690629</v>
      </c>
      <c r="K41" s="427">
        <v>872887</v>
      </c>
      <c r="L41" s="427">
        <v>457472</v>
      </c>
      <c r="M41" s="427">
        <v>415415</v>
      </c>
      <c r="N41" s="427">
        <v>312134</v>
      </c>
      <c r="O41" s="427">
        <v>54982</v>
      </c>
      <c r="P41" s="427">
        <v>9502</v>
      </c>
      <c r="Q41" s="427">
        <v>11453</v>
      </c>
      <c r="R41" s="426">
        <v>1892902</v>
      </c>
      <c r="S41" s="426">
        <v>1368773</v>
      </c>
      <c r="T41" s="846">
        <v>524129</v>
      </c>
      <c r="U41" s="425" t="s">
        <v>356</v>
      </c>
      <c r="V41" s="169"/>
    </row>
    <row r="42" spans="1:22" s="175" customFormat="1" ht="14.25" customHeight="1" x14ac:dyDescent="0.15">
      <c r="A42" s="169"/>
      <c r="B42" s="424"/>
      <c r="C42" s="423" t="s">
        <v>203</v>
      </c>
      <c r="D42" s="422"/>
      <c r="E42" s="421">
        <v>10467271</v>
      </c>
      <c r="F42" s="421">
        <v>1769461</v>
      </c>
      <c r="G42" s="421">
        <v>1589907</v>
      </c>
      <c r="H42" s="421">
        <v>934865</v>
      </c>
      <c r="I42" s="421">
        <v>2714762</v>
      </c>
      <c r="J42" s="421">
        <v>1458997</v>
      </c>
      <c r="K42" s="421">
        <v>1999279</v>
      </c>
      <c r="L42" s="421">
        <v>783939</v>
      </c>
      <c r="M42" s="421">
        <v>1215340</v>
      </c>
      <c r="N42" s="421">
        <v>475186</v>
      </c>
      <c r="O42" s="421">
        <v>234532</v>
      </c>
      <c r="P42" s="421">
        <v>9790</v>
      </c>
      <c r="Q42" s="421">
        <v>15135</v>
      </c>
      <c r="R42" s="432">
        <v>2015641</v>
      </c>
      <c r="S42" s="432">
        <v>1402325</v>
      </c>
      <c r="T42" s="845">
        <v>613316</v>
      </c>
      <c r="U42" s="419" t="s">
        <v>1023</v>
      </c>
      <c r="V42" s="169"/>
    </row>
    <row r="43" spans="1:22" s="175" customFormat="1" ht="14.1" customHeight="1" x14ac:dyDescent="0.15">
      <c r="A43" s="169"/>
      <c r="B43" s="418" t="s">
        <v>658</v>
      </c>
      <c r="C43" s="417" t="s">
        <v>358</v>
      </c>
      <c r="D43" s="287"/>
      <c r="E43" s="406">
        <v>5393715</v>
      </c>
      <c r="F43" s="406">
        <v>903582</v>
      </c>
      <c r="G43" s="406">
        <v>1127679</v>
      </c>
      <c r="H43" s="406">
        <v>551369</v>
      </c>
      <c r="I43" s="406">
        <v>968771</v>
      </c>
      <c r="J43" s="406">
        <v>762816</v>
      </c>
      <c r="K43" s="406">
        <v>1079498</v>
      </c>
      <c r="L43" s="406">
        <v>292882</v>
      </c>
      <c r="M43" s="406">
        <v>786616</v>
      </c>
      <c r="N43" s="406">
        <v>172593</v>
      </c>
      <c r="O43" s="406">
        <v>180099</v>
      </c>
      <c r="P43" s="406" t="s">
        <v>599</v>
      </c>
      <c r="Q43" s="406">
        <v>3670</v>
      </c>
      <c r="R43" s="431">
        <v>192514</v>
      </c>
      <c r="S43" s="431">
        <v>71371</v>
      </c>
      <c r="T43" s="629">
        <v>121143</v>
      </c>
      <c r="U43" s="119" t="s">
        <v>211</v>
      </c>
      <c r="V43" s="169"/>
    </row>
    <row r="44" spans="1:22" s="175" customFormat="1" ht="14.1" customHeight="1" x14ac:dyDescent="0.15">
      <c r="A44" s="169"/>
      <c r="B44" s="430"/>
      <c r="C44" s="429" t="s">
        <v>357</v>
      </c>
      <c r="D44" s="428"/>
      <c r="E44" s="427">
        <v>5073556</v>
      </c>
      <c r="F44" s="427">
        <v>865879</v>
      </c>
      <c r="G44" s="427">
        <v>462228</v>
      </c>
      <c r="H44" s="427">
        <v>383496</v>
      </c>
      <c r="I44" s="427">
        <v>1745991</v>
      </c>
      <c r="J44" s="427">
        <v>696181</v>
      </c>
      <c r="K44" s="427">
        <v>919781</v>
      </c>
      <c r="L44" s="427">
        <v>491057</v>
      </c>
      <c r="M44" s="427">
        <v>428724</v>
      </c>
      <c r="N44" s="427">
        <v>302593</v>
      </c>
      <c r="O44" s="427">
        <v>54433</v>
      </c>
      <c r="P44" s="427">
        <v>9790</v>
      </c>
      <c r="Q44" s="427">
        <v>11465</v>
      </c>
      <c r="R44" s="426">
        <v>1823127</v>
      </c>
      <c r="S44" s="426">
        <v>1330954</v>
      </c>
      <c r="T44" s="846">
        <v>492173</v>
      </c>
      <c r="U44" s="425" t="s">
        <v>356</v>
      </c>
      <c r="V44" s="169"/>
    </row>
    <row r="45" spans="1:22" s="175" customFormat="1" ht="14.25" customHeight="1" x14ac:dyDescent="0.15">
      <c r="A45" s="169"/>
      <c r="B45" s="424"/>
      <c r="C45" s="423" t="s">
        <v>203</v>
      </c>
      <c r="D45" s="422"/>
      <c r="E45" s="421">
        <v>9403695</v>
      </c>
      <c r="F45" s="421">
        <v>1625380</v>
      </c>
      <c r="G45" s="421">
        <v>1590140</v>
      </c>
      <c r="H45" s="421">
        <v>791004</v>
      </c>
      <c r="I45" s="421">
        <v>2120399</v>
      </c>
      <c r="J45" s="421">
        <v>1402501</v>
      </c>
      <c r="K45" s="421">
        <v>1874271</v>
      </c>
      <c r="L45" s="421">
        <v>687475</v>
      </c>
      <c r="M45" s="421">
        <v>1186796</v>
      </c>
      <c r="N45" s="421">
        <v>488975</v>
      </c>
      <c r="O45" s="421">
        <v>225622</v>
      </c>
      <c r="P45" s="421">
        <v>9977</v>
      </c>
      <c r="Q45" s="421">
        <v>13995</v>
      </c>
      <c r="R45" s="432">
        <v>1793484</v>
      </c>
      <c r="S45" s="432">
        <v>1186507</v>
      </c>
      <c r="T45" s="845">
        <v>606977</v>
      </c>
      <c r="U45" s="419" t="s">
        <v>1024</v>
      </c>
      <c r="V45" s="169"/>
    </row>
    <row r="46" spans="1:22" s="175" customFormat="1" ht="14.1" customHeight="1" x14ac:dyDescent="0.15">
      <c r="A46" s="169"/>
      <c r="B46" s="418" t="s">
        <v>659</v>
      </c>
      <c r="C46" s="417" t="s">
        <v>358</v>
      </c>
      <c r="D46" s="287"/>
      <c r="E46" s="406">
        <v>5116893</v>
      </c>
      <c r="F46" s="406">
        <v>857246</v>
      </c>
      <c r="G46" s="406">
        <v>1102736</v>
      </c>
      <c r="H46" s="406">
        <v>431266</v>
      </c>
      <c r="I46" s="406">
        <v>790935</v>
      </c>
      <c r="J46" s="406">
        <v>841368</v>
      </c>
      <c r="K46" s="406">
        <v>1093342</v>
      </c>
      <c r="L46" s="406">
        <v>278932</v>
      </c>
      <c r="M46" s="406">
        <v>814410</v>
      </c>
      <c r="N46" s="406">
        <v>171799</v>
      </c>
      <c r="O46" s="406">
        <v>184950</v>
      </c>
      <c r="P46" s="406" t="s">
        <v>599</v>
      </c>
      <c r="Q46" s="406">
        <v>3036</v>
      </c>
      <c r="R46" s="431">
        <v>198207</v>
      </c>
      <c r="S46" s="431">
        <v>73934</v>
      </c>
      <c r="T46" s="629">
        <v>124273</v>
      </c>
      <c r="U46" s="119" t="s">
        <v>211</v>
      </c>
      <c r="V46" s="169"/>
    </row>
    <row r="47" spans="1:22" s="175" customFormat="1" ht="14.1" customHeight="1" x14ac:dyDescent="0.15">
      <c r="A47" s="169"/>
      <c r="B47" s="430"/>
      <c r="C47" s="429" t="s">
        <v>357</v>
      </c>
      <c r="D47" s="428"/>
      <c r="E47" s="427">
        <v>4286802</v>
      </c>
      <c r="F47" s="427">
        <v>768134</v>
      </c>
      <c r="G47" s="427">
        <v>487404</v>
      </c>
      <c r="H47" s="427">
        <v>359738</v>
      </c>
      <c r="I47" s="427">
        <v>1329464</v>
      </c>
      <c r="J47" s="427">
        <v>561133</v>
      </c>
      <c r="K47" s="427">
        <v>780929</v>
      </c>
      <c r="L47" s="427">
        <v>408543</v>
      </c>
      <c r="M47" s="427">
        <v>372386</v>
      </c>
      <c r="N47" s="427">
        <v>317176</v>
      </c>
      <c r="O47" s="427">
        <v>40672</v>
      </c>
      <c r="P47" s="427">
        <v>9977</v>
      </c>
      <c r="Q47" s="427">
        <v>10959</v>
      </c>
      <c r="R47" s="426">
        <v>1595277</v>
      </c>
      <c r="S47" s="426">
        <v>1112573</v>
      </c>
      <c r="T47" s="846">
        <v>482704</v>
      </c>
      <c r="U47" s="425" t="s">
        <v>356</v>
      </c>
      <c r="V47" s="169"/>
    </row>
    <row r="48" spans="1:22" s="175" customFormat="1" ht="13.5" customHeight="1" x14ac:dyDescent="0.15">
      <c r="A48" s="169"/>
      <c r="B48" s="1037" t="s">
        <v>1025</v>
      </c>
      <c r="C48" s="1037"/>
      <c r="D48" s="435"/>
      <c r="E48" s="434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31"/>
      <c r="S48" s="431"/>
      <c r="T48" s="629"/>
      <c r="U48" s="433"/>
      <c r="V48" s="169"/>
    </row>
    <row r="49" spans="1:22" s="175" customFormat="1" ht="14.25" customHeight="1" x14ac:dyDescent="0.15">
      <c r="A49" s="169"/>
      <c r="B49" s="424"/>
      <c r="C49" s="423" t="s">
        <v>203</v>
      </c>
      <c r="D49" s="422"/>
      <c r="E49" s="421">
        <v>9291056</v>
      </c>
      <c r="F49" s="421">
        <v>1788003</v>
      </c>
      <c r="G49" s="421">
        <v>1548060</v>
      </c>
      <c r="H49" s="421">
        <v>810252</v>
      </c>
      <c r="I49" s="421">
        <v>2034988</v>
      </c>
      <c r="J49" s="421">
        <v>1351170</v>
      </c>
      <c r="K49" s="421">
        <v>1758583</v>
      </c>
      <c r="L49" s="421">
        <v>703061</v>
      </c>
      <c r="M49" s="421">
        <v>1055522</v>
      </c>
      <c r="N49" s="421">
        <v>495378</v>
      </c>
      <c r="O49" s="421">
        <v>221105</v>
      </c>
      <c r="P49" s="421">
        <v>10059</v>
      </c>
      <c r="Q49" s="421">
        <v>13495</v>
      </c>
      <c r="R49" s="432">
        <v>1630474</v>
      </c>
      <c r="S49" s="432">
        <v>1015372</v>
      </c>
      <c r="T49" s="845">
        <v>615102</v>
      </c>
      <c r="U49" s="419" t="s">
        <v>1026</v>
      </c>
      <c r="V49" s="169"/>
    </row>
    <row r="50" spans="1:22" s="175" customFormat="1" ht="14.1" customHeight="1" x14ac:dyDescent="0.15">
      <c r="A50" s="169"/>
      <c r="B50" s="418" t="s">
        <v>359</v>
      </c>
      <c r="C50" s="417" t="s">
        <v>358</v>
      </c>
      <c r="D50" s="287"/>
      <c r="E50" s="406">
        <v>5092403</v>
      </c>
      <c r="F50" s="406">
        <v>935302</v>
      </c>
      <c r="G50" s="406">
        <v>1084559</v>
      </c>
      <c r="H50" s="406">
        <v>462546</v>
      </c>
      <c r="I50" s="406">
        <v>854558</v>
      </c>
      <c r="J50" s="406">
        <v>704415</v>
      </c>
      <c r="K50" s="406">
        <v>1051023</v>
      </c>
      <c r="L50" s="406">
        <v>282216</v>
      </c>
      <c r="M50" s="406">
        <v>768807</v>
      </c>
      <c r="N50" s="406">
        <v>176294</v>
      </c>
      <c r="O50" s="406">
        <v>175541</v>
      </c>
      <c r="P50" s="406" t="s">
        <v>599</v>
      </c>
      <c r="Q50" s="406">
        <v>2761</v>
      </c>
      <c r="R50" s="431">
        <v>213026</v>
      </c>
      <c r="S50" s="431">
        <v>75699</v>
      </c>
      <c r="T50" s="629">
        <v>137327</v>
      </c>
      <c r="U50" s="119" t="s">
        <v>211</v>
      </c>
      <c r="V50" s="169"/>
    </row>
    <row r="51" spans="1:22" s="175" customFormat="1" ht="14.1" customHeight="1" x14ac:dyDescent="0.15">
      <c r="A51" s="169"/>
      <c r="B51" s="430"/>
      <c r="C51" s="429" t="s">
        <v>357</v>
      </c>
      <c r="D51" s="428"/>
      <c r="E51" s="427">
        <v>4198653</v>
      </c>
      <c r="F51" s="427">
        <v>852701</v>
      </c>
      <c r="G51" s="427">
        <v>463501</v>
      </c>
      <c r="H51" s="427">
        <v>347706</v>
      </c>
      <c r="I51" s="427">
        <v>1180430</v>
      </c>
      <c r="J51" s="427">
        <v>646755</v>
      </c>
      <c r="K51" s="427">
        <v>707560</v>
      </c>
      <c r="L51" s="427">
        <v>420845</v>
      </c>
      <c r="M51" s="427">
        <v>286715</v>
      </c>
      <c r="N51" s="427">
        <v>319084</v>
      </c>
      <c r="O51" s="427">
        <v>45564</v>
      </c>
      <c r="P51" s="427">
        <v>10059</v>
      </c>
      <c r="Q51" s="427">
        <v>10734</v>
      </c>
      <c r="R51" s="426">
        <v>1417448</v>
      </c>
      <c r="S51" s="426">
        <v>939673</v>
      </c>
      <c r="T51" s="846">
        <v>477775</v>
      </c>
      <c r="U51" s="425" t="s">
        <v>356</v>
      </c>
      <c r="V51" s="169"/>
    </row>
    <row r="52" spans="1:22" s="175" customFormat="1" ht="14.25" customHeight="1" x14ac:dyDescent="0.15">
      <c r="A52" s="169"/>
      <c r="B52" s="424"/>
      <c r="C52" s="423" t="s">
        <v>203</v>
      </c>
      <c r="D52" s="422"/>
      <c r="E52" s="421">
        <v>8365739</v>
      </c>
      <c r="F52" s="421">
        <v>1677346</v>
      </c>
      <c r="G52" s="421">
        <v>1465022</v>
      </c>
      <c r="H52" s="421">
        <v>796206</v>
      </c>
      <c r="I52" s="421">
        <v>1292152</v>
      </c>
      <c r="J52" s="421">
        <v>1303403</v>
      </c>
      <c r="K52" s="421">
        <v>1831610</v>
      </c>
      <c r="L52" s="421">
        <v>698750</v>
      </c>
      <c r="M52" s="421">
        <v>1132860</v>
      </c>
      <c r="N52" s="421">
        <v>507739</v>
      </c>
      <c r="O52" s="421">
        <v>197964</v>
      </c>
      <c r="P52" s="421">
        <v>10513</v>
      </c>
      <c r="Q52" s="421">
        <v>13714</v>
      </c>
      <c r="R52" s="432">
        <v>1479439</v>
      </c>
      <c r="S52" s="432">
        <v>878200</v>
      </c>
      <c r="T52" s="845">
        <v>601239</v>
      </c>
      <c r="U52" s="419" t="s">
        <v>1027</v>
      </c>
      <c r="V52" s="169"/>
    </row>
    <row r="53" spans="1:22" s="175" customFormat="1" ht="14.1" customHeight="1" x14ac:dyDescent="0.15">
      <c r="A53" s="169"/>
      <c r="B53" s="418" t="s">
        <v>735</v>
      </c>
      <c r="C53" s="417" t="s">
        <v>358</v>
      </c>
      <c r="D53" s="287"/>
      <c r="E53" s="406">
        <v>4555198</v>
      </c>
      <c r="F53" s="406">
        <v>839278</v>
      </c>
      <c r="G53" s="406">
        <v>1028258</v>
      </c>
      <c r="H53" s="406">
        <v>464668</v>
      </c>
      <c r="I53" s="406">
        <v>522258</v>
      </c>
      <c r="J53" s="406">
        <v>688770</v>
      </c>
      <c r="K53" s="406">
        <v>1011966</v>
      </c>
      <c r="L53" s="406">
        <v>287441</v>
      </c>
      <c r="M53" s="406">
        <v>724525</v>
      </c>
      <c r="N53" s="406">
        <v>188705</v>
      </c>
      <c r="O53" s="406">
        <v>152765</v>
      </c>
      <c r="P53" s="406" t="s">
        <v>599</v>
      </c>
      <c r="Q53" s="406">
        <v>2945</v>
      </c>
      <c r="R53" s="431">
        <v>213329</v>
      </c>
      <c r="S53" s="431">
        <v>76373</v>
      </c>
      <c r="T53" s="629">
        <v>136956</v>
      </c>
      <c r="U53" s="119" t="s">
        <v>211</v>
      </c>
      <c r="V53" s="169"/>
    </row>
    <row r="54" spans="1:22" s="175" customFormat="1" ht="14.1" customHeight="1" x14ac:dyDescent="0.15">
      <c r="A54" s="169"/>
      <c r="B54" s="430"/>
      <c r="C54" s="429" t="s">
        <v>357</v>
      </c>
      <c r="D54" s="428"/>
      <c r="E54" s="427">
        <v>3810541</v>
      </c>
      <c r="F54" s="427">
        <v>838068</v>
      </c>
      <c r="G54" s="427">
        <v>436764</v>
      </c>
      <c r="H54" s="427">
        <v>331538</v>
      </c>
      <c r="I54" s="427">
        <v>769894</v>
      </c>
      <c r="J54" s="427">
        <v>614633</v>
      </c>
      <c r="K54" s="427">
        <v>819644</v>
      </c>
      <c r="L54" s="427">
        <v>411309</v>
      </c>
      <c r="M54" s="427">
        <v>408335</v>
      </c>
      <c r="N54" s="427">
        <v>319034</v>
      </c>
      <c r="O54" s="427">
        <v>45199</v>
      </c>
      <c r="P54" s="427">
        <v>10513</v>
      </c>
      <c r="Q54" s="427">
        <v>10769</v>
      </c>
      <c r="R54" s="426">
        <v>1266110</v>
      </c>
      <c r="S54" s="426">
        <v>801827</v>
      </c>
      <c r="T54" s="846">
        <v>464283</v>
      </c>
      <c r="U54" s="425" t="s">
        <v>356</v>
      </c>
      <c r="V54" s="169"/>
    </row>
    <row r="55" spans="1:22" s="175" customFormat="1" ht="14.25" customHeight="1" x14ac:dyDescent="0.15">
      <c r="A55" s="169"/>
      <c r="B55" s="424"/>
      <c r="C55" s="423" t="s">
        <v>203</v>
      </c>
      <c r="D55" s="422"/>
      <c r="E55" s="421">
        <v>7890853</v>
      </c>
      <c r="F55" s="421">
        <v>1595759</v>
      </c>
      <c r="G55" s="421">
        <v>1408210</v>
      </c>
      <c r="H55" s="421">
        <v>633135</v>
      </c>
      <c r="I55" s="421">
        <v>1273195</v>
      </c>
      <c r="J55" s="421">
        <v>1161634</v>
      </c>
      <c r="K55" s="421">
        <v>1818920</v>
      </c>
      <c r="L55" s="421">
        <v>698857</v>
      </c>
      <c r="M55" s="421">
        <v>1120063</v>
      </c>
      <c r="N55" s="421">
        <v>492952</v>
      </c>
      <c r="O55" s="421">
        <v>218651</v>
      </c>
      <c r="P55" s="421">
        <v>9698</v>
      </c>
      <c r="Q55" s="421">
        <v>14642</v>
      </c>
      <c r="R55" s="420">
        <v>1736640</v>
      </c>
      <c r="S55" s="420">
        <v>1164313</v>
      </c>
      <c r="T55" s="845">
        <v>572327</v>
      </c>
      <c r="U55" s="419" t="s">
        <v>1028</v>
      </c>
      <c r="V55" s="169"/>
    </row>
    <row r="56" spans="1:22" s="175" customFormat="1" ht="14.1" customHeight="1" x14ac:dyDescent="0.15">
      <c r="A56" s="169"/>
      <c r="B56" s="418" t="s">
        <v>736</v>
      </c>
      <c r="C56" s="417" t="s">
        <v>358</v>
      </c>
      <c r="D56" s="287"/>
      <c r="E56" s="406">
        <v>4404496</v>
      </c>
      <c r="F56" s="406">
        <v>833568</v>
      </c>
      <c r="G56" s="406">
        <v>1114374</v>
      </c>
      <c r="H56" s="406">
        <v>348322</v>
      </c>
      <c r="I56" s="406">
        <v>562872</v>
      </c>
      <c r="J56" s="406">
        <v>540871</v>
      </c>
      <c r="K56" s="317">
        <v>1004489</v>
      </c>
      <c r="L56" s="406">
        <v>292857</v>
      </c>
      <c r="M56" s="406">
        <v>711632</v>
      </c>
      <c r="N56" s="406">
        <v>176856</v>
      </c>
      <c r="O56" s="406">
        <v>168766</v>
      </c>
      <c r="P56" s="406" t="s">
        <v>599</v>
      </c>
      <c r="Q56" s="406">
        <v>5284</v>
      </c>
      <c r="R56" s="288">
        <v>213947</v>
      </c>
      <c r="S56" s="288">
        <v>79762</v>
      </c>
      <c r="T56" s="629">
        <v>134185</v>
      </c>
      <c r="U56" s="119" t="s">
        <v>211</v>
      </c>
      <c r="V56" s="169"/>
    </row>
    <row r="57" spans="1:22" s="175" customFormat="1" ht="14.1" customHeight="1" x14ac:dyDescent="0.15">
      <c r="A57" s="169"/>
      <c r="B57" s="416"/>
      <c r="C57" s="415" t="s">
        <v>357</v>
      </c>
      <c r="D57" s="414"/>
      <c r="E57" s="412">
        <v>3486357</v>
      </c>
      <c r="F57" s="412">
        <v>762191</v>
      </c>
      <c r="G57" s="412">
        <v>293836</v>
      </c>
      <c r="H57" s="412">
        <v>284813</v>
      </c>
      <c r="I57" s="412">
        <v>710323</v>
      </c>
      <c r="J57" s="412">
        <v>620763</v>
      </c>
      <c r="K57" s="413">
        <v>814431</v>
      </c>
      <c r="L57" s="412">
        <v>406000</v>
      </c>
      <c r="M57" s="412">
        <v>408431</v>
      </c>
      <c r="N57" s="412">
        <v>316096</v>
      </c>
      <c r="O57" s="412">
        <v>49885</v>
      </c>
      <c r="P57" s="412">
        <v>9698</v>
      </c>
      <c r="Q57" s="412">
        <v>9358</v>
      </c>
      <c r="R57" s="403">
        <v>1522693</v>
      </c>
      <c r="S57" s="403">
        <v>1084551</v>
      </c>
      <c r="T57" s="631">
        <v>438142</v>
      </c>
      <c r="U57" s="411" t="s">
        <v>356</v>
      </c>
      <c r="V57" s="169"/>
    </row>
    <row r="58" spans="1:22" s="126" customFormat="1" ht="14.25" customHeight="1" x14ac:dyDescent="0.15">
      <c r="A58" s="447"/>
      <c r="B58" s="126" t="s">
        <v>355</v>
      </c>
      <c r="E58" s="410"/>
      <c r="F58" s="410"/>
      <c r="G58" s="410"/>
      <c r="H58" s="410"/>
      <c r="I58" s="410"/>
      <c r="J58" s="410"/>
      <c r="L58" s="410"/>
      <c r="M58" s="410"/>
      <c r="N58" s="410" t="s">
        <v>660</v>
      </c>
      <c r="O58" s="410"/>
      <c r="P58" s="410"/>
      <c r="Q58" s="410"/>
      <c r="T58" s="409"/>
      <c r="V58" s="447"/>
    </row>
    <row r="59" spans="1:22" s="175" customFormat="1" ht="14.1" customHeight="1" x14ac:dyDescent="0.15">
      <c r="A59" s="292"/>
      <c r="B59" s="175" t="s">
        <v>563</v>
      </c>
      <c r="C59" s="126"/>
      <c r="E59" s="408"/>
      <c r="F59" s="408"/>
      <c r="G59" s="408"/>
      <c r="H59" s="408"/>
      <c r="I59" s="408"/>
      <c r="J59" s="408"/>
      <c r="K59" s="408"/>
      <c r="L59" s="408"/>
      <c r="M59" s="408"/>
      <c r="N59" s="176" t="s">
        <v>743</v>
      </c>
      <c r="O59" s="408"/>
      <c r="P59" s="408"/>
      <c r="Q59" s="408"/>
      <c r="V59" s="273"/>
    </row>
    <row r="60" spans="1:22" x14ac:dyDescent="0.15">
      <c r="B60" s="175" t="s">
        <v>564</v>
      </c>
      <c r="C60" s="220"/>
    </row>
  </sheetData>
  <mergeCells count="4">
    <mergeCell ref="U7:U10"/>
    <mergeCell ref="B8:D8"/>
    <mergeCell ref="B11:C11"/>
    <mergeCell ref="B48:C48"/>
  </mergeCells>
  <phoneticPr fontId="32"/>
  <pageMargins left="0.55118110236220474" right="0.51181102362204722" top="0.59055118110236227" bottom="0.59055118110236227" header="0.23622047244094491" footer="0.15748031496062992"/>
  <pageSetup paperSize="9" scale="92" orientation="portrait" r:id="rId1"/>
  <headerFooter alignWithMargins="0"/>
  <colBreaks count="1" manualBreakCount="1">
    <brk id="13" min="3" max="5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B98D-8788-4FDA-93BD-E89AF1F0DA68}">
  <dimension ref="A1:X40"/>
  <sheetViews>
    <sheetView view="pageBreakPreview" zoomScaleNormal="70" zoomScaleSheetLayoutView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defaultRowHeight="13.5" x14ac:dyDescent="0.15"/>
  <cols>
    <col min="1" max="1" width="2.625" style="220" customWidth="1"/>
    <col min="2" max="2" width="3.375" style="220" customWidth="1"/>
    <col min="3" max="3" width="3.25" style="220" customWidth="1"/>
    <col min="4" max="4" width="6.125" style="220" customWidth="1"/>
    <col min="5" max="5" width="0.875" style="220" customWidth="1"/>
    <col min="6" max="6" width="9.375" style="220" customWidth="1"/>
    <col min="7" max="12" width="8.375" style="220" customWidth="1"/>
    <col min="13" max="13" width="7.875" style="220" customWidth="1"/>
    <col min="14" max="18" width="8.375" style="220" customWidth="1"/>
    <col min="19" max="19" width="10.125" style="220" customWidth="1"/>
    <col min="20" max="21" width="9.625" style="220" customWidth="1"/>
    <col min="22" max="22" width="8.25" style="220" customWidth="1"/>
    <col min="23" max="23" width="2.625" style="221" customWidth="1"/>
    <col min="24" max="24" width="6.875" style="220" customWidth="1"/>
    <col min="25" max="16384" width="9" style="220"/>
  </cols>
  <sheetData>
    <row r="1" spans="1:24" ht="16.5" customHeight="1" x14ac:dyDescent="0.2">
      <c r="I1" s="300"/>
      <c r="T1" s="672"/>
      <c r="W1" s="220"/>
    </row>
    <row r="2" spans="1:24" s="295" customFormat="1" ht="16.5" customHeight="1" x14ac:dyDescent="0.15">
      <c r="B2" s="635" t="s">
        <v>744</v>
      </c>
      <c r="O2" s="373"/>
      <c r="R2" s="299"/>
      <c r="T2" s="298"/>
      <c r="U2" s="298"/>
      <c r="W2" s="297"/>
      <c r="X2" s="296"/>
    </row>
    <row r="3" spans="1:24" s="173" customFormat="1" ht="16.5" customHeight="1" x14ac:dyDescent="0.15">
      <c r="A3" s="685"/>
      <c r="B3" s="687"/>
      <c r="C3" s="688" t="s">
        <v>745</v>
      </c>
      <c r="D3" s="673"/>
      <c r="E3" s="673"/>
      <c r="F3" s="293"/>
      <c r="G3" s="674"/>
      <c r="H3" s="293"/>
      <c r="I3" s="293"/>
      <c r="J3" s="675"/>
      <c r="K3" s="675"/>
      <c r="L3" s="293"/>
      <c r="M3" s="293"/>
      <c r="N3" s="689"/>
      <c r="O3" s="690"/>
      <c r="P3" s="293"/>
      <c r="Q3" s="293"/>
      <c r="R3" s="676"/>
      <c r="S3" s="677"/>
      <c r="T3" s="640"/>
      <c r="U3" s="150" t="s">
        <v>476</v>
      </c>
      <c r="V3" s="293"/>
      <c r="W3" s="174"/>
    </row>
    <row r="4" spans="1:24" s="678" customFormat="1" ht="21" customHeight="1" x14ac:dyDescent="0.15">
      <c r="A4" s="292"/>
      <c r="B4" s="447"/>
      <c r="C4" s="447"/>
      <c r="D4" s="447"/>
      <c r="E4" s="725"/>
      <c r="F4" s="643"/>
      <c r="G4" s="212"/>
      <c r="H4" s="212"/>
      <c r="I4" s="212"/>
      <c r="J4" s="212"/>
      <c r="K4" s="212"/>
      <c r="L4" s="212"/>
      <c r="M4" s="212"/>
      <c r="N4" s="211"/>
      <c r="O4" s="210"/>
      <c r="P4" s="209"/>
      <c r="Q4" s="209"/>
      <c r="R4" s="209"/>
      <c r="S4" s="209"/>
      <c r="T4" s="208"/>
      <c r="U4" s="207"/>
      <c r="V4" s="1017" t="s">
        <v>580</v>
      </c>
      <c r="W4" s="273"/>
    </row>
    <row r="5" spans="1:24" s="678" customFormat="1" ht="21" customHeight="1" x14ac:dyDescent="0.15">
      <c r="A5" s="447"/>
      <c r="B5" s="1007" t="s">
        <v>581</v>
      </c>
      <c r="C5" s="1007"/>
      <c r="D5" s="1007"/>
      <c r="E5" s="1008"/>
      <c r="F5" s="200" t="s">
        <v>240</v>
      </c>
      <c r="G5" s="195" t="s">
        <v>529</v>
      </c>
      <c r="H5" s="195" t="s">
        <v>530</v>
      </c>
      <c r="I5" s="195" t="s">
        <v>531</v>
      </c>
      <c r="J5" s="195" t="s">
        <v>532</v>
      </c>
      <c r="K5" s="195" t="s">
        <v>533</v>
      </c>
      <c r="L5" s="195" t="s">
        <v>534</v>
      </c>
      <c r="M5" s="205"/>
      <c r="N5" s="204"/>
      <c r="O5" s="197" t="s">
        <v>535</v>
      </c>
      <c r="P5" s="198" t="s">
        <v>536</v>
      </c>
      <c r="Q5" s="198" t="s">
        <v>537</v>
      </c>
      <c r="R5" s="198" t="s">
        <v>538</v>
      </c>
      <c r="S5" s="203" t="s">
        <v>539</v>
      </c>
      <c r="T5" s="202"/>
      <c r="U5" s="201"/>
      <c r="V5" s="1018"/>
      <c r="W5" s="273"/>
      <c r="X5" s="679" t="s">
        <v>237</v>
      </c>
    </row>
    <row r="6" spans="1:24" s="681" customFormat="1" ht="21.95" customHeight="1" x14ac:dyDescent="0.15">
      <c r="A6" s="447"/>
      <c r="B6" s="447"/>
      <c r="C6" s="447"/>
      <c r="D6" s="447"/>
      <c r="E6" s="725"/>
      <c r="F6" s="200"/>
      <c r="G6" s="195" t="s">
        <v>237</v>
      </c>
      <c r="H6" s="195" t="s">
        <v>237</v>
      </c>
      <c r="I6" s="680" t="s">
        <v>238</v>
      </c>
      <c r="J6" s="195"/>
      <c r="K6" s="195"/>
      <c r="L6" s="195" t="s">
        <v>237</v>
      </c>
      <c r="M6" s="195" t="s">
        <v>236</v>
      </c>
      <c r="N6" s="199" t="s">
        <v>235</v>
      </c>
      <c r="O6" s="197"/>
      <c r="P6" s="198"/>
      <c r="Q6" s="198"/>
      <c r="R6" s="198"/>
      <c r="S6" s="198"/>
      <c r="T6" s="198" t="s">
        <v>540</v>
      </c>
      <c r="U6" s="197" t="s">
        <v>541</v>
      </c>
      <c r="V6" s="1018"/>
      <c r="W6" s="273"/>
      <c r="X6" s="679" t="s">
        <v>237</v>
      </c>
    </row>
    <row r="7" spans="1:24" s="678" customFormat="1" ht="33.75" customHeight="1" x14ac:dyDescent="0.15">
      <c r="A7" s="292"/>
      <c r="B7" s="726"/>
      <c r="C7" s="726"/>
      <c r="D7" s="726"/>
      <c r="E7" s="727"/>
      <c r="F7" s="194" t="s">
        <v>947</v>
      </c>
      <c r="G7" s="194" t="s">
        <v>234</v>
      </c>
      <c r="H7" s="194" t="s">
        <v>550</v>
      </c>
      <c r="I7" s="194" t="s">
        <v>551</v>
      </c>
      <c r="J7" s="194" t="s">
        <v>233</v>
      </c>
      <c r="K7" s="194" t="s">
        <v>542</v>
      </c>
      <c r="L7" s="194" t="s">
        <v>948</v>
      </c>
      <c r="M7" s="194" t="s">
        <v>552</v>
      </c>
      <c r="N7" s="193" t="s">
        <v>553</v>
      </c>
      <c r="O7" s="192" t="s">
        <v>242</v>
      </c>
      <c r="P7" s="192" t="s">
        <v>232</v>
      </c>
      <c r="Q7" s="192" t="s">
        <v>231</v>
      </c>
      <c r="R7" s="191" t="s">
        <v>230</v>
      </c>
      <c r="S7" s="729" t="s">
        <v>554</v>
      </c>
      <c r="T7" s="190"/>
      <c r="U7" s="190"/>
      <c r="V7" s="1019"/>
      <c r="W7" s="273"/>
      <c r="X7" s="679" t="s">
        <v>237</v>
      </c>
    </row>
    <row r="8" spans="1:24" s="86" customFormat="1" ht="21" customHeight="1" x14ac:dyDescent="0.15">
      <c r="A8" s="169"/>
      <c r="B8" s="847" t="s">
        <v>249</v>
      </c>
      <c r="C8" s="847" t="s">
        <v>901</v>
      </c>
      <c r="D8" s="848"/>
      <c r="E8" s="849"/>
      <c r="F8" s="691">
        <v>206964763</v>
      </c>
      <c r="G8" s="691">
        <v>60028399</v>
      </c>
      <c r="H8" s="691">
        <v>52631697</v>
      </c>
      <c r="I8" s="691">
        <v>4953876</v>
      </c>
      <c r="J8" s="691">
        <v>20415705</v>
      </c>
      <c r="K8" s="691">
        <v>40475141</v>
      </c>
      <c r="L8" s="691">
        <v>28459945</v>
      </c>
      <c r="M8" s="691">
        <v>14699202</v>
      </c>
      <c r="N8" s="691">
        <v>13760743</v>
      </c>
      <c r="O8" s="691">
        <v>2422600</v>
      </c>
      <c r="P8" s="691">
        <v>2577479</v>
      </c>
      <c r="Q8" s="691">
        <v>59396</v>
      </c>
      <c r="R8" s="691">
        <v>54852</v>
      </c>
      <c r="S8" s="691">
        <v>14480911</v>
      </c>
      <c r="T8" s="691">
        <v>10598151</v>
      </c>
      <c r="U8" s="850">
        <v>3882760</v>
      </c>
      <c r="V8" s="692" t="s">
        <v>902</v>
      </c>
      <c r="W8" s="108"/>
      <c r="X8" s="730"/>
    </row>
    <row r="9" spans="1:24" s="86" customFormat="1" ht="21" customHeight="1" x14ac:dyDescent="0.15">
      <c r="A9" s="169"/>
      <c r="B9" s="851" t="s">
        <v>903</v>
      </c>
      <c r="C9" s="851" t="s">
        <v>969</v>
      </c>
      <c r="D9" s="852"/>
      <c r="E9" s="853"/>
      <c r="F9" s="691">
        <v>199542682</v>
      </c>
      <c r="G9" s="691">
        <v>58881876</v>
      </c>
      <c r="H9" s="691">
        <v>51638332</v>
      </c>
      <c r="I9" s="691">
        <v>5017213</v>
      </c>
      <c r="J9" s="691">
        <v>19497557</v>
      </c>
      <c r="K9" s="691">
        <v>39682804</v>
      </c>
      <c r="L9" s="691">
        <v>24824900</v>
      </c>
      <c r="M9" s="691">
        <v>14191244</v>
      </c>
      <c r="N9" s="691">
        <v>10633656</v>
      </c>
      <c r="O9" s="691">
        <v>2335103</v>
      </c>
      <c r="P9" s="691">
        <v>2632677</v>
      </c>
      <c r="Q9" s="691">
        <v>58140</v>
      </c>
      <c r="R9" s="691">
        <v>52465</v>
      </c>
      <c r="S9" s="691">
        <v>14758821</v>
      </c>
      <c r="T9" s="691">
        <v>10683447</v>
      </c>
      <c r="U9" s="693">
        <v>4075374</v>
      </c>
      <c r="V9" s="692" t="s">
        <v>905</v>
      </c>
      <c r="W9" s="108"/>
      <c r="X9" s="730"/>
    </row>
    <row r="10" spans="1:24" s="86" customFormat="1" ht="21" customHeight="1" x14ac:dyDescent="0.15">
      <c r="A10" s="169"/>
      <c r="B10" s="851" t="s">
        <v>248</v>
      </c>
      <c r="C10" s="851" t="s">
        <v>970</v>
      </c>
      <c r="D10" s="852"/>
      <c r="E10" s="853"/>
      <c r="F10" s="691">
        <v>183201314</v>
      </c>
      <c r="G10" s="691">
        <v>53624191</v>
      </c>
      <c r="H10" s="691">
        <v>48057741</v>
      </c>
      <c r="I10" s="691">
        <v>3247658</v>
      </c>
      <c r="J10" s="691">
        <v>17917768</v>
      </c>
      <c r="K10" s="691">
        <v>38012781</v>
      </c>
      <c r="L10" s="691">
        <v>22341175</v>
      </c>
      <c r="M10" s="691">
        <v>13177257</v>
      </c>
      <c r="N10" s="691">
        <v>9163918</v>
      </c>
      <c r="O10" s="691">
        <v>2085210</v>
      </c>
      <c r="P10" s="691">
        <v>2675863</v>
      </c>
      <c r="Q10" s="691">
        <v>53086</v>
      </c>
      <c r="R10" s="691">
        <v>47816</v>
      </c>
      <c r="S10" s="691">
        <v>13453526</v>
      </c>
      <c r="T10" s="691">
        <v>10158847</v>
      </c>
      <c r="U10" s="693">
        <v>3294679</v>
      </c>
      <c r="V10" s="692" t="s">
        <v>906</v>
      </c>
      <c r="W10" s="108"/>
      <c r="X10" s="730"/>
    </row>
    <row r="11" spans="1:24" s="86" customFormat="1" ht="21" customHeight="1" x14ac:dyDescent="0.15">
      <c r="A11" s="169"/>
      <c r="B11" s="851" t="s">
        <v>248</v>
      </c>
      <c r="C11" s="851" t="s">
        <v>971</v>
      </c>
      <c r="D11" s="852"/>
      <c r="E11" s="853"/>
      <c r="F11" s="691">
        <v>189626877</v>
      </c>
      <c r="G11" s="691">
        <v>54241273</v>
      </c>
      <c r="H11" s="691">
        <v>49673183</v>
      </c>
      <c r="I11" s="691">
        <v>3130857</v>
      </c>
      <c r="J11" s="691">
        <v>17889549</v>
      </c>
      <c r="K11" s="691">
        <v>40268758</v>
      </c>
      <c r="L11" s="691">
        <v>24423257</v>
      </c>
      <c r="M11" s="691">
        <v>13692553</v>
      </c>
      <c r="N11" s="691">
        <v>10730704</v>
      </c>
      <c r="O11" s="691">
        <v>2239322</v>
      </c>
      <c r="P11" s="691">
        <v>2644009</v>
      </c>
      <c r="Q11" s="691">
        <v>58550</v>
      </c>
      <c r="R11" s="691">
        <v>51393</v>
      </c>
      <c r="S11" s="854">
        <v>13992821</v>
      </c>
      <c r="T11" s="854">
        <v>10900397</v>
      </c>
      <c r="U11" s="855">
        <v>3092424</v>
      </c>
      <c r="V11" s="692" t="s">
        <v>907</v>
      </c>
      <c r="W11" s="108"/>
      <c r="X11" s="730"/>
    </row>
    <row r="12" spans="1:24" s="86" customFormat="1" ht="21" customHeight="1" x14ac:dyDescent="0.15">
      <c r="A12" s="169"/>
      <c r="B12" s="851" t="s">
        <v>248</v>
      </c>
      <c r="C12" s="851" t="s">
        <v>972</v>
      </c>
      <c r="D12" s="852"/>
      <c r="E12" s="853"/>
      <c r="F12" s="691">
        <v>191612126</v>
      </c>
      <c r="G12" s="691">
        <v>55726202</v>
      </c>
      <c r="H12" s="691">
        <v>43793683</v>
      </c>
      <c r="I12" s="691">
        <v>4363653</v>
      </c>
      <c r="J12" s="691">
        <v>18473570</v>
      </c>
      <c r="K12" s="691">
        <v>41445774</v>
      </c>
      <c r="L12" s="691">
        <v>27809244</v>
      </c>
      <c r="M12" s="691">
        <v>15301701</v>
      </c>
      <c r="N12" s="691">
        <v>12507543</v>
      </c>
      <c r="O12" s="691">
        <v>2173357</v>
      </c>
      <c r="P12" s="691">
        <v>2425622</v>
      </c>
      <c r="Q12" s="691">
        <v>56615</v>
      </c>
      <c r="R12" s="691">
        <v>58695</v>
      </c>
      <c r="S12" s="691">
        <v>16914674</v>
      </c>
      <c r="T12" s="691">
        <v>13918323</v>
      </c>
      <c r="U12" s="693">
        <v>2996351</v>
      </c>
      <c r="V12" s="692" t="s">
        <v>908</v>
      </c>
      <c r="W12" s="108"/>
      <c r="X12" s="108"/>
    </row>
    <row r="13" spans="1:24" s="86" customFormat="1" ht="19.5" customHeight="1" x14ac:dyDescent="0.15">
      <c r="A13" s="169"/>
      <c r="B13" s="851"/>
      <c r="C13" s="851"/>
      <c r="D13" s="856"/>
      <c r="E13" s="857"/>
      <c r="F13" s="691"/>
      <c r="G13" s="691"/>
      <c r="H13" s="691"/>
      <c r="I13" s="691"/>
      <c r="J13" s="691"/>
      <c r="K13" s="691"/>
      <c r="L13" s="691"/>
      <c r="M13" s="691"/>
      <c r="N13" s="691"/>
      <c r="O13" s="691"/>
      <c r="P13" s="691"/>
      <c r="Q13" s="691"/>
      <c r="R13" s="691"/>
      <c r="S13" s="691"/>
      <c r="T13" s="691"/>
      <c r="U13" s="693"/>
      <c r="V13" s="691"/>
      <c r="W13" s="108"/>
      <c r="X13" s="730"/>
    </row>
    <row r="14" spans="1:24" s="86" customFormat="1" ht="21" customHeight="1" x14ac:dyDescent="0.15">
      <c r="A14" s="169"/>
      <c r="B14" s="851" t="s">
        <v>903</v>
      </c>
      <c r="C14" s="851" t="s">
        <v>909</v>
      </c>
      <c r="D14" s="858"/>
      <c r="E14" s="859"/>
      <c r="F14" s="691">
        <v>191298335</v>
      </c>
      <c r="G14" s="691">
        <v>54723752</v>
      </c>
      <c r="H14" s="691">
        <v>47602060</v>
      </c>
      <c r="I14" s="691">
        <v>3389159</v>
      </c>
      <c r="J14" s="691">
        <v>18637265</v>
      </c>
      <c r="K14" s="691">
        <v>40804282</v>
      </c>
      <c r="L14" s="691">
        <v>26141817</v>
      </c>
      <c r="M14" s="691">
        <v>14409501</v>
      </c>
      <c r="N14" s="691">
        <v>11732316</v>
      </c>
      <c r="O14" s="691">
        <v>2234060</v>
      </c>
      <c r="P14" s="691">
        <v>2604180</v>
      </c>
      <c r="Q14" s="691">
        <v>57988</v>
      </c>
      <c r="R14" s="691">
        <v>52384</v>
      </c>
      <c r="S14" s="694">
        <v>14825573</v>
      </c>
      <c r="T14" s="694">
        <v>11884958</v>
      </c>
      <c r="U14" s="695">
        <v>2940615</v>
      </c>
      <c r="V14" s="696" t="s">
        <v>910</v>
      </c>
      <c r="W14" s="108"/>
      <c r="X14" s="274" t="s">
        <v>237</v>
      </c>
    </row>
    <row r="15" spans="1:24" s="86" customFormat="1" ht="21" customHeight="1" x14ac:dyDescent="0.15">
      <c r="A15" s="169"/>
      <c r="B15" s="851" t="s">
        <v>248</v>
      </c>
      <c r="C15" s="851" t="s">
        <v>972</v>
      </c>
      <c r="D15" s="858"/>
      <c r="E15" s="859"/>
      <c r="F15" s="691">
        <v>189881154</v>
      </c>
      <c r="G15" s="691">
        <v>55775961</v>
      </c>
      <c r="H15" s="691">
        <v>43850350</v>
      </c>
      <c r="I15" s="691">
        <v>4645740</v>
      </c>
      <c r="J15" s="691">
        <v>17523777</v>
      </c>
      <c r="K15" s="691">
        <v>41251067</v>
      </c>
      <c r="L15" s="691">
        <v>26834259</v>
      </c>
      <c r="M15" s="691">
        <v>15126816</v>
      </c>
      <c r="N15" s="691">
        <v>11707443</v>
      </c>
      <c r="O15" s="691">
        <v>2125067</v>
      </c>
      <c r="P15" s="691">
        <v>2336842</v>
      </c>
      <c r="Q15" s="691">
        <v>54745</v>
      </c>
      <c r="R15" s="691">
        <v>59195</v>
      </c>
      <c r="S15" s="691">
        <v>17139040</v>
      </c>
      <c r="T15" s="691">
        <v>14043569</v>
      </c>
      <c r="U15" s="693">
        <v>3095471</v>
      </c>
      <c r="V15" s="696" t="s">
        <v>911</v>
      </c>
      <c r="W15" s="108"/>
      <c r="X15" s="274"/>
    </row>
    <row r="16" spans="1:24" s="86" customFormat="1" ht="19.5" customHeight="1" x14ac:dyDescent="0.15">
      <c r="A16" s="169"/>
      <c r="B16" s="851"/>
      <c r="C16" s="851"/>
      <c r="D16" s="856"/>
      <c r="E16" s="857"/>
      <c r="F16" s="691"/>
      <c r="G16" s="691"/>
      <c r="H16" s="691"/>
      <c r="I16" s="691"/>
      <c r="J16" s="691"/>
      <c r="K16" s="691"/>
      <c r="L16" s="691"/>
      <c r="M16" s="691"/>
      <c r="N16" s="691"/>
      <c r="O16" s="691"/>
      <c r="P16" s="691"/>
      <c r="Q16" s="691"/>
      <c r="R16" s="691"/>
      <c r="S16" s="691"/>
      <c r="T16" s="691"/>
      <c r="U16" s="693"/>
      <c r="V16" s="697"/>
      <c r="W16" s="108"/>
      <c r="X16" s="274"/>
    </row>
    <row r="17" spans="1:24" s="86" customFormat="1" ht="21" customHeight="1" x14ac:dyDescent="0.15">
      <c r="A17" s="169"/>
      <c r="B17" s="851" t="s">
        <v>903</v>
      </c>
      <c r="C17" s="851" t="s">
        <v>912</v>
      </c>
      <c r="D17" s="860" t="s">
        <v>723</v>
      </c>
      <c r="E17" s="859"/>
      <c r="F17" s="691">
        <v>52284596</v>
      </c>
      <c r="G17" s="691">
        <v>13134098</v>
      </c>
      <c r="H17" s="691">
        <v>11183992</v>
      </c>
      <c r="I17" s="691">
        <v>896863</v>
      </c>
      <c r="J17" s="691">
        <v>8501865</v>
      </c>
      <c r="K17" s="691">
        <v>10086691</v>
      </c>
      <c r="L17" s="691">
        <v>8481087</v>
      </c>
      <c r="M17" s="691">
        <v>4643034</v>
      </c>
      <c r="N17" s="691">
        <v>3838053</v>
      </c>
      <c r="O17" s="691">
        <v>564881</v>
      </c>
      <c r="P17" s="691">
        <v>713044</v>
      </c>
      <c r="Q17" s="691">
        <v>14304</v>
      </c>
      <c r="R17" s="691">
        <v>14297</v>
      </c>
      <c r="S17" s="691">
        <v>4900535</v>
      </c>
      <c r="T17" s="691">
        <v>4275669</v>
      </c>
      <c r="U17" s="693">
        <v>624866</v>
      </c>
      <c r="V17" s="698" t="s">
        <v>913</v>
      </c>
      <c r="W17" s="108"/>
      <c r="X17" s="274"/>
    </row>
    <row r="18" spans="1:24" s="86" customFormat="1" ht="21" customHeight="1" x14ac:dyDescent="0.15">
      <c r="A18" s="169"/>
      <c r="B18" s="851" t="s">
        <v>248</v>
      </c>
      <c r="C18" s="851" t="s">
        <v>248</v>
      </c>
      <c r="D18" s="860" t="s">
        <v>724</v>
      </c>
      <c r="E18" s="859"/>
      <c r="F18" s="691">
        <v>43395489</v>
      </c>
      <c r="G18" s="691">
        <v>13603248</v>
      </c>
      <c r="H18" s="691">
        <v>10181251</v>
      </c>
      <c r="I18" s="691">
        <v>1062895</v>
      </c>
      <c r="J18" s="691">
        <v>2334962</v>
      </c>
      <c r="K18" s="691">
        <v>10146267</v>
      </c>
      <c r="L18" s="691">
        <v>6066866</v>
      </c>
      <c r="M18" s="691">
        <v>3303302</v>
      </c>
      <c r="N18" s="691">
        <v>2763564</v>
      </c>
      <c r="O18" s="691">
        <v>534871</v>
      </c>
      <c r="P18" s="691">
        <v>516405</v>
      </c>
      <c r="Q18" s="691">
        <v>14040</v>
      </c>
      <c r="R18" s="691">
        <v>15146</v>
      </c>
      <c r="S18" s="691">
        <v>3924477</v>
      </c>
      <c r="T18" s="691">
        <v>3199056</v>
      </c>
      <c r="U18" s="693">
        <v>725421</v>
      </c>
      <c r="V18" s="699" t="s">
        <v>914</v>
      </c>
      <c r="W18" s="108"/>
      <c r="X18" s="274"/>
    </row>
    <row r="19" spans="1:24" s="86" customFormat="1" ht="21" customHeight="1" x14ac:dyDescent="0.15">
      <c r="A19" s="169"/>
      <c r="B19" s="851" t="s">
        <v>248</v>
      </c>
      <c r="C19" s="851" t="s">
        <v>248</v>
      </c>
      <c r="D19" s="860" t="s">
        <v>725</v>
      </c>
      <c r="E19" s="859"/>
      <c r="F19" s="691">
        <v>45662874</v>
      </c>
      <c r="G19" s="691">
        <v>14933799</v>
      </c>
      <c r="H19" s="691">
        <v>11053608</v>
      </c>
      <c r="I19" s="691">
        <v>1237268</v>
      </c>
      <c r="J19" s="691">
        <v>1750837</v>
      </c>
      <c r="K19" s="691">
        <v>10516716</v>
      </c>
      <c r="L19" s="691">
        <v>6170646</v>
      </c>
      <c r="M19" s="691">
        <v>3279302</v>
      </c>
      <c r="N19" s="691">
        <v>2891344</v>
      </c>
      <c r="O19" s="691">
        <v>535457</v>
      </c>
      <c r="P19" s="691">
        <v>571437</v>
      </c>
      <c r="Q19" s="691">
        <v>14496</v>
      </c>
      <c r="R19" s="691">
        <v>15451</v>
      </c>
      <c r="S19" s="691">
        <v>3603683</v>
      </c>
      <c r="T19" s="691">
        <v>2786108</v>
      </c>
      <c r="U19" s="693">
        <v>817575</v>
      </c>
      <c r="V19" s="700" t="s">
        <v>915</v>
      </c>
      <c r="W19" s="108"/>
      <c r="X19" s="274" t="s">
        <v>237</v>
      </c>
    </row>
    <row r="20" spans="1:24" s="86" customFormat="1" ht="21" customHeight="1" x14ac:dyDescent="0.15">
      <c r="A20" s="169"/>
      <c r="B20" s="851" t="s">
        <v>248</v>
      </c>
      <c r="C20" s="851" t="s">
        <v>248</v>
      </c>
      <c r="D20" s="860" t="s">
        <v>629</v>
      </c>
      <c r="E20" s="859"/>
      <c r="F20" s="691">
        <v>50269167</v>
      </c>
      <c r="G20" s="691">
        <v>14055057</v>
      </c>
      <c r="H20" s="691">
        <v>11374832</v>
      </c>
      <c r="I20" s="691">
        <v>1166627</v>
      </c>
      <c r="J20" s="691">
        <v>5885906</v>
      </c>
      <c r="K20" s="691">
        <v>10696100</v>
      </c>
      <c r="L20" s="691">
        <v>7090645</v>
      </c>
      <c r="M20" s="691">
        <v>4076063</v>
      </c>
      <c r="N20" s="691">
        <v>3014582</v>
      </c>
      <c r="O20" s="691">
        <v>538148</v>
      </c>
      <c r="P20" s="691">
        <v>624736</v>
      </c>
      <c r="Q20" s="691">
        <v>13775</v>
      </c>
      <c r="R20" s="691">
        <v>13801</v>
      </c>
      <c r="S20" s="691">
        <v>4485979</v>
      </c>
      <c r="T20" s="691">
        <v>3657490</v>
      </c>
      <c r="U20" s="693">
        <v>828489</v>
      </c>
      <c r="V20" s="701" t="s">
        <v>916</v>
      </c>
      <c r="W20" s="108"/>
      <c r="X20" s="274" t="s">
        <v>237</v>
      </c>
    </row>
    <row r="21" spans="1:24" s="86" customFormat="1" ht="21" customHeight="1" x14ac:dyDescent="0.15">
      <c r="A21" s="169"/>
      <c r="B21" s="851" t="s">
        <v>903</v>
      </c>
      <c r="C21" s="851" t="s">
        <v>917</v>
      </c>
      <c r="D21" s="860" t="s">
        <v>726</v>
      </c>
      <c r="E21" s="859"/>
      <c r="F21" s="691">
        <v>50553624</v>
      </c>
      <c r="G21" s="691">
        <v>13183857</v>
      </c>
      <c r="H21" s="691">
        <v>11240659</v>
      </c>
      <c r="I21" s="691">
        <v>1178950</v>
      </c>
      <c r="J21" s="691">
        <v>7552072</v>
      </c>
      <c r="K21" s="691">
        <v>9891984</v>
      </c>
      <c r="L21" s="691">
        <v>7506102</v>
      </c>
      <c r="M21" s="691">
        <v>4468149</v>
      </c>
      <c r="N21" s="691">
        <v>3037953</v>
      </c>
      <c r="O21" s="691">
        <v>516591</v>
      </c>
      <c r="P21" s="691">
        <v>624264</v>
      </c>
      <c r="Q21" s="691">
        <v>12434</v>
      </c>
      <c r="R21" s="691">
        <v>14797</v>
      </c>
      <c r="S21" s="691">
        <v>5124901</v>
      </c>
      <c r="T21" s="691">
        <v>4400915</v>
      </c>
      <c r="U21" s="693">
        <v>723986</v>
      </c>
      <c r="V21" s="698" t="s">
        <v>918</v>
      </c>
      <c r="W21" s="108"/>
      <c r="X21" s="274"/>
    </row>
    <row r="22" spans="1:24" s="86" customFormat="1" ht="19.5" customHeight="1" x14ac:dyDescent="0.15">
      <c r="A22" s="169"/>
      <c r="B22" s="851"/>
      <c r="C22" s="851"/>
      <c r="D22" s="856"/>
      <c r="E22" s="857"/>
      <c r="F22" s="702"/>
      <c r="G22" s="702"/>
      <c r="H22" s="702"/>
      <c r="I22" s="702"/>
      <c r="J22" s="702"/>
      <c r="K22" s="702"/>
      <c r="L22" s="702"/>
      <c r="M22" s="702"/>
      <c r="N22" s="702"/>
      <c r="O22" s="702"/>
      <c r="P22" s="702"/>
      <c r="Q22" s="702"/>
      <c r="R22" s="702"/>
      <c r="S22" s="702"/>
      <c r="T22" s="702"/>
      <c r="U22" s="703"/>
      <c r="V22" s="697"/>
      <c r="W22" s="108"/>
      <c r="X22" s="274"/>
    </row>
    <row r="23" spans="1:24" s="86" customFormat="1" ht="21" customHeight="1" x14ac:dyDescent="0.15">
      <c r="A23" s="169"/>
      <c r="B23" s="851" t="s">
        <v>903</v>
      </c>
      <c r="C23" s="851" t="s">
        <v>912</v>
      </c>
      <c r="D23" s="851" t="s">
        <v>707</v>
      </c>
      <c r="E23" s="861"/>
      <c r="F23" s="691">
        <v>18592213</v>
      </c>
      <c r="G23" s="691">
        <v>4412117</v>
      </c>
      <c r="H23" s="691">
        <v>4272902</v>
      </c>
      <c r="I23" s="691">
        <v>333217</v>
      </c>
      <c r="J23" s="691">
        <v>3311337</v>
      </c>
      <c r="K23" s="691">
        <v>3171648</v>
      </c>
      <c r="L23" s="691">
        <v>3090992</v>
      </c>
      <c r="M23" s="691">
        <v>1610100</v>
      </c>
      <c r="N23" s="691">
        <v>1480892</v>
      </c>
      <c r="O23" s="691">
        <v>169909</v>
      </c>
      <c r="P23" s="691">
        <v>239502</v>
      </c>
      <c r="Q23" s="691">
        <v>4284</v>
      </c>
      <c r="R23" s="691">
        <v>4532</v>
      </c>
      <c r="S23" s="694">
        <v>1610205</v>
      </c>
      <c r="T23" s="694">
        <v>1414351</v>
      </c>
      <c r="U23" s="695">
        <v>195854</v>
      </c>
      <c r="V23" s="704" t="s">
        <v>919</v>
      </c>
      <c r="W23" s="108"/>
      <c r="X23" s="274" t="s">
        <v>237</v>
      </c>
    </row>
    <row r="24" spans="1:24" s="86" customFormat="1" ht="21" customHeight="1" x14ac:dyDescent="0.15">
      <c r="A24" s="169"/>
      <c r="B24" s="851" t="s">
        <v>248</v>
      </c>
      <c r="C24" s="851" t="s">
        <v>248</v>
      </c>
      <c r="D24" s="851" t="s">
        <v>708</v>
      </c>
      <c r="E24" s="861"/>
      <c r="F24" s="691">
        <v>16680715</v>
      </c>
      <c r="G24" s="691">
        <v>4047542</v>
      </c>
      <c r="H24" s="691">
        <v>3449593</v>
      </c>
      <c r="I24" s="691">
        <v>235927</v>
      </c>
      <c r="J24" s="691">
        <v>3051058</v>
      </c>
      <c r="K24" s="691">
        <v>3238825</v>
      </c>
      <c r="L24" s="691">
        <v>2657770</v>
      </c>
      <c r="M24" s="691">
        <v>1518286</v>
      </c>
      <c r="N24" s="691">
        <v>1139484</v>
      </c>
      <c r="O24" s="691">
        <v>178752</v>
      </c>
      <c r="P24" s="691">
        <v>228137</v>
      </c>
      <c r="Q24" s="691">
        <v>4639</v>
      </c>
      <c r="R24" s="691">
        <v>4703</v>
      </c>
      <c r="S24" s="694">
        <v>1613711</v>
      </c>
      <c r="T24" s="694">
        <v>1398215</v>
      </c>
      <c r="U24" s="695">
        <v>215496</v>
      </c>
      <c r="V24" s="705" t="s">
        <v>920</v>
      </c>
      <c r="W24" s="108"/>
      <c r="X24" s="274"/>
    </row>
    <row r="25" spans="1:24" s="86" customFormat="1" ht="21" customHeight="1" x14ac:dyDescent="0.15">
      <c r="A25" s="169"/>
      <c r="B25" s="851" t="s">
        <v>248</v>
      </c>
      <c r="C25" s="851" t="s">
        <v>248</v>
      </c>
      <c r="D25" s="851" t="s">
        <v>709</v>
      </c>
      <c r="E25" s="861"/>
      <c r="F25" s="691">
        <v>17011668</v>
      </c>
      <c r="G25" s="691">
        <v>4674439</v>
      </c>
      <c r="H25" s="691">
        <v>3461497</v>
      </c>
      <c r="I25" s="691">
        <v>327719</v>
      </c>
      <c r="J25" s="691">
        <v>2139470</v>
      </c>
      <c r="K25" s="691">
        <v>3676218</v>
      </c>
      <c r="L25" s="691">
        <v>2732325</v>
      </c>
      <c r="M25" s="691">
        <v>1514648</v>
      </c>
      <c r="N25" s="691">
        <v>1217677</v>
      </c>
      <c r="O25" s="691">
        <v>216220</v>
      </c>
      <c r="P25" s="691">
        <v>245405</v>
      </c>
      <c r="Q25" s="691">
        <v>5381</v>
      </c>
      <c r="R25" s="691">
        <v>5062</v>
      </c>
      <c r="S25" s="694">
        <v>1676619</v>
      </c>
      <c r="T25" s="694">
        <v>1463103</v>
      </c>
      <c r="U25" s="695">
        <v>213516</v>
      </c>
      <c r="V25" s="705" t="s">
        <v>921</v>
      </c>
      <c r="W25" s="108"/>
      <c r="X25" s="274" t="s">
        <v>237</v>
      </c>
    </row>
    <row r="26" spans="1:24" s="86" customFormat="1" ht="21" customHeight="1" x14ac:dyDescent="0.15">
      <c r="A26" s="169"/>
      <c r="B26" s="851" t="s">
        <v>248</v>
      </c>
      <c r="C26" s="851" t="s">
        <v>248</v>
      </c>
      <c r="D26" s="851" t="s">
        <v>710</v>
      </c>
      <c r="E26" s="861"/>
      <c r="F26" s="691">
        <v>14636229</v>
      </c>
      <c r="G26" s="691">
        <v>4429316</v>
      </c>
      <c r="H26" s="691">
        <v>3299732</v>
      </c>
      <c r="I26" s="691">
        <v>299398</v>
      </c>
      <c r="J26" s="691">
        <v>1075895</v>
      </c>
      <c r="K26" s="691">
        <v>3369355</v>
      </c>
      <c r="L26" s="691">
        <v>2162533</v>
      </c>
      <c r="M26" s="691">
        <v>1156939</v>
      </c>
      <c r="N26" s="691">
        <v>1005594</v>
      </c>
      <c r="O26" s="691">
        <v>183786</v>
      </c>
      <c r="P26" s="691">
        <v>162223</v>
      </c>
      <c r="Q26" s="691">
        <v>4773</v>
      </c>
      <c r="R26" s="691">
        <v>4713</v>
      </c>
      <c r="S26" s="694">
        <v>1369375</v>
      </c>
      <c r="T26" s="694">
        <v>1122266</v>
      </c>
      <c r="U26" s="695">
        <v>247109</v>
      </c>
      <c r="V26" s="705" t="s">
        <v>922</v>
      </c>
      <c r="W26" s="108"/>
      <c r="X26" s="274"/>
    </row>
    <row r="27" spans="1:24" s="86" customFormat="1" ht="21" customHeight="1" x14ac:dyDescent="0.15">
      <c r="A27" s="169"/>
      <c r="B27" s="851" t="s">
        <v>248</v>
      </c>
      <c r="C27" s="851" t="s">
        <v>248</v>
      </c>
      <c r="D27" s="851" t="s">
        <v>711</v>
      </c>
      <c r="E27" s="861"/>
      <c r="F27" s="691">
        <v>14478981</v>
      </c>
      <c r="G27" s="691">
        <v>4589047</v>
      </c>
      <c r="H27" s="691">
        <v>3572058</v>
      </c>
      <c r="I27" s="691">
        <v>363724</v>
      </c>
      <c r="J27" s="691">
        <v>734197</v>
      </c>
      <c r="K27" s="691">
        <v>3274055</v>
      </c>
      <c r="L27" s="691">
        <v>1945900</v>
      </c>
      <c r="M27" s="691">
        <v>1089070</v>
      </c>
      <c r="N27" s="691">
        <v>856830</v>
      </c>
      <c r="O27" s="691">
        <v>158689</v>
      </c>
      <c r="P27" s="691">
        <v>167374</v>
      </c>
      <c r="Q27" s="691">
        <v>4246</v>
      </c>
      <c r="R27" s="691">
        <v>4656</v>
      </c>
      <c r="S27" s="694">
        <v>1322215</v>
      </c>
      <c r="T27" s="694">
        <v>1050831</v>
      </c>
      <c r="U27" s="695">
        <v>271384</v>
      </c>
      <c r="V27" s="705" t="s">
        <v>477</v>
      </c>
      <c r="W27" s="108"/>
      <c r="X27" s="274" t="s">
        <v>237</v>
      </c>
    </row>
    <row r="28" spans="1:24" s="86" customFormat="1" ht="21" customHeight="1" x14ac:dyDescent="0.15">
      <c r="A28" s="169"/>
      <c r="B28" s="851" t="s">
        <v>248</v>
      </c>
      <c r="C28" s="851" t="s">
        <v>248</v>
      </c>
      <c r="D28" s="851" t="s">
        <v>712</v>
      </c>
      <c r="E28" s="861"/>
      <c r="F28" s="691">
        <v>14280279</v>
      </c>
      <c r="G28" s="691">
        <v>4584885</v>
      </c>
      <c r="H28" s="691">
        <v>3309461</v>
      </c>
      <c r="I28" s="691">
        <v>399773</v>
      </c>
      <c r="J28" s="691">
        <v>524870</v>
      </c>
      <c r="K28" s="691">
        <v>3502857</v>
      </c>
      <c r="L28" s="691">
        <v>1958433</v>
      </c>
      <c r="M28" s="691">
        <v>1057293</v>
      </c>
      <c r="N28" s="691">
        <v>901140</v>
      </c>
      <c r="O28" s="691">
        <v>192396</v>
      </c>
      <c r="P28" s="691">
        <v>186808</v>
      </c>
      <c r="Q28" s="691">
        <v>5021</v>
      </c>
      <c r="R28" s="691">
        <v>5777</v>
      </c>
      <c r="S28" s="694">
        <v>1232887</v>
      </c>
      <c r="T28" s="694">
        <v>1025959</v>
      </c>
      <c r="U28" s="695">
        <v>206928</v>
      </c>
      <c r="V28" s="705" t="s">
        <v>924</v>
      </c>
      <c r="W28" s="108"/>
      <c r="X28" s="274"/>
    </row>
    <row r="29" spans="1:24" s="86" customFormat="1" ht="21" customHeight="1" x14ac:dyDescent="0.15">
      <c r="A29" s="169"/>
      <c r="B29" s="851" t="s">
        <v>248</v>
      </c>
      <c r="C29" s="851" t="s">
        <v>248</v>
      </c>
      <c r="D29" s="851" t="s">
        <v>713</v>
      </c>
      <c r="E29" s="861"/>
      <c r="F29" s="691">
        <v>15240821</v>
      </c>
      <c r="G29" s="691">
        <v>5024514</v>
      </c>
      <c r="H29" s="691">
        <v>3684195</v>
      </c>
      <c r="I29" s="691">
        <v>410842</v>
      </c>
      <c r="J29" s="691">
        <v>502724</v>
      </c>
      <c r="K29" s="691">
        <v>3596852</v>
      </c>
      <c r="L29" s="691">
        <v>2021694</v>
      </c>
      <c r="M29" s="691">
        <v>1110494</v>
      </c>
      <c r="N29" s="691">
        <v>911200</v>
      </c>
      <c r="O29" s="691">
        <v>172190</v>
      </c>
      <c r="P29" s="691">
        <v>157027</v>
      </c>
      <c r="Q29" s="691">
        <v>4629</v>
      </c>
      <c r="R29" s="691">
        <v>5561</v>
      </c>
      <c r="S29" s="694">
        <v>1234225</v>
      </c>
      <c r="T29" s="694">
        <v>968040</v>
      </c>
      <c r="U29" s="695">
        <v>266185</v>
      </c>
      <c r="V29" s="705" t="s">
        <v>925</v>
      </c>
      <c r="W29" s="108"/>
      <c r="X29" s="274" t="s">
        <v>237</v>
      </c>
    </row>
    <row r="30" spans="1:24" s="86" customFormat="1" ht="21" customHeight="1" x14ac:dyDescent="0.15">
      <c r="A30" s="169"/>
      <c r="B30" s="851" t="s">
        <v>248</v>
      </c>
      <c r="C30" s="851" t="s">
        <v>248</v>
      </c>
      <c r="D30" s="851" t="s">
        <v>714</v>
      </c>
      <c r="E30" s="861"/>
      <c r="F30" s="691">
        <v>15820549</v>
      </c>
      <c r="G30" s="691">
        <v>5232227</v>
      </c>
      <c r="H30" s="691">
        <v>3989653</v>
      </c>
      <c r="I30" s="691">
        <v>432594</v>
      </c>
      <c r="J30" s="691">
        <v>568984</v>
      </c>
      <c r="K30" s="691">
        <v>3476904</v>
      </c>
      <c r="L30" s="691">
        <v>2120187</v>
      </c>
      <c r="M30" s="691">
        <v>1087380</v>
      </c>
      <c r="N30" s="691">
        <v>1032807</v>
      </c>
      <c r="O30" s="691">
        <v>162330</v>
      </c>
      <c r="P30" s="691">
        <v>176910</v>
      </c>
      <c r="Q30" s="691">
        <v>4374</v>
      </c>
      <c r="R30" s="691">
        <v>5897</v>
      </c>
      <c r="S30" s="694">
        <v>1104506</v>
      </c>
      <c r="T30" s="694">
        <v>845962</v>
      </c>
      <c r="U30" s="695">
        <v>258544</v>
      </c>
      <c r="V30" s="705" t="s">
        <v>926</v>
      </c>
      <c r="W30" s="108"/>
      <c r="X30" s="274"/>
    </row>
    <row r="31" spans="1:24" s="86" customFormat="1" ht="21" customHeight="1" x14ac:dyDescent="0.15">
      <c r="A31" s="169"/>
      <c r="B31" s="851" t="s">
        <v>248</v>
      </c>
      <c r="C31" s="851" t="s">
        <v>248</v>
      </c>
      <c r="D31" s="851" t="s">
        <v>715</v>
      </c>
      <c r="E31" s="861"/>
      <c r="F31" s="691">
        <v>14601504</v>
      </c>
      <c r="G31" s="691">
        <v>4677058</v>
      </c>
      <c r="H31" s="691">
        <v>3379760</v>
      </c>
      <c r="I31" s="691">
        <v>393832</v>
      </c>
      <c r="J31" s="691">
        <v>679129</v>
      </c>
      <c r="K31" s="691">
        <v>3442960</v>
      </c>
      <c r="L31" s="691">
        <v>2028765</v>
      </c>
      <c r="M31" s="691">
        <v>1081428</v>
      </c>
      <c r="N31" s="691">
        <v>947337</v>
      </c>
      <c r="O31" s="691">
        <v>200937</v>
      </c>
      <c r="P31" s="691">
        <v>237500</v>
      </c>
      <c r="Q31" s="691">
        <v>5493</v>
      </c>
      <c r="R31" s="691">
        <v>3993</v>
      </c>
      <c r="S31" s="694">
        <v>1264952</v>
      </c>
      <c r="T31" s="694">
        <v>972106</v>
      </c>
      <c r="U31" s="695">
        <v>292846</v>
      </c>
      <c r="V31" s="705" t="s">
        <v>927</v>
      </c>
      <c r="W31" s="108"/>
      <c r="X31" s="274" t="s">
        <v>237</v>
      </c>
    </row>
    <row r="32" spans="1:24" s="86" customFormat="1" ht="21" customHeight="1" x14ac:dyDescent="0.15">
      <c r="A32" s="169"/>
      <c r="B32" s="851" t="s">
        <v>248</v>
      </c>
      <c r="C32" s="851" t="s">
        <v>248</v>
      </c>
      <c r="D32" s="862" t="s">
        <v>1029</v>
      </c>
      <c r="E32" s="861"/>
      <c r="F32" s="691">
        <v>15599944</v>
      </c>
      <c r="G32" s="691">
        <v>4673756</v>
      </c>
      <c r="H32" s="691">
        <v>3747443</v>
      </c>
      <c r="I32" s="691">
        <v>367515</v>
      </c>
      <c r="J32" s="691">
        <v>1261494</v>
      </c>
      <c r="K32" s="691">
        <v>3465574</v>
      </c>
      <c r="L32" s="691">
        <v>2084162</v>
      </c>
      <c r="M32" s="691">
        <v>1156102</v>
      </c>
      <c r="N32" s="691">
        <v>928060</v>
      </c>
      <c r="O32" s="691">
        <v>175175</v>
      </c>
      <c r="P32" s="691">
        <v>210964</v>
      </c>
      <c r="Q32" s="691">
        <v>4757</v>
      </c>
      <c r="R32" s="691">
        <v>3661</v>
      </c>
      <c r="S32" s="694">
        <v>1285088</v>
      </c>
      <c r="T32" s="694">
        <v>985170</v>
      </c>
      <c r="U32" s="695">
        <v>299918</v>
      </c>
      <c r="V32" s="705" t="s">
        <v>929</v>
      </c>
      <c r="W32" s="108"/>
      <c r="X32" s="274"/>
    </row>
    <row r="33" spans="1:24" s="86" customFormat="1" ht="21" customHeight="1" x14ac:dyDescent="0.15">
      <c r="A33" s="169"/>
      <c r="B33" s="851" t="s">
        <v>248</v>
      </c>
      <c r="C33" s="851" t="s">
        <v>248</v>
      </c>
      <c r="D33" s="862" t="s">
        <v>1030</v>
      </c>
      <c r="E33" s="861"/>
      <c r="F33" s="691">
        <v>16024610</v>
      </c>
      <c r="G33" s="691">
        <v>4424209</v>
      </c>
      <c r="H33" s="691">
        <v>3784888</v>
      </c>
      <c r="I33" s="691">
        <v>389230</v>
      </c>
      <c r="J33" s="691">
        <v>1601845</v>
      </c>
      <c r="K33" s="691">
        <v>3531295</v>
      </c>
      <c r="L33" s="691">
        <v>2293143</v>
      </c>
      <c r="M33" s="691">
        <v>1301546</v>
      </c>
      <c r="N33" s="691">
        <v>991597</v>
      </c>
      <c r="O33" s="691">
        <v>184075</v>
      </c>
      <c r="P33" s="691">
        <v>231186</v>
      </c>
      <c r="Q33" s="691">
        <v>4602</v>
      </c>
      <c r="R33" s="691">
        <v>3168</v>
      </c>
      <c r="S33" s="694">
        <v>1438194</v>
      </c>
      <c r="T33" s="694">
        <v>1174931</v>
      </c>
      <c r="U33" s="695">
        <v>263263</v>
      </c>
      <c r="V33" s="705" t="s">
        <v>931</v>
      </c>
      <c r="W33" s="108"/>
      <c r="X33" s="274"/>
    </row>
    <row r="34" spans="1:24" s="86" customFormat="1" ht="21" customHeight="1" x14ac:dyDescent="0.15">
      <c r="A34" s="169"/>
      <c r="B34" s="851" t="s">
        <v>248</v>
      </c>
      <c r="C34" s="851" t="s">
        <v>248</v>
      </c>
      <c r="D34" s="862" t="s">
        <v>1031</v>
      </c>
      <c r="E34" s="861"/>
      <c r="F34" s="691">
        <v>18644613</v>
      </c>
      <c r="G34" s="691">
        <v>4957092</v>
      </c>
      <c r="H34" s="691">
        <v>3842501</v>
      </c>
      <c r="I34" s="691">
        <v>409882</v>
      </c>
      <c r="J34" s="691">
        <v>3022567</v>
      </c>
      <c r="K34" s="691">
        <v>3699231</v>
      </c>
      <c r="L34" s="691">
        <v>2713340</v>
      </c>
      <c r="M34" s="691">
        <v>1618415</v>
      </c>
      <c r="N34" s="691">
        <v>1094925</v>
      </c>
      <c r="O34" s="691">
        <v>178898</v>
      </c>
      <c r="P34" s="691">
        <v>182586</v>
      </c>
      <c r="Q34" s="691">
        <v>4416</v>
      </c>
      <c r="R34" s="691">
        <v>6972</v>
      </c>
      <c r="S34" s="694">
        <v>1762697</v>
      </c>
      <c r="T34" s="694">
        <v>1497389</v>
      </c>
      <c r="U34" s="695">
        <v>265308</v>
      </c>
      <c r="V34" s="705" t="s">
        <v>933</v>
      </c>
      <c r="W34" s="108"/>
      <c r="X34" s="274" t="s">
        <v>237</v>
      </c>
    </row>
    <row r="35" spans="1:24" s="86" customFormat="1" ht="19.5" customHeight="1" x14ac:dyDescent="0.15">
      <c r="A35" s="169"/>
      <c r="B35" s="851"/>
      <c r="C35" s="851"/>
      <c r="D35" s="851"/>
      <c r="E35" s="861"/>
      <c r="F35" s="691"/>
      <c r="G35" s="702"/>
      <c r="H35" s="702"/>
      <c r="I35" s="702"/>
      <c r="J35" s="691"/>
      <c r="K35" s="691"/>
      <c r="L35" s="691"/>
      <c r="M35" s="691"/>
      <c r="N35" s="691"/>
      <c r="O35" s="691"/>
      <c r="P35" s="691"/>
      <c r="Q35" s="691"/>
      <c r="R35" s="691"/>
      <c r="S35" s="694"/>
      <c r="T35" s="694"/>
      <c r="U35" s="695"/>
      <c r="V35" s="706"/>
      <c r="W35" s="108"/>
      <c r="X35" s="274"/>
    </row>
    <row r="36" spans="1:24" s="86" customFormat="1" ht="21" customHeight="1" x14ac:dyDescent="0.15">
      <c r="A36" s="169"/>
      <c r="B36" s="851" t="s">
        <v>903</v>
      </c>
      <c r="C36" s="851" t="s">
        <v>917</v>
      </c>
      <c r="D36" s="851" t="s">
        <v>716</v>
      </c>
      <c r="E36" s="861"/>
      <c r="F36" s="691">
        <v>17411485</v>
      </c>
      <c r="G36" s="691">
        <v>4339976</v>
      </c>
      <c r="H36" s="691">
        <v>3978960</v>
      </c>
      <c r="I36" s="691">
        <v>378026</v>
      </c>
      <c r="J36" s="691">
        <v>3012799</v>
      </c>
      <c r="K36" s="691">
        <v>3039098</v>
      </c>
      <c r="L36" s="691">
        <v>2662626</v>
      </c>
      <c r="M36" s="691">
        <v>1495274</v>
      </c>
      <c r="N36" s="691">
        <v>1167352</v>
      </c>
      <c r="O36" s="691">
        <v>154424</v>
      </c>
      <c r="P36" s="691">
        <v>189073</v>
      </c>
      <c r="Q36" s="691">
        <v>3674</v>
      </c>
      <c r="R36" s="691">
        <v>6171</v>
      </c>
      <c r="S36" s="694">
        <v>1803942</v>
      </c>
      <c r="T36" s="694">
        <v>1559030</v>
      </c>
      <c r="U36" s="695">
        <v>244912</v>
      </c>
      <c r="V36" s="704" t="s">
        <v>935</v>
      </c>
      <c r="W36" s="108"/>
      <c r="X36" s="274" t="s">
        <v>237</v>
      </c>
    </row>
    <row r="37" spans="1:24" s="86" customFormat="1" ht="21" customHeight="1" x14ac:dyDescent="0.15">
      <c r="A37" s="169"/>
      <c r="B37" s="851" t="s">
        <v>248</v>
      </c>
      <c r="C37" s="851" t="s">
        <v>248</v>
      </c>
      <c r="D37" s="851" t="s">
        <v>708</v>
      </c>
      <c r="E37" s="861"/>
      <c r="F37" s="691">
        <v>16376944</v>
      </c>
      <c r="G37" s="691">
        <v>4192550</v>
      </c>
      <c r="H37" s="691">
        <v>3340494</v>
      </c>
      <c r="I37" s="691">
        <v>364032</v>
      </c>
      <c r="J37" s="691">
        <v>2799073</v>
      </c>
      <c r="K37" s="691">
        <v>3245136</v>
      </c>
      <c r="L37" s="691">
        <v>2435659</v>
      </c>
      <c r="M37" s="691">
        <v>1497680</v>
      </c>
      <c r="N37" s="691">
        <v>937979</v>
      </c>
      <c r="O37" s="691">
        <v>163894</v>
      </c>
      <c r="P37" s="691">
        <v>217239</v>
      </c>
      <c r="Q37" s="691">
        <v>3869</v>
      </c>
      <c r="R37" s="691">
        <v>4970</v>
      </c>
      <c r="S37" s="694">
        <v>1683945</v>
      </c>
      <c r="T37" s="694">
        <v>1473314</v>
      </c>
      <c r="U37" s="695">
        <v>210631</v>
      </c>
      <c r="V37" s="705" t="s">
        <v>920</v>
      </c>
      <c r="W37" s="108"/>
      <c r="X37" s="274"/>
    </row>
    <row r="38" spans="1:24" s="86" customFormat="1" ht="21" customHeight="1" x14ac:dyDescent="0.15">
      <c r="A38" s="169"/>
      <c r="B38" s="863" t="s">
        <v>248</v>
      </c>
      <c r="C38" s="863" t="s">
        <v>248</v>
      </c>
      <c r="D38" s="864" t="s">
        <v>718</v>
      </c>
      <c r="E38" s="865"/>
      <c r="F38" s="707">
        <v>16765195</v>
      </c>
      <c r="G38" s="708">
        <v>4651331</v>
      </c>
      <c r="H38" s="708">
        <v>3921205</v>
      </c>
      <c r="I38" s="708">
        <v>436892</v>
      </c>
      <c r="J38" s="708">
        <v>1740200</v>
      </c>
      <c r="K38" s="708">
        <v>3607750</v>
      </c>
      <c r="L38" s="708">
        <v>2407817</v>
      </c>
      <c r="M38" s="708">
        <v>1475195</v>
      </c>
      <c r="N38" s="708">
        <v>932622</v>
      </c>
      <c r="O38" s="708">
        <v>198273</v>
      </c>
      <c r="P38" s="708">
        <v>217952</v>
      </c>
      <c r="Q38" s="708">
        <v>4891</v>
      </c>
      <c r="R38" s="708">
        <v>3656</v>
      </c>
      <c r="S38" s="709">
        <v>1637014</v>
      </c>
      <c r="T38" s="709">
        <v>1368571</v>
      </c>
      <c r="U38" s="710">
        <v>268443</v>
      </c>
      <c r="V38" s="711" t="s">
        <v>921</v>
      </c>
      <c r="W38" s="108"/>
      <c r="X38" s="274" t="s">
        <v>237</v>
      </c>
    </row>
    <row r="39" spans="1:24" s="682" customFormat="1" ht="21" customHeight="1" x14ac:dyDescent="0.15">
      <c r="A39" s="447"/>
      <c r="B39" s="175" t="s">
        <v>578</v>
      </c>
      <c r="C39" s="126"/>
      <c r="D39" s="730"/>
      <c r="E39" s="165"/>
      <c r="F39" s="273"/>
      <c r="G39" s="273"/>
      <c r="H39" s="273"/>
      <c r="I39" s="175"/>
      <c r="J39" s="175"/>
      <c r="K39" s="175"/>
      <c r="L39" s="175"/>
      <c r="M39" s="175"/>
      <c r="N39" s="175"/>
      <c r="O39" s="176" t="s">
        <v>643</v>
      </c>
      <c r="P39" s="175"/>
      <c r="Q39" s="175"/>
      <c r="R39" s="175"/>
      <c r="S39" s="175"/>
      <c r="T39" s="175"/>
      <c r="U39" s="175"/>
      <c r="V39" s="272"/>
      <c r="W39" s="447"/>
    </row>
    <row r="40" spans="1:24" ht="21" customHeight="1" x14ac:dyDescent="0.15">
      <c r="B40" s="175" t="s">
        <v>582</v>
      </c>
      <c r="D40" s="399"/>
    </row>
  </sheetData>
  <mergeCells count="2">
    <mergeCell ref="V4:V7"/>
    <mergeCell ref="B5:E5"/>
  </mergeCells>
  <phoneticPr fontId="32"/>
  <pageMargins left="0.59055118110236227" right="0.59055118110236227" top="0.59055118110236227" bottom="0.59055118110236227" header="0.59055118110236227" footer="0.15748031496062992"/>
  <pageSetup paperSize="9" scale="92" orientation="portrait" r:id="rId1"/>
  <headerFooter alignWithMargins="0"/>
  <colBreaks count="1" manualBreakCount="1">
    <brk id="14" max="39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AF33-C2EE-4B86-A6C1-FFEC46571515}">
  <dimension ref="A1:GW222"/>
  <sheetViews>
    <sheetView zoomScaleNormal="100" zoomScaleSheetLayoutView="100" workbookViewId="0"/>
  </sheetViews>
  <sheetFormatPr defaultRowHeight="10.5" x14ac:dyDescent="0.15"/>
  <cols>
    <col min="1" max="1" width="2.875" style="469" customWidth="1"/>
    <col min="2" max="2" width="3.375" style="469" customWidth="1"/>
    <col min="3" max="3" width="6.125" style="469" customWidth="1"/>
    <col min="4" max="4" width="4.5" style="469" customWidth="1"/>
    <col min="5" max="6" width="9.25" style="469" customWidth="1"/>
    <col min="7" max="21" width="8" style="469" customWidth="1"/>
    <col min="22" max="22" width="4.75" style="469" customWidth="1"/>
    <col min="23" max="23" width="20.75" style="469" customWidth="1"/>
    <col min="24" max="24" width="6.625" style="469" customWidth="1"/>
    <col min="25" max="25" width="7.5" style="469" customWidth="1"/>
    <col min="26" max="26" width="2.5" style="469" customWidth="1"/>
    <col min="27" max="27" width="1.125" style="470" customWidth="1"/>
    <col min="28" max="36" width="9" style="469"/>
    <col min="37" max="16384" width="9" style="468"/>
  </cols>
  <sheetData>
    <row r="1" spans="1:205" s="518" customFormat="1" ht="13.5" customHeight="1" x14ac:dyDescent="0.15">
      <c r="A1" s="519"/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21"/>
      <c r="AA1" s="520"/>
      <c r="AB1" s="519"/>
      <c r="AC1" s="519"/>
      <c r="AD1" s="519"/>
      <c r="AE1" s="519"/>
      <c r="AF1" s="519"/>
      <c r="AG1" s="519"/>
      <c r="AH1" s="519"/>
      <c r="AI1" s="519"/>
      <c r="AJ1" s="519"/>
    </row>
    <row r="2" spans="1:205" s="518" customFormat="1" ht="21" customHeight="1" x14ac:dyDescent="0.15">
      <c r="A2" s="516"/>
      <c r="B2" s="516" t="s">
        <v>372</v>
      </c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P2" s="519"/>
      <c r="Q2" s="519"/>
      <c r="R2" s="519"/>
      <c r="S2" s="519"/>
      <c r="T2" s="519"/>
      <c r="U2" s="519"/>
      <c r="V2" s="519"/>
      <c r="W2" s="519"/>
      <c r="X2" s="519"/>
      <c r="Y2" s="519"/>
      <c r="Z2" s="519"/>
      <c r="AA2" s="520"/>
      <c r="AB2" s="519"/>
      <c r="AC2" s="519"/>
    </row>
    <row r="3" spans="1:205" ht="18" customHeight="1" x14ac:dyDescent="0.15">
      <c r="A3" s="469" t="s">
        <v>227</v>
      </c>
      <c r="B3" s="517" t="s">
        <v>746</v>
      </c>
      <c r="C3" s="516"/>
      <c r="J3" s="515"/>
      <c r="U3" s="513" t="s">
        <v>747</v>
      </c>
      <c r="Y3" s="514"/>
      <c r="Z3" s="513"/>
      <c r="AD3" s="468"/>
      <c r="AE3" s="468"/>
      <c r="AF3" s="468"/>
      <c r="AG3" s="468"/>
      <c r="AH3" s="468"/>
      <c r="AI3" s="468"/>
      <c r="AJ3" s="468"/>
      <c r="EY3" s="469"/>
      <c r="EZ3" s="469"/>
      <c r="FA3" s="469"/>
      <c r="FB3" s="469"/>
      <c r="FC3" s="469"/>
      <c r="FD3" s="469"/>
      <c r="FE3" s="469"/>
      <c r="FF3" s="469"/>
      <c r="FG3" s="469"/>
      <c r="FH3" s="469"/>
      <c r="FI3" s="469"/>
      <c r="FJ3" s="469"/>
      <c r="FK3" s="469"/>
      <c r="FL3" s="469"/>
      <c r="FM3" s="469"/>
      <c r="FN3" s="469"/>
      <c r="FO3" s="469"/>
      <c r="FP3" s="469"/>
      <c r="FQ3" s="469"/>
      <c r="FR3" s="469"/>
      <c r="FS3" s="469"/>
      <c r="FT3" s="469"/>
      <c r="FU3" s="469"/>
      <c r="FV3" s="469"/>
      <c r="FW3" s="469"/>
      <c r="FX3" s="469"/>
      <c r="FY3" s="469"/>
      <c r="FZ3" s="469"/>
      <c r="GA3" s="469"/>
      <c r="GB3" s="469"/>
      <c r="GC3" s="469"/>
      <c r="GD3" s="469"/>
      <c r="GE3" s="469"/>
      <c r="GF3" s="469"/>
      <c r="GG3" s="469"/>
      <c r="GH3" s="469"/>
      <c r="GI3" s="469"/>
      <c r="GJ3" s="469"/>
      <c r="GK3" s="469"/>
      <c r="GL3" s="469"/>
      <c r="GM3" s="469"/>
      <c r="GN3" s="469"/>
      <c r="GO3" s="469"/>
      <c r="GP3" s="469"/>
      <c r="GQ3" s="469"/>
      <c r="GR3" s="469"/>
      <c r="GS3" s="469"/>
      <c r="GT3" s="469"/>
      <c r="GU3" s="469"/>
      <c r="GV3" s="469"/>
      <c r="GW3" s="469"/>
    </row>
    <row r="4" spans="1:205" s="43" customFormat="1" ht="20.25" customHeight="1" x14ac:dyDescent="0.15">
      <c r="A4" s="29"/>
      <c r="B4" s="1038" t="s">
        <v>591</v>
      </c>
      <c r="C4" s="1038"/>
      <c r="D4" s="1038"/>
      <c r="E4" s="1038"/>
      <c r="F4" s="712">
        <v>44562</v>
      </c>
      <c r="G4" s="512">
        <v>44562</v>
      </c>
      <c r="H4" s="512">
        <v>44593</v>
      </c>
      <c r="I4" s="512">
        <v>44621</v>
      </c>
      <c r="J4" s="512">
        <v>44652</v>
      </c>
      <c r="K4" s="512">
        <v>44682</v>
      </c>
      <c r="L4" s="512">
        <v>44713</v>
      </c>
      <c r="M4" s="512">
        <v>44743</v>
      </c>
      <c r="N4" s="512">
        <v>44774</v>
      </c>
      <c r="O4" s="512">
        <v>44805</v>
      </c>
      <c r="P4" s="512">
        <v>44835</v>
      </c>
      <c r="Q4" s="512">
        <v>44866</v>
      </c>
      <c r="R4" s="512">
        <v>44896</v>
      </c>
      <c r="S4" s="713">
        <v>44927</v>
      </c>
      <c r="T4" s="512">
        <v>44958</v>
      </c>
      <c r="U4" s="512">
        <v>44986</v>
      </c>
      <c r="V4" s="1040" t="s">
        <v>239</v>
      </c>
      <c r="W4" s="1041"/>
      <c r="X4" s="1041"/>
      <c r="Y4" s="1041"/>
      <c r="Z4" s="506"/>
      <c r="AA4" s="483"/>
      <c r="AB4" s="483"/>
      <c r="EX4" s="511"/>
      <c r="EY4" s="483"/>
      <c r="EZ4" s="483"/>
      <c r="FA4" s="483"/>
      <c r="FB4" s="483"/>
      <c r="FW4" s="511"/>
      <c r="FX4" s="483"/>
      <c r="FY4" s="483"/>
      <c r="FZ4" s="483"/>
      <c r="GA4" s="483"/>
    </row>
    <row r="5" spans="1:205" s="43" customFormat="1" ht="20.25" customHeight="1" x14ac:dyDescent="0.15">
      <c r="A5" s="483"/>
      <c r="B5" s="1039"/>
      <c r="C5" s="1039"/>
      <c r="D5" s="1039"/>
      <c r="E5" s="1039"/>
      <c r="F5" s="510">
        <v>44562</v>
      </c>
      <c r="G5" s="508">
        <v>44562</v>
      </c>
      <c r="H5" s="507">
        <v>44593</v>
      </c>
      <c r="I5" s="507">
        <v>44621</v>
      </c>
      <c r="J5" s="507">
        <v>44652</v>
      </c>
      <c r="K5" s="509">
        <v>44682</v>
      </c>
      <c r="L5" s="507">
        <v>44713</v>
      </c>
      <c r="M5" s="507">
        <v>44743</v>
      </c>
      <c r="N5" s="507">
        <v>44774</v>
      </c>
      <c r="O5" s="507">
        <v>44805</v>
      </c>
      <c r="P5" s="507">
        <v>44835</v>
      </c>
      <c r="Q5" s="507">
        <v>44866</v>
      </c>
      <c r="R5" s="507">
        <v>44896</v>
      </c>
      <c r="S5" s="508">
        <v>44927</v>
      </c>
      <c r="T5" s="507">
        <v>44958</v>
      </c>
      <c r="U5" s="507">
        <v>44986</v>
      </c>
      <c r="V5" s="1042"/>
      <c r="W5" s="1043"/>
      <c r="X5" s="1043"/>
      <c r="Y5" s="1043"/>
      <c r="Z5" s="506"/>
      <c r="AA5" s="483"/>
      <c r="AB5" s="483"/>
      <c r="EX5" s="1044"/>
      <c r="EY5" s="1044"/>
      <c r="EZ5" s="1044"/>
      <c r="FA5" s="483"/>
      <c r="FB5" s="483"/>
      <c r="FC5" s="483"/>
      <c r="FD5" s="483"/>
      <c r="FE5" s="483"/>
      <c r="FF5" s="483"/>
      <c r="FG5" s="483"/>
      <c r="FH5" s="483"/>
      <c r="FI5" s="483"/>
      <c r="FJ5" s="483"/>
      <c r="FK5" s="483"/>
      <c r="FL5" s="483"/>
      <c r="FM5" s="483"/>
      <c r="FN5" s="483"/>
      <c r="FO5" s="483"/>
      <c r="FP5" s="483"/>
      <c r="FQ5" s="483"/>
      <c r="FR5" s="483"/>
      <c r="FS5" s="483"/>
      <c r="FT5" s="483"/>
      <c r="FU5" s="483"/>
      <c r="FW5" s="1044"/>
      <c r="FX5" s="1044"/>
      <c r="FY5" s="1044"/>
      <c r="FZ5" s="483"/>
      <c r="GA5" s="483"/>
      <c r="GB5" s="483"/>
      <c r="GC5" s="483"/>
      <c r="GD5" s="483"/>
      <c r="GE5" s="483"/>
      <c r="GF5" s="483"/>
      <c r="GG5" s="483"/>
      <c r="GH5" s="483"/>
      <c r="GI5" s="483"/>
      <c r="GJ5" s="483"/>
      <c r="GK5" s="483"/>
      <c r="GL5" s="483"/>
      <c r="GM5" s="483"/>
      <c r="GN5" s="483"/>
      <c r="GO5" s="483"/>
      <c r="GP5" s="483"/>
      <c r="GQ5" s="483"/>
      <c r="GR5" s="483"/>
      <c r="GS5" s="483"/>
      <c r="GT5" s="483"/>
    </row>
    <row r="6" spans="1:205" s="43" customFormat="1" ht="20.25" customHeight="1" x14ac:dyDescent="0.15">
      <c r="A6" s="29"/>
      <c r="B6" s="505"/>
      <c r="C6" s="1045" t="s">
        <v>367</v>
      </c>
      <c r="D6" s="1048" t="s">
        <v>748</v>
      </c>
      <c r="E6" s="1049"/>
      <c r="F6" s="497">
        <v>55726202</v>
      </c>
      <c r="G6" s="497">
        <v>4412117</v>
      </c>
      <c r="H6" s="497">
        <v>4047542</v>
      </c>
      <c r="I6" s="497">
        <v>4674439</v>
      </c>
      <c r="J6" s="497">
        <v>4429316</v>
      </c>
      <c r="K6" s="497">
        <v>4589047</v>
      </c>
      <c r="L6" s="497">
        <v>4584885</v>
      </c>
      <c r="M6" s="497">
        <v>5024514</v>
      </c>
      <c r="N6" s="487">
        <v>5232227</v>
      </c>
      <c r="O6" s="497">
        <v>4677058</v>
      </c>
      <c r="P6" s="497">
        <v>4673756</v>
      </c>
      <c r="Q6" s="497">
        <v>4424209</v>
      </c>
      <c r="R6" s="497">
        <v>4957092</v>
      </c>
      <c r="S6" s="497">
        <v>4339976</v>
      </c>
      <c r="T6" s="497">
        <v>4192550</v>
      </c>
      <c r="U6" s="490">
        <v>4651331</v>
      </c>
      <c r="V6" s="1050" t="s">
        <v>749</v>
      </c>
      <c r="W6" s="1051"/>
      <c r="X6" s="492"/>
      <c r="Y6" s="504"/>
      <c r="Z6" s="475"/>
      <c r="AB6" s="483"/>
      <c r="EX6" s="736"/>
      <c r="EY6" s="483"/>
      <c r="EZ6" s="483"/>
      <c r="FA6" s="483"/>
      <c r="FB6" s="483"/>
      <c r="FC6" s="483"/>
      <c r="FD6" s="483"/>
      <c r="FE6" s="483"/>
      <c r="FF6" s="483"/>
      <c r="FG6" s="483"/>
      <c r="FH6" s="483"/>
      <c r="FI6" s="483"/>
      <c r="FJ6" s="483"/>
      <c r="FK6" s="483"/>
      <c r="FL6" s="483"/>
      <c r="FM6" s="483"/>
      <c r="FN6" s="483"/>
      <c r="FO6" s="483"/>
      <c r="FP6" s="483"/>
      <c r="FQ6" s="483"/>
      <c r="FR6" s="483"/>
      <c r="FS6" s="483"/>
      <c r="FT6" s="483"/>
      <c r="FU6" s="483"/>
      <c r="FW6" s="736"/>
      <c r="FX6" s="483"/>
      <c r="FY6" s="483"/>
      <c r="FZ6" s="483"/>
      <c r="GA6" s="483"/>
      <c r="GB6" s="483"/>
      <c r="GC6" s="483"/>
      <c r="GD6" s="483"/>
      <c r="GE6" s="483"/>
      <c r="GF6" s="483"/>
      <c r="GG6" s="483"/>
      <c r="GH6" s="483"/>
      <c r="GI6" s="483"/>
      <c r="GJ6" s="483"/>
      <c r="GK6" s="483"/>
      <c r="GL6" s="483"/>
      <c r="GM6" s="483"/>
      <c r="GN6" s="483"/>
      <c r="GO6" s="483"/>
      <c r="GP6" s="483"/>
      <c r="GQ6" s="483"/>
      <c r="GR6" s="483"/>
      <c r="GS6" s="483"/>
      <c r="GT6" s="483"/>
    </row>
    <row r="7" spans="1:205" s="43" customFormat="1" ht="20.25" customHeight="1" x14ac:dyDescent="0.15">
      <c r="B7" s="737" t="s">
        <v>750</v>
      </c>
      <c r="C7" s="1046"/>
      <c r="D7" s="1052" t="s">
        <v>751</v>
      </c>
      <c r="E7" s="1053"/>
      <c r="F7" s="482">
        <v>5212419</v>
      </c>
      <c r="G7" s="482">
        <v>395104</v>
      </c>
      <c r="H7" s="482">
        <v>356138</v>
      </c>
      <c r="I7" s="482">
        <v>463664</v>
      </c>
      <c r="J7" s="482">
        <v>414050</v>
      </c>
      <c r="K7" s="482">
        <v>466396</v>
      </c>
      <c r="L7" s="482">
        <v>426361</v>
      </c>
      <c r="M7" s="482">
        <v>473895</v>
      </c>
      <c r="N7" s="479">
        <v>502799</v>
      </c>
      <c r="O7" s="482">
        <v>450834</v>
      </c>
      <c r="P7" s="482">
        <v>418303</v>
      </c>
      <c r="Q7" s="482">
        <v>417650</v>
      </c>
      <c r="R7" s="482">
        <v>427225</v>
      </c>
      <c r="S7" s="482">
        <v>398056</v>
      </c>
      <c r="T7" s="482">
        <v>372021</v>
      </c>
      <c r="U7" s="481">
        <v>442562</v>
      </c>
      <c r="V7" s="483" t="s">
        <v>592</v>
      </c>
      <c r="W7" s="483"/>
      <c r="X7" s="1054" t="s">
        <v>752</v>
      </c>
      <c r="Y7" s="484"/>
      <c r="Z7" s="475"/>
      <c r="AA7" s="483"/>
      <c r="AB7" s="483"/>
      <c r="EY7" s="483"/>
      <c r="EZ7" s="483"/>
      <c r="FA7" s="483"/>
      <c r="FB7" s="483"/>
      <c r="FX7" s="483"/>
      <c r="FY7" s="483"/>
      <c r="FZ7" s="483"/>
      <c r="GA7" s="483"/>
    </row>
    <row r="8" spans="1:205" s="43" customFormat="1" ht="20.25" customHeight="1" x14ac:dyDescent="0.15">
      <c r="B8" s="486"/>
      <c r="C8" s="1046"/>
      <c r="D8" s="1052" t="s">
        <v>753</v>
      </c>
      <c r="E8" s="1053"/>
      <c r="F8" s="482">
        <v>50447980</v>
      </c>
      <c r="G8" s="482">
        <v>4012475</v>
      </c>
      <c r="H8" s="482">
        <v>3686826</v>
      </c>
      <c r="I8" s="482">
        <v>4204735</v>
      </c>
      <c r="J8" s="482">
        <v>4010099</v>
      </c>
      <c r="K8" s="482">
        <v>4117337</v>
      </c>
      <c r="L8" s="482">
        <v>4152219</v>
      </c>
      <c r="M8" s="482">
        <v>4545444</v>
      </c>
      <c r="N8" s="479">
        <v>4724922</v>
      </c>
      <c r="O8" s="482">
        <v>4219311</v>
      </c>
      <c r="P8" s="482">
        <v>4250063</v>
      </c>
      <c r="Q8" s="482">
        <v>4001108</v>
      </c>
      <c r="R8" s="482">
        <v>4523441</v>
      </c>
      <c r="S8" s="482">
        <v>3937236</v>
      </c>
      <c r="T8" s="482">
        <v>3816301</v>
      </c>
      <c r="U8" s="481">
        <v>4202968</v>
      </c>
      <c r="V8" s="483" t="s">
        <v>593</v>
      </c>
      <c r="W8" s="483"/>
      <c r="X8" s="1054"/>
      <c r="Y8" s="484"/>
      <c r="Z8" s="475"/>
      <c r="AA8" s="483"/>
      <c r="AB8" s="483"/>
      <c r="EY8" s="483"/>
      <c r="EZ8" s="483"/>
      <c r="FA8" s="483"/>
      <c r="FB8" s="483"/>
      <c r="FX8" s="483"/>
      <c r="FY8" s="483"/>
      <c r="FZ8" s="483"/>
      <c r="GA8" s="483"/>
    </row>
    <row r="9" spans="1:205" s="43" customFormat="1" ht="20.25" customHeight="1" x14ac:dyDescent="0.15">
      <c r="B9" s="740" t="s">
        <v>754</v>
      </c>
      <c r="C9" s="1046"/>
      <c r="D9" s="1052" t="s">
        <v>368</v>
      </c>
      <c r="E9" s="1053"/>
      <c r="F9" s="482">
        <v>65803</v>
      </c>
      <c r="G9" s="482">
        <v>4538</v>
      </c>
      <c r="H9" s="482">
        <v>4578</v>
      </c>
      <c r="I9" s="482">
        <v>6040</v>
      </c>
      <c r="J9" s="482">
        <v>5167</v>
      </c>
      <c r="K9" s="482">
        <v>5314</v>
      </c>
      <c r="L9" s="482">
        <v>6305</v>
      </c>
      <c r="M9" s="482">
        <v>5175</v>
      </c>
      <c r="N9" s="479">
        <v>4506</v>
      </c>
      <c r="O9" s="482">
        <v>6913</v>
      </c>
      <c r="P9" s="482">
        <v>5390</v>
      </c>
      <c r="Q9" s="482">
        <v>5451</v>
      </c>
      <c r="R9" s="482">
        <v>6426</v>
      </c>
      <c r="S9" s="482">
        <v>4684</v>
      </c>
      <c r="T9" s="482">
        <v>4228</v>
      </c>
      <c r="U9" s="481">
        <v>5801</v>
      </c>
      <c r="V9" s="483" t="s">
        <v>755</v>
      </c>
      <c r="W9" s="483"/>
      <c r="X9" s="485"/>
      <c r="Y9" s="1052" t="s">
        <v>756</v>
      </c>
      <c r="Z9" s="475"/>
      <c r="AA9" s="483"/>
      <c r="AB9" s="483"/>
      <c r="EY9" s="483"/>
      <c r="EZ9" s="483"/>
      <c r="FA9" s="483"/>
      <c r="FB9" s="483"/>
      <c r="FX9" s="483"/>
      <c r="FY9" s="483"/>
      <c r="FZ9" s="483"/>
      <c r="GA9" s="483"/>
    </row>
    <row r="10" spans="1:205" s="43" customFormat="1" ht="8.25" customHeight="1" x14ac:dyDescent="0.15">
      <c r="B10" s="740"/>
      <c r="C10" s="1047"/>
      <c r="D10" s="738"/>
      <c r="E10" s="739"/>
      <c r="F10" s="482"/>
      <c r="G10" s="482"/>
      <c r="H10" s="482"/>
      <c r="I10" s="482"/>
      <c r="J10" s="482"/>
      <c r="K10" s="482"/>
      <c r="L10" s="482"/>
      <c r="M10" s="482"/>
      <c r="N10" s="479"/>
      <c r="O10" s="482"/>
      <c r="P10" s="482"/>
      <c r="Q10" s="482"/>
      <c r="R10" s="482"/>
      <c r="S10" s="482"/>
      <c r="T10" s="482"/>
      <c r="U10" s="481"/>
      <c r="V10" s="499"/>
      <c r="W10" s="499"/>
      <c r="X10" s="502"/>
      <c r="Y10" s="1052"/>
      <c r="Z10" s="475"/>
      <c r="AA10" s="483"/>
      <c r="AB10" s="483"/>
      <c r="EY10" s="483"/>
      <c r="EZ10" s="483"/>
      <c r="FA10" s="483"/>
      <c r="FB10" s="483"/>
      <c r="FX10" s="483"/>
      <c r="FY10" s="483"/>
      <c r="FZ10" s="483"/>
      <c r="GA10" s="483"/>
    </row>
    <row r="11" spans="1:205" s="43" customFormat="1" ht="20.25" customHeight="1" x14ac:dyDescent="0.15">
      <c r="B11" s="737" t="s">
        <v>757</v>
      </c>
      <c r="C11" s="503"/>
      <c r="D11" s="1048" t="s">
        <v>748</v>
      </c>
      <c r="E11" s="1049"/>
      <c r="F11" s="491">
        <v>768134</v>
      </c>
      <c r="G11" s="491">
        <v>931412</v>
      </c>
      <c r="H11" s="491">
        <v>903985</v>
      </c>
      <c r="I11" s="491">
        <v>836981</v>
      </c>
      <c r="J11" s="491">
        <v>837656</v>
      </c>
      <c r="K11" s="491">
        <v>858482</v>
      </c>
      <c r="L11" s="491">
        <v>836099</v>
      </c>
      <c r="M11" s="491">
        <v>723493</v>
      </c>
      <c r="N11" s="492">
        <v>775474</v>
      </c>
      <c r="O11" s="491">
        <v>783079</v>
      </c>
      <c r="P11" s="491">
        <v>825207</v>
      </c>
      <c r="Q11" s="491">
        <v>865879</v>
      </c>
      <c r="R11" s="491">
        <v>768134</v>
      </c>
      <c r="S11" s="491">
        <v>852701</v>
      </c>
      <c r="T11" s="491">
        <v>838068</v>
      </c>
      <c r="U11" s="490">
        <v>762191</v>
      </c>
      <c r="V11" s="1050" t="s">
        <v>749</v>
      </c>
      <c r="W11" s="1051"/>
      <c r="X11" s="487"/>
      <c r="Y11" s="501"/>
      <c r="Z11" s="475"/>
      <c r="AA11" s="483"/>
      <c r="AB11" s="483"/>
      <c r="EY11" s="483"/>
      <c r="EZ11" s="483"/>
      <c r="FA11" s="483"/>
      <c r="FB11" s="483"/>
      <c r="FX11" s="483"/>
      <c r="FY11" s="483"/>
      <c r="FZ11" s="483"/>
      <c r="GA11" s="483"/>
    </row>
    <row r="12" spans="1:205" s="43" customFormat="1" ht="20.25" customHeight="1" x14ac:dyDescent="0.15">
      <c r="B12" s="486"/>
      <c r="C12" s="1055" t="s">
        <v>594</v>
      </c>
      <c r="D12" s="1052" t="s">
        <v>371</v>
      </c>
      <c r="E12" s="1053"/>
      <c r="F12" s="482">
        <v>137217</v>
      </c>
      <c r="G12" s="482">
        <v>156184</v>
      </c>
      <c r="H12" s="482">
        <v>150580</v>
      </c>
      <c r="I12" s="482">
        <v>129977</v>
      </c>
      <c r="J12" s="482">
        <v>125853</v>
      </c>
      <c r="K12" s="482">
        <v>140422</v>
      </c>
      <c r="L12" s="482">
        <v>150856</v>
      </c>
      <c r="M12" s="482">
        <v>134484</v>
      </c>
      <c r="N12" s="479">
        <v>129027</v>
      </c>
      <c r="O12" s="482">
        <v>132060</v>
      </c>
      <c r="P12" s="482">
        <v>141954</v>
      </c>
      <c r="Q12" s="482">
        <v>144597</v>
      </c>
      <c r="R12" s="482">
        <v>137217</v>
      </c>
      <c r="S12" s="482">
        <v>142312</v>
      </c>
      <c r="T12" s="482">
        <v>137743</v>
      </c>
      <c r="U12" s="481">
        <v>124586</v>
      </c>
      <c r="V12" s="483" t="s">
        <v>592</v>
      </c>
      <c r="W12" s="483"/>
      <c r="X12" s="1054" t="s">
        <v>758</v>
      </c>
      <c r="Y12" s="484"/>
      <c r="Z12" s="475"/>
      <c r="AA12" s="483"/>
      <c r="AB12" s="483"/>
      <c r="EY12" s="483"/>
      <c r="EZ12" s="483"/>
      <c r="FA12" s="483"/>
      <c r="FB12" s="483"/>
      <c r="FX12" s="483"/>
      <c r="FY12" s="483"/>
      <c r="FZ12" s="483"/>
      <c r="GA12" s="483"/>
    </row>
    <row r="13" spans="1:205" s="43" customFormat="1" ht="20.25" customHeight="1" x14ac:dyDescent="0.15">
      <c r="B13" s="740" t="s">
        <v>595</v>
      </c>
      <c r="C13" s="1056"/>
      <c r="D13" s="1052" t="s">
        <v>370</v>
      </c>
      <c r="E13" s="1053"/>
      <c r="F13" s="482">
        <v>626456</v>
      </c>
      <c r="G13" s="482">
        <v>770339</v>
      </c>
      <c r="H13" s="482">
        <v>748587</v>
      </c>
      <c r="I13" s="482">
        <v>702680</v>
      </c>
      <c r="J13" s="482">
        <v>707586</v>
      </c>
      <c r="K13" s="482">
        <v>713442</v>
      </c>
      <c r="L13" s="482">
        <v>680986</v>
      </c>
      <c r="M13" s="482">
        <v>583867</v>
      </c>
      <c r="N13" s="479">
        <v>641987</v>
      </c>
      <c r="O13" s="482">
        <v>646928</v>
      </c>
      <c r="P13" s="482">
        <v>679002</v>
      </c>
      <c r="Q13" s="482">
        <v>716633</v>
      </c>
      <c r="R13" s="482">
        <v>626456</v>
      </c>
      <c r="S13" s="482">
        <v>706255</v>
      </c>
      <c r="T13" s="482">
        <v>694798</v>
      </c>
      <c r="U13" s="481">
        <v>633014</v>
      </c>
      <c r="V13" s="483" t="s">
        <v>593</v>
      </c>
      <c r="W13" s="483"/>
      <c r="X13" s="1054"/>
      <c r="Y13" s="484"/>
      <c r="Z13" s="475"/>
      <c r="AA13" s="483"/>
      <c r="AB13" s="483"/>
      <c r="EY13" s="483"/>
      <c r="EZ13" s="483"/>
      <c r="FA13" s="483"/>
      <c r="FB13" s="483"/>
      <c r="FX13" s="483"/>
      <c r="FY13" s="483"/>
      <c r="FZ13" s="483"/>
      <c r="GA13" s="483"/>
    </row>
    <row r="14" spans="1:205" s="43" customFormat="1" ht="20.25" customHeight="1" x14ac:dyDescent="0.15">
      <c r="B14" s="500"/>
      <c r="C14" s="499"/>
      <c r="D14" s="1057" t="s">
        <v>368</v>
      </c>
      <c r="E14" s="1058"/>
      <c r="F14" s="866">
        <v>4461</v>
      </c>
      <c r="G14" s="866">
        <v>4889</v>
      </c>
      <c r="H14" s="866">
        <v>4818</v>
      </c>
      <c r="I14" s="866">
        <v>4324</v>
      </c>
      <c r="J14" s="866">
        <v>4217</v>
      </c>
      <c r="K14" s="866">
        <v>4618</v>
      </c>
      <c r="L14" s="866">
        <v>4257</v>
      </c>
      <c r="M14" s="866">
        <v>5142</v>
      </c>
      <c r="N14" s="476">
        <v>4460</v>
      </c>
      <c r="O14" s="866">
        <v>4091</v>
      </c>
      <c r="P14" s="866">
        <v>4251</v>
      </c>
      <c r="Q14" s="866">
        <v>4649</v>
      </c>
      <c r="R14" s="866">
        <v>4461</v>
      </c>
      <c r="S14" s="866">
        <v>4134</v>
      </c>
      <c r="T14" s="866">
        <v>5527</v>
      </c>
      <c r="U14" s="478">
        <v>4591</v>
      </c>
      <c r="V14" s="499" t="s">
        <v>755</v>
      </c>
      <c r="W14" s="499"/>
      <c r="X14" s="502"/>
      <c r="Y14" s="494"/>
      <c r="Z14" s="475"/>
      <c r="AA14" s="483"/>
      <c r="AB14" s="483"/>
      <c r="EY14" s="483"/>
      <c r="EZ14" s="483"/>
      <c r="FA14" s="483"/>
      <c r="FB14" s="483"/>
      <c r="FX14" s="483"/>
      <c r="FY14" s="483"/>
      <c r="FZ14" s="483"/>
      <c r="GA14" s="483"/>
    </row>
    <row r="15" spans="1:205" s="43" customFormat="1" ht="20.25" customHeight="1" x14ac:dyDescent="0.15">
      <c r="B15" s="498"/>
      <c r="C15" s="1045" t="s">
        <v>367</v>
      </c>
      <c r="D15" s="1048" t="s">
        <v>748</v>
      </c>
      <c r="E15" s="1049"/>
      <c r="F15" s="497">
        <v>43793683</v>
      </c>
      <c r="G15" s="497">
        <v>4272902</v>
      </c>
      <c r="H15" s="497">
        <v>3449593</v>
      </c>
      <c r="I15" s="497">
        <v>3461497</v>
      </c>
      <c r="J15" s="497">
        <v>3299732</v>
      </c>
      <c r="K15" s="497">
        <v>3572058</v>
      </c>
      <c r="L15" s="497">
        <v>3309461</v>
      </c>
      <c r="M15" s="497">
        <v>3684195</v>
      </c>
      <c r="N15" s="487">
        <v>3989653</v>
      </c>
      <c r="O15" s="497">
        <v>3379760</v>
      </c>
      <c r="P15" s="497">
        <v>3747443</v>
      </c>
      <c r="Q15" s="497">
        <v>3784888</v>
      </c>
      <c r="R15" s="497">
        <v>3842501</v>
      </c>
      <c r="S15" s="497">
        <v>3978960</v>
      </c>
      <c r="T15" s="497">
        <v>3340494</v>
      </c>
      <c r="U15" s="496">
        <v>3921205</v>
      </c>
      <c r="V15" s="1050" t="s">
        <v>749</v>
      </c>
      <c r="W15" s="1051"/>
      <c r="X15" s="487"/>
      <c r="Y15" s="495"/>
      <c r="Z15" s="475"/>
      <c r="AA15" s="483"/>
      <c r="AB15" s="483"/>
      <c r="EY15" s="483"/>
      <c r="EZ15" s="483"/>
      <c r="FA15" s="483"/>
      <c r="FB15" s="483"/>
      <c r="FX15" s="483"/>
      <c r="FY15" s="483"/>
      <c r="FZ15" s="483"/>
      <c r="GA15" s="483"/>
    </row>
    <row r="16" spans="1:205" s="43" customFormat="1" ht="20.25" customHeight="1" x14ac:dyDescent="0.15">
      <c r="B16" s="737" t="s">
        <v>759</v>
      </c>
      <c r="C16" s="1046"/>
      <c r="D16" s="1052" t="s">
        <v>760</v>
      </c>
      <c r="E16" s="1053"/>
      <c r="F16" s="482">
        <v>43756296</v>
      </c>
      <c r="G16" s="482">
        <v>4265237</v>
      </c>
      <c r="H16" s="482">
        <v>3448128</v>
      </c>
      <c r="I16" s="482">
        <v>3456619</v>
      </c>
      <c r="J16" s="482">
        <v>3294307</v>
      </c>
      <c r="K16" s="482">
        <v>3570813</v>
      </c>
      <c r="L16" s="482">
        <v>3308384</v>
      </c>
      <c r="M16" s="482">
        <v>3683279</v>
      </c>
      <c r="N16" s="479">
        <v>3986138</v>
      </c>
      <c r="O16" s="482">
        <v>3377295</v>
      </c>
      <c r="P16" s="482">
        <v>3744591</v>
      </c>
      <c r="Q16" s="482">
        <v>3780685</v>
      </c>
      <c r="R16" s="482">
        <v>3840820</v>
      </c>
      <c r="S16" s="482">
        <v>3973538</v>
      </c>
      <c r="T16" s="482">
        <v>3339335</v>
      </c>
      <c r="U16" s="481">
        <v>3920364</v>
      </c>
      <c r="V16" s="483" t="s">
        <v>761</v>
      </c>
      <c r="W16" s="483"/>
      <c r="X16" s="485" t="s">
        <v>752</v>
      </c>
      <c r="Y16" s="484"/>
      <c r="Z16" s="475"/>
      <c r="AA16" s="483"/>
      <c r="AB16" s="483"/>
      <c r="EY16" s="483"/>
      <c r="EZ16" s="483"/>
      <c r="FA16" s="483"/>
      <c r="FB16" s="483"/>
      <c r="FX16" s="483"/>
      <c r="FY16" s="483"/>
      <c r="FZ16" s="483"/>
      <c r="GA16" s="483"/>
    </row>
    <row r="17" spans="2:183" s="43" customFormat="1" ht="20.25" customHeight="1" x14ac:dyDescent="0.15">
      <c r="B17" s="737"/>
      <c r="C17" s="1046"/>
      <c r="D17" s="1052" t="s">
        <v>368</v>
      </c>
      <c r="E17" s="1053"/>
      <c r="F17" s="482">
        <v>37387</v>
      </c>
      <c r="G17" s="482">
        <v>7665</v>
      </c>
      <c r="H17" s="482">
        <v>1465</v>
      </c>
      <c r="I17" s="482">
        <v>4878</v>
      </c>
      <c r="J17" s="482">
        <v>5425</v>
      </c>
      <c r="K17" s="482">
        <v>1245</v>
      </c>
      <c r="L17" s="482">
        <v>1077</v>
      </c>
      <c r="M17" s="482">
        <v>916</v>
      </c>
      <c r="N17" s="479">
        <v>3515</v>
      </c>
      <c r="O17" s="482">
        <v>2465</v>
      </c>
      <c r="P17" s="482">
        <v>2852</v>
      </c>
      <c r="Q17" s="482">
        <v>4203</v>
      </c>
      <c r="R17" s="482">
        <v>1681</v>
      </c>
      <c r="S17" s="482">
        <v>5422</v>
      </c>
      <c r="T17" s="482">
        <v>1159</v>
      </c>
      <c r="U17" s="481">
        <v>841</v>
      </c>
      <c r="V17" s="483" t="s">
        <v>755</v>
      </c>
      <c r="W17" s="483"/>
      <c r="X17" s="479"/>
      <c r="Y17" s="1052" t="s">
        <v>762</v>
      </c>
      <c r="Z17" s="475"/>
      <c r="AA17" s="483"/>
      <c r="AB17" s="483"/>
      <c r="EY17" s="483"/>
      <c r="EZ17" s="483"/>
      <c r="FA17" s="483"/>
      <c r="FB17" s="483"/>
      <c r="FX17" s="483"/>
      <c r="FY17" s="483"/>
      <c r="FZ17" s="483"/>
      <c r="GA17" s="483"/>
    </row>
    <row r="18" spans="2:183" s="43" customFormat="1" ht="8.25" customHeight="1" x14ac:dyDescent="0.15">
      <c r="B18" s="1060" t="s">
        <v>763</v>
      </c>
      <c r="C18" s="1059"/>
      <c r="D18" s="738"/>
      <c r="E18" s="739"/>
      <c r="F18" s="482"/>
      <c r="G18" s="482"/>
      <c r="H18" s="482"/>
      <c r="I18" s="482"/>
      <c r="J18" s="482"/>
      <c r="K18" s="482"/>
      <c r="L18" s="482"/>
      <c r="M18" s="482"/>
      <c r="N18" s="479"/>
      <c r="O18" s="482"/>
      <c r="P18" s="482"/>
      <c r="Q18" s="482"/>
      <c r="R18" s="482"/>
      <c r="S18" s="482"/>
      <c r="T18" s="482"/>
      <c r="U18" s="481"/>
      <c r="V18" s="499"/>
      <c r="W18" s="499"/>
      <c r="X18" s="476"/>
      <c r="Y18" s="1052"/>
      <c r="Z18" s="475"/>
      <c r="AA18" s="483"/>
      <c r="AB18" s="483"/>
      <c r="EY18" s="483"/>
      <c r="EZ18" s="483"/>
      <c r="FA18" s="483"/>
      <c r="FB18" s="483"/>
      <c r="FX18" s="483"/>
      <c r="FY18" s="483"/>
      <c r="FZ18" s="483"/>
      <c r="GA18" s="483"/>
    </row>
    <row r="19" spans="2:183" s="43" customFormat="1" ht="20.25" customHeight="1" x14ac:dyDescent="0.15">
      <c r="B19" s="1061"/>
      <c r="C19" s="1062" t="s">
        <v>594</v>
      </c>
      <c r="D19" s="1048" t="s">
        <v>748</v>
      </c>
      <c r="E19" s="1049"/>
      <c r="F19" s="491">
        <v>487404</v>
      </c>
      <c r="G19" s="491">
        <v>509229</v>
      </c>
      <c r="H19" s="491">
        <v>414408</v>
      </c>
      <c r="I19" s="491">
        <v>362540</v>
      </c>
      <c r="J19" s="491">
        <v>396138</v>
      </c>
      <c r="K19" s="491">
        <v>434484</v>
      </c>
      <c r="L19" s="491">
        <v>443569</v>
      </c>
      <c r="M19" s="491">
        <v>464977</v>
      </c>
      <c r="N19" s="492">
        <v>359058</v>
      </c>
      <c r="O19" s="491">
        <v>430148</v>
      </c>
      <c r="P19" s="491">
        <v>436724</v>
      </c>
      <c r="Q19" s="491">
        <v>462228</v>
      </c>
      <c r="R19" s="491">
        <v>487404</v>
      </c>
      <c r="S19" s="491">
        <v>463501</v>
      </c>
      <c r="T19" s="491">
        <v>436764</v>
      </c>
      <c r="U19" s="490">
        <v>293836</v>
      </c>
      <c r="V19" s="1050" t="s">
        <v>749</v>
      </c>
      <c r="W19" s="1051"/>
      <c r="X19" s="487"/>
      <c r="Y19" s="501"/>
      <c r="Z19" s="475"/>
      <c r="AA19" s="483"/>
      <c r="AB19" s="483"/>
      <c r="EY19" s="483"/>
      <c r="EZ19" s="483"/>
      <c r="FA19" s="483"/>
      <c r="FB19" s="483"/>
      <c r="FX19" s="483"/>
      <c r="FY19" s="483"/>
      <c r="FZ19" s="483"/>
      <c r="GA19" s="483"/>
    </row>
    <row r="20" spans="2:183" s="43" customFormat="1" ht="20.25" customHeight="1" x14ac:dyDescent="0.15">
      <c r="B20" s="740" t="s">
        <v>764</v>
      </c>
      <c r="C20" s="1063"/>
      <c r="D20" s="1052" t="s">
        <v>369</v>
      </c>
      <c r="E20" s="1053"/>
      <c r="F20" s="482">
        <v>485691</v>
      </c>
      <c r="G20" s="482">
        <v>509132</v>
      </c>
      <c r="H20" s="482">
        <v>409314</v>
      </c>
      <c r="I20" s="482">
        <v>362447</v>
      </c>
      <c r="J20" s="482">
        <v>396041</v>
      </c>
      <c r="K20" s="482">
        <v>434389</v>
      </c>
      <c r="L20" s="482">
        <v>443472</v>
      </c>
      <c r="M20" s="482">
        <v>464839</v>
      </c>
      <c r="N20" s="479">
        <v>358928</v>
      </c>
      <c r="O20" s="482">
        <v>430034</v>
      </c>
      <c r="P20" s="482">
        <v>436610</v>
      </c>
      <c r="Q20" s="482">
        <v>462110</v>
      </c>
      <c r="R20" s="482">
        <v>485691</v>
      </c>
      <c r="S20" s="482">
        <v>463416</v>
      </c>
      <c r="T20" s="482">
        <v>436671</v>
      </c>
      <c r="U20" s="481">
        <v>293721</v>
      </c>
      <c r="V20" s="483" t="s">
        <v>761</v>
      </c>
      <c r="W20" s="483"/>
      <c r="X20" s="485" t="s">
        <v>758</v>
      </c>
      <c r="Y20" s="484"/>
      <c r="Z20" s="475"/>
      <c r="AA20" s="483"/>
      <c r="AB20" s="483"/>
      <c r="EY20" s="483"/>
      <c r="EZ20" s="483"/>
      <c r="FA20" s="483"/>
      <c r="FB20" s="483"/>
      <c r="FX20" s="483"/>
      <c r="FY20" s="483"/>
      <c r="FZ20" s="483"/>
      <c r="GA20" s="483"/>
    </row>
    <row r="21" spans="2:183" s="43" customFormat="1" ht="20.25" customHeight="1" x14ac:dyDescent="0.15">
      <c r="B21" s="500"/>
      <c r="C21" s="1064"/>
      <c r="D21" s="1057" t="s">
        <v>368</v>
      </c>
      <c r="E21" s="1058"/>
      <c r="F21" s="866">
        <v>1713</v>
      </c>
      <c r="G21" s="866">
        <v>97</v>
      </c>
      <c r="H21" s="866">
        <v>5094</v>
      </c>
      <c r="I21" s="866">
        <v>93</v>
      </c>
      <c r="J21" s="866">
        <v>97</v>
      </c>
      <c r="K21" s="866">
        <v>95</v>
      </c>
      <c r="L21" s="866">
        <v>97</v>
      </c>
      <c r="M21" s="866">
        <v>138</v>
      </c>
      <c r="N21" s="476">
        <v>130</v>
      </c>
      <c r="O21" s="866">
        <v>114</v>
      </c>
      <c r="P21" s="866">
        <v>114</v>
      </c>
      <c r="Q21" s="866">
        <v>118</v>
      </c>
      <c r="R21" s="866">
        <v>1713</v>
      </c>
      <c r="S21" s="866">
        <v>85</v>
      </c>
      <c r="T21" s="866">
        <v>93</v>
      </c>
      <c r="U21" s="478">
        <v>115</v>
      </c>
      <c r="V21" s="499" t="s">
        <v>755</v>
      </c>
      <c r="W21" s="499"/>
      <c r="X21" s="476"/>
      <c r="Y21" s="494"/>
      <c r="Z21" s="475"/>
      <c r="AA21" s="483"/>
      <c r="AB21" s="483"/>
      <c r="EY21" s="483"/>
      <c r="EZ21" s="483"/>
      <c r="FA21" s="483"/>
      <c r="FB21" s="483"/>
      <c r="FX21" s="483"/>
      <c r="FY21" s="483"/>
      <c r="FZ21" s="483"/>
      <c r="GA21" s="483"/>
    </row>
    <row r="22" spans="2:183" s="43" customFormat="1" ht="20.25" customHeight="1" x14ac:dyDescent="0.15">
      <c r="B22" s="498"/>
      <c r="C22" s="1045" t="s">
        <v>367</v>
      </c>
      <c r="D22" s="1048" t="s">
        <v>748</v>
      </c>
      <c r="E22" s="1049"/>
      <c r="F22" s="497">
        <v>2173357</v>
      </c>
      <c r="G22" s="497">
        <v>169909</v>
      </c>
      <c r="H22" s="497">
        <v>178752</v>
      </c>
      <c r="I22" s="497">
        <v>216220</v>
      </c>
      <c r="J22" s="497">
        <v>183786</v>
      </c>
      <c r="K22" s="497">
        <v>158689</v>
      </c>
      <c r="L22" s="497">
        <v>192396</v>
      </c>
      <c r="M22" s="497">
        <v>172190</v>
      </c>
      <c r="N22" s="487">
        <v>162330</v>
      </c>
      <c r="O22" s="497">
        <v>200937</v>
      </c>
      <c r="P22" s="497">
        <v>175175</v>
      </c>
      <c r="Q22" s="497">
        <v>184075</v>
      </c>
      <c r="R22" s="497">
        <v>178898</v>
      </c>
      <c r="S22" s="497">
        <v>154424</v>
      </c>
      <c r="T22" s="497">
        <v>163894</v>
      </c>
      <c r="U22" s="496">
        <v>198273</v>
      </c>
      <c r="V22" s="1050" t="s">
        <v>749</v>
      </c>
      <c r="W22" s="1051"/>
      <c r="X22" s="487"/>
      <c r="Y22" s="495"/>
      <c r="Z22" s="475"/>
      <c r="AA22" s="483"/>
      <c r="AB22" s="483"/>
      <c r="EY22" s="483"/>
      <c r="EZ22" s="483"/>
      <c r="FA22" s="483"/>
      <c r="FB22" s="483"/>
      <c r="FX22" s="483"/>
      <c r="FY22" s="483"/>
      <c r="FZ22" s="483"/>
      <c r="GA22" s="483"/>
    </row>
    <row r="23" spans="2:183" s="43" customFormat="1" ht="20.25" customHeight="1" x14ac:dyDescent="0.15">
      <c r="B23" s="486"/>
      <c r="C23" s="1067"/>
      <c r="D23" s="1052" t="s">
        <v>765</v>
      </c>
      <c r="E23" s="1053"/>
      <c r="F23" s="482">
        <v>373383</v>
      </c>
      <c r="G23" s="482">
        <v>27820</v>
      </c>
      <c r="H23" s="482">
        <v>29521</v>
      </c>
      <c r="I23" s="482">
        <v>36728</v>
      </c>
      <c r="J23" s="482">
        <v>30592</v>
      </c>
      <c r="K23" s="482">
        <v>27803</v>
      </c>
      <c r="L23" s="482">
        <v>30539</v>
      </c>
      <c r="M23" s="482">
        <v>29909</v>
      </c>
      <c r="N23" s="479">
        <v>28371</v>
      </c>
      <c r="O23" s="482">
        <v>36398</v>
      </c>
      <c r="P23" s="482">
        <v>30352</v>
      </c>
      <c r="Q23" s="482">
        <v>32582</v>
      </c>
      <c r="R23" s="482">
        <v>32768</v>
      </c>
      <c r="S23" s="482">
        <v>26514</v>
      </c>
      <c r="T23" s="482">
        <v>29069</v>
      </c>
      <c r="U23" s="481">
        <v>37494</v>
      </c>
      <c r="V23" s="483" t="s">
        <v>596</v>
      </c>
      <c r="W23" s="483"/>
      <c r="X23" s="479"/>
      <c r="Y23" s="484"/>
      <c r="Z23" s="475"/>
      <c r="AA23" s="483"/>
      <c r="AB23" s="483"/>
      <c r="EY23" s="483"/>
      <c r="EZ23" s="483"/>
      <c r="FA23" s="483"/>
      <c r="FB23" s="483"/>
      <c r="FX23" s="483"/>
      <c r="FY23" s="483"/>
      <c r="FZ23" s="483"/>
      <c r="GA23" s="483"/>
    </row>
    <row r="24" spans="2:183" s="43" customFormat="1" ht="20.25" customHeight="1" x14ac:dyDescent="0.15">
      <c r="B24" s="486"/>
      <c r="C24" s="1067"/>
      <c r="D24" s="1065" t="s">
        <v>364</v>
      </c>
      <c r="E24" s="1066"/>
      <c r="F24" s="482">
        <v>210792</v>
      </c>
      <c r="G24" s="482">
        <v>18090</v>
      </c>
      <c r="H24" s="482">
        <v>19546</v>
      </c>
      <c r="I24" s="482">
        <v>24917</v>
      </c>
      <c r="J24" s="482">
        <v>16321</v>
      </c>
      <c r="K24" s="482">
        <v>14639</v>
      </c>
      <c r="L24" s="482">
        <v>18744</v>
      </c>
      <c r="M24" s="482">
        <v>14822</v>
      </c>
      <c r="N24" s="479">
        <v>14536</v>
      </c>
      <c r="O24" s="482">
        <v>19839</v>
      </c>
      <c r="P24" s="482">
        <v>15998</v>
      </c>
      <c r="Q24" s="482">
        <v>16175</v>
      </c>
      <c r="R24" s="482">
        <v>17165</v>
      </c>
      <c r="S24" s="482">
        <v>13831</v>
      </c>
      <c r="T24" s="482">
        <v>16190</v>
      </c>
      <c r="U24" s="481">
        <v>22925</v>
      </c>
      <c r="V24" s="483" t="s">
        <v>766</v>
      </c>
      <c r="W24" s="483"/>
      <c r="X24" s="479"/>
      <c r="Y24" s="484"/>
      <c r="Z24" s="475"/>
      <c r="AA24" s="483"/>
      <c r="AB24" s="483"/>
      <c r="EY24" s="483"/>
      <c r="EZ24" s="483"/>
      <c r="FA24" s="483"/>
      <c r="FB24" s="483"/>
      <c r="FX24" s="483"/>
      <c r="FY24" s="483"/>
      <c r="FZ24" s="483"/>
      <c r="GA24" s="483"/>
    </row>
    <row r="25" spans="2:183" s="43" customFormat="1" ht="20.25" customHeight="1" x14ac:dyDescent="0.15">
      <c r="B25" s="486"/>
      <c r="C25" s="1067"/>
      <c r="D25" s="1052" t="s">
        <v>767</v>
      </c>
      <c r="E25" s="1053"/>
      <c r="F25" s="482">
        <v>207093</v>
      </c>
      <c r="G25" s="482">
        <v>16177</v>
      </c>
      <c r="H25" s="482">
        <v>16899</v>
      </c>
      <c r="I25" s="482">
        <v>20301</v>
      </c>
      <c r="J25" s="482">
        <v>17166</v>
      </c>
      <c r="K25" s="482">
        <v>14304</v>
      </c>
      <c r="L25" s="482">
        <v>17190</v>
      </c>
      <c r="M25" s="482">
        <v>17364</v>
      </c>
      <c r="N25" s="479">
        <v>15039</v>
      </c>
      <c r="O25" s="482">
        <v>19141</v>
      </c>
      <c r="P25" s="482">
        <v>17893</v>
      </c>
      <c r="Q25" s="482">
        <v>18734</v>
      </c>
      <c r="R25" s="482">
        <v>16885</v>
      </c>
      <c r="S25" s="482">
        <v>14508</v>
      </c>
      <c r="T25" s="482">
        <v>17086</v>
      </c>
      <c r="U25" s="481">
        <v>21790</v>
      </c>
      <c r="V25" s="483" t="s">
        <v>597</v>
      </c>
      <c r="W25" s="483"/>
      <c r="X25" s="479"/>
      <c r="Y25" s="484"/>
      <c r="Z25" s="475"/>
      <c r="AA25" s="483"/>
      <c r="AB25" s="483"/>
      <c r="EY25" s="483"/>
      <c r="EZ25" s="483"/>
      <c r="FA25" s="483"/>
      <c r="FB25" s="483"/>
      <c r="FX25" s="483"/>
      <c r="FY25" s="483"/>
      <c r="FZ25" s="483"/>
      <c r="GA25" s="483"/>
    </row>
    <row r="26" spans="2:183" s="43" customFormat="1" ht="20.25" customHeight="1" x14ac:dyDescent="0.15">
      <c r="B26" s="486"/>
      <c r="C26" s="1067"/>
      <c r="D26" s="1052" t="s">
        <v>768</v>
      </c>
      <c r="E26" s="1053"/>
      <c r="F26" s="482">
        <v>112039</v>
      </c>
      <c r="G26" s="482">
        <v>8474</v>
      </c>
      <c r="H26" s="482">
        <v>9286</v>
      </c>
      <c r="I26" s="482">
        <v>12449</v>
      </c>
      <c r="J26" s="482">
        <v>9517</v>
      </c>
      <c r="K26" s="482">
        <v>8758</v>
      </c>
      <c r="L26" s="482">
        <v>9356</v>
      </c>
      <c r="M26" s="482">
        <v>7872</v>
      </c>
      <c r="N26" s="479">
        <v>7733</v>
      </c>
      <c r="O26" s="482">
        <v>10952</v>
      </c>
      <c r="P26" s="482">
        <v>8870</v>
      </c>
      <c r="Q26" s="482">
        <v>9904</v>
      </c>
      <c r="R26" s="482">
        <v>8868</v>
      </c>
      <c r="S26" s="482">
        <v>7693</v>
      </c>
      <c r="T26" s="482">
        <v>9257</v>
      </c>
      <c r="U26" s="481">
        <v>11490</v>
      </c>
      <c r="V26" s="483" t="s">
        <v>769</v>
      </c>
      <c r="W26" s="483"/>
      <c r="X26" s="479"/>
      <c r="Y26" s="484"/>
      <c r="Z26" s="475"/>
      <c r="AA26" s="483"/>
      <c r="AB26" s="483"/>
      <c r="EY26" s="483"/>
      <c r="EZ26" s="483"/>
      <c r="FA26" s="483"/>
      <c r="FB26" s="483"/>
      <c r="FX26" s="483"/>
      <c r="FY26" s="483"/>
      <c r="FZ26" s="483"/>
      <c r="GA26" s="483"/>
    </row>
    <row r="27" spans="2:183" s="43" customFormat="1" ht="20.25" customHeight="1" x14ac:dyDescent="0.15">
      <c r="B27" s="486"/>
      <c r="C27" s="1067"/>
      <c r="D27" s="1052" t="s">
        <v>598</v>
      </c>
      <c r="E27" s="1053"/>
      <c r="F27" s="482">
        <v>313946</v>
      </c>
      <c r="G27" s="482">
        <v>24511</v>
      </c>
      <c r="H27" s="482">
        <v>26365</v>
      </c>
      <c r="I27" s="482">
        <v>31521</v>
      </c>
      <c r="J27" s="482">
        <v>26179</v>
      </c>
      <c r="K27" s="482">
        <v>22373</v>
      </c>
      <c r="L27" s="482">
        <v>27040</v>
      </c>
      <c r="M27" s="482">
        <v>25006</v>
      </c>
      <c r="N27" s="479">
        <v>24160</v>
      </c>
      <c r="O27" s="482">
        <v>28736</v>
      </c>
      <c r="P27" s="482">
        <v>25276</v>
      </c>
      <c r="Q27" s="482">
        <v>26038</v>
      </c>
      <c r="R27" s="482">
        <v>26741</v>
      </c>
      <c r="S27" s="482">
        <v>20239</v>
      </c>
      <c r="T27" s="482">
        <v>23744</v>
      </c>
      <c r="U27" s="481">
        <v>29143</v>
      </c>
      <c r="V27" s="483" t="s">
        <v>770</v>
      </c>
      <c r="W27" s="483"/>
      <c r="X27" s="485" t="s">
        <v>752</v>
      </c>
      <c r="Y27" s="484"/>
      <c r="Z27" s="475"/>
      <c r="AA27" s="483"/>
      <c r="AB27" s="483"/>
      <c r="EY27" s="483"/>
      <c r="EZ27" s="483"/>
      <c r="FA27" s="483"/>
      <c r="FB27" s="483"/>
      <c r="FX27" s="483"/>
      <c r="FY27" s="483"/>
      <c r="FZ27" s="483"/>
      <c r="GA27" s="483"/>
    </row>
    <row r="28" spans="2:183" s="43" customFormat="1" ht="20.25" customHeight="1" x14ac:dyDescent="0.15">
      <c r="B28" s="742" t="s">
        <v>366</v>
      </c>
      <c r="C28" s="1067"/>
      <c r="D28" s="1065" t="s">
        <v>771</v>
      </c>
      <c r="E28" s="1066"/>
      <c r="F28" s="482">
        <v>144475</v>
      </c>
      <c r="G28" s="482">
        <v>11365</v>
      </c>
      <c r="H28" s="482">
        <v>12757</v>
      </c>
      <c r="I28" s="482">
        <v>13750</v>
      </c>
      <c r="J28" s="482">
        <v>12272</v>
      </c>
      <c r="K28" s="482">
        <v>10031</v>
      </c>
      <c r="L28" s="482">
        <v>12241</v>
      </c>
      <c r="M28" s="482">
        <v>11412</v>
      </c>
      <c r="N28" s="479">
        <v>11441</v>
      </c>
      <c r="O28" s="482">
        <v>13205</v>
      </c>
      <c r="P28" s="482">
        <v>11687</v>
      </c>
      <c r="Q28" s="482">
        <v>12022</v>
      </c>
      <c r="R28" s="482">
        <v>12292</v>
      </c>
      <c r="S28" s="482">
        <v>9658</v>
      </c>
      <c r="T28" s="482">
        <v>9996</v>
      </c>
      <c r="U28" s="481">
        <v>12387</v>
      </c>
      <c r="V28" s="43" t="s">
        <v>772</v>
      </c>
      <c r="X28" s="479"/>
      <c r="Y28" s="440"/>
      <c r="Z28" s="475"/>
      <c r="FX28" s="483"/>
      <c r="FY28" s="483"/>
      <c r="FZ28" s="483"/>
      <c r="GA28" s="483"/>
    </row>
    <row r="29" spans="2:183" s="43" customFormat="1" ht="20.25" customHeight="1" x14ac:dyDescent="0.15">
      <c r="B29" s="742"/>
      <c r="C29" s="1067"/>
      <c r="D29" s="1065" t="s">
        <v>773</v>
      </c>
      <c r="E29" s="1066"/>
      <c r="F29" s="482">
        <v>59884</v>
      </c>
      <c r="G29" s="482">
        <v>4504</v>
      </c>
      <c r="H29" s="482">
        <v>4544</v>
      </c>
      <c r="I29" s="482">
        <v>5403</v>
      </c>
      <c r="J29" s="482">
        <v>6527</v>
      </c>
      <c r="K29" s="482">
        <v>5145</v>
      </c>
      <c r="L29" s="482">
        <v>5711</v>
      </c>
      <c r="M29" s="482">
        <v>4075</v>
      </c>
      <c r="N29" s="479">
        <v>4431</v>
      </c>
      <c r="O29" s="482">
        <v>4771</v>
      </c>
      <c r="P29" s="482">
        <v>4712</v>
      </c>
      <c r="Q29" s="482">
        <v>5402</v>
      </c>
      <c r="R29" s="482">
        <v>4659</v>
      </c>
      <c r="S29" s="482">
        <v>3890</v>
      </c>
      <c r="T29" s="482">
        <v>3981</v>
      </c>
      <c r="U29" s="481">
        <v>4447</v>
      </c>
      <c r="V29" s="43" t="s">
        <v>774</v>
      </c>
      <c r="X29" s="479"/>
      <c r="Y29" s="440"/>
      <c r="Z29" s="475"/>
    </row>
    <row r="30" spans="2:183" s="43" customFormat="1" ht="20.25" customHeight="1" x14ac:dyDescent="0.15">
      <c r="B30" s="742"/>
      <c r="C30" s="1067"/>
      <c r="D30" s="1065" t="s">
        <v>362</v>
      </c>
      <c r="E30" s="1066"/>
      <c r="F30" s="482">
        <v>449901</v>
      </c>
      <c r="G30" s="482">
        <v>39330</v>
      </c>
      <c r="H30" s="482">
        <v>34435</v>
      </c>
      <c r="I30" s="482">
        <v>41914</v>
      </c>
      <c r="J30" s="482">
        <v>38660</v>
      </c>
      <c r="K30" s="482">
        <v>29855</v>
      </c>
      <c r="L30" s="482">
        <v>41897</v>
      </c>
      <c r="M30" s="482">
        <v>34580</v>
      </c>
      <c r="N30" s="479">
        <v>30885</v>
      </c>
      <c r="O30" s="482">
        <v>38841</v>
      </c>
      <c r="P30" s="482">
        <v>38107</v>
      </c>
      <c r="Q30" s="482">
        <v>41646</v>
      </c>
      <c r="R30" s="482">
        <v>39751</v>
      </c>
      <c r="S30" s="482">
        <v>39803</v>
      </c>
      <c r="T30" s="482">
        <v>37180</v>
      </c>
      <c r="U30" s="481">
        <v>35637</v>
      </c>
      <c r="V30" s="43" t="s">
        <v>775</v>
      </c>
      <c r="X30" s="479"/>
      <c r="Y30" s="440"/>
      <c r="Z30" s="475"/>
    </row>
    <row r="31" spans="2:183" s="43" customFormat="1" ht="20.25" customHeight="1" x14ac:dyDescent="0.15">
      <c r="B31" s="1022" t="s">
        <v>365</v>
      </c>
      <c r="C31" s="1067"/>
      <c r="D31" s="1065" t="s">
        <v>776</v>
      </c>
      <c r="E31" s="1066"/>
      <c r="F31" s="482">
        <v>301844</v>
      </c>
      <c r="G31" s="482">
        <v>19638</v>
      </c>
      <c r="H31" s="482">
        <v>25399</v>
      </c>
      <c r="I31" s="482">
        <v>29237</v>
      </c>
      <c r="J31" s="482">
        <v>26552</v>
      </c>
      <c r="K31" s="482">
        <v>25781</v>
      </c>
      <c r="L31" s="482">
        <v>29678</v>
      </c>
      <c r="M31" s="482">
        <v>27150</v>
      </c>
      <c r="N31" s="479">
        <v>25734</v>
      </c>
      <c r="O31" s="482">
        <v>29054</v>
      </c>
      <c r="P31" s="482">
        <v>22280</v>
      </c>
      <c r="Q31" s="482">
        <v>21572</v>
      </c>
      <c r="R31" s="482">
        <v>19769</v>
      </c>
      <c r="S31" s="482">
        <v>18288</v>
      </c>
      <c r="T31" s="482">
        <v>17391</v>
      </c>
      <c r="U31" s="481">
        <v>22960</v>
      </c>
      <c r="V31" s="43" t="s">
        <v>777</v>
      </c>
      <c r="X31" s="479"/>
      <c r="Y31" s="440"/>
      <c r="Z31" s="475"/>
    </row>
    <row r="32" spans="2:183" s="43" customFormat="1" ht="12.75" customHeight="1" x14ac:dyDescent="0.15">
      <c r="B32" s="1069"/>
      <c r="C32" s="1068"/>
      <c r="D32" s="494" t="s">
        <v>237</v>
      </c>
      <c r="E32" s="477"/>
      <c r="F32" s="482"/>
      <c r="G32" s="482"/>
      <c r="H32" s="482"/>
      <c r="I32" s="482"/>
      <c r="J32" s="482"/>
      <c r="K32" s="482"/>
      <c r="L32" s="482"/>
      <c r="M32" s="482"/>
      <c r="N32" s="479"/>
      <c r="O32" s="482"/>
      <c r="P32" s="482"/>
      <c r="Q32" s="482"/>
      <c r="R32" s="482"/>
      <c r="S32" s="482"/>
      <c r="T32" s="482"/>
      <c r="U32" s="481"/>
      <c r="V32" s="493"/>
      <c r="W32" s="493"/>
      <c r="X32" s="476"/>
      <c r="Y32" s="741" t="s">
        <v>778</v>
      </c>
      <c r="Z32" s="475"/>
    </row>
    <row r="33" spans="1:36" s="43" customFormat="1" ht="20.25" customHeight="1" x14ac:dyDescent="0.15">
      <c r="B33" s="1069"/>
      <c r="C33" s="483"/>
      <c r="D33" s="1070" t="s">
        <v>748</v>
      </c>
      <c r="E33" s="1071"/>
      <c r="F33" s="491">
        <v>317176</v>
      </c>
      <c r="G33" s="491">
        <v>293220</v>
      </c>
      <c r="H33" s="491">
        <v>298997</v>
      </c>
      <c r="I33" s="491">
        <v>282953</v>
      </c>
      <c r="J33" s="491">
        <v>300005</v>
      </c>
      <c r="K33" s="491">
        <v>309504</v>
      </c>
      <c r="L33" s="491">
        <v>318479</v>
      </c>
      <c r="M33" s="491">
        <v>335303</v>
      </c>
      <c r="N33" s="492">
        <v>324853</v>
      </c>
      <c r="O33" s="491">
        <v>315486</v>
      </c>
      <c r="P33" s="491">
        <v>312134</v>
      </c>
      <c r="Q33" s="491">
        <v>302593</v>
      </c>
      <c r="R33" s="491">
        <v>317176</v>
      </c>
      <c r="S33" s="491">
        <v>319084</v>
      </c>
      <c r="T33" s="491">
        <v>319034</v>
      </c>
      <c r="U33" s="490">
        <v>316096</v>
      </c>
      <c r="V33" s="489" t="s">
        <v>749</v>
      </c>
      <c r="W33" s="488"/>
      <c r="X33" s="487"/>
      <c r="Y33" s="781" t="s">
        <v>779</v>
      </c>
      <c r="Z33" s="475"/>
    </row>
    <row r="34" spans="1:36" s="43" customFormat="1" ht="20.25" customHeight="1" x14ac:dyDescent="0.15">
      <c r="B34" s="742"/>
      <c r="C34" s="483"/>
      <c r="D34" s="1052" t="s">
        <v>765</v>
      </c>
      <c r="E34" s="1053"/>
      <c r="F34" s="482">
        <v>30965</v>
      </c>
      <c r="G34" s="482">
        <v>22325</v>
      </c>
      <c r="H34" s="482">
        <v>22956</v>
      </c>
      <c r="I34" s="482">
        <v>21429</v>
      </c>
      <c r="J34" s="482">
        <v>22125</v>
      </c>
      <c r="K34" s="482">
        <v>23422</v>
      </c>
      <c r="L34" s="482">
        <v>29520</v>
      </c>
      <c r="M34" s="482">
        <v>32184</v>
      </c>
      <c r="N34" s="479">
        <v>30387</v>
      </c>
      <c r="O34" s="482">
        <v>28366</v>
      </c>
      <c r="P34" s="482">
        <v>29657</v>
      </c>
      <c r="Q34" s="482">
        <v>31515</v>
      </c>
      <c r="R34" s="482">
        <v>30965</v>
      </c>
      <c r="S34" s="482">
        <v>30865</v>
      </c>
      <c r="T34" s="482">
        <v>32458</v>
      </c>
      <c r="U34" s="481">
        <v>31780</v>
      </c>
      <c r="V34" s="483" t="s">
        <v>596</v>
      </c>
      <c r="W34" s="486"/>
      <c r="X34" s="479"/>
      <c r="Y34" s="484"/>
      <c r="Z34" s="475"/>
    </row>
    <row r="35" spans="1:36" s="43" customFormat="1" ht="20.25" customHeight="1" x14ac:dyDescent="0.15">
      <c r="B35" s="486"/>
      <c r="C35" s="483"/>
      <c r="D35" s="1065" t="s">
        <v>364</v>
      </c>
      <c r="E35" s="1066"/>
      <c r="F35" s="482">
        <v>14247</v>
      </c>
      <c r="G35" s="482">
        <v>10762</v>
      </c>
      <c r="H35" s="482">
        <v>10893</v>
      </c>
      <c r="I35" s="482">
        <v>10088</v>
      </c>
      <c r="J35" s="482">
        <v>11977</v>
      </c>
      <c r="K35" s="482">
        <v>11698</v>
      </c>
      <c r="L35" s="482">
        <v>14253</v>
      </c>
      <c r="M35" s="482">
        <v>16650</v>
      </c>
      <c r="N35" s="479">
        <v>15138</v>
      </c>
      <c r="O35" s="482">
        <v>13706</v>
      </c>
      <c r="P35" s="482">
        <v>13817</v>
      </c>
      <c r="Q35" s="482">
        <v>14361</v>
      </c>
      <c r="R35" s="482">
        <v>14247</v>
      </c>
      <c r="S35" s="482">
        <v>14399</v>
      </c>
      <c r="T35" s="482">
        <v>15083</v>
      </c>
      <c r="U35" s="481">
        <v>14085</v>
      </c>
      <c r="V35" s="483" t="s">
        <v>766</v>
      </c>
      <c r="W35" s="486"/>
      <c r="X35" s="479"/>
      <c r="Y35" s="484"/>
      <c r="Z35" s="475"/>
    </row>
    <row r="36" spans="1:36" s="43" customFormat="1" ht="20.25" customHeight="1" x14ac:dyDescent="0.15">
      <c r="B36" s="731" t="s">
        <v>363</v>
      </c>
      <c r="C36" s="483"/>
      <c r="D36" s="1052" t="s">
        <v>767</v>
      </c>
      <c r="E36" s="1053"/>
      <c r="F36" s="482">
        <v>22640</v>
      </c>
      <c r="G36" s="482">
        <v>22899</v>
      </c>
      <c r="H36" s="482">
        <v>23272</v>
      </c>
      <c r="I36" s="482">
        <v>23602</v>
      </c>
      <c r="J36" s="482">
        <v>22816</v>
      </c>
      <c r="K36" s="482">
        <v>22712</v>
      </c>
      <c r="L36" s="482">
        <v>24190</v>
      </c>
      <c r="M36" s="482">
        <v>23862</v>
      </c>
      <c r="N36" s="479">
        <v>23061</v>
      </c>
      <c r="O36" s="482">
        <v>22378</v>
      </c>
      <c r="P36" s="482">
        <v>22930</v>
      </c>
      <c r="Q36" s="482">
        <v>22175</v>
      </c>
      <c r="R36" s="482">
        <v>22640</v>
      </c>
      <c r="S36" s="482">
        <v>23794</v>
      </c>
      <c r="T36" s="482">
        <v>24078</v>
      </c>
      <c r="U36" s="481">
        <v>23308</v>
      </c>
      <c r="V36" s="483" t="s">
        <v>597</v>
      </c>
      <c r="W36" s="486"/>
      <c r="X36" s="479"/>
      <c r="Y36" s="484"/>
      <c r="Z36" s="475"/>
    </row>
    <row r="37" spans="1:36" s="43" customFormat="1" ht="20.25" customHeight="1" x14ac:dyDescent="0.15">
      <c r="B37" s="480"/>
      <c r="C37" s="1055" t="s">
        <v>594</v>
      </c>
      <c r="D37" s="1052" t="s">
        <v>768</v>
      </c>
      <c r="E37" s="1053"/>
      <c r="F37" s="482">
        <v>13443</v>
      </c>
      <c r="G37" s="482">
        <v>10537</v>
      </c>
      <c r="H37" s="482">
        <v>9958</v>
      </c>
      <c r="I37" s="482">
        <v>10274</v>
      </c>
      <c r="J37" s="482">
        <v>10967</v>
      </c>
      <c r="K37" s="482">
        <v>10867</v>
      </c>
      <c r="L37" s="482">
        <v>13591</v>
      </c>
      <c r="M37" s="482">
        <v>13496</v>
      </c>
      <c r="N37" s="479">
        <v>14058</v>
      </c>
      <c r="O37" s="482">
        <v>12454</v>
      </c>
      <c r="P37" s="482">
        <v>12858</v>
      </c>
      <c r="Q37" s="482">
        <v>13256</v>
      </c>
      <c r="R37" s="482">
        <v>13443</v>
      </c>
      <c r="S37" s="482">
        <v>13000</v>
      </c>
      <c r="T37" s="482">
        <v>12953</v>
      </c>
      <c r="U37" s="481">
        <v>12164</v>
      </c>
      <c r="V37" s="483" t="s">
        <v>769</v>
      </c>
      <c r="W37" s="486"/>
      <c r="X37" s="479"/>
      <c r="Y37" s="484"/>
      <c r="Z37" s="475"/>
    </row>
    <row r="38" spans="1:36" s="43" customFormat="1" ht="20.25" customHeight="1" x14ac:dyDescent="0.15">
      <c r="B38" s="480"/>
      <c r="C38" s="1056"/>
      <c r="D38" s="1052" t="s">
        <v>598</v>
      </c>
      <c r="E38" s="1053"/>
      <c r="F38" s="482">
        <v>24422</v>
      </c>
      <c r="G38" s="482">
        <v>21533</v>
      </c>
      <c r="H38" s="482">
        <v>20459</v>
      </c>
      <c r="I38" s="482">
        <v>19957</v>
      </c>
      <c r="J38" s="482">
        <v>19083</v>
      </c>
      <c r="K38" s="482">
        <v>19668</v>
      </c>
      <c r="L38" s="482">
        <v>25810</v>
      </c>
      <c r="M38" s="482">
        <v>25927</v>
      </c>
      <c r="N38" s="479">
        <v>25825</v>
      </c>
      <c r="O38" s="482">
        <v>24343</v>
      </c>
      <c r="P38" s="482">
        <v>25980</v>
      </c>
      <c r="Q38" s="482">
        <v>24830</v>
      </c>
      <c r="R38" s="482">
        <v>24422</v>
      </c>
      <c r="S38" s="482">
        <v>25420</v>
      </c>
      <c r="T38" s="482">
        <v>25106</v>
      </c>
      <c r="U38" s="481">
        <v>25399</v>
      </c>
      <c r="V38" s="483" t="s">
        <v>770</v>
      </c>
      <c r="W38" s="486"/>
      <c r="X38" s="485" t="s">
        <v>758</v>
      </c>
      <c r="Y38" s="484"/>
      <c r="Z38" s="475"/>
    </row>
    <row r="39" spans="1:36" s="43" customFormat="1" ht="20.25" customHeight="1" x14ac:dyDescent="0.15">
      <c r="B39" s="480"/>
      <c r="C39" s="483"/>
      <c r="D39" s="1065" t="s">
        <v>771</v>
      </c>
      <c r="E39" s="1066"/>
      <c r="F39" s="482">
        <v>14295</v>
      </c>
      <c r="G39" s="482">
        <v>13968</v>
      </c>
      <c r="H39" s="482">
        <v>12755</v>
      </c>
      <c r="I39" s="482">
        <v>12084</v>
      </c>
      <c r="J39" s="482">
        <v>12728</v>
      </c>
      <c r="K39" s="482">
        <v>13518</v>
      </c>
      <c r="L39" s="482">
        <v>13795</v>
      </c>
      <c r="M39" s="482">
        <v>13949</v>
      </c>
      <c r="N39" s="479">
        <v>13381</v>
      </c>
      <c r="O39" s="482">
        <v>12965</v>
      </c>
      <c r="P39" s="482">
        <v>14171</v>
      </c>
      <c r="Q39" s="482">
        <v>14733</v>
      </c>
      <c r="R39" s="482">
        <v>14295</v>
      </c>
      <c r="S39" s="482">
        <v>15337</v>
      </c>
      <c r="T39" s="482">
        <v>15364</v>
      </c>
      <c r="U39" s="481">
        <v>14334</v>
      </c>
      <c r="V39" s="43" t="s">
        <v>772</v>
      </c>
      <c r="W39" s="480"/>
      <c r="X39" s="479"/>
      <c r="Y39" s="440"/>
      <c r="Z39" s="475"/>
    </row>
    <row r="40" spans="1:36" s="43" customFormat="1" ht="20.25" customHeight="1" x14ac:dyDescent="0.15">
      <c r="B40" s="480"/>
      <c r="C40" s="483"/>
      <c r="D40" s="1065" t="s">
        <v>773</v>
      </c>
      <c r="E40" s="1066"/>
      <c r="F40" s="482">
        <v>4321</v>
      </c>
      <c r="G40" s="482">
        <v>6545</v>
      </c>
      <c r="H40" s="482">
        <v>5455</v>
      </c>
      <c r="I40" s="482">
        <v>6118</v>
      </c>
      <c r="J40" s="482">
        <v>7125</v>
      </c>
      <c r="K40" s="482">
        <v>7805</v>
      </c>
      <c r="L40" s="482">
        <v>7851</v>
      </c>
      <c r="M40" s="482">
        <v>6902</v>
      </c>
      <c r="N40" s="479">
        <v>5829</v>
      </c>
      <c r="O40" s="482">
        <v>5156</v>
      </c>
      <c r="P40" s="482">
        <v>3739</v>
      </c>
      <c r="Q40" s="482">
        <v>4128</v>
      </c>
      <c r="R40" s="482">
        <v>4321</v>
      </c>
      <c r="S40" s="482">
        <v>4308</v>
      </c>
      <c r="T40" s="482">
        <v>4167</v>
      </c>
      <c r="U40" s="481">
        <v>3882</v>
      </c>
      <c r="V40" s="43" t="s">
        <v>774</v>
      </c>
      <c r="W40" s="480"/>
      <c r="X40" s="479"/>
      <c r="Y40" s="440"/>
      <c r="Z40" s="475"/>
    </row>
    <row r="41" spans="1:36" s="43" customFormat="1" ht="20.25" customHeight="1" x14ac:dyDescent="0.15">
      <c r="B41" s="480"/>
      <c r="C41" s="483"/>
      <c r="D41" s="1065" t="s">
        <v>362</v>
      </c>
      <c r="E41" s="1066"/>
      <c r="F41" s="482">
        <v>120777</v>
      </c>
      <c r="G41" s="482">
        <v>96568</v>
      </c>
      <c r="H41" s="482">
        <v>97857</v>
      </c>
      <c r="I41" s="482">
        <v>95721</v>
      </c>
      <c r="J41" s="482">
        <v>97520</v>
      </c>
      <c r="K41" s="482">
        <v>99032</v>
      </c>
      <c r="L41" s="482">
        <v>108052</v>
      </c>
      <c r="M41" s="482">
        <v>113972</v>
      </c>
      <c r="N41" s="479">
        <v>110438</v>
      </c>
      <c r="O41" s="482">
        <v>108415</v>
      </c>
      <c r="P41" s="482">
        <v>113569</v>
      </c>
      <c r="Q41" s="482">
        <v>106026</v>
      </c>
      <c r="R41" s="482">
        <v>120777</v>
      </c>
      <c r="S41" s="482">
        <v>121260</v>
      </c>
      <c r="T41" s="482">
        <v>116334</v>
      </c>
      <c r="U41" s="481">
        <v>119514</v>
      </c>
      <c r="V41" s="43" t="s">
        <v>775</v>
      </c>
      <c r="W41" s="480"/>
      <c r="X41" s="479"/>
      <c r="Y41" s="440"/>
      <c r="Z41" s="475"/>
    </row>
    <row r="42" spans="1:36" s="43" customFormat="1" ht="20.25" customHeight="1" x14ac:dyDescent="0.15">
      <c r="B42" s="477"/>
      <c r="C42" s="499"/>
      <c r="D42" s="1072" t="s">
        <v>776</v>
      </c>
      <c r="E42" s="1073"/>
      <c r="F42" s="866">
        <v>72066</v>
      </c>
      <c r="G42" s="866">
        <v>88083</v>
      </c>
      <c r="H42" s="866">
        <v>95392</v>
      </c>
      <c r="I42" s="866">
        <v>83680</v>
      </c>
      <c r="J42" s="866">
        <v>95664</v>
      </c>
      <c r="K42" s="866">
        <v>100782</v>
      </c>
      <c r="L42" s="866">
        <v>81417</v>
      </c>
      <c r="M42" s="866">
        <v>88361</v>
      </c>
      <c r="N42" s="476">
        <v>86736</v>
      </c>
      <c r="O42" s="866">
        <v>87703</v>
      </c>
      <c r="P42" s="866">
        <v>75413</v>
      </c>
      <c r="Q42" s="866">
        <v>71569</v>
      </c>
      <c r="R42" s="866">
        <v>72066</v>
      </c>
      <c r="S42" s="866">
        <v>70701</v>
      </c>
      <c r="T42" s="866">
        <v>73491</v>
      </c>
      <c r="U42" s="478">
        <v>71630</v>
      </c>
      <c r="V42" s="563" t="s">
        <v>777</v>
      </c>
      <c r="W42" s="477"/>
      <c r="X42" s="476"/>
      <c r="Y42" s="571"/>
      <c r="Z42" s="475"/>
    </row>
    <row r="43" spans="1:36" ht="15.95" customHeight="1" x14ac:dyDescent="0.15">
      <c r="A43" s="474"/>
      <c r="B43" s="474"/>
      <c r="C43" s="474"/>
      <c r="D43" s="474"/>
      <c r="E43" s="474"/>
      <c r="F43" s="474"/>
      <c r="G43" s="472"/>
      <c r="H43" s="472"/>
      <c r="I43" s="472"/>
      <c r="J43" s="472"/>
      <c r="K43" s="472"/>
      <c r="L43" s="472"/>
      <c r="M43" s="472"/>
      <c r="N43" s="472"/>
      <c r="O43" s="472"/>
      <c r="P43" s="472"/>
      <c r="Q43" s="472"/>
      <c r="R43" s="472"/>
      <c r="S43" s="472"/>
      <c r="T43" s="472"/>
      <c r="U43" s="472"/>
      <c r="V43" s="472"/>
      <c r="W43" s="472"/>
      <c r="X43" s="472"/>
      <c r="Y43" s="472"/>
      <c r="Z43" s="474"/>
      <c r="AA43" s="473"/>
      <c r="AB43" s="468"/>
      <c r="AC43" s="468"/>
      <c r="AD43" s="468"/>
      <c r="AE43" s="468"/>
      <c r="AF43" s="468"/>
      <c r="AG43" s="468"/>
      <c r="AH43" s="468"/>
      <c r="AI43" s="468"/>
      <c r="AJ43" s="468"/>
    </row>
    <row r="44" spans="1:36" ht="15.95" customHeight="1" x14ac:dyDescent="0.15">
      <c r="A44" s="474"/>
      <c r="B44" s="474"/>
      <c r="C44" s="474"/>
      <c r="D44" s="474"/>
      <c r="E44" s="474"/>
      <c r="F44" s="474"/>
      <c r="G44" s="474"/>
      <c r="H44" s="474"/>
      <c r="I44" s="474"/>
      <c r="J44" s="474"/>
      <c r="K44" s="474"/>
      <c r="L44" s="474"/>
      <c r="M44" s="474"/>
      <c r="N44" s="474"/>
      <c r="O44" s="474"/>
      <c r="P44" s="474"/>
      <c r="Q44" s="474"/>
      <c r="R44" s="474"/>
      <c r="S44" s="474"/>
      <c r="T44" s="474"/>
      <c r="U44" s="474"/>
      <c r="V44" s="474"/>
      <c r="W44" s="474"/>
      <c r="X44" s="474"/>
      <c r="Y44" s="474"/>
      <c r="Z44" s="474"/>
      <c r="AA44" s="473"/>
      <c r="AB44" s="468"/>
      <c r="AC44" s="468"/>
      <c r="AD44" s="468"/>
      <c r="AE44" s="468"/>
      <c r="AF44" s="468"/>
      <c r="AG44" s="468"/>
      <c r="AH44" s="468"/>
      <c r="AI44" s="468"/>
      <c r="AJ44" s="468"/>
    </row>
    <row r="45" spans="1:36" ht="15.95" customHeight="1" x14ac:dyDescent="0.15">
      <c r="A45" s="474"/>
      <c r="B45" s="474"/>
      <c r="C45" s="474"/>
      <c r="D45" s="474"/>
      <c r="E45" s="474"/>
      <c r="F45" s="474"/>
      <c r="H45" s="474"/>
      <c r="I45" s="474"/>
      <c r="J45" s="474"/>
      <c r="K45" s="474"/>
      <c r="L45" s="474"/>
      <c r="M45" s="474"/>
      <c r="N45" s="474"/>
      <c r="O45" s="474"/>
      <c r="P45" s="474"/>
      <c r="Q45" s="474"/>
      <c r="R45" s="474"/>
      <c r="S45" s="474"/>
      <c r="T45" s="474"/>
      <c r="U45" s="474"/>
      <c r="V45" s="474"/>
      <c r="W45" s="474"/>
      <c r="X45" s="474"/>
      <c r="Y45" s="474"/>
      <c r="Z45" s="474"/>
      <c r="AA45" s="473"/>
      <c r="AB45" s="468"/>
      <c r="AC45" s="468"/>
      <c r="AD45" s="468"/>
      <c r="AE45" s="468"/>
      <c r="AF45" s="468"/>
      <c r="AG45" s="468"/>
      <c r="AH45" s="468"/>
      <c r="AI45" s="468"/>
      <c r="AJ45" s="468"/>
    </row>
    <row r="46" spans="1:36" ht="15.95" customHeight="1" x14ac:dyDescent="0.15">
      <c r="A46" s="474"/>
      <c r="B46" s="474"/>
      <c r="C46" s="474"/>
      <c r="D46" s="474"/>
      <c r="E46" s="474"/>
      <c r="F46" s="474"/>
      <c r="G46" s="474"/>
      <c r="H46" s="474"/>
      <c r="I46" s="474"/>
      <c r="J46" s="474"/>
      <c r="K46" s="474"/>
      <c r="L46" s="474"/>
      <c r="M46" s="474"/>
      <c r="N46" s="474"/>
      <c r="O46" s="474"/>
      <c r="P46" s="474"/>
      <c r="Q46" s="474"/>
      <c r="R46" s="474"/>
      <c r="S46" s="474"/>
      <c r="T46" s="474"/>
      <c r="U46" s="474"/>
      <c r="V46" s="474"/>
      <c r="W46" s="474"/>
      <c r="X46" s="474"/>
      <c r="Y46" s="474"/>
      <c r="Z46" s="474"/>
      <c r="AA46" s="473"/>
      <c r="AB46" s="468"/>
      <c r="AC46" s="468"/>
      <c r="AD46" s="468"/>
      <c r="AE46" s="468"/>
      <c r="AF46" s="468"/>
      <c r="AG46" s="468"/>
      <c r="AH46" s="468"/>
      <c r="AI46" s="468"/>
      <c r="AJ46" s="468"/>
    </row>
    <row r="47" spans="1:36" ht="15.95" customHeight="1" x14ac:dyDescent="0.15">
      <c r="A47" s="468"/>
      <c r="B47" s="468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71"/>
      <c r="AB47" s="468"/>
      <c r="AC47" s="468"/>
      <c r="AD47" s="468"/>
      <c r="AE47" s="468"/>
      <c r="AF47" s="468"/>
      <c r="AG47" s="468"/>
      <c r="AH47" s="468"/>
      <c r="AI47" s="468"/>
      <c r="AJ47" s="468"/>
    </row>
    <row r="48" spans="1:36" ht="15.95" customHeight="1" x14ac:dyDescent="0.15">
      <c r="A48" s="468"/>
      <c r="B48" s="468"/>
      <c r="C48" s="468"/>
      <c r="D48" s="468"/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71"/>
      <c r="AB48" s="468"/>
      <c r="AC48" s="468"/>
      <c r="AD48" s="468"/>
      <c r="AE48" s="468"/>
      <c r="AF48" s="468"/>
      <c r="AG48" s="468"/>
      <c r="AH48" s="468"/>
      <c r="AI48" s="468"/>
      <c r="AJ48" s="468"/>
    </row>
    <row r="49" spans="7:27" s="468" customFormat="1" ht="15.95" customHeight="1" x14ac:dyDescent="0.15">
      <c r="AA49" s="471"/>
    </row>
    <row r="50" spans="7:27" s="468" customFormat="1" ht="15.95" customHeight="1" x14ac:dyDescent="0.15">
      <c r="AA50" s="471"/>
    </row>
    <row r="51" spans="7:27" s="468" customFormat="1" ht="15.95" customHeight="1" x14ac:dyDescent="0.15">
      <c r="AA51" s="471"/>
    </row>
    <row r="52" spans="7:27" s="468" customFormat="1" ht="15.95" customHeight="1" x14ac:dyDescent="0.15">
      <c r="AA52" s="471"/>
    </row>
    <row r="53" spans="7:27" s="468" customFormat="1" ht="15.95" customHeight="1" x14ac:dyDescent="0.15">
      <c r="AA53" s="471"/>
    </row>
    <row r="54" spans="7:27" s="468" customFormat="1" ht="15.95" customHeight="1" x14ac:dyDescent="0.15">
      <c r="AA54" s="471"/>
    </row>
    <row r="55" spans="7:27" s="468" customFormat="1" ht="15.95" customHeight="1" x14ac:dyDescent="0.15">
      <c r="AA55" s="471"/>
    </row>
    <row r="56" spans="7:27" s="468" customFormat="1" ht="15.95" customHeight="1" x14ac:dyDescent="0.15">
      <c r="AA56" s="471"/>
    </row>
    <row r="57" spans="7:27" s="468" customFormat="1" ht="15.95" customHeight="1" x14ac:dyDescent="0.15">
      <c r="AA57" s="471"/>
    </row>
    <row r="58" spans="7:27" s="468" customFormat="1" ht="15.95" customHeight="1" x14ac:dyDescent="0.15">
      <c r="AA58" s="471"/>
    </row>
    <row r="59" spans="7:27" s="468" customFormat="1" ht="15.95" customHeight="1" x14ac:dyDescent="0.15">
      <c r="AA59" s="471"/>
    </row>
    <row r="60" spans="7:27" s="468" customFormat="1" ht="15.95" customHeight="1" x14ac:dyDescent="0.15">
      <c r="AA60" s="471"/>
    </row>
    <row r="61" spans="7:27" s="468" customFormat="1" ht="15.95" customHeight="1" x14ac:dyDescent="0.15">
      <c r="AA61" s="471"/>
    </row>
    <row r="62" spans="7:27" s="468" customFormat="1" ht="15.95" customHeight="1" x14ac:dyDescent="0.15">
      <c r="G62" s="472"/>
      <c r="AA62" s="471"/>
    </row>
    <row r="63" spans="7:27" s="468" customFormat="1" ht="15.95" customHeight="1" x14ac:dyDescent="0.15">
      <c r="AA63" s="471"/>
    </row>
    <row r="64" spans="7:27" s="468" customFormat="1" ht="15.95" customHeight="1" x14ac:dyDescent="0.15">
      <c r="AA64" s="471"/>
    </row>
    <row r="65" spans="27:27" s="468" customFormat="1" ht="15.95" customHeight="1" x14ac:dyDescent="0.15">
      <c r="AA65" s="471"/>
    </row>
    <row r="66" spans="27:27" s="468" customFormat="1" ht="15.95" customHeight="1" x14ac:dyDescent="0.15">
      <c r="AA66" s="471"/>
    </row>
    <row r="67" spans="27:27" s="468" customFormat="1" ht="15.95" customHeight="1" x14ac:dyDescent="0.15">
      <c r="AA67" s="471"/>
    </row>
    <row r="68" spans="27:27" s="468" customFormat="1" ht="15.95" customHeight="1" x14ac:dyDescent="0.15">
      <c r="AA68" s="471"/>
    </row>
    <row r="69" spans="27:27" s="468" customFormat="1" ht="15.95" customHeight="1" x14ac:dyDescent="0.15">
      <c r="AA69" s="471"/>
    </row>
    <row r="70" spans="27:27" s="468" customFormat="1" ht="15.95" customHeight="1" x14ac:dyDescent="0.15">
      <c r="AA70" s="471"/>
    </row>
    <row r="71" spans="27:27" s="468" customFormat="1" ht="15.95" customHeight="1" x14ac:dyDescent="0.15">
      <c r="AA71" s="471"/>
    </row>
    <row r="72" spans="27:27" s="468" customFormat="1" ht="15.95" customHeight="1" x14ac:dyDescent="0.15">
      <c r="AA72" s="471"/>
    </row>
    <row r="73" spans="27:27" s="468" customFormat="1" ht="15.95" customHeight="1" x14ac:dyDescent="0.15">
      <c r="AA73" s="471"/>
    </row>
    <row r="74" spans="27:27" s="468" customFormat="1" ht="15.95" customHeight="1" x14ac:dyDescent="0.15">
      <c r="AA74" s="471"/>
    </row>
    <row r="75" spans="27:27" s="468" customFormat="1" ht="15.95" customHeight="1" x14ac:dyDescent="0.15">
      <c r="AA75" s="471"/>
    </row>
    <row r="76" spans="27:27" s="468" customFormat="1" ht="15.95" customHeight="1" x14ac:dyDescent="0.15">
      <c r="AA76" s="471"/>
    </row>
    <row r="77" spans="27:27" s="468" customFormat="1" ht="15.95" customHeight="1" x14ac:dyDescent="0.15">
      <c r="AA77" s="471"/>
    </row>
    <row r="78" spans="27:27" s="468" customFormat="1" ht="15.95" customHeight="1" x14ac:dyDescent="0.15">
      <c r="AA78" s="471"/>
    </row>
    <row r="79" spans="27:27" s="468" customFormat="1" ht="15.95" customHeight="1" x14ac:dyDescent="0.15">
      <c r="AA79" s="471"/>
    </row>
    <row r="80" spans="27:27" s="468" customFormat="1" ht="15.95" customHeight="1" x14ac:dyDescent="0.15">
      <c r="AA80" s="471"/>
    </row>
    <row r="81" spans="1:36" ht="15.95" customHeight="1" x14ac:dyDescent="0.15">
      <c r="A81" s="468"/>
      <c r="B81" s="468"/>
      <c r="C81" s="468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71"/>
      <c r="AB81" s="468"/>
      <c r="AC81" s="468"/>
      <c r="AD81" s="468"/>
      <c r="AE81" s="468"/>
      <c r="AF81" s="468"/>
      <c r="AG81" s="468"/>
      <c r="AH81" s="468"/>
      <c r="AI81" s="468"/>
      <c r="AJ81" s="468"/>
    </row>
    <row r="82" spans="1:36" ht="15.95" customHeight="1" x14ac:dyDescent="0.15">
      <c r="A82" s="468"/>
      <c r="B82" s="468"/>
      <c r="C82" s="468"/>
      <c r="D82" s="468"/>
      <c r="E82" s="468"/>
      <c r="F82" s="468"/>
      <c r="G82" s="468"/>
      <c r="H82" s="468"/>
      <c r="I82" s="468"/>
      <c r="J82" s="468"/>
      <c r="K82" s="468"/>
      <c r="L82" s="468"/>
      <c r="M82" s="468"/>
      <c r="N82" s="468"/>
      <c r="O82" s="468"/>
      <c r="P82" s="468"/>
      <c r="Q82" s="468"/>
      <c r="R82" s="468"/>
      <c r="S82" s="468"/>
      <c r="T82" s="468"/>
      <c r="U82" s="468"/>
      <c r="V82" s="468"/>
      <c r="W82" s="468"/>
      <c r="X82" s="468"/>
      <c r="Y82" s="468"/>
      <c r="Z82" s="468"/>
      <c r="AA82" s="471"/>
      <c r="AB82" s="468"/>
      <c r="AC82" s="468"/>
      <c r="AD82" s="468"/>
      <c r="AE82" s="468"/>
      <c r="AF82" s="468"/>
      <c r="AG82" s="468"/>
      <c r="AH82" s="468"/>
      <c r="AI82" s="468"/>
      <c r="AJ82" s="468"/>
    </row>
    <row r="83" spans="1:36" ht="15.95" customHeight="1" x14ac:dyDescent="0.15"/>
    <row r="84" spans="1:36" ht="15.95" customHeight="1" x14ac:dyDescent="0.15"/>
    <row r="85" spans="1:36" ht="15.95" customHeight="1" x14ac:dyDescent="0.15"/>
    <row r="86" spans="1:36" ht="15.95" customHeight="1" x14ac:dyDescent="0.15"/>
    <row r="87" spans="1:36" ht="15.95" customHeight="1" x14ac:dyDescent="0.15"/>
    <row r="88" spans="1:36" ht="15.95" customHeight="1" x14ac:dyDescent="0.15"/>
    <row r="89" spans="1:36" ht="15.95" customHeight="1" x14ac:dyDescent="0.15"/>
    <row r="90" spans="1:36" ht="15.95" customHeight="1" x14ac:dyDescent="0.15"/>
    <row r="91" spans="1:36" ht="15.95" customHeight="1" x14ac:dyDescent="0.15"/>
    <row r="92" spans="1:36" ht="15.95" customHeight="1" x14ac:dyDescent="0.15"/>
    <row r="93" spans="1:36" ht="15.95" customHeight="1" x14ac:dyDescent="0.15"/>
    <row r="94" spans="1:36" ht="15.95" customHeight="1" x14ac:dyDescent="0.15"/>
    <row r="95" spans="1:36" ht="15.95" customHeight="1" x14ac:dyDescent="0.15"/>
    <row r="96" spans="1:36" ht="15.95" customHeight="1" x14ac:dyDescent="0.15"/>
    <row r="97" ht="15.95" customHeight="1" x14ac:dyDescent="0.15"/>
    <row r="98" ht="15.95" customHeight="1" x14ac:dyDescent="0.15"/>
    <row r="99" ht="15.95" customHeight="1" x14ac:dyDescent="0.15"/>
    <row r="100" ht="15.95" customHeight="1" x14ac:dyDescent="0.15"/>
    <row r="101" ht="15.95" customHeight="1" x14ac:dyDescent="0.15"/>
    <row r="102" ht="15.95" customHeight="1" x14ac:dyDescent="0.15"/>
    <row r="103" ht="15.95" customHeight="1" x14ac:dyDescent="0.15"/>
    <row r="104" ht="15.95" customHeight="1" x14ac:dyDescent="0.15"/>
    <row r="105" ht="15.95" customHeight="1" x14ac:dyDescent="0.15"/>
    <row r="106" ht="15.95" customHeight="1" x14ac:dyDescent="0.15"/>
    <row r="107" ht="15.95" customHeight="1" x14ac:dyDescent="0.15"/>
    <row r="108" ht="15.95" customHeight="1" x14ac:dyDescent="0.15"/>
    <row r="109" ht="15.95" customHeight="1" x14ac:dyDescent="0.15"/>
    <row r="110" ht="15.95" customHeight="1" x14ac:dyDescent="0.15"/>
    <row r="111" ht="15.95" customHeight="1" x14ac:dyDescent="0.15"/>
    <row r="112" ht="15.95" customHeight="1" x14ac:dyDescent="0.15"/>
    <row r="113" ht="15.95" customHeight="1" x14ac:dyDescent="0.15"/>
    <row r="114" ht="15.95" customHeight="1" x14ac:dyDescent="0.15"/>
    <row r="115" ht="15.95" customHeight="1" x14ac:dyDescent="0.15"/>
    <row r="116" ht="15.95" customHeight="1" x14ac:dyDescent="0.15"/>
    <row r="117" ht="15.95" customHeight="1" x14ac:dyDescent="0.15"/>
    <row r="118" ht="15.95" customHeight="1" x14ac:dyDescent="0.15"/>
    <row r="119" ht="15.95" customHeight="1" x14ac:dyDescent="0.15"/>
    <row r="120" ht="15.95" customHeight="1" x14ac:dyDescent="0.15"/>
    <row r="121" ht="15.95" customHeight="1" x14ac:dyDescent="0.15"/>
    <row r="122" ht="15.95" customHeight="1" x14ac:dyDescent="0.15"/>
    <row r="123" ht="15.95" customHeight="1" x14ac:dyDescent="0.15"/>
    <row r="124" ht="15.95" customHeight="1" x14ac:dyDescent="0.15"/>
    <row r="125" ht="15.95" customHeight="1" x14ac:dyDescent="0.15"/>
    <row r="126" ht="15.95" customHeight="1" x14ac:dyDescent="0.15"/>
    <row r="127" ht="15.95" customHeight="1" x14ac:dyDescent="0.15"/>
    <row r="128" ht="15.95" customHeight="1" x14ac:dyDescent="0.15"/>
    <row r="129" ht="15.95" customHeight="1" x14ac:dyDescent="0.15"/>
    <row r="130" ht="15.95" customHeight="1" x14ac:dyDescent="0.15"/>
    <row r="131" ht="15.95" customHeight="1" x14ac:dyDescent="0.15"/>
    <row r="132" ht="15.95" customHeight="1" x14ac:dyDescent="0.15"/>
    <row r="133" ht="15.95" customHeight="1" x14ac:dyDescent="0.15"/>
    <row r="134" ht="15.95" customHeight="1" x14ac:dyDescent="0.15"/>
    <row r="135" ht="15.95" customHeight="1" x14ac:dyDescent="0.15"/>
    <row r="136" ht="15.95" customHeight="1" x14ac:dyDescent="0.15"/>
    <row r="137" ht="15.95" customHeight="1" x14ac:dyDescent="0.15"/>
    <row r="138" ht="15.95" customHeight="1" x14ac:dyDescent="0.15"/>
    <row r="139" ht="15.95" customHeight="1" x14ac:dyDescent="0.15"/>
    <row r="140" ht="15.95" customHeight="1" x14ac:dyDescent="0.15"/>
    <row r="141" ht="15.95" customHeight="1" x14ac:dyDescent="0.15"/>
    <row r="142" ht="15.95" customHeight="1" x14ac:dyDescent="0.15"/>
    <row r="143" ht="15.95" customHeight="1" x14ac:dyDescent="0.15"/>
    <row r="144" ht="15.95" customHeight="1" x14ac:dyDescent="0.15"/>
    <row r="145" ht="15.95" customHeight="1" x14ac:dyDescent="0.15"/>
    <row r="146" ht="15.95" customHeight="1" x14ac:dyDescent="0.15"/>
    <row r="147" ht="15.95" customHeight="1" x14ac:dyDescent="0.15"/>
    <row r="148" ht="15.95" customHeight="1" x14ac:dyDescent="0.15"/>
    <row r="149" ht="15.95" customHeight="1" x14ac:dyDescent="0.15"/>
    <row r="150" ht="15.95" customHeight="1" x14ac:dyDescent="0.15"/>
    <row r="151" ht="15.95" customHeight="1" x14ac:dyDescent="0.15"/>
    <row r="152" ht="15.95" customHeight="1" x14ac:dyDescent="0.15"/>
    <row r="153" ht="15.95" customHeight="1" x14ac:dyDescent="0.15"/>
    <row r="154" ht="15.95" customHeight="1" x14ac:dyDescent="0.15"/>
    <row r="155" ht="15.95" customHeight="1" x14ac:dyDescent="0.15"/>
    <row r="156" ht="15.95" customHeight="1" x14ac:dyDescent="0.15"/>
    <row r="157" ht="15.95" customHeight="1" x14ac:dyDescent="0.15"/>
    <row r="158" ht="15.95" customHeight="1" x14ac:dyDescent="0.15"/>
    <row r="159" ht="15.95" customHeight="1" x14ac:dyDescent="0.15"/>
    <row r="160" ht="15.95" customHeight="1" x14ac:dyDescent="0.15"/>
    <row r="161" ht="15.95" customHeight="1" x14ac:dyDescent="0.15"/>
    <row r="162" ht="15.95" customHeight="1" x14ac:dyDescent="0.15"/>
    <row r="163" ht="15.95" customHeight="1" x14ac:dyDescent="0.15"/>
    <row r="164" ht="15.95" customHeight="1" x14ac:dyDescent="0.15"/>
    <row r="165" ht="15.95" customHeight="1" x14ac:dyDescent="0.15"/>
    <row r="166" ht="15.95" customHeight="1" x14ac:dyDescent="0.15"/>
    <row r="167" ht="15.95" customHeight="1" x14ac:dyDescent="0.15"/>
    <row r="168" ht="15.95" customHeight="1" x14ac:dyDescent="0.15"/>
    <row r="169" ht="15.95" customHeight="1" x14ac:dyDescent="0.15"/>
    <row r="170" ht="15.95" customHeight="1" x14ac:dyDescent="0.15"/>
    <row r="171" ht="15.95" customHeight="1" x14ac:dyDescent="0.15"/>
    <row r="172" ht="15.95" customHeight="1" x14ac:dyDescent="0.15"/>
    <row r="173" ht="15.95" customHeight="1" x14ac:dyDescent="0.15"/>
    <row r="174" ht="15.95" customHeight="1" x14ac:dyDescent="0.15"/>
    <row r="175" ht="15.95" customHeight="1" x14ac:dyDescent="0.15"/>
    <row r="176" ht="15.95" customHeight="1" x14ac:dyDescent="0.15"/>
    <row r="177" ht="15.95" customHeight="1" x14ac:dyDescent="0.15"/>
    <row r="178" ht="15.95" customHeight="1" x14ac:dyDescent="0.15"/>
    <row r="179" ht="15.95" customHeight="1" x14ac:dyDescent="0.15"/>
    <row r="180" ht="15.95" customHeight="1" x14ac:dyDescent="0.15"/>
    <row r="181" ht="15.95" customHeight="1" x14ac:dyDescent="0.15"/>
    <row r="182" ht="15.95" customHeight="1" x14ac:dyDescent="0.15"/>
    <row r="183" ht="15.95" customHeight="1" x14ac:dyDescent="0.15"/>
    <row r="184" ht="15.95" customHeight="1" x14ac:dyDescent="0.15"/>
    <row r="185" ht="15.95" customHeight="1" x14ac:dyDescent="0.15"/>
    <row r="186" ht="15.95" customHeight="1" x14ac:dyDescent="0.15"/>
    <row r="187" ht="15.95" customHeight="1" x14ac:dyDescent="0.15"/>
    <row r="188" ht="15.95" customHeight="1" x14ac:dyDescent="0.15"/>
    <row r="189" ht="15.95" customHeight="1" x14ac:dyDescent="0.15"/>
    <row r="190" ht="15.95" customHeight="1" x14ac:dyDescent="0.15"/>
    <row r="191" ht="15.95" customHeight="1" x14ac:dyDescent="0.15"/>
    <row r="192" ht="15.95" customHeight="1" x14ac:dyDescent="0.15"/>
    <row r="193" ht="15.95" customHeight="1" x14ac:dyDescent="0.15"/>
    <row r="194" ht="15.95" customHeight="1" x14ac:dyDescent="0.15"/>
    <row r="195" ht="15.95" customHeight="1" x14ac:dyDescent="0.15"/>
    <row r="196" ht="15.95" customHeight="1" x14ac:dyDescent="0.15"/>
    <row r="197" ht="15.95" customHeight="1" x14ac:dyDescent="0.15"/>
    <row r="198" ht="15.95" customHeight="1" x14ac:dyDescent="0.15"/>
    <row r="199" ht="15.95" customHeight="1" x14ac:dyDescent="0.15"/>
    <row r="200" ht="15.95" customHeight="1" x14ac:dyDescent="0.15"/>
    <row r="201" ht="15.95" customHeight="1" x14ac:dyDescent="0.15"/>
    <row r="202" ht="15.95" customHeight="1" x14ac:dyDescent="0.15"/>
    <row r="203" ht="15.95" customHeight="1" x14ac:dyDescent="0.15"/>
    <row r="204" ht="15.95" customHeight="1" x14ac:dyDescent="0.15"/>
    <row r="205" ht="15.95" customHeight="1" x14ac:dyDescent="0.15"/>
    <row r="206" ht="15.95" customHeight="1" x14ac:dyDescent="0.15"/>
    <row r="207" ht="15.95" customHeight="1" x14ac:dyDescent="0.15"/>
    <row r="208" ht="15.95" customHeight="1" x14ac:dyDescent="0.15"/>
    <row r="209" ht="15.95" customHeight="1" x14ac:dyDescent="0.15"/>
    <row r="210" ht="15.95" customHeight="1" x14ac:dyDescent="0.15"/>
    <row r="211" ht="15.95" customHeight="1" x14ac:dyDescent="0.15"/>
    <row r="212" ht="15.95" customHeight="1" x14ac:dyDescent="0.15"/>
    <row r="213" ht="15.95" customHeight="1" x14ac:dyDescent="0.15"/>
    <row r="214" ht="15.95" customHeight="1" x14ac:dyDescent="0.15"/>
    <row r="215" ht="15.95" customHeight="1" x14ac:dyDescent="0.15"/>
    <row r="216" ht="15.95" customHeight="1" x14ac:dyDescent="0.15"/>
    <row r="217" ht="15.95" customHeight="1" x14ac:dyDescent="0.15"/>
    <row r="218" ht="15.95" customHeight="1" x14ac:dyDescent="0.15"/>
    <row r="219" ht="15.95" customHeight="1" x14ac:dyDescent="0.15"/>
    <row r="220" ht="15.95" customHeight="1" x14ac:dyDescent="0.15"/>
    <row r="221" ht="15.95" customHeight="1" x14ac:dyDescent="0.15"/>
    <row r="222" ht="15.95" customHeight="1" x14ac:dyDescent="0.15"/>
  </sheetData>
  <mergeCells count="55">
    <mergeCell ref="D42:E42"/>
    <mergeCell ref="D36:E36"/>
    <mergeCell ref="C37:C38"/>
    <mergeCell ref="D37:E37"/>
    <mergeCell ref="D38:E38"/>
    <mergeCell ref="D39:E39"/>
    <mergeCell ref="D40:E40"/>
    <mergeCell ref="B31:B33"/>
    <mergeCell ref="D31:E31"/>
    <mergeCell ref="D33:E33"/>
    <mergeCell ref="D34:E34"/>
    <mergeCell ref="D41:E41"/>
    <mergeCell ref="D35:E35"/>
    <mergeCell ref="C22:C32"/>
    <mergeCell ref="D22:E22"/>
    <mergeCell ref="V22:W22"/>
    <mergeCell ref="D23:E23"/>
    <mergeCell ref="D24:E24"/>
    <mergeCell ref="D25:E25"/>
    <mergeCell ref="D26:E26"/>
    <mergeCell ref="D27:E27"/>
    <mergeCell ref="D28:E28"/>
    <mergeCell ref="D29:E29"/>
    <mergeCell ref="D30:E30"/>
    <mergeCell ref="Y17:Y18"/>
    <mergeCell ref="B18:B19"/>
    <mergeCell ref="C19:C21"/>
    <mergeCell ref="D19:E19"/>
    <mergeCell ref="V19:W19"/>
    <mergeCell ref="D20:E20"/>
    <mergeCell ref="D21:E21"/>
    <mergeCell ref="D14:E14"/>
    <mergeCell ref="C15:C18"/>
    <mergeCell ref="D15:E15"/>
    <mergeCell ref="V15:W15"/>
    <mergeCell ref="D16:E16"/>
    <mergeCell ref="D17:E17"/>
    <mergeCell ref="D11:E11"/>
    <mergeCell ref="V11:W11"/>
    <mergeCell ref="C12:C13"/>
    <mergeCell ref="D12:E12"/>
    <mergeCell ref="X12:X13"/>
    <mergeCell ref="D13:E13"/>
    <mergeCell ref="B4:E5"/>
    <mergeCell ref="V4:Y5"/>
    <mergeCell ref="EX5:EZ5"/>
    <mergeCell ref="FW5:FY5"/>
    <mergeCell ref="C6:C10"/>
    <mergeCell ref="D6:E6"/>
    <mergeCell ref="V6:W6"/>
    <mergeCell ref="D7:E7"/>
    <mergeCell ref="X7:X8"/>
    <mergeCell ref="D8:E8"/>
    <mergeCell ref="D9:E9"/>
    <mergeCell ref="Y9:Y10"/>
  </mergeCells>
  <phoneticPr fontId="32"/>
  <pageMargins left="0.39370078740157483" right="0.19685039370078741" top="0.78740157480314965" bottom="0.39370078740157483" header="0.59055118110236227" footer="0.19685039370078741"/>
  <pageSetup paperSize="9" orientation="portrait" r:id="rId1"/>
  <headerFooter alignWithMargins="0"/>
  <colBreaks count="1" manualBreakCount="1">
    <brk id="14" min="1" max="41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715B-33E7-4352-BE2B-70D2BC5DA47A}">
  <dimension ref="B1:Q63"/>
  <sheetViews>
    <sheetView view="pageBreakPreview" topLeftCell="A8" zoomScale="112" zoomScaleNormal="110" zoomScaleSheetLayoutView="112" workbookViewId="0">
      <selection activeCell="A25" sqref="A25"/>
    </sheetView>
  </sheetViews>
  <sheetFormatPr defaultRowHeight="16.5" customHeight="1" x14ac:dyDescent="0.15"/>
  <cols>
    <col min="1" max="1" width="5.625" style="867" customWidth="1"/>
    <col min="2" max="2" width="15.75" style="867" customWidth="1"/>
    <col min="3" max="15" width="12.625" style="867" customWidth="1"/>
    <col min="16" max="16384" width="9" style="867"/>
  </cols>
  <sheetData>
    <row r="1" spans="2:17" ht="16.5" customHeight="1" x14ac:dyDescent="0.15">
      <c r="B1" s="220"/>
      <c r="C1" s="220"/>
      <c r="D1" s="523" t="s">
        <v>437</v>
      </c>
      <c r="E1" s="523" t="s">
        <v>436</v>
      </c>
      <c r="F1" s="523" t="s">
        <v>435</v>
      </c>
      <c r="G1" s="523" t="s">
        <v>434</v>
      </c>
      <c r="H1" s="220"/>
      <c r="I1" s="220"/>
      <c r="J1" s="523" t="s">
        <v>780</v>
      </c>
      <c r="K1" s="220"/>
      <c r="L1" s="220"/>
      <c r="M1" s="220"/>
      <c r="N1" s="220"/>
      <c r="O1" s="220"/>
      <c r="P1" s="220"/>
      <c r="Q1" s="220"/>
    </row>
    <row r="2" spans="2:17" ht="16.5" customHeight="1" x14ac:dyDescent="0.15">
      <c r="B2" s="537" t="s">
        <v>433</v>
      </c>
      <c r="C2" s="24"/>
      <c r="D2" s="220"/>
      <c r="E2" s="782"/>
      <c r="F2" s="782"/>
      <c r="G2" s="782"/>
      <c r="H2" s="31" t="s">
        <v>97</v>
      </c>
      <c r="I2" s="782"/>
      <c r="J2" s="220"/>
      <c r="K2" s="220"/>
      <c r="L2" s="220"/>
      <c r="M2" s="220"/>
      <c r="N2" s="783"/>
      <c r="O2" s="29" t="s">
        <v>432</v>
      </c>
      <c r="P2" s="220"/>
      <c r="Q2" s="220"/>
    </row>
    <row r="3" spans="2:17" ht="19.5" customHeight="1" x14ac:dyDescent="0.15">
      <c r="B3" s="1078" t="s">
        <v>421</v>
      </c>
      <c r="C3" s="619" t="s">
        <v>431</v>
      </c>
      <c r="D3" s="620"/>
      <c r="E3" s="620"/>
      <c r="F3" s="620"/>
      <c r="G3" s="1089" t="s">
        <v>430</v>
      </c>
      <c r="H3" s="1090"/>
      <c r="I3" s="1090"/>
      <c r="J3" s="1091"/>
      <c r="K3" s="1092" t="s">
        <v>429</v>
      </c>
      <c r="L3" s="1038"/>
      <c r="M3" s="1090"/>
      <c r="N3" s="619" t="s">
        <v>428</v>
      </c>
      <c r="O3" s="618"/>
      <c r="P3" s="1085" t="s">
        <v>480</v>
      </c>
      <c r="Q3" s="617"/>
    </row>
    <row r="4" spans="2:17" ht="19.5" customHeight="1" x14ac:dyDescent="0.15">
      <c r="B4" s="1079"/>
      <c r="C4" s="433"/>
      <c r="D4" s="86"/>
      <c r="E4" s="730" t="s">
        <v>427</v>
      </c>
      <c r="F4" s="1076" t="s">
        <v>453</v>
      </c>
      <c r="G4" s="433"/>
      <c r="H4" s="86"/>
      <c r="I4" s="730" t="s">
        <v>427</v>
      </c>
      <c r="J4" s="1083" t="s">
        <v>453</v>
      </c>
      <c r="K4" s="1076" t="s">
        <v>426</v>
      </c>
      <c r="L4" s="1087" t="s">
        <v>454</v>
      </c>
      <c r="M4" s="1076" t="s">
        <v>455</v>
      </c>
      <c r="N4" s="1087" t="s">
        <v>456</v>
      </c>
      <c r="O4" s="1076" t="s">
        <v>455</v>
      </c>
      <c r="P4" s="1095"/>
      <c r="Q4" s="617"/>
    </row>
    <row r="5" spans="2:17" ht="35.25" customHeight="1" x14ac:dyDescent="0.15">
      <c r="B5" s="1080"/>
      <c r="C5" s="600" t="s">
        <v>426</v>
      </c>
      <c r="D5" s="600" t="s">
        <v>425</v>
      </c>
      <c r="E5" s="616" t="s">
        <v>454</v>
      </c>
      <c r="F5" s="1077"/>
      <c r="G5" s="600" t="s">
        <v>426</v>
      </c>
      <c r="H5" s="600" t="s">
        <v>425</v>
      </c>
      <c r="I5" s="616" t="s">
        <v>454</v>
      </c>
      <c r="J5" s="1084"/>
      <c r="K5" s="1094"/>
      <c r="L5" s="1093"/>
      <c r="M5" s="1077"/>
      <c r="N5" s="1088"/>
      <c r="O5" s="1077"/>
      <c r="P5" s="1096"/>
      <c r="Q5" s="615"/>
    </row>
    <row r="6" spans="2:17" ht="16.5" customHeight="1" x14ac:dyDescent="0.15">
      <c r="B6" s="632"/>
      <c r="C6" s="614"/>
      <c r="D6" s="613"/>
      <c r="E6" s="613"/>
      <c r="F6" s="613"/>
      <c r="G6" s="613"/>
      <c r="H6" s="613"/>
      <c r="I6" s="613"/>
      <c r="J6" s="613"/>
      <c r="K6" s="613"/>
      <c r="L6" s="613"/>
      <c r="M6" s="613"/>
      <c r="N6" s="613"/>
      <c r="O6" s="612"/>
      <c r="P6" s="440"/>
      <c r="Q6" s="536"/>
    </row>
    <row r="7" spans="2:17" ht="16.5" customHeight="1" x14ac:dyDescent="0.15">
      <c r="B7" s="627" t="s">
        <v>1033</v>
      </c>
      <c r="C7" s="610">
        <v>1177</v>
      </c>
      <c r="D7" s="609">
        <v>1554</v>
      </c>
      <c r="E7" s="609">
        <v>2672</v>
      </c>
      <c r="F7" s="609">
        <v>87</v>
      </c>
      <c r="G7" s="609">
        <v>4547</v>
      </c>
      <c r="H7" s="609">
        <v>143</v>
      </c>
      <c r="I7" s="609">
        <v>4463</v>
      </c>
      <c r="J7" s="609">
        <v>146</v>
      </c>
      <c r="K7" s="609">
        <v>100</v>
      </c>
      <c r="L7" s="609">
        <v>95</v>
      </c>
      <c r="M7" s="609">
        <v>3</v>
      </c>
      <c r="N7" s="609">
        <v>7230</v>
      </c>
      <c r="O7" s="608">
        <v>236</v>
      </c>
      <c r="P7" s="327">
        <v>44562</v>
      </c>
      <c r="Q7" s="536"/>
    </row>
    <row r="8" spans="2:17" ht="16.5" customHeight="1" x14ac:dyDescent="0.15">
      <c r="B8" s="627" t="s">
        <v>781</v>
      </c>
      <c r="C8" s="610">
        <v>1245</v>
      </c>
      <c r="D8" s="609">
        <v>1424</v>
      </c>
      <c r="E8" s="609">
        <v>2606</v>
      </c>
      <c r="F8" s="609">
        <v>85</v>
      </c>
      <c r="G8" s="609">
        <v>4548</v>
      </c>
      <c r="H8" s="609">
        <v>143</v>
      </c>
      <c r="I8" s="609">
        <v>4463</v>
      </c>
      <c r="J8" s="609">
        <v>146</v>
      </c>
      <c r="K8" s="609">
        <v>100</v>
      </c>
      <c r="L8" s="609">
        <v>95</v>
      </c>
      <c r="M8" s="609">
        <v>3</v>
      </c>
      <c r="N8" s="609">
        <v>7164</v>
      </c>
      <c r="O8" s="608">
        <v>234</v>
      </c>
      <c r="P8" s="315" t="s">
        <v>77</v>
      </c>
      <c r="Q8" s="536"/>
    </row>
    <row r="9" spans="2:17" ht="16.5" customHeight="1" x14ac:dyDescent="0.15">
      <c r="B9" s="627" t="s">
        <v>782</v>
      </c>
      <c r="C9" s="714">
        <v>1256</v>
      </c>
      <c r="D9" s="715">
        <v>1297</v>
      </c>
      <c r="E9" s="609">
        <v>2490</v>
      </c>
      <c r="F9" s="715">
        <v>81</v>
      </c>
      <c r="G9" s="715">
        <v>4548</v>
      </c>
      <c r="H9" s="715">
        <v>143</v>
      </c>
      <c r="I9" s="715">
        <v>4463</v>
      </c>
      <c r="J9" s="715">
        <v>146</v>
      </c>
      <c r="K9" s="715">
        <v>175</v>
      </c>
      <c r="L9" s="715">
        <v>166</v>
      </c>
      <c r="M9" s="715">
        <v>5</v>
      </c>
      <c r="N9" s="715">
        <v>7119</v>
      </c>
      <c r="O9" s="716">
        <v>232</v>
      </c>
      <c r="P9" s="315" t="s">
        <v>78</v>
      </c>
      <c r="Q9" s="536"/>
    </row>
    <row r="10" spans="2:17" ht="16.5" customHeight="1" x14ac:dyDescent="0.15">
      <c r="B10" s="627" t="s">
        <v>783</v>
      </c>
      <c r="C10" s="610">
        <v>1340</v>
      </c>
      <c r="D10" s="609">
        <v>1420</v>
      </c>
      <c r="E10" s="609">
        <v>2693</v>
      </c>
      <c r="F10" s="609">
        <v>88</v>
      </c>
      <c r="G10" s="609">
        <v>4538</v>
      </c>
      <c r="H10" s="609">
        <v>143</v>
      </c>
      <c r="I10" s="609">
        <v>4454</v>
      </c>
      <c r="J10" s="609">
        <v>145</v>
      </c>
      <c r="K10" s="609">
        <v>139</v>
      </c>
      <c r="L10" s="609">
        <v>132</v>
      </c>
      <c r="M10" s="611">
        <v>4</v>
      </c>
      <c r="N10" s="609">
        <v>7279</v>
      </c>
      <c r="O10" s="608">
        <v>237</v>
      </c>
      <c r="P10" s="315" t="s">
        <v>79</v>
      </c>
      <c r="Q10" s="536"/>
    </row>
    <row r="11" spans="2:17" ht="16.5" customHeight="1" x14ac:dyDescent="0.15">
      <c r="B11" s="627" t="s">
        <v>784</v>
      </c>
      <c r="C11" s="610">
        <v>1253</v>
      </c>
      <c r="D11" s="609">
        <v>1493</v>
      </c>
      <c r="E11" s="609">
        <v>2683</v>
      </c>
      <c r="F11" s="609">
        <v>87</v>
      </c>
      <c r="G11" s="609">
        <v>4538</v>
      </c>
      <c r="H11" s="609">
        <v>143</v>
      </c>
      <c r="I11" s="609">
        <v>4454</v>
      </c>
      <c r="J11" s="609">
        <v>145</v>
      </c>
      <c r="K11" s="609">
        <v>139</v>
      </c>
      <c r="L11" s="609">
        <v>132</v>
      </c>
      <c r="M11" s="609">
        <v>4</v>
      </c>
      <c r="N11" s="609">
        <v>7269</v>
      </c>
      <c r="O11" s="608">
        <v>237</v>
      </c>
      <c r="P11" s="315" t="s">
        <v>481</v>
      </c>
      <c r="Q11" s="536"/>
    </row>
    <row r="12" spans="2:17" ht="16.5" customHeight="1" x14ac:dyDescent="0.15">
      <c r="B12" s="627" t="s">
        <v>785</v>
      </c>
      <c r="C12" s="610">
        <v>1171</v>
      </c>
      <c r="D12" s="609">
        <v>1477</v>
      </c>
      <c r="E12" s="609">
        <v>2589</v>
      </c>
      <c r="F12" s="609">
        <v>84</v>
      </c>
      <c r="G12" s="609">
        <v>4523</v>
      </c>
      <c r="H12" s="609">
        <v>143</v>
      </c>
      <c r="I12" s="609">
        <v>4440</v>
      </c>
      <c r="J12" s="609">
        <v>144</v>
      </c>
      <c r="K12" s="609">
        <v>161</v>
      </c>
      <c r="L12" s="609">
        <v>152</v>
      </c>
      <c r="M12" s="609">
        <v>5</v>
      </c>
      <c r="N12" s="609">
        <v>7181</v>
      </c>
      <c r="O12" s="608">
        <v>233</v>
      </c>
      <c r="P12" s="315" t="s">
        <v>93</v>
      </c>
      <c r="Q12" s="536"/>
    </row>
    <row r="13" spans="2:17" ht="16.5" customHeight="1" x14ac:dyDescent="0.15">
      <c r="B13" s="627" t="s">
        <v>786</v>
      </c>
      <c r="C13" s="610">
        <v>1133</v>
      </c>
      <c r="D13" s="609">
        <v>1445</v>
      </c>
      <c r="E13" s="609">
        <v>2522</v>
      </c>
      <c r="F13" s="609">
        <v>82</v>
      </c>
      <c r="G13" s="609">
        <v>4501</v>
      </c>
      <c r="H13" s="609">
        <v>143</v>
      </c>
      <c r="I13" s="609">
        <v>4419</v>
      </c>
      <c r="J13" s="609">
        <v>143</v>
      </c>
      <c r="K13" s="609">
        <v>126</v>
      </c>
      <c r="L13" s="609">
        <v>120</v>
      </c>
      <c r="M13" s="609">
        <v>4</v>
      </c>
      <c r="N13" s="609">
        <v>7061</v>
      </c>
      <c r="O13" s="608">
        <v>229</v>
      </c>
      <c r="P13" s="315" t="s">
        <v>94</v>
      </c>
      <c r="Q13" s="536"/>
    </row>
    <row r="14" spans="2:17" ht="16.5" customHeight="1" x14ac:dyDescent="0.15">
      <c r="B14" s="627" t="s">
        <v>787</v>
      </c>
      <c r="C14" s="610">
        <v>1301</v>
      </c>
      <c r="D14" s="609">
        <v>1511</v>
      </c>
      <c r="E14" s="609">
        <v>2747</v>
      </c>
      <c r="F14" s="609">
        <v>89</v>
      </c>
      <c r="G14" s="609">
        <v>4422</v>
      </c>
      <c r="H14" s="609">
        <v>143</v>
      </c>
      <c r="I14" s="609">
        <v>4344</v>
      </c>
      <c r="J14" s="609">
        <v>140</v>
      </c>
      <c r="K14" s="609">
        <v>111</v>
      </c>
      <c r="L14" s="609">
        <v>106</v>
      </c>
      <c r="M14" s="609">
        <v>3</v>
      </c>
      <c r="N14" s="609">
        <v>7196</v>
      </c>
      <c r="O14" s="608">
        <v>233</v>
      </c>
      <c r="P14" s="315" t="s">
        <v>95</v>
      </c>
      <c r="Q14" s="536"/>
    </row>
    <row r="15" spans="2:17" ht="16.5" customHeight="1" x14ac:dyDescent="0.15">
      <c r="B15" s="627" t="s">
        <v>788</v>
      </c>
      <c r="C15" s="610">
        <v>1464</v>
      </c>
      <c r="D15" s="609">
        <v>1585</v>
      </c>
      <c r="E15" s="609">
        <v>2976</v>
      </c>
      <c r="F15" s="609">
        <v>96</v>
      </c>
      <c r="G15" s="609">
        <v>4331</v>
      </c>
      <c r="H15" s="609">
        <v>143</v>
      </c>
      <c r="I15" s="609">
        <v>4257</v>
      </c>
      <c r="J15" s="609">
        <v>137</v>
      </c>
      <c r="K15" s="609">
        <v>142</v>
      </c>
      <c r="L15" s="609">
        <v>135</v>
      </c>
      <c r="M15" s="609">
        <v>4</v>
      </c>
      <c r="N15" s="609">
        <v>7368</v>
      </c>
      <c r="O15" s="608">
        <v>237</v>
      </c>
      <c r="P15" s="315" t="s">
        <v>96</v>
      </c>
      <c r="Q15" s="536"/>
    </row>
    <row r="16" spans="2:17" ht="16.5" customHeight="1" x14ac:dyDescent="0.15">
      <c r="B16" s="627" t="s">
        <v>789</v>
      </c>
      <c r="C16" s="610">
        <v>1300</v>
      </c>
      <c r="D16" s="609">
        <v>1654</v>
      </c>
      <c r="E16" s="609">
        <v>2889</v>
      </c>
      <c r="F16" s="609">
        <v>93</v>
      </c>
      <c r="G16" s="609">
        <v>4332</v>
      </c>
      <c r="H16" s="609">
        <v>143</v>
      </c>
      <c r="I16" s="609">
        <v>4259</v>
      </c>
      <c r="J16" s="609">
        <v>137</v>
      </c>
      <c r="K16" s="609">
        <v>174</v>
      </c>
      <c r="L16" s="609">
        <v>166</v>
      </c>
      <c r="M16" s="609">
        <v>5</v>
      </c>
      <c r="N16" s="609">
        <v>7314</v>
      </c>
      <c r="O16" s="608">
        <v>235</v>
      </c>
      <c r="P16" s="315" t="s">
        <v>80</v>
      </c>
      <c r="Q16" s="536"/>
    </row>
    <row r="17" spans="2:16" ht="16.5" customHeight="1" x14ac:dyDescent="0.15">
      <c r="B17" s="627" t="s">
        <v>790</v>
      </c>
      <c r="C17" s="610">
        <v>1391</v>
      </c>
      <c r="D17" s="609">
        <v>1666</v>
      </c>
      <c r="E17" s="609">
        <v>2988</v>
      </c>
      <c r="F17" s="609">
        <v>96</v>
      </c>
      <c r="G17" s="609">
        <v>4332</v>
      </c>
      <c r="H17" s="609">
        <v>143</v>
      </c>
      <c r="I17" s="609">
        <v>4259</v>
      </c>
      <c r="J17" s="609">
        <v>137</v>
      </c>
      <c r="K17" s="609">
        <v>175</v>
      </c>
      <c r="L17" s="609">
        <v>166</v>
      </c>
      <c r="M17" s="609">
        <v>5</v>
      </c>
      <c r="N17" s="609">
        <v>7413</v>
      </c>
      <c r="O17" s="608">
        <v>239</v>
      </c>
      <c r="P17" s="315" t="s">
        <v>81</v>
      </c>
    </row>
    <row r="18" spans="2:16" ht="16.5" customHeight="1" x14ac:dyDescent="0.15">
      <c r="B18" s="627" t="s">
        <v>791</v>
      </c>
      <c r="C18" s="610">
        <v>1277</v>
      </c>
      <c r="D18" s="609">
        <v>1585</v>
      </c>
      <c r="E18" s="609">
        <v>2798</v>
      </c>
      <c r="F18" s="609">
        <v>90</v>
      </c>
      <c r="G18" s="609">
        <v>4333</v>
      </c>
      <c r="H18" s="609">
        <v>143</v>
      </c>
      <c r="I18" s="609">
        <v>4259</v>
      </c>
      <c r="J18" s="609">
        <v>137</v>
      </c>
      <c r="K18" s="609">
        <v>207</v>
      </c>
      <c r="L18" s="609">
        <v>197</v>
      </c>
      <c r="M18" s="609">
        <v>6</v>
      </c>
      <c r="N18" s="609">
        <v>7254</v>
      </c>
      <c r="O18" s="608">
        <v>233</v>
      </c>
      <c r="P18" s="315" t="s">
        <v>82</v>
      </c>
    </row>
    <row r="19" spans="2:16" ht="16.5" customHeight="1" x14ac:dyDescent="0.15">
      <c r="B19" s="627" t="s">
        <v>1032</v>
      </c>
      <c r="C19" s="784">
        <v>1236</v>
      </c>
      <c r="D19" s="609">
        <v>1566</v>
      </c>
      <c r="E19" s="609">
        <v>2740</v>
      </c>
      <c r="F19" s="609">
        <v>88</v>
      </c>
      <c r="G19" s="609">
        <v>4332</v>
      </c>
      <c r="H19" s="609">
        <v>143</v>
      </c>
      <c r="I19" s="609">
        <v>4258</v>
      </c>
      <c r="J19" s="609">
        <v>137</v>
      </c>
      <c r="K19" s="609">
        <v>225</v>
      </c>
      <c r="L19" s="609">
        <v>214</v>
      </c>
      <c r="M19" s="609">
        <v>7</v>
      </c>
      <c r="N19" s="609">
        <v>7212</v>
      </c>
      <c r="O19" s="608">
        <v>232</v>
      </c>
      <c r="P19" s="327">
        <v>44927</v>
      </c>
    </row>
    <row r="20" spans="2:16" ht="16.5" customHeight="1" x14ac:dyDescent="0.15">
      <c r="B20" s="627" t="s">
        <v>781</v>
      </c>
      <c r="C20" s="610">
        <v>1097</v>
      </c>
      <c r="D20" s="609">
        <v>1419</v>
      </c>
      <c r="E20" s="609">
        <v>2461</v>
      </c>
      <c r="F20" s="785">
        <v>79</v>
      </c>
      <c r="G20" s="609">
        <v>4332</v>
      </c>
      <c r="H20" s="609">
        <v>143</v>
      </c>
      <c r="I20" s="609">
        <v>4259</v>
      </c>
      <c r="J20" s="609">
        <v>137</v>
      </c>
      <c r="K20" s="609">
        <v>258</v>
      </c>
      <c r="L20" s="609">
        <v>245</v>
      </c>
      <c r="M20" s="609">
        <v>8</v>
      </c>
      <c r="N20" s="609">
        <v>6965</v>
      </c>
      <c r="O20" s="608">
        <v>224</v>
      </c>
      <c r="P20" s="315" t="s">
        <v>77</v>
      </c>
    </row>
    <row r="21" spans="2:16" ht="16.5" customHeight="1" x14ac:dyDescent="0.15">
      <c r="B21" s="628" t="s">
        <v>782</v>
      </c>
      <c r="C21" s="607">
        <v>1183</v>
      </c>
      <c r="D21" s="605">
        <v>1347</v>
      </c>
      <c r="E21" s="606">
        <v>2471</v>
      </c>
      <c r="F21" s="605">
        <v>80</v>
      </c>
      <c r="G21" s="605">
        <v>4332</v>
      </c>
      <c r="H21" s="605">
        <v>143</v>
      </c>
      <c r="I21" s="605">
        <v>4259</v>
      </c>
      <c r="J21" s="605">
        <v>137</v>
      </c>
      <c r="K21" s="605">
        <v>224</v>
      </c>
      <c r="L21" s="605">
        <v>213</v>
      </c>
      <c r="M21" s="605">
        <v>7</v>
      </c>
      <c r="N21" s="605">
        <v>6943</v>
      </c>
      <c r="O21" s="604">
        <v>224</v>
      </c>
      <c r="P21" s="588" t="s">
        <v>78</v>
      </c>
    </row>
    <row r="22" spans="2:16" ht="16.5" customHeight="1" x14ac:dyDescent="0.15">
      <c r="B22" s="43" t="s">
        <v>424</v>
      </c>
      <c r="C22" s="43"/>
      <c r="D22" s="43"/>
      <c r="E22" s="43"/>
      <c r="F22" s="43"/>
      <c r="G22" s="536"/>
      <c r="H22" s="560"/>
      <c r="I22" s="560" t="s">
        <v>482</v>
      </c>
      <c r="J22" s="43"/>
      <c r="K22" s="43"/>
      <c r="L22" s="43"/>
      <c r="M22" s="43"/>
      <c r="N22" s="43"/>
      <c r="O22" s="43"/>
      <c r="P22" s="43"/>
    </row>
    <row r="23" spans="2:16" ht="16.5" customHeight="1" x14ac:dyDescent="0.15">
      <c r="B23" s="43" t="s">
        <v>423</v>
      </c>
      <c r="C23" s="43"/>
      <c r="D23" s="43"/>
      <c r="E23" s="43"/>
      <c r="F23" s="43"/>
      <c r="G23" s="536"/>
      <c r="H23" s="43"/>
      <c r="I23" s="43" t="s">
        <v>483</v>
      </c>
      <c r="J23" s="43"/>
      <c r="K23" s="43"/>
      <c r="L23" s="43"/>
      <c r="M23" s="43"/>
      <c r="N23" s="43"/>
      <c r="O23" s="43"/>
      <c r="P23" s="43"/>
    </row>
    <row r="24" spans="2:16" ht="16.5" customHeight="1" x14ac:dyDescent="0.15">
      <c r="B24" s="603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</row>
    <row r="25" spans="2:16" ht="16.5" customHeight="1" x14ac:dyDescent="0.15">
      <c r="B25" s="537" t="s">
        <v>422</v>
      </c>
      <c r="C25" s="220"/>
      <c r="D25" s="220"/>
      <c r="E25" s="220"/>
      <c r="F25" s="220"/>
      <c r="G25" s="220"/>
      <c r="H25" s="31" t="s">
        <v>97</v>
      </c>
      <c r="I25" s="220"/>
      <c r="J25" s="220"/>
      <c r="K25" s="220"/>
      <c r="L25" s="220"/>
      <c r="M25" s="220"/>
      <c r="N25" s="220"/>
      <c r="O25" s="220"/>
      <c r="P25" s="220"/>
    </row>
    <row r="26" spans="2:16" ht="22.5" customHeight="1" x14ac:dyDescent="0.15">
      <c r="B26" s="1074" t="s">
        <v>421</v>
      </c>
      <c r="C26" s="1081" t="s">
        <v>420</v>
      </c>
      <c r="D26" s="1082"/>
      <c r="E26" s="747" t="s">
        <v>484</v>
      </c>
      <c r="F26" s="601" t="s">
        <v>419</v>
      </c>
      <c r="G26" s="601" t="s">
        <v>418</v>
      </c>
      <c r="H26" s="745" t="s">
        <v>417</v>
      </c>
      <c r="I26" s="743" t="s">
        <v>416</v>
      </c>
      <c r="J26" s="1085" t="s">
        <v>485</v>
      </c>
      <c r="K26" s="602"/>
      <c r="L26" s="602"/>
      <c r="M26" s="602"/>
      <c r="N26" s="536"/>
      <c r="O26" s="536"/>
      <c r="P26" s="43"/>
    </row>
    <row r="27" spans="2:16" ht="28.5" customHeight="1" x14ac:dyDescent="0.15">
      <c r="B27" s="1075"/>
      <c r="C27" s="748" t="s">
        <v>645</v>
      </c>
      <c r="D27" s="601" t="s">
        <v>792</v>
      </c>
      <c r="E27" s="600" t="s">
        <v>645</v>
      </c>
      <c r="F27" s="748" t="s">
        <v>645</v>
      </c>
      <c r="G27" s="748" t="s">
        <v>645</v>
      </c>
      <c r="H27" s="748" t="s">
        <v>646</v>
      </c>
      <c r="I27" s="600" t="s">
        <v>646</v>
      </c>
      <c r="J27" s="1086"/>
      <c r="K27" s="599"/>
      <c r="L27" s="599"/>
      <c r="M27" s="599"/>
      <c r="N27" s="536"/>
      <c r="O27" s="536"/>
      <c r="P27" s="43"/>
    </row>
    <row r="28" spans="2:16" ht="16.5" customHeight="1" x14ac:dyDescent="0.15">
      <c r="B28" s="632"/>
      <c r="C28" s="598"/>
      <c r="D28" s="43"/>
      <c r="E28" s="43"/>
      <c r="F28" s="597"/>
      <c r="G28" s="597"/>
      <c r="H28" s="597"/>
      <c r="I28" s="597"/>
      <c r="J28" s="440"/>
      <c r="K28" s="43"/>
      <c r="L28" s="43"/>
      <c r="M28" s="43"/>
      <c r="N28" s="536"/>
      <c r="O28" s="536"/>
      <c r="P28" s="43"/>
    </row>
    <row r="29" spans="2:16" ht="16.5" customHeight="1" x14ac:dyDescent="0.15">
      <c r="B29" s="627" t="s">
        <v>1033</v>
      </c>
      <c r="C29" s="595">
        <v>57628</v>
      </c>
      <c r="D29" s="594">
        <v>79.72</v>
      </c>
      <c r="E29" s="78">
        <v>60625</v>
      </c>
      <c r="F29" s="593">
        <v>80591</v>
      </c>
      <c r="G29" s="593">
        <v>76477</v>
      </c>
      <c r="H29" s="593">
        <v>88911</v>
      </c>
      <c r="I29" s="596">
        <v>82124</v>
      </c>
      <c r="J29" s="327">
        <v>44562</v>
      </c>
      <c r="K29" s="717"/>
      <c r="L29" s="870"/>
      <c r="M29" s="506"/>
      <c r="N29" s="506"/>
      <c r="O29" s="506"/>
      <c r="P29" s="506"/>
    </row>
    <row r="30" spans="2:16" ht="16.5" customHeight="1" x14ac:dyDescent="0.15">
      <c r="B30" s="627" t="s">
        <v>781</v>
      </c>
      <c r="C30" s="595">
        <v>62731</v>
      </c>
      <c r="D30" s="594">
        <v>86.85</v>
      </c>
      <c r="E30" s="558">
        <v>61013</v>
      </c>
      <c r="F30" s="593">
        <v>81000</v>
      </c>
      <c r="G30" s="593">
        <v>85682</v>
      </c>
      <c r="H30" s="593">
        <v>89797</v>
      </c>
      <c r="I30" s="593">
        <v>94983</v>
      </c>
      <c r="J30" s="315" t="s">
        <v>77</v>
      </c>
      <c r="K30" s="717"/>
      <c r="L30" s="870"/>
      <c r="M30" s="506"/>
      <c r="N30" s="593"/>
      <c r="O30" s="593"/>
      <c r="P30" s="506"/>
    </row>
    <row r="31" spans="2:16" ht="16.5" customHeight="1" x14ac:dyDescent="0.15">
      <c r="B31" s="627" t="s">
        <v>782</v>
      </c>
      <c r="C31" s="595">
        <v>66939</v>
      </c>
      <c r="D31" s="718">
        <v>91.84</v>
      </c>
      <c r="E31" s="558">
        <v>67713</v>
      </c>
      <c r="F31" s="593">
        <v>95609</v>
      </c>
      <c r="G31" s="593">
        <v>98048</v>
      </c>
      <c r="H31" s="593">
        <v>99623</v>
      </c>
      <c r="I31" s="596">
        <v>87743</v>
      </c>
      <c r="J31" s="315" t="s">
        <v>78</v>
      </c>
      <c r="K31" s="717"/>
      <c r="L31" s="870"/>
      <c r="M31" s="506"/>
      <c r="N31" s="506"/>
      <c r="O31" s="593"/>
      <c r="P31" s="506"/>
    </row>
    <row r="32" spans="2:16" ht="16.5" customHeight="1" x14ac:dyDescent="0.15">
      <c r="B32" s="627" t="s">
        <v>783</v>
      </c>
      <c r="C32" s="595">
        <v>83289</v>
      </c>
      <c r="D32" s="594">
        <v>107.82</v>
      </c>
      <c r="E32" s="558">
        <v>83988</v>
      </c>
      <c r="F32" s="593" t="s">
        <v>599</v>
      </c>
      <c r="G32" s="593">
        <v>112915</v>
      </c>
      <c r="H32" s="593">
        <v>108566</v>
      </c>
      <c r="I32" s="596">
        <v>100659</v>
      </c>
      <c r="J32" s="315" t="s">
        <v>79</v>
      </c>
      <c r="K32" s="717"/>
      <c r="L32" s="870"/>
      <c r="M32" s="506"/>
      <c r="N32" s="593"/>
      <c r="O32" s="593"/>
      <c r="P32" s="506"/>
    </row>
    <row r="33" spans="2:16" ht="16.5" customHeight="1" x14ac:dyDescent="0.15">
      <c r="B33" s="627" t="s">
        <v>784</v>
      </c>
      <c r="C33" s="593">
        <v>87622</v>
      </c>
      <c r="D33" s="594">
        <v>107.8</v>
      </c>
      <c r="E33" s="78">
        <v>84817</v>
      </c>
      <c r="F33" s="593" t="s">
        <v>599</v>
      </c>
      <c r="G33" s="593">
        <v>120070</v>
      </c>
      <c r="H33" s="593">
        <v>114388</v>
      </c>
      <c r="I33" s="593">
        <v>104723</v>
      </c>
      <c r="J33" s="315" t="s">
        <v>481</v>
      </c>
      <c r="K33" s="717"/>
      <c r="L33" s="870"/>
      <c r="M33" s="506"/>
      <c r="N33" s="506"/>
      <c r="O33" s="506"/>
      <c r="P33" s="506"/>
    </row>
    <row r="34" spans="2:16" ht="16.5" customHeight="1" x14ac:dyDescent="0.15">
      <c r="B34" s="627" t="s">
        <v>785</v>
      </c>
      <c r="C34" s="593">
        <v>95815</v>
      </c>
      <c r="D34" s="594">
        <v>116.84</v>
      </c>
      <c r="E34" s="78">
        <v>83430</v>
      </c>
      <c r="F34" s="593" t="s">
        <v>599</v>
      </c>
      <c r="G34" s="593">
        <v>129593</v>
      </c>
      <c r="H34" s="593">
        <v>107583</v>
      </c>
      <c r="I34" s="593">
        <v>101642</v>
      </c>
      <c r="J34" s="315" t="s">
        <v>93</v>
      </c>
      <c r="K34" s="717"/>
      <c r="L34" s="870"/>
      <c r="M34" s="506"/>
      <c r="N34" s="506"/>
      <c r="O34" s="593"/>
      <c r="P34" s="506"/>
    </row>
    <row r="35" spans="2:16" ht="16.5" customHeight="1" x14ac:dyDescent="0.15">
      <c r="B35" s="627" t="s">
        <v>786</v>
      </c>
      <c r="C35" s="593">
        <v>99563</v>
      </c>
      <c r="D35" s="594">
        <v>116.36</v>
      </c>
      <c r="E35" s="78">
        <v>83636</v>
      </c>
      <c r="F35" s="593" t="s">
        <v>599</v>
      </c>
      <c r="G35" s="593">
        <v>134529</v>
      </c>
      <c r="H35" s="593">
        <v>107311</v>
      </c>
      <c r="I35" s="593">
        <v>127494</v>
      </c>
      <c r="J35" s="315" t="s">
        <v>94</v>
      </c>
      <c r="K35" s="717"/>
      <c r="L35" s="870"/>
      <c r="M35" s="506"/>
      <c r="N35" s="506"/>
      <c r="O35" s="506"/>
      <c r="P35" s="506"/>
    </row>
    <row r="36" spans="2:16" ht="16.5" customHeight="1" x14ac:dyDescent="0.15">
      <c r="B36" s="627" t="s">
        <v>787</v>
      </c>
      <c r="C36" s="593">
        <v>95657</v>
      </c>
      <c r="D36" s="594">
        <v>112.47</v>
      </c>
      <c r="E36" s="78">
        <v>79092</v>
      </c>
      <c r="F36" s="593" t="s">
        <v>599</v>
      </c>
      <c r="G36" s="593">
        <v>127019</v>
      </c>
      <c r="H36" s="593">
        <v>99076</v>
      </c>
      <c r="I36" s="593">
        <v>140092</v>
      </c>
      <c r="J36" s="315" t="s">
        <v>95</v>
      </c>
      <c r="K36" s="717"/>
      <c r="L36" s="870"/>
      <c r="M36" s="506"/>
      <c r="N36" s="506"/>
      <c r="O36" s="593"/>
      <c r="P36" s="506"/>
    </row>
    <row r="37" spans="2:16" ht="16.5" customHeight="1" x14ac:dyDescent="0.15">
      <c r="B37" s="627" t="s">
        <v>788</v>
      </c>
      <c r="C37" s="593">
        <v>97571</v>
      </c>
      <c r="D37" s="594">
        <v>110.86</v>
      </c>
      <c r="E37" s="78">
        <v>75738</v>
      </c>
      <c r="F37" s="593" t="s">
        <v>599</v>
      </c>
      <c r="G37" s="593">
        <v>127086</v>
      </c>
      <c r="H37" s="593">
        <v>99075</v>
      </c>
      <c r="I37" s="593">
        <v>164790</v>
      </c>
      <c r="J37" s="315" t="s">
        <v>96</v>
      </c>
      <c r="K37" s="717"/>
      <c r="L37" s="870"/>
      <c r="M37" s="506"/>
      <c r="N37" s="506"/>
      <c r="O37" s="593"/>
      <c r="P37" s="506"/>
    </row>
    <row r="38" spans="2:16" ht="16.5" customHeight="1" x14ac:dyDescent="0.15">
      <c r="B38" s="627" t="s">
        <v>789</v>
      </c>
      <c r="C38" s="593">
        <v>96755</v>
      </c>
      <c r="D38" s="594">
        <v>106.03</v>
      </c>
      <c r="E38" s="78">
        <v>70908</v>
      </c>
      <c r="F38" s="593" t="s">
        <v>599</v>
      </c>
      <c r="G38" s="593">
        <v>117885</v>
      </c>
      <c r="H38" s="593">
        <v>95473</v>
      </c>
      <c r="I38" s="593">
        <v>156499</v>
      </c>
      <c r="J38" s="315" t="s">
        <v>80</v>
      </c>
      <c r="K38" s="717"/>
      <c r="L38" s="870"/>
      <c r="M38" s="506"/>
      <c r="N38" s="506"/>
      <c r="O38" s="506"/>
      <c r="P38" s="506"/>
    </row>
    <row r="39" spans="2:16" ht="16.5" customHeight="1" x14ac:dyDescent="0.15">
      <c r="B39" s="627" t="s">
        <v>790</v>
      </c>
      <c r="C39" s="593">
        <v>92419</v>
      </c>
      <c r="D39" s="594">
        <v>100.47</v>
      </c>
      <c r="E39" s="78">
        <v>71706</v>
      </c>
      <c r="F39" s="593">
        <v>131564</v>
      </c>
      <c r="G39" s="593">
        <v>125417</v>
      </c>
      <c r="H39" s="593">
        <v>95681</v>
      </c>
      <c r="I39" s="593">
        <v>134971</v>
      </c>
      <c r="J39" s="315" t="s">
        <v>474</v>
      </c>
      <c r="K39" s="717"/>
      <c r="L39" s="870"/>
      <c r="M39" s="506"/>
      <c r="N39" s="506"/>
      <c r="O39" s="593"/>
      <c r="P39" s="506"/>
    </row>
    <row r="40" spans="2:16" ht="16.5" customHeight="1" x14ac:dyDescent="0.15">
      <c r="B40" s="627" t="s">
        <v>791</v>
      </c>
      <c r="C40" s="593">
        <v>82551</v>
      </c>
      <c r="D40" s="594">
        <v>95.12</v>
      </c>
      <c r="E40" s="78">
        <v>68775</v>
      </c>
      <c r="F40" s="593" t="s">
        <v>599</v>
      </c>
      <c r="G40" s="593">
        <v>103511</v>
      </c>
      <c r="H40" s="593">
        <v>88669</v>
      </c>
      <c r="I40" s="593">
        <v>135188</v>
      </c>
      <c r="J40" s="315" t="s">
        <v>82</v>
      </c>
      <c r="K40" s="717"/>
      <c r="L40" s="870"/>
      <c r="M40" s="506"/>
      <c r="N40" s="506"/>
      <c r="O40" s="593"/>
      <c r="P40" s="506"/>
    </row>
    <row r="41" spans="2:16" ht="16.5" customHeight="1" x14ac:dyDescent="0.15">
      <c r="B41" s="627" t="s">
        <v>1032</v>
      </c>
      <c r="C41" s="595">
        <v>73336</v>
      </c>
      <c r="D41" s="594">
        <v>88.27</v>
      </c>
      <c r="E41" s="78">
        <v>62979</v>
      </c>
      <c r="F41" s="593" t="s">
        <v>599</v>
      </c>
      <c r="G41" s="593">
        <v>108667</v>
      </c>
      <c r="H41" s="593">
        <v>84031</v>
      </c>
      <c r="I41" s="596">
        <v>128023</v>
      </c>
      <c r="J41" s="327">
        <v>44927</v>
      </c>
      <c r="K41" s="717"/>
      <c r="L41" s="870"/>
      <c r="M41" s="506"/>
      <c r="N41" s="593"/>
      <c r="O41" s="506"/>
      <c r="P41" s="506"/>
    </row>
    <row r="42" spans="2:16" ht="16.5" customHeight="1" x14ac:dyDescent="0.15">
      <c r="B42" s="627" t="s">
        <v>781</v>
      </c>
      <c r="C42" s="595">
        <v>72049</v>
      </c>
      <c r="D42" s="594">
        <v>87.88</v>
      </c>
      <c r="E42" s="558">
        <v>62248</v>
      </c>
      <c r="F42" s="593" t="s">
        <v>599</v>
      </c>
      <c r="G42" s="593">
        <v>104725</v>
      </c>
      <c r="H42" s="593">
        <v>90309</v>
      </c>
      <c r="I42" s="593">
        <v>118935</v>
      </c>
      <c r="J42" s="315" t="s">
        <v>77</v>
      </c>
      <c r="K42" s="717"/>
      <c r="L42" s="870"/>
      <c r="M42" s="506"/>
      <c r="N42" s="506"/>
      <c r="O42" s="506"/>
      <c r="P42" s="506"/>
    </row>
    <row r="43" spans="2:16" ht="16.5" customHeight="1" x14ac:dyDescent="0.15">
      <c r="B43" s="628" t="s">
        <v>782</v>
      </c>
      <c r="C43" s="592">
        <v>72488</v>
      </c>
      <c r="D43" s="591">
        <v>85.43</v>
      </c>
      <c r="E43" s="590">
        <v>67416</v>
      </c>
      <c r="F43" s="589" t="s">
        <v>599</v>
      </c>
      <c r="G43" s="589">
        <v>100457</v>
      </c>
      <c r="H43" s="589">
        <v>93814</v>
      </c>
      <c r="I43" s="589">
        <v>104212</v>
      </c>
      <c r="J43" s="588" t="s">
        <v>78</v>
      </c>
      <c r="L43" s="587"/>
      <c r="M43" s="587"/>
      <c r="N43" s="536"/>
      <c r="O43" s="536"/>
      <c r="P43" s="43"/>
    </row>
    <row r="44" spans="2:16" ht="16.5" customHeight="1" x14ac:dyDescent="0.15">
      <c r="B44" s="43" t="s">
        <v>415</v>
      </c>
      <c r="C44" s="43"/>
      <c r="D44" s="43"/>
      <c r="E44" s="43"/>
      <c r="F44" s="43"/>
      <c r="G44" s="536"/>
      <c r="H44" s="43"/>
      <c r="I44" s="43" t="s">
        <v>486</v>
      </c>
      <c r="J44" s="43"/>
      <c r="K44" s="43"/>
      <c r="L44" s="43"/>
      <c r="M44" s="43"/>
      <c r="N44" s="43"/>
      <c r="O44" s="43"/>
      <c r="P44" s="43"/>
    </row>
    <row r="45" spans="2:16" ht="16.5" customHeight="1" x14ac:dyDescent="0.15">
      <c r="B45" s="43" t="s">
        <v>450</v>
      </c>
      <c r="C45" s="43"/>
      <c r="D45" s="43"/>
      <c r="E45" s="43"/>
      <c r="F45" s="43"/>
      <c r="G45" s="536"/>
      <c r="H45" s="560"/>
      <c r="I45" s="560" t="s">
        <v>487</v>
      </c>
      <c r="J45" s="43"/>
      <c r="K45" s="43"/>
      <c r="L45" s="43"/>
      <c r="M45" s="43"/>
      <c r="N45" s="43"/>
      <c r="O45" s="43"/>
      <c r="P45" s="43"/>
    </row>
    <row r="46" spans="2:16" ht="16.5" customHeight="1" x14ac:dyDescent="0.15">
      <c r="B46" s="560" t="s">
        <v>414</v>
      </c>
      <c r="C46" s="220"/>
      <c r="D46" s="220"/>
      <c r="E46" s="220"/>
      <c r="F46" s="220"/>
      <c r="G46" s="220"/>
      <c r="H46" s="560"/>
      <c r="I46" s="560" t="s">
        <v>488</v>
      </c>
      <c r="J46" s="220"/>
      <c r="K46" s="220"/>
      <c r="L46" s="220"/>
      <c r="M46" s="220"/>
      <c r="N46" s="220"/>
      <c r="O46" s="220"/>
      <c r="P46" s="220"/>
    </row>
    <row r="47" spans="2:16" ht="16.5" customHeight="1" x14ac:dyDescent="0.15">
      <c r="B47" s="560" t="s">
        <v>413</v>
      </c>
      <c r="C47" s="220"/>
      <c r="D47" s="220"/>
      <c r="E47" s="220"/>
      <c r="F47" s="220"/>
      <c r="G47" s="220"/>
      <c r="H47" s="560"/>
      <c r="I47" s="560" t="s">
        <v>489</v>
      </c>
      <c r="J47" s="220"/>
      <c r="K47" s="220"/>
      <c r="L47" s="220"/>
      <c r="M47" s="220"/>
      <c r="N47" s="220"/>
      <c r="O47" s="220"/>
      <c r="P47" s="220"/>
    </row>
    <row r="48" spans="2:16" ht="16.5" customHeight="1" x14ac:dyDescent="0.15">
      <c r="B48" s="560" t="s">
        <v>412</v>
      </c>
      <c r="C48" s="220"/>
      <c r="D48" s="220"/>
      <c r="E48" s="220"/>
      <c r="F48" s="220"/>
      <c r="G48" s="220"/>
      <c r="H48" s="560"/>
      <c r="I48" s="560" t="s">
        <v>490</v>
      </c>
      <c r="J48" s="220"/>
      <c r="K48" s="220"/>
      <c r="L48" s="220"/>
      <c r="M48" s="220"/>
      <c r="N48" s="220"/>
      <c r="O48" s="220"/>
      <c r="P48" s="220"/>
    </row>
    <row r="49" spans="3:9" ht="16.5" customHeight="1" x14ac:dyDescent="0.15">
      <c r="C49" s="868"/>
      <c r="D49" s="869"/>
      <c r="E49" s="868"/>
      <c r="F49" s="868"/>
      <c r="G49" s="868"/>
      <c r="H49" s="868"/>
      <c r="I49" s="868"/>
    </row>
    <row r="50" spans="3:9" ht="16.5" customHeight="1" x14ac:dyDescent="0.15">
      <c r="C50" s="868"/>
      <c r="D50" s="869"/>
      <c r="E50" s="868"/>
      <c r="F50" s="868"/>
      <c r="G50" s="868"/>
      <c r="H50" s="868"/>
    </row>
    <row r="51" spans="3:9" ht="16.5" customHeight="1" x14ac:dyDescent="0.15">
      <c r="C51" s="868"/>
      <c r="D51" s="869"/>
      <c r="E51" s="868"/>
      <c r="F51" s="868"/>
      <c r="G51" s="868"/>
      <c r="H51" s="868"/>
    </row>
    <row r="52" spans="3:9" ht="16.5" customHeight="1" x14ac:dyDescent="0.15">
      <c r="C52" s="868"/>
      <c r="D52" s="869"/>
      <c r="E52" s="868"/>
      <c r="F52" s="868"/>
      <c r="G52" s="868"/>
      <c r="H52" s="868"/>
    </row>
    <row r="53" spans="3:9" ht="16.5" customHeight="1" x14ac:dyDescent="0.15">
      <c r="C53" s="868"/>
      <c r="D53" s="869"/>
      <c r="E53" s="868"/>
      <c r="F53" s="868"/>
      <c r="G53" s="868"/>
      <c r="H53" s="868"/>
    </row>
    <row r="54" spans="3:9" ht="16.5" customHeight="1" x14ac:dyDescent="0.15">
      <c r="C54" s="868"/>
      <c r="D54" s="869"/>
      <c r="E54" s="868"/>
      <c r="F54" s="868"/>
      <c r="G54" s="868"/>
      <c r="H54" s="868"/>
    </row>
    <row r="55" spans="3:9" ht="16.5" customHeight="1" x14ac:dyDescent="0.15">
      <c r="C55" s="868"/>
      <c r="D55" s="869"/>
      <c r="E55" s="868"/>
      <c r="F55" s="868"/>
      <c r="G55" s="868"/>
      <c r="H55" s="868"/>
    </row>
    <row r="56" spans="3:9" ht="16.5" customHeight="1" x14ac:dyDescent="0.15">
      <c r="C56" s="868"/>
      <c r="D56" s="869"/>
      <c r="E56" s="868"/>
      <c r="F56" s="868"/>
      <c r="G56" s="868"/>
      <c r="H56" s="868"/>
    </row>
    <row r="57" spans="3:9" ht="16.5" customHeight="1" x14ac:dyDescent="0.15">
      <c r="C57" s="868"/>
      <c r="D57" s="869"/>
      <c r="E57" s="868"/>
      <c r="F57" s="868"/>
      <c r="G57" s="868"/>
      <c r="H57" s="868"/>
    </row>
    <row r="58" spans="3:9" ht="16.5" customHeight="1" x14ac:dyDescent="0.15">
      <c r="C58" s="868"/>
      <c r="D58" s="869"/>
      <c r="E58" s="868"/>
      <c r="F58" s="868"/>
      <c r="G58" s="868"/>
      <c r="H58" s="868"/>
    </row>
    <row r="59" spans="3:9" ht="16.5" customHeight="1" x14ac:dyDescent="0.15">
      <c r="C59" s="868"/>
      <c r="D59" s="869"/>
      <c r="E59" s="868"/>
      <c r="F59" s="868"/>
      <c r="G59" s="868"/>
      <c r="H59" s="868"/>
    </row>
    <row r="60" spans="3:9" ht="16.5" customHeight="1" x14ac:dyDescent="0.15">
      <c r="C60" s="868"/>
      <c r="D60" s="869"/>
      <c r="E60" s="868"/>
      <c r="F60" s="868"/>
      <c r="G60" s="868"/>
      <c r="H60" s="868"/>
    </row>
    <row r="61" spans="3:9" ht="16.5" customHeight="1" x14ac:dyDescent="0.15">
      <c r="C61" s="868"/>
      <c r="D61" s="869"/>
      <c r="E61" s="868"/>
      <c r="F61" s="868"/>
      <c r="G61" s="868"/>
      <c r="H61" s="868"/>
    </row>
    <row r="62" spans="3:9" ht="16.5" customHeight="1" x14ac:dyDescent="0.15">
      <c r="C62" s="868"/>
      <c r="D62" s="869"/>
      <c r="E62" s="868"/>
      <c r="F62" s="868"/>
      <c r="G62" s="868"/>
      <c r="H62" s="868"/>
    </row>
    <row r="63" spans="3:9" ht="16.5" customHeight="1" x14ac:dyDescent="0.15">
      <c r="C63" s="868"/>
      <c r="D63" s="869"/>
      <c r="E63" s="868"/>
      <c r="F63" s="868"/>
      <c r="G63" s="868"/>
      <c r="H63" s="868"/>
    </row>
  </sheetData>
  <mergeCells count="14">
    <mergeCell ref="P3:P5"/>
    <mergeCell ref="B26:B27"/>
    <mergeCell ref="O4:O5"/>
    <mergeCell ref="F4:F5"/>
    <mergeCell ref="B3:B5"/>
    <mergeCell ref="C26:D26"/>
    <mergeCell ref="J4:J5"/>
    <mergeCell ref="J26:J27"/>
    <mergeCell ref="N4:N5"/>
    <mergeCell ref="G3:J3"/>
    <mergeCell ref="K3:M3"/>
    <mergeCell ref="L4:L5"/>
    <mergeCell ref="M4:M5"/>
    <mergeCell ref="K4:K5"/>
  </mergeCells>
  <phoneticPr fontId="32"/>
  <pageMargins left="0.59055118110236227" right="0.59055118110236227" top="0.59055118110236227" bottom="0.59055118110236227" header="0.31496062992125984" footer="0.31496062992125984"/>
  <pageSetup paperSize="9" scale="94" orientation="portrait" r:id="rId1"/>
  <colBreaks count="1" manualBreakCount="1">
    <brk id="8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C248-FD81-4B1D-BC98-18D6EBA0ED4A}">
  <dimension ref="A1:U79"/>
  <sheetViews>
    <sheetView view="pageBreakPreview" topLeftCell="A31" zoomScale="120" zoomScaleNormal="100" zoomScaleSheetLayoutView="120" workbookViewId="0">
      <selection activeCell="L42" sqref="L42"/>
    </sheetView>
  </sheetViews>
  <sheetFormatPr defaultRowHeight="13.5" x14ac:dyDescent="0.15"/>
  <cols>
    <col min="1" max="1" width="12.125" style="220" customWidth="1"/>
    <col min="2" max="2" width="9.5" style="220" bestFit="1" customWidth="1"/>
    <col min="3" max="4" width="9.625" style="220" customWidth="1"/>
    <col min="5" max="5" width="5.625" style="220" customWidth="1"/>
    <col min="6" max="6" width="9.375" style="220" customWidth="1"/>
    <col min="7" max="8" width="9.625" style="220" customWidth="1"/>
    <col min="9" max="10" width="6" style="220" customWidth="1"/>
    <col min="11" max="11" width="8.5" style="220" customWidth="1"/>
    <col min="12" max="12" width="13.625" style="220" customWidth="1"/>
    <col min="13" max="13" width="10.375" style="220" customWidth="1"/>
    <col min="14" max="14" width="13.5" style="220" customWidth="1"/>
    <col min="15" max="18" width="10.375" style="220" customWidth="1"/>
    <col min="19" max="19" width="11.25" style="220" bestFit="1" customWidth="1"/>
    <col min="20" max="16384" width="9" style="220"/>
  </cols>
  <sheetData>
    <row r="1" spans="1:15" s="536" customFormat="1" ht="20.100000000000001" customHeight="1" x14ac:dyDescent="0.15">
      <c r="A1" s="537" t="s">
        <v>667</v>
      </c>
    </row>
    <row r="2" spans="1:15" s="536" customFormat="1" ht="20.100000000000001" customHeight="1" x14ac:dyDescent="0.15">
      <c r="A2" s="537" t="s">
        <v>661</v>
      </c>
    </row>
    <row r="3" spans="1:15" s="536" customFormat="1" ht="20.100000000000001" customHeight="1" x14ac:dyDescent="0.15">
      <c r="A3" s="537" t="s">
        <v>793</v>
      </c>
    </row>
    <row r="4" spans="1:15" s="523" customFormat="1" ht="38.25" customHeight="1" x14ac:dyDescent="0.15">
      <c r="A4" s="1099" t="s">
        <v>397</v>
      </c>
      <c r="B4" s="1101" t="s">
        <v>794</v>
      </c>
      <c r="C4" s="1102"/>
      <c r="D4" s="1102"/>
      <c r="E4" s="1103"/>
      <c r="F4" s="966" t="s">
        <v>396</v>
      </c>
      <c r="G4" s="967"/>
      <c r="H4" s="967"/>
      <c r="I4" s="1104" t="s">
        <v>395</v>
      </c>
      <c r="J4" s="1104" t="s">
        <v>491</v>
      </c>
      <c r="K4" s="1105" t="s">
        <v>600</v>
      </c>
    </row>
    <row r="5" spans="1:15" s="523" customFormat="1" ht="28.9" customHeight="1" x14ac:dyDescent="0.15">
      <c r="A5" s="1021"/>
      <c r="B5" s="553" t="s">
        <v>394</v>
      </c>
      <c r="C5" s="968" t="s">
        <v>492</v>
      </c>
      <c r="D5" s="968" t="s">
        <v>493</v>
      </c>
      <c r="E5" s="969" t="s">
        <v>393</v>
      </c>
      <c r="F5" s="552" t="s">
        <v>208</v>
      </c>
      <c r="G5" s="950" t="s">
        <v>392</v>
      </c>
      <c r="H5" s="950" t="s">
        <v>391</v>
      </c>
      <c r="I5" s="1016"/>
      <c r="J5" s="1016"/>
      <c r="K5" s="1106"/>
    </row>
    <row r="6" spans="1:15" s="523" customFormat="1" ht="31.5" x14ac:dyDescent="0.15">
      <c r="A6" s="1100"/>
      <c r="B6" s="970" t="s">
        <v>494</v>
      </c>
      <c r="C6" s="971" t="s">
        <v>496</v>
      </c>
      <c r="D6" s="971" t="s">
        <v>795</v>
      </c>
      <c r="E6" s="972" t="s">
        <v>495</v>
      </c>
      <c r="F6" s="970" t="s">
        <v>494</v>
      </c>
      <c r="G6" s="971" t="s">
        <v>496</v>
      </c>
      <c r="H6" s="971" t="s">
        <v>1034</v>
      </c>
      <c r="I6" s="972" t="s">
        <v>662</v>
      </c>
      <c r="J6" s="972" t="s">
        <v>498</v>
      </c>
      <c r="K6" s="1107"/>
    </row>
    <row r="7" spans="1:15" s="523" customFormat="1" ht="21" customHeight="1" x14ac:dyDescent="0.15">
      <c r="A7" s="528" t="s">
        <v>1035</v>
      </c>
      <c r="B7" s="543">
        <v>177477098</v>
      </c>
      <c r="C7" s="543">
        <v>122516011</v>
      </c>
      <c r="D7" s="543">
        <v>54961087</v>
      </c>
      <c r="E7" s="541">
        <v>31</v>
      </c>
      <c r="F7" s="543">
        <v>81322765</v>
      </c>
      <c r="G7" s="543">
        <v>56152141</v>
      </c>
      <c r="H7" s="543">
        <v>25170624</v>
      </c>
      <c r="I7" s="548">
        <v>35.81</v>
      </c>
      <c r="J7" s="548">
        <v>1.54</v>
      </c>
      <c r="K7" s="531" t="s">
        <v>499</v>
      </c>
      <c r="L7" s="526"/>
    </row>
    <row r="8" spans="1:15" s="523" customFormat="1" ht="21" customHeight="1" x14ac:dyDescent="0.15">
      <c r="A8" s="528" t="s">
        <v>1036</v>
      </c>
      <c r="B8" s="527">
        <v>175488885</v>
      </c>
      <c r="C8" s="543">
        <v>122776302</v>
      </c>
      <c r="D8" s="527">
        <v>52712583</v>
      </c>
      <c r="E8" s="541">
        <v>30</v>
      </c>
      <c r="F8" s="527">
        <v>73679149</v>
      </c>
      <c r="G8" s="543">
        <v>51399120</v>
      </c>
      <c r="H8" s="527">
        <v>22280029</v>
      </c>
      <c r="I8" s="548">
        <v>36.47</v>
      </c>
      <c r="J8" s="548">
        <v>1.43</v>
      </c>
      <c r="K8" s="531" t="s">
        <v>601</v>
      </c>
      <c r="L8" s="526"/>
    </row>
    <row r="9" spans="1:15" s="523" customFormat="1" ht="21" customHeight="1" x14ac:dyDescent="0.15">
      <c r="A9" s="528" t="s">
        <v>1037</v>
      </c>
      <c r="B9" s="527">
        <v>143879667</v>
      </c>
      <c r="C9" s="543">
        <v>105584434</v>
      </c>
      <c r="D9" s="527">
        <v>38295233</v>
      </c>
      <c r="E9" s="541">
        <v>26.6</v>
      </c>
      <c r="F9" s="527">
        <v>42393838</v>
      </c>
      <c r="G9" s="543">
        <v>30547267</v>
      </c>
      <c r="H9" s="527">
        <v>11846571</v>
      </c>
      <c r="I9" s="548">
        <v>36.299999999999997</v>
      </c>
      <c r="J9" s="548">
        <v>1.48</v>
      </c>
      <c r="K9" s="531" t="s">
        <v>663</v>
      </c>
      <c r="L9" s="526"/>
      <c r="M9" s="540"/>
      <c r="N9" s="526"/>
    </row>
    <row r="10" spans="1:15" s="523" customFormat="1" ht="21" customHeight="1" x14ac:dyDescent="0.15">
      <c r="A10" s="528" t="s">
        <v>1038</v>
      </c>
      <c r="B10" s="527">
        <v>144662684</v>
      </c>
      <c r="C10" s="543">
        <v>93325278</v>
      </c>
      <c r="D10" s="527">
        <v>51337406</v>
      </c>
      <c r="E10" s="541">
        <v>35.5</v>
      </c>
      <c r="F10" s="527">
        <v>63924816</v>
      </c>
      <c r="G10" s="543">
        <v>40909759</v>
      </c>
      <c r="H10" s="527">
        <v>23015057</v>
      </c>
      <c r="I10" s="548">
        <v>35.97</v>
      </c>
      <c r="J10" s="548">
        <v>1.48</v>
      </c>
      <c r="K10" s="531" t="s">
        <v>796</v>
      </c>
      <c r="L10" s="526"/>
      <c r="M10" s="540"/>
      <c r="N10" s="526"/>
    </row>
    <row r="11" spans="1:15" s="523" customFormat="1" ht="21" customHeight="1" x14ac:dyDescent="0.15">
      <c r="A11" s="528" t="s">
        <v>1039</v>
      </c>
      <c r="B11" s="527">
        <v>158641580</v>
      </c>
      <c r="C11" s="543">
        <v>102115639</v>
      </c>
      <c r="D11" s="527">
        <v>56525941</v>
      </c>
      <c r="E11" s="541">
        <v>35.6</v>
      </c>
      <c r="F11" s="527">
        <v>102426336</v>
      </c>
      <c r="G11" s="543">
        <v>65384913</v>
      </c>
      <c r="H11" s="527">
        <v>37041423</v>
      </c>
      <c r="I11" s="548">
        <v>35.979999999999997</v>
      </c>
      <c r="J11" s="548">
        <v>1.5</v>
      </c>
      <c r="K11" s="531" t="s">
        <v>1040</v>
      </c>
      <c r="L11" s="526"/>
      <c r="M11" s="540"/>
      <c r="N11" s="526"/>
    </row>
    <row r="12" spans="1:15" s="523" customFormat="1" ht="21" customHeight="1" x14ac:dyDescent="0.15">
      <c r="A12" s="535"/>
      <c r="B12" s="543"/>
      <c r="C12" s="543"/>
      <c r="D12" s="543"/>
      <c r="E12" s="551"/>
      <c r="F12" s="543"/>
      <c r="G12" s="543"/>
      <c r="H12" s="543"/>
      <c r="I12" s="548"/>
      <c r="J12" s="548"/>
      <c r="K12" s="532"/>
      <c r="L12" s="526"/>
      <c r="M12" s="468"/>
    </row>
    <row r="13" spans="1:15" s="523" customFormat="1" ht="21" customHeight="1" x14ac:dyDescent="0.15">
      <c r="A13" s="528" t="s">
        <v>1041</v>
      </c>
      <c r="B13" s="527">
        <v>148903593</v>
      </c>
      <c r="C13" s="543">
        <v>93953603</v>
      </c>
      <c r="D13" s="527">
        <v>54949990</v>
      </c>
      <c r="E13" s="541">
        <v>36.9</v>
      </c>
      <c r="F13" s="527">
        <v>73145314</v>
      </c>
      <c r="G13" s="543">
        <v>46071816</v>
      </c>
      <c r="H13" s="527">
        <v>27073498</v>
      </c>
      <c r="I13" s="548">
        <v>35.92</v>
      </c>
      <c r="J13" s="548">
        <v>1.48</v>
      </c>
      <c r="K13" s="531" t="s">
        <v>797</v>
      </c>
      <c r="L13" s="526"/>
      <c r="M13" s="468"/>
    </row>
    <row r="14" spans="1:15" s="523" customFormat="1" ht="21" customHeight="1" x14ac:dyDescent="0.15">
      <c r="A14" s="534" t="s">
        <v>1042</v>
      </c>
      <c r="B14" s="527">
        <v>156562747</v>
      </c>
      <c r="C14" s="543">
        <v>101858184</v>
      </c>
      <c r="D14" s="527">
        <v>54704563</v>
      </c>
      <c r="E14" s="541">
        <v>34.9</v>
      </c>
      <c r="F14" s="527">
        <v>100951083</v>
      </c>
      <c r="G14" s="543">
        <v>65074707</v>
      </c>
      <c r="H14" s="527">
        <v>35876376</v>
      </c>
      <c r="I14" s="548">
        <v>36.14</v>
      </c>
      <c r="J14" s="548">
        <v>1.5</v>
      </c>
      <c r="K14" s="531" t="s">
        <v>1043</v>
      </c>
      <c r="L14" s="526"/>
      <c r="M14" s="547"/>
      <c r="N14" s="526"/>
    </row>
    <row r="15" spans="1:15" s="523" customFormat="1" ht="21" customHeight="1" x14ac:dyDescent="0.15">
      <c r="A15" s="533"/>
      <c r="B15" s="543"/>
      <c r="C15" s="543"/>
      <c r="D15" s="543"/>
      <c r="E15" s="541"/>
      <c r="F15" s="543"/>
      <c r="G15" s="543"/>
      <c r="H15" s="543"/>
      <c r="I15" s="548"/>
      <c r="J15" s="542"/>
      <c r="K15" s="440"/>
      <c r="L15" s="526"/>
      <c r="M15" s="550"/>
      <c r="O15" s="549"/>
    </row>
    <row r="16" spans="1:15" s="523" customFormat="1" ht="21" customHeight="1" x14ac:dyDescent="0.15">
      <c r="A16" s="528" t="s">
        <v>1044</v>
      </c>
      <c r="B16" s="543">
        <v>39999430</v>
      </c>
      <c r="C16" s="543">
        <v>26289189</v>
      </c>
      <c r="D16" s="543">
        <v>13710241</v>
      </c>
      <c r="E16" s="541">
        <v>34.299999999999997</v>
      </c>
      <c r="F16" s="543">
        <v>22123600</v>
      </c>
      <c r="G16" s="543">
        <v>14435469</v>
      </c>
      <c r="H16" s="543">
        <v>7688131</v>
      </c>
      <c r="I16" s="548">
        <v>35.840000000000003</v>
      </c>
      <c r="J16" s="548">
        <v>1.51</v>
      </c>
      <c r="K16" s="531" t="s">
        <v>1045</v>
      </c>
      <c r="L16" s="526"/>
      <c r="M16" s="547"/>
      <c r="N16" s="526"/>
    </row>
    <row r="17" spans="1:15" s="523" customFormat="1" ht="21" customHeight="1" x14ac:dyDescent="0.15">
      <c r="A17" s="528" t="s">
        <v>385</v>
      </c>
      <c r="B17" s="527">
        <v>37599118</v>
      </c>
      <c r="C17" s="527">
        <v>24059489</v>
      </c>
      <c r="D17" s="527">
        <v>13539629</v>
      </c>
      <c r="E17" s="541">
        <v>36</v>
      </c>
      <c r="F17" s="527">
        <v>26454152</v>
      </c>
      <c r="G17" s="527">
        <v>16774972</v>
      </c>
      <c r="H17" s="527">
        <v>9679180</v>
      </c>
      <c r="I17" s="548">
        <v>35.950000000000003</v>
      </c>
      <c r="J17" s="548">
        <v>1.52</v>
      </c>
      <c r="K17" s="532" t="s">
        <v>500</v>
      </c>
      <c r="L17" s="526"/>
      <c r="M17" s="547"/>
      <c r="N17" s="526"/>
    </row>
    <row r="18" spans="1:15" s="523" customFormat="1" ht="21" customHeight="1" x14ac:dyDescent="0.15">
      <c r="A18" s="528" t="s">
        <v>664</v>
      </c>
      <c r="B18" s="527">
        <v>40726679</v>
      </c>
      <c r="C18" s="527">
        <v>24345442</v>
      </c>
      <c r="D18" s="527">
        <v>16381237</v>
      </c>
      <c r="E18" s="541">
        <v>40.200000000000003</v>
      </c>
      <c r="F18" s="527">
        <v>28812311</v>
      </c>
      <c r="G18" s="527">
        <v>17220238</v>
      </c>
      <c r="H18" s="527">
        <v>11592073</v>
      </c>
      <c r="I18" s="548">
        <v>35.659999999999997</v>
      </c>
      <c r="J18" s="548">
        <v>1.54</v>
      </c>
      <c r="K18" s="532" t="s">
        <v>501</v>
      </c>
      <c r="L18" s="526"/>
      <c r="M18" s="547"/>
      <c r="N18" s="526"/>
    </row>
    <row r="19" spans="1:15" s="523" customFormat="1" ht="21" customHeight="1" x14ac:dyDescent="0.15">
      <c r="A19" s="528" t="s">
        <v>384</v>
      </c>
      <c r="B19" s="527">
        <v>40316353</v>
      </c>
      <c r="C19" s="527">
        <v>27421519</v>
      </c>
      <c r="D19" s="527">
        <v>12894834</v>
      </c>
      <c r="E19" s="541">
        <v>32</v>
      </c>
      <c r="F19" s="527">
        <v>25036273</v>
      </c>
      <c r="G19" s="527">
        <v>16954234</v>
      </c>
      <c r="H19" s="527">
        <v>8082039</v>
      </c>
      <c r="I19" s="548">
        <v>36.47</v>
      </c>
      <c r="J19" s="548">
        <v>1.45</v>
      </c>
      <c r="K19" s="532" t="s">
        <v>502</v>
      </c>
      <c r="L19" s="526"/>
      <c r="M19" s="547"/>
      <c r="N19" s="526"/>
    </row>
    <row r="20" spans="1:15" s="523" customFormat="1" ht="21" customHeight="1" x14ac:dyDescent="0.15">
      <c r="A20" s="528" t="s">
        <v>1046</v>
      </c>
      <c r="B20" s="543">
        <v>37920597</v>
      </c>
      <c r="C20" s="543">
        <v>26031734</v>
      </c>
      <c r="D20" s="543">
        <v>11888863</v>
      </c>
      <c r="E20" s="541">
        <v>31.4</v>
      </c>
      <c r="F20" s="527">
        <v>20648347</v>
      </c>
      <c r="G20" s="543">
        <v>14125263</v>
      </c>
      <c r="H20" s="543">
        <v>6523084</v>
      </c>
      <c r="I20" s="542">
        <v>36.5</v>
      </c>
      <c r="J20" s="542">
        <v>1.48</v>
      </c>
      <c r="K20" s="531" t="s">
        <v>1047</v>
      </c>
      <c r="L20" s="526"/>
      <c r="M20" s="547"/>
      <c r="N20" s="526"/>
    </row>
    <row r="21" spans="1:15" s="523" customFormat="1" ht="21" customHeight="1" x14ac:dyDescent="0.15">
      <c r="A21" s="530"/>
      <c r="B21" s="543"/>
      <c r="C21" s="543"/>
      <c r="D21" s="543"/>
      <c r="E21" s="541"/>
      <c r="F21" s="543"/>
      <c r="G21" s="543"/>
      <c r="H21" s="543"/>
      <c r="I21" s="542"/>
      <c r="J21" s="542"/>
      <c r="K21" s="440"/>
      <c r="L21" s="526"/>
      <c r="M21" s="468"/>
    </row>
    <row r="22" spans="1:15" s="523" customFormat="1" ht="21" customHeight="1" x14ac:dyDescent="0.15">
      <c r="A22" s="528" t="s">
        <v>1048</v>
      </c>
      <c r="B22" s="543">
        <v>13384115</v>
      </c>
      <c r="C22" s="543">
        <v>8757458</v>
      </c>
      <c r="D22" s="543">
        <v>4626657</v>
      </c>
      <c r="E22" s="541">
        <v>34.6</v>
      </c>
      <c r="F22" s="543">
        <v>6781864</v>
      </c>
      <c r="G22" s="543">
        <v>4434074</v>
      </c>
      <c r="H22" s="543">
        <v>2347790</v>
      </c>
      <c r="I22" s="542">
        <v>35.53</v>
      </c>
      <c r="J22" s="542">
        <v>1.53</v>
      </c>
      <c r="K22" s="529" t="s">
        <v>799</v>
      </c>
      <c r="L22" s="526"/>
      <c r="M22" s="540"/>
      <c r="N22" s="546"/>
      <c r="O22" s="546"/>
    </row>
    <row r="23" spans="1:15" s="523" customFormat="1" ht="21" customHeight="1" x14ac:dyDescent="0.15">
      <c r="A23" s="528" t="s">
        <v>375</v>
      </c>
      <c r="B23" s="543">
        <v>12463351</v>
      </c>
      <c r="C23" s="543">
        <v>8191208</v>
      </c>
      <c r="D23" s="543">
        <v>4272143</v>
      </c>
      <c r="E23" s="541">
        <v>34.299999999999997</v>
      </c>
      <c r="F23" s="543">
        <v>6903079</v>
      </c>
      <c r="G23" s="543">
        <v>4504538</v>
      </c>
      <c r="H23" s="543">
        <v>2398541</v>
      </c>
      <c r="I23" s="542">
        <v>36.08</v>
      </c>
      <c r="J23" s="542">
        <v>1.5</v>
      </c>
      <c r="K23" s="352" t="s">
        <v>920</v>
      </c>
      <c r="L23" s="526"/>
      <c r="M23" s="540"/>
      <c r="N23" s="546"/>
      <c r="O23" s="546"/>
    </row>
    <row r="24" spans="1:15" s="523" customFormat="1" ht="21" customHeight="1" x14ac:dyDescent="0.15">
      <c r="A24" s="528" t="s">
        <v>374</v>
      </c>
      <c r="B24" s="543">
        <v>14151964</v>
      </c>
      <c r="C24" s="543">
        <v>9340523</v>
      </c>
      <c r="D24" s="543">
        <v>4811441</v>
      </c>
      <c r="E24" s="541">
        <v>34</v>
      </c>
      <c r="F24" s="543">
        <v>8438657</v>
      </c>
      <c r="G24" s="543">
        <v>5496857</v>
      </c>
      <c r="H24" s="543">
        <v>2941800</v>
      </c>
      <c r="I24" s="542">
        <v>35.93</v>
      </c>
      <c r="J24" s="542">
        <v>1.49</v>
      </c>
      <c r="K24" s="352" t="s">
        <v>921</v>
      </c>
      <c r="L24" s="526"/>
      <c r="M24" s="540"/>
      <c r="N24" s="546"/>
      <c r="O24" s="546"/>
    </row>
    <row r="25" spans="1:15" s="523" customFormat="1" ht="21" customHeight="1" x14ac:dyDescent="0.15">
      <c r="A25" s="528" t="s">
        <v>383</v>
      </c>
      <c r="B25" s="543">
        <v>13903226</v>
      </c>
      <c r="C25" s="543">
        <v>9449332</v>
      </c>
      <c r="D25" s="543">
        <v>4453894</v>
      </c>
      <c r="E25" s="541">
        <v>32</v>
      </c>
      <c r="F25" s="543">
        <v>9617088</v>
      </c>
      <c r="G25" s="543">
        <v>6463114</v>
      </c>
      <c r="H25" s="543">
        <v>3153974</v>
      </c>
      <c r="I25" s="542">
        <v>35.46</v>
      </c>
      <c r="J25" s="542">
        <v>1.58</v>
      </c>
      <c r="K25" s="352" t="s">
        <v>922</v>
      </c>
      <c r="L25" s="526"/>
      <c r="M25" s="540"/>
      <c r="N25" s="526"/>
    </row>
    <row r="26" spans="1:15" s="523" customFormat="1" ht="21" customHeight="1" x14ac:dyDescent="0.15">
      <c r="A26" s="528" t="s">
        <v>665</v>
      </c>
      <c r="B26" s="527">
        <v>12828203</v>
      </c>
      <c r="C26" s="543">
        <v>7079756</v>
      </c>
      <c r="D26" s="527">
        <v>5748447</v>
      </c>
      <c r="E26" s="541">
        <v>44.8</v>
      </c>
      <c r="F26" s="527">
        <v>8814844</v>
      </c>
      <c r="G26" s="543">
        <v>4779226</v>
      </c>
      <c r="H26" s="527">
        <v>4035618</v>
      </c>
      <c r="I26" s="545">
        <v>36.21</v>
      </c>
      <c r="J26" s="542">
        <v>1.47</v>
      </c>
      <c r="K26" s="352" t="s">
        <v>477</v>
      </c>
      <c r="L26" s="526"/>
      <c r="M26" s="540"/>
      <c r="N26" s="526"/>
    </row>
    <row r="27" spans="1:15" s="523" customFormat="1" ht="21" customHeight="1" x14ac:dyDescent="0.15">
      <c r="A27" s="528" t="s">
        <v>382</v>
      </c>
      <c r="B27" s="543">
        <v>10867689</v>
      </c>
      <c r="C27" s="543">
        <v>7530401</v>
      </c>
      <c r="D27" s="543">
        <v>3337288</v>
      </c>
      <c r="E27" s="541">
        <v>30.7</v>
      </c>
      <c r="F27" s="543">
        <v>8022220</v>
      </c>
      <c r="G27" s="543">
        <v>5532632</v>
      </c>
      <c r="H27" s="543">
        <v>2489588</v>
      </c>
      <c r="I27" s="542">
        <v>36.25</v>
      </c>
      <c r="J27" s="542">
        <v>1.5</v>
      </c>
      <c r="K27" s="352" t="s">
        <v>924</v>
      </c>
      <c r="L27" s="526"/>
      <c r="M27" s="540"/>
      <c r="N27" s="526"/>
    </row>
    <row r="28" spans="1:15" s="523" customFormat="1" ht="21" customHeight="1" x14ac:dyDescent="0.15">
      <c r="A28" s="528" t="s">
        <v>381</v>
      </c>
      <c r="B28" s="543">
        <v>12885890</v>
      </c>
      <c r="C28" s="543">
        <v>8236168</v>
      </c>
      <c r="D28" s="543">
        <v>4649722</v>
      </c>
      <c r="E28" s="541">
        <v>36.1</v>
      </c>
      <c r="F28" s="543">
        <v>9381008</v>
      </c>
      <c r="G28" s="543">
        <v>5978633</v>
      </c>
      <c r="H28" s="543">
        <v>3402375</v>
      </c>
      <c r="I28" s="542">
        <v>35.81</v>
      </c>
      <c r="J28" s="542">
        <v>1.55</v>
      </c>
      <c r="K28" s="352" t="s">
        <v>925</v>
      </c>
      <c r="L28" s="526"/>
      <c r="M28" s="540"/>
      <c r="N28" s="526"/>
    </row>
    <row r="29" spans="1:15" s="523" customFormat="1" ht="21" customHeight="1" x14ac:dyDescent="0.15">
      <c r="A29" s="528" t="s">
        <v>380</v>
      </c>
      <c r="B29" s="543">
        <v>14692831</v>
      </c>
      <c r="C29" s="543">
        <v>8830904</v>
      </c>
      <c r="D29" s="543">
        <v>5861927</v>
      </c>
      <c r="E29" s="541">
        <v>39.9</v>
      </c>
      <c r="F29" s="543">
        <v>10350727</v>
      </c>
      <c r="G29" s="543">
        <v>6188282</v>
      </c>
      <c r="H29" s="543">
        <v>4162445</v>
      </c>
      <c r="I29" s="542">
        <v>35.520000000000003</v>
      </c>
      <c r="J29" s="542">
        <v>1.57</v>
      </c>
      <c r="K29" s="352" t="s">
        <v>926</v>
      </c>
      <c r="L29" s="526"/>
      <c r="M29" s="540"/>
      <c r="N29" s="526"/>
    </row>
    <row r="30" spans="1:15" s="523" customFormat="1" ht="21" customHeight="1" x14ac:dyDescent="0.15">
      <c r="A30" s="528" t="s">
        <v>379</v>
      </c>
      <c r="B30" s="543">
        <v>13147958</v>
      </c>
      <c r="C30" s="543">
        <v>7278370</v>
      </c>
      <c r="D30" s="543">
        <v>5869588</v>
      </c>
      <c r="E30" s="541">
        <v>44.6</v>
      </c>
      <c r="F30" s="543">
        <v>9080576</v>
      </c>
      <c r="G30" s="543">
        <v>5053323</v>
      </c>
      <c r="H30" s="543">
        <v>4027253</v>
      </c>
      <c r="I30" s="542">
        <v>35.69</v>
      </c>
      <c r="J30" s="542">
        <v>1.51</v>
      </c>
      <c r="K30" s="352" t="s">
        <v>927</v>
      </c>
      <c r="L30" s="526"/>
      <c r="M30" s="540"/>
      <c r="N30" s="526"/>
    </row>
    <row r="31" spans="1:15" s="523" customFormat="1" ht="21" customHeight="1" x14ac:dyDescent="0.15">
      <c r="A31" s="528" t="s">
        <v>378</v>
      </c>
      <c r="B31" s="543">
        <v>13426435</v>
      </c>
      <c r="C31" s="543">
        <v>8790147</v>
      </c>
      <c r="D31" s="543">
        <v>4636288</v>
      </c>
      <c r="E31" s="541">
        <v>34.5</v>
      </c>
      <c r="F31" s="543">
        <v>8807415</v>
      </c>
      <c r="G31" s="543">
        <v>5723655</v>
      </c>
      <c r="H31" s="543">
        <v>3083760</v>
      </c>
      <c r="I31" s="542">
        <v>36.49</v>
      </c>
      <c r="J31" s="542">
        <v>1.45</v>
      </c>
      <c r="K31" s="352" t="s">
        <v>929</v>
      </c>
      <c r="L31" s="526"/>
      <c r="M31" s="540"/>
      <c r="N31" s="526"/>
    </row>
    <row r="32" spans="1:15" s="523" customFormat="1" ht="21" customHeight="1" x14ac:dyDescent="0.15">
      <c r="A32" s="528" t="s">
        <v>377</v>
      </c>
      <c r="B32" s="543">
        <v>12307451</v>
      </c>
      <c r="C32" s="543">
        <v>8677471</v>
      </c>
      <c r="D32" s="543">
        <v>3629980</v>
      </c>
      <c r="E32" s="541">
        <v>29.5</v>
      </c>
      <c r="F32" s="543">
        <v>7650091</v>
      </c>
      <c r="G32" s="543">
        <v>5398270</v>
      </c>
      <c r="H32" s="543">
        <v>2251821</v>
      </c>
      <c r="I32" s="542">
        <v>36.57</v>
      </c>
      <c r="J32" s="542">
        <v>1.4</v>
      </c>
      <c r="K32" s="352" t="s">
        <v>931</v>
      </c>
      <c r="L32" s="526"/>
      <c r="M32" s="540"/>
      <c r="N32" s="526"/>
    </row>
    <row r="33" spans="1:21" s="523" customFormat="1" ht="21" customHeight="1" x14ac:dyDescent="0.15">
      <c r="A33" s="528" t="s">
        <v>376</v>
      </c>
      <c r="B33" s="544">
        <v>14582467</v>
      </c>
      <c r="C33" s="543">
        <v>9953901</v>
      </c>
      <c r="D33" s="543">
        <v>4628566</v>
      </c>
      <c r="E33" s="541">
        <v>31.7</v>
      </c>
      <c r="F33" s="543">
        <v>8578767</v>
      </c>
      <c r="G33" s="543">
        <v>5832309</v>
      </c>
      <c r="H33" s="543">
        <v>2746458</v>
      </c>
      <c r="I33" s="542">
        <v>36.36</v>
      </c>
      <c r="J33" s="542">
        <v>1.48</v>
      </c>
      <c r="K33" s="352" t="s">
        <v>933</v>
      </c>
      <c r="L33" s="526"/>
      <c r="M33" s="540"/>
      <c r="N33" s="526"/>
    </row>
    <row r="34" spans="1:21" s="523" customFormat="1" ht="21" customHeight="1" x14ac:dyDescent="0.15">
      <c r="A34" s="528" t="s">
        <v>1049</v>
      </c>
      <c r="B34" s="544">
        <v>13423041</v>
      </c>
      <c r="C34" s="543">
        <v>9739824</v>
      </c>
      <c r="D34" s="543">
        <v>3683217</v>
      </c>
      <c r="E34" s="541">
        <v>27.4</v>
      </c>
      <c r="F34" s="543">
        <v>7352609</v>
      </c>
      <c r="G34" s="543">
        <v>5312278</v>
      </c>
      <c r="H34" s="543">
        <v>2040331</v>
      </c>
      <c r="I34" s="542">
        <v>36.42</v>
      </c>
      <c r="J34" s="542">
        <v>1.48</v>
      </c>
      <c r="K34" s="529" t="s">
        <v>1050</v>
      </c>
      <c r="L34" s="526"/>
      <c r="M34" s="540"/>
      <c r="N34" s="526"/>
    </row>
    <row r="35" spans="1:21" s="523" customFormat="1" ht="21" customHeight="1" x14ac:dyDescent="0.15">
      <c r="A35" s="528" t="s">
        <v>375</v>
      </c>
      <c r="B35" s="544">
        <v>12141784</v>
      </c>
      <c r="C35" s="543">
        <v>7676217</v>
      </c>
      <c r="D35" s="543">
        <v>4465567</v>
      </c>
      <c r="E35" s="541">
        <v>36.799999999999997</v>
      </c>
      <c r="F35" s="543">
        <v>6689423</v>
      </c>
      <c r="G35" s="543">
        <v>4222790</v>
      </c>
      <c r="H35" s="543">
        <v>2466633</v>
      </c>
      <c r="I35" s="542">
        <v>36.69</v>
      </c>
      <c r="J35" s="542">
        <v>1.48</v>
      </c>
      <c r="K35" s="352" t="s">
        <v>920</v>
      </c>
      <c r="L35" s="526"/>
      <c r="M35" s="540"/>
      <c r="N35" s="526"/>
    </row>
    <row r="36" spans="1:21" s="523" customFormat="1" ht="21" customHeight="1" x14ac:dyDescent="0.15">
      <c r="A36" s="973" t="s">
        <v>374</v>
      </c>
      <c r="B36" s="974">
        <v>12355772</v>
      </c>
      <c r="C36" s="975">
        <v>8615693</v>
      </c>
      <c r="D36" s="975">
        <v>3740079</v>
      </c>
      <c r="E36" s="541">
        <v>30.3</v>
      </c>
      <c r="F36" s="975">
        <v>6606315</v>
      </c>
      <c r="G36" s="975">
        <v>4590195</v>
      </c>
      <c r="H36" s="975">
        <v>2016120</v>
      </c>
      <c r="I36" s="976">
        <v>36.39</v>
      </c>
      <c r="J36" s="976">
        <v>1.49</v>
      </c>
      <c r="K36" s="917" t="s">
        <v>503</v>
      </c>
      <c r="L36" s="526"/>
      <c r="M36" s="540"/>
      <c r="N36" s="526"/>
    </row>
    <row r="37" spans="1:21" ht="15.75" customHeight="1" x14ac:dyDescent="0.15">
      <c r="A37" s="977" t="s">
        <v>373</v>
      </c>
      <c r="B37" s="978"/>
      <c r="C37" s="978"/>
      <c r="D37" s="978"/>
      <c r="E37" s="978"/>
      <c r="F37" s="978"/>
      <c r="G37" s="978"/>
      <c r="H37" s="978"/>
      <c r="I37" s="978"/>
      <c r="J37" s="978"/>
      <c r="K37" s="539"/>
    </row>
    <row r="38" spans="1:21" ht="15.75" customHeight="1" x14ac:dyDescent="0.15">
      <c r="A38" s="560" t="s">
        <v>1051</v>
      </c>
      <c r="B38" s="538"/>
      <c r="C38" s="538"/>
      <c r="D38" s="538"/>
      <c r="E38" s="538"/>
      <c r="F38" s="538"/>
      <c r="G38" s="538"/>
      <c r="H38" s="538"/>
      <c r="I38" s="538"/>
      <c r="J38" s="538"/>
      <c r="K38" s="538"/>
    </row>
    <row r="39" spans="1:21" ht="14.25" x14ac:dyDescent="0.15">
      <c r="K39" s="538"/>
    </row>
    <row r="41" spans="1:21" ht="39.950000000000003" customHeight="1" x14ac:dyDescent="0.15"/>
    <row r="42" spans="1:21" s="523" customFormat="1" ht="20.100000000000001" customHeight="1" x14ac:dyDescent="0.15">
      <c r="L42" s="537" t="s">
        <v>800</v>
      </c>
      <c r="M42" s="536"/>
      <c r="N42" s="536"/>
      <c r="O42" s="536"/>
      <c r="P42" s="536"/>
      <c r="Q42" s="536"/>
      <c r="R42" s="979" t="s">
        <v>390</v>
      </c>
      <c r="S42" s="980"/>
    </row>
    <row r="43" spans="1:21" s="523" customFormat="1" ht="66" customHeight="1" x14ac:dyDescent="0.15">
      <c r="L43" s="1099" t="s">
        <v>602</v>
      </c>
      <c r="M43" s="981" t="s">
        <v>603</v>
      </c>
      <c r="N43" s="982" t="s">
        <v>389</v>
      </c>
      <c r="O43" s="983" t="s">
        <v>666</v>
      </c>
      <c r="P43" s="984" t="s">
        <v>504</v>
      </c>
      <c r="Q43" s="985" t="s">
        <v>505</v>
      </c>
      <c r="R43" s="969" t="s">
        <v>506</v>
      </c>
      <c r="S43" s="1097" t="s">
        <v>604</v>
      </c>
    </row>
    <row r="44" spans="1:21" s="523" customFormat="1" ht="32.1" customHeight="1" x14ac:dyDescent="0.15">
      <c r="L44" s="1100"/>
      <c r="M44" s="986" t="s">
        <v>58</v>
      </c>
      <c r="N44" s="987" t="s">
        <v>388</v>
      </c>
      <c r="O44" s="987" t="s">
        <v>387</v>
      </c>
      <c r="P44" s="972" t="s">
        <v>507</v>
      </c>
      <c r="Q44" s="972" t="s">
        <v>386</v>
      </c>
      <c r="R44" s="972" t="s">
        <v>508</v>
      </c>
      <c r="S44" s="1098"/>
    </row>
    <row r="45" spans="1:21" s="523" customFormat="1" ht="20.25" customHeight="1" x14ac:dyDescent="0.15">
      <c r="L45" s="528" t="s">
        <v>1035</v>
      </c>
      <c r="M45" s="527">
        <v>177477098</v>
      </c>
      <c r="N45" s="527">
        <v>5200552</v>
      </c>
      <c r="O45" s="527">
        <v>1951792</v>
      </c>
      <c r="P45" s="527">
        <v>6673984</v>
      </c>
      <c r="Q45" s="527">
        <v>154204758</v>
      </c>
      <c r="R45" s="527">
        <v>9446012</v>
      </c>
      <c r="S45" s="531" t="s">
        <v>499</v>
      </c>
      <c r="U45" s="526"/>
    </row>
    <row r="46" spans="1:21" s="523" customFormat="1" ht="20.25" customHeight="1" x14ac:dyDescent="0.15">
      <c r="L46" s="528" t="s">
        <v>1036</v>
      </c>
      <c r="M46" s="527">
        <v>175488885</v>
      </c>
      <c r="N46" s="527">
        <v>4063698</v>
      </c>
      <c r="O46" s="527">
        <v>1238908</v>
      </c>
      <c r="P46" s="527">
        <v>7189789</v>
      </c>
      <c r="Q46" s="527">
        <v>154269884</v>
      </c>
      <c r="R46" s="527">
        <v>8726606</v>
      </c>
      <c r="S46" s="531" t="s">
        <v>601</v>
      </c>
      <c r="U46" s="526"/>
    </row>
    <row r="47" spans="1:21" s="523" customFormat="1" ht="20.25" customHeight="1" x14ac:dyDescent="0.15">
      <c r="L47" s="528" t="s">
        <v>1037</v>
      </c>
      <c r="M47" s="527">
        <v>143879667</v>
      </c>
      <c r="N47" s="527">
        <v>940992</v>
      </c>
      <c r="O47" s="527">
        <v>919745</v>
      </c>
      <c r="P47" s="527">
        <v>3927179</v>
      </c>
      <c r="Q47" s="527">
        <v>130335045</v>
      </c>
      <c r="R47" s="527">
        <v>7756706</v>
      </c>
      <c r="S47" s="531" t="s">
        <v>663</v>
      </c>
      <c r="U47" s="526"/>
    </row>
    <row r="48" spans="1:21" s="523" customFormat="1" ht="20.25" customHeight="1" x14ac:dyDescent="0.15">
      <c r="L48" s="528" t="s">
        <v>1038</v>
      </c>
      <c r="M48" s="527">
        <v>144662684</v>
      </c>
      <c r="N48" s="527">
        <v>631863</v>
      </c>
      <c r="O48" s="527">
        <v>466094</v>
      </c>
      <c r="P48" s="527">
        <v>3323962</v>
      </c>
      <c r="Q48" s="527">
        <v>133913027</v>
      </c>
      <c r="R48" s="527">
        <v>6327738</v>
      </c>
      <c r="S48" s="531" t="s">
        <v>796</v>
      </c>
      <c r="U48" s="526"/>
    </row>
    <row r="49" spans="12:21" s="523" customFormat="1" ht="20.25" customHeight="1" x14ac:dyDescent="0.15">
      <c r="L49" s="528" t="s">
        <v>1039</v>
      </c>
      <c r="M49" s="527">
        <v>158641580</v>
      </c>
      <c r="N49" s="527">
        <v>427809</v>
      </c>
      <c r="O49" s="527">
        <v>1793766</v>
      </c>
      <c r="P49" s="527">
        <v>3686105</v>
      </c>
      <c r="Q49" s="527">
        <v>146335498</v>
      </c>
      <c r="R49" s="527">
        <v>6398402</v>
      </c>
      <c r="S49" s="531" t="s">
        <v>1040</v>
      </c>
      <c r="T49" s="526"/>
      <c r="U49" s="526"/>
    </row>
    <row r="50" spans="12:21" s="523" customFormat="1" ht="20.25" customHeight="1" x14ac:dyDescent="0.15">
      <c r="L50" s="535"/>
      <c r="M50" s="527"/>
      <c r="N50" s="527"/>
      <c r="O50" s="527"/>
      <c r="P50" s="527"/>
      <c r="Q50" s="527"/>
      <c r="R50" s="527"/>
      <c r="S50" s="532"/>
      <c r="T50" s="526"/>
      <c r="U50" s="526"/>
    </row>
    <row r="51" spans="12:21" s="523" customFormat="1" ht="20.25" customHeight="1" x14ac:dyDescent="0.15">
      <c r="L51" s="528" t="s">
        <v>1041</v>
      </c>
      <c r="M51" s="527">
        <v>148903593</v>
      </c>
      <c r="N51" s="527">
        <v>525077</v>
      </c>
      <c r="O51" s="527">
        <v>779018</v>
      </c>
      <c r="P51" s="527">
        <v>3758997</v>
      </c>
      <c r="Q51" s="527">
        <v>137905554</v>
      </c>
      <c r="R51" s="527">
        <v>5934947</v>
      </c>
      <c r="S51" s="531" t="s">
        <v>797</v>
      </c>
      <c r="U51" s="526"/>
    </row>
    <row r="52" spans="12:21" s="523" customFormat="1" ht="20.25" customHeight="1" x14ac:dyDescent="0.15">
      <c r="L52" s="534" t="s">
        <v>1042</v>
      </c>
      <c r="M52" s="527">
        <v>156562747</v>
      </c>
      <c r="N52" s="527">
        <v>374866</v>
      </c>
      <c r="O52" s="527">
        <v>1500943</v>
      </c>
      <c r="P52" s="527">
        <v>2997623</v>
      </c>
      <c r="Q52" s="527">
        <v>144716615</v>
      </c>
      <c r="R52" s="527">
        <v>6972700</v>
      </c>
      <c r="S52" s="531" t="s">
        <v>1043</v>
      </c>
      <c r="T52" s="526"/>
      <c r="U52" s="526"/>
    </row>
    <row r="53" spans="12:21" s="523" customFormat="1" ht="20.25" customHeight="1" x14ac:dyDescent="0.15">
      <c r="L53" s="533"/>
      <c r="M53" s="527"/>
      <c r="N53" s="527"/>
      <c r="O53" s="527"/>
      <c r="P53" s="527"/>
      <c r="Q53" s="527"/>
      <c r="R53" s="527"/>
      <c r="S53" s="440"/>
      <c r="U53" s="526"/>
    </row>
    <row r="54" spans="12:21" s="523" customFormat="1" ht="20.25" customHeight="1" x14ac:dyDescent="0.15">
      <c r="L54" s="528" t="s">
        <v>1044</v>
      </c>
      <c r="M54" s="527">
        <v>39999430</v>
      </c>
      <c r="N54" s="527">
        <v>229562</v>
      </c>
      <c r="O54" s="527">
        <v>312924</v>
      </c>
      <c r="P54" s="527">
        <v>1373824</v>
      </c>
      <c r="Q54" s="527">
        <v>36910084</v>
      </c>
      <c r="R54" s="527">
        <v>1173036</v>
      </c>
      <c r="S54" s="531" t="s">
        <v>798</v>
      </c>
      <c r="T54" s="526"/>
      <c r="U54" s="526"/>
    </row>
    <row r="55" spans="12:21" s="523" customFormat="1" ht="20.25" customHeight="1" x14ac:dyDescent="0.15">
      <c r="L55" s="528" t="s">
        <v>385</v>
      </c>
      <c r="M55" s="527">
        <v>37599118</v>
      </c>
      <c r="N55" s="527" t="s">
        <v>599</v>
      </c>
      <c r="O55" s="527">
        <v>837380</v>
      </c>
      <c r="P55" s="527">
        <v>593545</v>
      </c>
      <c r="Q55" s="527">
        <v>34413108</v>
      </c>
      <c r="R55" s="527">
        <v>1755085</v>
      </c>
      <c r="S55" s="532" t="s">
        <v>500</v>
      </c>
      <c r="T55" s="526"/>
      <c r="U55" s="526"/>
    </row>
    <row r="56" spans="12:21" s="523" customFormat="1" ht="20.25" customHeight="1" x14ac:dyDescent="0.15">
      <c r="L56" s="528" t="s">
        <v>664</v>
      </c>
      <c r="M56" s="527">
        <v>40726679</v>
      </c>
      <c r="N56" s="527">
        <v>67344</v>
      </c>
      <c r="O56" s="527">
        <v>512781</v>
      </c>
      <c r="P56" s="527">
        <v>815288</v>
      </c>
      <c r="Q56" s="527">
        <v>37927852</v>
      </c>
      <c r="R56" s="527">
        <v>1403414</v>
      </c>
      <c r="S56" s="532" t="s">
        <v>501</v>
      </c>
      <c r="T56" s="526"/>
      <c r="U56" s="526"/>
    </row>
    <row r="57" spans="12:21" s="523" customFormat="1" ht="20.25" customHeight="1" x14ac:dyDescent="0.15">
      <c r="L57" s="528" t="s">
        <v>384</v>
      </c>
      <c r="M57" s="527">
        <v>40316353</v>
      </c>
      <c r="N57" s="527">
        <v>130903</v>
      </c>
      <c r="O57" s="527">
        <v>130681</v>
      </c>
      <c r="P57" s="527">
        <v>903448</v>
      </c>
      <c r="Q57" s="527">
        <v>37084454</v>
      </c>
      <c r="R57" s="527">
        <v>2066867</v>
      </c>
      <c r="S57" s="532" t="s">
        <v>502</v>
      </c>
      <c r="T57" s="526"/>
      <c r="U57" s="526"/>
    </row>
    <row r="58" spans="12:21" s="523" customFormat="1" ht="20.25" customHeight="1" x14ac:dyDescent="0.15">
      <c r="L58" s="528" t="s">
        <v>1046</v>
      </c>
      <c r="M58" s="527">
        <v>37920597</v>
      </c>
      <c r="N58" s="527">
        <v>176619</v>
      </c>
      <c r="O58" s="527">
        <v>20101</v>
      </c>
      <c r="P58" s="527">
        <v>685342</v>
      </c>
      <c r="Q58" s="527">
        <v>35291201</v>
      </c>
      <c r="R58" s="527">
        <v>1747334</v>
      </c>
      <c r="S58" s="531" t="s">
        <v>1047</v>
      </c>
      <c r="T58" s="526"/>
      <c r="U58" s="526"/>
    </row>
    <row r="59" spans="12:21" s="523" customFormat="1" ht="20.25" customHeight="1" x14ac:dyDescent="0.15">
      <c r="L59" s="530"/>
      <c r="M59" s="527"/>
      <c r="N59" s="527"/>
      <c r="O59" s="527"/>
      <c r="P59" s="527"/>
      <c r="Q59" s="20"/>
      <c r="R59" s="527"/>
      <c r="S59" s="440"/>
      <c r="U59" s="526"/>
    </row>
    <row r="60" spans="12:21" s="523" customFormat="1" ht="20.25" customHeight="1" x14ac:dyDescent="0.15">
      <c r="L60" s="528" t="s">
        <v>1048</v>
      </c>
      <c r="M60" s="527">
        <v>13384115</v>
      </c>
      <c r="N60" s="527" t="s">
        <v>599</v>
      </c>
      <c r="O60" s="527" t="s">
        <v>599</v>
      </c>
      <c r="P60" s="527">
        <v>532138</v>
      </c>
      <c r="Q60" s="527">
        <v>12488420</v>
      </c>
      <c r="R60" s="527">
        <v>363557</v>
      </c>
      <c r="S60" s="529" t="s">
        <v>799</v>
      </c>
      <c r="T60" s="526"/>
      <c r="U60" s="526"/>
    </row>
    <row r="61" spans="12:21" s="523" customFormat="1" ht="20.25" customHeight="1" x14ac:dyDescent="0.15">
      <c r="L61" s="528" t="s">
        <v>375</v>
      </c>
      <c r="M61" s="527">
        <v>12463351</v>
      </c>
      <c r="N61" s="527">
        <v>172335</v>
      </c>
      <c r="O61" s="527" t="s">
        <v>599</v>
      </c>
      <c r="P61" s="527">
        <v>506665</v>
      </c>
      <c r="Q61" s="527">
        <v>11409996</v>
      </c>
      <c r="R61" s="527">
        <v>374355</v>
      </c>
      <c r="S61" s="352" t="s">
        <v>920</v>
      </c>
      <c r="T61" s="526"/>
      <c r="U61" s="526"/>
    </row>
    <row r="62" spans="12:21" s="523" customFormat="1" ht="20.25" customHeight="1" x14ac:dyDescent="0.15">
      <c r="L62" s="528" t="s">
        <v>374</v>
      </c>
      <c r="M62" s="527">
        <v>14151964</v>
      </c>
      <c r="N62" s="527">
        <v>57227</v>
      </c>
      <c r="O62" s="527">
        <v>312924</v>
      </c>
      <c r="P62" s="527">
        <v>335021</v>
      </c>
      <c r="Q62" s="527">
        <v>13011668</v>
      </c>
      <c r="R62" s="527">
        <v>435124</v>
      </c>
      <c r="S62" s="352" t="s">
        <v>921</v>
      </c>
      <c r="T62" s="526"/>
      <c r="U62" s="526"/>
    </row>
    <row r="63" spans="12:21" s="523" customFormat="1" ht="20.25" customHeight="1" x14ac:dyDescent="0.15">
      <c r="L63" s="528" t="s">
        <v>383</v>
      </c>
      <c r="M63" s="527">
        <v>13903226</v>
      </c>
      <c r="N63" s="527" t="s">
        <v>599</v>
      </c>
      <c r="O63" s="527">
        <v>385939</v>
      </c>
      <c r="P63" s="527">
        <v>153550</v>
      </c>
      <c r="Q63" s="527">
        <v>12714053</v>
      </c>
      <c r="R63" s="527">
        <v>649684</v>
      </c>
      <c r="S63" s="352" t="s">
        <v>922</v>
      </c>
      <c r="T63" s="526"/>
      <c r="U63" s="526"/>
    </row>
    <row r="64" spans="12:21" s="523" customFormat="1" ht="20.25" customHeight="1" x14ac:dyDescent="0.15">
      <c r="L64" s="528" t="s">
        <v>665</v>
      </c>
      <c r="M64" s="527">
        <v>12828203</v>
      </c>
      <c r="N64" s="527" t="s">
        <v>599</v>
      </c>
      <c r="O64" s="527" t="s">
        <v>599</v>
      </c>
      <c r="P64" s="527">
        <v>319275</v>
      </c>
      <c r="Q64" s="527">
        <v>11973822</v>
      </c>
      <c r="R64" s="527">
        <v>535106</v>
      </c>
      <c r="S64" s="352" t="s">
        <v>477</v>
      </c>
      <c r="T64" s="526"/>
      <c r="U64" s="526"/>
    </row>
    <row r="65" spans="3:21" s="523" customFormat="1" ht="20.25" customHeight="1" x14ac:dyDescent="0.15">
      <c r="L65" s="528" t="s">
        <v>382</v>
      </c>
      <c r="M65" s="527">
        <v>10867689</v>
      </c>
      <c r="N65" s="527" t="s">
        <v>599</v>
      </c>
      <c r="O65" s="527">
        <v>451441</v>
      </c>
      <c r="P65" s="527">
        <v>120720</v>
      </c>
      <c r="Q65" s="527">
        <v>9725233</v>
      </c>
      <c r="R65" s="527">
        <v>570295</v>
      </c>
      <c r="S65" s="352" t="s">
        <v>924</v>
      </c>
      <c r="T65" s="526"/>
      <c r="U65" s="526"/>
    </row>
    <row r="66" spans="3:21" s="523" customFormat="1" ht="20.25" customHeight="1" x14ac:dyDescent="0.15">
      <c r="L66" s="528" t="s">
        <v>381</v>
      </c>
      <c r="M66" s="527">
        <v>12885890</v>
      </c>
      <c r="N66" s="527" t="s">
        <v>599</v>
      </c>
      <c r="O66" s="527">
        <v>145624</v>
      </c>
      <c r="P66" s="527">
        <v>128520</v>
      </c>
      <c r="Q66" s="527">
        <v>12065863</v>
      </c>
      <c r="R66" s="527">
        <v>545883</v>
      </c>
      <c r="S66" s="352" t="s">
        <v>925</v>
      </c>
      <c r="T66" s="526"/>
      <c r="U66" s="526"/>
    </row>
    <row r="67" spans="3:21" s="523" customFormat="1" ht="20.25" customHeight="1" x14ac:dyDescent="0.15">
      <c r="L67" s="528" t="s">
        <v>380</v>
      </c>
      <c r="M67" s="527">
        <v>14692831</v>
      </c>
      <c r="N67" s="527" t="s">
        <v>599</v>
      </c>
      <c r="O67" s="527">
        <v>171478</v>
      </c>
      <c r="P67" s="527">
        <v>513211</v>
      </c>
      <c r="Q67" s="527">
        <v>13556643</v>
      </c>
      <c r="R67" s="527">
        <v>451499</v>
      </c>
      <c r="S67" s="352" t="s">
        <v>926</v>
      </c>
      <c r="T67" s="526"/>
      <c r="U67" s="526"/>
    </row>
    <row r="68" spans="3:21" s="523" customFormat="1" ht="20.25" customHeight="1" x14ac:dyDescent="0.15">
      <c r="L68" s="528" t="s">
        <v>379</v>
      </c>
      <c r="M68" s="527">
        <v>13147958</v>
      </c>
      <c r="N68" s="527">
        <v>67344</v>
      </c>
      <c r="O68" s="527">
        <v>195679</v>
      </c>
      <c r="P68" s="527">
        <v>173557</v>
      </c>
      <c r="Q68" s="527">
        <v>12305346</v>
      </c>
      <c r="R68" s="527">
        <v>406032</v>
      </c>
      <c r="S68" s="352" t="s">
        <v>927</v>
      </c>
      <c r="T68" s="526"/>
      <c r="U68" s="526"/>
    </row>
    <row r="69" spans="3:21" s="523" customFormat="1" ht="20.25" customHeight="1" x14ac:dyDescent="0.15">
      <c r="L69" s="528" t="s">
        <v>378</v>
      </c>
      <c r="M69" s="527">
        <v>13426435</v>
      </c>
      <c r="N69" s="527">
        <v>63129</v>
      </c>
      <c r="O69" s="527" t="s">
        <v>599</v>
      </c>
      <c r="P69" s="527">
        <v>624706</v>
      </c>
      <c r="Q69" s="527">
        <v>11842789</v>
      </c>
      <c r="R69" s="527">
        <v>895811</v>
      </c>
      <c r="S69" s="352" t="s">
        <v>929</v>
      </c>
      <c r="T69" s="526"/>
      <c r="U69" s="526"/>
    </row>
    <row r="70" spans="3:21" s="523" customFormat="1" ht="20.25" customHeight="1" x14ac:dyDescent="0.15">
      <c r="L70" s="528" t="s">
        <v>377</v>
      </c>
      <c r="M70" s="527">
        <v>12307451</v>
      </c>
      <c r="N70" s="527" t="s">
        <v>599</v>
      </c>
      <c r="O70" s="527">
        <v>43702</v>
      </c>
      <c r="P70" s="527">
        <v>138200</v>
      </c>
      <c r="Q70" s="527">
        <v>11496637</v>
      </c>
      <c r="R70" s="527">
        <v>628912</v>
      </c>
      <c r="S70" s="352" t="s">
        <v>931</v>
      </c>
      <c r="T70" s="526"/>
      <c r="U70" s="526"/>
    </row>
    <row r="71" spans="3:21" s="523" customFormat="1" ht="20.25" customHeight="1" x14ac:dyDescent="0.15">
      <c r="L71" s="528" t="s">
        <v>376</v>
      </c>
      <c r="M71" s="527">
        <v>14582467</v>
      </c>
      <c r="N71" s="527">
        <v>67774</v>
      </c>
      <c r="O71" s="527">
        <v>86979</v>
      </c>
      <c r="P71" s="527">
        <v>140542</v>
      </c>
      <c r="Q71" s="527">
        <v>13745028</v>
      </c>
      <c r="R71" s="527">
        <v>542144</v>
      </c>
      <c r="S71" s="352" t="s">
        <v>933</v>
      </c>
      <c r="T71" s="526"/>
      <c r="U71" s="526"/>
    </row>
    <row r="72" spans="3:21" s="523" customFormat="1" ht="20.25" customHeight="1" x14ac:dyDescent="0.15">
      <c r="L72" s="528" t="s">
        <v>1049</v>
      </c>
      <c r="M72" s="527">
        <v>13423041</v>
      </c>
      <c r="N72" s="527">
        <v>39778</v>
      </c>
      <c r="O72" s="527">
        <v>16406</v>
      </c>
      <c r="P72" s="527">
        <v>225958</v>
      </c>
      <c r="Q72" s="527">
        <v>12589844</v>
      </c>
      <c r="R72" s="527">
        <v>551055</v>
      </c>
      <c r="S72" s="529" t="s">
        <v>1050</v>
      </c>
      <c r="T72" s="526"/>
      <c r="U72" s="526"/>
    </row>
    <row r="73" spans="3:21" s="523" customFormat="1" ht="20.25" customHeight="1" x14ac:dyDescent="0.15">
      <c r="L73" s="528" t="s">
        <v>375</v>
      </c>
      <c r="M73" s="527">
        <v>12141784</v>
      </c>
      <c r="N73" s="527">
        <v>85037</v>
      </c>
      <c r="O73" s="527">
        <v>3695</v>
      </c>
      <c r="P73" s="527">
        <v>153838</v>
      </c>
      <c r="Q73" s="527">
        <v>11368831</v>
      </c>
      <c r="R73" s="527">
        <v>530383</v>
      </c>
      <c r="S73" s="352" t="s">
        <v>920</v>
      </c>
      <c r="T73" s="526"/>
      <c r="U73" s="526"/>
    </row>
    <row r="74" spans="3:21" s="523" customFormat="1" ht="20.25" customHeight="1" x14ac:dyDescent="0.15">
      <c r="L74" s="973" t="s">
        <v>374</v>
      </c>
      <c r="M74" s="960">
        <v>12355772</v>
      </c>
      <c r="N74" s="960">
        <v>51804</v>
      </c>
      <c r="O74" s="960" t="s">
        <v>599</v>
      </c>
      <c r="P74" s="960">
        <v>305546</v>
      </c>
      <c r="Q74" s="960">
        <v>11332526</v>
      </c>
      <c r="R74" s="960">
        <v>665896</v>
      </c>
      <c r="S74" s="917" t="s">
        <v>503</v>
      </c>
      <c r="T74" s="526"/>
      <c r="U74" s="526"/>
    </row>
    <row r="75" spans="3:21" s="523" customFormat="1" ht="18" customHeight="1" x14ac:dyDescent="0.15">
      <c r="L75" s="977" t="s">
        <v>373</v>
      </c>
    </row>
    <row r="76" spans="3:21" s="523" customFormat="1" ht="18" customHeight="1" x14ac:dyDescent="0.15">
      <c r="L76" s="560" t="s">
        <v>1051</v>
      </c>
      <c r="M76" s="525"/>
      <c r="N76" s="524"/>
      <c r="P76" s="524"/>
      <c r="Q76" s="524"/>
    </row>
    <row r="77" spans="3:21" x14ac:dyDescent="0.15">
      <c r="C77" s="522"/>
      <c r="D77" s="522"/>
      <c r="E77" s="522"/>
      <c r="F77" s="522"/>
      <c r="G77" s="522"/>
      <c r="H77" s="522"/>
      <c r="I77" s="522"/>
    </row>
    <row r="78" spans="3:21" x14ac:dyDescent="0.15">
      <c r="C78" s="522"/>
      <c r="E78" s="522"/>
      <c r="F78" s="522"/>
      <c r="G78" s="522"/>
      <c r="H78" s="522"/>
      <c r="I78" s="522"/>
    </row>
    <row r="79" spans="3:21" x14ac:dyDescent="0.15">
      <c r="C79" s="522"/>
    </row>
  </sheetData>
  <mergeCells count="7">
    <mergeCell ref="S43:S44"/>
    <mergeCell ref="A4:A6"/>
    <mergeCell ref="B4:E4"/>
    <mergeCell ref="I4:I5"/>
    <mergeCell ref="J4:J5"/>
    <mergeCell ref="K4:K6"/>
    <mergeCell ref="L43:L44"/>
  </mergeCells>
  <phoneticPr fontId="32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0835-2B82-422A-8E0D-74CDB036E38A}">
  <dimension ref="A1:R54"/>
  <sheetViews>
    <sheetView view="pageBreakPreview" topLeftCell="A16" zoomScale="120" zoomScaleNormal="100" zoomScaleSheetLayoutView="120" workbookViewId="0">
      <selection activeCell="A29" sqref="A29"/>
    </sheetView>
  </sheetViews>
  <sheetFormatPr defaultColWidth="8.875" defaultRowHeight="12" x14ac:dyDescent="0.15"/>
  <cols>
    <col min="1" max="1" width="8.875" style="24" customWidth="1"/>
    <col min="2" max="2" width="13.25" style="24" customWidth="1"/>
    <col min="3" max="3" width="9.25" style="24" customWidth="1"/>
    <col min="4" max="4" width="5.625" style="24" customWidth="1"/>
    <col min="5" max="6" width="9.625" style="24" customWidth="1"/>
    <col min="7" max="7" width="7.125" style="24" customWidth="1"/>
    <col min="8" max="9" width="5.625" style="24" customWidth="1"/>
    <col min="10" max="10" width="1" style="24" customWidth="1"/>
    <col min="11" max="11" width="16.25" style="24" customWidth="1"/>
    <col min="12" max="12" width="4.125" style="24" customWidth="1"/>
    <col min="13" max="13" width="8.875" style="24" customWidth="1"/>
    <col min="14" max="14" width="19.75" style="24" bestFit="1" customWidth="1"/>
    <col min="15" max="15" width="9.25" style="24" bestFit="1" customWidth="1"/>
    <col min="16" max="16" width="11.625" style="24" bestFit="1" customWidth="1"/>
    <col min="17" max="17" width="11.5" style="24" bestFit="1" customWidth="1"/>
    <col min="18" max="18" width="14.25" style="24" bestFit="1" customWidth="1"/>
    <col min="19" max="19" width="14.5" style="24" bestFit="1" customWidth="1"/>
    <col min="20" max="20" width="9.375" style="24" bestFit="1" customWidth="1"/>
    <col min="21" max="21" width="11.625" style="24" bestFit="1" customWidth="1"/>
    <col min="22" max="23" width="8.875" style="24" customWidth="1"/>
    <col min="24" max="24" width="14.625" style="24" customWidth="1"/>
    <col min="25" max="16384" width="8.875" style="24"/>
  </cols>
  <sheetData>
    <row r="1" spans="1:14" s="536" customFormat="1" ht="20.100000000000001" customHeight="1" x14ac:dyDescent="0.15">
      <c r="A1" s="537" t="s">
        <v>1052</v>
      </c>
      <c r="B1" s="24"/>
      <c r="C1" s="267"/>
      <c r="D1" s="267"/>
      <c r="E1" s="267"/>
      <c r="F1" s="267"/>
    </row>
    <row r="2" spans="1:14" s="536" customFormat="1" ht="20.100000000000001" customHeight="1" x14ac:dyDescent="0.15">
      <c r="A2" s="537" t="s">
        <v>1053</v>
      </c>
      <c r="B2" s="24"/>
      <c r="C2" s="267"/>
      <c r="D2" s="267"/>
      <c r="E2" s="267"/>
      <c r="F2" s="267"/>
    </row>
    <row r="3" spans="1:14" s="523" customFormat="1" ht="28.15" customHeight="1" x14ac:dyDescent="0.15">
      <c r="A3" s="948"/>
      <c r="B3" s="949" t="s">
        <v>405</v>
      </c>
      <c r="C3" s="1112" t="s">
        <v>801</v>
      </c>
      <c r="D3" s="1113"/>
      <c r="E3" s="1113"/>
      <c r="F3" s="1113"/>
      <c r="G3" s="1114"/>
      <c r="H3" s="950" t="s">
        <v>605</v>
      </c>
      <c r="I3" s="950" t="s">
        <v>802</v>
      </c>
      <c r="J3" s="1115" t="s">
        <v>803</v>
      </c>
      <c r="K3" s="1116"/>
    </row>
    <row r="4" spans="1:14" s="523" customFormat="1" ht="28.15" customHeight="1" x14ac:dyDescent="0.15">
      <c r="A4" s="475"/>
      <c r="B4" s="731"/>
      <c r="C4" s="582" t="s">
        <v>59</v>
      </c>
      <c r="D4" s="951" t="s">
        <v>647</v>
      </c>
      <c r="E4" s="952" t="s">
        <v>804</v>
      </c>
      <c r="F4" s="952" t="s">
        <v>493</v>
      </c>
      <c r="G4" s="953" t="s">
        <v>805</v>
      </c>
      <c r="H4" s="584" t="s">
        <v>606</v>
      </c>
      <c r="I4" s="583" t="s">
        <v>806</v>
      </c>
      <c r="J4" s="1117"/>
      <c r="K4" s="1118"/>
    </row>
    <row r="5" spans="1:14" s="523" customFormat="1" ht="28.15" customHeight="1" x14ac:dyDescent="0.15">
      <c r="A5" s="290" t="s">
        <v>406</v>
      </c>
      <c r="B5" s="750"/>
      <c r="C5" s="582" t="s">
        <v>58</v>
      </c>
      <c r="D5" s="581" t="s">
        <v>607</v>
      </c>
      <c r="E5" s="580" t="s">
        <v>496</v>
      </c>
      <c r="F5" s="579" t="s">
        <v>497</v>
      </c>
      <c r="G5" s="578" t="s">
        <v>608</v>
      </c>
      <c r="H5" s="577" t="s">
        <v>1054</v>
      </c>
      <c r="I5" s="577" t="s">
        <v>807</v>
      </c>
      <c r="J5" s="1119"/>
      <c r="K5" s="1120"/>
    </row>
    <row r="6" spans="1:14" s="523" customFormat="1" ht="9.75" customHeight="1" x14ac:dyDescent="0.15">
      <c r="A6" s="948"/>
      <c r="B6" s="954"/>
      <c r="C6" s="955"/>
      <c r="D6" s="956"/>
      <c r="E6" s="957"/>
      <c r="F6" s="958"/>
      <c r="G6" s="959"/>
      <c r="H6" s="959"/>
      <c r="I6" s="959"/>
      <c r="J6" s="567"/>
      <c r="K6" s="43"/>
    </row>
    <row r="7" spans="1:14" s="523" customFormat="1" ht="20.25" customHeight="1" x14ac:dyDescent="0.15">
      <c r="A7" s="576" t="s">
        <v>411</v>
      </c>
      <c r="B7" s="566"/>
      <c r="C7" s="527">
        <v>158641580</v>
      </c>
      <c r="D7" s="575">
        <v>100</v>
      </c>
      <c r="E7" s="527">
        <v>102115639</v>
      </c>
      <c r="F7" s="527">
        <v>56525941</v>
      </c>
      <c r="G7" s="585">
        <v>35.630000000000003</v>
      </c>
      <c r="H7" s="572">
        <v>35.979999999999997</v>
      </c>
      <c r="I7" s="572">
        <v>1.5</v>
      </c>
      <c r="J7" s="565" t="s">
        <v>58</v>
      </c>
      <c r="K7" s="43"/>
      <c r="M7" s="526"/>
      <c r="N7" s="526"/>
    </row>
    <row r="8" spans="1:14" s="523" customFormat="1" ht="18" customHeight="1" x14ac:dyDescent="0.15">
      <c r="A8" s="1121"/>
      <c r="B8" s="1122"/>
      <c r="C8" s="527"/>
      <c r="D8" s="575"/>
      <c r="E8" s="527"/>
      <c r="F8" s="527"/>
      <c r="G8" s="585"/>
      <c r="H8" s="572"/>
      <c r="I8" s="572"/>
      <c r="J8" s="565"/>
      <c r="K8" s="43"/>
      <c r="N8" s="526"/>
    </row>
    <row r="9" spans="1:14" s="523" customFormat="1" ht="18" customHeight="1" x14ac:dyDescent="0.15">
      <c r="A9" s="1121" t="s">
        <v>1055</v>
      </c>
      <c r="B9" s="1122"/>
      <c r="C9" s="527">
        <v>2028574</v>
      </c>
      <c r="D9" s="575">
        <v>1.27</v>
      </c>
      <c r="E9" s="527" t="s">
        <v>402</v>
      </c>
      <c r="F9" s="527" t="s">
        <v>402</v>
      </c>
      <c r="G9" s="585" t="s">
        <v>402</v>
      </c>
      <c r="H9" s="572">
        <v>29.13</v>
      </c>
      <c r="I9" s="572">
        <v>2.69</v>
      </c>
      <c r="J9" s="565"/>
      <c r="K9" s="43" t="s">
        <v>439</v>
      </c>
      <c r="N9" s="526"/>
    </row>
    <row r="10" spans="1:14" s="523" customFormat="1" ht="18" customHeight="1" x14ac:dyDescent="0.15">
      <c r="A10" s="1121" t="s">
        <v>29</v>
      </c>
      <c r="B10" s="1122"/>
      <c r="C10" s="527">
        <v>60374739</v>
      </c>
      <c r="D10" s="575">
        <v>38.049999999999997</v>
      </c>
      <c r="E10" s="527">
        <v>54479921</v>
      </c>
      <c r="F10" s="527">
        <v>5894818</v>
      </c>
      <c r="G10" s="585">
        <v>9.76</v>
      </c>
      <c r="H10" s="572">
        <v>35.299999999999997</v>
      </c>
      <c r="I10" s="572">
        <v>1.73</v>
      </c>
      <c r="J10" s="565"/>
      <c r="K10" s="43" t="s">
        <v>35</v>
      </c>
      <c r="N10" s="526"/>
    </row>
    <row r="11" spans="1:14" s="523" customFormat="1" ht="18" customHeight="1" x14ac:dyDescent="0.15">
      <c r="A11" s="1121" t="s">
        <v>30</v>
      </c>
      <c r="B11" s="1122"/>
      <c r="C11" s="527">
        <v>12823959</v>
      </c>
      <c r="D11" s="575">
        <v>8.08</v>
      </c>
      <c r="E11" s="527" t="s">
        <v>402</v>
      </c>
      <c r="F11" s="527" t="s">
        <v>402</v>
      </c>
      <c r="G11" s="585" t="s">
        <v>402</v>
      </c>
      <c r="H11" s="572">
        <v>32.020000000000003</v>
      </c>
      <c r="I11" s="572">
        <v>2.44</v>
      </c>
      <c r="J11" s="565"/>
      <c r="K11" s="43" t="s">
        <v>36</v>
      </c>
      <c r="N11" s="526"/>
    </row>
    <row r="12" spans="1:14" s="523" customFormat="1" ht="18" customHeight="1" x14ac:dyDescent="0.15">
      <c r="A12" s="1121" t="s">
        <v>31</v>
      </c>
      <c r="B12" s="1122"/>
      <c r="C12" s="527">
        <v>11575819</v>
      </c>
      <c r="D12" s="575">
        <v>7.29</v>
      </c>
      <c r="E12" s="527">
        <v>5091155</v>
      </c>
      <c r="F12" s="527">
        <v>6484664</v>
      </c>
      <c r="G12" s="585">
        <v>56.01</v>
      </c>
      <c r="H12" s="572">
        <v>35.4</v>
      </c>
      <c r="I12" s="572">
        <v>1.71</v>
      </c>
      <c r="J12" s="565"/>
      <c r="K12" s="43" t="s">
        <v>37</v>
      </c>
      <c r="N12" s="526"/>
    </row>
    <row r="13" spans="1:14" s="523" customFormat="1" ht="18" customHeight="1" x14ac:dyDescent="0.15">
      <c r="A13" s="1121" t="s">
        <v>61</v>
      </c>
      <c r="B13" s="1122"/>
      <c r="C13" s="527">
        <v>60196846</v>
      </c>
      <c r="D13" s="575">
        <v>37.94</v>
      </c>
      <c r="E13" s="527">
        <v>27235865</v>
      </c>
      <c r="F13" s="527">
        <v>32960981</v>
      </c>
      <c r="G13" s="585">
        <v>54.75</v>
      </c>
      <c r="H13" s="572">
        <v>38.76</v>
      </c>
      <c r="I13" s="572">
        <v>1.08</v>
      </c>
      <c r="J13" s="565"/>
      <c r="K13" s="43" t="s">
        <v>67</v>
      </c>
      <c r="N13" s="526"/>
    </row>
    <row r="14" spans="1:14" s="523" customFormat="1" ht="18" customHeight="1" x14ac:dyDescent="0.15">
      <c r="A14" s="1121" t="s">
        <v>34</v>
      </c>
      <c r="B14" s="1122"/>
      <c r="C14" s="527">
        <v>2062879</v>
      </c>
      <c r="D14" s="575">
        <v>1.3</v>
      </c>
      <c r="E14" s="527" t="s">
        <v>402</v>
      </c>
      <c r="F14" s="527" t="s">
        <v>402</v>
      </c>
      <c r="G14" s="585" t="s">
        <v>402</v>
      </c>
      <c r="H14" s="572">
        <v>36.909999999999997</v>
      </c>
      <c r="I14" s="572">
        <v>0.42</v>
      </c>
      <c r="J14" s="565"/>
      <c r="K14" s="43" t="s">
        <v>68</v>
      </c>
      <c r="N14" s="526"/>
    </row>
    <row r="15" spans="1:14" s="523" customFormat="1" ht="18" customHeight="1" x14ac:dyDescent="0.15">
      <c r="A15" s="1121" t="s">
        <v>75</v>
      </c>
      <c r="B15" s="1122"/>
      <c r="C15" s="527">
        <v>1592968</v>
      </c>
      <c r="D15" s="575">
        <v>1</v>
      </c>
      <c r="E15" s="527" t="s">
        <v>402</v>
      </c>
      <c r="F15" s="527" t="s">
        <v>402</v>
      </c>
      <c r="G15" s="585" t="s">
        <v>402</v>
      </c>
      <c r="H15" s="572">
        <v>40.68</v>
      </c>
      <c r="I15" s="572">
        <v>0.56999999999999995</v>
      </c>
      <c r="J15" s="565"/>
      <c r="K15" s="43" t="s">
        <v>66</v>
      </c>
      <c r="N15" s="526"/>
    </row>
    <row r="16" spans="1:14" s="523" customFormat="1" ht="18" customHeight="1" x14ac:dyDescent="0.15">
      <c r="A16" s="1121" t="s">
        <v>15</v>
      </c>
      <c r="B16" s="1122"/>
      <c r="C16" s="527">
        <v>2966029</v>
      </c>
      <c r="D16" s="575">
        <v>1.86</v>
      </c>
      <c r="E16" s="527" t="s">
        <v>599</v>
      </c>
      <c r="F16" s="527">
        <v>2966029</v>
      </c>
      <c r="G16" s="585">
        <v>100</v>
      </c>
      <c r="H16" s="572">
        <v>17.690000000000001</v>
      </c>
      <c r="I16" s="572">
        <v>2.09</v>
      </c>
      <c r="J16" s="565"/>
      <c r="K16" s="43" t="s">
        <v>24</v>
      </c>
      <c r="N16" s="526"/>
    </row>
    <row r="17" spans="1:14" s="523" customFormat="1" ht="18" customHeight="1" x14ac:dyDescent="0.15">
      <c r="A17" s="1121" t="s">
        <v>62</v>
      </c>
      <c r="B17" s="1122"/>
      <c r="C17" s="527">
        <v>363482</v>
      </c>
      <c r="D17" s="575">
        <v>0.22</v>
      </c>
      <c r="E17" s="527" t="s">
        <v>402</v>
      </c>
      <c r="F17" s="527" t="s">
        <v>402</v>
      </c>
      <c r="G17" s="585" t="s">
        <v>402</v>
      </c>
      <c r="H17" s="572">
        <v>24.84</v>
      </c>
      <c r="I17" s="572">
        <v>0.16</v>
      </c>
      <c r="J17" s="565"/>
      <c r="K17" s="43" t="s">
        <v>56</v>
      </c>
      <c r="N17" s="526"/>
    </row>
    <row r="18" spans="1:14" ht="18" customHeight="1" x14ac:dyDescent="0.15">
      <c r="A18" s="1108" t="s">
        <v>401</v>
      </c>
      <c r="B18" s="1109"/>
      <c r="C18" s="960">
        <v>4656285</v>
      </c>
      <c r="D18" s="961">
        <v>2.93</v>
      </c>
      <c r="E18" s="960">
        <v>1348825</v>
      </c>
      <c r="F18" s="960">
        <v>3307460</v>
      </c>
      <c r="G18" s="962">
        <v>71.03</v>
      </c>
      <c r="H18" s="963">
        <v>34.619999999999997</v>
      </c>
      <c r="I18" s="963">
        <v>1.08</v>
      </c>
      <c r="J18" s="964"/>
      <c r="K18" s="965" t="s">
        <v>400</v>
      </c>
      <c r="M18" s="526"/>
      <c r="N18" s="526"/>
    </row>
    <row r="19" spans="1:14" s="523" customFormat="1" ht="18" customHeight="1" x14ac:dyDescent="0.15">
      <c r="A19" s="560" t="s">
        <v>399</v>
      </c>
      <c r="B19" s="559"/>
      <c r="C19" s="558"/>
      <c r="D19" s="558"/>
      <c r="E19" s="43"/>
      <c r="F19" s="43"/>
      <c r="G19" s="556"/>
      <c r="H19" s="555"/>
      <c r="I19" s="555"/>
      <c r="J19" s="554"/>
      <c r="K19" s="43"/>
      <c r="M19" s="526"/>
    </row>
    <row r="20" spans="1:14" s="523" customFormat="1" ht="18" customHeight="1" x14ac:dyDescent="0.15">
      <c r="A20" s="560" t="s">
        <v>410</v>
      </c>
      <c r="B20" s="559"/>
      <c r="C20" s="558"/>
      <c r="D20" s="558"/>
      <c r="E20" s="43"/>
      <c r="F20" s="43"/>
      <c r="G20" s="556"/>
      <c r="H20" s="555"/>
      <c r="I20" s="555"/>
      <c r="J20" s="554"/>
      <c r="K20" s="43"/>
      <c r="M20" s="526"/>
    </row>
    <row r="21" spans="1:14" s="523" customFormat="1" ht="18" customHeight="1" x14ac:dyDescent="0.15">
      <c r="A21" s="560" t="s">
        <v>1056</v>
      </c>
      <c r="B21" s="559"/>
      <c r="C21" s="558"/>
      <c r="D21" s="558"/>
      <c r="E21" s="43"/>
      <c r="F21" s="43"/>
      <c r="G21" s="556"/>
      <c r="H21" s="555"/>
      <c r="I21" s="555"/>
      <c r="J21" s="554"/>
      <c r="K21" s="43"/>
      <c r="M21" s="526"/>
    </row>
    <row r="22" spans="1:14" s="523" customFormat="1" ht="18" customHeight="1" x14ac:dyDescent="0.15">
      <c r="A22" s="560" t="s">
        <v>1057</v>
      </c>
      <c r="B22" s="468"/>
      <c r="C22" s="468"/>
      <c r="D22" s="468"/>
      <c r="E22" s="468"/>
      <c r="F22" s="468"/>
      <c r="G22" s="556"/>
      <c r="H22" s="555"/>
      <c r="I22" s="555"/>
      <c r="J22" s="554"/>
      <c r="K22" s="43"/>
      <c r="M22" s="526"/>
    </row>
    <row r="23" spans="1:14" s="523" customFormat="1" ht="18" customHeight="1" x14ac:dyDescent="0.15">
      <c r="A23" s="560" t="s">
        <v>1058</v>
      </c>
      <c r="B23" s="468"/>
      <c r="C23" s="468"/>
      <c r="D23" s="468"/>
      <c r="E23" s="468"/>
      <c r="F23" s="468"/>
      <c r="G23" s="556"/>
      <c r="H23" s="555"/>
      <c r="I23" s="555"/>
      <c r="J23" s="554"/>
      <c r="K23" s="43"/>
      <c r="M23" s="526"/>
    </row>
    <row r="24" spans="1:14" s="523" customFormat="1" ht="18" customHeight="1" x14ac:dyDescent="0.15">
      <c r="A24" s="560" t="s">
        <v>1059</v>
      </c>
      <c r="B24" s="468"/>
      <c r="C24" s="468"/>
      <c r="D24" s="468"/>
      <c r="E24" s="468"/>
      <c r="F24" s="468"/>
      <c r="G24" s="556"/>
      <c r="H24" s="555"/>
      <c r="I24" s="555"/>
      <c r="J24" s="554"/>
      <c r="K24" s="43"/>
      <c r="M24" s="526"/>
    </row>
    <row r="25" spans="1:14" s="523" customFormat="1" ht="18" customHeight="1" x14ac:dyDescent="0.15">
      <c r="A25" s="560" t="s">
        <v>1060</v>
      </c>
      <c r="B25" s="557"/>
      <c r="C25" s="557"/>
      <c r="D25" s="557"/>
      <c r="E25" s="557"/>
      <c r="F25" s="557"/>
      <c r="G25" s="556"/>
      <c r="H25" s="555"/>
      <c r="I25" s="555"/>
      <c r="J25" s="554"/>
      <c r="K25" s="43"/>
      <c r="M25" s="526"/>
    </row>
    <row r="26" spans="1:14" s="523" customFormat="1" ht="18" customHeight="1" x14ac:dyDescent="0.15">
      <c r="A26" s="557" t="s">
        <v>1061</v>
      </c>
      <c r="B26" s="557"/>
      <c r="C26" s="557"/>
      <c r="D26" s="557"/>
      <c r="E26" s="557"/>
      <c r="F26" s="557"/>
      <c r="G26" s="556"/>
      <c r="H26" s="555"/>
      <c r="I26" s="555"/>
      <c r="J26" s="554"/>
      <c r="K26" s="43"/>
      <c r="M26" s="526"/>
    </row>
    <row r="27" spans="1:14" s="523" customFormat="1" ht="18" customHeight="1" x14ac:dyDescent="0.15">
      <c r="A27" s="557" t="s">
        <v>808</v>
      </c>
      <c r="B27" s="557"/>
      <c r="C27" s="557"/>
      <c r="D27" s="557"/>
      <c r="E27" s="557"/>
      <c r="F27" s="557"/>
      <c r="G27" s="557"/>
      <c r="H27" s="557"/>
      <c r="I27" s="557"/>
      <c r="J27" s="554"/>
      <c r="K27" s="43"/>
      <c r="M27" s="526"/>
    </row>
    <row r="28" spans="1:14" s="523" customFormat="1" ht="20.25" customHeight="1" x14ac:dyDescent="0.15">
      <c r="A28" s="468"/>
      <c r="B28" s="468"/>
      <c r="C28" s="468"/>
      <c r="D28" s="468"/>
      <c r="E28" s="468"/>
      <c r="F28" s="468"/>
      <c r="G28" s="468"/>
      <c r="H28" s="468"/>
      <c r="I28" s="468"/>
      <c r="J28" s="468"/>
      <c r="K28" s="468"/>
    </row>
    <row r="29" spans="1:14" s="536" customFormat="1" ht="19.5" customHeight="1" x14ac:dyDescent="0.15">
      <c r="A29" s="537" t="s">
        <v>1062</v>
      </c>
      <c r="B29" s="24"/>
      <c r="C29" s="518"/>
      <c r="D29" s="518"/>
      <c r="E29" s="518"/>
      <c r="F29" s="518"/>
      <c r="G29" s="518"/>
      <c r="H29" s="518"/>
      <c r="I29" s="518"/>
      <c r="J29" s="518"/>
      <c r="K29" s="518"/>
    </row>
    <row r="30" spans="1:14" s="536" customFormat="1" ht="19.5" customHeight="1" x14ac:dyDescent="0.15">
      <c r="A30" s="537" t="s">
        <v>824</v>
      </c>
      <c r="B30" s="24"/>
      <c r="C30" s="518"/>
      <c r="D30" s="518"/>
      <c r="E30" s="518"/>
      <c r="F30" s="518"/>
      <c r="G30" s="518"/>
      <c r="H30" s="518"/>
      <c r="I30" s="518"/>
      <c r="J30" s="518"/>
      <c r="K30" s="518"/>
    </row>
    <row r="31" spans="1:14" s="523" customFormat="1" ht="27.75" customHeight="1" x14ac:dyDescent="0.15">
      <c r="A31" s="948"/>
      <c r="B31" s="949" t="s">
        <v>405</v>
      </c>
      <c r="C31" s="1112" t="s">
        <v>801</v>
      </c>
      <c r="D31" s="1113"/>
      <c r="E31" s="1113"/>
      <c r="F31" s="1113"/>
      <c r="G31" s="1114"/>
      <c r="H31" s="950" t="s">
        <v>605</v>
      </c>
      <c r="I31" s="950" t="s">
        <v>802</v>
      </c>
      <c r="J31" s="1115" t="s">
        <v>803</v>
      </c>
      <c r="K31" s="1116"/>
    </row>
    <row r="32" spans="1:14" s="523" customFormat="1" ht="27.75" customHeight="1" x14ac:dyDescent="0.15">
      <c r="A32" s="475"/>
      <c r="B32" s="731"/>
      <c r="C32" s="582" t="s">
        <v>59</v>
      </c>
      <c r="D32" s="951" t="s">
        <v>647</v>
      </c>
      <c r="E32" s="952" t="s">
        <v>804</v>
      </c>
      <c r="F32" s="952" t="s">
        <v>493</v>
      </c>
      <c r="G32" s="953" t="s">
        <v>805</v>
      </c>
      <c r="H32" s="584" t="s">
        <v>606</v>
      </c>
      <c r="I32" s="583" t="s">
        <v>806</v>
      </c>
      <c r="J32" s="1117"/>
      <c r="K32" s="1118"/>
    </row>
    <row r="33" spans="1:14" s="523" customFormat="1" ht="27.75" customHeight="1" x14ac:dyDescent="0.15">
      <c r="A33" s="290" t="s">
        <v>406</v>
      </c>
      <c r="B33" s="750"/>
      <c r="C33" s="582" t="s">
        <v>58</v>
      </c>
      <c r="D33" s="581" t="s">
        <v>607</v>
      </c>
      <c r="E33" s="580" t="s">
        <v>496</v>
      </c>
      <c r="F33" s="579" t="s">
        <v>497</v>
      </c>
      <c r="G33" s="578" t="s">
        <v>608</v>
      </c>
      <c r="H33" s="577" t="s">
        <v>1054</v>
      </c>
      <c r="I33" s="577" t="s">
        <v>807</v>
      </c>
      <c r="J33" s="1119"/>
      <c r="K33" s="1120"/>
    </row>
    <row r="34" spans="1:14" s="523" customFormat="1" ht="9.75" customHeight="1" x14ac:dyDescent="0.15">
      <c r="A34" s="948"/>
      <c r="B34" s="954"/>
      <c r="C34" s="955"/>
      <c r="D34" s="956"/>
      <c r="E34" s="957"/>
      <c r="F34" s="958"/>
      <c r="G34" s="959"/>
      <c r="H34" s="959"/>
      <c r="I34" s="959"/>
      <c r="J34" s="567"/>
      <c r="K34" s="43"/>
    </row>
    <row r="35" spans="1:14" s="523" customFormat="1" ht="20.25" customHeight="1" x14ac:dyDescent="0.15">
      <c r="A35" s="576" t="s">
        <v>411</v>
      </c>
      <c r="B35" s="566"/>
      <c r="C35" s="527">
        <v>156562747</v>
      </c>
      <c r="D35" s="575">
        <v>100</v>
      </c>
      <c r="E35" s="527">
        <v>101858184</v>
      </c>
      <c r="F35" s="527">
        <v>54704563</v>
      </c>
      <c r="G35" s="575">
        <v>34.94</v>
      </c>
      <c r="H35" s="572">
        <v>36.14</v>
      </c>
      <c r="I35" s="572">
        <v>1.5</v>
      </c>
      <c r="J35" s="565" t="s">
        <v>58</v>
      </c>
      <c r="K35" s="43"/>
      <c r="M35" s="526"/>
      <c r="N35" s="526"/>
    </row>
    <row r="36" spans="1:14" s="523" customFormat="1" ht="18" customHeight="1" x14ac:dyDescent="0.15">
      <c r="A36" s="1110"/>
      <c r="B36" s="1111"/>
      <c r="C36" s="527"/>
      <c r="D36" s="575"/>
      <c r="E36" s="527"/>
      <c r="F36" s="527"/>
      <c r="G36" s="575"/>
      <c r="H36" s="572"/>
      <c r="I36" s="572"/>
      <c r="J36" s="554"/>
      <c r="K36" s="564"/>
      <c r="M36" s="526"/>
      <c r="N36" s="526"/>
    </row>
    <row r="37" spans="1:14" s="523" customFormat="1" ht="18" customHeight="1" x14ac:dyDescent="0.15">
      <c r="A37" s="1110" t="s">
        <v>438</v>
      </c>
      <c r="B37" s="1111"/>
      <c r="C37" s="527">
        <v>1521617</v>
      </c>
      <c r="D37" s="575">
        <v>0.97</v>
      </c>
      <c r="E37" s="527" t="s">
        <v>402</v>
      </c>
      <c r="F37" s="527" t="s">
        <v>402</v>
      </c>
      <c r="G37" s="575" t="s">
        <v>402</v>
      </c>
      <c r="H37" s="572">
        <v>29.24</v>
      </c>
      <c r="I37" s="572">
        <v>2.69</v>
      </c>
      <c r="J37" s="554"/>
      <c r="K37" s="564" t="s">
        <v>439</v>
      </c>
      <c r="M37" s="526"/>
      <c r="N37" s="526"/>
    </row>
    <row r="38" spans="1:14" s="523" customFormat="1" ht="18" customHeight="1" x14ac:dyDescent="0.15">
      <c r="A38" s="1110" t="s">
        <v>29</v>
      </c>
      <c r="B38" s="1111"/>
      <c r="C38" s="527">
        <v>61385051</v>
      </c>
      <c r="D38" s="575">
        <v>39.200000000000003</v>
      </c>
      <c r="E38" s="527">
        <v>54856911</v>
      </c>
      <c r="F38" s="527">
        <v>6528140</v>
      </c>
      <c r="G38" s="575">
        <v>10.63</v>
      </c>
      <c r="H38" s="572">
        <v>35.5</v>
      </c>
      <c r="I38" s="572">
        <v>1.69</v>
      </c>
      <c r="J38" s="554"/>
      <c r="K38" s="564" t="s">
        <v>35</v>
      </c>
      <c r="M38" s="526"/>
      <c r="N38" s="526"/>
    </row>
    <row r="39" spans="1:14" s="523" customFormat="1" ht="18" customHeight="1" x14ac:dyDescent="0.15">
      <c r="A39" s="1110" t="s">
        <v>30</v>
      </c>
      <c r="B39" s="1111"/>
      <c r="C39" s="527">
        <v>13374489</v>
      </c>
      <c r="D39" s="575">
        <v>8.5399999999999991</v>
      </c>
      <c r="E39" s="527">
        <v>12900048</v>
      </c>
      <c r="F39" s="527">
        <v>474441</v>
      </c>
      <c r="G39" s="575">
        <v>3.54</v>
      </c>
      <c r="H39" s="572">
        <v>32.380000000000003</v>
      </c>
      <c r="I39" s="572">
        <v>2.41</v>
      </c>
      <c r="J39" s="554"/>
      <c r="K39" s="564" t="s">
        <v>36</v>
      </c>
      <c r="M39" s="526"/>
      <c r="N39" s="526"/>
    </row>
    <row r="40" spans="1:14" s="523" customFormat="1" ht="18" customHeight="1" x14ac:dyDescent="0.15">
      <c r="A40" s="1110" t="s">
        <v>31</v>
      </c>
      <c r="B40" s="1111"/>
      <c r="C40" s="527">
        <v>10177232</v>
      </c>
      <c r="D40" s="575">
        <v>6.5</v>
      </c>
      <c r="E40" s="527">
        <v>4842120</v>
      </c>
      <c r="F40" s="527">
        <v>5335112</v>
      </c>
      <c r="G40" s="575">
        <v>52.42</v>
      </c>
      <c r="H40" s="572">
        <v>35.200000000000003</v>
      </c>
      <c r="I40" s="572">
        <v>1.72</v>
      </c>
      <c r="J40" s="554"/>
      <c r="K40" s="564" t="s">
        <v>37</v>
      </c>
      <c r="M40" s="526"/>
      <c r="N40" s="526"/>
    </row>
    <row r="41" spans="1:14" s="523" customFormat="1" ht="18" customHeight="1" x14ac:dyDescent="0.15">
      <c r="A41" s="1110" t="s">
        <v>61</v>
      </c>
      <c r="B41" s="1111"/>
      <c r="C41" s="527">
        <v>60310672</v>
      </c>
      <c r="D41" s="575">
        <v>38.520000000000003</v>
      </c>
      <c r="E41" s="527">
        <v>27031687</v>
      </c>
      <c r="F41" s="527">
        <v>33278985</v>
      </c>
      <c r="G41" s="575">
        <v>55.17</v>
      </c>
      <c r="H41" s="572">
        <v>38.82</v>
      </c>
      <c r="I41" s="572">
        <v>1.07</v>
      </c>
      <c r="J41" s="554"/>
      <c r="K41" s="564" t="s">
        <v>67</v>
      </c>
      <c r="M41" s="526"/>
      <c r="N41" s="526"/>
    </row>
    <row r="42" spans="1:14" s="523" customFormat="1" ht="18" customHeight="1" x14ac:dyDescent="0.15">
      <c r="A42" s="1110" t="s">
        <v>75</v>
      </c>
      <c r="B42" s="1111"/>
      <c r="C42" s="527">
        <v>2286940</v>
      </c>
      <c r="D42" s="575">
        <v>1.46</v>
      </c>
      <c r="E42" s="527" t="s">
        <v>402</v>
      </c>
      <c r="F42" s="527" t="s">
        <v>402</v>
      </c>
      <c r="G42" s="575" t="s">
        <v>402</v>
      </c>
      <c r="H42" s="572">
        <v>38.82</v>
      </c>
      <c r="I42" s="572">
        <v>0.77</v>
      </c>
      <c r="J42" s="554"/>
      <c r="K42" s="564" t="s">
        <v>66</v>
      </c>
      <c r="M42" s="526"/>
      <c r="N42" s="526"/>
    </row>
    <row r="43" spans="1:14" s="523" customFormat="1" ht="18" customHeight="1" x14ac:dyDescent="0.15">
      <c r="A43" s="1110" t="s">
        <v>15</v>
      </c>
      <c r="B43" s="1111"/>
      <c r="C43" s="527">
        <v>2601623</v>
      </c>
      <c r="D43" s="575">
        <v>1.66</v>
      </c>
      <c r="E43" s="527" t="s">
        <v>599</v>
      </c>
      <c r="F43" s="527">
        <v>2601623</v>
      </c>
      <c r="G43" s="575">
        <v>100</v>
      </c>
      <c r="H43" s="572">
        <v>17.309999999999999</v>
      </c>
      <c r="I43" s="572">
        <v>2.13</v>
      </c>
      <c r="J43" s="554"/>
      <c r="K43" s="564" t="s">
        <v>24</v>
      </c>
      <c r="M43" s="526"/>
      <c r="N43" s="526"/>
    </row>
    <row r="44" spans="1:14" s="523" customFormat="1" ht="18" customHeight="1" x14ac:dyDescent="0.15">
      <c r="A44" s="1110" t="s">
        <v>62</v>
      </c>
      <c r="B44" s="1111"/>
      <c r="C44" s="527">
        <v>275845</v>
      </c>
      <c r="D44" s="575">
        <v>0.17</v>
      </c>
      <c r="E44" s="527" t="s">
        <v>402</v>
      </c>
      <c r="F44" s="527" t="s">
        <v>402</v>
      </c>
      <c r="G44" s="575" t="s">
        <v>402</v>
      </c>
      <c r="H44" s="572">
        <v>27.02</v>
      </c>
      <c r="I44" s="572">
        <v>0.12</v>
      </c>
      <c r="J44" s="554"/>
      <c r="K44" s="564" t="s">
        <v>56</v>
      </c>
      <c r="M44" s="526"/>
      <c r="N44" s="526"/>
    </row>
    <row r="45" spans="1:14" ht="18" customHeight="1" x14ac:dyDescent="0.15">
      <c r="A45" s="1108" t="s">
        <v>401</v>
      </c>
      <c r="B45" s="1109"/>
      <c r="C45" s="960">
        <v>4629278</v>
      </c>
      <c r="D45" s="961">
        <v>2.95</v>
      </c>
      <c r="E45" s="960">
        <v>1807985</v>
      </c>
      <c r="F45" s="960">
        <v>2821293</v>
      </c>
      <c r="G45" s="961">
        <v>60.94</v>
      </c>
      <c r="H45" s="963">
        <v>34.75</v>
      </c>
      <c r="I45" s="963">
        <v>1.04</v>
      </c>
      <c r="J45" s="964"/>
      <c r="K45" s="965" t="s">
        <v>400</v>
      </c>
    </row>
    <row r="46" spans="1:14" ht="18" customHeight="1" x14ac:dyDescent="0.15">
      <c r="A46" s="560" t="s">
        <v>399</v>
      </c>
      <c r="B46" s="559"/>
      <c r="C46" s="558"/>
      <c r="D46" s="558"/>
      <c r="E46" s="43"/>
      <c r="F46" s="43"/>
      <c r="G46" s="556"/>
      <c r="H46" s="555"/>
      <c r="I46" s="555"/>
      <c r="J46" s="554"/>
      <c r="K46" s="43"/>
    </row>
    <row r="47" spans="1:14" ht="18" customHeight="1" x14ac:dyDescent="0.15">
      <c r="A47" s="560" t="s">
        <v>410</v>
      </c>
      <c r="B47" s="559"/>
      <c r="C47" s="558"/>
      <c r="D47" s="558"/>
      <c r="E47" s="43"/>
      <c r="F47" s="43"/>
      <c r="G47" s="556"/>
      <c r="H47" s="555"/>
      <c r="I47" s="555"/>
      <c r="J47" s="554"/>
      <c r="K47" s="43"/>
    </row>
    <row r="48" spans="1:14" ht="18" customHeight="1" x14ac:dyDescent="0.15">
      <c r="A48" s="560" t="s">
        <v>1063</v>
      </c>
      <c r="B48" s="559"/>
      <c r="C48" s="558"/>
      <c r="D48" s="558"/>
      <c r="E48" s="43"/>
      <c r="F48" s="43"/>
      <c r="G48" s="556"/>
      <c r="H48" s="555"/>
      <c r="I48" s="555"/>
      <c r="J48" s="554"/>
      <c r="K48" s="43"/>
    </row>
    <row r="49" spans="1:18" ht="18" customHeight="1" x14ac:dyDescent="0.15">
      <c r="A49" s="560" t="s">
        <v>1064</v>
      </c>
      <c r="B49" s="468"/>
      <c r="C49" s="468"/>
      <c r="D49" s="468"/>
      <c r="E49" s="468"/>
      <c r="F49" s="468"/>
      <c r="G49" s="556"/>
      <c r="H49" s="555"/>
      <c r="I49" s="555"/>
      <c r="J49" s="554"/>
      <c r="K49" s="43"/>
    </row>
    <row r="50" spans="1:18" ht="18" customHeight="1" x14ac:dyDescent="0.15">
      <c r="A50" s="560" t="s">
        <v>1065</v>
      </c>
      <c r="B50" s="468"/>
      <c r="C50" s="468"/>
      <c r="D50" s="468"/>
      <c r="E50" s="468"/>
      <c r="F50" s="468"/>
      <c r="G50" s="556"/>
      <c r="H50" s="555"/>
      <c r="I50" s="555"/>
      <c r="J50" s="554"/>
      <c r="K50" s="43"/>
    </row>
    <row r="51" spans="1:18" ht="18" customHeight="1" x14ac:dyDescent="0.15">
      <c r="A51" s="560" t="s">
        <v>1059</v>
      </c>
      <c r="B51" s="468"/>
      <c r="C51" s="468"/>
      <c r="D51" s="468"/>
      <c r="E51" s="468"/>
      <c r="F51" s="468"/>
      <c r="G51" s="556"/>
      <c r="H51" s="555"/>
      <c r="I51" s="555"/>
      <c r="J51" s="554"/>
      <c r="K51" s="43"/>
    </row>
    <row r="52" spans="1:18" ht="18" customHeight="1" x14ac:dyDescent="0.15">
      <c r="A52" s="560" t="s">
        <v>1066</v>
      </c>
      <c r="B52" s="557"/>
      <c r="C52" s="557"/>
      <c r="D52" s="557"/>
      <c r="E52" s="557"/>
      <c r="F52" s="557"/>
      <c r="G52" s="556"/>
      <c r="H52" s="555"/>
      <c r="I52" s="555"/>
      <c r="J52" s="554"/>
      <c r="K52" s="43"/>
      <c r="L52" s="752"/>
      <c r="M52" s="752"/>
      <c r="N52" s="752"/>
      <c r="O52" s="752"/>
      <c r="P52" s="752"/>
      <c r="Q52" s="752"/>
      <c r="R52" s="752"/>
    </row>
    <row r="53" spans="1:18" ht="18" customHeight="1" x14ac:dyDescent="0.15">
      <c r="A53" s="557" t="s">
        <v>809</v>
      </c>
      <c r="B53" s="557"/>
      <c r="C53" s="557"/>
      <c r="D53" s="557"/>
      <c r="E53" s="557"/>
      <c r="F53" s="557"/>
    </row>
    <row r="54" spans="1:18" ht="14.25" x14ac:dyDescent="0.15">
      <c r="E54" s="525"/>
    </row>
  </sheetData>
  <mergeCells count="25">
    <mergeCell ref="A11:B11"/>
    <mergeCell ref="C3:G3"/>
    <mergeCell ref="J3:K5"/>
    <mergeCell ref="A8:B8"/>
    <mergeCell ref="A9:B9"/>
    <mergeCell ref="A10:B10"/>
    <mergeCell ref="A38:B38"/>
    <mergeCell ref="A12:B12"/>
    <mergeCell ref="A13:B13"/>
    <mergeCell ref="A14:B14"/>
    <mergeCell ref="A15:B15"/>
    <mergeCell ref="A16:B16"/>
    <mergeCell ref="A17:B17"/>
    <mergeCell ref="A18:B18"/>
    <mergeCell ref="C31:G31"/>
    <mergeCell ref="J31:K33"/>
    <mergeCell ref="A36:B36"/>
    <mergeCell ref="A37:B37"/>
    <mergeCell ref="A45:B45"/>
    <mergeCell ref="A39:B39"/>
    <mergeCell ref="A40:B40"/>
    <mergeCell ref="A41:B41"/>
    <mergeCell ref="A42:B42"/>
    <mergeCell ref="A43:B43"/>
    <mergeCell ref="A44:B44"/>
  </mergeCells>
  <phoneticPr fontId="32"/>
  <pageMargins left="0.59055118110236227" right="0.59055118110236227" top="0.59055118110236227" bottom="0.59055118110236227" header="0.51181102362204722" footer="0.51181102362204722"/>
  <pageSetup paperSize="9" orientation="portrait" r:id="rId1"/>
  <headerFooter alignWithMargins="0"/>
  <rowBreaks count="1" manualBreakCount="1">
    <brk id="27" max="11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F229-D5F0-47E2-AC06-920235E6AF51}">
  <dimension ref="A1:K52"/>
  <sheetViews>
    <sheetView view="pageBreakPreview" topLeftCell="A9" zoomScaleNormal="25" zoomScaleSheetLayoutView="100" workbookViewId="0">
      <selection activeCell="A28" sqref="A28"/>
    </sheetView>
  </sheetViews>
  <sheetFormatPr defaultColWidth="8.875" defaultRowHeight="12" x14ac:dyDescent="0.15"/>
  <cols>
    <col min="1" max="1" width="20.25" style="24" customWidth="1"/>
    <col min="2" max="2" width="13.625" style="24" customWidth="1"/>
    <col min="3" max="4" width="14.625" style="24" customWidth="1"/>
    <col min="5" max="5" width="0.875" style="24" customWidth="1"/>
    <col min="6" max="6" width="27.625" style="24" customWidth="1"/>
    <col min="7" max="7" width="4.125" style="24" customWidth="1"/>
    <col min="8" max="8" width="11.625" style="24" customWidth="1"/>
    <col min="9" max="9" width="11.5" style="24" bestFit="1" customWidth="1"/>
    <col min="10" max="10" width="14.25" style="24" bestFit="1" customWidth="1"/>
    <col min="11" max="11" width="14.5" style="24" bestFit="1" customWidth="1"/>
    <col min="12" max="12" width="9.375" style="24" bestFit="1" customWidth="1"/>
    <col min="13" max="13" width="11.625" style="24" bestFit="1" customWidth="1"/>
    <col min="14" max="15" width="8.875" style="24" customWidth="1"/>
    <col min="16" max="16" width="14.625" style="24" customWidth="1"/>
    <col min="17" max="16384" width="8.875" style="24"/>
  </cols>
  <sheetData>
    <row r="1" spans="1:8" s="536" customFormat="1" ht="15" customHeight="1" x14ac:dyDescent="0.15">
      <c r="A1" s="537" t="s">
        <v>1067</v>
      </c>
    </row>
    <row r="2" spans="1:8" s="523" customFormat="1" ht="12.95" customHeight="1" x14ac:dyDescent="0.15">
      <c r="A2" s="949" t="s">
        <v>405</v>
      </c>
      <c r="B2" s="1123" t="s">
        <v>810</v>
      </c>
      <c r="C2" s="1124"/>
      <c r="D2" s="1125"/>
      <c r="E2" s="1126" t="s">
        <v>609</v>
      </c>
      <c r="F2" s="1099"/>
    </row>
    <row r="3" spans="1:8" s="523" customFormat="1" ht="12.95" customHeight="1" x14ac:dyDescent="0.15">
      <c r="A3" s="731"/>
      <c r="B3" s="569" t="s">
        <v>208</v>
      </c>
      <c r="C3" s="988" t="s">
        <v>392</v>
      </c>
      <c r="D3" s="988" t="s">
        <v>391</v>
      </c>
      <c r="E3" s="997"/>
      <c r="F3" s="1021"/>
    </row>
    <row r="4" spans="1:8" s="523" customFormat="1" ht="12.95" customHeight="1" x14ac:dyDescent="0.15">
      <c r="A4" s="568" t="s">
        <v>406</v>
      </c>
      <c r="B4" s="970" t="s">
        <v>811</v>
      </c>
      <c r="C4" s="987" t="s">
        <v>496</v>
      </c>
      <c r="D4" s="987" t="s">
        <v>497</v>
      </c>
      <c r="E4" s="1127"/>
      <c r="F4" s="1100"/>
    </row>
    <row r="5" spans="1:8" s="523" customFormat="1" ht="12.95" customHeight="1" x14ac:dyDescent="0.15">
      <c r="A5" s="954"/>
      <c r="B5" s="959"/>
      <c r="C5" s="959"/>
      <c r="D5" s="959"/>
      <c r="E5" s="567"/>
      <c r="F5" s="43"/>
    </row>
    <row r="6" spans="1:8" s="523" customFormat="1" ht="12.95" customHeight="1" x14ac:dyDescent="0.15">
      <c r="A6" s="566" t="s">
        <v>403</v>
      </c>
      <c r="B6" s="527">
        <v>102426336</v>
      </c>
      <c r="C6" s="527">
        <v>65384913</v>
      </c>
      <c r="D6" s="527">
        <v>37041423</v>
      </c>
      <c r="E6" s="565" t="s">
        <v>58</v>
      </c>
      <c r="F6" s="43"/>
      <c r="H6" s="526"/>
    </row>
    <row r="7" spans="1:8" s="523" customFormat="1" ht="12.95" customHeight="1" x14ac:dyDescent="0.15">
      <c r="A7" s="751"/>
      <c r="B7" s="527"/>
      <c r="C7" s="527"/>
      <c r="D7" s="527"/>
      <c r="E7" s="554"/>
      <c r="F7" s="564"/>
      <c r="H7" s="526"/>
    </row>
    <row r="8" spans="1:8" s="523" customFormat="1" ht="12.95" customHeight="1" x14ac:dyDescent="0.15">
      <c r="A8" s="751" t="s">
        <v>438</v>
      </c>
      <c r="B8" s="527">
        <v>1250564</v>
      </c>
      <c r="C8" s="527" t="s">
        <v>402</v>
      </c>
      <c r="D8" s="527" t="s">
        <v>402</v>
      </c>
      <c r="E8" s="554"/>
      <c r="F8" s="564" t="s">
        <v>439</v>
      </c>
      <c r="H8" s="526"/>
    </row>
    <row r="9" spans="1:8" s="523" customFormat="1" ht="12.95" customHeight="1" x14ac:dyDescent="0.15">
      <c r="A9" s="751" t="s">
        <v>29</v>
      </c>
      <c r="B9" s="527">
        <v>39186159</v>
      </c>
      <c r="C9" s="527">
        <v>35216139</v>
      </c>
      <c r="D9" s="527">
        <v>3970020</v>
      </c>
      <c r="E9" s="554"/>
      <c r="F9" s="564" t="s">
        <v>35</v>
      </c>
      <c r="H9" s="526"/>
    </row>
    <row r="10" spans="1:8" s="523" customFormat="1" ht="12.95" customHeight="1" x14ac:dyDescent="0.15">
      <c r="A10" s="751" t="s">
        <v>30</v>
      </c>
      <c r="B10" s="527">
        <v>8325884</v>
      </c>
      <c r="C10" s="527" t="s">
        <v>402</v>
      </c>
      <c r="D10" s="527" t="s">
        <v>402</v>
      </c>
      <c r="E10" s="554"/>
      <c r="F10" s="564" t="s">
        <v>36</v>
      </c>
      <c r="H10" s="526"/>
    </row>
    <row r="11" spans="1:8" s="523" customFormat="1" ht="12.95" customHeight="1" x14ac:dyDescent="0.15">
      <c r="A11" s="751" t="s">
        <v>31</v>
      </c>
      <c r="B11" s="527">
        <v>7495050</v>
      </c>
      <c r="C11" s="527">
        <v>3272529</v>
      </c>
      <c r="D11" s="527">
        <v>4222521</v>
      </c>
      <c r="E11" s="554"/>
      <c r="F11" s="564" t="s">
        <v>37</v>
      </c>
      <c r="H11" s="526"/>
    </row>
    <row r="12" spans="1:8" s="523" customFormat="1" ht="12.95" customHeight="1" x14ac:dyDescent="0.15">
      <c r="A12" s="751" t="s">
        <v>61</v>
      </c>
      <c r="B12" s="527">
        <v>38636370</v>
      </c>
      <c r="C12" s="527">
        <v>16899530</v>
      </c>
      <c r="D12" s="527">
        <v>21736840</v>
      </c>
      <c r="E12" s="554"/>
      <c r="F12" s="564" t="s">
        <v>67</v>
      </c>
      <c r="H12" s="526"/>
    </row>
    <row r="13" spans="1:8" s="523" customFormat="1" ht="12.95" customHeight="1" x14ac:dyDescent="0.15">
      <c r="A13" s="751" t="s">
        <v>34</v>
      </c>
      <c r="B13" s="527">
        <v>1339355</v>
      </c>
      <c r="C13" s="527" t="s">
        <v>402</v>
      </c>
      <c r="D13" s="527" t="s">
        <v>402</v>
      </c>
      <c r="E13" s="554"/>
      <c r="F13" s="564" t="s">
        <v>68</v>
      </c>
      <c r="H13" s="526"/>
    </row>
    <row r="14" spans="1:8" s="523" customFormat="1" ht="12.95" customHeight="1" x14ac:dyDescent="0.15">
      <c r="A14" s="751" t="s">
        <v>75</v>
      </c>
      <c r="B14" s="527">
        <v>1055861</v>
      </c>
      <c r="C14" s="527" t="s">
        <v>402</v>
      </c>
      <c r="D14" s="527" t="s">
        <v>402</v>
      </c>
      <c r="E14" s="554"/>
      <c r="F14" s="564" t="s">
        <v>66</v>
      </c>
      <c r="H14" s="526"/>
    </row>
    <row r="15" spans="1:8" s="523" customFormat="1" ht="12.95" customHeight="1" x14ac:dyDescent="0.15">
      <c r="A15" s="751" t="s">
        <v>15</v>
      </c>
      <c r="B15" s="527">
        <v>1834076</v>
      </c>
      <c r="C15" s="527" t="s">
        <v>599</v>
      </c>
      <c r="D15" s="527">
        <v>1834076</v>
      </c>
      <c r="E15" s="554"/>
      <c r="F15" s="564" t="s">
        <v>24</v>
      </c>
      <c r="H15" s="526"/>
    </row>
    <row r="16" spans="1:8" s="523" customFormat="1" ht="12.95" customHeight="1" x14ac:dyDescent="0.15">
      <c r="A16" s="751" t="s">
        <v>62</v>
      </c>
      <c r="B16" s="527">
        <v>267120</v>
      </c>
      <c r="C16" s="527" t="s">
        <v>402</v>
      </c>
      <c r="D16" s="527" t="s">
        <v>402</v>
      </c>
      <c r="E16" s="554"/>
      <c r="F16" s="564" t="s">
        <v>56</v>
      </c>
      <c r="H16" s="526"/>
    </row>
    <row r="17" spans="1:11" s="523" customFormat="1" ht="12.95" customHeight="1" x14ac:dyDescent="0.15">
      <c r="A17" s="989" t="s">
        <v>401</v>
      </c>
      <c r="B17" s="960">
        <v>3035897</v>
      </c>
      <c r="C17" s="960">
        <v>870848</v>
      </c>
      <c r="D17" s="960">
        <v>2165049</v>
      </c>
      <c r="E17" s="990"/>
      <c r="F17" s="965" t="s">
        <v>400</v>
      </c>
      <c r="H17" s="526"/>
    </row>
    <row r="18" spans="1:11" s="523" customFormat="1" ht="12.95" customHeight="1" x14ac:dyDescent="0.15">
      <c r="A18" s="560" t="s">
        <v>399</v>
      </c>
      <c r="B18" s="559"/>
      <c r="C18" s="558"/>
      <c r="D18" s="558"/>
      <c r="E18" s="43"/>
      <c r="F18" s="43"/>
    </row>
    <row r="19" spans="1:11" s="523" customFormat="1" ht="12.95" customHeight="1" x14ac:dyDescent="0.15">
      <c r="A19" s="560" t="s">
        <v>398</v>
      </c>
      <c r="B19" s="559"/>
      <c r="C19" s="558"/>
      <c r="D19" s="558"/>
      <c r="E19" s="43"/>
      <c r="F19" s="43"/>
    </row>
    <row r="20" spans="1:11" s="523" customFormat="1" ht="12.95" customHeight="1" x14ac:dyDescent="0.15">
      <c r="A20" s="560" t="s">
        <v>1056</v>
      </c>
      <c r="B20" s="559"/>
      <c r="C20" s="558"/>
      <c r="D20" s="558"/>
      <c r="E20" s="43"/>
      <c r="F20" s="43"/>
      <c r="G20" s="556"/>
      <c r="H20" s="555"/>
      <c r="I20" s="555"/>
      <c r="J20" s="554"/>
      <c r="K20" s="43"/>
    </row>
    <row r="21" spans="1:11" s="523" customFormat="1" ht="12.95" customHeight="1" x14ac:dyDescent="0.15">
      <c r="A21" s="560" t="s">
        <v>1057</v>
      </c>
      <c r="B21" s="468"/>
      <c r="C21" s="468"/>
      <c r="D21" s="468"/>
      <c r="E21" s="468"/>
      <c r="F21" s="468"/>
      <c r="G21" s="556"/>
      <c r="H21" s="555"/>
      <c r="I21" s="555"/>
      <c r="J21" s="554"/>
      <c r="K21" s="43"/>
    </row>
    <row r="22" spans="1:11" s="523" customFormat="1" ht="12.95" customHeight="1" x14ac:dyDescent="0.15">
      <c r="A22" s="560" t="s">
        <v>1065</v>
      </c>
      <c r="B22" s="468"/>
      <c r="C22" s="468"/>
      <c r="D22" s="468"/>
      <c r="E22" s="468"/>
      <c r="F22" s="468"/>
      <c r="H22" s="526"/>
    </row>
    <row r="23" spans="1:11" s="523" customFormat="1" ht="12.95" customHeight="1" x14ac:dyDescent="0.15">
      <c r="A23" s="560" t="s">
        <v>1068</v>
      </c>
      <c r="B23" s="468"/>
      <c r="C23" s="468"/>
      <c r="D23" s="468"/>
      <c r="E23" s="468"/>
      <c r="F23" s="468"/>
      <c r="H23" s="526"/>
    </row>
    <row r="24" spans="1:11" s="523" customFormat="1" ht="12.95" customHeight="1" x14ac:dyDescent="0.15">
      <c r="A24" s="560" t="s">
        <v>1069</v>
      </c>
      <c r="B24" s="557"/>
      <c r="C24" s="557"/>
      <c r="D24" s="557"/>
      <c r="E24" s="557"/>
      <c r="F24" s="557"/>
      <c r="G24" s="556"/>
      <c r="H24" s="555"/>
      <c r="I24" s="555"/>
      <c r="J24" s="554"/>
      <c r="K24" s="43"/>
    </row>
    <row r="25" spans="1:11" s="523" customFormat="1" ht="12.95" customHeight="1" x14ac:dyDescent="0.15">
      <c r="A25" s="557" t="s">
        <v>1061</v>
      </c>
      <c r="B25" s="557"/>
      <c r="C25" s="557"/>
      <c r="D25" s="557"/>
      <c r="E25" s="557"/>
      <c r="F25" s="557"/>
      <c r="G25" s="556"/>
      <c r="H25" s="555"/>
      <c r="I25" s="555"/>
      <c r="J25" s="554"/>
      <c r="K25" s="43"/>
    </row>
    <row r="26" spans="1:11" s="523" customFormat="1" ht="12.95" customHeight="1" x14ac:dyDescent="0.15">
      <c r="A26" s="557" t="s">
        <v>808</v>
      </c>
      <c r="B26" s="557"/>
      <c r="C26" s="557"/>
      <c r="D26" s="557"/>
      <c r="E26" s="557"/>
      <c r="F26" s="557"/>
      <c r="G26" s="557"/>
      <c r="H26" s="557"/>
      <c r="I26" s="557"/>
      <c r="J26" s="554"/>
      <c r="K26" s="43"/>
    </row>
    <row r="27" spans="1:11" s="523" customFormat="1" ht="12.95" customHeight="1" x14ac:dyDescent="0.15">
      <c r="A27" s="570"/>
      <c r="B27" s="570"/>
      <c r="C27" s="570"/>
      <c r="D27" s="570"/>
      <c r="E27" s="570"/>
      <c r="F27" s="570"/>
      <c r="H27" s="526"/>
    </row>
    <row r="28" spans="1:11" s="536" customFormat="1" ht="12.95" customHeight="1" x14ac:dyDescent="0.15">
      <c r="A28" s="537" t="s">
        <v>1070</v>
      </c>
      <c r="B28" s="518"/>
      <c r="C28" s="518"/>
      <c r="D28" s="518"/>
      <c r="E28" s="518"/>
      <c r="F28" s="518"/>
      <c r="H28" s="526"/>
    </row>
    <row r="29" spans="1:11" s="523" customFormat="1" ht="12.95" customHeight="1" x14ac:dyDescent="0.15">
      <c r="A29" s="949" t="s">
        <v>405</v>
      </c>
      <c r="B29" s="1123" t="s">
        <v>810</v>
      </c>
      <c r="C29" s="1124"/>
      <c r="D29" s="1125"/>
      <c r="E29" s="1126" t="s">
        <v>812</v>
      </c>
      <c r="F29" s="1099"/>
      <c r="H29" s="526"/>
    </row>
    <row r="30" spans="1:11" s="523" customFormat="1" ht="12.95" customHeight="1" x14ac:dyDescent="0.15">
      <c r="A30" s="731"/>
      <c r="B30" s="569" t="s">
        <v>208</v>
      </c>
      <c r="C30" s="988" t="s">
        <v>392</v>
      </c>
      <c r="D30" s="988" t="s">
        <v>391</v>
      </c>
      <c r="E30" s="997"/>
      <c r="F30" s="1021"/>
      <c r="H30" s="526"/>
    </row>
    <row r="31" spans="1:11" s="523" customFormat="1" ht="12.95" customHeight="1" x14ac:dyDescent="0.15">
      <c r="A31" s="568" t="s">
        <v>404</v>
      </c>
      <c r="B31" s="970" t="s">
        <v>811</v>
      </c>
      <c r="C31" s="987" t="s">
        <v>496</v>
      </c>
      <c r="D31" s="987" t="s">
        <v>497</v>
      </c>
      <c r="E31" s="1127"/>
      <c r="F31" s="1100"/>
    </row>
    <row r="32" spans="1:11" s="523" customFormat="1" ht="12.95" customHeight="1" x14ac:dyDescent="0.15">
      <c r="A32" s="954"/>
      <c r="B32" s="959"/>
      <c r="C32" s="959"/>
      <c r="D32" s="959"/>
      <c r="E32" s="567"/>
      <c r="F32" s="43"/>
    </row>
    <row r="33" spans="1:11" s="523" customFormat="1" ht="12.95" customHeight="1" x14ac:dyDescent="0.15">
      <c r="A33" s="566" t="s">
        <v>403</v>
      </c>
      <c r="B33" s="527">
        <v>100951083</v>
      </c>
      <c r="C33" s="527">
        <v>65074707</v>
      </c>
      <c r="D33" s="527">
        <v>35876376</v>
      </c>
      <c r="E33" s="565" t="s">
        <v>58</v>
      </c>
      <c r="F33" s="43"/>
      <c r="H33" s="526"/>
    </row>
    <row r="34" spans="1:11" s="523" customFormat="1" ht="12.95" customHeight="1" x14ac:dyDescent="0.15">
      <c r="A34" s="751"/>
      <c r="B34" s="527"/>
      <c r="C34" s="527"/>
      <c r="D34" s="527"/>
      <c r="E34" s="554"/>
      <c r="F34" s="564"/>
      <c r="H34" s="526"/>
    </row>
    <row r="35" spans="1:11" s="523" customFormat="1" ht="12.95" customHeight="1" x14ac:dyDescent="0.15">
      <c r="A35" s="751" t="s">
        <v>438</v>
      </c>
      <c r="B35" s="527">
        <v>966737</v>
      </c>
      <c r="C35" s="527" t="s">
        <v>402</v>
      </c>
      <c r="D35" s="527" t="s">
        <v>402</v>
      </c>
      <c r="E35" s="554"/>
      <c r="F35" s="564" t="s">
        <v>439</v>
      </c>
      <c r="H35" s="526"/>
    </row>
    <row r="36" spans="1:11" s="523" customFormat="1" ht="12.95" customHeight="1" x14ac:dyDescent="0.15">
      <c r="A36" s="751" t="s">
        <v>29</v>
      </c>
      <c r="B36" s="527">
        <v>39544718</v>
      </c>
      <c r="C36" s="527">
        <v>35239226</v>
      </c>
      <c r="D36" s="527">
        <v>4305492</v>
      </c>
      <c r="E36" s="554"/>
      <c r="F36" s="564" t="s">
        <v>35</v>
      </c>
      <c r="H36" s="526"/>
    </row>
    <row r="37" spans="1:11" s="523" customFormat="1" ht="12.95" customHeight="1" x14ac:dyDescent="0.15">
      <c r="A37" s="751" t="s">
        <v>30</v>
      </c>
      <c r="B37" s="527">
        <v>8467967</v>
      </c>
      <c r="C37" s="527">
        <v>8215644</v>
      </c>
      <c r="D37" s="527">
        <v>252323</v>
      </c>
      <c r="E37" s="554"/>
      <c r="F37" s="564" t="s">
        <v>36</v>
      </c>
      <c r="H37" s="526"/>
    </row>
    <row r="38" spans="1:11" s="523" customFormat="1" ht="12.95" customHeight="1" x14ac:dyDescent="0.15">
      <c r="A38" s="751" t="s">
        <v>31</v>
      </c>
      <c r="B38" s="527">
        <v>6675837</v>
      </c>
      <c r="C38" s="527">
        <v>3101808</v>
      </c>
      <c r="D38" s="527">
        <v>3574029</v>
      </c>
      <c r="E38" s="554"/>
      <c r="F38" s="564" t="s">
        <v>37</v>
      </c>
      <c r="H38" s="526"/>
    </row>
    <row r="39" spans="1:11" s="523" customFormat="1" ht="12.95" customHeight="1" x14ac:dyDescent="0.15">
      <c r="A39" s="751" t="s">
        <v>61</v>
      </c>
      <c r="B39" s="527">
        <v>38959065</v>
      </c>
      <c r="C39" s="527">
        <v>17063470</v>
      </c>
      <c r="D39" s="527">
        <v>21895595</v>
      </c>
      <c r="E39" s="554"/>
      <c r="F39" s="564" t="s">
        <v>67</v>
      </c>
      <c r="H39" s="526"/>
    </row>
    <row r="40" spans="1:11" s="523" customFormat="1" ht="12.95" customHeight="1" x14ac:dyDescent="0.15">
      <c r="A40" s="751" t="s">
        <v>75</v>
      </c>
      <c r="B40" s="527">
        <v>1440367</v>
      </c>
      <c r="C40" s="527" t="s">
        <v>402</v>
      </c>
      <c r="D40" s="527" t="s">
        <v>402</v>
      </c>
      <c r="E40" s="554"/>
      <c r="F40" s="564" t="s">
        <v>66</v>
      </c>
      <c r="H40" s="526"/>
    </row>
    <row r="41" spans="1:11" s="523" customFormat="1" ht="12.95" customHeight="1" x14ac:dyDescent="0.15">
      <c r="A41" s="751" t="s">
        <v>15</v>
      </c>
      <c r="B41" s="527">
        <v>1609156</v>
      </c>
      <c r="C41" s="527" t="s">
        <v>599</v>
      </c>
      <c r="D41" s="527">
        <v>1609156</v>
      </c>
      <c r="E41" s="554"/>
      <c r="F41" s="564" t="s">
        <v>24</v>
      </c>
      <c r="H41" s="526"/>
    </row>
    <row r="42" spans="1:11" s="523" customFormat="1" ht="12.95" customHeight="1" x14ac:dyDescent="0.15">
      <c r="A42" s="751" t="s">
        <v>62</v>
      </c>
      <c r="B42" s="527">
        <v>218477</v>
      </c>
      <c r="C42" s="527" t="s">
        <v>402</v>
      </c>
      <c r="D42" s="527" t="s">
        <v>402</v>
      </c>
      <c r="E42" s="554"/>
      <c r="F42" s="564" t="s">
        <v>56</v>
      </c>
      <c r="H42" s="526"/>
    </row>
    <row r="43" spans="1:11" ht="12.95" customHeight="1" x14ac:dyDescent="0.15">
      <c r="A43" s="989" t="s">
        <v>401</v>
      </c>
      <c r="B43" s="960">
        <v>3068759</v>
      </c>
      <c r="C43" s="960">
        <v>1156635</v>
      </c>
      <c r="D43" s="960">
        <v>1912124</v>
      </c>
      <c r="E43" s="991"/>
      <c r="F43" s="965" t="s">
        <v>400</v>
      </c>
      <c r="H43" s="562"/>
    </row>
    <row r="44" spans="1:11" ht="12.95" customHeight="1" x14ac:dyDescent="0.15">
      <c r="A44" s="560" t="s">
        <v>399</v>
      </c>
      <c r="B44" s="187"/>
      <c r="C44" s="558"/>
      <c r="D44" s="558"/>
      <c r="E44" s="561"/>
      <c r="F44" s="43"/>
    </row>
    <row r="45" spans="1:11" ht="12.95" customHeight="1" x14ac:dyDescent="0.15">
      <c r="A45" s="560" t="s">
        <v>398</v>
      </c>
      <c r="B45" s="187"/>
      <c r="C45" s="558"/>
      <c r="D45" s="558"/>
      <c r="E45" s="561"/>
      <c r="F45" s="43"/>
    </row>
    <row r="46" spans="1:11" ht="12.95" customHeight="1" x14ac:dyDescent="0.15">
      <c r="A46" s="560" t="s">
        <v>1063</v>
      </c>
      <c r="B46" s="559"/>
      <c r="C46" s="558"/>
      <c r="D46" s="558"/>
      <c r="E46" s="43"/>
      <c r="F46" s="43"/>
      <c r="G46" s="556"/>
      <c r="H46" s="555"/>
      <c r="I46" s="555"/>
      <c r="J46" s="554"/>
      <c r="K46" s="43"/>
    </row>
    <row r="47" spans="1:11" ht="12.95" customHeight="1" x14ac:dyDescent="0.15">
      <c r="A47" s="560" t="s">
        <v>1064</v>
      </c>
      <c r="B47" s="468"/>
      <c r="C47" s="468"/>
      <c r="D47" s="468"/>
      <c r="E47" s="468"/>
      <c r="F47" s="468"/>
      <c r="G47" s="556"/>
      <c r="H47" s="555"/>
      <c r="I47" s="555"/>
      <c r="J47" s="554"/>
      <c r="K47" s="43"/>
    </row>
    <row r="48" spans="1:11" ht="12.95" customHeight="1" x14ac:dyDescent="0.15">
      <c r="A48" s="560" t="s">
        <v>1065</v>
      </c>
    </row>
    <row r="49" spans="1:11" ht="12.95" customHeight="1" x14ac:dyDescent="0.15">
      <c r="A49" s="560" t="s">
        <v>1068</v>
      </c>
    </row>
    <row r="50" spans="1:11" ht="12.95" customHeight="1" x14ac:dyDescent="0.15">
      <c r="A50" s="560" t="s">
        <v>1066</v>
      </c>
      <c r="B50" s="557"/>
      <c r="C50" s="557"/>
      <c r="D50" s="557"/>
      <c r="E50" s="557"/>
      <c r="F50" s="557"/>
      <c r="G50" s="556"/>
      <c r="H50" s="555"/>
      <c r="I50" s="555"/>
      <c r="J50" s="554"/>
      <c r="K50" s="43"/>
    </row>
    <row r="51" spans="1:11" ht="12.95" customHeight="1" x14ac:dyDescent="0.15">
      <c r="A51" s="557" t="s">
        <v>808</v>
      </c>
      <c r="B51" s="557"/>
      <c r="C51" s="557"/>
      <c r="D51" s="557"/>
      <c r="E51" s="557"/>
      <c r="F51" s="557"/>
      <c r="G51" s="556"/>
      <c r="H51" s="555"/>
      <c r="I51" s="555"/>
      <c r="J51" s="554"/>
      <c r="K51" s="43"/>
    </row>
    <row r="52" spans="1:11" ht="12.95" customHeight="1" x14ac:dyDescent="0.15">
      <c r="A52" s="1128"/>
      <c r="B52" s="1128"/>
      <c r="C52" s="1128"/>
      <c r="D52" s="1128"/>
      <c r="E52" s="1128"/>
      <c r="F52" s="1128"/>
    </row>
  </sheetData>
  <mergeCells count="5">
    <mergeCell ref="B2:D2"/>
    <mergeCell ref="E2:F4"/>
    <mergeCell ref="B29:D29"/>
    <mergeCell ref="E29:F31"/>
    <mergeCell ref="A52:F52"/>
  </mergeCells>
  <phoneticPr fontId="32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A1B4-E173-4B51-A957-5AA827E1A89D}">
  <dimension ref="A1:K53"/>
  <sheetViews>
    <sheetView view="pageBreakPreview" topLeftCell="A10" zoomScaleNormal="25" zoomScaleSheetLayoutView="100" workbookViewId="0">
      <selection activeCell="A29" sqref="A29"/>
    </sheetView>
  </sheetViews>
  <sheetFormatPr defaultColWidth="8.875" defaultRowHeight="12" x14ac:dyDescent="0.15"/>
  <cols>
    <col min="1" max="1" width="20.25" style="24" customWidth="1"/>
    <col min="2" max="2" width="13.625" style="24" customWidth="1"/>
    <col min="3" max="3" width="10" style="24" customWidth="1"/>
    <col min="4" max="5" width="9.875" style="24" customWidth="1"/>
    <col min="6" max="6" width="0.875" style="24" customWidth="1"/>
    <col min="7" max="7" width="25.75" style="24" customWidth="1"/>
    <col min="8" max="8" width="4.125" style="24" customWidth="1"/>
    <col min="9" max="9" width="11.625" style="24" customWidth="1"/>
    <col min="10" max="10" width="19.75" style="24" bestFit="1" customWidth="1"/>
    <col min="11" max="11" width="9.25" style="24" bestFit="1" customWidth="1"/>
    <col min="12" max="12" width="11.625" style="24" bestFit="1" customWidth="1"/>
    <col min="13" max="13" width="11.5" style="24" bestFit="1" customWidth="1"/>
    <col min="14" max="14" width="14.25" style="24" bestFit="1" customWidth="1"/>
    <col min="15" max="15" width="14.5" style="24" bestFit="1" customWidth="1"/>
    <col min="16" max="16" width="9.375" style="24" bestFit="1" customWidth="1"/>
    <col min="17" max="17" width="11.625" style="24" bestFit="1" customWidth="1"/>
    <col min="18" max="19" width="8.875" style="24" customWidth="1"/>
    <col min="20" max="20" width="14.625" style="24" customWidth="1"/>
    <col min="21" max="16384" width="8.875" style="24"/>
  </cols>
  <sheetData>
    <row r="1" spans="1:10" s="536" customFormat="1" ht="15" customHeight="1" x14ac:dyDescent="0.15">
      <c r="A1" s="537" t="s">
        <v>1071</v>
      </c>
    </row>
    <row r="2" spans="1:10" s="536" customFormat="1" ht="15" customHeight="1" x14ac:dyDescent="0.15">
      <c r="A2" s="537" t="s">
        <v>1072</v>
      </c>
    </row>
    <row r="3" spans="1:10" s="523" customFormat="1" ht="12.95" customHeight="1" x14ac:dyDescent="0.15">
      <c r="A3" s="949" t="s">
        <v>405</v>
      </c>
      <c r="B3" s="969" t="s">
        <v>409</v>
      </c>
      <c r="C3" s="969" t="s">
        <v>813</v>
      </c>
      <c r="D3" s="969" t="s">
        <v>408</v>
      </c>
      <c r="E3" s="969" t="s">
        <v>407</v>
      </c>
      <c r="F3" s="1126" t="s">
        <v>609</v>
      </c>
      <c r="G3" s="1129"/>
    </row>
    <row r="4" spans="1:10" s="523" customFormat="1" ht="12.95" customHeight="1" x14ac:dyDescent="0.15">
      <c r="A4" s="730"/>
      <c r="B4" s="569" t="s">
        <v>814</v>
      </c>
      <c r="C4" s="569"/>
      <c r="D4" s="574" t="s">
        <v>648</v>
      </c>
      <c r="E4" s="569" t="s">
        <v>649</v>
      </c>
      <c r="F4" s="1130"/>
      <c r="G4" s="1131"/>
    </row>
    <row r="5" spans="1:10" s="523" customFormat="1" ht="12.95" customHeight="1" x14ac:dyDescent="0.15">
      <c r="A5" s="730"/>
      <c r="B5" s="992" t="s">
        <v>610</v>
      </c>
      <c r="C5" s="993" t="s">
        <v>611</v>
      </c>
      <c r="D5" s="993" t="s">
        <v>815</v>
      </c>
      <c r="E5" s="993" t="s">
        <v>815</v>
      </c>
      <c r="F5" s="1130"/>
      <c r="G5" s="1131"/>
    </row>
    <row r="6" spans="1:10" s="523" customFormat="1" ht="12.95" customHeight="1" x14ac:dyDescent="0.15">
      <c r="A6" s="994" t="s">
        <v>406</v>
      </c>
      <c r="B6" s="987" t="s">
        <v>816</v>
      </c>
      <c r="C6" s="995" t="s">
        <v>817</v>
      </c>
      <c r="D6" s="995" t="s">
        <v>612</v>
      </c>
      <c r="E6" s="995" t="s">
        <v>612</v>
      </c>
      <c r="F6" s="1132"/>
      <c r="G6" s="1133"/>
    </row>
    <row r="7" spans="1:10" s="523" customFormat="1" ht="12.95" customHeight="1" x14ac:dyDescent="0.15">
      <c r="A7" s="954"/>
      <c r="B7" s="959"/>
      <c r="C7" s="959"/>
      <c r="D7" s="959"/>
      <c r="E7" s="959"/>
      <c r="F7" s="567"/>
      <c r="G7" s="43"/>
    </row>
    <row r="8" spans="1:10" s="523" customFormat="1" ht="12.95" customHeight="1" x14ac:dyDescent="0.15">
      <c r="A8" s="566" t="s">
        <v>403</v>
      </c>
      <c r="B8" s="527">
        <v>1000810023</v>
      </c>
      <c r="C8" s="572">
        <v>100.49</v>
      </c>
      <c r="D8" s="527">
        <v>1820172</v>
      </c>
      <c r="E8" s="527">
        <v>30366.9</v>
      </c>
      <c r="F8" s="565" t="s">
        <v>58</v>
      </c>
      <c r="G8" s="43"/>
      <c r="I8" s="526"/>
      <c r="J8" s="526"/>
    </row>
    <row r="9" spans="1:10" s="523" customFormat="1" ht="12.95" customHeight="1" x14ac:dyDescent="0.15">
      <c r="A9" s="751"/>
      <c r="B9" s="527"/>
      <c r="C9" s="572"/>
      <c r="D9" s="527"/>
      <c r="E9" s="527"/>
      <c r="F9" s="554"/>
      <c r="G9" s="43"/>
      <c r="I9" s="526"/>
      <c r="J9" s="526"/>
    </row>
    <row r="10" spans="1:10" s="523" customFormat="1" ht="12.95" customHeight="1" x14ac:dyDescent="0.15">
      <c r="A10" s="751" t="s">
        <v>438</v>
      </c>
      <c r="B10" s="527">
        <v>12778671</v>
      </c>
      <c r="C10" s="572">
        <v>95.9</v>
      </c>
      <c r="D10" s="527">
        <v>24587</v>
      </c>
      <c r="E10" s="527">
        <v>461.9</v>
      </c>
      <c r="F10" s="554"/>
      <c r="G10" s="43" t="s">
        <v>439</v>
      </c>
      <c r="I10" s="526"/>
      <c r="J10" s="526"/>
    </row>
    <row r="11" spans="1:10" s="523" customFormat="1" ht="12.95" customHeight="1" x14ac:dyDescent="0.15">
      <c r="A11" s="751" t="s">
        <v>29</v>
      </c>
      <c r="B11" s="527">
        <v>380643366</v>
      </c>
      <c r="C11" s="572">
        <v>101.13</v>
      </c>
      <c r="D11" s="527">
        <v>682956</v>
      </c>
      <c r="E11" s="527">
        <v>8392.7999999999993</v>
      </c>
      <c r="F11" s="554"/>
      <c r="G11" s="43" t="s">
        <v>35</v>
      </c>
      <c r="I11" s="526"/>
      <c r="J11" s="526"/>
    </row>
    <row r="12" spans="1:10" s="523" customFormat="1" ht="12.95" customHeight="1" x14ac:dyDescent="0.15">
      <c r="A12" s="751" t="s">
        <v>30</v>
      </c>
      <c r="B12" s="527">
        <v>80882825</v>
      </c>
      <c r="C12" s="572">
        <v>101.11</v>
      </c>
      <c r="D12" s="527">
        <v>146523</v>
      </c>
      <c r="E12" s="527">
        <v>1620.1</v>
      </c>
      <c r="F12" s="554"/>
      <c r="G12" s="43" t="s">
        <v>36</v>
      </c>
      <c r="I12" s="526"/>
      <c r="J12" s="526"/>
    </row>
    <row r="13" spans="1:10" s="523" customFormat="1" ht="12.95" customHeight="1" x14ac:dyDescent="0.15">
      <c r="A13" s="751" t="s">
        <v>31</v>
      </c>
      <c r="B13" s="527">
        <v>73044902</v>
      </c>
      <c r="C13" s="572">
        <v>100.83</v>
      </c>
      <c r="D13" s="527">
        <v>126655</v>
      </c>
      <c r="E13" s="527">
        <v>3488.4</v>
      </c>
      <c r="F13" s="554"/>
      <c r="G13" s="43" t="s">
        <v>37</v>
      </c>
      <c r="I13" s="526"/>
      <c r="J13" s="526"/>
    </row>
    <row r="14" spans="1:10" s="523" customFormat="1" ht="12.95" customHeight="1" x14ac:dyDescent="0.15">
      <c r="A14" s="751" t="s">
        <v>61</v>
      </c>
      <c r="B14" s="527">
        <v>380203686</v>
      </c>
      <c r="C14" s="572">
        <v>99.93</v>
      </c>
      <c r="D14" s="527">
        <v>628453</v>
      </c>
      <c r="E14" s="527">
        <v>13773.3</v>
      </c>
      <c r="F14" s="554"/>
      <c r="G14" s="43" t="s">
        <v>67</v>
      </c>
      <c r="I14" s="526"/>
      <c r="J14" s="526"/>
    </row>
    <row r="15" spans="1:10" s="523" customFormat="1" ht="12.95" customHeight="1" x14ac:dyDescent="0.15">
      <c r="A15" s="751" t="s">
        <v>34</v>
      </c>
      <c r="B15" s="527">
        <v>12995846</v>
      </c>
      <c r="C15" s="572">
        <v>101.87</v>
      </c>
      <c r="D15" s="527">
        <v>14693</v>
      </c>
      <c r="E15" s="527">
        <v>838.1</v>
      </c>
      <c r="F15" s="554"/>
      <c r="G15" s="43" t="s">
        <v>68</v>
      </c>
      <c r="I15" s="526"/>
      <c r="J15" s="526"/>
    </row>
    <row r="16" spans="1:10" s="523" customFormat="1" ht="12.95" customHeight="1" x14ac:dyDescent="0.15">
      <c r="A16" s="751" t="s">
        <v>75</v>
      </c>
      <c r="B16" s="527">
        <v>10025856</v>
      </c>
      <c r="C16" s="572">
        <v>101.85</v>
      </c>
      <c r="D16" s="527">
        <v>34573</v>
      </c>
      <c r="E16" s="527">
        <v>132.30000000000001</v>
      </c>
      <c r="F16" s="554"/>
      <c r="G16" s="43" t="s">
        <v>66</v>
      </c>
      <c r="I16" s="526"/>
      <c r="J16" s="526"/>
    </row>
    <row r="17" spans="1:11" s="523" customFormat="1" ht="12.95" customHeight="1" x14ac:dyDescent="0.15">
      <c r="A17" s="751" t="s">
        <v>15</v>
      </c>
      <c r="B17" s="527">
        <v>18535844</v>
      </c>
      <c r="C17" s="572">
        <v>96.14</v>
      </c>
      <c r="D17" s="527">
        <v>52761</v>
      </c>
      <c r="E17" s="527">
        <v>37.799999999999997</v>
      </c>
      <c r="F17" s="554"/>
      <c r="G17" s="43" t="s">
        <v>24</v>
      </c>
      <c r="I17" s="526"/>
      <c r="J17" s="526"/>
    </row>
    <row r="18" spans="1:11" s="523" customFormat="1" ht="12.95" customHeight="1" x14ac:dyDescent="0.15">
      <c r="A18" s="751" t="s">
        <v>62</v>
      </c>
      <c r="B18" s="527">
        <v>2288640</v>
      </c>
      <c r="C18" s="572">
        <v>104.6</v>
      </c>
      <c r="D18" s="527">
        <v>27595</v>
      </c>
      <c r="E18" s="527">
        <v>140.9</v>
      </c>
      <c r="F18" s="554"/>
      <c r="G18" s="43" t="s">
        <v>56</v>
      </c>
      <c r="I18" s="526"/>
      <c r="J18" s="526"/>
    </row>
    <row r="19" spans="1:11" s="523" customFormat="1" ht="12.95" customHeight="1" x14ac:dyDescent="0.15">
      <c r="A19" s="989" t="s">
        <v>401</v>
      </c>
      <c r="B19" s="960">
        <v>29410387</v>
      </c>
      <c r="C19" s="963">
        <v>100.41</v>
      </c>
      <c r="D19" s="960">
        <v>81376</v>
      </c>
      <c r="E19" s="960">
        <v>1481.3</v>
      </c>
      <c r="F19" s="990"/>
      <c r="G19" s="965" t="s">
        <v>400</v>
      </c>
      <c r="I19" s="526"/>
      <c r="J19" s="526"/>
    </row>
    <row r="20" spans="1:11" s="523" customFormat="1" ht="12.95" customHeight="1" x14ac:dyDescent="0.15">
      <c r="A20" s="560" t="s">
        <v>399</v>
      </c>
      <c r="B20" s="559"/>
      <c r="C20" s="558"/>
      <c r="D20" s="558"/>
      <c r="E20" s="558"/>
      <c r="F20" s="43"/>
      <c r="G20" s="43"/>
    </row>
    <row r="21" spans="1:11" s="523" customFormat="1" ht="12.95" customHeight="1" x14ac:dyDescent="0.15">
      <c r="A21" s="560" t="s">
        <v>1073</v>
      </c>
      <c r="B21" s="559"/>
      <c r="C21" s="558"/>
      <c r="D21" s="558"/>
      <c r="E21" s="43"/>
      <c r="F21" s="43"/>
      <c r="G21" s="556"/>
      <c r="H21" s="555"/>
      <c r="I21" s="555"/>
      <c r="J21" s="554"/>
      <c r="K21" s="43"/>
    </row>
    <row r="22" spans="1:11" s="523" customFormat="1" ht="12.95" customHeight="1" x14ac:dyDescent="0.15">
      <c r="A22" s="560" t="s">
        <v>1057</v>
      </c>
      <c r="B22" s="468"/>
      <c r="C22" s="468"/>
      <c r="D22" s="468"/>
      <c r="E22" s="468"/>
      <c r="F22" s="468"/>
      <c r="G22" s="556"/>
      <c r="H22" s="555"/>
      <c r="I22" s="555"/>
      <c r="J22" s="554"/>
      <c r="K22" s="43"/>
    </row>
    <row r="23" spans="1:11" s="523" customFormat="1" ht="12.95" customHeight="1" x14ac:dyDescent="0.15">
      <c r="A23" s="560" t="s">
        <v>1065</v>
      </c>
      <c r="B23" s="468"/>
      <c r="C23" s="468"/>
      <c r="D23" s="468"/>
      <c r="E23" s="468"/>
      <c r="F23" s="468"/>
      <c r="G23" s="468"/>
      <c r="I23" s="526"/>
      <c r="J23" s="573"/>
    </row>
    <row r="24" spans="1:11" s="523" customFormat="1" ht="12.95" customHeight="1" x14ac:dyDescent="0.15">
      <c r="A24" s="560" t="s">
        <v>1074</v>
      </c>
      <c r="B24" s="557"/>
      <c r="C24" s="557"/>
      <c r="D24" s="557"/>
      <c r="E24" s="557"/>
      <c r="F24" s="557"/>
      <c r="G24" s="556"/>
      <c r="H24" s="555"/>
      <c r="I24" s="555"/>
      <c r="J24" s="554"/>
      <c r="K24" s="43"/>
    </row>
    <row r="25" spans="1:11" s="523" customFormat="1" ht="12.95" customHeight="1" x14ac:dyDescent="0.15">
      <c r="A25" s="557" t="s">
        <v>1061</v>
      </c>
      <c r="B25" s="557"/>
      <c r="C25" s="557"/>
      <c r="D25" s="557"/>
      <c r="E25" s="557"/>
      <c r="F25" s="557"/>
      <c r="G25" s="556"/>
      <c r="H25" s="555"/>
      <c r="I25" s="555"/>
      <c r="J25" s="554"/>
      <c r="K25" s="43"/>
    </row>
    <row r="26" spans="1:11" s="523" customFormat="1" ht="12.95" customHeight="1" x14ac:dyDescent="0.15">
      <c r="A26" s="557" t="s">
        <v>808</v>
      </c>
      <c r="B26" s="557"/>
      <c r="C26" s="557"/>
      <c r="D26" s="557"/>
      <c r="E26" s="557"/>
      <c r="F26" s="557"/>
      <c r="G26" s="556"/>
      <c r="H26" s="555"/>
      <c r="I26" s="555"/>
      <c r="J26" s="554"/>
      <c r="K26" s="43"/>
    </row>
    <row r="27" spans="1:11" s="523" customFormat="1" ht="12.95" customHeight="1" x14ac:dyDescent="0.15">
      <c r="A27" s="1134"/>
      <c r="B27" s="1134"/>
      <c r="C27" s="1134"/>
      <c r="D27" s="1134"/>
      <c r="E27" s="1134"/>
      <c r="F27" s="1134"/>
      <c r="G27" s="1134"/>
      <c r="I27" s="526"/>
    </row>
    <row r="28" spans="1:11" s="523" customFormat="1" ht="12.95" customHeight="1" x14ac:dyDescent="0.15">
      <c r="A28" s="570"/>
      <c r="B28" s="570"/>
      <c r="C28" s="570"/>
      <c r="D28" s="570"/>
      <c r="E28" s="570"/>
      <c r="F28" s="570"/>
      <c r="G28" s="570"/>
      <c r="I28" s="526"/>
    </row>
    <row r="29" spans="1:11" s="536" customFormat="1" ht="12.95" customHeight="1" x14ac:dyDescent="0.15">
      <c r="A29" s="537" t="s">
        <v>1075</v>
      </c>
      <c r="I29" s="526"/>
    </row>
    <row r="30" spans="1:11" s="536" customFormat="1" ht="12.95" customHeight="1" x14ac:dyDescent="0.15">
      <c r="A30" s="537" t="s">
        <v>1076</v>
      </c>
      <c r="I30" s="526"/>
    </row>
    <row r="31" spans="1:11" s="523" customFormat="1" ht="12.95" customHeight="1" x14ac:dyDescent="0.15">
      <c r="A31" s="949" t="s">
        <v>405</v>
      </c>
      <c r="B31" s="969" t="s">
        <v>409</v>
      </c>
      <c r="C31" s="969" t="s">
        <v>813</v>
      </c>
      <c r="D31" s="969" t="s">
        <v>408</v>
      </c>
      <c r="E31" s="969" t="s">
        <v>407</v>
      </c>
      <c r="F31" s="1126" t="s">
        <v>609</v>
      </c>
      <c r="G31" s="1129"/>
      <c r="I31" s="526"/>
    </row>
    <row r="32" spans="1:11" s="523" customFormat="1" ht="12.95" customHeight="1" x14ac:dyDescent="0.15">
      <c r="A32" s="289"/>
      <c r="B32" s="569" t="s">
        <v>814</v>
      </c>
      <c r="C32" s="569"/>
      <c r="D32" s="574" t="s">
        <v>648</v>
      </c>
      <c r="E32" s="569" t="s">
        <v>649</v>
      </c>
      <c r="F32" s="1130"/>
      <c r="G32" s="1131"/>
      <c r="I32" s="526"/>
    </row>
    <row r="33" spans="1:11" s="523" customFormat="1" ht="12.95" customHeight="1" x14ac:dyDescent="0.15">
      <c r="A33" s="731"/>
      <c r="B33" s="992" t="s">
        <v>610</v>
      </c>
      <c r="C33" s="993" t="s">
        <v>611</v>
      </c>
      <c r="D33" s="993" t="s">
        <v>815</v>
      </c>
      <c r="E33" s="993" t="s">
        <v>815</v>
      </c>
      <c r="F33" s="1130"/>
      <c r="G33" s="1131"/>
      <c r="I33" s="526"/>
    </row>
    <row r="34" spans="1:11" s="523" customFormat="1" ht="12.95" customHeight="1" x14ac:dyDescent="0.15">
      <c r="A34" s="568" t="s">
        <v>404</v>
      </c>
      <c r="B34" s="987" t="s">
        <v>816</v>
      </c>
      <c r="C34" s="995" t="s">
        <v>817</v>
      </c>
      <c r="D34" s="995" t="s">
        <v>612</v>
      </c>
      <c r="E34" s="995" t="s">
        <v>612</v>
      </c>
      <c r="F34" s="1132"/>
      <c r="G34" s="1133"/>
      <c r="J34" s="573"/>
    </row>
    <row r="35" spans="1:11" s="523" customFormat="1" ht="12.95" customHeight="1" x14ac:dyDescent="0.15">
      <c r="A35" s="954"/>
      <c r="B35" s="959"/>
      <c r="C35" s="959"/>
      <c r="D35" s="959"/>
      <c r="E35" s="959"/>
      <c r="F35" s="567"/>
      <c r="G35" s="43"/>
      <c r="J35" s="573"/>
    </row>
    <row r="36" spans="1:11" s="523" customFormat="1" ht="12.95" customHeight="1" x14ac:dyDescent="0.15">
      <c r="A36" s="566" t="s">
        <v>403</v>
      </c>
      <c r="B36" s="527">
        <v>987791058</v>
      </c>
      <c r="C36" s="572">
        <v>100.29</v>
      </c>
      <c r="D36" s="527">
        <v>1862630</v>
      </c>
      <c r="E36" s="527">
        <v>29485.5</v>
      </c>
      <c r="F36" s="565" t="s">
        <v>58</v>
      </c>
      <c r="G36" s="43"/>
      <c r="I36" s="526"/>
      <c r="J36" s="526"/>
    </row>
    <row r="37" spans="1:11" s="523" customFormat="1" ht="12.95" customHeight="1" x14ac:dyDescent="0.15">
      <c r="A37" s="751"/>
      <c r="B37" s="527"/>
      <c r="C37" s="572"/>
      <c r="D37" s="527"/>
      <c r="E37" s="527"/>
      <c r="F37" s="554"/>
      <c r="G37" s="43"/>
      <c r="I37" s="526"/>
      <c r="J37" s="526"/>
    </row>
    <row r="38" spans="1:11" s="523" customFormat="1" ht="12.95" customHeight="1" x14ac:dyDescent="0.15">
      <c r="A38" s="751" t="s">
        <v>438</v>
      </c>
      <c r="B38" s="527">
        <v>9582905</v>
      </c>
      <c r="C38" s="572">
        <v>98.88</v>
      </c>
      <c r="D38" s="527">
        <v>18864</v>
      </c>
      <c r="E38" s="527">
        <v>332.8</v>
      </c>
      <c r="F38" s="554"/>
      <c r="G38" s="43" t="s">
        <v>439</v>
      </c>
      <c r="I38" s="526"/>
      <c r="J38" s="526"/>
    </row>
    <row r="39" spans="1:11" s="523" customFormat="1" ht="12.95" customHeight="1" x14ac:dyDescent="0.15">
      <c r="A39" s="751" t="s">
        <v>29</v>
      </c>
      <c r="B39" s="527">
        <v>387057625</v>
      </c>
      <c r="C39" s="572">
        <v>100.29</v>
      </c>
      <c r="D39" s="527">
        <v>718452</v>
      </c>
      <c r="E39" s="527">
        <v>8725.5</v>
      </c>
      <c r="F39" s="554"/>
      <c r="G39" s="43" t="s">
        <v>35</v>
      </c>
      <c r="I39" s="526"/>
      <c r="J39" s="526"/>
    </row>
    <row r="40" spans="1:11" s="523" customFormat="1" ht="12.95" customHeight="1" x14ac:dyDescent="0.15">
      <c r="A40" s="751" t="s">
        <v>30</v>
      </c>
      <c r="B40" s="527">
        <v>84357387</v>
      </c>
      <c r="C40" s="572">
        <v>98.54</v>
      </c>
      <c r="D40" s="527">
        <v>153338</v>
      </c>
      <c r="E40" s="527">
        <v>1627.6</v>
      </c>
      <c r="F40" s="554"/>
      <c r="G40" s="43" t="s">
        <v>36</v>
      </c>
      <c r="I40" s="526"/>
      <c r="J40" s="526"/>
    </row>
    <row r="41" spans="1:11" s="523" customFormat="1" ht="12.95" customHeight="1" x14ac:dyDescent="0.15">
      <c r="A41" s="751" t="s">
        <v>31</v>
      </c>
      <c r="B41" s="527">
        <v>64245613</v>
      </c>
      <c r="C41" s="572">
        <v>102.08</v>
      </c>
      <c r="D41" s="527">
        <v>114900</v>
      </c>
      <c r="E41" s="527">
        <v>3040.9</v>
      </c>
      <c r="F41" s="554"/>
      <c r="G41" s="43" t="s">
        <v>37</v>
      </c>
      <c r="I41" s="526"/>
      <c r="J41" s="526"/>
    </row>
    <row r="42" spans="1:11" s="523" customFormat="1" ht="12.95" customHeight="1" x14ac:dyDescent="0.15">
      <c r="A42" s="751" t="s">
        <v>61</v>
      </c>
      <c r="B42" s="527">
        <v>380931185</v>
      </c>
      <c r="C42" s="572">
        <v>100.52</v>
      </c>
      <c r="D42" s="527">
        <v>652761</v>
      </c>
      <c r="E42" s="527">
        <v>13989.1</v>
      </c>
      <c r="F42" s="554"/>
      <c r="G42" s="43" t="s">
        <v>67</v>
      </c>
      <c r="I42" s="526"/>
      <c r="J42" s="526"/>
    </row>
    <row r="43" spans="1:11" s="523" customFormat="1" ht="12.95" customHeight="1" x14ac:dyDescent="0.15">
      <c r="A43" s="751" t="s">
        <v>75</v>
      </c>
      <c r="B43" s="527">
        <v>14400181</v>
      </c>
      <c r="C43" s="572">
        <v>96.58</v>
      </c>
      <c r="D43" s="527">
        <v>49090</v>
      </c>
      <c r="E43" s="527">
        <v>258.8</v>
      </c>
      <c r="F43" s="554"/>
      <c r="G43" s="43" t="s">
        <v>66</v>
      </c>
      <c r="I43" s="526"/>
      <c r="J43" s="526"/>
    </row>
    <row r="44" spans="1:11" s="523" customFormat="1" ht="12.95" customHeight="1" x14ac:dyDescent="0.15">
      <c r="A44" s="751" t="s">
        <v>15</v>
      </c>
      <c r="B44" s="527">
        <v>16242083</v>
      </c>
      <c r="C44" s="572">
        <v>96.26</v>
      </c>
      <c r="D44" s="527">
        <v>46515</v>
      </c>
      <c r="E44" s="527">
        <v>24.6</v>
      </c>
      <c r="F44" s="554"/>
      <c r="G44" s="43" t="s">
        <v>24</v>
      </c>
      <c r="I44" s="526"/>
      <c r="J44" s="526"/>
    </row>
    <row r="45" spans="1:11" s="523" customFormat="1" ht="12.95" customHeight="1" x14ac:dyDescent="0.15">
      <c r="A45" s="751" t="s">
        <v>62</v>
      </c>
      <c r="B45" s="527">
        <v>1739671</v>
      </c>
      <c r="C45" s="572">
        <v>110.75</v>
      </c>
      <c r="D45" s="527">
        <v>25736</v>
      </c>
      <c r="E45" s="527">
        <v>67.5</v>
      </c>
      <c r="F45" s="554"/>
      <c r="G45" s="43" t="s">
        <v>56</v>
      </c>
      <c r="I45" s="526"/>
      <c r="J45" s="526"/>
    </row>
    <row r="46" spans="1:11" ht="12.95" customHeight="1" x14ac:dyDescent="0.15">
      <c r="A46" s="989" t="s">
        <v>401</v>
      </c>
      <c r="B46" s="960">
        <v>29234408</v>
      </c>
      <c r="C46" s="963">
        <v>102.1</v>
      </c>
      <c r="D46" s="960">
        <v>82974</v>
      </c>
      <c r="E46" s="960">
        <v>1418.7</v>
      </c>
      <c r="F46" s="990"/>
      <c r="G46" s="965" t="s">
        <v>400</v>
      </c>
      <c r="I46" s="562"/>
      <c r="J46" s="526"/>
    </row>
    <row r="47" spans="1:11" ht="12.95" customHeight="1" x14ac:dyDescent="0.15">
      <c r="A47" s="560" t="s">
        <v>399</v>
      </c>
      <c r="B47" s="187"/>
      <c r="C47" s="558"/>
      <c r="D47" s="558"/>
      <c r="E47" s="558"/>
      <c r="F47" s="561"/>
      <c r="G47" s="43"/>
    </row>
    <row r="48" spans="1:11" ht="12.95" customHeight="1" x14ac:dyDescent="0.15">
      <c r="A48" s="560" t="s">
        <v>1077</v>
      </c>
      <c r="B48" s="559"/>
      <c r="C48" s="558"/>
      <c r="D48" s="558"/>
      <c r="E48" s="43"/>
      <c r="F48" s="43"/>
      <c r="G48" s="556"/>
      <c r="H48" s="555"/>
      <c r="I48" s="555"/>
      <c r="J48" s="554"/>
      <c r="K48" s="43"/>
    </row>
    <row r="49" spans="1:11" ht="12.95" customHeight="1" x14ac:dyDescent="0.15">
      <c r="A49" s="560" t="s">
        <v>1064</v>
      </c>
      <c r="B49" s="468"/>
      <c r="C49" s="468"/>
      <c r="D49" s="468"/>
      <c r="E49" s="468"/>
      <c r="F49" s="468"/>
      <c r="G49" s="556"/>
      <c r="H49" s="555"/>
      <c r="I49" s="555"/>
      <c r="J49" s="554"/>
      <c r="K49" s="43"/>
    </row>
    <row r="50" spans="1:11" ht="12.95" customHeight="1" x14ac:dyDescent="0.15">
      <c r="A50" s="560" t="s">
        <v>1065</v>
      </c>
    </row>
    <row r="51" spans="1:11" ht="12.95" customHeight="1" x14ac:dyDescent="0.15">
      <c r="A51" s="560" t="s">
        <v>1078</v>
      </c>
      <c r="B51" s="557"/>
      <c r="C51" s="557"/>
      <c r="D51" s="557"/>
      <c r="E51" s="557"/>
      <c r="F51" s="557"/>
      <c r="G51" s="556"/>
      <c r="H51" s="555"/>
      <c r="I51" s="555"/>
      <c r="J51" s="554"/>
      <c r="K51" s="43"/>
    </row>
    <row r="52" spans="1:11" ht="12.95" customHeight="1" x14ac:dyDescent="0.15">
      <c r="A52" s="557" t="s">
        <v>808</v>
      </c>
      <c r="B52" s="557"/>
      <c r="C52" s="557"/>
      <c r="D52" s="557"/>
      <c r="E52" s="557"/>
      <c r="F52" s="557"/>
      <c r="G52" s="556"/>
      <c r="H52" s="555"/>
      <c r="I52" s="555"/>
      <c r="J52" s="554"/>
      <c r="K52" s="43"/>
    </row>
    <row r="53" spans="1:11" ht="12.95" customHeight="1" x14ac:dyDescent="0.15">
      <c r="A53" s="1128" t="s">
        <v>818</v>
      </c>
      <c r="B53" s="1128"/>
      <c r="C53" s="1128"/>
      <c r="D53" s="1128"/>
      <c r="E53" s="1128"/>
      <c r="F53" s="1128"/>
      <c r="G53" s="1128"/>
    </row>
  </sheetData>
  <mergeCells count="4">
    <mergeCell ref="F3:G6"/>
    <mergeCell ref="A27:G27"/>
    <mergeCell ref="F31:G34"/>
    <mergeCell ref="A53:G53"/>
  </mergeCells>
  <phoneticPr fontId="32"/>
  <pageMargins left="0.59055118110236227" right="0.59055118110236227" top="0.59055118110236227" bottom="0.59055118110236227" header="0.51181102362204722" footer="0.51181102362204722"/>
  <pageSetup paperSize="9" scale="96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58AA-3B63-4924-B955-0AF85575C3AE}">
  <sheetPr>
    <pageSetUpPr fitToPage="1"/>
  </sheetPr>
  <dimension ref="A1:J29"/>
  <sheetViews>
    <sheetView view="pageBreakPreview" zoomScaleNormal="100" zoomScaleSheetLayoutView="100" workbookViewId="0"/>
  </sheetViews>
  <sheetFormatPr defaultRowHeight="13.5" x14ac:dyDescent="0.15"/>
  <cols>
    <col min="1" max="9" width="10.625" style="876" customWidth="1"/>
    <col min="10" max="17" width="12.625" style="876" customWidth="1"/>
    <col min="18" max="16384" width="9" style="876"/>
  </cols>
  <sheetData>
    <row r="1" spans="1:10" ht="19.5" customHeight="1" x14ac:dyDescent="0.15">
      <c r="A1" s="875" t="s">
        <v>1161</v>
      </c>
      <c r="B1" s="875"/>
      <c r="C1" s="875"/>
      <c r="D1" s="875"/>
      <c r="E1" s="875"/>
      <c r="F1" s="875"/>
      <c r="G1" s="875"/>
      <c r="H1" s="875"/>
    </row>
    <row r="2" spans="1:10" ht="19.5" customHeight="1" x14ac:dyDescent="0.15">
      <c r="A2" s="875" t="s">
        <v>1079</v>
      </c>
      <c r="B2" s="875"/>
      <c r="C2" s="875"/>
      <c r="D2" s="875"/>
      <c r="E2" s="875"/>
      <c r="F2" s="875"/>
      <c r="G2" s="875"/>
      <c r="H2" s="875"/>
      <c r="I2" s="877"/>
    </row>
    <row r="3" spans="1:10" ht="16.5" customHeight="1" x14ac:dyDescent="0.15">
      <c r="A3" s="878"/>
      <c r="B3" s="878"/>
      <c r="C3" s="878"/>
      <c r="D3" s="878"/>
      <c r="E3" s="878"/>
      <c r="F3" s="878"/>
      <c r="G3" s="879"/>
      <c r="H3" s="880" t="s">
        <v>1080</v>
      </c>
      <c r="I3" s="881"/>
    </row>
    <row r="4" spans="1:10" s="883" customFormat="1" ht="18" customHeight="1" x14ac:dyDescent="0.15">
      <c r="A4" s="1135" t="s">
        <v>1081</v>
      </c>
      <c r="B4" s="882" t="s">
        <v>1082</v>
      </c>
      <c r="C4" s="1138" t="s">
        <v>1083</v>
      </c>
      <c r="D4" s="1139"/>
      <c r="E4" s="1140"/>
      <c r="F4" s="1138" t="s">
        <v>1084</v>
      </c>
      <c r="G4" s="1139"/>
      <c r="H4" s="1140"/>
      <c r="I4" s="1141" t="s">
        <v>1085</v>
      </c>
    </row>
    <row r="5" spans="1:10" s="883" customFormat="1" ht="18" customHeight="1" x14ac:dyDescent="0.15">
      <c r="A5" s="1136"/>
      <c r="B5" s="884" t="s">
        <v>1086</v>
      </c>
      <c r="C5" s="885" t="s">
        <v>1087</v>
      </c>
      <c r="D5" s="886" t="s">
        <v>1088</v>
      </c>
      <c r="E5" s="887" t="s">
        <v>1089</v>
      </c>
      <c r="F5" s="887" t="s">
        <v>1090</v>
      </c>
      <c r="G5" s="888" t="s">
        <v>1091</v>
      </c>
      <c r="H5" s="889" t="s">
        <v>1092</v>
      </c>
      <c r="I5" s="1142"/>
    </row>
    <row r="6" spans="1:10" s="883" customFormat="1" ht="18" customHeight="1" x14ac:dyDescent="0.15">
      <c r="A6" s="1136"/>
      <c r="B6" s="884"/>
      <c r="C6" s="884"/>
      <c r="D6" s="888"/>
      <c r="E6" s="884" t="s">
        <v>1093</v>
      </c>
      <c r="F6" s="884" t="s">
        <v>1094</v>
      </c>
      <c r="G6" s="888" t="s">
        <v>1095</v>
      </c>
      <c r="H6" s="889"/>
      <c r="I6" s="1142"/>
    </row>
    <row r="7" spans="1:10" s="883" customFormat="1" ht="39.950000000000003" customHeight="1" x14ac:dyDescent="0.15">
      <c r="A7" s="1137"/>
      <c r="B7" s="890" t="s">
        <v>1096</v>
      </c>
      <c r="C7" s="891" t="s">
        <v>1097</v>
      </c>
      <c r="D7" s="892" t="s">
        <v>1098</v>
      </c>
      <c r="E7" s="892" t="s">
        <v>1099</v>
      </c>
      <c r="F7" s="892" t="s">
        <v>1100</v>
      </c>
      <c r="G7" s="893" t="s">
        <v>1101</v>
      </c>
      <c r="H7" s="894" t="s">
        <v>1102</v>
      </c>
      <c r="I7" s="1143"/>
    </row>
    <row r="8" spans="1:10" ht="18" customHeight="1" x14ac:dyDescent="0.15">
      <c r="A8" s="895" t="s">
        <v>1103</v>
      </c>
      <c r="B8" s="896">
        <v>71997664</v>
      </c>
      <c r="C8" s="897">
        <v>41186449</v>
      </c>
      <c r="D8" s="896">
        <v>26435777</v>
      </c>
      <c r="E8" s="896">
        <v>3298475</v>
      </c>
      <c r="F8" s="896">
        <v>2842238</v>
      </c>
      <c r="G8" s="898">
        <v>2700578</v>
      </c>
      <c r="H8" s="899">
        <v>5542816</v>
      </c>
      <c r="I8" s="900" t="s">
        <v>841</v>
      </c>
    </row>
    <row r="9" spans="1:10" ht="18" customHeight="1" x14ac:dyDescent="0.15">
      <c r="A9" s="901"/>
      <c r="B9" s="902"/>
      <c r="C9" s="903"/>
      <c r="D9" s="902"/>
      <c r="E9" s="902"/>
      <c r="F9" s="902"/>
      <c r="G9" s="904"/>
      <c r="H9" s="905"/>
      <c r="I9" s="906"/>
    </row>
    <row r="10" spans="1:10" ht="18" customHeight="1" x14ac:dyDescent="0.15">
      <c r="A10" s="871" t="s">
        <v>1104</v>
      </c>
      <c r="B10" s="907">
        <v>6786414</v>
      </c>
      <c r="C10" s="908">
        <v>4604843</v>
      </c>
      <c r="D10" s="907">
        <v>3021188</v>
      </c>
      <c r="E10" s="907">
        <v>330681</v>
      </c>
      <c r="F10" s="907">
        <v>2130677</v>
      </c>
      <c r="G10" s="909">
        <v>1779513</v>
      </c>
      <c r="H10" s="910">
        <v>3910190</v>
      </c>
      <c r="I10" s="529" t="s">
        <v>717</v>
      </c>
      <c r="J10" s="911"/>
    </row>
    <row r="11" spans="1:10" ht="18" customHeight="1" x14ac:dyDescent="0.15">
      <c r="A11" s="871" t="s">
        <v>1105</v>
      </c>
      <c r="B11" s="907">
        <v>7108031</v>
      </c>
      <c r="C11" s="908">
        <v>4109823</v>
      </c>
      <c r="D11" s="907">
        <v>2827906</v>
      </c>
      <c r="E11" s="907">
        <v>311997</v>
      </c>
      <c r="F11" s="907">
        <v>2058600</v>
      </c>
      <c r="G11" s="909">
        <v>1485167</v>
      </c>
      <c r="H11" s="910">
        <v>3543767</v>
      </c>
      <c r="I11" s="352" t="s">
        <v>466</v>
      </c>
      <c r="J11" s="911"/>
    </row>
    <row r="12" spans="1:10" ht="18" customHeight="1" x14ac:dyDescent="0.15">
      <c r="A12" s="871" t="s">
        <v>1106</v>
      </c>
      <c r="B12" s="907">
        <v>6505060</v>
      </c>
      <c r="C12" s="908">
        <v>3466737</v>
      </c>
      <c r="D12" s="907">
        <v>2549019</v>
      </c>
      <c r="E12" s="907">
        <v>256986</v>
      </c>
      <c r="F12" s="907">
        <v>2186830</v>
      </c>
      <c r="G12" s="909">
        <v>1567970</v>
      </c>
      <c r="H12" s="910">
        <v>3754800</v>
      </c>
      <c r="I12" s="352" t="s">
        <v>467</v>
      </c>
      <c r="J12" s="911"/>
    </row>
    <row r="13" spans="1:10" ht="18" customHeight="1" x14ac:dyDescent="0.15">
      <c r="A13" s="871" t="s">
        <v>1107</v>
      </c>
      <c r="B13" s="907">
        <v>5574140</v>
      </c>
      <c r="C13" s="908">
        <v>2768579</v>
      </c>
      <c r="D13" s="907">
        <v>2032690</v>
      </c>
      <c r="E13" s="907">
        <v>210898</v>
      </c>
      <c r="F13" s="907">
        <v>2320808</v>
      </c>
      <c r="G13" s="909">
        <v>1953588</v>
      </c>
      <c r="H13" s="910">
        <v>4274396</v>
      </c>
      <c r="I13" s="352" t="s">
        <v>468</v>
      </c>
      <c r="J13" s="911"/>
    </row>
    <row r="14" spans="1:10" ht="18" customHeight="1" x14ac:dyDescent="0.15">
      <c r="A14" s="871" t="s">
        <v>1108</v>
      </c>
      <c r="B14" s="907">
        <v>5760256</v>
      </c>
      <c r="C14" s="908">
        <v>2869301</v>
      </c>
      <c r="D14" s="907">
        <v>1786928</v>
      </c>
      <c r="E14" s="907">
        <v>167360</v>
      </c>
      <c r="F14" s="907">
        <v>2660624</v>
      </c>
      <c r="G14" s="909">
        <v>2356065</v>
      </c>
      <c r="H14" s="910">
        <v>5016689</v>
      </c>
      <c r="I14" s="352" t="s">
        <v>477</v>
      </c>
      <c r="J14" s="911"/>
    </row>
    <row r="15" spans="1:10" ht="18" customHeight="1" x14ac:dyDescent="0.15">
      <c r="A15" s="871" t="s">
        <v>1109</v>
      </c>
      <c r="B15" s="907">
        <v>5804154</v>
      </c>
      <c r="C15" s="908">
        <v>3454227</v>
      </c>
      <c r="D15" s="907">
        <v>1868377</v>
      </c>
      <c r="E15" s="907">
        <v>255382</v>
      </c>
      <c r="F15" s="907">
        <v>2791282</v>
      </c>
      <c r="G15" s="909">
        <v>2479311</v>
      </c>
      <c r="H15" s="910">
        <v>5270593</v>
      </c>
      <c r="I15" s="352" t="s">
        <v>469</v>
      </c>
      <c r="J15" s="911"/>
    </row>
    <row r="16" spans="1:10" ht="18" customHeight="1" x14ac:dyDescent="0.15">
      <c r="A16" s="871" t="s">
        <v>1110</v>
      </c>
      <c r="B16" s="907">
        <v>6163434</v>
      </c>
      <c r="C16" s="908">
        <v>3755840</v>
      </c>
      <c r="D16" s="907">
        <v>2050664</v>
      </c>
      <c r="E16" s="907">
        <v>312704</v>
      </c>
      <c r="F16" s="907">
        <v>2770226</v>
      </c>
      <c r="G16" s="909">
        <v>2510651</v>
      </c>
      <c r="H16" s="910">
        <v>5280877</v>
      </c>
      <c r="I16" s="352" t="s">
        <v>470</v>
      </c>
      <c r="J16" s="911"/>
    </row>
    <row r="17" spans="1:10" ht="18" customHeight="1" x14ac:dyDescent="0.15">
      <c r="A17" s="871" t="s">
        <v>1111</v>
      </c>
      <c r="B17" s="907">
        <v>6274424</v>
      </c>
      <c r="C17" s="908">
        <v>3544047</v>
      </c>
      <c r="D17" s="907">
        <v>1893277</v>
      </c>
      <c r="E17" s="907">
        <v>310707</v>
      </c>
      <c r="F17" s="907">
        <v>3361774</v>
      </c>
      <c r="G17" s="909">
        <v>2537690</v>
      </c>
      <c r="H17" s="910">
        <v>5899464</v>
      </c>
      <c r="I17" s="352" t="s">
        <v>471</v>
      </c>
      <c r="J17" s="911"/>
    </row>
    <row r="18" spans="1:10" ht="18" customHeight="1" x14ac:dyDescent="0.15">
      <c r="A18" s="871" t="s">
        <v>1112</v>
      </c>
      <c r="B18" s="907">
        <v>5324765</v>
      </c>
      <c r="C18" s="908">
        <v>2941041</v>
      </c>
      <c r="D18" s="907">
        <v>1855722</v>
      </c>
      <c r="E18" s="907">
        <v>392490</v>
      </c>
      <c r="F18" s="907">
        <v>3135546</v>
      </c>
      <c r="G18" s="909">
        <v>2562559</v>
      </c>
      <c r="H18" s="910">
        <v>5698105</v>
      </c>
      <c r="I18" s="352" t="s">
        <v>472</v>
      </c>
      <c r="J18" s="911"/>
    </row>
    <row r="19" spans="1:10" ht="18" customHeight="1" x14ac:dyDescent="0.15">
      <c r="A19" s="871" t="s">
        <v>1113</v>
      </c>
      <c r="B19" s="907">
        <v>5086665</v>
      </c>
      <c r="C19" s="908">
        <v>2858839</v>
      </c>
      <c r="D19" s="907">
        <v>1863026</v>
      </c>
      <c r="E19" s="907">
        <v>132313</v>
      </c>
      <c r="F19" s="907">
        <v>3048449</v>
      </c>
      <c r="G19" s="909">
        <v>2683984</v>
      </c>
      <c r="H19" s="910">
        <v>5732433</v>
      </c>
      <c r="I19" s="352" t="s">
        <v>473</v>
      </c>
      <c r="J19" s="911"/>
    </row>
    <row r="20" spans="1:10" ht="18" customHeight="1" x14ac:dyDescent="0.15">
      <c r="A20" s="871" t="s">
        <v>1114</v>
      </c>
      <c r="B20" s="907">
        <v>5548544</v>
      </c>
      <c r="C20" s="908">
        <v>3014025</v>
      </c>
      <c r="D20" s="907">
        <v>2026193</v>
      </c>
      <c r="E20" s="907">
        <v>282083</v>
      </c>
      <c r="F20" s="907">
        <v>3262436</v>
      </c>
      <c r="G20" s="909">
        <v>2814771</v>
      </c>
      <c r="H20" s="910">
        <v>6077207</v>
      </c>
      <c r="I20" s="352" t="s">
        <v>474</v>
      </c>
      <c r="J20" s="911"/>
    </row>
    <row r="21" spans="1:10" ht="18" customHeight="1" x14ac:dyDescent="0.15">
      <c r="A21" s="912" t="s">
        <v>1115</v>
      </c>
      <c r="B21" s="913">
        <v>6061777</v>
      </c>
      <c r="C21" s="914">
        <v>3799147</v>
      </c>
      <c r="D21" s="913">
        <v>2660787</v>
      </c>
      <c r="E21" s="913">
        <v>334874</v>
      </c>
      <c r="F21" s="913">
        <v>2842238</v>
      </c>
      <c r="G21" s="915">
        <v>2700578</v>
      </c>
      <c r="H21" s="916">
        <v>5542816</v>
      </c>
      <c r="I21" s="917" t="s">
        <v>475</v>
      </c>
      <c r="J21" s="911"/>
    </row>
    <row r="22" spans="1:10" s="919" customFormat="1" ht="16.5" customHeight="1" x14ac:dyDescent="0.15">
      <c r="A22" s="918" t="s">
        <v>1116</v>
      </c>
      <c r="B22" s="895"/>
      <c r="C22" s="895"/>
      <c r="D22" s="895"/>
      <c r="E22" s="895"/>
      <c r="F22" s="918"/>
      <c r="G22" s="895"/>
      <c r="H22" s="895"/>
      <c r="I22" s="895"/>
    </row>
    <row r="23" spans="1:10" s="919" customFormat="1" ht="16.5" customHeight="1" x14ac:dyDescent="0.15">
      <c r="A23" s="901" t="s">
        <v>1117</v>
      </c>
      <c r="B23" s="901"/>
      <c r="C23" s="901"/>
      <c r="D23" s="901"/>
      <c r="E23" s="901"/>
      <c r="F23" s="901"/>
      <c r="G23" s="901"/>
      <c r="H23" s="901"/>
      <c r="I23" s="901"/>
    </row>
    <row r="24" spans="1:10" s="919" customFormat="1" ht="16.5" customHeight="1" x14ac:dyDescent="0.15">
      <c r="A24" s="901" t="s">
        <v>1118</v>
      </c>
      <c r="B24" s="901"/>
      <c r="C24" s="901"/>
      <c r="D24" s="901"/>
      <c r="E24" s="901"/>
      <c r="F24" s="901"/>
      <c r="G24" s="901"/>
      <c r="H24" s="901"/>
      <c r="I24" s="901"/>
    </row>
    <row r="25" spans="1:10" s="919" customFormat="1" ht="16.5" customHeight="1" x14ac:dyDescent="0.15">
      <c r="A25" s="901" t="s">
        <v>1119</v>
      </c>
      <c r="B25" s="901"/>
      <c r="C25" s="901"/>
      <c r="D25" s="901"/>
      <c r="E25" s="901"/>
      <c r="F25" s="901"/>
      <c r="G25" s="901"/>
      <c r="H25" s="901"/>
      <c r="I25" s="901"/>
    </row>
    <row r="26" spans="1:10" s="919" customFormat="1" ht="16.5" customHeight="1" x14ac:dyDescent="0.15">
      <c r="A26" s="825" t="s">
        <v>1120</v>
      </c>
      <c r="B26" s="901"/>
      <c r="C26" s="901"/>
      <c r="D26" s="901"/>
      <c r="E26" s="901"/>
      <c r="F26" s="901"/>
      <c r="G26" s="901"/>
      <c r="H26" s="901"/>
      <c r="I26" s="901"/>
    </row>
    <row r="27" spans="1:10" s="919" customFormat="1" ht="16.5" customHeight="1" x14ac:dyDescent="0.15">
      <c r="A27" s="901" t="s">
        <v>1121</v>
      </c>
      <c r="B27" s="901"/>
      <c r="C27" s="901"/>
      <c r="D27" s="901"/>
      <c r="E27" s="901"/>
      <c r="F27" s="901"/>
      <c r="G27" s="901"/>
      <c r="H27" s="901"/>
      <c r="I27" s="901"/>
    </row>
    <row r="28" spans="1:10" s="919" customFormat="1" ht="16.5" customHeight="1" x14ac:dyDescent="0.15">
      <c r="A28" s="901" t="s">
        <v>1122</v>
      </c>
      <c r="B28" s="901"/>
      <c r="C28" s="901"/>
      <c r="D28" s="901"/>
      <c r="E28" s="901"/>
      <c r="F28" s="901"/>
      <c r="G28" s="901"/>
      <c r="H28" s="901"/>
      <c r="I28" s="901"/>
    </row>
    <row r="29" spans="1:10" s="919" customFormat="1" ht="16.5" customHeight="1" x14ac:dyDescent="0.15">
      <c r="A29" s="901" t="s">
        <v>1123</v>
      </c>
      <c r="B29" s="901"/>
      <c r="C29" s="901"/>
      <c r="D29" s="901"/>
      <c r="E29" s="901"/>
      <c r="F29" s="901"/>
      <c r="G29" s="901"/>
      <c r="H29" s="901"/>
      <c r="I29" s="901"/>
    </row>
  </sheetData>
  <mergeCells count="4">
    <mergeCell ref="A4:A7"/>
    <mergeCell ref="C4:E4"/>
    <mergeCell ref="F4:H4"/>
    <mergeCell ref="I4:I7"/>
  </mergeCells>
  <phoneticPr fontId="32"/>
  <printOptions horizontalCentered="1"/>
  <pageMargins left="0.59055118110236227" right="0.59055118110236227" top="0.59055118110236227" bottom="0.59055118110236227" header="0.59055118110236227" footer="0.31496062992125984"/>
  <pageSetup paperSize="9" scale="96" orientation="portrait" r:id="rId1"/>
  <headerFooter differentFirs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EC9D-8AD1-4E7B-9155-9AEF4A06437E}">
  <sheetPr>
    <pageSetUpPr fitToPage="1"/>
  </sheetPr>
  <dimension ref="A1:V61"/>
  <sheetViews>
    <sheetView view="pageBreakPreview" topLeftCell="A3" zoomScale="110" zoomScaleNormal="100" zoomScaleSheetLayoutView="110" workbookViewId="0"/>
  </sheetViews>
  <sheetFormatPr defaultRowHeight="13.5" x14ac:dyDescent="0.15"/>
  <cols>
    <col min="1" max="1" width="8.625" style="876" customWidth="1"/>
    <col min="2" max="8" width="10.625" style="876" customWidth="1"/>
    <col min="9" max="9" width="8.625" style="876" customWidth="1"/>
    <col min="10" max="12" width="12.625" style="876" customWidth="1"/>
    <col min="13" max="21" width="12.75" style="876" customWidth="1"/>
    <col min="22" max="22" width="12.5" style="876" customWidth="1"/>
    <col min="23" max="16384" width="9" style="876"/>
  </cols>
  <sheetData>
    <row r="1" spans="1:12" ht="19.5" customHeight="1" x14ac:dyDescent="0.15">
      <c r="A1" s="920"/>
      <c r="B1" s="920"/>
      <c r="C1" s="920"/>
      <c r="D1" s="920"/>
      <c r="E1" s="920"/>
      <c r="F1" s="920"/>
    </row>
    <row r="2" spans="1:12" ht="19.5" customHeight="1" x14ac:dyDescent="0.15">
      <c r="A2" s="921" t="s">
        <v>1124</v>
      </c>
      <c r="B2" s="922"/>
      <c r="C2" s="922"/>
      <c r="D2" s="922"/>
      <c r="E2" s="922"/>
      <c r="F2" s="922"/>
      <c r="G2" s="923"/>
      <c r="H2" s="923"/>
      <c r="I2" s="923"/>
    </row>
    <row r="3" spans="1:12" ht="15.6" customHeight="1" x14ac:dyDescent="0.15">
      <c r="A3" s="924"/>
      <c r="B3" s="924"/>
      <c r="C3" s="880"/>
      <c r="D3" s="880"/>
      <c r="E3" s="880"/>
      <c r="F3" s="880"/>
      <c r="G3" s="924"/>
      <c r="H3" s="880" t="s">
        <v>1080</v>
      </c>
      <c r="I3" s="924"/>
      <c r="J3" s="925"/>
      <c r="K3" s="926"/>
      <c r="L3" s="925"/>
    </row>
    <row r="4" spans="1:12" ht="15.6" customHeight="1" x14ac:dyDescent="0.15">
      <c r="A4" s="1135" t="s">
        <v>1081</v>
      </c>
      <c r="B4" s="927" t="s">
        <v>1125</v>
      </c>
      <c r="C4" s="927" t="s">
        <v>1126</v>
      </c>
      <c r="D4" s="927" t="s">
        <v>1127</v>
      </c>
      <c r="E4" s="927" t="s">
        <v>63</v>
      </c>
      <c r="F4" s="927" t="s">
        <v>12</v>
      </c>
      <c r="G4" s="927" t="s">
        <v>60</v>
      </c>
      <c r="H4" s="927" t="s">
        <v>31</v>
      </c>
      <c r="I4" s="1141" t="s">
        <v>1085</v>
      </c>
      <c r="J4" s="928"/>
      <c r="K4" s="929"/>
    </row>
    <row r="5" spans="1:12" ht="15.6" customHeight="1" x14ac:dyDescent="0.15">
      <c r="A5" s="1136"/>
      <c r="B5" s="1146" t="s">
        <v>1128</v>
      </c>
      <c r="C5" s="1152" t="s">
        <v>1129</v>
      </c>
      <c r="D5" s="1146" t="s">
        <v>1130</v>
      </c>
      <c r="E5" s="1146" t="s">
        <v>19</v>
      </c>
      <c r="F5" s="1146" t="s">
        <v>20</v>
      </c>
      <c r="G5" s="1146" t="s">
        <v>21</v>
      </c>
      <c r="H5" s="1146" t="s">
        <v>37</v>
      </c>
      <c r="I5" s="1142"/>
      <c r="J5" s="928"/>
      <c r="K5" s="1144"/>
    </row>
    <row r="6" spans="1:12" ht="15.6" customHeight="1" x14ac:dyDescent="0.15">
      <c r="A6" s="1137"/>
      <c r="B6" s="1147"/>
      <c r="C6" s="1147"/>
      <c r="D6" s="1146"/>
      <c r="E6" s="1146"/>
      <c r="F6" s="1146"/>
      <c r="G6" s="1146"/>
      <c r="H6" s="1146"/>
      <c r="I6" s="1143"/>
      <c r="J6" s="929"/>
      <c r="K6" s="1144"/>
    </row>
    <row r="7" spans="1:12" ht="9.9499999999999993" customHeight="1" x14ac:dyDescent="0.15">
      <c r="A7" s="930"/>
      <c r="B7" s="931"/>
      <c r="C7" s="931"/>
      <c r="D7" s="931"/>
      <c r="E7" s="931"/>
      <c r="F7" s="931"/>
      <c r="G7" s="896"/>
      <c r="H7" s="896"/>
      <c r="I7" s="900"/>
      <c r="J7" s="932"/>
      <c r="K7" s="932"/>
    </row>
    <row r="8" spans="1:12" ht="15.6" customHeight="1" x14ac:dyDescent="0.15">
      <c r="A8" s="933" t="s">
        <v>1103</v>
      </c>
      <c r="B8" s="934">
        <f>SUM(B10:B21)</f>
        <v>71997664</v>
      </c>
      <c r="C8" s="934">
        <f t="shared" ref="C8:H8" si="0">SUM(C10:C21)</f>
        <v>57360</v>
      </c>
      <c r="D8" s="934">
        <f t="shared" si="0"/>
        <v>73532</v>
      </c>
      <c r="E8" s="934">
        <f t="shared" si="0"/>
        <v>12048622</v>
      </c>
      <c r="F8" s="934">
        <f t="shared" si="0"/>
        <v>3214142</v>
      </c>
      <c r="G8" s="902">
        <f t="shared" si="0"/>
        <v>2540892</v>
      </c>
      <c r="H8" s="902">
        <f t="shared" si="0"/>
        <v>2883542</v>
      </c>
      <c r="I8" s="906" t="s">
        <v>1131</v>
      </c>
      <c r="J8" s="932"/>
      <c r="K8" s="932"/>
    </row>
    <row r="9" spans="1:12" ht="9.9499999999999993" customHeight="1" x14ac:dyDescent="0.15">
      <c r="A9" s="933"/>
      <c r="B9" s="934"/>
      <c r="C9" s="934"/>
      <c r="D9" s="934"/>
      <c r="E9" s="934"/>
      <c r="F9" s="934"/>
      <c r="G9" s="902"/>
      <c r="H9" s="902"/>
      <c r="I9" s="906"/>
      <c r="J9" s="932"/>
      <c r="K9" s="932"/>
    </row>
    <row r="10" spans="1:12" ht="15.6" customHeight="1" x14ac:dyDescent="0.15">
      <c r="A10" s="872" t="s">
        <v>1104</v>
      </c>
      <c r="B10" s="934">
        <v>6786414</v>
      </c>
      <c r="C10" s="907" t="s">
        <v>599</v>
      </c>
      <c r="D10" s="907" t="s">
        <v>599</v>
      </c>
      <c r="E10" s="907">
        <v>803833</v>
      </c>
      <c r="F10" s="907">
        <v>439762</v>
      </c>
      <c r="G10" s="902">
        <v>352456</v>
      </c>
      <c r="H10" s="902">
        <v>264683</v>
      </c>
      <c r="I10" s="873" t="s">
        <v>1132</v>
      </c>
      <c r="J10" s="932"/>
      <c r="K10" s="932"/>
    </row>
    <row r="11" spans="1:12" ht="15.6" customHeight="1" x14ac:dyDescent="0.15">
      <c r="A11" s="872" t="s">
        <v>1133</v>
      </c>
      <c r="B11" s="934">
        <v>7108031</v>
      </c>
      <c r="C11" s="907" t="s">
        <v>599</v>
      </c>
      <c r="D11" s="907">
        <v>73532</v>
      </c>
      <c r="E11" s="907">
        <v>1078487</v>
      </c>
      <c r="F11" s="907">
        <v>377675</v>
      </c>
      <c r="G11" s="902">
        <v>309382</v>
      </c>
      <c r="H11" s="902">
        <v>410470</v>
      </c>
      <c r="I11" s="873" t="s">
        <v>466</v>
      </c>
      <c r="J11" s="932"/>
      <c r="K11" s="932"/>
    </row>
    <row r="12" spans="1:12" ht="15.6" customHeight="1" x14ac:dyDescent="0.15">
      <c r="A12" s="872" t="s">
        <v>1134</v>
      </c>
      <c r="B12" s="934">
        <v>6505060</v>
      </c>
      <c r="C12" s="907" t="s">
        <v>599</v>
      </c>
      <c r="D12" s="907" t="s">
        <v>599</v>
      </c>
      <c r="E12" s="907">
        <v>1053939</v>
      </c>
      <c r="F12" s="907">
        <v>258618</v>
      </c>
      <c r="G12" s="902">
        <v>292235</v>
      </c>
      <c r="H12" s="902">
        <v>293373</v>
      </c>
      <c r="I12" s="873" t="s">
        <v>467</v>
      </c>
      <c r="J12" s="932"/>
      <c r="K12" s="932"/>
    </row>
    <row r="13" spans="1:12" ht="15.6" customHeight="1" x14ac:dyDescent="0.15">
      <c r="A13" s="872" t="s">
        <v>1135</v>
      </c>
      <c r="B13" s="934">
        <v>5574140</v>
      </c>
      <c r="C13" s="907" t="s">
        <v>599</v>
      </c>
      <c r="D13" s="907" t="s">
        <v>599</v>
      </c>
      <c r="E13" s="907">
        <v>917306</v>
      </c>
      <c r="F13" s="907">
        <v>251090</v>
      </c>
      <c r="G13" s="902">
        <v>329177</v>
      </c>
      <c r="H13" s="902">
        <v>129794</v>
      </c>
      <c r="I13" s="873" t="s">
        <v>468</v>
      </c>
      <c r="J13" s="932"/>
      <c r="K13" s="932"/>
    </row>
    <row r="14" spans="1:12" ht="15.6" customHeight="1" x14ac:dyDescent="0.15">
      <c r="A14" s="872" t="s">
        <v>1136</v>
      </c>
      <c r="B14" s="934">
        <v>5760256</v>
      </c>
      <c r="C14" s="907" t="s">
        <v>599</v>
      </c>
      <c r="D14" s="907" t="s">
        <v>599</v>
      </c>
      <c r="E14" s="907">
        <v>1054995</v>
      </c>
      <c r="F14" s="907">
        <v>248611</v>
      </c>
      <c r="G14" s="902">
        <v>55645</v>
      </c>
      <c r="H14" s="902">
        <v>240288</v>
      </c>
      <c r="I14" s="873" t="s">
        <v>477</v>
      </c>
      <c r="J14" s="932"/>
      <c r="K14" s="932"/>
    </row>
    <row r="15" spans="1:12" ht="15.6" customHeight="1" x14ac:dyDescent="0.15">
      <c r="A15" s="872" t="s">
        <v>1137</v>
      </c>
      <c r="B15" s="934">
        <v>5804154</v>
      </c>
      <c r="C15" s="907" t="s">
        <v>599</v>
      </c>
      <c r="D15" s="907" t="s">
        <v>599</v>
      </c>
      <c r="E15" s="907">
        <v>997840</v>
      </c>
      <c r="F15" s="907">
        <v>189888</v>
      </c>
      <c r="G15" s="902">
        <v>304227</v>
      </c>
      <c r="H15" s="902">
        <v>202645</v>
      </c>
      <c r="I15" s="873" t="s">
        <v>469</v>
      </c>
      <c r="J15" s="932"/>
      <c r="K15" s="932"/>
    </row>
    <row r="16" spans="1:12" ht="15.6" customHeight="1" x14ac:dyDescent="0.15">
      <c r="A16" s="872" t="s">
        <v>1138</v>
      </c>
      <c r="B16" s="934">
        <v>6163434</v>
      </c>
      <c r="C16" s="907" t="s">
        <v>599</v>
      </c>
      <c r="D16" s="907" t="s">
        <v>599</v>
      </c>
      <c r="E16" s="907">
        <v>1115577</v>
      </c>
      <c r="F16" s="907">
        <v>316393</v>
      </c>
      <c r="G16" s="902">
        <v>295684</v>
      </c>
      <c r="H16" s="902">
        <v>90401</v>
      </c>
      <c r="I16" s="873" t="s">
        <v>470</v>
      </c>
      <c r="J16" s="932"/>
      <c r="K16" s="932"/>
    </row>
    <row r="17" spans="1:22" ht="15.6" customHeight="1" x14ac:dyDescent="0.15">
      <c r="A17" s="872" t="s">
        <v>1139</v>
      </c>
      <c r="B17" s="934">
        <v>6274424</v>
      </c>
      <c r="C17" s="907">
        <v>57360</v>
      </c>
      <c r="D17" s="907" t="s">
        <v>599</v>
      </c>
      <c r="E17" s="907">
        <v>940913</v>
      </c>
      <c r="F17" s="907">
        <v>194165</v>
      </c>
      <c r="G17" s="902">
        <v>55616</v>
      </c>
      <c r="H17" s="902">
        <v>532611</v>
      </c>
      <c r="I17" s="873" t="s">
        <v>471</v>
      </c>
      <c r="J17" s="932"/>
      <c r="K17" s="932"/>
    </row>
    <row r="18" spans="1:22" ht="15.6" customHeight="1" x14ac:dyDescent="0.15">
      <c r="A18" s="872" t="s">
        <v>1140</v>
      </c>
      <c r="B18" s="934">
        <v>5324765</v>
      </c>
      <c r="C18" s="907" t="s">
        <v>599</v>
      </c>
      <c r="D18" s="907" t="s">
        <v>599</v>
      </c>
      <c r="E18" s="907">
        <v>1225742</v>
      </c>
      <c r="F18" s="907">
        <v>225224</v>
      </c>
      <c r="G18" s="902">
        <v>55571</v>
      </c>
      <c r="H18" s="902">
        <v>72895</v>
      </c>
      <c r="I18" s="873" t="s">
        <v>472</v>
      </c>
      <c r="J18" s="932"/>
      <c r="K18" s="932"/>
    </row>
    <row r="19" spans="1:22" ht="15.6" customHeight="1" x14ac:dyDescent="0.15">
      <c r="A19" s="872" t="s">
        <v>1141</v>
      </c>
      <c r="B19" s="934">
        <v>5086665</v>
      </c>
      <c r="C19" s="907" t="s">
        <v>599</v>
      </c>
      <c r="D19" s="907" t="s">
        <v>599</v>
      </c>
      <c r="E19" s="907">
        <v>815560</v>
      </c>
      <c r="F19" s="907">
        <v>127798</v>
      </c>
      <c r="G19" s="902" t="s">
        <v>599</v>
      </c>
      <c r="H19" s="902">
        <v>126806</v>
      </c>
      <c r="I19" s="873" t="s">
        <v>473</v>
      </c>
      <c r="J19" s="932"/>
      <c r="K19" s="932"/>
    </row>
    <row r="20" spans="1:22" ht="15.6" customHeight="1" x14ac:dyDescent="0.15">
      <c r="A20" s="872" t="s">
        <v>1142</v>
      </c>
      <c r="B20" s="934">
        <v>5548544</v>
      </c>
      <c r="C20" s="907" t="s">
        <v>599</v>
      </c>
      <c r="D20" s="907" t="s">
        <v>599</v>
      </c>
      <c r="E20" s="907">
        <v>1116026</v>
      </c>
      <c r="F20" s="907">
        <v>263704</v>
      </c>
      <c r="G20" s="902">
        <v>246967</v>
      </c>
      <c r="H20" s="902">
        <v>168366</v>
      </c>
      <c r="I20" s="873" t="s">
        <v>474</v>
      </c>
      <c r="J20" s="932"/>
      <c r="K20" s="932"/>
    </row>
    <row r="21" spans="1:22" ht="15.6" customHeight="1" x14ac:dyDescent="0.15">
      <c r="A21" s="935" t="s">
        <v>1143</v>
      </c>
      <c r="B21" s="936">
        <v>6061777</v>
      </c>
      <c r="C21" s="913" t="s">
        <v>599</v>
      </c>
      <c r="D21" s="913" t="s">
        <v>599</v>
      </c>
      <c r="E21" s="913">
        <v>928404</v>
      </c>
      <c r="F21" s="913">
        <v>321214</v>
      </c>
      <c r="G21" s="937">
        <v>243932</v>
      </c>
      <c r="H21" s="937">
        <v>351210</v>
      </c>
      <c r="I21" s="938" t="s">
        <v>475</v>
      </c>
      <c r="J21" s="932"/>
      <c r="K21" s="932"/>
    </row>
    <row r="22" spans="1:22" ht="9.9499999999999993" customHeight="1" x14ac:dyDescent="0.15">
      <c r="A22" s="939"/>
      <c r="B22" s="940"/>
      <c r="C22" s="941"/>
      <c r="D22" s="941"/>
      <c r="E22" s="941"/>
      <c r="F22" s="941"/>
      <c r="G22" s="940"/>
      <c r="H22" s="940"/>
      <c r="I22" s="940"/>
      <c r="J22" s="942"/>
      <c r="K22" s="942"/>
      <c r="L22" s="942"/>
      <c r="M22" s="943"/>
      <c r="N22" s="943"/>
      <c r="O22" s="943"/>
      <c r="P22" s="943"/>
      <c r="Q22" s="943"/>
      <c r="R22" s="943"/>
      <c r="S22" s="943"/>
      <c r="T22" s="943"/>
      <c r="U22" s="943"/>
      <c r="V22" s="874"/>
    </row>
    <row r="23" spans="1:22" ht="15.6" customHeight="1" x14ac:dyDescent="0.15">
      <c r="A23" s="1135" t="s">
        <v>1081</v>
      </c>
      <c r="B23" s="927" t="s">
        <v>32</v>
      </c>
      <c r="C23" s="944" t="s">
        <v>61</v>
      </c>
      <c r="D23" s="927" t="s">
        <v>34</v>
      </c>
      <c r="E23" s="944" t="s">
        <v>1144</v>
      </c>
      <c r="F23" s="944" t="s">
        <v>1145</v>
      </c>
      <c r="G23" s="927" t="s">
        <v>1146</v>
      </c>
      <c r="H23" s="927" t="s">
        <v>111</v>
      </c>
      <c r="I23" s="1141" t="s">
        <v>1085</v>
      </c>
      <c r="J23" s="928"/>
      <c r="K23" s="929"/>
      <c r="L23" s="925"/>
      <c r="M23" s="943"/>
      <c r="N23" s="943"/>
      <c r="O23" s="943"/>
      <c r="P23" s="943"/>
      <c r="Q23" s="943"/>
      <c r="R23" s="943"/>
      <c r="S23" s="943"/>
      <c r="T23" s="943"/>
      <c r="U23" s="943"/>
      <c r="V23" s="874"/>
    </row>
    <row r="24" spans="1:22" ht="15.6" customHeight="1" x14ac:dyDescent="0.15">
      <c r="A24" s="1136"/>
      <c r="B24" s="1146" t="s">
        <v>38</v>
      </c>
      <c r="C24" s="1149" t="s">
        <v>1147</v>
      </c>
      <c r="D24" s="1146" t="s">
        <v>68</v>
      </c>
      <c r="E24" s="1149" t="s">
        <v>1148</v>
      </c>
      <c r="F24" s="1149" t="s">
        <v>1149</v>
      </c>
      <c r="G24" s="1146" t="s">
        <v>1150</v>
      </c>
      <c r="H24" s="1146" t="s">
        <v>114</v>
      </c>
      <c r="I24" s="1142"/>
      <c r="J24" s="928"/>
      <c r="K24" s="1144"/>
      <c r="L24" s="925"/>
      <c r="M24" s="943"/>
      <c r="N24" s="943"/>
      <c r="O24" s="943"/>
      <c r="P24" s="943"/>
      <c r="Q24" s="943"/>
      <c r="R24" s="943"/>
      <c r="S24" s="943"/>
      <c r="T24" s="943"/>
      <c r="U24" s="943"/>
      <c r="V24" s="874"/>
    </row>
    <row r="25" spans="1:22" ht="15.6" customHeight="1" x14ac:dyDescent="0.15">
      <c r="A25" s="1137"/>
      <c r="B25" s="1146"/>
      <c r="C25" s="1150"/>
      <c r="D25" s="1146"/>
      <c r="E25" s="1150"/>
      <c r="F25" s="1151"/>
      <c r="G25" s="1146"/>
      <c r="H25" s="1146"/>
      <c r="I25" s="1143"/>
      <c r="J25" s="929"/>
      <c r="K25" s="1144"/>
      <c r="L25" s="945"/>
      <c r="M25" s="943"/>
      <c r="N25" s="943"/>
      <c r="O25" s="943"/>
      <c r="P25" s="943"/>
      <c r="Q25" s="943"/>
      <c r="R25" s="943"/>
      <c r="S25" s="943"/>
      <c r="T25" s="943"/>
      <c r="U25" s="943"/>
      <c r="V25" s="874"/>
    </row>
    <row r="26" spans="1:22" ht="9.9499999999999993" customHeight="1" x14ac:dyDescent="0.15">
      <c r="A26" s="930"/>
      <c r="B26" s="896"/>
      <c r="C26" s="896"/>
      <c r="D26" s="896"/>
      <c r="E26" s="896"/>
      <c r="F26" s="896"/>
      <c r="G26" s="896"/>
      <c r="H26" s="896"/>
      <c r="I26" s="900"/>
      <c r="J26" s="942"/>
      <c r="K26" s="942"/>
      <c r="L26" s="925"/>
      <c r="M26" s="943"/>
      <c r="N26" s="943"/>
      <c r="O26" s="943"/>
      <c r="P26" s="943"/>
      <c r="Q26" s="943"/>
      <c r="R26" s="943"/>
      <c r="S26" s="943"/>
      <c r="T26" s="943"/>
      <c r="U26" s="943"/>
      <c r="V26" s="874"/>
    </row>
    <row r="27" spans="1:22" ht="15.6" customHeight="1" x14ac:dyDescent="0.15">
      <c r="A27" s="933" t="s">
        <v>1103</v>
      </c>
      <c r="B27" s="902">
        <f t="shared" ref="B27:H27" si="1">SUM(B29:B40)</f>
        <v>2529105</v>
      </c>
      <c r="C27" s="902">
        <f t="shared" si="1"/>
        <v>1334644</v>
      </c>
      <c r="D27" s="902">
        <f t="shared" si="1"/>
        <v>6869316</v>
      </c>
      <c r="E27" s="902">
        <f t="shared" si="1"/>
        <v>4135856</v>
      </c>
      <c r="F27" s="902">
        <f t="shared" si="1"/>
        <v>108155</v>
      </c>
      <c r="G27" s="902">
        <f t="shared" si="1"/>
        <v>198716</v>
      </c>
      <c r="H27" s="902">
        <f t="shared" si="1"/>
        <v>124509</v>
      </c>
      <c r="I27" s="906" t="s">
        <v>1131</v>
      </c>
      <c r="J27" s="942"/>
      <c r="K27" s="942"/>
      <c r="L27" s="925"/>
      <c r="M27" s="943"/>
      <c r="N27" s="943"/>
      <c r="O27" s="943"/>
      <c r="P27" s="943"/>
      <c r="Q27" s="943"/>
      <c r="R27" s="943"/>
      <c r="S27" s="943"/>
      <c r="T27" s="943"/>
      <c r="U27" s="943"/>
      <c r="V27" s="874"/>
    </row>
    <row r="28" spans="1:22" ht="9.9499999999999993" customHeight="1" x14ac:dyDescent="0.15">
      <c r="A28" s="933"/>
      <c r="B28" s="902"/>
      <c r="C28" s="902"/>
      <c r="D28" s="902"/>
      <c r="E28" s="902"/>
      <c r="F28" s="902"/>
      <c r="G28" s="902"/>
      <c r="H28" s="902"/>
      <c r="I28" s="906"/>
      <c r="J28" s="942"/>
      <c r="K28" s="942"/>
      <c r="L28" s="925"/>
      <c r="M28" s="943"/>
      <c r="N28" s="943"/>
      <c r="O28" s="943"/>
      <c r="P28" s="943"/>
      <c r="Q28" s="943"/>
      <c r="R28" s="943"/>
      <c r="S28" s="943"/>
      <c r="T28" s="943"/>
      <c r="U28" s="943"/>
      <c r="V28" s="874"/>
    </row>
    <row r="29" spans="1:22" ht="15.6" customHeight="1" x14ac:dyDescent="0.15">
      <c r="A29" s="872" t="s">
        <v>1104</v>
      </c>
      <c r="B29" s="902">
        <v>128072</v>
      </c>
      <c r="C29" s="902">
        <v>240997</v>
      </c>
      <c r="D29" s="902">
        <v>779838</v>
      </c>
      <c r="E29" s="902">
        <v>650853</v>
      </c>
      <c r="F29" s="902">
        <v>50394</v>
      </c>
      <c r="G29" s="902" t="s">
        <v>599</v>
      </c>
      <c r="H29" s="902" t="s">
        <v>599</v>
      </c>
      <c r="I29" s="873" t="s">
        <v>1132</v>
      </c>
      <c r="J29" s="942"/>
      <c r="K29" s="942"/>
      <c r="L29" s="871"/>
      <c r="M29" s="943"/>
      <c r="N29" s="943"/>
      <c r="O29" s="943"/>
      <c r="P29" s="943"/>
      <c r="Q29" s="943"/>
      <c r="R29" s="943"/>
      <c r="S29" s="943"/>
      <c r="T29" s="943"/>
      <c r="U29" s="943"/>
      <c r="V29" s="874"/>
    </row>
    <row r="30" spans="1:22" ht="15.6" customHeight="1" x14ac:dyDescent="0.15">
      <c r="A30" s="872" t="s">
        <v>1133</v>
      </c>
      <c r="B30" s="902">
        <v>316615</v>
      </c>
      <c r="C30" s="902">
        <v>126725</v>
      </c>
      <c r="D30" s="902">
        <v>652809</v>
      </c>
      <c r="E30" s="902">
        <v>411050</v>
      </c>
      <c r="F30" s="902" t="s">
        <v>599</v>
      </c>
      <c r="G30" s="902">
        <v>142522</v>
      </c>
      <c r="H30" s="902" t="s">
        <v>599</v>
      </c>
      <c r="I30" s="873" t="s">
        <v>466</v>
      </c>
      <c r="J30" s="942"/>
      <c r="K30" s="942"/>
      <c r="L30" s="871"/>
      <c r="M30" s="943"/>
      <c r="N30" s="943"/>
      <c r="O30" s="943"/>
      <c r="P30" s="943"/>
      <c r="Q30" s="943"/>
      <c r="R30" s="943"/>
      <c r="S30" s="943"/>
      <c r="T30" s="943"/>
      <c r="U30" s="943"/>
      <c r="V30" s="874"/>
    </row>
    <row r="31" spans="1:22" ht="15.6" customHeight="1" x14ac:dyDescent="0.15">
      <c r="A31" s="872" t="s">
        <v>1134</v>
      </c>
      <c r="B31" s="902">
        <v>388415</v>
      </c>
      <c r="C31" s="902">
        <v>187558</v>
      </c>
      <c r="D31" s="902">
        <v>710069</v>
      </c>
      <c r="E31" s="902">
        <v>189893</v>
      </c>
      <c r="F31" s="902">
        <v>57761</v>
      </c>
      <c r="G31" s="902" t="s">
        <v>599</v>
      </c>
      <c r="H31" s="902" t="s">
        <v>599</v>
      </c>
      <c r="I31" s="873" t="s">
        <v>467</v>
      </c>
      <c r="J31" s="942"/>
      <c r="K31" s="942"/>
      <c r="L31" s="871"/>
      <c r="M31" s="943"/>
      <c r="N31" s="943"/>
      <c r="O31" s="943"/>
      <c r="P31" s="943"/>
      <c r="Q31" s="943"/>
      <c r="R31" s="943"/>
      <c r="S31" s="943"/>
      <c r="T31" s="943"/>
      <c r="U31" s="943"/>
      <c r="V31" s="874"/>
    </row>
    <row r="32" spans="1:22" ht="15.6" customHeight="1" x14ac:dyDescent="0.15">
      <c r="A32" s="872" t="s">
        <v>1135</v>
      </c>
      <c r="B32" s="902">
        <v>193529</v>
      </c>
      <c r="C32" s="902">
        <v>61161</v>
      </c>
      <c r="D32" s="902">
        <v>395508</v>
      </c>
      <c r="E32" s="902">
        <v>344198</v>
      </c>
      <c r="F32" s="902" t="s">
        <v>599</v>
      </c>
      <c r="G32" s="902">
        <v>56194</v>
      </c>
      <c r="H32" s="902" t="s">
        <v>599</v>
      </c>
      <c r="I32" s="873" t="s">
        <v>468</v>
      </c>
      <c r="J32" s="942"/>
      <c r="K32" s="942"/>
      <c r="L32" s="871"/>
      <c r="M32" s="943"/>
      <c r="N32" s="943"/>
      <c r="O32" s="943"/>
      <c r="P32" s="943"/>
      <c r="Q32" s="943"/>
      <c r="R32" s="943"/>
      <c r="S32" s="943"/>
      <c r="T32" s="943"/>
      <c r="U32" s="943"/>
      <c r="V32" s="874"/>
    </row>
    <row r="33" spans="1:22" ht="15.6" customHeight="1" x14ac:dyDescent="0.15">
      <c r="A33" s="872" t="s">
        <v>1136</v>
      </c>
      <c r="B33" s="902">
        <v>245268</v>
      </c>
      <c r="C33" s="902">
        <v>59249</v>
      </c>
      <c r="D33" s="902">
        <v>559101</v>
      </c>
      <c r="E33" s="902">
        <v>266574</v>
      </c>
      <c r="F33" s="902" t="s">
        <v>599</v>
      </c>
      <c r="G33" s="902" t="s">
        <v>599</v>
      </c>
      <c r="H33" s="902" t="s">
        <v>599</v>
      </c>
      <c r="I33" s="873" t="s">
        <v>477</v>
      </c>
      <c r="J33" s="942"/>
      <c r="K33" s="942"/>
      <c r="L33" s="871"/>
      <c r="M33" s="943"/>
      <c r="N33" s="943"/>
      <c r="O33" s="943"/>
      <c r="P33" s="943"/>
      <c r="Q33" s="943"/>
      <c r="R33" s="943"/>
      <c r="S33" s="943"/>
      <c r="T33" s="943"/>
      <c r="U33" s="943"/>
      <c r="V33" s="874"/>
    </row>
    <row r="34" spans="1:22" ht="15.6" customHeight="1" x14ac:dyDescent="0.15">
      <c r="A34" s="872" t="s">
        <v>1137</v>
      </c>
      <c r="B34" s="902">
        <v>254755</v>
      </c>
      <c r="C34" s="902">
        <v>59206</v>
      </c>
      <c r="D34" s="902">
        <v>617366</v>
      </c>
      <c r="E34" s="902">
        <v>239939</v>
      </c>
      <c r="F34" s="902" t="s">
        <v>599</v>
      </c>
      <c r="G34" s="902" t="s">
        <v>599</v>
      </c>
      <c r="H34" s="902" t="s">
        <v>599</v>
      </c>
      <c r="I34" s="873" t="s">
        <v>469</v>
      </c>
      <c r="J34" s="942"/>
      <c r="K34" s="942"/>
      <c r="L34" s="871"/>
      <c r="M34" s="943"/>
      <c r="N34" s="943"/>
      <c r="O34" s="943"/>
      <c r="P34" s="943"/>
      <c r="Q34" s="943"/>
      <c r="R34" s="943"/>
      <c r="S34" s="943"/>
      <c r="T34" s="943"/>
      <c r="U34" s="943"/>
      <c r="V34" s="874"/>
    </row>
    <row r="35" spans="1:22" ht="15.6" customHeight="1" x14ac:dyDescent="0.15">
      <c r="A35" s="872" t="s">
        <v>1138</v>
      </c>
      <c r="B35" s="902">
        <v>192345</v>
      </c>
      <c r="C35" s="902">
        <v>118661</v>
      </c>
      <c r="D35" s="902">
        <v>562001</v>
      </c>
      <c r="E35" s="902">
        <v>665046</v>
      </c>
      <c r="F35" s="902" t="s">
        <v>599</v>
      </c>
      <c r="G35" s="902" t="s">
        <v>599</v>
      </c>
      <c r="H35" s="902" t="s">
        <v>599</v>
      </c>
      <c r="I35" s="873" t="s">
        <v>470</v>
      </c>
      <c r="J35" s="942"/>
      <c r="K35" s="942"/>
      <c r="L35" s="871"/>
      <c r="M35" s="943"/>
      <c r="N35" s="943"/>
      <c r="O35" s="943"/>
      <c r="P35" s="943"/>
      <c r="Q35" s="943"/>
      <c r="R35" s="943"/>
      <c r="S35" s="943"/>
      <c r="T35" s="943"/>
      <c r="U35" s="943"/>
      <c r="V35" s="874"/>
    </row>
    <row r="36" spans="1:22" ht="15.6" customHeight="1" x14ac:dyDescent="0.15">
      <c r="A36" s="872" t="s">
        <v>1139</v>
      </c>
      <c r="B36" s="902">
        <v>126205</v>
      </c>
      <c r="C36" s="902">
        <v>241316</v>
      </c>
      <c r="D36" s="902">
        <v>449687</v>
      </c>
      <c r="E36" s="902">
        <v>333048</v>
      </c>
      <c r="F36" s="902" t="s">
        <v>599</v>
      </c>
      <c r="G36" s="902" t="s">
        <v>599</v>
      </c>
      <c r="H36" s="902" t="s">
        <v>599</v>
      </c>
      <c r="I36" s="873" t="s">
        <v>471</v>
      </c>
      <c r="J36" s="942"/>
      <c r="K36" s="942"/>
      <c r="L36" s="871"/>
      <c r="M36" s="943"/>
      <c r="N36" s="943"/>
      <c r="O36" s="943"/>
      <c r="P36" s="943"/>
      <c r="Q36" s="943"/>
      <c r="R36" s="943"/>
      <c r="S36" s="943"/>
      <c r="T36" s="943"/>
      <c r="U36" s="943"/>
      <c r="V36" s="874"/>
    </row>
    <row r="37" spans="1:22" ht="15.6" customHeight="1" x14ac:dyDescent="0.15">
      <c r="A37" s="872" t="s">
        <v>1140</v>
      </c>
      <c r="B37" s="902">
        <v>59769</v>
      </c>
      <c r="C37" s="902">
        <v>120306</v>
      </c>
      <c r="D37" s="902">
        <v>582073</v>
      </c>
      <c r="E37" s="902">
        <v>189970</v>
      </c>
      <c r="F37" s="902" t="s">
        <v>599</v>
      </c>
      <c r="G37" s="902" t="s">
        <v>599</v>
      </c>
      <c r="H37" s="902" t="s">
        <v>599</v>
      </c>
      <c r="I37" s="873" t="s">
        <v>472</v>
      </c>
      <c r="J37" s="942"/>
      <c r="K37" s="942"/>
      <c r="L37" s="871"/>
      <c r="M37" s="943"/>
      <c r="N37" s="943"/>
      <c r="O37" s="943"/>
      <c r="P37" s="943"/>
      <c r="Q37" s="943"/>
      <c r="R37" s="943"/>
      <c r="S37" s="943"/>
      <c r="T37" s="943"/>
      <c r="U37" s="943"/>
      <c r="V37" s="874"/>
    </row>
    <row r="38" spans="1:22" ht="15.6" customHeight="1" x14ac:dyDescent="0.15">
      <c r="A38" s="872" t="s">
        <v>1141</v>
      </c>
      <c r="B38" s="902">
        <v>188816</v>
      </c>
      <c r="C38" s="902">
        <v>59505</v>
      </c>
      <c r="D38" s="902">
        <v>530338</v>
      </c>
      <c r="E38" s="902">
        <v>206350</v>
      </c>
      <c r="F38" s="902" t="s">
        <v>599</v>
      </c>
      <c r="G38" s="902" t="s">
        <v>599</v>
      </c>
      <c r="H38" s="902" t="s">
        <v>599</v>
      </c>
      <c r="I38" s="873" t="s">
        <v>473</v>
      </c>
      <c r="J38" s="942"/>
      <c r="K38" s="942"/>
      <c r="L38" s="871"/>
      <c r="M38" s="943"/>
      <c r="N38" s="943"/>
      <c r="O38" s="943"/>
      <c r="P38" s="943"/>
      <c r="Q38" s="943"/>
      <c r="R38" s="943"/>
      <c r="S38" s="943"/>
      <c r="T38" s="943"/>
      <c r="U38" s="943"/>
      <c r="V38" s="874"/>
    </row>
    <row r="39" spans="1:22" ht="15.6" customHeight="1" x14ac:dyDescent="0.15">
      <c r="A39" s="872" t="s">
        <v>1142</v>
      </c>
      <c r="B39" s="902">
        <v>252645</v>
      </c>
      <c r="C39" s="902">
        <v>59960</v>
      </c>
      <c r="D39" s="902">
        <v>446068</v>
      </c>
      <c r="E39" s="902">
        <v>191460</v>
      </c>
      <c r="F39" s="902" t="s">
        <v>599</v>
      </c>
      <c r="G39" s="902" t="s">
        <v>599</v>
      </c>
      <c r="H39" s="902">
        <v>63984</v>
      </c>
      <c r="I39" s="873" t="s">
        <v>474</v>
      </c>
      <c r="J39" s="942"/>
      <c r="K39" s="942"/>
      <c r="L39" s="871"/>
      <c r="M39" s="943"/>
      <c r="N39" s="943"/>
      <c r="O39" s="943"/>
      <c r="P39" s="943"/>
      <c r="Q39" s="943"/>
      <c r="R39" s="943"/>
      <c r="S39" s="943"/>
      <c r="T39" s="943"/>
      <c r="U39" s="943"/>
      <c r="V39" s="874"/>
    </row>
    <row r="40" spans="1:22" ht="15.6" customHeight="1" x14ac:dyDescent="0.15">
      <c r="A40" s="935" t="s">
        <v>1143</v>
      </c>
      <c r="B40" s="937">
        <v>182671</v>
      </c>
      <c r="C40" s="937" t="s">
        <v>599</v>
      </c>
      <c r="D40" s="937">
        <v>584458</v>
      </c>
      <c r="E40" s="937">
        <v>447475</v>
      </c>
      <c r="F40" s="937" t="s">
        <v>599</v>
      </c>
      <c r="G40" s="937" t="s">
        <v>599</v>
      </c>
      <c r="H40" s="937">
        <v>60525</v>
      </c>
      <c r="I40" s="938" t="s">
        <v>475</v>
      </c>
      <c r="J40" s="942"/>
      <c r="K40" s="942"/>
      <c r="L40" s="871"/>
      <c r="M40" s="943"/>
      <c r="N40" s="943"/>
      <c r="O40" s="943"/>
      <c r="P40" s="943"/>
      <c r="Q40" s="943"/>
      <c r="R40" s="943"/>
      <c r="S40" s="943"/>
      <c r="T40" s="943"/>
      <c r="U40" s="943"/>
      <c r="V40" s="874"/>
    </row>
    <row r="41" spans="1:22" ht="9.9499999999999993" customHeight="1" x14ac:dyDescent="0.15">
      <c r="A41" s="939"/>
      <c r="B41" s="940"/>
      <c r="C41" s="941"/>
      <c r="D41" s="941"/>
      <c r="E41" s="941"/>
      <c r="F41" s="941"/>
      <c r="G41" s="940"/>
      <c r="H41" s="940"/>
      <c r="I41" s="946"/>
      <c r="J41" s="942"/>
      <c r="K41" s="942"/>
      <c r="L41" s="942"/>
      <c r="M41" s="943"/>
      <c r="N41" s="943"/>
      <c r="O41" s="943"/>
      <c r="P41" s="943"/>
      <c r="Q41" s="943"/>
      <c r="R41" s="943"/>
      <c r="S41" s="943"/>
      <c r="T41" s="943"/>
      <c r="U41" s="943"/>
      <c r="V41" s="874"/>
    </row>
    <row r="42" spans="1:22" ht="15.6" customHeight="1" x14ac:dyDescent="0.15">
      <c r="A42" s="1135" t="s">
        <v>1081</v>
      </c>
      <c r="B42" s="927" t="s">
        <v>1151</v>
      </c>
      <c r="C42" s="927" t="s">
        <v>1152</v>
      </c>
      <c r="D42" s="927" t="s">
        <v>1153</v>
      </c>
      <c r="E42" s="927" t="s">
        <v>18</v>
      </c>
      <c r="F42" s="944" t="s">
        <v>62</v>
      </c>
      <c r="G42" s="944" t="s">
        <v>1154</v>
      </c>
      <c r="H42" s="1141" t="s">
        <v>1085</v>
      </c>
      <c r="I42" s="929"/>
      <c r="J42" s="928"/>
      <c r="K42" s="928"/>
      <c r="L42" s="925"/>
    </row>
    <row r="43" spans="1:22" ht="15.6" customHeight="1" x14ac:dyDescent="0.15">
      <c r="A43" s="1136"/>
      <c r="B43" s="1146" t="s">
        <v>1155</v>
      </c>
      <c r="C43" s="1146" t="s">
        <v>1156</v>
      </c>
      <c r="D43" s="1146" t="s">
        <v>1157</v>
      </c>
      <c r="E43" s="1146" t="s">
        <v>28</v>
      </c>
      <c r="F43" s="1146" t="s">
        <v>56</v>
      </c>
      <c r="G43" s="1148" t="s">
        <v>1158</v>
      </c>
      <c r="H43" s="1142"/>
      <c r="I43" s="1144"/>
      <c r="J43" s="1144"/>
      <c r="K43" s="1145"/>
      <c r="L43" s="925"/>
    </row>
    <row r="44" spans="1:22" ht="15.6" customHeight="1" x14ac:dyDescent="0.15">
      <c r="A44" s="1137"/>
      <c r="B44" s="1147"/>
      <c r="C44" s="1147"/>
      <c r="D44" s="1147"/>
      <c r="E44" s="1146"/>
      <c r="F44" s="1146"/>
      <c r="G44" s="1148"/>
      <c r="H44" s="1143"/>
      <c r="I44" s="1144"/>
      <c r="J44" s="1144"/>
      <c r="K44" s="1145"/>
      <c r="L44" s="945"/>
    </row>
    <row r="45" spans="1:22" ht="9.9499999999999993" customHeight="1" x14ac:dyDescent="0.15">
      <c r="A45" s="930"/>
      <c r="B45" s="931"/>
      <c r="C45" s="931"/>
      <c r="D45" s="931"/>
      <c r="E45" s="931"/>
      <c r="F45" s="931"/>
      <c r="G45" s="931"/>
      <c r="H45" s="900"/>
      <c r="I45" s="942"/>
      <c r="J45" s="942"/>
      <c r="K45" s="942"/>
      <c r="L45" s="925"/>
    </row>
    <row r="46" spans="1:22" ht="15.6" customHeight="1" x14ac:dyDescent="0.15">
      <c r="A46" s="933" t="s">
        <v>1103</v>
      </c>
      <c r="B46" s="934">
        <f t="shared" ref="B46:G46" si="2">SUM(B48:B59)</f>
        <v>183472</v>
      </c>
      <c r="C46" s="934">
        <f t="shared" si="2"/>
        <v>969962</v>
      </c>
      <c r="D46" s="934">
        <f t="shared" si="2"/>
        <v>122633</v>
      </c>
      <c r="E46" s="934">
        <f t="shared" si="2"/>
        <v>62344</v>
      </c>
      <c r="F46" s="934">
        <f t="shared" si="2"/>
        <v>30750906</v>
      </c>
      <c r="G46" s="934">
        <f t="shared" si="2"/>
        <v>3789956</v>
      </c>
      <c r="H46" s="906" t="s">
        <v>1131</v>
      </c>
      <c r="I46" s="942"/>
      <c r="J46" s="942"/>
      <c r="K46" s="942"/>
      <c r="L46" s="925"/>
    </row>
    <row r="47" spans="1:22" ht="9.9499999999999993" customHeight="1" x14ac:dyDescent="0.15">
      <c r="A47" s="933"/>
      <c r="B47" s="934"/>
      <c r="C47" s="934"/>
      <c r="D47" s="934"/>
      <c r="E47" s="934"/>
      <c r="F47" s="934"/>
      <c r="G47" s="934"/>
      <c r="H47" s="906"/>
      <c r="I47" s="942"/>
      <c r="J47" s="942"/>
      <c r="K47" s="942"/>
      <c r="L47" s="925"/>
    </row>
    <row r="48" spans="1:22" ht="15.6" customHeight="1" x14ac:dyDescent="0.15">
      <c r="A48" s="872" t="s">
        <v>1104</v>
      </c>
      <c r="B48" s="934">
        <v>53213</v>
      </c>
      <c r="C48" s="934" t="s">
        <v>599</v>
      </c>
      <c r="D48" s="934" t="s">
        <v>599</v>
      </c>
      <c r="E48" s="934" t="s">
        <v>599</v>
      </c>
      <c r="F48" s="934">
        <v>2805611</v>
      </c>
      <c r="G48" s="934">
        <v>216702</v>
      </c>
      <c r="H48" s="873" t="s">
        <v>1132</v>
      </c>
      <c r="I48" s="942"/>
      <c r="J48" s="942"/>
      <c r="K48" s="942"/>
      <c r="L48" s="871"/>
    </row>
    <row r="49" spans="1:12" ht="15.6" customHeight="1" x14ac:dyDescent="0.15">
      <c r="A49" s="872" t="s">
        <v>1133</v>
      </c>
      <c r="B49" s="934" t="s">
        <v>599</v>
      </c>
      <c r="C49" s="934">
        <v>122457</v>
      </c>
      <c r="D49" s="934">
        <v>64177</v>
      </c>
      <c r="E49" s="934" t="s">
        <v>599</v>
      </c>
      <c r="F49" s="934">
        <v>2577645</v>
      </c>
      <c r="G49" s="934">
        <v>444485</v>
      </c>
      <c r="H49" s="873" t="s">
        <v>466</v>
      </c>
      <c r="I49" s="942"/>
      <c r="J49" s="942"/>
      <c r="K49" s="942"/>
      <c r="L49" s="871"/>
    </row>
    <row r="50" spans="1:12" ht="15.6" customHeight="1" x14ac:dyDescent="0.15">
      <c r="A50" s="872" t="s">
        <v>1134</v>
      </c>
      <c r="B50" s="934" t="s">
        <v>599</v>
      </c>
      <c r="C50" s="934" t="s">
        <v>599</v>
      </c>
      <c r="D50" s="934" t="s">
        <v>599</v>
      </c>
      <c r="E50" s="934">
        <v>62344</v>
      </c>
      <c r="F50" s="934">
        <v>2712726</v>
      </c>
      <c r="G50" s="934">
        <v>298129</v>
      </c>
      <c r="H50" s="873" t="s">
        <v>467</v>
      </c>
      <c r="I50" s="942"/>
      <c r="J50" s="942"/>
      <c r="K50" s="942"/>
      <c r="L50" s="871"/>
    </row>
    <row r="51" spans="1:12" ht="15.6" customHeight="1" x14ac:dyDescent="0.15">
      <c r="A51" s="872" t="s">
        <v>1135</v>
      </c>
      <c r="B51" s="934" t="s">
        <v>599</v>
      </c>
      <c r="C51" s="934">
        <v>61028</v>
      </c>
      <c r="D51" s="934" t="s">
        <v>599</v>
      </c>
      <c r="E51" s="934" t="s">
        <v>599</v>
      </c>
      <c r="F51" s="934">
        <v>2396399</v>
      </c>
      <c r="G51" s="934">
        <v>438756</v>
      </c>
      <c r="H51" s="873" t="s">
        <v>468</v>
      </c>
      <c r="I51" s="942"/>
      <c r="J51" s="942"/>
      <c r="K51" s="942"/>
      <c r="L51" s="871"/>
    </row>
    <row r="52" spans="1:12" ht="15.6" customHeight="1" x14ac:dyDescent="0.15">
      <c r="A52" s="872" t="s">
        <v>1136</v>
      </c>
      <c r="B52" s="934" t="s">
        <v>599</v>
      </c>
      <c r="C52" s="934" t="s">
        <v>599</v>
      </c>
      <c r="D52" s="934" t="s">
        <v>599</v>
      </c>
      <c r="E52" s="934" t="s">
        <v>599</v>
      </c>
      <c r="F52" s="934">
        <v>2816015</v>
      </c>
      <c r="G52" s="934">
        <v>214510</v>
      </c>
      <c r="H52" s="873" t="s">
        <v>477</v>
      </c>
      <c r="I52" s="942"/>
      <c r="J52" s="942"/>
      <c r="K52" s="942"/>
      <c r="L52" s="871"/>
    </row>
    <row r="53" spans="1:12" ht="15.6" customHeight="1" x14ac:dyDescent="0.15">
      <c r="A53" s="872" t="s">
        <v>1137</v>
      </c>
      <c r="B53" s="934" t="s">
        <v>599</v>
      </c>
      <c r="C53" s="934">
        <v>63030</v>
      </c>
      <c r="D53" s="934" t="s">
        <v>599</v>
      </c>
      <c r="E53" s="934" t="s">
        <v>599</v>
      </c>
      <c r="F53" s="934">
        <v>2512995</v>
      </c>
      <c r="G53" s="934">
        <v>362263</v>
      </c>
      <c r="H53" s="873" t="s">
        <v>469</v>
      </c>
      <c r="I53" s="942"/>
      <c r="J53" s="942"/>
      <c r="K53" s="942"/>
      <c r="L53" s="871"/>
    </row>
    <row r="54" spans="1:12" ht="15.6" customHeight="1" x14ac:dyDescent="0.15">
      <c r="A54" s="872" t="s">
        <v>1138</v>
      </c>
      <c r="B54" s="934" t="s">
        <v>599</v>
      </c>
      <c r="C54" s="934">
        <v>241580</v>
      </c>
      <c r="D54" s="934" t="s">
        <v>599</v>
      </c>
      <c r="E54" s="934" t="s">
        <v>599</v>
      </c>
      <c r="F54" s="934">
        <v>2121460</v>
      </c>
      <c r="G54" s="934">
        <v>444286</v>
      </c>
      <c r="H54" s="873" t="s">
        <v>470</v>
      </c>
      <c r="I54" s="942"/>
      <c r="J54" s="942"/>
      <c r="K54" s="942"/>
      <c r="L54" s="871"/>
    </row>
    <row r="55" spans="1:12" ht="15.6" customHeight="1" x14ac:dyDescent="0.15">
      <c r="A55" s="872" t="s">
        <v>1139</v>
      </c>
      <c r="B55" s="934" t="s">
        <v>599</v>
      </c>
      <c r="C55" s="934">
        <v>245885</v>
      </c>
      <c r="D55" s="934" t="s">
        <v>599</v>
      </c>
      <c r="E55" s="934" t="s">
        <v>599</v>
      </c>
      <c r="F55" s="934">
        <v>2889431</v>
      </c>
      <c r="G55" s="934">
        <v>208187</v>
      </c>
      <c r="H55" s="873" t="s">
        <v>471</v>
      </c>
      <c r="I55" s="942"/>
      <c r="J55" s="942"/>
      <c r="K55" s="942"/>
      <c r="L55" s="871"/>
    </row>
    <row r="56" spans="1:12" ht="15.6" customHeight="1" x14ac:dyDescent="0.15">
      <c r="A56" s="872" t="s">
        <v>1140</v>
      </c>
      <c r="B56" s="934" t="s">
        <v>599</v>
      </c>
      <c r="C56" s="934">
        <v>59881</v>
      </c>
      <c r="D56" s="934">
        <v>58456</v>
      </c>
      <c r="E56" s="934" t="s">
        <v>599</v>
      </c>
      <c r="F56" s="934">
        <v>2369044</v>
      </c>
      <c r="G56" s="934">
        <v>305834</v>
      </c>
      <c r="H56" s="873" t="s">
        <v>472</v>
      </c>
      <c r="I56" s="942"/>
      <c r="J56" s="942"/>
      <c r="K56" s="942"/>
      <c r="L56" s="871"/>
    </row>
    <row r="57" spans="1:12" ht="15.6" customHeight="1" x14ac:dyDescent="0.15">
      <c r="A57" s="872" t="s">
        <v>1141</v>
      </c>
      <c r="B57" s="934" t="s">
        <v>599</v>
      </c>
      <c r="C57" s="934">
        <v>59664</v>
      </c>
      <c r="D57" s="934" t="s">
        <v>599</v>
      </c>
      <c r="E57" s="934" t="s">
        <v>599</v>
      </c>
      <c r="F57" s="934">
        <v>2642160</v>
      </c>
      <c r="G57" s="934">
        <v>329668</v>
      </c>
      <c r="H57" s="873" t="s">
        <v>473</v>
      </c>
      <c r="I57" s="942"/>
      <c r="J57" s="942"/>
      <c r="K57" s="942"/>
      <c r="L57" s="871"/>
    </row>
    <row r="58" spans="1:12" ht="15.6" customHeight="1" x14ac:dyDescent="0.15">
      <c r="A58" s="872" t="s">
        <v>1142</v>
      </c>
      <c r="B58" s="934">
        <v>130259</v>
      </c>
      <c r="C58" s="934">
        <v>57489</v>
      </c>
      <c r="D58" s="934" t="s">
        <v>599</v>
      </c>
      <c r="E58" s="934" t="s">
        <v>599</v>
      </c>
      <c r="F58" s="934">
        <v>2313510</v>
      </c>
      <c r="G58" s="934">
        <v>238106</v>
      </c>
      <c r="H58" s="873" t="s">
        <v>474</v>
      </c>
      <c r="I58" s="942"/>
      <c r="J58" s="942"/>
      <c r="K58" s="942"/>
      <c r="L58" s="871"/>
    </row>
    <row r="59" spans="1:12" ht="15.6" customHeight="1" x14ac:dyDescent="0.15">
      <c r="A59" s="935" t="s">
        <v>1143</v>
      </c>
      <c r="B59" s="936" t="s">
        <v>599</v>
      </c>
      <c r="C59" s="936">
        <v>58948</v>
      </c>
      <c r="D59" s="936" t="s">
        <v>599</v>
      </c>
      <c r="E59" s="936" t="s">
        <v>599</v>
      </c>
      <c r="F59" s="936">
        <v>2593910</v>
      </c>
      <c r="G59" s="936">
        <v>289030</v>
      </c>
      <c r="H59" s="938" t="s">
        <v>475</v>
      </c>
      <c r="I59" s="942"/>
      <c r="J59" s="942"/>
      <c r="K59" s="942"/>
      <c r="L59" s="871"/>
    </row>
    <row r="60" spans="1:12" ht="15.6" customHeight="1" x14ac:dyDescent="0.15">
      <c r="A60" s="918" t="s">
        <v>1159</v>
      </c>
      <c r="B60" s="947"/>
      <c r="C60" s="947"/>
      <c r="D60" s="947"/>
      <c r="E60" s="947"/>
      <c r="F60" s="947"/>
      <c r="G60" s="947"/>
      <c r="H60" s="947"/>
      <c r="I60" s="925"/>
      <c r="J60" s="925"/>
      <c r="K60" s="925"/>
      <c r="L60" s="925"/>
    </row>
    <row r="61" spans="1:12" ht="15.6" customHeight="1" x14ac:dyDescent="0.15">
      <c r="A61" s="925" t="s">
        <v>1160</v>
      </c>
      <c r="B61" s="925"/>
      <c r="C61" s="925"/>
      <c r="D61" s="925"/>
      <c r="E61" s="925"/>
      <c r="F61" s="925"/>
      <c r="G61" s="925"/>
      <c r="H61" s="925"/>
      <c r="I61" s="925"/>
      <c r="J61" s="925"/>
      <c r="K61" s="925"/>
      <c r="L61" s="925"/>
    </row>
  </sheetData>
  <mergeCells count="31">
    <mergeCell ref="F5:F6"/>
    <mergeCell ref="G5:G6"/>
    <mergeCell ref="H5:H6"/>
    <mergeCell ref="K5:K6"/>
    <mergeCell ref="A23:A25"/>
    <mergeCell ref="I23:I25"/>
    <mergeCell ref="B24:B25"/>
    <mergeCell ref="C24:C25"/>
    <mergeCell ref="D24:D25"/>
    <mergeCell ref="E24:E25"/>
    <mergeCell ref="F24:F25"/>
    <mergeCell ref="G24:G25"/>
    <mergeCell ref="H24:H25"/>
    <mergeCell ref="A4:A6"/>
    <mergeCell ref="I4:I6"/>
    <mergeCell ref="B5:B6"/>
    <mergeCell ref="C5:C6"/>
    <mergeCell ref="D5:D6"/>
    <mergeCell ref="E5:E6"/>
    <mergeCell ref="J43:J44"/>
    <mergeCell ref="K43:K44"/>
    <mergeCell ref="K24:K25"/>
    <mergeCell ref="A42:A44"/>
    <mergeCell ref="H42:H44"/>
    <mergeCell ref="B43:B44"/>
    <mergeCell ref="C43:C44"/>
    <mergeCell ref="D43:D44"/>
    <mergeCell ref="E43:E44"/>
    <mergeCell ref="F43:F44"/>
    <mergeCell ref="G43:G44"/>
    <mergeCell ref="I43:I44"/>
  </mergeCells>
  <phoneticPr fontId="32"/>
  <printOptions horizontalCentered="1"/>
  <pageMargins left="0.19685039370078741" right="0.19685039370078741" top="0.59055118110236227" bottom="0.59055118110236227" header="0.59055118110236227" footer="0.31496062992125984"/>
  <pageSetup paperSize="9" scale="91" orientation="portrait" r:id="rId1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22</vt:i4>
      </vt:variant>
    </vt:vector>
  </HeadingPairs>
  <TitlesOfParts>
    <vt:vector size="46" baseType="lpstr">
      <vt:lpstr>●目次(Contents)●</vt:lpstr>
      <vt:lpstr>１（１）原油地域別、国別輸入</vt:lpstr>
      <vt:lpstr>１（２）原油油種別輸入</vt:lpstr>
      <vt:lpstr>１（３）非精製用出荷内訳</vt:lpstr>
      <vt:lpstr>１（４）原油処理及び原油在庫</vt:lpstr>
      <vt:lpstr>２（１）①石油製品需給総括暦年</vt:lpstr>
      <vt:lpstr>２（１）②石油製品需給総括年度</vt:lpstr>
      <vt:lpstr>２（２）①製造業者・輸入業者受払暦年</vt:lpstr>
      <vt:lpstr>２（２）②製造業者・輸入業者受払年度</vt:lpstr>
      <vt:lpstr>２（３）石油製品月別国内向販売</vt:lpstr>
      <vt:lpstr>２（４）①石油製品月別輸入</vt:lpstr>
      <vt:lpstr>２（４）②石油製品国・地域別月別輸入</vt:lpstr>
      <vt:lpstr>２（４）③石油製品月別輸出</vt:lpstr>
      <vt:lpstr>２（４）④石油製品国・地域別月別輸出</vt:lpstr>
      <vt:lpstr>２（５）石油製品月別業態別在庫</vt:lpstr>
      <vt:lpstr>２（６）製造業者・輸入業者月別消費者、販売業者向販売</vt:lpstr>
      <vt:lpstr>２（７）品種別、月別消費者・販売業者向販売及び在庫内訳</vt:lpstr>
      <vt:lpstr>参考資料１、２備蓄量推移、輸入価格推移</vt:lpstr>
      <vt:lpstr>参考資料３（１）（２）</vt:lpstr>
      <vt:lpstr>参考資料３（３）（４）</vt:lpstr>
      <vt:lpstr>参考資料３（５）（６）</vt:lpstr>
      <vt:lpstr>参考資料３（７）（８）</vt:lpstr>
      <vt:lpstr>参考資料４（１）液化天然ガス（ＬＮＧ）輸入量、消費量、在庫量</vt:lpstr>
      <vt:lpstr>参考資料４（２）液化天然ガス（ＬＮＧ）国別、月別輸入量</vt:lpstr>
      <vt:lpstr>'●目次(Contents)●'!Print_Area</vt:lpstr>
      <vt:lpstr>'１（１）原油地域別、国別輸入'!Print_Area</vt:lpstr>
      <vt:lpstr>'１（２）原油油種別輸入'!Print_Area</vt:lpstr>
      <vt:lpstr>'１（３）非精製用出荷内訳'!Print_Area</vt:lpstr>
      <vt:lpstr>'１（４）原油処理及び原油在庫'!Print_Area</vt:lpstr>
      <vt:lpstr>'２（１）①石油製品需給総括暦年'!Print_Area</vt:lpstr>
      <vt:lpstr>'２（１）②石油製品需給総括年度'!Print_Area</vt:lpstr>
      <vt:lpstr>'２（２）①製造業者・輸入業者受払暦年'!Print_Area</vt:lpstr>
      <vt:lpstr>'２（２）②製造業者・輸入業者受払年度'!Print_Area</vt:lpstr>
      <vt:lpstr>'２（３）石油製品月別国内向販売'!Print_Area</vt:lpstr>
      <vt:lpstr>'２（４）②石油製品国・地域別月別輸入'!Print_Area</vt:lpstr>
      <vt:lpstr>'２（４）③石油製品月別輸出'!Print_Area</vt:lpstr>
      <vt:lpstr>'２（４）④石油製品国・地域別月別輸出'!Print_Area</vt:lpstr>
      <vt:lpstr>'２（５）石油製品月別業態別在庫'!Print_Area</vt:lpstr>
      <vt:lpstr>'２（６）製造業者・輸入業者月別消費者、販売業者向販売'!Print_Area</vt:lpstr>
      <vt:lpstr>'２（７）品種別、月別消費者・販売業者向販売及び在庫内訳'!Print_Area</vt:lpstr>
      <vt:lpstr>'参考資料１、２備蓄量推移、輸入価格推移'!Print_Area</vt:lpstr>
      <vt:lpstr>'参考資料３（１）（２）'!Print_Area</vt:lpstr>
      <vt:lpstr>'参考資料３（３）（４）'!Print_Area</vt:lpstr>
      <vt:lpstr>'参考資料３（５）（６）'!Print_Area</vt:lpstr>
      <vt:lpstr>'参考資料３（７）（８）'!Print_Area</vt:lpstr>
      <vt:lpstr>'参考資料４（２）液化天然ガス（ＬＮＧ）国別、月別輸入量'!Print_Area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2023-06-26T01:01:10Z</dcterms:modified>
</cp:coreProperties>
</file>