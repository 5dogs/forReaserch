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7AE5F2E9-1A90-4FF1-B417-7F4E06382720}" xr6:coauthVersionLast="47" xr6:coauthVersionMax="47" xr10:uidLastSave="{00000000-0000-0000-0000-000000000000}"/>
  <bookViews>
    <workbookView xWindow="-110" yWindow="-110" windowWidth="19420" windowHeight="10420" tabRatio="745" xr2:uid="{00000000-000D-0000-FFFF-FFFF00000000}"/>
  </bookViews>
  <sheets>
    <sheet name="●目次(Contents)●" sheetId="65" r:id="rId1"/>
    <sheet name="１（１）原油地域別、国別輸入" sheetId="311" r:id="rId2"/>
    <sheet name="１（２）原油油種別輸入" sheetId="312" r:id="rId3"/>
    <sheet name="１（３）非精製用出荷内訳" sheetId="313" r:id="rId4"/>
    <sheet name="１（４）原油処理及び原油在庫" sheetId="314" r:id="rId5"/>
    <sheet name="２（１）①石油製品需給総括暦年" sheetId="315" r:id="rId6"/>
    <sheet name="２（１）②石油製品需給総括年度" sheetId="316" r:id="rId7"/>
    <sheet name="２（２）①製造業者・輸入業者受払暦年" sheetId="317" r:id="rId8"/>
    <sheet name="２（２）②製造業者・輸入業者受払年度" sheetId="318" r:id="rId9"/>
    <sheet name="２（３）石油製品国内向月別販売" sheetId="319" r:id="rId10"/>
    <sheet name="２（４）①石油製品月別輸入" sheetId="320" r:id="rId11"/>
    <sheet name="２（４）②石油製品国・地域別月別輸入" sheetId="321" r:id="rId12"/>
    <sheet name="２（４）③石油製品月別輸出" sheetId="322" r:id="rId13"/>
    <sheet name="２（４）④石油製品国・地域別月別輸出" sheetId="324" r:id="rId14"/>
    <sheet name="２（５）石油製品月別業態別在庫" sheetId="325" r:id="rId15"/>
    <sheet name="２（６）製造業者・輸入業者月別消費者、販売業者向販売" sheetId="326" r:id="rId16"/>
    <sheet name="２（７）品種別、月別消費者・販売業者向販売及び在庫内訳" sheetId="327" r:id="rId17"/>
    <sheet name="参考資料１、２備蓄量推移、輸入価格推移" sheetId="328" r:id="rId18"/>
    <sheet name="参考資料３（１）（２）" sheetId="329" r:id="rId19"/>
    <sheet name="参考資料３（３）（４）" sheetId="330" r:id="rId20"/>
    <sheet name="参考資料３（５）（６）" sheetId="331" r:id="rId21"/>
    <sheet name="参考資料３（７）（８）" sheetId="332" r:id="rId22"/>
  </sheets>
  <definedNames>
    <definedName name="_10__123Graph_Aｸﾞﾗﾌ_3" localSheetId="1" hidden="1">#REF!</definedName>
    <definedName name="_10__123Graph_Aｸﾞﾗﾌ_3" localSheetId="2" hidden="1">#REF!</definedName>
    <definedName name="_10__123Graph_Aｸﾞﾗﾌ_3" localSheetId="3" hidden="1">#REF!</definedName>
    <definedName name="_10__123Graph_Aｸﾞﾗﾌ_3" localSheetId="4" hidden="1">#REF!</definedName>
    <definedName name="_10__123Graph_Aｸﾞﾗﾌ_3" localSheetId="5" hidden="1">#REF!</definedName>
    <definedName name="_10__123Graph_Aｸﾞﾗﾌ_3" localSheetId="6" hidden="1">#REF!</definedName>
    <definedName name="_10__123Graph_Aｸﾞﾗﾌ_3" localSheetId="7" hidden="1">#REF!</definedName>
    <definedName name="_10__123Graph_Aｸﾞﾗﾌ_3" localSheetId="8" hidden="1">#REF!</definedName>
    <definedName name="_10__123Graph_Aｸﾞﾗﾌ_3" localSheetId="9" hidden="1">#REF!</definedName>
    <definedName name="_10__123Graph_Aｸﾞﾗﾌ_3" localSheetId="10" hidden="1">#REF!</definedName>
    <definedName name="_10__123Graph_Aｸﾞﾗﾌ_3" localSheetId="11" hidden="1">#REF!</definedName>
    <definedName name="_10__123Graph_Aｸﾞﾗﾌ_3" localSheetId="12" hidden="1">#REF!</definedName>
    <definedName name="_10__123Graph_Aｸﾞﾗﾌ_3" localSheetId="13" hidden="1">#REF!</definedName>
    <definedName name="_10__123Graph_Aｸﾞﾗﾌ_3" localSheetId="14" hidden="1">#REF!</definedName>
    <definedName name="_10__123Graph_Aｸﾞﾗﾌ_3" localSheetId="15" hidden="1">#REF!</definedName>
    <definedName name="_10__123Graph_Aｸﾞﾗﾌ_3" localSheetId="16" hidden="1">#REF!</definedName>
    <definedName name="_10__123Graph_Aｸﾞﾗﾌ_3" localSheetId="18" hidden="1">#REF!</definedName>
    <definedName name="_10__123Graph_Aｸﾞﾗﾌ_3" localSheetId="19" hidden="1">#REF!</definedName>
    <definedName name="_10__123Graph_Aｸﾞﾗﾌ_3" localSheetId="20" hidden="1">#REF!</definedName>
    <definedName name="_10__123Graph_Aｸﾞﾗﾌ_3" localSheetId="21" hidden="1">#REF!</definedName>
    <definedName name="_10__123Graph_Aｸﾞﾗﾌ_3" hidden="1">#REF!</definedName>
    <definedName name="_15__123Graph_Bｸﾞﾗﾌ_1" localSheetId="1" hidden="1">#REF!</definedName>
    <definedName name="_15__123Graph_Bｸﾞﾗﾌ_1" localSheetId="2" hidden="1">#REF!</definedName>
    <definedName name="_15__123Graph_Bｸﾞﾗﾌ_1" localSheetId="3" hidden="1">#REF!</definedName>
    <definedName name="_15__123Graph_Bｸﾞﾗﾌ_1" localSheetId="4" hidden="1">#REF!</definedName>
    <definedName name="_15__123Graph_Bｸﾞﾗﾌ_1" localSheetId="5" hidden="1">#REF!</definedName>
    <definedName name="_15__123Graph_Bｸﾞﾗﾌ_1" localSheetId="6" hidden="1">#REF!</definedName>
    <definedName name="_15__123Graph_Bｸﾞﾗﾌ_1" localSheetId="7" hidden="1">#REF!</definedName>
    <definedName name="_15__123Graph_Bｸﾞﾗﾌ_1" localSheetId="8" hidden="1">#REF!</definedName>
    <definedName name="_15__123Graph_Bｸﾞﾗﾌ_1" localSheetId="9" hidden="1">#REF!</definedName>
    <definedName name="_15__123Graph_Bｸﾞﾗﾌ_1" localSheetId="10" hidden="1">#REF!</definedName>
    <definedName name="_15__123Graph_Bｸﾞﾗﾌ_1" localSheetId="11" hidden="1">#REF!</definedName>
    <definedName name="_15__123Graph_Bｸﾞﾗﾌ_1" localSheetId="12" hidden="1">#REF!</definedName>
    <definedName name="_15__123Graph_Bｸﾞﾗﾌ_1" localSheetId="13" hidden="1">#REF!</definedName>
    <definedName name="_15__123Graph_Bｸﾞﾗﾌ_1" localSheetId="14" hidden="1">#REF!</definedName>
    <definedName name="_15__123Graph_Bｸﾞﾗﾌ_1" localSheetId="15" hidden="1">#REF!</definedName>
    <definedName name="_15__123Graph_Bｸﾞﾗﾌ_1" localSheetId="16" hidden="1">#REF!</definedName>
    <definedName name="_15__123Graph_Bｸﾞﾗﾌ_1" localSheetId="18" hidden="1">#REF!</definedName>
    <definedName name="_15__123Graph_Bｸﾞﾗﾌ_1" localSheetId="19" hidden="1">#REF!</definedName>
    <definedName name="_15__123Graph_Bｸﾞﾗﾌ_1" localSheetId="20" hidden="1">#REF!</definedName>
    <definedName name="_15__123Graph_Bｸﾞﾗﾌ_1" localSheetId="21" hidden="1">#REF!</definedName>
    <definedName name="_15__123Graph_Bｸﾞﾗﾌ_1" hidden="1">#REF!</definedName>
    <definedName name="_２_供給者区分別原油月別輸入___Crude_Oil_Import_by_Month_and_Supplier">#REF!</definedName>
    <definedName name="_20__123Graph_Bｸﾞﾗﾌ_2" localSheetId="1" hidden="1">#REF!</definedName>
    <definedName name="_20__123Graph_Bｸﾞﾗﾌ_2" localSheetId="2" hidden="1">#REF!</definedName>
    <definedName name="_20__123Graph_Bｸﾞﾗﾌ_2" localSheetId="3" hidden="1">#REF!</definedName>
    <definedName name="_20__123Graph_Bｸﾞﾗﾌ_2" localSheetId="4" hidden="1">#REF!</definedName>
    <definedName name="_20__123Graph_Bｸﾞﾗﾌ_2" localSheetId="5" hidden="1">#REF!</definedName>
    <definedName name="_20__123Graph_Bｸﾞﾗﾌ_2" localSheetId="6" hidden="1">#REF!</definedName>
    <definedName name="_20__123Graph_Bｸﾞﾗﾌ_2" localSheetId="7" hidden="1">#REF!</definedName>
    <definedName name="_20__123Graph_Bｸﾞﾗﾌ_2" localSheetId="8" hidden="1">#REF!</definedName>
    <definedName name="_20__123Graph_Bｸﾞﾗﾌ_2" localSheetId="9" hidden="1">#REF!</definedName>
    <definedName name="_20__123Graph_Bｸﾞﾗﾌ_2" localSheetId="10" hidden="1">#REF!</definedName>
    <definedName name="_20__123Graph_Bｸﾞﾗﾌ_2" localSheetId="11" hidden="1">#REF!</definedName>
    <definedName name="_20__123Graph_Bｸﾞﾗﾌ_2" localSheetId="12" hidden="1">#REF!</definedName>
    <definedName name="_20__123Graph_Bｸﾞﾗﾌ_2" localSheetId="13" hidden="1">#REF!</definedName>
    <definedName name="_20__123Graph_Bｸﾞﾗﾌ_2" localSheetId="14" hidden="1">#REF!</definedName>
    <definedName name="_20__123Graph_Bｸﾞﾗﾌ_2" localSheetId="15" hidden="1">#REF!</definedName>
    <definedName name="_20__123Graph_Bｸﾞﾗﾌ_2" localSheetId="16" hidden="1">#REF!</definedName>
    <definedName name="_20__123Graph_Bｸﾞﾗﾌ_2" localSheetId="18" hidden="1">#REF!</definedName>
    <definedName name="_20__123Graph_Bｸﾞﾗﾌ_2" localSheetId="19" hidden="1">#REF!</definedName>
    <definedName name="_20__123Graph_Bｸﾞﾗﾌ_2" localSheetId="20" hidden="1">#REF!</definedName>
    <definedName name="_20__123Graph_Bｸﾞﾗﾌ_2" localSheetId="21" hidden="1">#REF!</definedName>
    <definedName name="_20__123Graph_Bｸﾞﾗﾌ_2" hidden="1">#REF!</definedName>
    <definedName name="_25__123Graph_Bｸﾞﾗﾌ_3" localSheetId="13" hidden="1">#REF!</definedName>
    <definedName name="_25__123Graph_Bｸﾞﾗﾌ_3" hidden="1">#REF!</definedName>
    <definedName name="_３．石油輸入価格推移___Customs_Clearance_Prices_of_Crude_Oil_and_Petroleum_Products_CIF">#REF!</definedName>
    <definedName name="_30__123Graph_Cｸﾞﾗﾌ_1" localSheetId="13" hidden="1">#REF!</definedName>
    <definedName name="_30__123Graph_Cｸﾞﾗﾌ_1" hidden="1">#REF!</definedName>
    <definedName name="_35__123Graph_Cｸﾞﾗﾌ_2" localSheetId="13" hidden="1">#REF!</definedName>
    <definedName name="_35__123Graph_Cｸﾞﾗﾌ_2" hidden="1">#REF!</definedName>
    <definedName name="_４_国別_契約期間別原油輸入_平均ＡＰＩ及び平均硫黄分_平成23年度">#REF!</definedName>
    <definedName name="_40__123Graph_Dｸﾞﾗﾌ_1" localSheetId="13" hidden="1">#REF!</definedName>
    <definedName name="_40__123Graph_Dｸﾞﾗﾌ_1" hidden="1">#REF!</definedName>
    <definedName name="_45__123Graph_Dｸﾞﾗﾌ_2" localSheetId="13" hidden="1">#REF!</definedName>
    <definedName name="_45__123Graph_Dｸﾞﾗﾌ_2" hidden="1">#REF!</definedName>
    <definedName name="_5__123Graph_Aｸﾞﾗﾌ_1" localSheetId="13" hidden="1">#REF!</definedName>
    <definedName name="_5__123Graph_Aｸﾞﾗﾌ_1" hidden="1">#REF!</definedName>
    <definedName name="_50__123Graph_Eｸﾞﾗﾌ_2" localSheetId="13" hidden="1">#REF!</definedName>
    <definedName name="_50__123Graph_Eｸﾞﾗﾌ_2" hidden="1">#REF!</definedName>
    <definedName name="_55__123Graph_Xｸﾞﾗﾌ_3" localSheetId="13" hidden="1">#REF!</definedName>
    <definedName name="_55__123Graph_Xｸﾞﾗﾌ_3" hidden="1">#REF!</definedName>
    <definedName name="_6__労務___Labor">#REF!</definedName>
    <definedName name="_６_国別_契約期間別ＣＩＦ総額_平成23年度____Imported_Crude_Oil_value_CIF__by_Country_and_Contract_Ｆ.Y.2011">#REF!</definedName>
    <definedName name="_８_国別船積数量_FOB_運賃総額及び保険料総額_平成23年度">#REF!</definedName>
    <definedName name="aaa" hidden="1">#REF!</definedName>
    <definedName name="_xlnm.Print_Area" localSheetId="0">'●目次(Contents)●'!$A$1:$Z$38</definedName>
    <definedName name="_xlnm.Print_Area" localSheetId="1">'１（１）原油地域別、国別輸入'!$A$1:$R$106</definedName>
    <definedName name="_xlnm.Print_Area" localSheetId="2">'１（２）原油油種別輸入'!$A$1:$R$352</definedName>
    <definedName name="_xlnm.Print_Area" localSheetId="3">'１（３）非精製用出荷内訳'!$A$2:$R$110</definedName>
    <definedName name="_xlnm.Print_Area" localSheetId="4">'１（４）原油処理及び原油在庫'!$A$1:$U$79</definedName>
    <definedName name="_xlnm.Print_Area" localSheetId="5">'２（１）①石油製品需給総括暦年'!$A$1:$U$47</definedName>
    <definedName name="_xlnm.Print_Area" localSheetId="6">'２（１）②石油製品需給総括年度'!$A$1:$U$47</definedName>
    <definedName name="_xlnm.Print_Area" localSheetId="7">'２（２）①製造業者・輸入業者受払暦年'!$A$1:$U$45</definedName>
    <definedName name="_xlnm.Print_Area" localSheetId="8">'２（２）②製造業者・輸入業者受払年度'!$A$1:$U$44</definedName>
    <definedName name="_xlnm.Print_Area" localSheetId="9">'２（３）石油製品国内向月別販売'!$A$1:$X$41</definedName>
    <definedName name="_xlnm.Print_Area" localSheetId="11">'２（４）②石油製品国・地域別月別輸入'!$A$1:$W$502</definedName>
    <definedName name="_xlnm.Print_Area" localSheetId="12">'２（４）③石油製品月別輸出'!$A$1:$X$40</definedName>
    <definedName name="_xlnm.Print_Area" localSheetId="13">'２（４）④石油製品国・地域別月別輸出'!$A$1:$W$610</definedName>
    <definedName name="_xlnm.Print_Area" localSheetId="14">'２（５）石油製品月別業態別在庫'!$A$4:$W$60</definedName>
    <definedName name="_xlnm.Print_Area" localSheetId="15">'２（６）製造業者・輸入業者月別消費者、販売業者向販売'!$A$1:$X$40</definedName>
    <definedName name="_xlnm.Print_Area" localSheetId="16">'２（７）品種別、月別消費者・販売業者向販売及び在庫内訳'!$A$2:$Z$45</definedName>
    <definedName name="_xlnm.Print_Area" localSheetId="17">'参考資料１、２備蓄量推移、輸入価格推移'!$A$1:$P$48</definedName>
    <definedName name="_xlnm.Print_Area" localSheetId="18">'参考資料３（１）（２）'!$A$1:$K$38,'参考資料３（１）（２）'!$L$39:$S$76</definedName>
    <definedName name="_xlnm.Print_Area" localSheetId="19">'参考資料３（３）（４）'!$A$1:$K$27,'参考資料３（３）（４）'!$A$29:$K$55</definedName>
    <definedName name="_xlnm.Print_Area" localSheetId="20">'参考資料３（５）（６）'!$A$1:$F$53</definedName>
    <definedName name="_xlnm.Print_Area" localSheetId="21">'参考資料３（７）（８）'!$A$1:$G$54</definedName>
    <definedName name="けんめい" localSheetId="1">#REF!</definedName>
    <definedName name="けんめい" localSheetId="2">#REF!</definedName>
    <definedName name="けんめい" localSheetId="3">#REF!</definedName>
    <definedName name="けんめい" localSheetId="4">#REF!</definedName>
    <definedName name="けんめい" localSheetId="5">#REF!</definedName>
    <definedName name="けんめい" localSheetId="6">#REF!</definedName>
    <definedName name="けんめい" localSheetId="7">#REF!</definedName>
    <definedName name="けんめい" localSheetId="8">#REF!</definedName>
    <definedName name="けんめい" localSheetId="9">#REF!</definedName>
    <definedName name="けんめい" localSheetId="11">#REF!</definedName>
    <definedName name="けんめい" localSheetId="12">#REF!</definedName>
    <definedName name="けんめい" localSheetId="13">#REF!</definedName>
    <definedName name="けんめい" localSheetId="14">#REF!</definedName>
    <definedName name="けんめい" localSheetId="15">#REF!</definedName>
    <definedName name="けんめい" localSheetId="16">#REF!</definedName>
    <definedName name="けんめい" localSheetId="18">#REF!</definedName>
    <definedName name="けんめい" localSheetId="19">#REF!</definedName>
    <definedName name="けんめい" localSheetId="20">#REF!</definedName>
    <definedName name="けんめい" localSheetId="21">#REF!</definedName>
    <definedName name="けんめい">#REF!</definedName>
    <definedName name="県名" localSheetId="1">#REF!</definedName>
    <definedName name="県名" localSheetId="2">#REF!</definedName>
    <definedName name="県名" localSheetId="3">#REF!</definedName>
    <definedName name="県名" localSheetId="4">#REF!</definedName>
    <definedName name="県名" localSheetId="5">#REF!</definedName>
    <definedName name="県名" localSheetId="6">#REF!</definedName>
    <definedName name="県名" localSheetId="7">#REF!</definedName>
    <definedName name="県名" localSheetId="8">#REF!</definedName>
    <definedName name="県名" localSheetId="9">#REF!</definedName>
    <definedName name="県名" localSheetId="11">#REF!</definedName>
    <definedName name="県名" localSheetId="12">#REF!</definedName>
    <definedName name="県名" localSheetId="13">#REF!</definedName>
    <definedName name="県名" localSheetId="14">#REF!</definedName>
    <definedName name="県名" localSheetId="15">#REF!</definedName>
    <definedName name="県名" localSheetId="16">#REF!</definedName>
    <definedName name="県名" localSheetId="18">#REF!</definedName>
    <definedName name="県名" localSheetId="19">#REF!</definedName>
    <definedName name="県名" localSheetId="20">#REF!</definedName>
    <definedName name="県名" localSheetId="21">#REF!</definedName>
    <definedName name="県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313" l="1"/>
  <c r="J80" i="313"/>
  <c r="H80" i="313"/>
  <c r="E80" i="313"/>
  <c r="D80" i="313"/>
  <c r="C80" i="313"/>
  <c r="P44" i="313"/>
  <c r="N44" i="313"/>
  <c r="M44" i="313"/>
  <c r="J44" i="313"/>
  <c r="I44" i="313"/>
  <c r="F44" i="313"/>
  <c r="E44" i="313"/>
  <c r="C44" i="313"/>
  <c r="Q8" i="313"/>
  <c r="O8" i="313"/>
  <c r="N8" i="313"/>
  <c r="M8" i="313"/>
  <c r="L8" i="313"/>
  <c r="K8" i="313"/>
  <c r="I8" i="313"/>
  <c r="H8" i="313"/>
  <c r="B322" i="312" l="1"/>
  <c r="Q287" i="312"/>
  <c r="P287" i="312"/>
  <c r="O287" i="312"/>
  <c r="N287" i="312"/>
  <c r="M287" i="312"/>
  <c r="L287" i="312"/>
  <c r="K287" i="312"/>
  <c r="J287" i="312"/>
  <c r="I287" i="312"/>
  <c r="H287" i="312"/>
  <c r="E287" i="312"/>
  <c r="D287" i="312"/>
  <c r="C287" i="312"/>
  <c r="B287" i="312"/>
  <c r="Q252" i="312"/>
  <c r="P252" i="312"/>
  <c r="O252" i="312"/>
  <c r="M252" i="312"/>
  <c r="L252" i="312"/>
  <c r="K252" i="312"/>
  <c r="J252" i="312"/>
  <c r="I252" i="312"/>
  <c r="H252" i="312"/>
  <c r="F252" i="312"/>
  <c r="D252" i="312"/>
  <c r="C252" i="312"/>
  <c r="Q217" i="312"/>
  <c r="P217" i="312"/>
  <c r="N217" i="312"/>
  <c r="M217" i="312"/>
  <c r="L217" i="312"/>
  <c r="J217" i="312"/>
  <c r="I217" i="312"/>
  <c r="F217" i="312"/>
  <c r="E217" i="312"/>
  <c r="D217" i="312"/>
  <c r="C217" i="312"/>
  <c r="B217" i="312"/>
  <c r="Q182" i="312"/>
  <c r="P182" i="312"/>
  <c r="O182" i="312"/>
  <c r="N182" i="312"/>
  <c r="L182" i="312"/>
  <c r="J182" i="312"/>
  <c r="I182" i="312"/>
  <c r="H182" i="312"/>
  <c r="G182" i="312"/>
  <c r="E182" i="312"/>
  <c r="C182" i="312"/>
  <c r="B182" i="312"/>
  <c r="Q147" i="312"/>
  <c r="P147" i="312"/>
  <c r="O147" i="312"/>
  <c r="N147" i="312"/>
  <c r="M147" i="312"/>
  <c r="L147" i="312"/>
  <c r="K147" i="312"/>
  <c r="I147" i="312"/>
  <c r="H147" i="312"/>
  <c r="F147" i="312"/>
  <c r="E147" i="312"/>
  <c r="D147" i="312"/>
  <c r="C147" i="312"/>
  <c r="B147" i="312"/>
  <c r="Q112" i="312"/>
  <c r="O112" i="312"/>
  <c r="N112" i="312"/>
  <c r="M112" i="312"/>
  <c r="K112" i="312"/>
  <c r="J112" i="312"/>
  <c r="I112" i="312"/>
  <c r="H112" i="312"/>
  <c r="G112" i="312"/>
  <c r="E112" i="312"/>
  <c r="D112" i="312"/>
  <c r="C112" i="312"/>
  <c r="Q77" i="312"/>
  <c r="P77" i="312"/>
  <c r="O77" i="312"/>
  <c r="N77" i="312"/>
  <c r="M77" i="312"/>
  <c r="L77" i="312"/>
  <c r="I77" i="312"/>
  <c r="H77" i="312"/>
  <c r="G77" i="312"/>
  <c r="F77" i="312"/>
  <c r="E77" i="312"/>
  <c r="D77" i="312"/>
  <c r="C77" i="312"/>
  <c r="B77" i="312"/>
  <c r="Q42" i="312"/>
  <c r="O42" i="312"/>
  <c r="N42" i="312"/>
  <c r="L42" i="312"/>
  <c r="K42" i="312"/>
  <c r="J42" i="312"/>
  <c r="I42" i="312"/>
  <c r="H42" i="312"/>
  <c r="G42" i="312"/>
  <c r="F42" i="312"/>
  <c r="E42" i="312"/>
  <c r="D42" i="312"/>
  <c r="C42" i="312"/>
  <c r="B42" i="312"/>
  <c r="Q7" i="312"/>
  <c r="O7" i="312"/>
  <c r="N7" i="312"/>
  <c r="M7" i="312"/>
  <c r="L7" i="312"/>
  <c r="K7" i="312"/>
  <c r="J7" i="312"/>
  <c r="I7" i="312"/>
  <c r="F7" i="312"/>
  <c r="E7" i="312"/>
</calcChain>
</file>

<file path=xl/sharedStrings.xml><?xml version="1.0" encoding="utf-8"?>
<sst xmlns="http://schemas.openxmlformats.org/spreadsheetml/2006/main" count="18052" uniqueCount="1395">
  <si>
    <t>（１）石油製品需給総括 / Supply and Demand Summary of Petroleum Products</t>
    <phoneticPr fontId="10"/>
  </si>
  <si>
    <t>①月別輸入 / Import by Month</t>
    <phoneticPr fontId="10"/>
  </si>
  <si>
    <t>③月別輸出 / Export by Month</t>
    <phoneticPr fontId="10"/>
  </si>
  <si>
    <t>（４）石油製品の輸出入 / Import and Export of Ｐetroleum Products</t>
    <phoneticPr fontId="10"/>
  </si>
  <si>
    <t>（２）石油製品製造業者 ・ 輸入業者受払 / Receipt and Shipment of Petroleum Products by Manufacturers and Importers</t>
    <phoneticPr fontId="10"/>
  </si>
  <si>
    <t>（２）原油油種別輸入 / Import by Kind of Crude Oil</t>
    <phoneticPr fontId="10"/>
  </si>
  <si>
    <t>※下線のある文字をクリックすると、統計表にジャンプします。</t>
    <rPh sb="1" eb="3">
      <t>カセン</t>
    </rPh>
    <rPh sb="6" eb="8">
      <t>モジ</t>
    </rPh>
    <rPh sb="17" eb="20">
      <t>トウケイヒョウ</t>
    </rPh>
    <phoneticPr fontId="10"/>
  </si>
  <si>
    <t>石　　油 / Ｐｅｔｒｏｌｅｕｍ</t>
    <phoneticPr fontId="10"/>
  </si>
  <si>
    <t>１．原油 / Crude Oil</t>
    <phoneticPr fontId="10"/>
  </si>
  <si>
    <t>（１）原油地域別、国別輸入 / Import of Crude Oil by Area and Country</t>
    <phoneticPr fontId="10"/>
  </si>
  <si>
    <t>２．石油製品 / Petroleum Products</t>
    <rPh sb="4" eb="6">
      <t>セイヒン</t>
    </rPh>
    <phoneticPr fontId="10"/>
  </si>
  <si>
    <t>２．石油輸入価格推移 / Customs Clearance Prices of Crude Oil and Petroleum Products(CIF)</t>
    <phoneticPr fontId="10"/>
  </si>
  <si>
    <t>ブルネイ</t>
  </si>
  <si>
    <t>イラン</t>
  </si>
  <si>
    <t>イラク</t>
  </si>
  <si>
    <t>エクアドル</t>
  </si>
  <si>
    <t>スーダン</t>
  </si>
  <si>
    <t>ガボン</t>
  </si>
  <si>
    <t>アンゴラ</t>
  </si>
  <si>
    <t>Malaysia</t>
  </si>
  <si>
    <t>Brunei</t>
  </si>
  <si>
    <t>Indonesia</t>
  </si>
  <si>
    <t>Iran</t>
  </si>
  <si>
    <t>Iraq</t>
  </si>
  <si>
    <t>Ecuador</t>
  </si>
  <si>
    <t>Africa</t>
  </si>
  <si>
    <t>Sudan</t>
  </si>
  <si>
    <t>Gabon</t>
  </si>
  <si>
    <t>Angola</t>
  </si>
  <si>
    <t>サウジアラビア</t>
  </si>
  <si>
    <t>クウェート</t>
  </si>
  <si>
    <t>カタール</t>
  </si>
  <si>
    <t>オマーン</t>
  </si>
  <si>
    <t>イエメン</t>
  </si>
  <si>
    <t>ロシア</t>
  </si>
  <si>
    <t>Saudi Arabia</t>
  </si>
  <si>
    <t>Kuwait</t>
  </si>
  <si>
    <t>Qatar</t>
  </si>
  <si>
    <t>Oman</t>
  </si>
  <si>
    <t>（２）原油油種別輸入 / Import by Kind of Crude Oil</t>
    <rPh sb="3" eb="5">
      <t>ゲンユ</t>
    </rPh>
    <phoneticPr fontId="10"/>
  </si>
  <si>
    <t>Viet Nam</t>
  </si>
  <si>
    <t>ｲﾝﾄﾞﾈｼｱ計</t>
  </si>
  <si>
    <t>ｼﾝﾀ</t>
  </si>
  <si>
    <t>ｼﾞｭﾘｰ</t>
  </si>
  <si>
    <t>ｽﾏﾄﾗ･ﾗｲﾄ</t>
  </si>
  <si>
    <t>ﾌﾞｶﾊﾟｲ</t>
  </si>
  <si>
    <t>ｳｲﾄﾞﾘｰ</t>
  </si>
  <si>
    <t>ｶｼﾞ･ｾﾓｶﾞ</t>
  </si>
  <si>
    <t>Middle East</t>
  </si>
  <si>
    <t>ｲﾗﾆｱﾝ･ﾍﾋﾞｰ</t>
  </si>
  <si>
    <t>ﾊﾞｽﾗ･ﾗｲﾄ</t>
  </si>
  <si>
    <t>ｻｳｼﾞｱﾗﾋﾞｱ計</t>
  </si>
  <si>
    <t>ｱﾗﾋﾞｱﾝ･ﾗｲﾄ</t>
  </si>
  <si>
    <t>ｱﾗﾋﾞｱﾝ･ﾍﾋﾞｰ</t>
  </si>
  <si>
    <t>ｱﾙ･ｼｬﾋｰﾝ</t>
  </si>
  <si>
    <t>ｷｻﾝｼﾞｪ</t>
  </si>
  <si>
    <t>ﾅｲﾙ</t>
  </si>
  <si>
    <t>Oceania</t>
  </si>
  <si>
    <t>Australia</t>
  </si>
  <si>
    <t>ﾗｲﾄ･ｾﾘｱ</t>
  </si>
  <si>
    <t>Total</t>
  </si>
  <si>
    <t>合計</t>
  </si>
  <si>
    <t>インドネシア</t>
  </si>
  <si>
    <t>アラブ首長国連邦</t>
  </si>
  <si>
    <t>オーストラリア</t>
  </si>
  <si>
    <t>マレーシア</t>
  </si>
  <si>
    <t>（３）非精製用出荷内訳 / Shipment of Crude Oil for Non-Refining</t>
    <phoneticPr fontId="10"/>
  </si>
  <si>
    <t>１．石油備蓄量推移 / Changes in Oil Stock</t>
    <phoneticPr fontId="10"/>
  </si>
  <si>
    <t>United States of America</t>
  </si>
  <si>
    <t>United Arab Emirates</t>
  </si>
  <si>
    <t>Russia</t>
  </si>
  <si>
    <t>メキシコ</t>
  </si>
  <si>
    <t>Mexico</t>
  </si>
  <si>
    <t>コロンビア</t>
  </si>
  <si>
    <t>Colombia</t>
  </si>
  <si>
    <t>Venezuela</t>
  </si>
  <si>
    <t>カザフスタン</t>
  </si>
  <si>
    <t>Kazakhstan</t>
  </si>
  <si>
    <t>アメリカ合衆国</t>
  </si>
  <si>
    <t>(単位：kl/Unit：kl)</t>
  </si>
  <si>
    <t>Feb.</t>
  </si>
  <si>
    <t>Mar.</t>
  </si>
  <si>
    <t>Apr.</t>
  </si>
  <si>
    <t>Oct.</t>
  </si>
  <si>
    <t>Nov.</t>
  </si>
  <si>
    <t>Dec.</t>
  </si>
  <si>
    <t>Year,_x000D_
Quarter_x000D_
&amp; Month</t>
  </si>
  <si>
    <t>東・中央アジア_x000D_
計</t>
  </si>
  <si>
    <t>南方計</t>
  </si>
  <si>
    <t>中東計</t>
  </si>
  <si>
    <t>East and Central Asia</t>
  </si>
  <si>
    <t>South East Asia</t>
  </si>
  <si>
    <t xml:space="preserve">Q2  </t>
  </si>
  <si>
    <t xml:space="preserve">Q3  </t>
  </si>
  <si>
    <t xml:space="preserve">Q4  </t>
  </si>
  <si>
    <t xml:space="preserve">May </t>
  </si>
  <si>
    <t>Jun.</t>
  </si>
  <si>
    <t>Jul.</t>
  </si>
  <si>
    <t>Aug.</t>
  </si>
  <si>
    <t>Sep.</t>
  </si>
  <si>
    <t>→</t>
  </si>
  <si>
    <t>中東（つづき）</t>
  </si>
  <si>
    <t>中立地帯</t>
  </si>
  <si>
    <t>欧州計</t>
  </si>
  <si>
    <t>英国</t>
  </si>
  <si>
    <t>北米計</t>
  </si>
  <si>
    <t>中南米計</t>
  </si>
  <si>
    <t>Neutral Zone</t>
  </si>
  <si>
    <t>Yemen</t>
  </si>
  <si>
    <t>Europe</t>
  </si>
  <si>
    <t>United Kingdom</t>
  </si>
  <si>
    <t>North America</t>
  </si>
  <si>
    <t>Central and_x000D_
South_x000D_
America</t>
  </si>
  <si>
    <t>アフリカ計</t>
  </si>
  <si>
    <t>アルジェリア</t>
  </si>
  <si>
    <t>リビア</t>
  </si>
  <si>
    <t>大洋州計</t>
  </si>
  <si>
    <t>Algeria</t>
  </si>
  <si>
    <t>Libya</t>
  </si>
  <si>
    <t>大洋州（つづき）</t>
  </si>
  <si>
    <t>パプア_x000D_
ニューギニア</t>
  </si>
  <si>
    <t>Papua_x000D_
New Guinea</t>
  </si>
  <si>
    <t>東･中央ｱｼﾞｱ計</t>
  </si>
  <si>
    <t>ﾍﾞﾄﾅﾑ計</t>
  </si>
  <si>
    <t>ﾊﾞｯｸ･ﾎ</t>
  </si>
  <si>
    <t>ﾀﾞｲﾌﾝ</t>
  </si>
  <si>
    <t>ﾙﾋﾞｰ</t>
  </si>
  <si>
    <t>ｽﾂﾃﾞﾝ</t>
  </si>
  <si>
    <t>ﾁﾑ･ｻｵ</t>
  </si>
  <si>
    <t>南方（つづき）</t>
  </si>
  <si>
    <t>ﾏﾚｰｼｱ計</t>
  </si>
  <si>
    <t>ﾀﾋﾟｽ･ﾌﾞﾚﾝﾄﾞ</t>
  </si>
  <si>
    <t>ﾀﾋﾟｽ･ﾄｯﾌﾟ</t>
  </si>
  <si>
    <t>ﾃﾞｭﾗﾝ</t>
  </si>
  <si>
    <t>ｱﾝｼｰ</t>
  </si>
  <si>
    <t>ﾍﾟﾅﾗ･ﾌﾞﾚﾝﾄﾞ</t>
  </si>
  <si>
    <t>ｾﾊﾟﾄ</t>
  </si>
  <si>
    <t>ﾌﾞﾙﾈｲ計</t>
  </si>
  <si>
    <t>ﾍﾞﾙﾀﾑ</t>
  </si>
  <si>
    <t>ｷﾄﾞｩﾛﾝ</t>
  </si>
  <si>
    <t>ﾁｬﾝﾋﾟｵﾝ</t>
  </si>
  <si>
    <t>ｲﾝﾄﾞﾈｼｱ（つづき）</t>
  </si>
  <si>
    <t>ﾊﾝﾃﾞｨﾙ･ﾐｯｸｽ</t>
  </si>
  <si>
    <t>ｲﾗﾝ計</t>
  </si>
  <si>
    <t>ｲﾗｸ計</t>
  </si>
  <si>
    <t>ｲﾗﾆｱﾝ･ﾗｲﾄ</t>
  </si>
  <si>
    <t>ﾊﾞｰﾚｶﾞﾝ</t>
  </si>
  <si>
    <t>ｿﾙｰｼｭ</t>
  </si>
  <si>
    <t>ﾊﾞｽﾗ･ﾍﾋﾞｰ</t>
  </si>
  <si>
    <t>ｸｳｪｰﾄ計</t>
  </si>
  <si>
    <t>ｸｳｪｰﾄ</t>
  </si>
  <si>
    <t>ｶﾀｰﾙ計</t>
  </si>
  <si>
    <t>ｵﾏｰﾝ計</t>
  </si>
  <si>
    <t>ｱﾗﾌﾞ首長国_x000D_
連邦計</t>
  </si>
  <si>
    <t>ｶﾀｰﾙ</t>
  </si>
  <si>
    <t>ｶﾀｰﾙ･ﾏﾘｰﾝ</t>
  </si>
  <si>
    <t>ｱﾙ･ﾗﾔﾝ</t>
  </si>
  <si>
    <t>ｵﾏｰﾝ</t>
  </si>
  <si>
    <t>United_x000D_
Arab Emirates</t>
  </si>
  <si>
    <t>ﾏｰﾊﾞﾝ</t>
  </si>
  <si>
    <t>ｳﾑｼｬｲﾌ</t>
  </si>
  <si>
    <t>英国_x000D_
United Kingdom</t>
  </si>
  <si>
    <t>ﾃﾞｭﾊﾞｲ</t>
  </si>
  <si>
    <t>ｱｯﾊﾟｰ･ｻﾞｸﾑ</t>
  </si>
  <si>
    <t>ﾑﾊﾞﾗｽ･ﾌﾞﾚﾝﾄﾞ</t>
  </si>
  <si>
    <t>ﾀﾞｽ</t>
  </si>
  <si>
    <t>ﾌｫｰﾃｨｽﾞ</t>
  </si>
  <si>
    <t>ﾛｼｱ計</t>
  </si>
  <si>
    <t>ｱﾒﾘｶ合衆国計</t>
  </si>
  <si>
    <t>ﾒｷｼｺ計</t>
  </si>
  <si>
    <t>ｿｺｰﾙ</t>
  </si>
  <si>
    <t>ｴｽﾎﾟ･ﾌﾞﾚﾝﾄﾞ</t>
  </si>
  <si>
    <t>ｻﾊﾘﾝ･ﾌﾞﾚﾝﾄﾞ</t>
  </si>
  <si>
    <t>North_x000D_
America</t>
  </si>
  <si>
    <t>ｲｽﾑｽ</t>
  </si>
  <si>
    <t>ｴｸｱﾄﾞﾙ計</t>
  </si>
  <si>
    <t>ｱﾌﾘｶ計</t>
  </si>
  <si>
    <t>ｱﾙｼﾞｪﾘｱ_x000D_
Algeria</t>
  </si>
  <si>
    <t>ﾏﾔ</t>
  </si>
  <si>
    <t>ｶｽﾃｨﾗ･ﾌﾞﾚﾝﾄﾞ</t>
  </si>
  <si>
    <t>ｻﾝﾀ･ﾊﾞｰﾊﾞﾗ</t>
  </si>
  <si>
    <t>ｵﾘｴﾝﾃ</t>
  </si>
  <si>
    <t>ﾅﾎﾟ</t>
  </si>
  <si>
    <t>ｻﾊﾗ･ﾌﾞﾚﾝﾄﾞ</t>
  </si>
  <si>
    <t>ｱﾌﾘｶ（つづき）</t>
  </si>
  <si>
    <t>ｶﾞﾎﾞﾝ計</t>
  </si>
  <si>
    <t>ﾗﾋﾞ･ﾗｲﾄ</t>
  </si>
  <si>
    <t>ｱﾝｺﾞﾗ計</t>
  </si>
  <si>
    <t>ｵｰｽﾄﾗﾘｱ計</t>
  </si>
  <si>
    <t>ﾈﾝﾊﾞ</t>
  </si>
  <si>
    <t>ｼﾞﾗｿﾙ</t>
  </si>
  <si>
    <t>ﾜﾝﾄﾞｩｰ</t>
  </si>
  <si>
    <t>ｽﾀｸﾞ</t>
  </si>
  <si>
    <t>ｴﾝﾌｨｰﾙﾄﾞ</t>
  </si>
  <si>
    <t>年・期・月</t>
  </si>
  <si>
    <t>④国・地域別月別輸出 / Monthly Export by Area and Country</t>
    <rPh sb="1" eb="2">
      <t>クニ</t>
    </rPh>
    <rPh sb="3" eb="5">
      <t>チイキ</t>
    </rPh>
    <rPh sb="5" eb="6">
      <t>ベツ</t>
    </rPh>
    <phoneticPr fontId="10"/>
  </si>
  <si>
    <t>②国・地域別月別輸入 / Monthly Import by Area and Country</t>
    <rPh sb="1" eb="2">
      <t>クニ</t>
    </rPh>
    <rPh sb="3" eb="5">
      <t>チイキ</t>
    </rPh>
    <rPh sb="5" eb="6">
      <t>ベツ</t>
    </rPh>
    <phoneticPr fontId="10"/>
  </si>
  <si>
    <t>ｲｰｸﾞﾙ･ﾌｫｰﾄﾞ</t>
  </si>
  <si>
    <t>ｳｪｽﾄ･ﾌﾞｯｶ</t>
  </si>
  <si>
    <t>ﾊﾞﾝﾕ･ｳﾘｯﾌﾟ</t>
  </si>
  <si>
    <t>ｹﾀﾊﾟﾝ</t>
  </si>
  <si>
    <t>（３）非精製用出荷内訳 / Shipment of Crude Oil for Non-Refining</t>
    <rPh sb="9" eb="11">
      <t>ウチワケ</t>
    </rPh>
    <phoneticPr fontId="10"/>
  </si>
  <si>
    <t>電力用計</t>
  </si>
  <si>
    <t>Electric Power</t>
  </si>
  <si>
    <t>電力用（つづき）</t>
  </si>
  <si>
    <t>石油化学用計</t>
  </si>
  <si>
    <t>Petro Chemical</t>
  </si>
  <si>
    <t>その他用計</t>
  </si>
  <si>
    <t>ｱﾗﾌﾞ首長国連邦_x000D_
United Arab Emirates</t>
  </si>
  <si>
    <t>Other Industries</t>
  </si>
  <si>
    <t>ｲﾝﾄﾞﾈｼｱ_x000D_
Indonesia</t>
  </si>
  <si>
    <t>ｶﾀｰﾙ_x000D_
Qatar</t>
  </si>
  <si>
    <t>Oil stockpiling bases</t>
  </si>
  <si>
    <t>Lubricant Manufacturers</t>
  </si>
  <si>
    <t>計</t>
    <rPh sb="0" eb="1">
      <t>ケイ</t>
    </rPh>
    <phoneticPr fontId="10"/>
  </si>
  <si>
    <t>計</t>
  </si>
  <si>
    <t>採油業者</t>
    <rPh sb="0" eb="2">
      <t>サイユ</t>
    </rPh>
    <rPh sb="2" eb="4">
      <t>ギョウシャ</t>
    </rPh>
    <phoneticPr fontId="10"/>
  </si>
  <si>
    <t>その他業者</t>
  </si>
  <si>
    <t>潤滑油業者</t>
  </si>
  <si>
    <t>精製業者</t>
  </si>
  <si>
    <t>合計</t>
    <rPh sb="0" eb="2">
      <t>ゴウケイ</t>
    </rPh>
    <phoneticPr fontId="10"/>
  </si>
  <si>
    <t>（単位：kl／Unit：kl）</t>
    <rPh sb="1" eb="3">
      <t>タンイ</t>
    </rPh>
    <phoneticPr fontId="8"/>
  </si>
  <si>
    <t>②原油在庫 / Inventory of Crude Oil</t>
    <rPh sb="1" eb="3">
      <t>ゲンユ</t>
    </rPh>
    <rPh sb="3" eb="5">
      <t>ザイコ</t>
    </rPh>
    <phoneticPr fontId="10"/>
  </si>
  <si>
    <t>Refiners</t>
  </si>
  <si>
    <t xml:space="preserve">①原油処理 / Crude Oil Processing </t>
    <rPh sb="1" eb="3">
      <t>ゲンユ</t>
    </rPh>
    <rPh sb="3" eb="5">
      <t>ショリ</t>
    </rPh>
    <phoneticPr fontId="10"/>
  </si>
  <si>
    <t xml:space="preserve">（４）原油処理及び原油在庫 / Crude Oil Processing and Inventory </t>
    <rPh sb="3" eb="5">
      <t>ゲンユ</t>
    </rPh>
    <rPh sb="5" eb="7">
      <t>ショリ</t>
    </rPh>
    <rPh sb="7" eb="8">
      <t>オヨ</t>
    </rPh>
    <rPh sb="9" eb="11">
      <t>ゲンユ</t>
    </rPh>
    <rPh sb="11" eb="13">
      <t>ザイコ</t>
    </rPh>
    <phoneticPr fontId="10"/>
  </si>
  <si>
    <t>注 1： 国内向販売＝(年初在庫＋受入) - (年末在庫＋国内向販売以外の各払出項目)</t>
    <rPh sb="7" eb="8">
      <t>ム</t>
    </rPh>
    <rPh sb="31" eb="32">
      <t>ム</t>
    </rPh>
    <phoneticPr fontId="8"/>
  </si>
  <si>
    <t>Manufacturers and Importers</t>
  </si>
  <si>
    <t>年末在庫計</t>
  </si>
  <si>
    <t>Other Shipments</t>
  </si>
  <si>
    <t>Own Consumption</t>
  </si>
  <si>
    <t>Exports</t>
  </si>
  <si>
    <t>Domestic Sales</t>
  </si>
  <si>
    <t>国内向販売</t>
    <rPh sb="2" eb="3">
      <t>ム</t>
    </rPh>
    <rPh sb="3" eb="5">
      <t>ハンバイ</t>
    </rPh>
    <phoneticPr fontId="47"/>
  </si>
  <si>
    <t>払出合計</t>
  </si>
  <si>
    <t>Other Receipts</t>
  </si>
  <si>
    <t>Imports</t>
  </si>
  <si>
    <t>Production Division</t>
  </si>
  <si>
    <t>受入合計</t>
  </si>
  <si>
    <t xml:space="preserve"> </t>
  </si>
  <si>
    <t>Inventory at Start of Year</t>
  </si>
  <si>
    <t>年初在庫計</t>
  </si>
  <si>
    <t>Paraffin Wax</t>
  </si>
  <si>
    <t>Grease</t>
  </si>
  <si>
    <t>Asphalt</t>
  </si>
  <si>
    <t>Kerosene</t>
  </si>
  <si>
    <t>Gasoline</t>
  </si>
  <si>
    <t>Ｂ・Ｃ重油</t>
    <rPh sb="3" eb="5">
      <t>ジュウユ</t>
    </rPh>
    <phoneticPr fontId="8"/>
  </si>
  <si>
    <t>Ａ重油</t>
    <rPh sb="1" eb="3">
      <t>ジュウユ</t>
    </rPh>
    <phoneticPr fontId="8"/>
  </si>
  <si>
    <t>　</t>
  </si>
  <si>
    <t>燃料油</t>
  </si>
  <si>
    <t>Category</t>
  </si>
  <si>
    <t>燃料油計</t>
    <rPh sb="3" eb="4">
      <t>ケイ</t>
    </rPh>
    <phoneticPr fontId="8"/>
  </si>
  <si>
    <t>２．石油製品 / Petroleum Products</t>
    <rPh sb="4" eb="6">
      <t>セイヒン</t>
    </rPh>
    <phoneticPr fontId="8"/>
  </si>
  <si>
    <t>Lubricating Oil</t>
  </si>
  <si>
    <t>Inventory at End of Year</t>
  </si>
  <si>
    <t>製造業者・輸入業者への販売・融通　</t>
    <rPh sb="7" eb="9">
      <t>ギョウシャ</t>
    </rPh>
    <phoneticPr fontId="18"/>
  </si>
  <si>
    <t>消費者･販売業者向販売</t>
    <rPh sb="0" eb="3">
      <t>ショウヒシャ</t>
    </rPh>
    <rPh sb="4" eb="6">
      <t>ハンバイ</t>
    </rPh>
    <rPh sb="6" eb="8">
      <t>ギョウシャ</t>
    </rPh>
    <rPh sb="8" eb="9">
      <t>ム</t>
    </rPh>
    <rPh sb="9" eb="11">
      <t>ハンバイ</t>
    </rPh>
    <phoneticPr fontId="18"/>
  </si>
  <si>
    <t>Return from Petrochemical Industry</t>
  </si>
  <si>
    <t>製造業者・輸入業者よりの購入・融通　</t>
    <rPh sb="7" eb="9">
      <t>ギョウシャ</t>
    </rPh>
    <rPh sb="12" eb="14">
      <t>コウニュウ</t>
    </rPh>
    <phoneticPr fontId="18"/>
  </si>
  <si>
    <t/>
  </si>
  <si>
    <t>平成</t>
  </si>
  <si>
    <t>パプア_x000D_
ニュー_x000D_
ギニア_x000D_
Papua New Guinea</t>
  </si>
  <si>
    <t>オースト_x000D_
ラリア_x000D_
Australia</t>
  </si>
  <si>
    <t>アンゴラ_x000D_
Angola</t>
  </si>
  <si>
    <t>赤道ギニア_x000D_
Equatorial Guinea</t>
  </si>
  <si>
    <t>ナイジェ_x000D_
リア_x000D_
Nigeria</t>
  </si>
  <si>
    <t>エジプト_x000D_
Egypt</t>
  </si>
  <si>
    <t>アルジェ_x000D_
リア_x000D_
Algeria</t>
  </si>
  <si>
    <t>ブラジル_x000D_
Brazil</t>
  </si>
  <si>
    <t>大洋州</t>
  </si>
  <si>
    <t>アフリカ</t>
  </si>
  <si>
    <t>液化天然ガス（つづき）</t>
  </si>
  <si>
    <t>ペルー_x000D_
Peru</t>
  </si>
  <si>
    <t>アメリカ_x000D_
合衆国_x000D_
United States of America</t>
  </si>
  <si>
    <t>ロシア_x000D_
Russia</t>
  </si>
  <si>
    <t>スペイン_x000D_
Spain</t>
  </si>
  <si>
    <t>フランス_x000D_
France</t>
  </si>
  <si>
    <t>ベルギー_x000D_
Belgium</t>
  </si>
  <si>
    <t>ノルウェー_x000D_
Norway</t>
  </si>
  <si>
    <t>オマーン_x000D_
Oman</t>
  </si>
  <si>
    <t>カタール_x000D_
Qatar</t>
  </si>
  <si>
    <t>インド_x000D_
ネシア_x000D_
Indonesia</t>
  </si>
  <si>
    <t>ブルネイ_x000D_
Brunei</t>
  </si>
  <si>
    <t>マレーシア_x000D_
Malaysia</t>
  </si>
  <si>
    <t>シンガ_x000D_
ポール_x000D_
Singapore</t>
  </si>
  <si>
    <t>大韓民国_x000D_
Republic of Korea</t>
  </si>
  <si>
    <t>南アメリカ</t>
  </si>
  <si>
    <t>北アメリカ</t>
  </si>
  <si>
    <t>ヨーロッパ</t>
  </si>
  <si>
    <t>アジア（つづき）</t>
  </si>
  <si>
    <t>アルゼン_x000D_
チン_x000D_
Argentina</t>
  </si>
  <si>
    <t>クウェート_x000D_
Kuwait</t>
  </si>
  <si>
    <t>サウジ_x000D_
アラビア_x000D_
Saudi Arabia</t>
  </si>
  <si>
    <t>バーレーン_x000D_
Bahrain</t>
  </si>
  <si>
    <t>イラン_x000D_
Iran</t>
  </si>
  <si>
    <t>東ティ_x000D_
モール_x000D_
Timor-Leste</t>
  </si>
  <si>
    <t>アジア</t>
  </si>
  <si>
    <t>Liquefied Natural Gas Total</t>
  </si>
  <si>
    <t>ブタン（つづき）</t>
  </si>
  <si>
    <t>パナマ_x000D_
Panama</t>
  </si>
  <si>
    <t>B.B Total</t>
  </si>
  <si>
    <t>ブタン合計</t>
  </si>
  <si>
    <t>プロパン（つづき）</t>
  </si>
  <si>
    <t>P.P and P.B Total</t>
  </si>
  <si>
    <t>プロパン_x000D_
合計</t>
  </si>
  <si>
    <t>液化石油ガス（つづき）</t>
  </si>
  <si>
    <t>台湾_x000D_
Taiwan</t>
  </si>
  <si>
    <t>Liquefied Petroleum Gas Total</t>
  </si>
  <si>
    <t>Paraffin Wax Total</t>
  </si>
  <si>
    <t>カナダ_x000D_
Canada</t>
  </si>
  <si>
    <t>トルコ_x000D_
Turkey</t>
  </si>
  <si>
    <t>ドイツ_x000D_
Germany</t>
  </si>
  <si>
    <t>タイ_x000D_
Thailand</t>
  </si>
  <si>
    <t>香港_x000D_
Hong Kong</t>
  </si>
  <si>
    <t>Grease Total</t>
  </si>
  <si>
    <t>グリース_x000D_
合計</t>
  </si>
  <si>
    <t>イタリア_x000D_
Italy</t>
  </si>
  <si>
    <t>インド_x000D_
India</t>
  </si>
  <si>
    <t>Asphalt Total</t>
  </si>
  <si>
    <t>アスファルト_x000D_
合計</t>
  </si>
  <si>
    <t>潤滑油（つづき）</t>
  </si>
  <si>
    <t>スウェー_x000D_
デン_x000D_
Sweden</t>
  </si>
  <si>
    <t>Lubricating Oil Total</t>
  </si>
  <si>
    <t>潤滑油_x000D_
合計</t>
  </si>
  <si>
    <t>Fuel Oil A Total</t>
  </si>
  <si>
    <t>Gas Oil Total</t>
  </si>
  <si>
    <t>Ａ重油合計</t>
  </si>
  <si>
    <t>軽油合計</t>
  </si>
  <si>
    <t>Kerosene Total</t>
  </si>
  <si>
    <t>Jet Fuel Total</t>
  </si>
  <si>
    <t>アフリカ（つづき）</t>
  </si>
  <si>
    <t>灯油合計</t>
  </si>
  <si>
    <t>ナフサ（つづき）</t>
  </si>
  <si>
    <t>メキシコ_x000D_
Mexico</t>
  </si>
  <si>
    <t>ウクライナ_x000D_
Ukraine</t>
  </si>
  <si>
    <t>キプロス_x000D_
Cyprus</t>
  </si>
  <si>
    <t>ギリシャ_x000D_
Greece</t>
  </si>
  <si>
    <t>デンマーク_x000D_
Denmark</t>
  </si>
  <si>
    <t>バングラ_x000D_
デシュ_x000D_
Bangladesh</t>
  </si>
  <si>
    <t>スリランカ_x000D_
Sri Lanka</t>
  </si>
  <si>
    <t>パキスタン_x000D_
Pakistan</t>
  </si>
  <si>
    <t>フィリピン_x000D_
Philippines</t>
  </si>
  <si>
    <t>ポーランド_x000D_
Poland</t>
  </si>
  <si>
    <t>Naphtha Total</t>
  </si>
  <si>
    <t>Gasoline Total</t>
  </si>
  <si>
    <t>ナフサ合計</t>
  </si>
  <si>
    <t>ガソリン_x000D_
合計</t>
  </si>
  <si>
    <t>燃料油（つづき）</t>
  </si>
  <si>
    <t>燃料油_x000D_
合計</t>
  </si>
  <si>
    <t xml:space="preserve">   ②国・地域別月別輸入 / Monthly Import by Area and Country</t>
    <rPh sb="9" eb="11">
      <t>ツキベツ</t>
    </rPh>
    <rPh sb="11" eb="13">
      <t>ユニュウ</t>
    </rPh>
    <phoneticPr fontId="10"/>
  </si>
  <si>
    <t>年・期・月</t>
    <rPh sb="0" eb="1">
      <t>ネン</t>
    </rPh>
    <rPh sb="2" eb="3">
      <t>キ</t>
    </rPh>
    <rPh sb="4" eb="5">
      <t>ツキ</t>
    </rPh>
    <phoneticPr fontId="8"/>
  </si>
  <si>
    <t>ボンド_x000D_
Bonded Oil</t>
  </si>
  <si>
    <t>The U.S.Armed Forces &amp; Bonded Oil</t>
  </si>
  <si>
    <t>フィジー_x000D_
Fiji</t>
  </si>
  <si>
    <t>ケニア_x000D_
Kenya</t>
  </si>
  <si>
    <t>チリ_x000D_
Chile</t>
  </si>
  <si>
    <t>エクアドル_x000D_
Ecuador</t>
  </si>
  <si>
    <t>コロンビア_x000D_
Colombia</t>
  </si>
  <si>
    <t>ドミニカ_x000D_
Dominica</t>
  </si>
  <si>
    <t>パラフィン（つづき）</t>
  </si>
  <si>
    <t>グアテマラ_x000D_
Guatemala</t>
  </si>
  <si>
    <t>ハンガリー_x000D_
Hungary</t>
  </si>
  <si>
    <t>ベトナム_x000D_
Viet Nam</t>
  </si>
  <si>
    <t>グリース（つづき）</t>
  </si>
  <si>
    <t>モルドバ_x000D_
Moldova</t>
  </si>
  <si>
    <t>フィンランド_x000D_
Finland</t>
  </si>
  <si>
    <t>ジョージア_x000D_
Georgia</t>
  </si>
  <si>
    <t>レバノン_x000D_
Lebanon</t>
  </si>
  <si>
    <t>イスラエル_x000D_
Israel</t>
  </si>
  <si>
    <t>ミャンマー_x000D_
Myanmar</t>
  </si>
  <si>
    <t>モンゴル_x000D_
Mongolia</t>
  </si>
  <si>
    <t>米軍_x000D_
The U.S.Armed Forces</t>
  </si>
  <si>
    <t>パラオ_x000D_
Palau</t>
  </si>
  <si>
    <t>グアム（米）_x000D_
Guam (USA)</t>
  </si>
  <si>
    <t>ニューカレドニア（仏）_x000D_
New Caledonia (France)</t>
  </si>
  <si>
    <t>軽油（つづき）</t>
  </si>
  <si>
    <t>ジェット燃料油（つづき）</t>
  </si>
  <si>
    <t>ガソリン（つづき）</t>
  </si>
  <si>
    <t xml:space="preserve">注 1： M &amp; I =製造・輸入業者 </t>
    <rPh sb="12" eb="14">
      <t>セイゾウ</t>
    </rPh>
    <rPh sb="15" eb="17">
      <t>ユニュウ</t>
    </rPh>
    <rPh sb="17" eb="19">
      <t>ギョウシャ</t>
    </rPh>
    <phoneticPr fontId="45"/>
  </si>
  <si>
    <t>M &amp; I</t>
  </si>
  <si>
    <t>製造・輸入業者</t>
  </si>
  <si>
    <t>製油所</t>
  </si>
  <si>
    <t>1月</t>
  </si>
  <si>
    <t>（５）石油製品月別業態別在庫 / Monthly Inventory of Petroleum Products by Type of Business</t>
    <rPh sb="11" eb="12">
      <t>ベツ</t>
    </rPh>
    <phoneticPr fontId="8"/>
  </si>
  <si>
    <t xml:space="preserve">    表番→年報P114-115（業態別在庫）　(様式改善案 ： 石油製品　+　液化石油ガス)</t>
    <rPh sb="18" eb="20">
      <t>ギョウタイ</t>
    </rPh>
    <rPh sb="20" eb="21">
      <t>ベツ</t>
    </rPh>
    <rPh sb="21" eb="23">
      <t>ザイコ</t>
    </rPh>
    <rPh sb="26" eb="28">
      <t>ヨウシキ</t>
    </rPh>
    <rPh sb="28" eb="30">
      <t>カイゼン</t>
    </rPh>
    <rPh sb="30" eb="31">
      <t>アン</t>
    </rPh>
    <rPh sb="34" eb="36">
      <t>セキユ</t>
    </rPh>
    <rPh sb="36" eb="38">
      <t>セイヒン</t>
    </rPh>
    <phoneticPr fontId="8"/>
  </si>
  <si>
    <t>その他特定用途向け</t>
  </si>
  <si>
    <t>油</t>
    <rPh sb="0" eb="1">
      <t>ユ</t>
    </rPh>
    <phoneticPr fontId="72"/>
  </si>
  <si>
    <t>ディーゼルエンジン油</t>
  </si>
  <si>
    <t>滑</t>
    <rPh sb="0" eb="1">
      <t>ヌメ</t>
    </rPh>
    <phoneticPr fontId="72"/>
  </si>
  <si>
    <t>潤</t>
    <rPh sb="0" eb="1">
      <t>ジュン</t>
    </rPh>
    <phoneticPr fontId="72"/>
  </si>
  <si>
    <t>消費者　　　・販売　　業者向　　販売</t>
    <rPh sb="0" eb="3">
      <t>ショウヒシャ</t>
    </rPh>
    <rPh sb="7" eb="9">
      <t>ハンバイ</t>
    </rPh>
    <rPh sb="11" eb="13">
      <t>ギョウシャ</t>
    </rPh>
    <rPh sb="13" eb="14">
      <t>ム</t>
    </rPh>
    <rPh sb="16" eb="18">
      <t>ハンバイ</t>
    </rPh>
    <phoneticPr fontId="72"/>
  </si>
  <si>
    <t>そ　の　他　</t>
    <rPh sb="4" eb="5">
      <t>タ</t>
    </rPh>
    <phoneticPr fontId="72"/>
  </si>
  <si>
    <t>石油化学用</t>
  </si>
  <si>
    <t>自動車用並級</t>
  </si>
  <si>
    <t>自動車用高級</t>
  </si>
  <si>
    <r>
      <t>（７）製造業者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輸入業者品種別、月別消費者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販売業者向販売及び在庫内訳 /</t>
    </r>
    <rPh sb="22" eb="23">
      <t>ハン</t>
    </rPh>
    <rPh sb="23" eb="24">
      <t>バイ</t>
    </rPh>
    <rPh sb="24" eb="25">
      <t>ギョウ</t>
    </rPh>
    <rPh sb="25" eb="26">
      <t>モノ</t>
    </rPh>
    <rPh sb="26" eb="27">
      <t>ムカイ</t>
    </rPh>
    <phoneticPr fontId="72"/>
  </si>
  <si>
    <t>注：出典は資源エネルギー庁「石油輸入調査」。</t>
    <rPh sb="0" eb="1">
      <t>チュウ</t>
    </rPh>
    <rPh sb="2" eb="4">
      <t>シュッテン</t>
    </rPh>
    <rPh sb="5" eb="7">
      <t>シゲン</t>
    </rPh>
    <rPh sb="12" eb="13">
      <t>チョウ</t>
    </rPh>
    <rPh sb="14" eb="16">
      <t>セキユ</t>
    </rPh>
    <rPh sb="16" eb="18">
      <t>ユニュウ</t>
    </rPh>
    <rPh sb="18" eb="20">
      <t>チョウサ</t>
    </rPh>
    <phoneticPr fontId="10"/>
  </si>
  <si>
    <t xml:space="preserve">         3</t>
  </si>
  <si>
    <t xml:space="preserve">         2</t>
  </si>
  <si>
    <t xml:space="preserve">        12</t>
  </si>
  <si>
    <t xml:space="preserve">        11</t>
  </si>
  <si>
    <t xml:space="preserve">        10</t>
  </si>
  <si>
    <t xml:space="preserve">         9</t>
  </si>
  <si>
    <t xml:space="preserve">         8</t>
  </si>
  <si>
    <t xml:space="preserve">         7</t>
  </si>
  <si>
    <t xml:space="preserve">         6</t>
  </si>
  <si>
    <t xml:space="preserve">         4</t>
  </si>
  <si>
    <t xml:space="preserve">        10～12</t>
  </si>
  <si>
    <t xml:space="preserve">         4～ 6</t>
  </si>
  <si>
    <t>Oil Producer Country's Government</t>
  </si>
  <si>
    <t>American Independence</t>
  </si>
  <si>
    <t>Majors</t>
  </si>
  <si>
    <t>メジャーズ</t>
  </si>
  <si>
    <t>（単位：kl／Unit：kl）</t>
    <rPh sb="1" eb="3">
      <t>タンイ</t>
    </rPh>
    <phoneticPr fontId="10"/>
  </si>
  <si>
    <t>スポット契約</t>
    <rPh sb="4" eb="6">
      <t>ケイヤク</t>
    </rPh>
    <phoneticPr fontId="10"/>
  </si>
  <si>
    <t>長期契約</t>
    <rPh sb="0" eb="2">
      <t>チョウキ</t>
    </rPh>
    <rPh sb="2" eb="4">
      <t>ケイヤク</t>
    </rPh>
    <phoneticPr fontId="10"/>
  </si>
  <si>
    <t xml:space="preserve">スポット比率   </t>
  </si>
  <si>
    <t xml:space="preserve">合計             </t>
  </si>
  <si>
    <t>平均　　API度</t>
    <rPh sb="7" eb="8">
      <t>ド</t>
    </rPh>
    <phoneticPr fontId="10"/>
  </si>
  <si>
    <r>
      <t>CIF総額（千ドル）                                        Value（CIF）(10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＄）</t>
    </r>
    <rPh sb="3" eb="5">
      <t>ソウガク</t>
    </rPh>
    <rPh sb="6" eb="7">
      <t>セン</t>
    </rPh>
    <phoneticPr fontId="10"/>
  </si>
  <si>
    <t>年・期・月</t>
    <rPh sb="0" eb="1">
      <t>ネン</t>
    </rPh>
    <rPh sb="2" eb="3">
      <t>キ</t>
    </rPh>
    <rPh sb="4" eb="5">
      <t>ツキ</t>
    </rPh>
    <phoneticPr fontId="10"/>
  </si>
  <si>
    <t>注2：2社以下の集計金額に係る箇所は、秘匿措置（X）を講じている。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キンガク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0"/>
  </si>
  <si>
    <t>注1：出典は資源エネルギー庁「石油輸入調査」。</t>
    <rPh sb="0" eb="1">
      <t>チュウ</t>
    </rPh>
    <rPh sb="3" eb="5">
      <t>シュッテン</t>
    </rPh>
    <rPh sb="6" eb="8">
      <t>シゲン</t>
    </rPh>
    <rPh sb="13" eb="14">
      <t>チョウ</t>
    </rPh>
    <rPh sb="15" eb="17">
      <t>セキユ</t>
    </rPh>
    <rPh sb="17" eb="19">
      <t>ユニュウ</t>
    </rPh>
    <rPh sb="19" eb="21">
      <t>チョウサ</t>
    </rPh>
    <phoneticPr fontId="10"/>
  </si>
  <si>
    <t>Others</t>
  </si>
  <si>
    <t>その他</t>
  </si>
  <si>
    <t>X</t>
  </si>
  <si>
    <t>合　　　　計</t>
    <rPh sb="0" eb="1">
      <t>ゴウ</t>
    </rPh>
    <rPh sb="5" eb="6">
      <t>ケイ</t>
    </rPh>
    <phoneticPr fontId="10"/>
  </si>
  <si>
    <t>国名</t>
    <rPh sb="0" eb="1">
      <t>クニ</t>
    </rPh>
    <rPh sb="1" eb="2">
      <t>ナ</t>
    </rPh>
    <phoneticPr fontId="10"/>
  </si>
  <si>
    <t>区分</t>
    <rPh sb="0" eb="2">
      <t>クブン</t>
    </rPh>
    <phoneticPr fontId="10"/>
  </si>
  <si>
    <t>国名</t>
    <rPh sb="0" eb="1">
      <t>クニ</t>
    </rPh>
    <rPh sb="1" eb="2">
      <t>メイ</t>
    </rPh>
    <phoneticPr fontId="10"/>
  </si>
  <si>
    <t>保険料総額</t>
    <rPh sb="0" eb="3">
      <t>ホケンリョウ</t>
    </rPh>
    <rPh sb="3" eb="5">
      <t>ソウガク</t>
    </rPh>
    <phoneticPr fontId="10"/>
  </si>
  <si>
    <t>運賃総額</t>
    <rPh sb="0" eb="2">
      <t>ウンチン</t>
    </rPh>
    <rPh sb="2" eb="4">
      <t>ソウガク</t>
    </rPh>
    <phoneticPr fontId="10"/>
  </si>
  <si>
    <t>船積数量</t>
    <rPh sb="0" eb="1">
      <t>フネ</t>
    </rPh>
    <rPh sb="1" eb="2">
      <t>ツミ</t>
    </rPh>
    <rPh sb="2" eb="4">
      <t>スウリョウ</t>
    </rPh>
    <phoneticPr fontId="10"/>
  </si>
  <si>
    <t>注2：2社以下の集計数量に係る箇所は、秘匿措置（X）を講じている。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スウリョウ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0"/>
  </si>
  <si>
    <t>合　　　　計</t>
  </si>
  <si>
    <t>注5：C重油は低硫黄C重油の輸入価格。</t>
    <rPh sb="0" eb="1">
      <t>チュウ</t>
    </rPh>
    <rPh sb="4" eb="6">
      <t>ジュウユ</t>
    </rPh>
    <rPh sb="7" eb="10">
      <t>テイイオウ</t>
    </rPh>
    <rPh sb="11" eb="13">
      <t>ジュウユ</t>
    </rPh>
    <rPh sb="14" eb="16">
      <t>ユニュウ</t>
    </rPh>
    <rPh sb="16" eb="18">
      <t>カカク</t>
    </rPh>
    <phoneticPr fontId="10"/>
  </si>
  <si>
    <t>注4：A重油は農林漁業用の輸入価格。</t>
    <rPh sb="0" eb="1">
      <t>チュウ</t>
    </rPh>
    <rPh sb="4" eb="6">
      <t>ジュウユ</t>
    </rPh>
    <rPh sb="7" eb="9">
      <t>ノウリン</t>
    </rPh>
    <rPh sb="9" eb="12">
      <t>ギョギョウヨウ</t>
    </rPh>
    <rPh sb="13" eb="15">
      <t>ユニュウ</t>
    </rPh>
    <rPh sb="15" eb="17">
      <t>カカク</t>
    </rPh>
    <phoneticPr fontId="10"/>
  </si>
  <si>
    <t>注3：ナフサは石化用ナフサの輸入価格。</t>
    <rPh sb="0" eb="1">
      <t>チュウ</t>
    </rPh>
    <rPh sb="7" eb="9">
      <t>セッカ</t>
    </rPh>
    <rPh sb="9" eb="10">
      <t>ヨウ</t>
    </rPh>
    <rPh sb="14" eb="16">
      <t>ユニュウ</t>
    </rPh>
    <rPh sb="16" eb="18">
      <t>カカク</t>
    </rPh>
    <phoneticPr fontId="10"/>
  </si>
  <si>
    <t>注1：出典は財務省貿易統計。</t>
    <rPh sb="0" eb="1">
      <t>チュウ</t>
    </rPh>
    <rPh sb="3" eb="5">
      <t>シュッテン</t>
    </rPh>
    <rPh sb="6" eb="9">
      <t>ザイムショウ</t>
    </rPh>
    <rPh sb="9" eb="11">
      <t>ボウエキ</t>
    </rPh>
    <rPh sb="11" eb="13">
      <t>トウケイ</t>
    </rPh>
    <phoneticPr fontId="10"/>
  </si>
  <si>
    <t>液化天然ガス   　　　　　　　　　　　　　　LNG</t>
    <rPh sb="0" eb="2">
      <t>エキカ</t>
    </rPh>
    <rPh sb="2" eb="4">
      <t>テンネン</t>
    </rPh>
    <phoneticPr fontId="10"/>
  </si>
  <si>
    <t>液化石油ガス   　　　　　　　　　　　　　　LPG</t>
    <rPh sb="0" eb="2">
      <t>エキカ</t>
    </rPh>
    <rPh sb="2" eb="4">
      <t>セキユ</t>
    </rPh>
    <phoneticPr fontId="10"/>
  </si>
  <si>
    <t>Ｃ重油   　　　　　　　　　　 Fuel Oil C</t>
    <rPh sb="1" eb="3">
      <t>ジュウユ</t>
    </rPh>
    <phoneticPr fontId="10"/>
  </si>
  <si>
    <t>Ａ重油　　　　　　　　　　　 Fuel Oil A</t>
    <rPh sb="1" eb="3">
      <t>ジュウユ</t>
    </rPh>
    <phoneticPr fontId="10"/>
  </si>
  <si>
    <t>原油     　　　　　　　　　　　　　　　　　　　　　　　　　　　　　　　　　　Crude Oil</t>
    <rPh sb="0" eb="2">
      <t>ゲンユ</t>
    </rPh>
    <phoneticPr fontId="10"/>
  </si>
  <si>
    <t>年  月</t>
    <rPh sb="0" eb="1">
      <t>ネン</t>
    </rPh>
    <rPh sb="3" eb="4">
      <t>ツキ</t>
    </rPh>
    <phoneticPr fontId="10"/>
  </si>
  <si>
    <t>２．石油輸入価格推移 / Customs Clearance Prices of Crude Oil and Petroleum Products(CIF)</t>
    <rPh sb="2" eb="3">
      <t>イシ</t>
    </rPh>
    <rPh sb="3" eb="4">
      <t>ユ</t>
    </rPh>
    <rPh sb="4" eb="5">
      <t>ユ</t>
    </rPh>
    <rPh sb="5" eb="6">
      <t>イリ</t>
    </rPh>
    <rPh sb="6" eb="7">
      <t>アタイ</t>
    </rPh>
    <rPh sb="7" eb="8">
      <t>カク</t>
    </rPh>
    <rPh sb="8" eb="10">
      <t>スイイ</t>
    </rPh>
    <phoneticPr fontId="10"/>
  </si>
  <si>
    <t>注2：資源エネルギー庁調べ。</t>
    <rPh sb="0" eb="1">
      <t>チュウ</t>
    </rPh>
    <rPh sb="3" eb="5">
      <t>シゲン</t>
    </rPh>
    <rPh sb="5" eb="11">
      <t>エネルギーチョウ</t>
    </rPh>
    <rPh sb="11" eb="12">
      <t>シラ</t>
    </rPh>
    <phoneticPr fontId="10"/>
  </si>
  <si>
    <t>注1：原油の製品換算は原油量に0.95を乗じたものである。</t>
    <rPh sb="0" eb="1">
      <t>チュウ</t>
    </rPh>
    <rPh sb="3" eb="5">
      <t>ゲンユ</t>
    </rPh>
    <rPh sb="6" eb="8">
      <t>セイヒン</t>
    </rPh>
    <rPh sb="8" eb="10">
      <t>カンサン</t>
    </rPh>
    <rPh sb="11" eb="13">
      <t>ゲンユ</t>
    </rPh>
    <rPh sb="13" eb="14">
      <t>リョウ</t>
    </rPh>
    <rPh sb="20" eb="21">
      <t>ジョウ</t>
    </rPh>
    <phoneticPr fontId="10"/>
  </si>
  <si>
    <t>製品
 Products</t>
    <rPh sb="0" eb="2">
      <t>セイヒン</t>
    </rPh>
    <phoneticPr fontId="10"/>
  </si>
  <si>
    <t>原油
Crude  Oil</t>
    <rPh sb="0" eb="2">
      <t>ゲンユ</t>
    </rPh>
    <phoneticPr fontId="10"/>
  </si>
  <si>
    <t>計   Total</t>
    <rPh sb="0" eb="1">
      <t>ケイ</t>
    </rPh>
    <phoneticPr fontId="10"/>
  </si>
  <si>
    <t>合計   Total</t>
    <rPh sb="0" eb="2">
      <t>ゴウケイ</t>
    </rPh>
    <phoneticPr fontId="10"/>
  </si>
  <si>
    <t>産油国共同備蓄     Joint oil storage projects</t>
    <rPh sb="0" eb="3">
      <t>サンユコク</t>
    </rPh>
    <rPh sb="3" eb="5">
      <t>キョウドウ</t>
    </rPh>
    <rPh sb="5" eb="7">
      <t>ビチク</t>
    </rPh>
    <phoneticPr fontId="10"/>
  </si>
  <si>
    <t>国家備蓄          Government</t>
    <rPh sb="0" eb="2">
      <t>コッカ</t>
    </rPh>
    <rPh sb="2" eb="4">
      <t>ビチク</t>
    </rPh>
    <phoneticPr fontId="10"/>
  </si>
  <si>
    <t>民間備蓄   Private</t>
    <rPh sb="0" eb="2">
      <t>ミンカン</t>
    </rPh>
    <rPh sb="2" eb="4">
      <t>ビチク</t>
    </rPh>
    <phoneticPr fontId="10"/>
  </si>
  <si>
    <t>(単位：万kl/Unit:10 thousand kl)</t>
    <rPh sb="1" eb="3">
      <t>タンイ</t>
    </rPh>
    <rPh sb="4" eb="5">
      <t>マン</t>
    </rPh>
    <phoneticPr fontId="10"/>
  </si>
  <si>
    <t>１．石油備蓄量推移 / Changes in Oil Stock</t>
    <rPh sb="2" eb="3">
      <t>イシ</t>
    </rPh>
    <rPh sb="3" eb="4">
      <t>ユ</t>
    </rPh>
    <rPh sb="4" eb="6">
      <t>ビチク</t>
    </rPh>
    <rPh sb="6" eb="7">
      <t>リョウ</t>
    </rPh>
    <rPh sb="7" eb="8">
      <t>スイ</t>
    </rPh>
    <rPh sb="8" eb="9">
      <t>ウツリ</t>
    </rPh>
    <phoneticPr fontId="10"/>
  </si>
  <si>
    <t>料</t>
    <rPh sb="0" eb="1">
      <t>リョウ</t>
    </rPh>
    <phoneticPr fontId="10"/>
  </si>
  <si>
    <t>資</t>
    <rPh sb="0" eb="1">
      <t>シ</t>
    </rPh>
    <phoneticPr fontId="10"/>
  </si>
  <si>
    <t>考</t>
    <rPh sb="0" eb="1">
      <t>コウ</t>
    </rPh>
    <phoneticPr fontId="10"/>
  </si>
  <si>
    <t>参</t>
    <rPh sb="0" eb="1">
      <t>サン</t>
    </rPh>
    <phoneticPr fontId="10"/>
  </si>
  <si>
    <t>バーレーン</t>
  </si>
  <si>
    <t>Bahrain</t>
  </si>
  <si>
    <t>C.Y. 2017</t>
  </si>
  <si>
    <t>ガーナ</t>
  </si>
  <si>
    <t>モザンビーク</t>
  </si>
  <si>
    <t>Ghana</t>
  </si>
  <si>
    <t>Mozambique</t>
  </si>
  <si>
    <t>ｶｻﾞﾌｽﾀﾝ計</t>
  </si>
  <si>
    <t>ﾊﾞｰﾚｰﾝ_x000D_
Bahrain</t>
  </si>
  <si>
    <t>ﾑﾊﾞﾗｽ･ｸﾙｰﾄﾞ</t>
  </si>
  <si>
    <t>WTIﾐｯﾄﾞﾗﾝﾄﾞ</t>
  </si>
  <si>
    <t>ｺﾛﾝﾋﾞｱ計</t>
  </si>
  <si>
    <t>ﾏｰｽﾞ</t>
  </si>
  <si>
    <t>ﾊﾞｯｹﾝ</t>
  </si>
  <si>
    <t>ｻｳｽ･ﾌﾞﾚﾝﾄﾞ</t>
  </si>
  <si>
    <t>ｶﾞｰﾅ_x000D_
Ghana</t>
  </si>
  <si>
    <t>ﾃﾝ･ﾌﾞﾚﾝﾄﾞ</t>
  </si>
  <si>
    <t>ﾓｻﾞﾝﾋﾞｰｸ_x000D_
Mozambique</t>
  </si>
  <si>
    <t>ガボン_x000D_
Gabon</t>
  </si>
  <si>
    <t>マーシャル_x000D_
Marshall</t>
  </si>
  <si>
    <t>注2：原油（ドル／バレル）は石油連盟「石油資料月報」による。</t>
    <rPh sb="0" eb="1">
      <t>チュウ</t>
    </rPh>
    <rPh sb="3" eb="5">
      <t>ゲンユ</t>
    </rPh>
    <rPh sb="14" eb="16">
      <t>セキユ</t>
    </rPh>
    <rPh sb="16" eb="18">
      <t>レンメイ</t>
    </rPh>
    <rPh sb="19" eb="21">
      <t>セキユ</t>
    </rPh>
    <rPh sb="21" eb="23">
      <t>シリョウ</t>
    </rPh>
    <rPh sb="23" eb="25">
      <t>ゲッポウ</t>
    </rPh>
    <phoneticPr fontId="10"/>
  </si>
  <si>
    <t>→</t>
    <phoneticPr fontId="10"/>
  </si>
  <si>
    <t>(単位：kl/Unit：kl)</t>
    <phoneticPr fontId="10"/>
  </si>
  <si>
    <t>備蓄日数
 Days</t>
    <rPh sb="0" eb="2">
      <t>ビチク</t>
    </rPh>
    <rPh sb="2" eb="4">
      <t>ニッスウ</t>
    </rPh>
    <phoneticPr fontId="10"/>
  </si>
  <si>
    <t>製品換算
Products Equivalent</t>
    <rPh sb="0" eb="2">
      <t>セイヒン</t>
    </rPh>
    <rPh sb="2" eb="4">
      <t>カンサン</t>
    </rPh>
    <phoneticPr fontId="10"/>
  </si>
  <si>
    <t>備蓄日数
Days</t>
    <rPh sb="0" eb="2">
      <t>ビチク</t>
    </rPh>
    <rPh sb="2" eb="4">
      <t>ニッスウ</t>
    </rPh>
    <phoneticPr fontId="10"/>
  </si>
  <si>
    <t>製品換算 
Products Equivalent</t>
    <rPh sb="0" eb="2">
      <t>セイヒン</t>
    </rPh>
    <rPh sb="2" eb="4">
      <t>カンサン</t>
    </rPh>
    <phoneticPr fontId="10"/>
  </si>
  <si>
    <t>C.Y. 2018</t>
  </si>
  <si>
    <t>タンザニア</t>
  </si>
  <si>
    <t>Tanzania</t>
  </si>
  <si>
    <t>ﾐﾘ･ﾗｲﾄ</t>
  </si>
  <si>
    <t>ｻｳｽ･ﾊﾟｰｽ･
ｺﾝﾃﾞﾝｾｰﾄ</t>
    <phoneticPr fontId="31"/>
  </si>
  <si>
    <t>ｼｬﾙｼﾞｬ･
ｺﾝﾃﾞﾝｾｰﾄ</t>
    <phoneticPr fontId="31"/>
  </si>
  <si>
    <t>ｳﾑﾙﾙ</t>
  </si>
  <si>
    <t>ﾎﾜｲﾄ･ｸﾘﾌ</t>
  </si>
  <si>
    <t>ﾀﾝｻﾞﾆｱ_x000D_
Tanzania</t>
  </si>
  <si>
    <t>ｸﾛﾌﾞ</t>
  </si>
  <si>
    <t>ｵﾛﾑﾍﾞﾝﾄﾞ</t>
  </si>
  <si>
    <t>Feb.</t>
    <phoneticPr fontId="31"/>
  </si>
  <si>
    <t>Mar.</t>
    <phoneticPr fontId="31"/>
  </si>
  <si>
    <t>Apr.</t>
    <phoneticPr fontId="31"/>
  </si>
  <si>
    <t>Jun.</t>
    <phoneticPr fontId="31"/>
  </si>
  <si>
    <t>Jul.</t>
    <phoneticPr fontId="31"/>
  </si>
  <si>
    <t>Aug.</t>
    <phoneticPr fontId="31"/>
  </si>
  <si>
    <t>Sep.</t>
    <phoneticPr fontId="31"/>
  </si>
  <si>
    <t>Oct.</t>
    <phoneticPr fontId="31"/>
  </si>
  <si>
    <t>Nov.</t>
    <phoneticPr fontId="31"/>
  </si>
  <si>
    <t>Dec.</t>
    <phoneticPr fontId="31"/>
  </si>
  <si>
    <t>（単位：kl、アスファルト以降：ｔ/Unit:kl,  from Asphalt onward is ton)</t>
    <rPh sb="13" eb="15">
      <t>イコウ</t>
    </rPh>
    <phoneticPr fontId="8"/>
  </si>
  <si>
    <t xml:space="preserve">May </t>
    <phoneticPr fontId="10"/>
  </si>
  <si>
    <t>（単位：ｋｌ，アスファルト以降：ｔ／Ｕｎｉｔ：ｋｌ，from Asphalt onward is ton）</t>
    <rPh sb="13" eb="15">
      <t>イコウ</t>
    </rPh>
    <phoneticPr fontId="10"/>
  </si>
  <si>
    <t>オーストリア_x000D_
Austria</t>
  </si>
  <si>
    <t>ボリビア_x000D_
Bolivia</t>
  </si>
  <si>
    <t>Year                &amp; Month</t>
  </si>
  <si>
    <t>May</t>
  </si>
  <si>
    <t>Note1: Products Equivalent = Crude Oil * 0.95</t>
  </si>
  <si>
    <t>Note2: The source is Agency for Natural Resources and Energy.</t>
  </si>
  <si>
    <t>ナフサ   　　　　　　　　　　　　　　　　　　　　　　　　　　　　　　　　　　　　　　　　　Naphtha</t>
  </si>
  <si>
    <t>Year                                  &amp; Month</t>
  </si>
  <si>
    <t>Note1: The source is Ministry of Finance.</t>
  </si>
  <si>
    <t>Note2: Numeric Value of $/barrel by Petroleum Association of Japan.</t>
  </si>
  <si>
    <t>Note3: The import price of naphtha is for petrochemistry.</t>
  </si>
  <si>
    <t>Note4: The import price of fuel oil A is for agriculture,forestry and fishery.</t>
  </si>
  <si>
    <t>Note5: The import price of fuel oil C shows the price of  low sulfur spec.</t>
  </si>
  <si>
    <t>平均　　硫黄分</t>
    <phoneticPr fontId="10"/>
  </si>
  <si>
    <t xml:space="preserve">長期契約   </t>
    <phoneticPr fontId="10"/>
  </si>
  <si>
    <t>スポット契約</t>
    <phoneticPr fontId="10"/>
  </si>
  <si>
    <t>Total</t>
    <phoneticPr fontId="10"/>
  </si>
  <si>
    <t>Spot Ratio
(%)</t>
    <phoneticPr fontId="10"/>
  </si>
  <si>
    <t>Term Contract</t>
    <phoneticPr fontId="10"/>
  </si>
  <si>
    <t>Spot Contract</t>
    <phoneticPr fontId="10"/>
  </si>
  <si>
    <t>Average Sulfur
（ｗｔ%）</t>
    <phoneticPr fontId="10"/>
  </si>
  <si>
    <t>C.Y.     2017</t>
    <phoneticPr fontId="10"/>
  </si>
  <si>
    <t>C.Y.     2018</t>
    <phoneticPr fontId="10"/>
  </si>
  <si>
    <t>Q2</t>
    <phoneticPr fontId="10"/>
  </si>
  <si>
    <t>Q3</t>
    <phoneticPr fontId="10"/>
  </si>
  <si>
    <t>Q4</t>
    <phoneticPr fontId="10"/>
  </si>
  <si>
    <t>Mar.</t>
    <phoneticPr fontId="10"/>
  </si>
  <si>
    <t>NOTE：The source is “The oil import survey”by Agency for Natural Resources and Energy.</t>
    <phoneticPr fontId="10"/>
  </si>
  <si>
    <t xml:space="preserve">米系以外の　    独立会社   </t>
    <phoneticPr fontId="10"/>
  </si>
  <si>
    <t>産油国政府</t>
    <phoneticPr fontId="10"/>
  </si>
  <si>
    <t xml:space="preserve">邦系石油
開発会社       </t>
    <phoneticPr fontId="10"/>
  </si>
  <si>
    <t>Non American Independence</t>
    <phoneticPr fontId="10"/>
  </si>
  <si>
    <t>Japanese
 Oil Developer</t>
    <phoneticPr fontId="10"/>
  </si>
  <si>
    <t>参考資料 / Ｒｅｆｅｒｅｎｃｅ</t>
    <rPh sb="0" eb="2">
      <t>サンコウ</t>
    </rPh>
    <rPh sb="2" eb="4">
      <t>シリョウ</t>
    </rPh>
    <phoneticPr fontId="10"/>
  </si>
  <si>
    <t>（５）石油製品月別業態別在庫 / Monthly Inventory of Petroleum Products by Type of Business</t>
    <phoneticPr fontId="10"/>
  </si>
  <si>
    <t>（２）原油供給者区分別、月別輸入 /Import of Crude Oil  by Month and Supplier</t>
    <rPh sb="3" eb="5">
      <t>ゲンユ</t>
    </rPh>
    <phoneticPr fontId="10"/>
  </si>
  <si>
    <t>C.Y. 2019</t>
  </si>
  <si>
    <t>カナダ</t>
  </si>
  <si>
    <t>Canada</t>
  </si>
  <si>
    <t>カメルーン</t>
  </si>
  <si>
    <t>Cameroon</t>
  </si>
  <si>
    <t>ﾏﾚｰｼｱ（つづき）</t>
  </si>
  <si>
    <t>ｶﾅﾀﾞ_x000D_
Canada</t>
  </si>
  <si>
    <t>ｺｰﾙﾄﾞ･ﾚｲｸ</t>
  </si>
  <si>
    <t>ﾘﾋﾞｱ計</t>
  </si>
  <si>
    <t>ｶﾒﾙｰﾝ_x000D_
Cameroon</t>
  </si>
  <si>
    <t>ｱﾑﾅ</t>
  </si>
  <si>
    <t>ﾌﾞ･ｱﾃｨﾌﾙ</t>
  </si>
  <si>
    <t>ｴﾎﾞﾒ</t>
  </si>
  <si>
    <t>ｵｸﾞｴﾝｼﾞｮ</t>
  </si>
  <si>
    <t>石油化学用（つづき）</t>
  </si>
  <si>
    <t>ﾛｰｻﾙﾌｧｰ･
ｺﾝﾃﾞﾝｾｰﾄ</t>
    <phoneticPr fontId="31"/>
  </si>
  <si>
    <t>ﾃﾏﾈ･
ｺﾝﾃﾞﾝｾｰﾄ</t>
    <phoneticPr fontId="31"/>
  </si>
  <si>
    <t>令和</t>
    <rPh sb="0" eb="2">
      <t>レイワ</t>
    </rPh>
    <phoneticPr fontId="31"/>
  </si>
  <si>
    <t xml:space="preserve">Q4  </t>
    <phoneticPr fontId="31"/>
  </si>
  <si>
    <t>C.Y. 2017</t>
    <phoneticPr fontId="31"/>
  </si>
  <si>
    <t xml:space="preserve">Q2  </t>
    <phoneticPr fontId="31"/>
  </si>
  <si>
    <t>（１）石油製品需給総括 / Supply and Demand Summary of Petroleum Products</t>
    <phoneticPr fontId="8"/>
  </si>
  <si>
    <t>区　分</t>
    <phoneticPr fontId="8"/>
  </si>
  <si>
    <t>ガソリン</t>
    <phoneticPr fontId="8"/>
  </si>
  <si>
    <t>ナフサ</t>
    <phoneticPr fontId="8"/>
  </si>
  <si>
    <t>ジェット</t>
    <phoneticPr fontId="8"/>
  </si>
  <si>
    <t>灯油</t>
    <phoneticPr fontId="8"/>
  </si>
  <si>
    <t>軽油</t>
    <phoneticPr fontId="8"/>
  </si>
  <si>
    <t>重油</t>
    <phoneticPr fontId="8"/>
  </si>
  <si>
    <t>潤滑油</t>
    <phoneticPr fontId="18"/>
  </si>
  <si>
    <t>アスファルト</t>
    <phoneticPr fontId="18"/>
  </si>
  <si>
    <t>グリース</t>
    <phoneticPr fontId="18"/>
  </si>
  <si>
    <t>パラフィン</t>
    <phoneticPr fontId="18"/>
  </si>
  <si>
    <t>　液化石油ガス</t>
    <phoneticPr fontId="8"/>
  </si>
  <si>
    <t>液化天然ガス</t>
    <phoneticPr fontId="8"/>
  </si>
  <si>
    <t>P・P, P・B</t>
    <phoneticPr fontId="18"/>
  </si>
  <si>
    <t>B・B</t>
    <phoneticPr fontId="8"/>
  </si>
  <si>
    <t>Gas Oil</t>
    <phoneticPr fontId="8"/>
  </si>
  <si>
    <t>Fuel Oil
 Total</t>
    <phoneticPr fontId="8"/>
  </si>
  <si>
    <t>Lubricating
 Oil</t>
    <phoneticPr fontId="8"/>
  </si>
  <si>
    <t>生産（製油所）</t>
    <phoneticPr fontId="8"/>
  </si>
  <si>
    <t>Increase in Quantity by Conversion to Another Product</t>
    <phoneticPr fontId="8"/>
  </si>
  <si>
    <t>Return from Petrochemical Industry</t>
    <phoneticPr fontId="8"/>
  </si>
  <si>
    <t>その他の受入量</t>
    <phoneticPr fontId="8"/>
  </si>
  <si>
    <t>Decrease in Quantity by Conversion to Another Product</t>
    <phoneticPr fontId="8"/>
  </si>
  <si>
    <t xml:space="preserve">Note 1 : Domestic Sales = (Inventory at Start of Year + Total Receipts ) - ( Inventory at  End of Year + Total Shipments except Domestic Sales )  </t>
    <phoneticPr fontId="8"/>
  </si>
  <si>
    <t xml:space="preserve">Note 2 : P・P is Propane・Propylene; P・B is Propane・Butane ; B・B is Butane・Butylene. </t>
    <phoneticPr fontId="8"/>
  </si>
  <si>
    <t>Naphtha</t>
    <phoneticPr fontId="8"/>
  </si>
  <si>
    <t>Jet Fuel</t>
    <phoneticPr fontId="8"/>
  </si>
  <si>
    <t>Fuel Oil A</t>
    <phoneticPr fontId="8"/>
  </si>
  <si>
    <t>Fuel Oil              B･C</t>
    <phoneticPr fontId="8"/>
  </si>
  <si>
    <t>LPG</t>
    <phoneticPr fontId="8"/>
  </si>
  <si>
    <t>製油所在庫</t>
    <phoneticPr fontId="8"/>
  </si>
  <si>
    <t>Total Receipts</t>
    <phoneticPr fontId="8"/>
  </si>
  <si>
    <t>輸入</t>
    <phoneticPr fontId="8"/>
  </si>
  <si>
    <t>Total Shipments</t>
    <phoneticPr fontId="8"/>
  </si>
  <si>
    <t>輸出</t>
    <phoneticPr fontId="8"/>
  </si>
  <si>
    <t>自家消費</t>
    <phoneticPr fontId="8"/>
  </si>
  <si>
    <t>その他の払出量</t>
    <phoneticPr fontId="8"/>
  </si>
  <si>
    <t xml:space="preserve">Inventory at End of Year </t>
    <phoneticPr fontId="8"/>
  </si>
  <si>
    <t>注 2： Ｐ・Ｐ＝プロパン・プロピレン、Ｐ・Ｂ＝プロパン・ブタン、プロピレン・ブチレン等プロパン、プロピレンを主成分とするもの。</t>
    <phoneticPr fontId="45"/>
  </si>
  <si>
    <t>　　　  Ｂ・Ｂ＝ブタン・ブチレンを主成分とするもの。</t>
    <phoneticPr fontId="45"/>
  </si>
  <si>
    <t xml:space="preserve">      Receipt and Shipment of Petroleum Products by Manufacturers and Importers</t>
    <phoneticPr fontId="18"/>
  </si>
  <si>
    <t>Lubricating
 Oil</t>
    <phoneticPr fontId="18"/>
  </si>
  <si>
    <t>輸出</t>
    <phoneticPr fontId="18"/>
  </si>
  <si>
    <t>Decrease in Quantity by Conversion to Another Product</t>
    <phoneticPr fontId="18"/>
  </si>
  <si>
    <t xml:space="preserve">自家消費  </t>
    <phoneticPr fontId="18"/>
  </si>
  <si>
    <t>年末在庫</t>
    <phoneticPr fontId="18"/>
  </si>
  <si>
    <t>　液化石油ガス</t>
    <phoneticPr fontId="18"/>
  </si>
  <si>
    <t>Fuel Oil
 B･C</t>
    <phoneticPr fontId="8"/>
  </si>
  <si>
    <t>年初在庫　　　</t>
    <phoneticPr fontId="18"/>
  </si>
  <si>
    <t>Increase in Quantity by Conversion to Another Product</t>
    <phoneticPr fontId="18"/>
  </si>
  <si>
    <t>Other Received</t>
    <phoneticPr fontId="18"/>
  </si>
  <si>
    <t>Sales to Consumers, Wholesalers and Retailers</t>
    <phoneticPr fontId="18"/>
  </si>
  <si>
    <t xml:space="preserve">Sales or Loans to Manufacturers and Importers </t>
    <phoneticPr fontId="18"/>
  </si>
  <si>
    <t>注： Ｐ・Ｐ＝プロパン・プロピレン、Ｐ・Ｂ＝プロパン・ブタン、プロピレン・ブチレン等プロパン、プロピレンを主成分とするもの。</t>
    <phoneticPr fontId="45"/>
  </si>
  <si>
    <t xml:space="preserve">Note : P・P is Propane・Propylene; P・B is Propane・Butane ; B・B is Butane・Butylene. </t>
    <phoneticPr fontId="8"/>
  </si>
  <si>
    <t xml:space="preserve">Year,           Quarter                             &amp; Month 
</t>
    <phoneticPr fontId="8"/>
  </si>
  <si>
    <t>年・期・月</t>
    <phoneticPr fontId="8"/>
  </si>
  <si>
    <t>Fuel Oil Total</t>
    <phoneticPr fontId="8"/>
  </si>
  <si>
    <t>　　  Ｂ・Ｂ＝ブタン・ブチレンを主成分とするもの。</t>
    <phoneticPr fontId="45"/>
  </si>
  <si>
    <t>　液化石油ガス</t>
    <phoneticPr fontId="61"/>
  </si>
  <si>
    <r>
      <rPr>
        <sz val="8"/>
        <rFont val="ＭＳ Ｐ明朝"/>
        <family val="1"/>
        <charset val="128"/>
      </rPr>
      <t>オランダ</t>
    </r>
    <r>
      <rPr>
        <sz val="7"/>
        <rFont val="ＭＳ Ｐ明朝"/>
        <family val="1"/>
        <charset val="128"/>
      </rPr>
      <t>_x000D_
Netherlands</t>
    </r>
    <phoneticPr fontId="31"/>
  </si>
  <si>
    <t>バヌアツ_x000D_
Vanuatu</t>
  </si>
  <si>
    <t>ソロモン_x000D_
Solomon Islands</t>
  </si>
  <si>
    <t>アゼルバイジャン_x000D_
Azerbaijan</t>
  </si>
  <si>
    <t>ラトビア_x000D_
Latvia</t>
  </si>
  <si>
    <t>ジャマイカ_x000D_
Jamaica</t>
  </si>
  <si>
    <t>アスファルト（つづき）</t>
  </si>
  <si>
    <t>パラグアイ_x000D_
Paraguay</t>
  </si>
  <si>
    <t>C.Y. 2018</t>
    <phoneticPr fontId="31"/>
  </si>
  <si>
    <t>区　分</t>
    <phoneticPr fontId="72"/>
  </si>
  <si>
    <t xml:space="preserve">    Premium Gasoline </t>
    <phoneticPr fontId="72"/>
  </si>
  <si>
    <t xml:space="preserve">    Regular Gasoline </t>
    <phoneticPr fontId="72"/>
  </si>
  <si>
    <t>末在庫</t>
    <phoneticPr fontId="72"/>
  </si>
  <si>
    <t>ン</t>
    <phoneticPr fontId="72"/>
  </si>
  <si>
    <t xml:space="preserve">    Gasoline Engine Oil</t>
    <phoneticPr fontId="72"/>
  </si>
  <si>
    <t xml:space="preserve">    Other Lubricating Oil for Automobile</t>
    <phoneticPr fontId="72"/>
  </si>
  <si>
    <t>機　　　械　　　油</t>
    <phoneticPr fontId="72"/>
  </si>
  <si>
    <t>-</t>
  </si>
  <si>
    <t>Year，                       Quarter 
&amp; Month</t>
    <phoneticPr fontId="10"/>
  </si>
  <si>
    <t>令和 1</t>
    <rPh sb="0" eb="2">
      <t>レイワ</t>
    </rPh>
    <phoneticPr fontId="31"/>
  </si>
  <si>
    <t>C.Y.     2019</t>
    <phoneticPr fontId="10"/>
  </si>
  <si>
    <t>年・期・月</t>
    <phoneticPr fontId="10"/>
  </si>
  <si>
    <t xml:space="preserve"> 合計     </t>
    <phoneticPr fontId="10"/>
  </si>
  <si>
    <t>Year,                       Quarter 
&amp; Month</t>
    <phoneticPr fontId="10"/>
  </si>
  <si>
    <t>平均     API度</t>
    <phoneticPr fontId="10"/>
  </si>
  <si>
    <t>Avg. API gravity</t>
    <phoneticPr fontId="10"/>
  </si>
  <si>
    <t>Share（％）</t>
    <phoneticPr fontId="10"/>
  </si>
  <si>
    <t>Spot    Ratio (%)</t>
    <phoneticPr fontId="10"/>
  </si>
  <si>
    <t>NOTE1：The source is “The oil import survey”by Agency for Natural Resources and Energy.</t>
    <phoneticPr fontId="10"/>
  </si>
  <si>
    <t>Countrｙ</t>
    <phoneticPr fontId="10"/>
  </si>
  <si>
    <t>(バレル)</t>
    <phoneticPr fontId="10"/>
  </si>
  <si>
    <t>(ﾄﾞﾙ/バレル)</t>
    <phoneticPr fontId="10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</si>
  <si>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0"/>
  </si>
  <si>
    <t>（６）石油製品製造業者・輸入業者月別消費者･販売業者向販売 / Monthly Sales to Consumers, Wholesalers and Retailers of Petroleum Products by Manufacturers and Importers</t>
    <phoneticPr fontId="10"/>
  </si>
  <si>
    <t>（７）製造業者・輸入業者品種別、月別消費者・販売業者向販売及び在庫内訳 /Monthly Inventory and Sales to Consumers, Wholesalers and Retailers by Manufacturers and Importers</t>
    <phoneticPr fontId="10"/>
  </si>
  <si>
    <t>（３）石油製品国内向月別販売 / Domestic Sales of Petroleum Products by Month</t>
    <phoneticPr fontId="10"/>
  </si>
  <si>
    <t>（４）原油処理及び原油在庫 / Crude Oil Processing and Inventory</t>
    <phoneticPr fontId="10"/>
  </si>
  <si>
    <t>１．原  油 /  Crude Oil</t>
    <phoneticPr fontId="10"/>
  </si>
  <si>
    <t>　（１）原油地域別、国別輸入 / Import of Crude Oil by Area and Country</t>
    <phoneticPr fontId="10"/>
  </si>
  <si>
    <t>タイ</t>
  </si>
  <si>
    <t>Thailand</t>
  </si>
  <si>
    <t>C.Y. 2020</t>
  </si>
  <si>
    <t>F.Y. 2020</t>
  </si>
  <si>
    <t>Q1  2021</t>
  </si>
  <si>
    <t>Jan. 2021</t>
  </si>
  <si>
    <t>ﾀｲ_x000D_
Thailand</t>
  </si>
  <si>
    <t>ﾗﾌﾞｱﾝ･ﾗｲﾄ</t>
  </si>
  <si>
    <t>中立地帯_x000D_
Neutral Zone</t>
  </si>
  <si>
    <t>ｶﾌｼﾞ</t>
  </si>
  <si>
    <t>ｲｴﾒﾝ_x000D_
Yemen</t>
  </si>
  <si>
    <t>ﾍﾞﾈｽﾞｴﾗ_x000D_
Venezuela</t>
    <phoneticPr fontId="31"/>
  </si>
  <si>
    <t>ｽｰﾀﾞﾝ_x000D_
Sudan</t>
  </si>
  <si>
    <t>ｶﾞﾎﾞﾝ_x000D_
Gabon</t>
  </si>
  <si>
    <t>ﾊﾟﾌﾟｱﾆｭｰｷﾞﾆｱ_x000D_
Papua New Guinea</t>
  </si>
  <si>
    <t xml:space="preserve">Year,
Quarter
&amp; Month     </t>
    <phoneticPr fontId="10"/>
  </si>
  <si>
    <t xml:space="preserve"> 1</t>
    <phoneticPr fontId="31"/>
  </si>
  <si>
    <t xml:space="preserve"> 2</t>
    <phoneticPr fontId="31"/>
  </si>
  <si>
    <t>C.Y. 2020</t>
    <phoneticPr fontId="31"/>
  </si>
  <si>
    <t>F.Y. 2020</t>
    <phoneticPr fontId="31"/>
  </si>
  <si>
    <t xml:space="preserve"> 1～ 3月</t>
    <phoneticPr fontId="10"/>
  </si>
  <si>
    <t>10～12</t>
    <phoneticPr fontId="8"/>
  </si>
  <si>
    <t>Q1  2021</t>
    <phoneticPr fontId="31"/>
  </si>
  <si>
    <t xml:space="preserve"> 3</t>
    <phoneticPr fontId="31"/>
  </si>
  <si>
    <t>Jan. 2021</t>
    <phoneticPr fontId="31"/>
  </si>
  <si>
    <t>Total of Main Petroleum Products</t>
  </si>
  <si>
    <t xml:space="preserve">（２）石油製品製造業者 ・ 輸入業者受払 / </t>
    <phoneticPr fontId="18"/>
  </si>
  <si>
    <t>輸入</t>
    <phoneticPr fontId="18"/>
  </si>
  <si>
    <t xml:space="preserve">Purchase or Loans from Manufacturers and Importers </t>
    <phoneticPr fontId="18"/>
  </si>
  <si>
    <t>Purchase from Wholesalers and Retailers</t>
    <phoneticPr fontId="18"/>
  </si>
  <si>
    <t>その他の受入量</t>
    <phoneticPr fontId="18"/>
  </si>
  <si>
    <t>その他の払出量</t>
    <phoneticPr fontId="18"/>
  </si>
  <si>
    <t>製造業者・輸入業者よりの購入・融通</t>
    <phoneticPr fontId="18"/>
  </si>
  <si>
    <t>（４）石油製品の輸出入 / Import and Export of Ｐetroleum Products</t>
    <phoneticPr fontId="61"/>
  </si>
  <si>
    <t xml:space="preserve">   ①月別輸入 / Import by Month</t>
    <phoneticPr fontId="61"/>
  </si>
  <si>
    <t>　</t>
    <phoneticPr fontId="10"/>
  </si>
  <si>
    <t>イラク_x000D_
Iraq</t>
  </si>
  <si>
    <t>ブルガリア_x000D_
Bulgaria</t>
  </si>
  <si>
    <t>エストニア_x000D_
Estonia</t>
  </si>
  <si>
    <t>Fuel Oil B･C Total</t>
  </si>
  <si>
    <t xml:space="preserve">    Note : P・P is Propane・Propylene; P・B is Propane・Butane ; B・B is Butane・Butylene. </t>
    <phoneticPr fontId="8"/>
  </si>
  <si>
    <t xml:space="preserve">   ④国・地域別月別輸出 / Monthly Export by Area and Country</t>
    <phoneticPr fontId="10"/>
  </si>
  <si>
    <r>
      <rPr>
        <sz val="8"/>
        <rFont val="ＭＳ Ｐ明朝"/>
        <family val="1"/>
        <charset val="128"/>
      </rPr>
      <t>モザン_x000D_
ビーク_x000D_</t>
    </r>
    <r>
      <rPr>
        <sz val="7"/>
        <rFont val="ＭＳ Ｐ明朝"/>
        <family val="1"/>
        <charset val="128"/>
      </rPr>
      <t xml:space="preserve">
Mozambique</t>
    </r>
    <phoneticPr fontId="31"/>
  </si>
  <si>
    <t>英領インド洋
地域_x000D_
British Indian Ocean Territories</t>
    <phoneticPr fontId="31"/>
  </si>
  <si>
    <r>
      <rPr>
        <sz val="8"/>
        <rFont val="ＭＳ Ｐ明朝"/>
        <family val="1"/>
        <charset val="128"/>
      </rPr>
      <t>オランダ_x000D_</t>
    </r>
    <r>
      <rPr>
        <sz val="7"/>
        <rFont val="ＭＳ Ｐ明朝"/>
        <family val="1"/>
        <charset val="128"/>
      </rPr>
      <t xml:space="preserve">
Netherlands</t>
    </r>
    <phoneticPr fontId="31"/>
  </si>
  <si>
    <t>（単位：ｋｌ，アスファルト以降：ｔ／Ｕｎｉｔ：ｋｌ，from Asphalt onward is ton）</t>
    <phoneticPr fontId="31"/>
  </si>
  <si>
    <t xml:space="preserve">  (円/kl)  (yen/kl)</t>
    <rPh sb="3" eb="4">
      <t>エン</t>
    </rPh>
    <phoneticPr fontId="10"/>
  </si>
  <si>
    <t xml:space="preserve">  (円/t)  (yen/ton)</t>
    <rPh sb="3" eb="4">
      <t>エン</t>
    </rPh>
    <phoneticPr fontId="10"/>
  </si>
  <si>
    <t>構成比</t>
    <phoneticPr fontId="30"/>
  </si>
  <si>
    <t>（60℉）</t>
    <phoneticPr fontId="31"/>
  </si>
  <si>
    <t>Freight</t>
    <phoneticPr fontId="10"/>
  </si>
  <si>
    <t>Insurance</t>
    <phoneticPr fontId="10"/>
  </si>
  <si>
    <t>日本_x000D_
Japan</t>
  </si>
  <si>
    <t>国産</t>
  </si>
  <si>
    <t>Domestic</t>
  </si>
  <si>
    <t>ﾌﾟﾙｰﾄ･
ｺﾝﾃﾞﾝｾｰﾄ</t>
    <phoneticPr fontId="31"/>
  </si>
  <si>
    <t>ｳｨｰﾄｽﾄｰﾝ･
ｺﾝﾃﾞﾝｾｰﾄ</t>
    <phoneticPr fontId="31"/>
  </si>
  <si>
    <t>ｵｰｽﾄﾗﾘｱ_x000D_
Australia</t>
  </si>
  <si>
    <t xml:space="preserve">Year                             &amp; Month 
</t>
    <phoneticPr fontId="8"/>
  </si>
  <si>
    <t>4月</t>
    <phoneticPr fontId="8"/>
  </si>
  <si>
    <t>5月</t>
    <phoneticPr fontId="8"/>
  </si>
  <si>
    <t>7月</t>
    <phoneticPr fontId="8"/>
  </si>
  <si>
    <t>8月</t>
    <phoneticPr fontId="8"/>
  </si>
  <si>
    <t>10月</t>
    <phoneticPr fontId="8"/>
  </si>
  <si>
    <t>11月</t>
    <phoneticPr fontId="8"/>
  </si>
  <si>
    <t>12月</t>
    <phoneticPr fontId="8"/>
  </si>
  <si>
    <r>
      <t>Total</t>
    </r>
    <r>
      <rPr>
        <sz val="8"/>
        <rFont val="ＭＳ Ｐ明朝"/>
        <family val="1"/>
        <charset val="128"/>
      </rPr>
      <t xml:space="preserve">   Jan.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</si>
  <si>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Mar. 2021</t>
    </r>
    <phoneticPr fontId="8"/>
  </si>
  <si>
    <t xml:space="preserve">    Note 1 : M &amp; I = Manufacturers and Importers </t>
    <phoneticPr fontId="8"/>
  </si>
  <si>
    <t>（１）原油契約期間別、月別輸入、ＣＩＦ総額、平均API度及び平均硫黄分 /</t>
    <rPh sb="3" eb="5">
      <t>ゲンユ</t>
    </rPh>
    <rPh sb="5" eb="7">
      <t>ケイヤク</t>
    </rPh>
    <rPh sb="7" eb="10">
      <t>キカンベツ</t>
    </rPh>
    <rPh sb="11" eb="13">
      <t>ツキベツ</t>
    </rPh>
    <rPh sb="13" eb="15">
      <t>ユニュウ</t>
    </rPh>
    <rPh sb="19" eb="21">
      <t>ソウガク</t>
    </rPh>
    <phoneticPr fontId="10"/>
  </si>
  <si>
    <t>Avg. API gravity
（60℉）</t>
    <phoneticPr fontId="10"/>
  </si>
  <si>
    <t xml:space="preserve">     2</t>
    <phoneticPr fontId="31"/>
  </si>
  <si>
    <t>C.Y.     2020</t>
    <phoneticPr fontId="10"/>
  </si>
  <si>
    <t>F.Y.     2020</t>
    <phoneticPr fontId="10"/>
  </si>
  <si>
    <t xml:space="preserve">         7～ 9</t>
  </si>
  <si>
    <t>Q1      2021</t>
    <phoneticPr fontId="10"/>
  </si>
  <si>
    <t xml:space="preserve">         5</t>
  </si>
  <si>
    <t>令和 3年 1月</t>
    <phoneticPr fontId="31"/>
  </si>
  <si>
    <t>米系独立会社</t>
  </si>
  <si>
    <t>令和3年資源・エネルギー統計年報</t>
    <rPh sb="0" eb="2">
      <t>レイワ</t>
    </rPh>
    <rPh sb="4" eb="6">
      <t>シゲン</t>
    </rPh>
    <rPh sb="12" eb="14">
      <t>トウケイ</t>
    </rPh>
    <rPh sb="14" eb="16">
      <t>ネンポウ</t>
    </rPh>
    <phoneticPr fontId="10"/>
  </si>
  <si>
    <t>　①令和3年 / (C.Y.2021)</t>
    <rPh sb="2" eb="4">
      <t>レイワ</t>
    </rPh>
    <phoneticPr fontId="10"/>
  </si>
  <si>
    <t>　②令和3年度 / (F.Y.2021)</t>
    <rPh sb="2" eb="4">
      <t>レイワ</t>
    </rPh>
    <phoneticPr fontId="10"/>
  </si>
  <si>
    <t>　①令和3年 / (C.Y.2021)</t>
    <phoneticPr fontId="10"/>
  </si>
  <si>
    <t>　②令和3年度 / (F.Y.2021)</t>
    <phoneticPr fontId="10"/>
  </si>
  <si>
    <t>（５）原油国別、契約期間別、ＣＩＦ総額（令和3年） / Import of Crude Oil Value(CIF) by Country and Contract(C.Y.2021)</t>
    <phoneticPr fontId="10"/>
  </si>
  <si>
    <t>（６）原油国別、契約期間別、ＣＩＦ総額（令和3年度） / Import of  Crude Oil Value(CIF) by Country and Contract(Ｆ.Y.2021)</t>
    <phoneticPr fontId="10"/>
  </si>
  <si>
    <t>（７）原油国別船積数量、FOB、運賃総額及び保険料総額（令和3年） / Import of Crude Oil, Shipped Quantity,FOB,Freight and Insurance by Country (C.Y.2021)</t>
    <rPh sb="3" eb="5">
      <t>ゲンユ</t>
    </rPh>
    <phoneticPr fontId="10"/>
  </si>
  <si>
    <t>（８）原油国別船積数量、FOB、運賃総額及び保険料総額（令和3年度） /Import of Crude Oil, Shipped Quantity,FOB,Freight and Insurance by Country (F.Y.2021)</t>
    <rPh sb="3" eb="5">
      <t>ゲンユ</t>
    </rPh>
    <phoneticPr fontId="10"/>
  </si>
  <si>
    <t>３．原油契約期間別、供給者区分別、国別輸入 / Import of Crude Oil by Contract,Supplier and Country</t>
    <rPh sb="2" eb="4">
      <t>ゲンユ</t>
    </rPh>
    <phoneticPr fontId="10"/>
  </si>
  <si>
    <t>（１）原油契約期間別、月別輸入、ＣＩＦ総額、平均ＡＰＩ度及び平均硫黄分 / Import of Crude Oil, Value（CIF）,Average API gravity and Average Sulfur by Month and Contract</t>
    <rPh sb="3" eb="5">
      <t>ゲンユ</t>
    </rPh>
    <rPh sb="27" eb="28">
      <t>ド</t>
    </rPh>
    <phoneticPr fontId="10"/>
  </si>
  <si>
    <t>（３）原油国別、契約期間別輸入、平均ＡＰＩ度及び平均硫黄分（令和3年） /Import of Crude Oil, Average API gravity and Average Sulfur by Country and Contract(C.Y.2021)</t>
    <rPh sb="3" eb="5">
      <t>ゲンユ</t>
    </rPh>
    <rPh sb="21" eb="22">
      <t>ド</t>
    </rPh>
    <phoneticPr fontId="10"/>
  </si>
  <si>
    <t>（４）原油国別、契約期間別輸入、平均ＡＰＩ度及び平均硫黄分（令和3年度） / Import of Crude Oil, Average API gravity and Average Sulfur by Country and Contract(F.Y.2021)</t>
    <rPh sb="21" eb="22">
      <t>ド</t>
    </rPh>
    <phoneticPr fontId="10"/>
  </si>
  <si>
    <t>ベトナム</t>
    <phoneticPr fontId="31"/>
  </si>
  <si>
    <t>平成 29 年</t>
    <phoneticPr fontId="31"/>
  </si>
  <si>
    <t xml:space="preserve">     30</t>
    <phoneticPr fontId="31"/>
  </si>
  <si>
    <t>令和  1</t>
    <rPh sb="0" eb="2">
      <t>レイワ</t>
    </rPh>
    <phoneticPr fontId="31"/>
  </si>
  <si>
    <t>　　　2</t>
    <phoneticPr fontId="31"/>
  </si>
  <si>
    <t xml:space="preserve">　　　3 </t>
    <phoneticPr fontId="31"/>
  </si>
  <si>
    <t>C.Y. 2021</t>
  </si>
  <si>
    <t>令和  2 年度</t>
    <phoneticPr fontId="31"/>
  </si>
  <si>
    <t xml:space="preserve">      3　　 </t>
    <phoneticPr fontId="31"/>
  </si>
  <si>
    <t>F.Y. 2021</t>
  </si>
  <si>
    <t>令和  3 年 1～ 3 月</t>
    <rPh sb="0" eb="2">
      <t>レイワ</t>
    </rPh>
    <rPh sb="6" eb="7">
      <t>ネン</t>
    </rPh>
    <rPh sb="13" eb="14">
      <t>ツキ</t>
    </rPh>
    <phoneticPr fontId="31"/>
  </si>
  <si>
    <t xml:space="preserve">           4～ 6</t>
    <phoneticPr fontId="31"/>
  </si>
  <si>
    <t xml:space="preserve">           7～ 9</t>
    <phoneticPr fontId="31"/>
  </si>
  <si>
    <t xml:space="preserve">          10～12　 </t>
    <phoneticPr fontId="31"/>
  </si>
  <si>
    <t>令和  4 年 1～ 3</t>
    <phoneticPr fontId="31"/>
  </si>
  <si>
    <t>Q1  2022</t>
  </si>
  <si>
    <t xml:space="preserve">令和  3 年   1 月　 </t>
    <phoneticPr fontId="31"/>
  </si>
  <si>
    <t xml:space="preserve">             2</t>
    <phoneticPr fontId="31"/>
  </si>
  <si>
    <t xml:space="preserve">             3</t>
    <phoneticPr fontId="31"/>
  </si>
  <si>
    <t xml:space="preserve">             4</t>
    <phoneticPr fontId="31"/>
  </si>
  <si>
    <t xml:space="preserve">             5</t>
    <phoneticPr fontId="31"/>
  </si>
  <si>
    <t xml:space="preserve">             6</t>
    <phoneticPr fontId="31"/>
  </si>
  <si>
    <t xml:space="preserve">             7</t>
    <phoneticPr fontId="31"/>
  </si>
  <si>
    <t xml:space="preserve">             8</t>
    <phoneticPr fontId="31"/>
  </si>
  <si>
    <t xml:space="preserve">             9</t>
    <phoneticPr fontId="31"/>
  </si>
  <si>
    <t xml:space="preserve">            10</t>
    <phoneticPr fontId="31"/>
  </si>
  <si>
    <t xml:space="preserve">            11</t>
    <phoneticPr fontId="31"/>
  </si>
  <si>
    <t xml:space="preserve">            12</t>
    <phoneticPr fontId="31"/>
  </si>
  <si>
    <t xml:space="preserve">令和  4 年   1　 </t>
    <phoneticPr fontId="31"/>
  </si>
  <si>
    <t>Jan. 2022</t>
  </si>
  <si>
    <t xml:space="preserve">             2</t>
  </si>
  <si>
    <t xml:space="preserve">             3</t>
  </si>
  <si>
    <t>アラブ首長国
連邦</t>
    <phoneticPr fontId="31"/>
  </si>
  <si>
    <t>ベネズエラ</t>
    <phoneticPr fontId="31"/>
  </si>
  <si>
    <t>ブラジル</t>
  </si>
  <si>
    <t>Brazil</t>
  </si>
  <si>
    <t>平成 29 年</t>
    <phoneticPr fontId="31"/>
  </si>
  <si>
    <t>令和  2 年度</t>
    <phoneticPr fontId="31"/>
  </si>
  <si>
    <t xml:space="preserve">      3　　 </t>
    <phoneticPr fontId="31"/>
  </si>
  <si>
    <t xml:space="preserve">          10～12　 </t>
    <phoneticPr fontId="31"/>
  </si>
  <si>
    <t>令和  4 年 1～ 3</t>
    <phoneticPr fontId="31"/>
  </si>
  <si>
    <t xml:space="preserve">             2</t>
    <phoneticPr fontId="31"/>
  </si>
  <si>
    <t xml:space="preserve">             4</t>
    <phoneticPr fontId="31"/>
  </si>
  <si>
    <t xml:space="preserve">             6</t>
    <phoneticPr fontId="31"/>
  </si>
  <si>
    <t xml:space="preserve">             8</t>
    <phoneticPr fontId="31"/>
  </si>
  <si>
    <t xml:space="preserve">            10</t>
    <phoneticPr fontId="31"/>
  </si>
  <si>
    <t xml:space="preserve">     30</t>
    <phoneticPr fontId="31"/>
  </si>
  <si>
    <t>令和  4 年 1～ 3</t>
    <phoneticPr fontId="31"/>
  </si>
  <si>
    <t xml:space="preserve">             2</t>
    <phoneticPr fontId="31"/>
  </si>
  <si>
    <t xml:space="preserve">             5</t>
    <phoneticPr fontId="31"/>
  </si>
  <si>
    <t xml:space="preserve">            10</t>
    <phoneticPr fontId="31"/>
  </si>
  <si>
    <t xml:space="preserve">令和  4 年   1　 </t>
    <phoneticPr fontId="31"/>
  </si>
  <si>
    <t>ﾍﾞﾄﾅﾑ計</t>
    <phoneticPr fontId="31"/>
  </si>
  <si>
    <t>ｼｰﾋﾟｰｼｰ･
ﾌﾞﾚﾝﾄﾞ</t>
    <phoneticPr fontId="31"/>
  </si>
  <si>
    <t>ｻﾞｲｸﾑﾅｲ･
ｺﾝﾃﾞﾝｾｰﾄ</t>
    <phoneticPr fontId="31"/>
  </si>
  <si>
    <t>ﾀﾝﾛﾝ</t>
  </si>
  <si>
    <t>ﾀｲﾗﾝﾄﾞ･
ﾌｭｰｴﾙ･ｵｲﾙ</t>
    <phoneticPr fontId="31"/>
  </si>
  <si>
    <t>ﾏﾚｰｼｱ･
ｽﾄﾚｰﾄ･ﾗﾝ･
ﾌｭｰｴﾙ･ｵｲﾙ</t>
    <phoneticPr fontId="31"/>
  </si>
  <si>
    <t>ﾌﾞﾚﾝﾃﾞﾄﾞ･
ﾌｭｰｴﾙ･ｵｲﾙ</t>
    <phoneticPr fontId="31"/>
  </si>
  <si>
    <t>令和  2 年度</t>
    <phoneticPr fontId="31"/>
  </si>
  <si>
    <t xml:space="preserve">      3　　 </t>
    <phoneticPr fontId="31"/>
  </si>
  <si>
    <t>令和  4 年 1～ 3</t>
    <phoneticPr fontId="31"/>
  </si>
  <si>
    <t xml:space="preserve">令和  3 年   1 月　 </t>
    <phoneticPr fontId="31"/>
  </si>
  <si>
    <t xml:space="preserve">             2</t>
    <phoneticPr fontId="31"/>
  </si>
  <si>
    <t>ﾗﾗﾝ</t>
  </si>
  <si>
    <t>ｾﾆﾊﾟ･
ｺﾝﾃﾞﾝｾｰﾄ</t>
    <phoneticPr fontId="31"/>
  </si>
  <si>
    <t>ﾌｫﾛｰｻﾞﾝ･
ﾌﾞﾚﾝﾄﾞ</t>
    <phoneticPr fontId="31"/>
  </si>
  <si>
    <t>ﾊﾞﾉｺ･
ｱﾗﾌﾞ･ﾐﾃﾞｨｱﾑ</t>
    <phoneticPr fontId="31"/>
  </si>
  <si>
    <t>ｱﾗﾋﾞｱﾝ･
ﾐﾃﾞｨｱﾑ</t>
    <phoneticPr fontId="31"/>
  </si>
  <si>
    <t>ｱﾗﾋﾞｱﾝ･
ｴｷｽﾄﾗ･ﾗｲﾄ</t>
    <phoneticPr fontId="31"/>
  </si>
  <si>
    <t>ｱﾗﾋﾞｱﾝ･
ｽｰﾊﾟｰ･ﾗｲﾄ</t>
    <phoneticPr fontId="31"/>
  </si>
  <si>
    <t>ｸｳｪｰﾄ･
ｽｰﾊﾟｰ･ﾗｲﾄ･
ｸﾙｰﾄﾞ</t>
    <phoneticPr fontId="31"/>
  </si>
  <si>
    <t>ｶﾀｰﾙ（つづき）</t>
  </si>
  <si>
    <t>ﾃﾞｵﾄﾞﾗｲｽﾞﾄﾞ･
ﾌｨｰﾙﾄﾞ･
ｺﾝﾃﾞﾝｾｰﾄ</t>
    <phoneticPr fontId="31"/>
  </si>
  <si>
    <t>ｱﾗﾌﾞ首長国連邦
（つづき）</t>
    <phoneticPr fontId="31"/>
  </si>
  <si>
    <t>ｼｬﾌﾞﾜ･ﾌﾞﾚﾝﾄﾞ･
ｸﾙｰﾄﾞ･ｵｲﾙ</t>
    <phoneticPr fontId="31"/>
  </si>
  <si>
    <t>ﾔﾏｰﾙ･
ｺﾝﾃﾞﾝｾｰﾄ</t>
    <phoneticPr fontId="31"/>
  </si>
  <si>
    <t>ｻｻﾞﾝ･
ｸﾞﾘｰﾝ･ｷｬﾆｵﾝ</t>
    <phoneticPr fontId="31"/>
  </si>
  <si>
    <t>平成 29 年</t>
    <phoneticPr fontId="31"/>
  </si>
  <si>
    <t xml:space="preserve">     30</t>
    <phoneticPr fontId="31"/>
  </si>
  <si>
    <t>　　　2</t>
    <phoneticPr fontId="31"/>
  </si>
  <si>
    <t>令和  2 年度</t>
    <phoneticPr fontId="31"/>
  </si>
  <si>
    <t xml:space="preserve">           4～ 6</t>
    <phoneticPr fontId="31"/>
  </si>
  <si>
    <t>令和  4 年 1～ 3</t>
    <phoneticPr fontId="31"/>
  </si>
  <si>
    <t xml:space="preserve">令和  3 年   1 月　 </t>
    <phoneticPr fontId="31"/>
  </si>
  <si>
    <t xml:space="preserve">             2</t>
    <phoneticPr fontId="31"/>
  </si>
  <si>
    <t xml:space="preserve">             4</t>
    <phoneticPr fontId="31"/>
  </si>
  <si>
    <t xml:space="preserve">             6</t>
    <phoneticPr fontId="31"/>
  </si>
  <si>
    <t xml:space="preserve">             7</t>
    <phoneticPr fontId="31"/>
  </si>
  <si>
    <t xml:space="preserve">            10</t>
    <phoneticPr fontId="31"/>
  </si>
  <si>
    <t xml:space="preserve">            12</t>
    <phoneticPr fontId="31"/>
  </si>
  <si>
    <t>北米（つづき）</t>
  </si>
  <si>
    <t>ｱﾒﾘｶ合衆国（つづき）</t>
  </si>
  <si>
    <t>WTI-ﾄﾞﾒｽﾃｨｯｸ･
ｽｲｰﾄ･ﾌﾞﾚﾝﾄﾞ</t>
    <phoneticPr fontId="31"/>
  </si>
  <si>
    <t>WTL(ｳｴｽﾄ･
ﾃｷｻｽ･ﾗｲﾄ)
ｸﾙｰﾄﾞ</t>
    <phoneticPr fontId="31"/>
  </si>
  <si>
    <t>ﾕﾃｨｶ･
ｺﾝﾃﾞﾝｾｰﾄ</t>
    <phoneticPr fontId="31"/>
  </si>
  <si>
    <t>　　　2</t>
    <phoneticPr fontId="31"/>
  </si>
  <si>
    <t xml:space="preserve">　　　3 </t>
    <phoneticPr fontId="31"/>
  </si>
  <si>
    <t>令和  2 年度</t>
    <phoneticPr fontId="31"/>
  </si>
  <si>
    <t xml:space="preserve">      3　　 </t>
    <phoneticPr fontId="31"/>
  </si>
  <si>
    <t xml:space="preserve">           7～ 9</t>
    <phoneticPr fontId="31"/>
  </si>
  <si>
    <t xml:space="preserve">          10～12　 </t>
    <phoneticPr fontId="31"/>
  </si>
  <si>
    <t>令和  4 年 1～ 3</t>
    <phoneticPr fontId="31"/>
  </si>
  <si>
    <t xml:space="preserve">             3</t>
    <phoneticPr fontId="31"/>
  </si>
  <si>
    <t xml:space="preserve">             4</t>
    <phoneticPr fontId="31"/>
  </si>
  <si>
    <t xml:space="preserve">             5</t>
    <phoneticPr fontId="31"/>
  </si>
  <si>
    <t xml:space="preserve">             6</t>
    <phoneticPr fontId="31"/>
  </si>
  <si>
    <t xml:space="preserve">             8</t>
    <phoneticPr fontId="31"/>
  </si>
  <si>
    <t xml:space="preserve">             9</t>
    <phoneticPr fontId="31"/>
  </si>
  <si>
    <t xml:space="preserve">            11</t>
    <phoneticPr fontId="31"/>
  </si>
  <si>
    <t xml:space="preserve">令和  4 年   1　 </t>
    <phoneticPr fontId="31"/>
  </si>
  <si>
    <t>中南米（つづき）</t>
  </si>
  <si>
    <t>ﾌﾞﾗｼﾞﾙ計</t>
  </si>
  <si>
    <t>ﾌﾞｰｼﾞｵｽ</t>
  </si>
  <si>
    <t>ﾄｩﾋﾟ</t>
  </si>
  <si>
    <t>ｱﾝｺﾞﾗ（つづき）</t>
  </si>
  <si>
    <t>ｿﾝｺﾞ･ｿﾝｺﾞ･
ｺﾝﾃﾞﾝｾｰﾄ</t>
    <phoneticPr fontId="31"/>
  </si>
  <si>
    <t>ﾉｰｽｳｴｽﾄ･
ｼｪﾙﾌ･
ｺﾝﾃﾞﾝｾｰﾄ</t>
    <phoneticPr fontId="31"/>
  </si>
  <si>
    <t>ﾊﾞﾕ･ｳﾝﾀﾞﾝ･
ｺﾝﾃﾞﾝｾｰﾄ</t>
    <phoneticPr fontId="31"/>
  </si>
  <si>
    <t>ｳﾞｧﾝ･ｺﾞｯﾎ･
ﾌﾞﾚﾝﾄﾞ</t>
    <phoneticPr fontId="31"/>
  </si>
  <si>
    <t>ﾋﾟﾚﾆｰｽﾞ</t>
  </si>
  <si>
    <t>ｲｸｼｽ･ﾌｨｰﾙﾄﾞ･
ｺﾝﾃﾞﾝｾｰﾄ</t>
    <phoneticPr fontId="31"/>
  </si>
  <si>
    <t>ﾊﾟﾌﾟｱ･
ｽﾄﾚｰﾄ･ﾗﾝ･
ﾌｭｰｴﾙ･ｵｲﾙ</t>
    <phoneticPr fontId="31"/>
  </si>
  <si>
    <t>→</t>
    <phoneticPr fontId="10"/>
  </si>
  <si>
    <t>(単位：kl/Unit：kl)</t>
    <phoneticPr fontId="10"/>
  </si>
  <si>
    <t>平成 29 年</t>
    <phoneticPr fontId="31"/>
  </si>
  <si>
    <t>　　　2</t>
    <phoneticPr fontId="31"/>
  </si>
  <si>
    <t xml:space="preserve">　　　3 </t>
    <phoneticPr fontId="31"/>
  </si>
  <si>
    <t xml:space="preserve">      3　　 </t>
    <phoneticPr fontId="31"/>
  </si>
  <si>
    <t xml:space="preserve">           4～ 6</t>
    <phoneticPr fontId="31"/>
  </si>
  <si>
    <t xml:space="preserve">           7～ 9</t>
    <phoneticPr fontId="31"/>
  </si>
  <si>
    <t xml:space="preserve">          10～12　 </t>
    <phoneticPr fontId="31"/>
  </si>
  <si>
    <t>令和  4 年 1～ 3</t>
    <phoneticPr fontId="31"/>
  </si>
  <si>
    <t xml:space="preserve">令和  3 年   1 月　 </t>
    <phoneticPr fontId="31"/>
  </si>
  <si>
    <t xml:space="preserve">             2</t>
    <phoneticPr fontId="31"/>
  </si>
  <si>
    <t xml:space="preserve">             3</t>
    <phoneticPr fontId="31"/>
  </si>
  <si>
    <t xml:space="preserve">             4</t>
    <phoneticPr fontId="31"/>
  </si>
  <si>
    <t xml:space="preserve">             5</t>
    <phoneticPr fontId="31"/>
  </si>
  <si>
    <t xml:space="preserve">             6</t>
    <phoneticPr fontId="31"/>
  </si>
  <si>
    <t xml:space="preserve">             7</t>
    <phoneticPr fontId="31"/>
  </si>
  <si>
    <t xml:space="preserve">             8</t>
    <phoneticPr fontId="31"/>
  </si>
  <si>
    <t xml:space="preserve">             9</t>
    <phoneticPr fontId="31"/>
  </si>
  <si>
    <t xml:space="preserve">            10</t>
    <phoneticPr fontId="31"/>
  </si>
  <si>
    <t xml:space="preserve">            11</t>
    <phoneticPr fontId="31"/>
  </si>
  <si>
    <t xml:space="preserve">令和  4 年   1　 </t>
    <phoneticPr fontId="31"/>
  </si>
  <si>
    <t>ﾗﾋﾞ･ｴｷｽﾎﾟｰﾄ･
ﾌﾞﾚﾝﾄﾞ</t>
    <phoneticPr fontId="31"/>
  </si>
  <si>
    <t>ﾛｰｻﾙﾌｧｰ･
ｺﾝﾃﾞﾝｾｰﾄ</t>
    <phoneticPr fontId="31"/>
  </si>
  <si>
    <t>ｼｬﾙｼﾞｬ･
ｺﾝﾃﾞﾝｾｰﾄ</t>
    <phoneticPr fontId="31"/>
  </si>
  <si>
    <t>ﾃﾏﾈ･
ｺﾝﾃﾞﾝｾｰﾄ</t>
    <phoneticPr fontId="31"/>
  </si>
  <si>
    <t xml:space="preserve">     30</t>
    <phoneticPr fontId="31"/>
  </si>
  <si>
    <t xml:space="preserve">　　　3 </t>
    <phoneticPr fontId="31"/>
  </si>
  <si>
    <t>令和  2 年度</t>
    <phoneticPr fontId="31"/>
  </si>
  <si>
    <t xml:space="preserve">      3　　 </t>
    <phoneticPr fontId="31"/>
  </si>
  <si>
    <t xml:space="preserve">             3</t>
    <phoneticPr fontId="31"/>
  </si>
  <si>
    <t xml:space="preserve">             7</t>
    <phoneticPr fontId="31"/>
  </si>
  <si>
    <t xml:space="preserve">             9</t>
    <phoneticPr fontId="31"/>
  </si>
  <si>
    <t xml:space="preserve">令和  4 年   1　 </t>
    <phoneticPr fontId="31"/>
  </si>
  <si>
    <t>ｻｳｼﾞｱﾗﾋﾞｱ_x000D_
Saudi Arabia</t>
  </si>
  <si>
    <t>ﾉｰｽｳｴｽﾄ･
ｼｪﾙﾌ･ｺﾝﾃﾞﾝｾｰﾄ</t>
    <phoneticPr fontId="31"/>
  </si>
  <si>
    <t>ﾌﾟﾙｰﾄ･
ｺﾝﾃﾞﾝｾｰﾄ</t>
    <phoneticPr fontId="31"/>
  </si>
  <si>
    <t>ｳｨｰﾄｽﾄｰﾝ･
ｺﾝﾃﾞﾝｾｰﾄ</t>
    <phoneticPr fontId="31"/>
  </si>
  <si>
    <t xml:space="preserve">     30</t>
    <phoneticPr fontId="31"/>
  </si>
  <si>
    <t>令和  2 年度</t>
    <phoneticPr fontId="31"/>
  </si>
  <si>
    <t xml:space="preserve">           4～ 6</t>
    <phoneticPr fontId="31"/>
  </si>
  <si>
    <t xml:space="preserve">             2</t>
    <phoneticPr fontId="31"/>
  </si>
  <si>
    <t xml:space="preserve">             3</t>
    <phoneticPr fontId="31"/>
  </si>
  <si>
    <t xml:space="preserve">            10</t>
    <phoneticPr fontId="31"/>
  </si>
  <si>
    <t xml:space="preserve">令和  4 年   1　 </t>
    <phoneticPr fontId="31"/>
  </si>
  <si>
    <t>Total</t>
    <phoneticPr fontId="10"/>
  </si>
  <si>
    <t>輸入</t>
    <phoneticPr fontId="10"/>
  </si>
  <si>
    <t>国産</t>
    <phoneticPr fontId="10"/>
  </si>
  <si>
    <r>
      <t>Other</t>
    </r>
    <r>
      <rPr>
        <sz val="7.5"/>
        <color indexed="8"/>
        <rFont val="ＭＳ Ｐ明朝"/>
        <family val="1"/>
        <charset val="128"/>
      </rPr>
      <t xml:space="preserve"> </t>
    </r>
    <r>
      <rPr>
        <sz val="7.1"/>
        <color indexed="8"/>
        <rFont val="ＭＳ Ｐ明朝"/>
        <family val="1"/>
        <charset val="128"/>
      </rPr>
      <t>Establishments</t>
    </r>
    <phoneticPr fontId="10"/>
  </si>
  <si>
    <t>Imported
Crude Oil</t>
    <phoneticPr fontId="10"/>
  </si>
  <si>
    <t>Domestic
Crude Oil</t>
    <phoneticPr fontId="8"/>
  </si>
  <si>
    <t>29年</t>
  </si>
  <si>
    <t>C.Y. 2017</t>
    <phoneticPr fontId="31"/>
  </si>
  <si>
    <t>C.Y. 2018</t>
    <phoneticPr fontId="31"/>
  </si>
  <si>
    <t xml:space="preserve"> 1</t>
    <phoneticPr fontId="31"/>
  </si>
  <si>
    <t>C.Y. 2019</t>
    <phoneticPr fontId="31"/>
  </si>
  <si>
    <t xml:space="preserve"> 2</t>
    <phoneticPr fontId="31"/>
  </si>
  <si>
    <t>C.Y. 2020</t>
    <phoneticPr fontId="31"/>
  </si>
  <si>
    <t xml:space="preserve"> 3</t>
    <phoneticPr fontId="31"/>
  </si>
  <si>
    <t>C.Y. 2021</t>
    <phoneticPr fontId="31"/>
  </si>
  <si>
    <t xml:space="preserve"> 2年度</t>
    <phoneticPr fontId="31"/>
  </si>
  <si>
    <t>F.Y. 2020</t>
    <phoneticPr fontId="31"/>
  </si>
  <si>
    <t>F.Y. 2021</t>
    <phoneticPr fontId="31"/>
  </si>
  <si>
    <t xml:space="preserve"> 3年</t>
    <phoneticPr fontId="31"/>
  </si>
  <si>
    <t xml:space="preserve"> 1～ 3月</t>
    <phoneticPr fontId="10"/>
  </si>
  <si>
    <t>Q1  2021</t>
    <phoneticPr fontId="31"/>
  </si>
  <si>
    <t xml:space="preserve"> 4～ 6</t>
    <phoneticPr fontId="8"/>
  </si>
  <si>
    <t xml:space="preserve">Q2  </t>
    <phoneticPr fontId="31"/>
  </si>
  <si>
    <r>
      <t xml:space="preserve"> 7～ 9</t>
    </r>
    <r>
      <rPr>
        <sz val="11"/>
        <color theme="1"/>
        <rFont val="ＭＳ Ｐゴシック"/>
        <family val="3"/>
        <charset val="128"/>
        <scheme val="minor"/>
      </rPr>
      <t/>
    </r>
    <phoneticPr fontId="8"/>
  </si>
  <si>
    <t xml:space="preserve">Q3  </t>
    <phoneticPr fontId="31"/>
  </si>
  <si>
    <t>10～12</t>
    <phoneticPr fontId="8"/>
  </si>
  <si>
    <t xml:space="preserve">Q4  </t>
    <phoneticPr fontId="31"/>
  </si>
  <si>
    <t xml:space="preserve"> 4年</t>
    <phoneticPr fontId="31"/>
  </si>
  <si>
    <t xml:space="preserve"> 1～ 3</t>
    <phoneticPr fontId="10"/>
  </si>
  <si>
    <t>Q1  2022</t>
    <phoneticPr fontId="31"/>
  </si>
  <si>
    <t xml:space="preserve">  1月</t>
    <phoneticPr fontId="8"/>
  </si>
  <si>
    <t>Jan. 2021</t>
    <phoneticPr fontId="31"/>
  </si>
  <si>
    <t xml:space="preserve">  2</t>
    <phoneticPr fontId="10"/>
  </si>
  <si>
    <t>Feb.</t>
    <phoneticPr fontId="31"/>
  </si>
  <si>
    <t xml:space="preserve">  3</t>
  </si>
  <si>
    <t>Mar.</t>
    <phoneticPr fontId="31"/>
  </si>
  <si>
    <t xml:space="preserve">  4</t>
  </si>
  <si>
    <t>Apr.</t>
    <phoneticPr fontId="31"/>
  </si>
  <si>
    <t xml:space="preserve">  5</t>
  </si>
  <si>
    <t>May</t>
    <phoneticPr fontId="31"/>
  </si>
  <si>
    <t xml:space="preserve">  6</t>
  </si>
  <si>
    <t>Jun.</t>
    <phoneticPr fontId="31"/>
  </si>
  <si>
    <t xml:space="preserve">  7</t>
  </si>
  <si>
    <t>Jul.</t>
    <phoneticPr fontId="31"/>
  </si>
  <si>
    <t xml:space="preserve">  8</t>
  </si>
  <si>
    <t>Aug.</t>
    <phoneticPr fontId="31"/>
  </si>
  <si>
    <t xml:space="preserve">  9</t>
  </si>
  <si>
    <t>Sep.</t>
    <phoneticPr fontId="31"/>
  </si>
  <si>
    <r>
      <t xml:space="preserve">  </t>
    </r>
    <r>
      <rPr>
        <sz val="8"/>
        <rFont val="ＭＳ 明朝"/>
        <family val="1"/>
        <charset val="128"/>
      </rPr>
      <t>10</t>
    </r>
    <phoneticPr fontId="10"/>
  </si>
  <si>
    <t>Oct.</t>
    <phoneticPr fontId="31"/>
  </si>
  <si>
    <r>
      <t xml:space="preserve">  </t>
    </r>
    <r>
      <rPr>
        <sz val="8"/>
        <rFont val="ＭＳ 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</si>
  <si>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t>Nov.</t>
    <phoneticPr fontId="31"/>
  </si>
  <si>
    <r>
      <t xml:space="preserve">  </t>
    </r>
    <r>
      <rPr>
        <sz val="8"/>
        <rFont val="ＭＳ 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</si>
  <si>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t>Dec.</t>
    <phoneticPr fontId="31"/>
  </si>
  <si>
    <t xml:space="preserve">  1</t>
    <phoneticPr fontId="10"/>
  </si>
  <si>
    <t>Jan. 2022</t>
    <phoneticPr fontId="31"/>
  </si>
  <si>
    <t xml:space="preserve">  3</t>
    <phoneticPr fontId="10"/>
  </si>
  <si>
    <t>年・期・月</t>
    <phoneticPr fontId="10"/>
  </si>
  <si>
    <t xml:space="preserve">Year,
Quarter
&amp; Month     </t>
    <phoneticPr fontId="10"/>
  </si>
  <si>
    <t>基地・油槽所</t>
    <phoneticPr fontId="10"/>
  </si>
  <si>
    <t>Oil drilling
 enterprises</t>
    <phoneticPr fontId="10"/>
  </si>
  <si>
    <t>Refiners</t>
    <phoneticPr fontId="10"/>
  </si>
  <si>
    <t>　①令和3年 / (C.Y.2021)</t>
    <rPh sb="2" eb="4">
      <t>レイワ</t>
    </rPh>
    <phoneticPr fontId="8"/>
  </si>
  <si>
    <t>（単位：kl、アスファルト以降：ｔ/Unit: kl, from Asphalt onward is ton)</t>
    <rPh sb="13" eb="15">
      <t>イコウ</t>
    </rPh>
    <phoneticPr fontId="10"/>
  </si>
  <si>
    <t>区　分</t>
    <phoneticPr fontId="8"/>
  </si>
  <si>
    <t>ジェット</t>
    <phoneticPr fontId="8"/>
  </si>
  <si>
    <t>軽油</t>
    <phoneticPr fontId="8"/>
  </si>
  <si>
    <t>重油</t>
    <phoneticPr fontId="8"/>
  </si>
  <si>
    <t>潤滑油</t>
    <phoneticPr fontId="18"/>
  </si>
  <si>
    <t>アスファルト</t>
    <phoneticPr fontId="18"/>
  </si>
  <si>
    <t>パラフィン</t>
    <phoneticPr fontId="18"/>
  </si>
  <si>
    <t>　液化石油ガス</t>
    <phoneticPr fontId="8"/>
  </si>
  <si>
    <t>液化天然ガス</t>
    <phoneticPr fontId="8"/>
  </si>
  <si>
    <t>P・P, P・B</t>
    <phoneticPr fontId="18"/>
  </si>
  <si>
    <t>Gas Oil</t>
    <phoneticPr fontId="8"/>
  </si>
  <si>
    <t>Fuel Oil
 B･C</t>
    <phoneticPr fontId="8"/>
  </si>
  <si>
    <t>LPG</t>
    <phoneticPr fontId="8"/>
  </si>
  <si>
    <t>LNG</t>
    <phoneticPr fontId="8"/>
  </si>
  <si>
    <t>製造・輸入業者
在庫</t>
    <phoneticPr fontId="8"/>
  </si>
  <si>
    <t>品種振替による
増量</t>
    <phoneticPr fontId="8"/>
  </si>
  <si>
    <t>石油化学よりの
返還</t>
    <rPh sb="8" eb="10">
      <t>ヘンカン</t>
    </rPh>
    <phoneticPr fontId="8"/>
  </si>
  <si>
    <t>Total Shipments</t>
    <phoneticPr fontId="8"/>
  </si>
  <si>
    <t>品種振替による
減量</t>
    <rPh sb="8" eb="9">
      <t>ゲン</t>
    </rPh>
    <phoneticPr fontId="47"/>
  </si>
  <si>
    <t>　②令和3年度 / (F.Y.2021)</t>
    <rPh sb="2" eb="4">
      <t>レイワ</t>
    </rPh>
    <phoneticPr fontId="8"/>
  </si>
  <si>
    <t>LNG</t>
    <phoneticPr fontId="8"/>
  </si>
  <si>
    <t>石油化学よりの
受入</t>
    <phoneticPr fontId="31"/>
  </si>
  <si>
    <t>生産部門よりの
受入</t>
    <phoneticPr fontId="18"/>
  </si>
  <si>
    <t>販売業者よりの
購入</t>
    <phoneticPr fontId="18"/>
  </si>
  <si>
    <t>品種振替による
増量</t>
    <phoneticPr fontId="18"/>
  </si>
  <si>
    <t>消費者･販売業者
向販売</t>
    <rPh sb="0" eb="3">
      <t>ショウヒシャ</t>
    </rPh>
    <rPh sb="4" eb="6">
      <t>ハンバイ</t>
    </rPh>
    <rPh sb="6" eb="8">
      <t>ギョウシャ</t>
    </rPh>
    <rPh sb="9" eb="10">
      <t>ム</t>
    </rPh>
    <rPh sb="10" eb="12">
      <t>ハンバイ</t>
    </rPh>
    <phoneticPr fontId="18"/>
  </si>
  <si>
    <t xml:space="preserve">品種振替による
減量  </t>
    <phoneticPr fontId="18"/>
  </si>
  <si>
    <t>パラフィン</t>
    <phoneticPr fontId="18"/>
  </si>
  <si>
    <t>Lubricating
 Oil</t>
    <phoneticPr fontId="18"/>
  </si>
  <si>
    <t>生産部門よりの
受入</t>
    <phoneticPr fontId="18"/>
  </si>
  <si>
    <t>輸入</t>
    <phoneticPr fontId="18"/>
  </si>
  <si>
    <t xml:space="preserve">Purchase or Loans from Manufacturers and Importers </t>
    <phoneticPr fontId="18"/>
  </si>
  <si>
    <t>年末在庫</t>
    <phoneticPr fontId="18"/>
  </si>
  <si>
    <t xml:space="preserve">Note : P・P is Propane・Propylene; P・B is Propane・Butane ; B・B is Butane・Butylene. </t>
    <phoneticPr fontId="8"/>
  </si>
  <si>
    <t xml:space="preserve">（３）石油製品国内向月別販売 / Domestic Sales of Petroleum Products by Month </t>
    <phoneticPr fontId="8"/>
  </si>
  <si>
    <t xml:space="preserve">Year,           Quarter                             &amp; Month 
</t>
    <phoneticPr fontId="8"/>
  </si>
  <si>
    <t>年・期・月</t>
    <phoneticPr fontId="8"/>
  </si>
  <si>
    <t>ガソリン</t>
    <phoneticPr fontId="8"/>
  </si>
  <si>
    <t>ナフサ</t>
    <phoneticPr fontId="8"/>
  </si>
  <si>
    <t>灯油</t>
    <phoneticPr fontId="8"/>
  </si>
  <si>
    <t>軽油</t>
    <phoneticPr fontId="8"/>
  </si>
  <si>
    <t>重油</t>
    <phoneticPr fontId="8"/>
  </si>
  <si>
    <t>潤滑油</t>
    <phoneticPr fontId="18"/>
  </si>
  <si>
    <t>アスファルト</t>
    <phoneticPr fontId="18"/>
  </si>
  <si>
    <t>パラフィン</t>
    <phoneticPr fontId="18"/>
  </si>
  <si>
    <t>　液化石油ガス</t>
    <phoneticPr fontId="8"/>
  </si>
  <si>
    <t>液化天然ガス</t>
    <phoneticPr fontId="8"/>
  </si>
  <si>
    <t>P・P, P・B</t>
    <phoneticPr fontId="18"/>
  </si>
  <si>
    <t>B・B</t>
    <phoneticPr fontId="8"/>
  </si>
  <si>
    <t>Total of Main Petroleum Products</t>
    <phoneticPr fontId="31"/>
  </si>
  <si>
    <t>Gasoline</t>
    <phoneticPr fontId="31"/>
  </si>
  <si>
    <t>Naphtha</t>
    <phoneticPr fontId="8"/>
  </si>
  <si>
    <t>Jet Fuel</t>
    <phoneticPr fontId="8"/>
  </si>
  <si>
    <t>Gas Oil</t>
    <phoneticPr fontId="8"/>
  </si>
  <si>
    <t>Fuel Oil              B･C</t>
    <phoneticPr fontId="8"/>
  </si>
  <si>
    <t>LPG</t>
    <phoneticPr fontId="8"/>
  </si>
  <si>
    <t>LNG</t>
    <phoneticPr fontId="8"/>
  </si>
  <si>
    <t>30</t>
  </si>
  <si>
    <t>C.Y. 2018</t>
    <phoneticPr fontId="31"/>
  </si>
  <si>
    <t xml:space="preserve"> 2</t>
    <phoneticPr fontId="31"/>
  </si>
  <si>
    <t>C.Y. 2021</t>
    <phoneticPr fontId="31"/>
  </si>
  <si>
    <t xml:space="preserve"> 2年度</t>
    <phoneticPr fontId="31"/>
  </si>
  <si>
    <t>F.Y. 2021</t>
    <phoneticPr fontId="31"/>
  </si>
  <si>
    <t xml:space="preserve">  1～ 3月</t>
    <phoneticPr fontId="10"/>
  </si>
  <si>
    <t>Q1  2021</t>
    <phoneticPr fontId="31"/>
  </si>
  <si>
    <t xml:space="preserve">  4～ 6</t>
    <phoneticPr fontId="8"/>
  </si>
  <si>
    <t xml:space="preserve">Q2  </t>
    <phoneticPr fontId="31"/>
  </si>
  <si>
    <r>
      <t xml:space="preserve">  7～ 9</t>
    </r>
    <r>
      <rPr>
        <sz val="11"/>
        <color theme="1"/>
        <rFont val="ＭＳ Ｐゴシック"/>
        <family val="3"/>
        <charset val="128"/>
        <scheme val="minor"/>
      </rPr>
      <t/>
    </r>
    <phoneticPr fontId="8"/>
  </si>
  <si>
    <t xml:space="preserve">Q3  </t>
    <phoneticPr fontId="31"/>
  </si>
  <si>
    <t xml:space="preserve"> 10～12</t>
    <phoneticPr fontId="8"/>
  </si>
  <si>
    <t xml:space="preserve">  1～ 3</t>
    <phoneticPr fontId="10"/>
  </si>
  <si>
    <t>Q1  2022</t>
    <phoneticPr fontId="31"/>
  </si>
  <si>
    <t xml:space="preserve">  1月</t>
    <phoneticPr fontId="8"/>
  </si>
  <si>
    <t>Apr.</t>
    <phoneticPr fontId="31"/>
  </si>
  <si>
    <t xml:space="preserve">May </t>
    <phoneticPr fontId="10"/>
  </si>
  <si>
    <t>Sep.</t>
    <phoneticPr fontId="31"/>
  </si>
  <si>
    <r>
      <t xml:space="preserve">  </t>
    </r>
    <r>
      <rPr>
        <sz val="8"/>
        <color theme="1"/>
        <rFont val="ＭＳ 明朝"/>
        <family val="1"/>
        <charset val="128"/>
      </rPr>
      <t>10</t>
    </r>
    <phoneticPr fontId="10"/>
  </si>
  <si>
    <r>
      <t xml:space="preserve">  </t>
    </r>
    <r>
      <rPr>
        <sz val="8"/>
        <color theme="1"/>
        <rFont val="ＭＳ 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</si>
  <si>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r>
      <t xml:space="preserve">  </t>
    </r>
    <r>
      <rPr>
        <sz val="8"/>
        <color theme="1"/>
        <rFont val="ＭＳ 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</si>
  <si>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t>Dec.</t>
    <phoneticPr fontId="31"/>
  </si>
  <si>
    <t xml:space="preserve"> 4年</t>
    <phoneticPr fontId="31"/>
  </si>
  <si>
    <t xml:space="preserve">  1</t>
    <phoneticPr fontId="10"/>
  </si>
  <si>
    <t>Mar.</t>
    <phoneticPr fontId="31"/>
  </si>
  <si>
    <t xml:space="preserve">Note : P・P is Propane・Propylene; P・B is Propane・Butane ; B・B is Butane・Butylene. </t>
    <phoneticPr fontId="8"/>
  </si>
  <si>
    <t>　　  Ｂ・Ｂ＝ブタン・ブチレンを主成分とするもの。</t>
    <phoneticPr fontId="45"/>
  </si>
  <si>
    <t>（単位：kl、アスファルト以降：ｔ/Unit:kl,  from Asphalt onward is ton)</t>
    <rPh sb="13" eb="15">
      <t>イコウ</t>
    </rPh>
    <phoneticPr fontId="61"/>
  </si>
  <si>
    <t>注1 ： （　　）はボンド扱い輸入製品で外数である。</t>
    <phoneticPr fontId="61"/>
  </si>
  <si>
    <t xml:space="preserve">    Note1 : The amount of parenthesis is that for bonded imports and not included in amounts just below.</t>
    <phoneticPr fontId="61"/>
  </si>
  <si>
    <t>注2 ： Ｐ・Ｐ＝プロパン・プロピレン、Ｐ・Ｂ＝プロパン・ブタン、プロピレン・ブチレン等プロパン、プロピレンを主成分とするもの。</t>
    <phoneticPr fontId="45"/>
  </si>
  <si>
    <t xml:space="preserve">    Note2 : P・P is Propane・Propylene; P・B is Propane・Butane ; B・B is Butane・Butylene. </t>
    <phoneticPr fontId="8"/>
  </si>
  <si>
    <t>　　　  Ｂ・Ｂ＝ブタン・ブチレンを主成分とするもの。</t>
    <phoneticPr fontId="45"/>
  </si>
  <si>
    <t>Asia</t>
    <phoneticPr fontId="31"/>
  </si>
  <si>
    <t>中華人民
共和国_x000D_
People's Republic of China</t>
    <phoneticPr fontId="31"/>
  </si>
  <si>
    <t>アラブ首長国
連邦_x000D_
United Arab_x000D_
Emirates</t>
    <phoneticPr fontId="31"/>
  </si>
  <si>
    <t>マルタ_x000D_
Malta</t>
  </si>
  <si>
    <t>North America</t>
    <phoneticPr fontId="31"/>
  </si>
  <si>
    <t>South America</t>
    <phoneticPr fontId="31"/>
  </si>
  <si>
    <t>（単位：ｋｌ，アスファルト以降：ｔ／Ｕｎｉｔ：ｋｌ，from Asphalt onward is ton）</t>
    <rPh sb="13" eb="15">
      <t>イコウ</t>
    </rPh>
    <phoneticPr fontId="31"/>
  </si>
  <si>
    <t>Africa</t>
    <phoneticPr fontId="31"/>
  </si>
  <si>
    <t>南アフリカ
共和国_x000D_
South Africa</t>
    <phoneticPr fontId="31"/>
  </si>
  <si>
    <t>Oceania</t>
    <phoneticPr fontId="31"/>
  </si>
  <si>
    <t>ニュージー
ランド_x000D_
New Zealand</t>
    <phoneticPr fontId="31"/>
  </si>
  <si>
    <t>Asia</t>
    <phoneticPr fontId="31"/>
  </si>
  <si>
    <t>中華人民
共和国_x000D_
People's Republic of China</t>
    <phoneticPr fontId="31"/>
  </si>
  <si>
    <t>ジェット燃料油
合計</t>
    <phoneticPr fontId="31"/>
  </si>
  <si>
    <t>Ｂ・Ｃ重油
合計</t>
    <phoneticPr fontId="31"/>
  </si>
  <si>
    <t>Ｂ・Ｃ重油
（つづき）</t>
    <phoneticPr fontId="31"/>
  </si>
  <si>
    <t>大洋州
（つづき）</t>
    <phoneticPr fontId="31"/>
  </si>
  <si>
    <t>北アメリカ
（つづき）</t>
    <phoneticPr fontId="31"/>
  </si>
  <si>
    <t>フランス_x000D_
France</t>
    <phoneticPr fontId="31"/>
  </si>
  <si>
    <t>パラフィン
合計</t>
    <phoneticPr fontId="31"/>
  </si>
  <si>
    <t>液化石油ガス
合計</t>
    <phoneticPr fontId="31"/>
  </si>
  <si>
    <t>液化天然ガス
合計</t>
    <phoneticPr fontId="31"/>
  </si>
  <si>
    <t>トリニダード・トバゴ_x000D_
Trinidad and Tobago</t>
  </si>
  <si>
    <t xml:space="preserve">   ③月別輸出 / Export by Month</t>
    <phoneticPr fontId="8"/>
  </si>
  <si>
    <t>ガソリン</t>
    <phoneticPr fontId="8"/>
  </si>
  <si>
    <t>灯油</t>
    <phoneticPr fontId="8"/>
  </si>
  <si>
    <t>P・P, P・B</t>
    <phoneticPr fontId="18"/>
  </si>
  <si>
    <t>Gas Oil</t>
    <phoneticPr fontId="8"/>
  </si>
  <si>
    <t>Fuel Oil Total</t>
    <phoneticPr fontId="8"/>
  </si>
  <si>
    <t>C.Y. 2017</t>
    <phoneticPr fontId="31"/>
  </si>
  <si>
    <t>C.Y. 2019</t>
    <phoneticPr fontId="31"/>
  </si>
  <si>
    <t xml:space="preserve"> 3</t>
    <phoneticPr fontId="31"/>
  </si>
  <si>
    <t>C.Y. 2021</t>
    <phoneticPr fontId="31"/>
  </si>
  <si>
    <t xml:space="preserve"> 2年度</t>
    <phoneticPr fontId="31"/>
  </si>
  <si>
    <t>F.Y. 2021</t>
    <phoneticPr fontId="31"/>
  </si>
  <si>
    <t xml:space="preserve"> 3年</t>
    <phoneticPr fontId="31"/>
  </si>
  <si>
    <r>
      <t xml:space="preserve"> 7～ 9</t>
    </r>
    <r>
      <rPr>
        <sz val="11"/>
        <color theme="1"/>
        <rFont val="ＭＳ Ｐゴシック"/>
        <family val="3"/>
        <charset val="128"/>
        <scheme val="minor"/>
      </rPr>
      <t/>
    </r>
    <phoneticPr fontId="8"/>
  </si>
  <si>
    <t xml:space="preserve">  1月</t>
    <phoneticPr fontId="8"/>
  </si>
  <si>
    <t xml:space="preserve">  2</t>
    <phoneticPr fontId="10"/>
  </si>
  <si>
    <t xml:space="preserve">May </t>
    <phoneticPr fontId="10"/>
  </si>
  <si>
    <t>Aug.</t>
    <phoneticPr fontId="31"/>
  </si>
  <si>
    <r>
      <t xml:space="preserve">   </t>
    </r>
    <r>
      <rPr>
        <sz val="8"/>
        <color theme="1"/>
        <rFont val="ＭＳ 明朝"/>
        <family val="1"/>
        <charset val="128"/>
      </rPr>
      <t>10</t>
    </r>
    <phoneticPr fontId="10"/>
  </si>
  <si>
    <r>
      <t xml:space="preserve">   </t>
    </r>
    <r>
      <rPr>
        <sz val="8"/>
        <color theme="1"/>
        <rFont val="ＭＳ 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</si>
  <si>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r>
      <t xml:space="preserve">   </t>
    </r>
    <r>
      <rPr>
        <sz val="8"/>
        <color theme="1"/>
        <rFont val="ＭＳ 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</si>
  <si>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t xml:space="preserve">  2</t>
    <phoneticPr fontId="10"/>
  </si>
  <si>
    <t xml:space="preserve">  3</t>
    <phoneticPr fontId="10"/>
  </si>
  <si>
    <t>Mar.</t>
    <phoneticPr fontId="31"/>
  </si>
  <si>
    <t>注： Ｐ・Ｐ＝プロパン・プロピレン、Ｐ・Ｂ＝プロパン・ブタン、プロピレン・ブチレン等プロパン、プロピレンを主成分とするもの。</t>
    <phoneticPr fontId="45"/>
  </si>
  <si>
    <t>　　  Ｂ・Ｂ＝ブタン・ブチレンを主成分とするもの。</t>
    <phoneticPr fontId="45"/>
  </si>
  <si>
    <t>北アメリカ（つづき）</t>
    <phoneticPr fontId="31"/>
  </si>
  <si>
    <t>米軍及び
ボンド</t>
    <phoneticPr fontId="31"/>
  </si>
  <si>
    <t>カザフスタン_x000D_
Kazakhstan</t>
  </si>
  <si>
    <t>アイルランド_x000D_
Ireland</t>
  </si>
  <si>
    <t xml:space="preserve">           4～ 6</t>
    <phoneticPr fontId="31"/>
  </si>
  <si>
    <r>
      <rPr>
        <sz val="8"/>
        <rFont val="ＭＳ Ｐ明朝"/>
        <family val="1"/>
        <charset val="128"/>
      </rPr>
      <t>モザン_x000D_
ビーク_x000D_</t>
    </r>
    <r>
      <rPr>
        <sz val="7"/>
        <rFont val="ＭＳ Ｐ明朝"/>
        <family val="1"/>
        <charset val="128"/>
      </rPr>
      <t xml:space="preserve">
Mozambique</t>
    </r>
    <phoneticPr fontId="31"/>
  </si>
  <si>
    <t>南アフリカ
共和国_x000D_
South Africa</t>
    <phoneticPr fontId="31"/>
  </si>
  <si>
    <t xml:space="preserve">             3</t>
    <phoneticPr fontId="31"/>
  </si>
  <si>
    <t xml:space="preserve">令和  4 年   1　 </t>
    <phoneticPr fontId="31"/>
  </si>
  <si>
    <t>アラブ首長国
連邦_x000D_
United Arab_x000D_
Emirates</t>
    <phoneticPr fontId="31"/>
  </si>
  <si>
    <t>ジェット燃料油
合計</t>
    <phoneticPr fontId="31"/>
  </si>
  <si>
    <t>南アメリカ
（つづき）</t>
    <phoneticPr fontId="31"/>
  </si>
  <si>
    <t>英領インド洋
地域_x000D_
British Indian
 Ocean Territories</t>
    <phoneticPr fontId="31"/>
  </si>
  <si>
    <t xml:space="preserve">　　　3 </t>
    <phoneticPr fontId="31"/>
  </si>
  <si>
    <t xml:space="preserve">             2</t>
    <phoneticPr fontId="31"/>
  </si>
  <si>
    <t xml:space="preserve">            10</t>
    <phoneticPr fontId="31"/>
  </si>
  <si>
    <t xml:space="preserve">            11</t>
    <phoneticPr fontId="31"/>
  </si>
  <si>
    <t>令和  4 年 1～ 3</t>
    <phoneticPr fontId="31"/>
  </si>
  <si>
    <t xml:space="preserve">             4</t>
    <phoneticPr fontId="31"/>
  </si>
  <si>
    <t xml:space="preserve">             5</t>
    <phoneticPr fontId="31"/>
  </si>
  <si>
    <t>エジプト_x000D_
Egypt</t>
    <phoneticPr fontId="31"/>
  </si>
  <si>
    <t xml:space="preserve">          10～12　 </t>
    <phoneticPr fontId="31"/>
  </si>
  <si>
    <t xml:space="preserve">             7</t>
    <phoneticPr fontId="31"/>
  </si>
  <si>
    <t>パラフィン
合計</t>
    <phoneticPr fontId="31"/>
  </si>
  <si>
    <t xml:space="preserve">             9</t>
    <phoneticPr fontId="31"/>
  </si>
  <si>
    <t>ドミニカ
共和国_x000D_
Dominican Republic</t>
    <phoneticPr fontId="31"/>
  </si>
  <si>
    <t>ベネズエラ_x000D_
Venezuela</t>
    <phoneticPr fontId="31"/>
  </si>
  <si>
    <t xml:space="preserve">     30</t>
    <phoneticPr fontId="31"/>
  </si>
  <si>
    <t>　　　2</t>
    <phoneticPr fontId="31"/>
  </si>
  <si>
    <t xml:space="preserve">            12</t>
    <phoneticPr fontId="31"/>
  </si>
  <si>
    <t xml:space="preserve">      3　　 </t>
    <phoneticPr fontId="31"/>
  </si>
  <si>
    <t xml:space="preserve">令和  3 年   1 月　 </t>
    <phoneticPr fontId="31"/>
  </si>
  <si>
    <t>ジェット</t>
    <phoneticPr fontId="8"/>
  </si>
  <si>
    <t>軽油</t>
    <phoneticPr fontId="8"/>
  </si>
  <si>
    <t>パラフィン</t>
    <phoneticPr fontId="18"/>
  </si>
  <si>
    <t xml:space="preserve"> 液化石油ガス</t>
    <phoneticPr fontId="8"/>
  </si>
  <si>
    <t>B・B</t>
    <phoneticPr fontId="8"/>
  </si>
  <si>
    <t>Naphtha</t>
    <phoneticPr fontId="8"/>
  </si>
  <si>
    <t>令和 3年</t>
    <rPh sb="0" eb="2">
      <t>レイワ</t>
    </rPh>
    <phoneticPr fontId="31"/>
  </si>
  <si>
    <r>
      <t>Total</t>
    </r>
    <r>
      <rPr>
        <sz val="8"/>
        <rFont val="ＭＳ Ｐ明朝"/>
        <family val="1"/>
        <charset val="128"/>
      </rPr>
      <t xml:space="preserve">   Feb. 2021</t>
    </r>
    <phoneticPr fontId="8"/>
  </si>
  <si>
    <t>2月</t>
    <phoneticPr fontId="8"/>
  </si>
  <si>
    <t>3月</t>
    <phoneticPr fontId="8"/>
  </si>
  <si>
    <r>
      <t>Total</t>
    </r>
    <r>
      <rPr>
        <sz val="8"/>
        <rFont val="ＭＳ Ｐ明朝"/>
        <family val="1"/>
        <charset val="128"/>
      </rPr>
      <t xml:space="preserve">   Apr.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</si>
  <si>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May  2021</t>
    </r>
    <phoneticPr fontId="8"/>
  </si>
  <si>
    <t>Refiners</t>
    <phoneticPr fontId="8"/>
  </si>
  <si>
    <r>
      <t>Total</t>
    </r>
    <r>
      <rPr>
        <sz val="8"/>
        <rFont val="ＭＳ Ｐ明朝"/>
        <family val="1"/>
        <charset val="128"/>
      </rPr>
      <t xml:space="preserve">   Jun. 2021</t>
    </r>
    <phoneticPr fontId="8"/>
  </si>
  <si>
    <t>6月</t>
    <phoneticPr fontId="8"/>
  </si>
  <si>
    <r>
      <t>Total</t>
    </r>
    <r>
      <rPr>
        <sz val="8"/>
        <rFont val="ＭＳ Ｐ明朝"/>
        <family val="1"/>
        <charset val="128"/>
      </rPr>
      <t xml:space="preserve">   Jul.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</si>
  <si>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Aug.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</si>
  <si>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Sep. 2021</t>
    </r>
    <phoneticPr fontId="8"/>
  </si>
  <si>
    <t>9月</t>
    <phoneticPr fontId="8"/>
  </si>
  <si>
    <r>
      <t>Total</t>
    </r>
    <r>
      <rPr>
        <sz val="8"/>
        <rFont val="ＭＳ Ｐ明朝"/>
        <family val="1"/>
        <charset val="128"/>
      </rPr>
      <t xml:space="preserve">   Oct.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</si>
  <si>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Nov. 2021</t>
    </r>
    <phoneticPr fontId="8"/>
  </si>
  <si>
    <r>
      <t>Total</t>
    </r>
    <r>
      <rPr>
        <sz val="8"/>
        <rFont val="ＭＳ Ｐ明朝"/>
        <family val="1"/>
        <charset val="128"/>
      </rPr>
      <t xml:space="preserve">   Dec. 2021</t>
    </r>
    <phoneticPr fontId="8"/>
  </si>
  <si>
    <t>令和 4年</t>
    <rPh sb="0" eb="2">
      <t>レイワ</t>
    </rPh>
    <phoneticPr fontId="31"/>
  </si>
  <si>
    <r>
      <t>Total</t>
    </r>
    <r>
      <rPr>
        <sz val="8"/>
        <rFont val="ＭＳ Ｐ明朝"/>
        <family val="1"/>
        <charset val="128"/>
      </rPr>
      <t xml:space="preserve">   Jan. 2022</t>
    </r>
    <phoneticPr fontId="8"/>
  </si>
  <si>
    <r>
      <t>Total</t>
    </r>
    <r>
      <rPr>
        <sz val="8"/>
        <rFont val="ＭＳ Ｐ明朝"/>
        <family val="1"/>
        <charset val="128"/>
      </rPr>
      <t xml:space="preserve">   Feb. 2022</t>
    </r>
    <phoneticPr fontId="8"/>
  </si>
  <si>
    <r>
      <t>Total</t>
    </r>
    <r>
      <rPr>
        <sz val="8"/>
        <rFont val="ＭＳ Ｐ明朝"/>
        <family val="1"/>
        <charset val="128"/>
      </rPr>
      <t xml:space="preserve">   Mar. 2022</t>
    </r>
    <phoneticPr fontId="8"/>
  </si>
  <si>
    <t>3月</t>
    <phoneticPr fontId="8"/>
  </si>
  <si>
    <t>注 2： Ｐ・Ｐ＝プロパン・プロピレン、Ｐ・Ｂ＝プロパン・ブタン、プロピレン・ブチレン等プロパン、プロピレンを主成分とするもの。</t>
    <phoneticPr fontId="45"/>
  </si>
  <si>
    <t xml:space="preserve">    Note 2 : P・P is Propane・Propylene; P・B is Propane・Butane ; B・B is Butane・Butylene. </t>
    <phoneticPr fontId="8"/>
  </si>
  <si>
    <t xml:space="preserve">（６）石油製品製造業者・輸入業者月別消費者･販売業者向販売 / </t>
    <phoneticPr fontId="8"/>
  </si>
  <si>
    <t xml:space="preserve">Monthly Sales to Consumers, Wholesalers and Retailers of Petroleum Products by Manufacturers and Importers    </t>
    <phoneticPr fontId="8"/>
  </si>
  <si>
    <t xml:space="preserve">Year,           Quarter                             &amp; Month 
</t>
    <phoneticPr fontId="8"/>
  </si>
  <si>
    <t>年・期・月</t>
    <phoneticPr fontId="8"/>
  </si>
  <si>
    <t>ガソリン</t>
    <phoneticPr fontId="8"/>
  </si>
  <si>
    <t>ナフサ</t>
    <phoneticPr fontId="8"/>
  </si>
  <si>
    <t>ジェット</t>
    <phoneticPr fontId="8"/>
  </si>
  <si>
    <t>灯油</t>
    <phoneticPr fontId="8"/>
  </si>
  <si>
    <t>軽油</t>
    <phoneticPr fontId="8"/>
  </si>
  <si>
    <t>重油</t>
    <phoneticPr fontId="8"/>
  </si>
  <si>
    <t>潤滑油</t>
    <phoneticPr fontId="18"/>
  </si>
  <si>
    <t>アスファルト</t>
    <phoneticPr fontId="18"/>
  </si>
  <si>
    <t>グリース</t>
    <phoneticPr fontId="18"/>
  </si>
  <si>
    <t>パラフィン</t>
    <phoneticPr fontId="18"/>
  </si>
  <si>
    <t>　液化石油ガス</t>
    <phoneticPr fontId="8"/>
  </si>
  <si>
    <t>液化天然ガス</t>
    <phoneticPr fontId="8"/>
  </si>
  <si>
    <t>P・P, P・B</t>
    <phoneticPr fontId="18"/>
  </si>
  <si>
    <t>B・B</t>
    <phoneticPr fontId="8"/>
  </si>
  <si>
    <t>Naphtha</t>
    <phoneticPr fontId="8"/>
  </si>
  <si>
    <t>Jet Fuel</t>
    <phoneticPr fontId="8"/>
  </si>
  <si>
    <t>Fuel Oil Total</t>
    <phoneticPr fontId="8"/>
  </si>
  <si>
    <t>Fuel Oil A</t>
    <phoneticPr fontId="8"/>
  </si>
  <si>
    <t>Fuel Oil              B･C</t>
    <phoneticPr fontId="8"/>
  </si>
  <si>
    <t>LPG</t>
    <phoneticPr fontId="8"/>
  </si>
  <si>
    <t>LNG</t>
    <phoneticPr fontId="8"/>
  </si>
  <si>
    <t>C.Y. 2017</t>
    <phoneticPr fontId="31"/>
  </si>
  <si>
    <t>C.Y. 2018</t>
    <phoneticPr fontId="31"/>
  </si>
  <si>
    <r>
      <t xml:space="preserve">  </t>
    </r>
    <r>
      <rPr>
        <sz val="8"/>
        <color theme="1"/>
        <rFont val="ＭＳ 明朝"/>
        <family val="1"/>
        <charset val="128"/>
      </rPr>
      <t>10</t>
    </r>
    <phoneticPr fontId="10"/>
  </si>
  <si>
    <r>
      <t xml:space="preserve">  </t>
    </r>
    <r>
      <rPr>
        <sz val="8"/>
        <color theme="1"/>
        <rFont val="ＭＳ 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  <phoneticPr fontId="31"/>
  </si>
  <si>
    <t xml:space="preserve">    Note : P・P is Propane・Propylene; P・B is Propane・Butane ; B・B is Butane・Butylene. </t>
    <phoneticPr fontId="8"/>
  </si>
  <si>
    <t xml:space="preserve">      Monthly Inventory and Sales to Consumers, Wholesalers and Retailers by Manufacturers and Importers </t>
    <phoneticPr fontId="72"/>
  </si>
  <si>
    <t xml:space="preserve">  (単位：kl/Unit:kl)</t>
    <phoneticPr fontId="72"/>
  </si>
  <si>
    <t>計</t>
    <phoneticPr fontId="72"/>
  </si>
  <si>
    <t>Total</t>
    <phoneticPr fontId="72"/>
  </si>
  <si>
    <t>ガ</t>
    <phoneticPr fontId="72"/>
  </si>
  <si>
    <t>自動車用高級</t>
    <phoneticPr fontId="72"/>
  </si>
  <si>
    <t>Sale</t>
    <phoneticPr fontId="72"/>
  </si>
  <si>
    <t>自動車用並級</t>
    <phoneticPr fontId="72"/>
  </si>
  <si>
    <t>ソ</t>
    <phoneticPr fontId="72"/>
  </si>
  <si>
    <t xml:space="preserve">    Others </t>
    <phoneticPr fontId="72"/>
  </si>
  <si>
    <t>Gasoline</t>
    <phoneticPr fontId="72"/>
  </si>
  <si>
    <t>リ</t>
    <phoneticPr fontId="72"/>
  </si>
  <si>
    <t>計</t>
    <phoneticPr fontId="72"/>
  </si>
  <si>
    <t>末在庫</t>
    <phoneticPr fontId="72"/>
  </si>
  <si>
    <t xml:space="preserve">    Premium Gasoline </t>
    <phoneticPr fontId="72"/>
  </si>
  <si>
    <t>Inventory</t>
    <phoneticPr fontId="72"/>
  </si>
  <si>
    <t xml:space="preserve">    Regular Gasoline </t>
    <phoneticPr fontId="72"/>
  </si>
  <si>
    <t>計</t>
    <phoneticPr fontId="72"/>
  </si>
  <si>
    <t>ナ</t>
    <phoneticPr fontId="72"/>
  </si>
  <si>
    <t>石油化学用</t>
    <phoneticPr fontId="72"/>
  </si>
  <si>
    <t xml:space="preserve">    Petrochemical Use</t>
    <phoneticPr fontId="72"/>
  </si>
  <si>
    <t xml:space="preserve">    Others </t>
    <phoneticPr fontId="72"/>
  </si>
  <si>
    <t>Naphtha</t>
    <phoneticPr fontId="72"/>
  </si>
  <si>
    <t>フ</t>
    <phoneticPr fontId="72"/>
  </si>
  <si>
    <t>Total</t>
    <phoneticPr fontId="72"/>
  </si>
  <si>
    <t>サ</t>
    <phoneticPr fontId="72"/>
  </si>
  <si>
    <t>Inventory</t>
    <phoneticPr fontId="72"/>
  </si>
  <si>
    <t xml:space="preserve">    Others </t>
    <phoneticPr fontId="72"/>
  </si>
  <si>
    <t>Total</t>
    <phoneticPr fontId="72"/>
  </si>
  <si>
    <t>ガソリンエンジン油</t>
    <phoneticPr fontId="72"/>
  </si>
  <si>
    <t xml:space="preserve">    Diesel Engine Oil</t>
    <phoneticPr fontId="72"/>
  </si>
  <si>
    <t>そ の 他 車 両 用</t>
    <phoneticPr fontId="72"/>
  </si>
  <si>
    <t>船舶エ ン ジ ン油</t>
    <phoneticPr fontId="72"/>
  </si>
  <si>
    <t xml:space="preserve">    Marine Diesel Engine Oil</t>
    <phoneticPr fontId="72"/>
  </si>
  <si>
    <t xml:space="preserve">    Mechanical Oil</t>
    <phoneticPr fontId="72"/>
  </si>
  <si>
    <t>金　属　加　工　油</t>
    <phoneticPr fontId="72"/>
  </si>
  <si>
    <t xml:space="preserve">    Metal Working Oil</t>
    <phoneticPr fontId="72"/>
  </si>
  <si>
    <t>電　気　絶　縁　油</t>
    <phoneticPr fontId="72"/>
  </si>
  <si>
    <t xml:space="preserve">    Electrical Insulating Oil</t>
    <phoneticPr fontId="72"/>
  </si>
  <si>
    <t xml:space="preserve">    Other Specific Lubricating Oil</t>
    <phoneticPr fontId="72"/>
  </si>
  <si>
    <t>そ　 　 の　  　他</t>
    <phoneticPr fontId="72"/>
  </si>
  <si>
    <t xml:space="preserve">    Other Lubricating Oil</t>
    <phoneticPr fontId="72"/>
  </si>
  <si>
    <t>Lubricating</t>
    <phoneticPr fontId="72"/>
  </si>
  <si>
    <t>Total</t>
    <phoneticPr fontId="72"/>
  </si>
  <si>
    <t xml:space="preserve">  Oil</t>
    <phoneticPr fontId="72"/>
  </si>
  <si>
    <t>ガソリンエンジン油</t>
    <phoneticPr fontId="72"/>
  </si>
  <si>
    <t xml:space="preserve">    Gasoline Engine Oil</t>
    <phoneticPr fontId="72"/>
  </si>
  <si>
    <t xml:space="preserve">    Diesel Engine Oil</t>
    <phoneticPr fontId="72"/>
  </si>
  <si>
    <t>そ の 他 車 両 用</t>
    <phoneticPr fontId="72"/>
  </si>
  <si>
    <t xml:space="preserve">    Other Lubricating Oil for Automobile</t>
    <phoneticPr fontId="72"/>
  </si>
  <si>
    <t>末在庫</t>
    <phoneticPr fontId="72"/>
  </si>
  <si>
    <t>船舶エ ン ジ ン油</t>
    <phoneticPr fontId="72"/>
  </si>
  <si>
    <t xml:space="preserve">    Marine Diesel Engine Oil</t>
    <phoneticPr fontId="72"/>
  </si>
  <si>
    <t>機　　　械　　　油</t>
    <phoneticPr fontId="72"/>
  </si>
  <si>
    <t xml:space="preserve">    Mechanical Oil</t>
    <phoneticPr fontId="72"/>
  </si>
  <si>
    <t>Inventory</t>
    <phoneticPr fontId="72"/>
  </si>
  <si>
    <t>金　属　加　工　油</t>
    <phoneticPr fontId="72"/>
  </si>
  <si>
    <t xml:space="preserve">    Metal Working Oil</t>
    <phoneticPr fontId="72"/>
  </si>
  <si>
    <t>電　気　絶　縁　油</t>
    <phoneticPr fontId="72"/>
  </si>
  <si>
    <t xml:space="preserve">    Electrical Insulating Oil</t>
    <phoneticPr fontId="72"/>
  </si>
  <si>
    <t xml:space="preserve">    Other Specific Lubricating Oil</t>
    <phoneticPr fontId="72"/>
  </si>
  <si>
    <t>そ　 　 の　  　他</t>
    <phoneticPr fontId="72"/>
  </si>
  <si>
    <t xml:space="preserve">    Other Lubricating Oil</t>
    <phoneticPr fontId="72"/>
  </si>
  <si>
    <t>Ｒｅｆｅｒｅｎｃｅ</t>
    <phoneticPr fontId="31"/>
  </si>
  <si>
    <t xml:space="preserve">令和 3年   1月　 </t>
    <rPh sb="0" eb="2">
      <t>レイワ</t>
    </rPh>
    <phoneticPr fontId="31"/>
  </si>
  <si>
    <t xml:space="preserve">           2</t>
    <phoneticPr fontId="31"/>
  </si>
  <si>
    <t xml:space="preserve">           3</t>
    <phoneticPr fontId="31"/>
  </si>
  <si>
    <t xml:space="preserve">           4</t>
    <phoneticPr fontId="31"/>
  </si>
  <si>
    <t>　　　　   5</t>
    <phoneticPr fontId="31"/>
  </si>
  <si>
    <t xml:space="preserve">           6</t>
    <phoneticPr fontId="31"/>
  </si>
  <si>
    <t xml:space="preserve">           7</t>
    <phoneticPr fontId="31"/>
  </si>
  <si>
    <t xml:space="preserve">           8</t>
    <phoneticPr fontId="31"/>
  </si>
  <si>
    <t xml:space="preserve">           9</t>
    <phoneticPr fontId="31"/>
  </si>
  <si>
    <t xml:space="preserve">          10</t>
    <phoneticPr fontId="31"/>
  </si>
  <si>
    <t xml:space="preserve">          11</t>
    <phoneticPr fontId="31"/>
  </si>
  <si>
    <t xml:space="preserve">          12</t>
    <phoneticPr fontId="31"/>
  </si>
  <si>
    <t>令和  4年  1</t>
    <phoneticPr fontId="31"/>
  </si>
  <si>
    <t xml:space="preserve"> (ﾄﾞﾙ/ﾊﾞﾚﾙ)                ($/barrel)</t>
    <phoneticPr fontId="31"/>
  </si>
  <si>
    <t>　　　 Import of Crude Oil, Value（CIF）,Average API gravity and Average Sulfur by Month and Contract</t>
    <phoneticPr fontId="10"/>
  </si>
  <si>
    <t>輸入量(kl)                                                                      Crude Oil Import  ( kl )</t>
    <phoneticPr fontId="10"/>
  </si>
  <si>
    <t>Spot Contract</t>
  </si>
  <si>
    <t>平成29年</t>
  </si>
  <si>
    <t xml:space="preserve">    30</t>
    <phoneticPr fontId="31"/>
  </si>
  <si>
    <t xml:space="preserve">     3</t>
    <phoneticPr fontId="31"/>
  </si>
  <si>
    <t>C.Y.     2021</t>
    <phoneticPr fontId="10"/>
  </si>
  <si>
    <t>令和 2年度</t>
    <rPh sb="0" eb="1">
      <t>レイワ</t>
    </rPh>
    <phoneticPr fontId="31"/>
  </si>
  <si>
    <t>F.Y.     2021</t>
    <phoneticPr fontId="10"/>
  </si>
  <si>
    <t>令和 3年 1～ 3月</t>
    <rPh sb="0" eb="1">
      <t>レイワ</t>
    </rPh>
    <phoneticPr fontId="31"/>
  </si>
  <si>
    <t>Q1     2021</t>
    <phoneticPr fontId="10"/>
  </si>
  <si>
    <t>令和 4年 1～ 3</t>
    <phoneticPr fontId="31"/>
  </si>
  <si>
    <t>Q1      2022</t>
    <phoneticPr fontId="10"/>
  </si>
  <si>
    <t>Jan.    2021</t>
    <phoneticPr fontId="10"/>
  </si>
  <si>
    <t>令和 4年 1</t>
    <phoneticPr fontId="31"/>
  </si>
  <si>
    <t>Jan.    2022</t>
    <phoneticPr fontId="10"/>
  </si>
  <si>
    <t>（２）原油供給者区分別、月別輸入 /Import of Crude Oil by Month and Supplier</t>
    <phoneticPr fontId="10"/>
  </si>
  <si>
    <t xml:space="preserve">（３）原油国別、契約期間別輸入、平均API度及び平均硫黄分（令和3年） / </t>
    <rPh sb="3" eb="5">
      <t>ゲンユ</t>
    </rPh>
    <rPh sb="30" eb="32">
      <t>レイワ</t>
    </rPh>
    <phoneticPr fontId="10"/>
  </si>
  <si>
    <t>　　　 Import of Crude Oil, Average API gravity and Average Sulfur by Country and Contract(C.Y.2021)</t>
    <phoneticPr fontId="10"/>
  </si>
  <si>
    <t xml:space="preserve">輸入量(kl)  Crude Oil Import (kl) </t>
    <phoneticPr fontId="10"/>
  </si>
  <si>
    <t>平均     API度</t>
    <phoneticPr fontId="10"/>
  </si>
  <si>
    <t>平均    硫黄分</t>
    <phoneticPr fontId="10"/>
  </si>
  <si>
    <t xml:space="preserve">Country </t>
    <phoneticPr fontId="10"/>
  </si>
  <si>
    <t>長期契約</t>
    <phoneticPr fontId="10"/>
  </si>
  <si>
    <t>スポット契約</t>
    <phoneticPr fontId="10"/>
  </si>
  <si>
    <t>スポット比率</t>
    <phoneticPr fontId="10"/>
  </si>
  <si>
    <t>Avg.　　　　Sulfur</t>
    <phoneticPr fontId="10"/>
  </si>
  <si>
    <t>Term Contract</t>
    <phoneticPr fontId="10"/>
  </si>
  <si>
    <t>Spot Contract</t>
    <phoneticPr fontId="10"/>
  </si>
  <si>
    <t>（ｗｔ%）</t>
    <phoneticPr fontId="10"/>
  </si>
  <si>
    <t>注3：「その他」は、輸入実績が2社以下の国。令和3年の内訳は、カザフスタン、ベトナム、タイ、マレーシア、ブルネイ、インドネシア、イラク、中立地帯、</t>
    <phoneticPr fontId="61"/>
  </si>
  <si>
    <t>　　　　オマーン、英国、メキシコ、ブラジル、アルジェリア、リビア、スーダン、モザンビーク、パプアニューギニア。</t>
    <phoneticPr fontId="10"/>
  </si>
  <si>
    <t>NOTE1：The source is “The oil import survey”by Agency for Natural Resources and Energy.</t>
    <phoneticPr fontId="10"/>
  </si>
  <si>
    <t>NOTE2：As for sign of “X”,the number of companies means two or less.Therefore,import volume does not describe the kind of the contract clearly.</t>
    <phoneticPr fontId="10"/>
  </si>
  <si>
    <t>NOTE3：Others include Kazakhstan,Viet Nam,Thailand,Malaysia,Brunei,Indonesia,Iraq,Neutral Zone,Oman,United Kingdom,Mexico,Brazil,</t>
    <phoneticPr fontId="10"/>
  </si>
  <si>
    <t xml:space="preserve">            Algeria,Libya,Sudan,Mozambique and Papua New Guinea.</t>
    <phoneticPr fontId="10"/>
  </si>
  <si>
    <t xml:space="preserve">            The number of companies that imported it from these countries is two or less.</t>
    <phoneticPr fontId="10"/>
  </si>
  <si>
    <t xml:space="preserve">（４）原油国別、契約期間別輸入、平均ＡＰＩ度及び平均硫黄分（令和3年度） / </t>
    <rPh sb="3" eb="5">
      <t>ゲンユ</t>
    </rPh>
    <rPh sb="30" eb="32">
      <t>レイワ</t>
    </rPh>
    <phoneticPr fontId="10"/>
  </si>
  <si>
    <t>　　　 Import of Crude Oil, Average API gravity and Average Sulfur by Country and Contract(F.Y.2021)</t>
    <phoneticPr fontId="10"/>
  </si>
  <si>
    <t xml:space="preserve">輸入量(kl)  Crude Oil Import (kl) </t>
    <phoneticPr fontId="10"/>
  </si>
  <si>
    <t>構成比</t>
    <phoneticPr fontId="30"/>
  </si>
  <si>
    <t>Share（％）</t>
    <phoneticPr fontId="10"/>
  </si>
  <si>
    <t>Spot    Ratio (%)</t>
    <phoneticPr fontId="10"/>
  </si>
  <si>
    <t>（60℉）</t>
    <phoneticPr fontId="31"/>
  </si>
  <si>
    <t>注3：「その他」は、輸入実績が2社以下の国。令和3年度の内訳は、カザフスタン、ベトナム、タイ、マレーシア、ブルネイ、インドネシア、イラク、中立地帯、</t>
    <phoneticPr fontId="61"/>
  </si>
  <si>
    <t>　　　　オマーン、英国、アメリカ合衆国、メキシコ、ブラジル、アルジェリア、リビア、スーダン、モザンビーク、パプアニューギニア。</t>
    <phoneticPr fontId="10"/>
  </si>
  <si>
    <t>NOTE3：Others include Kazakhstan,Viet Nam,Thailand,Malaysia,Brunei,Indonesia,Iraq,Neutral Zone,Oman,United Kingdom,</t>
    <phoneticPr fontId="10"/>
  </si>
  <si>
    <t xml:space="preserve">            United States of America,Mexico,Brazil,Algeria,Libya,Sudan,Mozambique and Papua New Guinea.</t>
    <phoneticPr fontId="10"/>
  </si>
  <si>
    <t xml:space="preserve">             The number of companies that imported it from these countries is two or less.</t>
    <phoneticPr fontId="10"/>
  </si>
  <si>
    <t>（５）原油国別、契約期間別、ＣＩＦ総額（令和3年） / Import of Crude Oil Value(CIF) by Country and Contract(C.Y.2021)</t>
    <rPh sb="3" eb="5">
      <t>ゲンユ</t>
    </rPh>
    <rPh sb="20" eb="22">
      <t>レイワ</t>
    </rPh>
    <phoneticPr fontId="10"/>
  </si>
  <si>
    <r>
      <t>CIF総額（千ドル）　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0"/>
  </si>
  <si>
    <t>Total Value</t>
    <phoneticPr fontId="10"/>
  </si>
  <si>
    <t>Term Contract</t>
    <phoneticPr fontId="10"/>
  </si>
  <si>
    <t>Spot Contract</t>
    <phoneticPr fontId="10"/>
  </si>
  <si>
    <t>　　　　オマーン、英国、メキシコ、ブラジル、アルジェリア、リビア、スーダン、モザンビーク、パプアニューギニア。</t>
    <phoneticPr fontId="10"/>
  </si>
  <si>
    <t>NOTE1：The source is “The oil import survey”by Agency for Natural Resources and Energy.</t>
    <phoneticPr fontId="10"/>
  </si>
  <si>
    <t>NOTE2：As for sign of “X”,the number of companies means two or less.Therefore,import value does not describe the kind of the contract clearly.</t>
    <phoneticPr fontId="10"/>
  </si>
  <si>
    <t>NOTE3：Others include Kazakhstan,Viet Nam,Thailand,Malaysia,Brunei,Indonesia,Iraq,Neutral Zone,Oman,United Kingdom,Mexico,Brazil,</t>
    <phoneticPr fontId="10"/>
  </si>
  <si>
    <t xml:space="preserve">            Algeria,Libya,Sudan,Mozambique and Papua New Guinea.</t>
    <phoneticPr fontId="10"/>
  </si>
  <si>
    <t xml:space="preserve">            The number of companies that imported it from these countries is two or less.</t>
    <phoneticPr fontId="10"/>
  </si>
  <si>
    <t>（６）原油国別、契約期間別、ＣＩＦ総額（令和3年度） / Import of Crude Oil Value(CIF) by Country and Contract(F.Y.2021)</t>
    <rPh sb="3" eb="5">
      <t>ゲンユ</t>
    </rPh>
    <rPh sb="20" eb="22">
      <t>レイワ</t>
    </rPh>
    <phoneticPr fontId="10"/>
  </si>
  <si>
    <r>
      <t>CIF総額（千ドル）　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0"/>
  </si>
  <si>
    <t>Country</t>
    <phoneticPr fontId="10"/>
  </si>
  <si>
    <t>注3：「その他」は、輸入実績が2社以下の国。令和3年度の内訳は、カザフスタン、ベトナム、タイ、マレーシア、ブルネイ、インドネシア、イラク、中立地帯、</t>
    <phoneticPr fontId="61"/>
  </si>
  <si>
    <t>　　　　オマーン、英国、アメリカ合衆国、メキシコ、ブラジル、アルジェリア、リビア、スーダン、モザンビーク、パプアニューギニア。</t>
    <phoneticPr fontId="10"/>
  </si>
  <si>
    <t xml:space="preserve">            The number of companies that imported it from these countries is two or less.</t>
    <phoneticPr fontId="10"/>
  </si>
  <si>
    <t xml:space="preserve">（７）原油国別船積数量、FOB、運賃総額及び保険料総額（令和3年） / </t>
    <rPh sb="3" eb="5">
      <t>ゲンユ</t>
    </rPh>
    <rPh sb="28" eb="30">
      <t>レイワ</t>
    </rPh>
    <phoneticPr fontId="10"/>
  </si>
  <si>
    <t>　　　 Import of Crude Oil, Shipped Quantity,FOB,Freight and Insurance by Country (C.Y.2021)</t>
    <phoneticPr fontId="10"/>
  </si>
  <si>
    <t>FOB</t>
    <phoneticPr fontId="10"/>
  </si>
  <si>
    <t>Shipped Quantity</t>
    <phoneticPr fontId="10"/>
  </si>
  <si>
    <t>(千ドル)</t>
    <phoneticPr fontId="30"/>
  </si>
  <si>
    <t>（barrel)</t>
    <phoneticPr fontId="10"/>
  </si>
  <si>
    <t>（$/barrel）</t>
    <phoneticPr fontId="10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</si>
  <si>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0"/>
  </si>
  <si>
    <t>注2：「その他」は、輸入実績が2社以下の国。令和3年の内訳は、カザフスタン、ベトナム、タイ、マレーシア、ブルネイ、インドネシア、イラク、中立地帯、</t>
    <phoneticPr fontId="61"/>
  </si>
  <si>
    <t>　　　　オマーン、英国、メキシコ、ブラジル、アルジェリア、リビア、スーダン、モザンビーク、パプアニューギニア。</t>
    <phoneticPr fontId="10"/>
  </si>
  <si>
    <t>NOTE2：Others include Kazakhstan,Viet Nam,Thailand,Malaysia,Brunei,Indonesia,Iraq,Neutral Zone,Oman,United Kingdom,Mexico,Brazil,</t>
    <phoneticPr fontId="10"/>
  </si>
  <si>
    <t xml:space="preserve">            Algeria,Libya,Sudan,Mozambique and Papua New Guinea.</t>
    <phoneticPr fontId="10"/>
  </si>
  <si>
    <t xml:space="preserve">            The number of companies that imported it from these countries is two or less.</t>
    <phoneticPr fontId="10"/>
  </si>
  <si>
    <t xml:space="preserve">（８）原油国別船積数量、FOB、運賃総額及び保険料総額（令和3年度） / </t>
    <rPh sb="3" eb="5">
      <t>ゲンユ</t>
    </rPh>
    <rPh sb="28" eb="30">
      <t>レイワ</t>
    </rPh>
    <phoneticPr fontId="10"/>
  </si>
  <si>
    <t>　　　  Import of Crude Oil, Shipped Quantity,FOB,Freight and Insurance by Country (F.Y.2021)</t>
    <phoneticPr fontId="10"/>
  </si>
  <si>
    <t>FOB</t>
    <phoneticPr fontId="10"/>
  </si>
  <si>
    <t>Countrｙ</t>
    <phoneticPr fontId="10"/>
  </si>
  <si>
    <t>Shipped Quantity</t>
    <phoneticPr fontId="10"/>
  </si>
  <si>
    <t>Freight</t>
    <phoneticPr fontId="10"/>
  </si>
  <si>
    <t>（$/barrel）</t>
    <phoneticPr fontId="10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</si>
  <si>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0"/>
  </si>
  <si>
    <t>注2：「その他」は、輸入実績が2社以下の国。令和3年度の内訳は、カザフスタン、ベトナム、タイ、マレーシア、ブルネイ、インドネシア、イラク、中立地帯、</t>
    <rPh sb="22" eb="24">
      <t>レイワ</t>
    </rPh>
    <phoneticPr fontId="61"/>
  </si>
  <si>
    <t>　　　　オマーン、英国、アメリカ合衆国、メキシコ、ブラジル、アルジェリア、リビア、スーダン、モザンビーク、パプアニューギニア。</t>
    <phoneticPr fontId="10"/>
  </si>
  <si>
    <t>NOTE2：Others include Kazakhstan,Viet Nam,Thailand,Malaysia,Brunei,Indonesia,Iraq,Neutral Zone,Oman,United Kingdom,</t>
    <phoneticPr fontId="10"/>
  </si>
  <si>
    <t xml:space="preserve">            United States of America,Mexico,Brazil,Algeria,Libya,Sudan,Mozambique and Papua New Guinea.</t>
    <phoneticPr fontId="10"/>
  </si>
  <si>
    <t xml:space="preserve">　　　　　 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</si>
</sst>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¥&quot;#,##0;[Red]&quot;¥&quot;\-#,##0"/>
    <numFmt numFmtId="176" formatCode="mmm\."/>
    <numFmt numFmtId="177" formatCode="#,##0;&quot;▲ &quot;#,##0;#.##0;* @"/>
    <numFmt numFmtId="178" formatCode="mmm\.\ yyyy"/>
    <numFmt numFmtId="179" formatCode="&quot;Q1&quot;\ \ yyyy"/>
    <numFmt numFmtId="180" formatCode="&quot;Q4&quot;\ \ "/>
    <numFmt numFmtId="181" formatCode="&quot;Q3&quot;\ \ "/>
    <numFmt numFmtId="182" formatCode="&quot;Q2&quot;\ \ "/>
    <numFmt numFmtId="183" formatCode="&quot;F.Y.&quot;\ yyyy"/>
    <numFmt numFmtId="184" formatCode="&quot;C.Y.&quot;\ yyyy"/>
    <numFmt numFmtId="185" formatCode="#,##0;[Red]#,##0"/>
    <numFmt numFmtId="186" formatCode="\(#,##0\)"/>
    <numFmt numFmtId="187" formatCode="&quot;r&quot;\ #,##0;&quot;*&quot;&quot;*&quot;\ \ \ \ \ \ \ \ \ \ \ \ \ &quot;▲ &quot;#,##0"/>
    <numFmt numFmtId="188" formatCode="0_);[Red]\(0\)"/>
    <numFmt numFmtId="189" formatCode="mmm"/>
    <numFmt numFmtId="190" formatCode="m&quot;月&quot;"/>
    <numFmt numFmtId="191" formatCode="ggge&quot;年&quot;"/>
    <numFmt numFmtId="192" formatCode="#,##0,"/>
    <numFmt numFmtId="193" formatCode="0.00_ "/>
    <numFmt numFmtId="194" formatCode="#,##0_ ;[Red]\-#,##0\ "/>
    <numFmt numFmtId="195" formatCode="0.0_ "/>
    <numFmt numFmtId="196" formatCode="0.00;[Red]0.00"/>
    <numFmt numFmtId="197" formatCode="0.0;[Red]0.0"/>
    <numFmt numFmtId="198" formatCode="0.00000_ "/>
    <numFmt numFmtId="199" formatCode="#,##0.0;[Red]\-#,##0.0"/>
    <numFmt numFmtId="200" formatCode="#,##0;&quot;▲&quot;#.##0;#.##0;* @"/>
    <numFmt numFmtId="201" formatCode="#,##0.00;&quot;▲&quot;#.##000;#.##000;* @"/>
    <numFmt numFmtId="202" formatCode="#,##0_ "/>
    <numFmt numFmtId="203" formatCode="&quot;r&quot;\ \ \ #,##0;&quot;*&quot;&quot;*&quot;\ \ \ \ \ \ \ \ \ \ \ \ \ &quot;▲ &quot;#,##0"/>
    <numFmt numFmtId="204" formatCode="e&quot;年&quot;m&quot;月&quot;"/>
    <numFmt numFmtId="205" formatCode="0.00_);[Red]\(0.00\)"/>
  </numFmts>
  <fonts count="92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sz val="20"/>
      <name val="ＭＳ 明朝"/>
      <family val="1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20"/>
      <name val="ＭＳ ゴシック"/>
      <family val="3"/>
      <charset val="128"/>
    </font>
    <font>
      <sz val="8"/>
      <name val="ＭＳ Ｐ明朝"/>
      <family val="1"/>
      <charset val="128"/>
    </font>
    <font>
      <sz val="8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u/>
      <sz val="9"/>
      <color theme="10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3"/>
      <charset val="128"/>
    </font>
    <font>
      <u/>
      <sz val="12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26"/>
      <color rgb="FF130AC2"/>
      <name val="ＭＳ Ｐゴシック"/>
      <family val="3"/>
      <charset val="128"/>
      <scheme val="minor"/>
    </font>
    <font>
      <sz val="11"/>
      <color rgb="FF130AC2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0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7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7.5"/>
      <color indexed="8"/>
      <name val="ＭＳ Ｐ明朝"/>
      <family val="1"/>
      <charset val="128"/>
    </font>
    <font>
      <sz val="7.1"/>
      <color indexed="8"/>
      <name val="ＭＳ Ｐ明朝"/>
      <family val="1"/>
      <charset val="128"/>
    </font>
    <font>
      <sz val="14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sz val="4"/>
      <color indexed="8"/>
      <name val="ＭＳ Ｐ明朝"/>
      <family val="1"/>
      <charset val="128"/>
    </font>
    <font>
      <b/>
      <sz val="14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8"/>
      <name val="ＭＳ Ｐ明朝"/>
      <family val="1"/>
      <charset val="128"/>
    </font>
    <font>
      <sz val="6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7.8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0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color rgb="FFC00000"/>
      <name val="ＭＳ Ｐ明朝"/>
      <family val="1"/>
      <charset val="128"/>
    </font>
    <font>
      <sz val="9"/>
      <name val="ｺﾞｼｯｸ"/>
      <family val="3"/>
      <charset val="128"/>
    </font>
    <font>
      <b/>
      <sz val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6"/>
      <color indexed="8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vertAlign val="superscript"/>
      <sz val="8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sz val="4"/>
      <name val="ＭＳ 明朝"/>
      <family val="1"/>
      <charset val="128"/>
    </font>
    <font>
      <sz val="7"/>
      <name val="ＭＳ 明朝"/>
      <family val="1"/>
      <charset val="128"/>
    </font>
    <font>
      <sz val="6.8"/>
      <name val="ＭＳ Ｐ明朝"/>
      <family val="1"/>
      <charset val="128"/>
    </font>
    <font>
      <b/>
      <sz val="1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8"/>
      <color indexed="8"/>
      <name val="ＭＳ Ｐ明朝"/>
      <family val="1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明朝"/>
      <family val="1"/>
      <charset val="128"/>
    </font>
    <font>
      <sz val="6.5"/>
      <name val="ＭＳ Ｐ明朝"/>
      <family val="1"/>
      <charset val="128"/>
    </font>
    <font>
      <sz val="20"/>
      <color indexed="8"/>
      <name val="ＭＳ 明朝"/>
      <family val="1"/>
      <charset val="128"/>
    </font>
    <font>
      <sz val="8"/>
      <color indexed="8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2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9" fillId="0" borderId="0"/>
    <xf numFmtId="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6" fontId="6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7" fillId="0" borderId="0"/>
    <xf numFmtId="0" fontId="18" fillId="0" borderId="0"/>
    <xf numFmtId="0" fontId="8" fillId="0" borderId="0"/>
    <xf numFmtId="37" fontId="8" fillId="0" borderId="0"/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01">
    <xf numFmtId="0" fontId="0" fillId="0" borderId="0" xfId="0">
      <alignment vertical="center"/>
    </xf>
    <xf numFmtId="0" fontId="0" fillId="0" borderId="0" xfId="0" applyFill="1">
      <alignment vertical="center"/>
    </xf>
    <xf numFmtId="0" fontId="21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23" fillId="0" borderId="0" xfId="0" applyFont="1" applyFill="1">
      <alignment vertical="center"/>
    </xf>
    <xf numFmtId="0" fontId="24" fillId="0" borderId="0" xfId="1" applyFont="1" applyFill="1" applyAlignment="1" applyProtection="1">
      <alignment vertical="center"/>
    </xf>
    <xf numFmtId="0" fontId="25" fillId="0" borderId="0" xfId="0" applyFont="1" applyFill="1">
      <alignment vertical="center"/>
    </xf>
    <xf numFmtId="0" fontId="26" fillId="0" borderId="0" xfId="0" applyFont="1" applyFill="1">
      <alignment vertical="center"/>
    </xf>
    <xf numFmtId="0" fontId="27" fillId="0" borderId="0" xfId="0" applyFont="1" applyFill="1">
      <alignment vertical="center"/>
    </xf>
    <xf numFmtId="0" fontId="28" fillId="0" borderId="0" xfId="0" applyFont="1" applyFill="1">
      <alignment vertical="center"/>
    </xf>
    <xf numFmtId="0" fontId="29" fillId="0" borderId="0" xfId="0" applyFont="1" applyFill="1">
      <alignment vertical="center"/>
    </xf>
    <xf numFmtId="38" fontId="11" fillId="0" borderId="0" xfId="2" applyFont="1" applyFill="1" applyAlignment="1"/>
    <xf numFmtId="38" fontId="11" fillId="0" borderId="0" xfId="2" applyFont="1" applyFill="1" applyBorder="1" applyAlignment="1"/>
    <xf numFmtId="38" fontId="16" fillId="0" borderId="0" xfId="2" applyFont="1" applyFill="1" applyAlignment="1"/>
    <xf numFmtId="38" fontId="15" fillId="0" borderId="3" xfId="2" applyFont="1" applyFill="1" applyBorder="1" applyAlignment="1">
      <alignment horizontal="center" vertical="center" wrapText="1"/>
    </xf>
    <xf numFmtId="38" fontId="15" fillId="0" borderId="0" xfId="2" applyFont="1" applyFill="1" applyBorder="1" applyAlignment="1">
      <alignment horizontal="center" vertical="center" wrapText="1"/>
    </xf>
    <xf numFmtId="38" fontId="15" fillId="0" borderId="7" xfId="2" applyFont="1" applyFill="1" applyBorder="1" applyAlignment="1">
      <alignment horizontal="center" vertical="center" wrapText="1"/>
    </xf>
    <xf numFmtId="38" fontId="15" fillId="0" borderId="11" xfId="2" applyFont="1" applyFill="1" applyBorder="1" applyAlignment="1">
      <alignment horizontal="center" vertical="center" wrapText="1"/>
    </xf>
    <xf numFmtId="38" fontId="15" fillId="0" borderId="10" xfId="2" applyFont="1" applyFill="1" applyBorder="1" applyAlignment="1">
      <alignment horizontal="center" vertical="center" wrapText="1"/>
    </xf>
    <xf numFmtId="38" fontId="15" fillId="0" borderId="0" xfId="2" applyFont="1" applyFill="1" applyBorder="1" applyAlignment="1"/>
    <xf numFmtId="38" fontId="15" fillId="0" borderId="2" xfId="2" applyFont="1" applyFill="1" applyBorder="1" applyAlignment="1">
      <alignment horizontal="center" vertical="center" wrapText="1"/>
    </xf>
    <xf numFmtId="38" fontId="15" fillId="0" borderId="0" xfId="2" applyFont="1" applyFill="1" applyAlignment="1"/>
    <xf numFmtId="0" fontId="24" fillId="0" borderId="0" xfId="1" applyFont="1" applyFill="1" applyBorder="1" applyAlignment="1" applyProtection="1">
      <alignment vertical="center"/>
    </xf>
    <xf numFmtId="0" fontId="24" fillId="0" borderId="0" xfId="1" quotePrefix="1" applyFont="1" applyFill="1" applyAlignment="1" applyProtection="1">
      <alignment vertical="center"/>
    </xf>
    <xf numFmtId="0" fontId="15" fillId="0" borderId="1" xfId="5" applyFont="1" applyFill="1" applyBorder="1" applyAlignment="1">
      <alignment horizontal="right"/>
    </xf>
    <xf numFmtId="0" fontId="12" fillId="0" borderId="0" xfId="5" applyFont="1" applyFill="1"/>
    <xf numFmtId="0" fontId="11" fillId="0" borderId="0" xfId="5" applyFont="1" applyFill="1"/>
    <xf numFmtId="0" fontId="11" fillId="0" borderId="0" xfId="5" applyNumberFormat="1" applyFont="1" applyFill="1" applyAlignment="1"/>
    <xf numFmtId="0" fontId="12" fillId="0" borderId="0" xfId="5" applyFont="1" applyFill="1" applyBorder="1"/>
    <xf numFmtId="0" fontId="14" fillId="0" borderId="1" xfId="5" applyFont="1" applyFill="1" applyBorder="1"/>
    <xf numFmtId="0" fontId="11" fillId="0" borderId="1" xfId="5" applyFont="1" applyFill="1" applyBorder="1"/>
    <xf numFmtId="0" fontId="11" fillId="0" borderId="1" xfId="5" applyFont="1" applyFill="1" applyBorder="1" applyAlignment="1">
      <alignment horizontal="center" vertical="center"/>
    </xf>
    <xf numFmtId="0" fontId="15" fillId="0" borderId="0" xfId="5" applyFont="1" applyFill="1" applyBorder="1" applyAlignment="1">
      <alignment horizontal="right"/>
    </xf>
    <xf numFmtId="0" fontId="15" fillId="0" borderId="10" xfId="5" applyNumberFormat="1" applyFont="1" applyFill="1" applyBorder="1" applyAlignment="1">
      <alignment horizontal="center" vertical="center" wrapText="1"/>
    </xf>
    <xf numFmtId="0" fontId="11" fillId="0" borderId="0" xfId="5" applyFont="1" applyFill="1" applyBorder="1" applyAlignment="1">
      <alignment horizontal="center" vertical="center"/>
    </xf>
    <xf numFmtId="38" fontId="15" fillId="0" borderId="8" xfId="2" applyFont="1" applyFill="1" applyBorder="1" applyAlignment="1">
      <alignment horizontal="center" vertical="center" wrapText="1"/>
    </xf>
    <xf numFmtId="38" fontId="15" fillId="0" borderId="9" xfId="2" applyFont="1" applyFill="1" applyBorder="1" applyAlignment="1">
      <alignment horizontal="center" vertical="center" wrapText="1"/>
    </xf>
    <xf numFmtId="38" fontId="15" fillId="0" borderId="5" xfId="2" applyFont="1" applyFill="1" applyBorder="1" applyAlignment="1"/>
    <xf numFmtId="0" fontId="15" fillId="0" borderId="3" xfId="5" applyNumberFormat="1" applyFont="1" applyFill="1" applyBorder="1" applyAlignment="1">
      <alignment horizontal="center" vertical="center" wrapText="1"/>
    </xf>
    <xf numFmtId="0" fontId="15" fillId="0" borderId="9" xfId="5" applyNumberFormat="1" applyFont="1" applyFill="1" applyBorder="1" applyAlignment="1">
      <alignment horizontal="center" vertical="center" wrapText="1"/>
    </xf>
    <xf numFmtId="0" fontId="15" fillId="0" borderId="7" xfId="5" applyNumberFormat="1" applyFont="1" applyFill="1" applyBorder="1" applyAlignment="1">
      <alignment horizontal="center" vertical="center" wrapText="1"/>
    </xf>
    <xf numFmtId="38" fontId="15" fillId="0" borderId="5" xfId="2" applyFont="1" applyFill="1" applyBorder="1" applyAlignment="1">
      <alignment horizontal="left" vertical="center"/>
    </xf>
    <xf numFmtId="0" fontId="15" fillId="0" borderId="6" xfId="5" applyNumberFormat="1" applyFont="1" applyFill="1" applyBorder="1" applyAlignment="1"/>
    <xf numFmtId="0" fontId="15" fillId="0" borderId="3" xfId="5" applyNumberFormat="1" applyFont="1" applyFill="1" applyBorder="1" applyAlignment="1"/>
    <xf numFmtId="0" fontId="15" fillId="0" borderId="5" xfId="5" applyNumberFormat="1" applyFont="1" applyFill="1" applyBorder="1" applyAlignment="1"/>
    <xf numFmtId="0" fontId="15" fillId="0" borderId="2" xfId="5" applyNumberFormat="1" applyFont="1" applyFill="1" applyBorder="1" applyAlignment="1"/>
    <xf numFmtId="0" fontId="15" fillId="0" borderId="0" xfId="5" applyNumberFormat="1" applyFont="1" applyFill="1" applyAlignment="1"/>
    <xf numFmtId="0" fontId="15" fillId="0" borderId="8" xfId="5" applyNumberFormat="1" applyFont="1" applyFill="1" applyBorder="1" applyAlignment="1">
      <alignment horizontal="center" vertical="center" wrapText="1"/>
    </xf>
    <xf numFmtId="0" fontId="17" fillId="0" borderId="7" xfId="5" applyNumberFormat="1" applyFont="1" applyFill="1" applyBorder="1" applyAlignment="1">
      <alignment horizontal="center" vertical="center" wrapText="1"/>
    </xf>
    <xf numFmtId="0" fontId="15" fillId="0" borderId="0" xfId="5" applyNumberFormat="1" applyFont="1" applyFill="1" applyAlignment="1">
      <alignment horizontal="center" vertical="center" wrapText="1"/>
    </xf>
    <xf numFmtId="37" fontId="15" fillId="0" borderId="5" xfId="5" applyNumberFormat="1" applyFont="1" applyFill="1" applyBorder="1" applyAlignment="1">
      <alignment horizontal="right"/>
    </xf>
    <xf numFmtId="37" fontId="15" fillId="0" borderId="2" xfId="5" applyNumberFormat="1" applyFont="1" applyFill="1" applyBorder="1" applyAlignment="1">
      <alignment horizontal="right"/>
    </xf>
    <xf numFmtId="37" fontId="15" fillId="0" borderId="5" xfId="5" applyNumberFormat="1" applyFont="1" applyFill="1" applyBorder="1" applyAlignment="1">
      <alignment horizontal="left"/>
    </xf>
    <xf numFmtId="37" fontId="15" fillId="0" borderId="0" xfId="5" applyNumberFormat="1" applyFont="1" applyFill="1" applyAlignment="1">
      <alignment horizontal="right"/>
    </xf>
    <xf numFmtId="37" fontId="15" fillId="0" borderId="4" xfId="5" applyNumberFormat="1" applyFont="1" applyFill="1" applyBorder="1" applyAlignment="1">
      <alignment horizontal="right"/>
    </xf>
    <xf numFmtId="37" fontId="15" fillId="0" borderId="4" xfId="5" applyNumberFormat="1" applyFont="1" applyFill="1" applyBorder="1" applyAlignment="1">
      <alignment horizontal="left"/>
    </xf>
    <xf numFmtId="37" fontId="15" fillId="0" borderId="4" xfId="5" quotePrefix="1" applyNumberFormat="1" applyFont="1" applyFill="1" applyBorder="1" applyAlignment="1">
      <alignment horizontal="left"/>
    </xf>
    <xf numFmtId="37" fontId="15" fillId="0" borderId="11" xfId="5" applyNumberFormat="1" applyFont="1" applyFill="1" applyBorder="1" applyAlignment="1">
      <alignment horizontal="right"/>
    </xf>
    <xf numFmtId="37" fontId="15" fillId="0" borderId="1" xfId="5" applyNumberFormat="1" applyFont="1" applyFill="1" applyBorder="1" applyAlignment="1">
      <alignment horizontal="right"/>
    </xf>
    <xf numFmtId="37" fontId="15" fillId="0" borderId="11" xfId="5" applyNumberFormat="1" applyFont="1" applyFill="1" applyBorder="1" applyAlignment="1">
      <alignment horizontal="left"/>
    </xf>
    <xf numFmtId="0" fontId="11" fillId="0" borderId="0" xfId="5" applyNumberFormat="1" applyFont="1" applyFill="1" applyAlignment="1">
      <alignment horizontal="center" vertical="center"/>
    </xf>
    <xf numFmtId="0" fontId="15" fillId="0" borderId="5" xfId="5" applyNumberFormat="1" applyFont="1" applyFill="1" applyBorder="1" applyAlignment="1">
      <alignment horizontal="left"/>
    </xf>
    <xf numFmtId="0" fontId="15" fillId="0" borderId="0" xfId="5" applyNumberFormat="1" applyFont="1" applyFill="1" applyAlignment="1">
      <alignment horizontal="right"/>
    </xf>
    <xf numFmtId="37" fontId="15" fillId="0" borderId="6" xfId="5" applyNumberFormat="1" applyFont="1" applyFill="1" applyBorder="1" applyAlignment="1">
      <alignment horizontal="right"/>
    </xf>
    <xf numFmtId="37" fontId="15" fillId="0" borderId="8" xfId="5" applyNumberFormat="1" applyFont="1" applyFill="1" applyBorder="1" applyAlignment="1">
      <alignment horizontal="right"/>
    </xf>
    <xf numFmtId="37" fontId="15" fillId="0" borderId="9" xfId="5" applyNumberFormat="1" applyFont="1" applyFill="1" applyBorder="1" applyAlignment="1">
      <alignment horizontal="right"/>
    </xf>
    <xf numFmtId="38" fontId="15" fillId="0" borderId="6" xfId="2" applyFont="1" applyFill="1" applyBorder="1" applyAlignment="1"/>
    <xf numFmtId="38" fontId="15" fillId="0" borderId="3" xfId="2" applyFont="1" applyFill="1" applyBorder="1" applyAlignment="1"/>
    <xf numFmtId="38" fontId="15" fillId="0" borderId="2" xfId="2" applyFont="1" applyFill="1" applyBorder="1" applyAlignment="1"/>
    <xf numFmtId="38" fontId="15" fillId="0" borderId="0" xfId="2" applyFont="1" applyFill="1" applyAlignment="1">
      <alignment horizontal="center" vertical="center" wrapText="1"/>
    </xf>
    <xf numFmtId="37" fontId="15" fillId="0" borderId="5" xfId="2" applyNumberFormat="1" applyFont="1" applyFill="1" applyBorder="1" applyAlignment="1">
      <alignment horizontal="right"/>
    </xf>
    <xf numFmtId="37" fontId="15" fillId="0" borderId="2" xfId="2" applyNumberFormat="1" applyFont="1" applyFill="1" applyBorder="1" applyAlignment="1">
      <alignment horizontal="right"/>
    </xf>
    <xf numFmtId="37" fontId="15" fillId="0" borderId="5" xfId="2" applyNumberFormat="1" applyFont="1" applyFill="1" applyBorder="1" applyAlignment="1">
      <alignment horizontal="left"/>
    </xf>
    <xf numFmtId="37" fontId="15" fillId="0" borderId="0" xfId="2" applyNumberFormat="1" applyFont="1" applyFill="1" applyBorder="1" applyAlignment="1">
      <alignment horizontal="right"/>
    </xf>
    <xf numFmtId="37" fontId="15" fillId="0" borderId="0" xfId="2" applyNumberFormat="1" applyFont="1" applyFill="1" applyAlignment="1">
      <alignment horizontal="right"/>
    </xf>
    <xf numFmtId="37" fontId="15" fillId="0" borderId="4" xfId="2" applyNumberFormat="1" applyFont="1" applyFill="1" applyBorder="1" applyAlignment="1">
      <alignment horizontal="right"/>
    </xf>
    <xf numFmtId="37" fontId="15" fillId="0" borderId="4" xfId="2" applyNumberFormat="1" applyFont="1" applyFill="1" applyBorder="1" applyAlignment="1">
      <alignment horizontal="left"/>
    </xf>
    <xf numFmtId="37" fontId="15" fillId="0" borderId="4" xfId="2" quotePrefix="1" applyNumberFormat="1" applyFont="1" applyFill="1" applyBorder="1" applyAlignment="1">
      <alignment horizontal="left"/>
    </xf>
    <xf numFmtId="37" fontId="15" fillId="0" borderId="11" xfId="2" applyNumberFormat="1" applyFont="1" applyFill="1" applyBorder="1" applyAlignment="1">
      <alignment horizontal="right"/>
    </xf>
    <xf numFmtId="37" fontId="15" fillId="0" borderId="1" xfId="2" applyNumberFormat="1" applyFont="1" applyFill="1" applyBorder="1" applyAlignment="1">
      <alignment horizontal="right"/>
    </xf>
    <xf numFmtId="37" fontId="15" fillId="0" borderId="11" xfId="2" applyNumberFormat="1" applyFont="1" applyFill="1" applyBorder="1" applyAlignment="1">
      <alignment horizontal="left"/>
    </xf>
    <xf numFmtId="38" fontId="11" fillId="0" borderId="0" xfId="2" applyFont="1" applyFill="1" applyAlignment="1">
      <alignment horizontal="center" vertical="center"/>
    </xf>
    <xf numFmtId="38" fontId="15" fillId="0" borderId="5" xfId="2" applyFont="1" applyFill="1" applyBorder="1" applyAlignment="1">
      <alignment horizontal="left"/>
    </xf>
    <xf numFmtId="38" fontId="15" fillId="0" borderId="0" xfId="2" applyFont="1" applyFill="1" applyAlignment="1">
      <alignment horizontal="right"/>
    </xf>
    <xf numFmtId="38" fontId="15" fillId="0" borderId="6" xfId="2" applyFont="1" applyFill="1" applyBorder="1" applyAlignment="1">
      <alignment horizontal="center" vertical="center" wrapText="1"/>
    </xf>
    <xf numFmtId="0" fontId="11" fillId="0" borderId="0" xfId="5" applyFont="1" applyFill="1" applyAlignment="1">
      <alignment vertical="center"/>
    </xf>
    <xf numFmtId="0" fontId="11" fillId="0" borderId="0" xfId="5" applyFont="1" applyFill="1" applyBorder="1" applyAlignment="1">
      <alignment vertical="center"/>
    </xf>
    <xf numFmtId="0" fontId="11" fillId="0" borderId="0" xfId="5" applyNumberFormat="1" applyFont="1" applyFill="1" applyAlignment="1">
      <alignment vertical="center"/>
    </xf>
    <xf numFmtId="0" fontId="13" fillId="0" borderId="0" xfId="5" applyFont="1" applyFill="1" applyBorder="1" applyAlignment="1">
      <alignment vertical="center"/>
    </xf>
    <xf numFmtId="0" fontId="15" fillId="0" borderId="6" xfId="5" applyNumberFormat="1" applyFont="1" applyFill="1" applyBorder="1" applyAlignment="1">
      <alignment vertical="center"/>
    </xf>
    <xf numFmtId="0" fontId="15" fillId="0" borderId="3" xfId="5" applyNumberFormat="1" applyFont="1" applyFill="1" applyBorder="1" applyAlignment="1">
      <alignment vertical="center"/>
    </xf>
    <xf numFmtId="0" fontId="15" fillId="0" borderId="5" xfId="5" applyNumberFormat="1" applyFont="1" applyFill="1" applyBorder="1" applyAlignment="1">
      <alignment vertical="center"/>
    </xf>
    <xf numFmtId="0" fontId="15" fillId="0" borderId="2" xfId="5" applyNumberFormat="1" applyFont="1" applyFill="1" applyBorder="1" applyAlignment="1">
      <alignment vertical="center"/>
    </xf>
    <xf numFmtId="0" fontId="15" fillId="0" borderId="0" xfId="5" applyNumberFormat="1" applyFont="1" applyFill="1" applyBorder="1" applyAlignment="1">
      <alignment vertical="center"/>
    </xf>
    <xf numFmtId="0" fontId="15" fillId="0" borderId="2" xfId="5" applyNumberFormat="1" applyFont="1" applyFill="1" applyBorder="1" applyAlignment="1">
      <alignment horizontal="center" vertical="center" wrapText="1"/>
    </xf>
    <xf numFmtId="0" fontId="15" fillId="0" borderId="0" xfId="5" applyNumberFormat="1" applyFont="1" applyFill="1" applyBorder="1" applyAlignment="1">
      <alignment horizontal="center" vertical="center" wrapText="1"/>
    </xf>
    <xf numFmtId="0" fontId="15" fillId="0" borderId="6" xfId="5" applyNumberFormat="1" applyFont="1" applyFill="1" applyBorder="1" applyAlignment="1">
      <alignment horizontal="center" vertical="center" wrapText="1"/>
    </xf>
    <xf numFmtId="37" fontId="15" fillId="0" borderId="5" xfId="5" applyNumberFormat="1" applyFont="1" applyFill="1" applyBorder="1" applyAlignment="1">
      <alignment horizontal="right" vertical="center"/>
    </xf>
    <xf numFmtId="37" fontId="15" fillId="0" borderId="2" xfId="5" applyNumberFormat="1" applyFont="1" applyFill="1" applyBorder="1" applyAlignment="1">
      <alignment horizontal="right" vertical="center"/>
    </xf>
    <xf numFmtId="37" fontId="15" fillId="0" borderId="5" xfId="5" applyNumberFormat="1" applyFont="1" applyFill="1" applyBorder="1" applyAlignment="1">
      <alignment horizontal="left" vertical="center"/>
    </xf>
    <xf numFmtId="37" fontId="15" fillId="0" borderId="0" xfId="5" applyNumberFormat="1" applyFont="1" applyFill="1" applyBorder="1" applyAlignment="1">
      <alignment horizontal="right" vertical="center"/>
    </xf>
    <xf numFmtId="37" fontId="15" fillId="0" borderId="0" xfId="5" applyNumberFormat="1" applyFont="1" applyFill="1" applyAlignment="1">
      <alignment horizontal="right" vertical="center"/>
    </xf>
    <xf numFmtId="37" fontId="15" fillId="0" borderId="4" xfId="5" applyNumberFormat="1" applyFont="1" applyFill="1" applyBorder="1" applyAlignment="1">
      <alignment horizontal="right" vertical="center"/>
    </xf>
    <xf numFmtId="37" fontId="15" fillId="0" borderId="4" xfId="5" applyNumberFormat="1" applyFont="1" applyFill="1" applyBorder="1" applyAlignment="1">
      <alignment horizontal="left" vertical="center"/>
    </xf>
    <xf numFmtId="37" fontId="15" fillId="0" borderId="4" xfId="5" quotePrefix="1" applyNumberFormat="1" applyFont="1" applyFill="1" applyBorder="1" applyAlignment="1">
      <alignment horizontal="left" vertical="center"/>
    </xf>
    <xf numFmtId="37" fontId="15" fillId="0" borderId="11" xfId="5" applyNumberFormat="1" applyFont="1" applyFill="1" applyBorder="1" applyAlignment="1">
      <alignment horizontal="right" vertical="center"/>
    </xf>
    <xf numFmtId="37" fontId="15" fillId="0" borderId="1" xfId="5" applyNumberFormat="1" applyFont="1" applyFill="1" applyBorder="1" applyAlignment="1">
      <alignment horizontal="right" vertical="center"/>
    </xf>
    <xf numFmtId="37" fontId="15" fillId="0" borderId="11" xfId="5" applyNumberFormat="1" applyFont="1" applyFill="1" applyBorder="1" applyAlignment="1">
      <alignment horizontal="left" vertical="center"/>
    </xf>
    <xf numFmtId="0" fontId="11" fillId="0" borderId="0" xfId="5" applyNumberFormat="1" applyFont="1" applyFill="1" applyBorder="1" applyAlignment="1">
      <alignment vertical="center"/>
    </xf>
    <xf numFmtId="0" fontId="15" fillId="0" borderId="5" xfId="5" applyNumberFormat="1" applyFont="1" applyFill="1" applyBorder="1" applyAlignment="1">
      <alignment horizontal="left" vertical="center"/>
    </xf>
    <xf numFmtId="0" fontId="15" fillId="0" borderId="0" xfId="5" applyNumberFormat="1" applyFont="1" applyFill="1" applyAlignment="1">
      <alignment vertical="center"/>
    </xf>
    <xf numFmtId="0" fontId="17" fillId="0" borderId="3" xfId="5" applyNumberFormat="1" applyFont="1" applyFill="1" applyBorder="1" applyAlignment="1">
      <alignment horizontal="center" vertical="center" wrapText="1"/>
    </xf>
    <xf numFmtId="37" fontId="15" fillId="0" borderId="6" xfId="5" applyNumberFormat="1" applyFont="1" applyFill="1" applyBorder="1" applyAlignment="1">
      <alignment horizontal="right" vertical="center"/>
    </xf>
    <xf numFmtId="37" fontId="15" fillId="0" borderId="8" xfId="5" applyNumberFormat="1" applyFont="1" applyFill="1" applyBorder="1" applyAlignment="1">
      <alignment horizontal="right" vertical="center"/>
    </xf>
    <xf numFmtId="37" fontId="15" fillId="0" borderId="9" xfId="5" applyNumberFormat="1" applyFont="1" applyFill="1" applyBorder="1" applyAlignment="1">
      <alignment horizontal="right" vertical="center"/>
    </xf>
    <xf numFmtId="0" fontId="6" fillId="0" borderId="0" xfId="5" applyFont="1" applyFill="1" applyAlignment="1">
      <alignment vertical="center"/>
    </xf>
    <xf numFmtId="0" fontId="33" fillId="0" borderId="0" xfId="5" applyFont="1" applyFill="1" applyAlignment="1">
      <alignment vertical="center"/>
    </xf>
    <xf numFmtId="0" fontId="34" fillId="0" borderId="0" xfId="5" applyFont="1" applyFill="1" applyAlignment="1">
      <alignment vertical="center"/>
    </xf>
    <xf numFmtId="0" fontId="34" fillId="0" borderId="2" xfId="5" applyFont="1" applyFill="1" applyBorder="1" applyAlignment="1">
      <alignment vertical="center"/>
    </xf>
    <xf numFmtId="0" fontId="34" fillId="0" borderId="0" xfId="5" applyFont="1" applyFill="1" applyBorder="1" applyAlignment="1">
      <alignment vertical="center"/>
    </xf>
    <xf numFmtId="0" fontId="15" fillId="0" borderId="0" xfId="5" applyFont="1" applyFill="1" applyBorder="1" applyAlignment="1">
      <alignment horizontal="right" vertical="center"/>
    </xf>
    <xf numFmtId="176" fontId="15" fillId="0" borderId="11" xfId="5" applyNumberFormat="1" applyFont="1" applyFill="1" applyBorder="1" applyAlignment="1">
      <alignment horizontal="left" vertical="center"/>
    </xf>
    <xf numFmtId="177" fontId="15" fillId="0" borderId="9" xfId="5" applyNumberFormat="1" applyFont="1" applyFill="1" applyBorder="1" applyAlignment="1">
      <alignment horizontal="right" vertical="center"/>
    </xf>
    <xf numFmtId="177" fontId="15" fillId="0" borderId="1" xfId="5" applyNumberFormat="1" applyFont="1" applyFill="1" applyBorder="1" applyAlignment="1">
      <alignment horizontal="right" vertical="center"/>
    </xf>
    <xf numFmtId="177" fontId="15" fillId="0" borderId="11" xfId="5" applyNumberFormat="1" applyFont="1" applyFill="1" applyBorder="1" applyAlignment="1">
      <alignment horizontal="right" vertical="center"/>
    </xf>
    <xf numFmtId="176" fontId="15" fillId="0" borderId="4" xfId="5" applyNumberFormat="1" applyFont="1" applyFill="1" applyBorder="1" applyAlignment="1">
      <alignment horizontal="left" vertical="center"/>
    </xf>
    <xf numFmtId="177" fontId="15" fillId="0" borderId="8" xfId="5" applyNumberFormat="1" applyFont="1" applyFill="1" applyBorder="1" applyAlignment="1">
      <alignment horizontal="right" vertical="center"/>
    </xf>
    <xf numFmtId="177" fontId="15" fillId="0" borderId="0" xfId="5" applyNumberFormat="1" applyFont="1" applyFill="1" applyBorder="1" applyAlignment="1">
      <alignment horizontal="right" vertical="center"/>
    </xf>
    <xf numFmtId="38" fontId="15" fillId="0" borderId="0" xfId="2" applyFont="1" applyFill="1" applyAlignment="1">
      <alignment horizontal="right" vertical="center"/>
    </xf>
    <xf numFmtId="177" fontId="15" fillId="0" borderId="4" xfId="5" applyNumberFormat="1" applyFont="1" applyFill="1" applyBorder="1" applyAlignment="1">
      <alignment horizontal="right" vertical="center"/>
    </xf>
    <xf numFmtId="178" fontId="15" fillId="0" borderId="4" xfId="5" applyNumberFormat="1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left" vertical="center"/>
    </xf>
    <xf numFmtId="179" fontId="15" fillId="0" borderId="4" xfId="5" applyNumberFormat="1" applyFont="1" applyFill="1" applyBorder="1" applyAlignment="1">
      <alignment horizontal="left" vertical="center"/>
    </xf>
    <xf numFmtId="180" fontId="15" fillId="0" borderId="4" xfId="5" applyNumberFormat="1" applyFont="1" applyFill="1" applyBorder="1" applyAlignment="1">
      <alignment horizontal="left" vertical="center"/>
    </xf>
    <xf numFmtId="181" fontId="15" fillId="0" borderId="4" xfId="5" applyNumberFormat="1" applyFont="1" applyFill="1" applyBorder="1" applyAlignment="1">
      <alignment horizontal="left" vertical="center"/>
    </xf>
    <xf numFmtId="182" fontId="15" fillId="0" borderId="4" xfId="5" applyNumberFormat="1" applyFont="1" applyFill="1" applyBorder="1" applyAlignment="1">
      <alignment horizontal="left" vertical="center"/>
    </xf>
    <xf numFmtId="183" fontId="15" fillId="0" borderId="4" xfId="5" applyNumberFormat="1" applyFont="1" applyFill="1" applyBorder="1" applyAlignment="1">
      <alignment horizontal="left" vertical="center"/>
    </xf>
    <xf numFmtId="184" fontId="15" fillId="0" borderId="4" xfId="5" applyNumberFormat="1" applyFont="1" applyFill="1" applyBorder="1" applyAlignment="1">
      <alignment horizontal="left" vertical="center"/>
    </xf>
    <xf numFmtId="0" fontId="35" fillId="0" borderId="0" xfId="5" applyFont="1" applyFill="1" applyAlignment="1">
      <alignment vertical="center"/>
    </xf>
    <xf numFmtId="0" fontId="35" fillId="0" borderId="0" xfId="5" applyFont="1" applyFill="1" applyBorder="1" applyAlignment="1">
      <alignment vertical="center"/>
    </xf>
    <xf numFmtId="0" fontId="35" fillId="0" borderId="11" xfId="5" applyFont="1" applyFill="1" applyBorder="1" applyAlignment="1">
      <alignment vertical="center"/>
    </xf>
    <xf numFmtId="0" fontId="35" fillId="0" borderId="11" xfId="5" applyFont="1" applyFill="1" applyBorder="1" applyAlignment="1">
      <alignment horizontal="center" vertical="center" wrapText="1"/>
    </xf>
    <xf numFmtId="0" fontId="35" fillId="0" borderId="4" xfId="5" applyFont="1" applyFill="1" applyBorder="1" applyAlignment="1">
      <alignment horizontal="center" vertical="center" wrapText="1"/>
    </xf>
    <xf numFmtId="0" fontId="35" fillId="0" borderId="3" xfId="5" applyFont="1" applyFill="1" applyBorder="1" applyAlignment="1">
      <alignment horizontal="center" vertical="center"/>
    </xf>
    <xf numFmtId="0" fontId="35" fillId="0" borderId="4" xfId="5" applyFont="1" applyFill="1" applyBorder="1" applyAlignment="1">
      <alignment horizontal="center" vertical="center"/>
    </xf>
    <xf numFmtId="0" fontId="35" fillId="0" borderId="7" xfId="5" applyFont="1" applyFill="1" applyBorder="1" applyAlignment="1">
      <alignment horizontal="center" vertical="center"/>
    </xf>
    <xf numFmtId="0" fontId="7" fillId="0" borderId="8" xfId="5" applyFill="1" applyBorder="1" applyAlignment="1">
      <alignment vertical="center" wrapText="1"/>
    </xf>
    <xf numFmtId="0" fontId="7" fillId="0" borderId="0" xfId="5" applyFill="1" applyAlignment="1">
      <alignment vertical="center" wrapText="1"/>
    </xf>
    <xf numFmtId="49" fontId="35" fillId="0" borderId="1" xfId="14" applyNumberFormat="1" applyFont="1" applyFill="1" applyBorder="1" applyAlignment="1">
      <alignment horizontal="center" vertical="center"/>
    </xf>
    <xf numFmtId="0" fontId="35" fillId="0" borderId="9" xfId="5" applyFont="1" applyFill="1" applyBorder="1" applyAlignment="1">
      <alignment vertical="center"/>
    </xf>
    <xf numFmtId="0" fontId="35" fillId="0" borderId="1" xfId="5" applyFont="1" applyFill="1" applyBorder="1" applyAlignment="1">
      <alignment vertical="center"/>
    </xf>
    <xf numFmtId="0" fontId="35" fillId="0" borderId="9" xfId="5" applyFont="1" applyFill="1" applyBorder="1" applyAlignment="1">
      <alignment horizontal="left" vertical="center"/>
    </xf>
    <xf numFmtId="0" fontId="35" fillId="0" borderId="7" xfId="5" applyFont="1" applyFill="1" applyBorder="1" applyAlignment="1">
      <alignment horizontal="centerContinuous" vertical="center"/>
    </xf>
    <xf numFmtId="0" fontId="35" fillId="0" borderId="0" xfId="5" applyFont="1" applyFill="1" applyBorder="1" applyAlignment="1">
      <alignment horizontal="left" vertical="center"/>
    </xf>
    <xf numFmtId="0" fontId="7" fillId="0" borderId="2" xfId="5" applyFont="1" applyFill="1" applyBorder="1" applyAlignment="1">
      <alignment vertical="center" wrapText="1"/>
    </xf>
    <xf numFmtId="0" fontId="35" fillId="0" borderId="5" xfId="5" applyFont="1" applyFill="1" applyBorder="1" applyAlignment="1">
      <alignment horizontal="center" vertical="center"/>
    </xf>
    <xf numFmtId="0" fontId="35" fillId="0" borderId="6" xfId="5" applyFont="1" applyFill="1" applyBorder="1" applyAlignment="1">
      <alignment horizontal="centerContinuous" vertical="center"/>
    </xf>
    <xf numFmtId="0" fontId="35" fillId="0" borderId="2" xfId="5" applyFont="1" applyFill="1" applyBorder="1" applyAlignment="1">
      <alignment horizontal="centerContinuous" vertical="center"/>
    </xf>
    <xf numFmtId="0" fontId="35" fillId="0" borderId="6" xfId="5" applyFont="1" applyFill="1" applyBorder="1" applyAlignment="1">
      <alignment horizontal="left" vertical="center"/>
    </xf>
    <xf numFmtId="0" fontId="35" fillId="0" borderId="3" xfId="5" applyFont="1" applyFill="1" applyBorder="1" applyAlignment="1">
      <alignment horizontal="centerContinuous" vertical="center"/>
    </xf>
    <xf numFmtId="0" fontId="15" fillId="0" borderId="6" xfId="5" applyFont="1" applyFill="1" applyBorder="1" applyAlignment="1">
      <alignment horizontal="center" vertical="center" wrapText="1"/>
    </xf>
    <xf numFmtId="0" fontId="15" fillId="0" borderId="2" xfId="5" applyFont="1" applyFill="1" applyBorder="1" applyAlignment="1">
      <alignment vertical="center" wrapText="1"/>
    </xf>
    <xf numFmtId="0" fontId="38" fillId="0" borderId="0" xfId="5" applyFont="1" applyFill="1" applyAlignment="1">
      <alignment vertical="center"/>
    </xf>
    <xf numFmtId="0" fontId="38" fillId="0" borderId="0" xfId="5" applyFont="1" applyFill="1" applyBorder="1" applyAlignment="1">
      <alignment vertical="center"/>
    </xf>
    <xf numFmtId="0" fontId="38" fillId="0" borderId="1" xfId="5" applyFont="1" applyFill="1" applyBorder="1" applyAlignment="1">
      <alignment vertical="center"/>
    </xf>
    <xf numFmtId="0" fontId="35" fillId="0" borderId="1" xfId="5" applyFont="1" applyFill="1" applyBorder="1" applyAlignment="1">
      <alignment horizontal="right" vertical="center"/>
    </xf>
    <xf numFmtId="0" fontId="39" fillId="0" borderId="1" xfId="5" applyFont="1" applyFill="1" applyBorder="1" applyAlignment="1">
      <alignment horizontal="left" vertical="center" indent="1"/>
    </xf>
    <xf numFmtId="0" fontId="40" fillId="0" borderId="0" xfId="5" applyFont="1" applyFill="1" applyAlignment="1">
      <alignment vertical="center"/>
    </xf>
    <xf numFmtId="185" fontId="40" fillId="0" borderId="0" xfId="14" applyNumberFormat="1" applyFont="1" applyFill="1" applyBorder="1" applyAlignment="1">
      <alignment horizontal="right" vertical="center"/>
    </xf>
    <xf numFmtId="49" fontId="40" fillId="0" borderId="0" xfId="5" applyNumberFormat="1" applyFont="1" applyFill="1" applyBorder="1" applyAlignment="1">
      <alignment horizontal="right" vertical="center"/>
    </xf>
    <xf numFmtId="49" fontId="41" fillId="0" borderId="0" xfId="5" applyNumberFormat="1" applyFont="1" applyFill="1" applyBorder="1" applyAlignment="1">
      <alignment horizontal="left" vertical="center"/>
    </xf>
    <xf numFmtId="176" fontId="15" fillId="0" borderId="0" xfId="5" applyNumberFormat="1" applyFont="1" applyFill="1" applyBorder="1" applyAlignment="1">
      <alignment horizontal="left" vertical="center"/>
    </xf>
    <xf numFmtId="177" fontId="35" fillId="0" borderId="0" xfId="14" applyNumberFormat="1" applyFont="1" applyFill="1" applyBorder="1" applyAlignment="1">
      <alignment horizontal="right" vertical="center"/>
    </xf>
    <xf numFmtId="49" fontId="35" fillId="0" borderId="0" xfId="5" applyNumberFormat="1" applyFont="1" applyFill="1" applyBorder="1" applyAlignment="1">
      <alignment horizontal="right" vertical="center"/>
    </xf>
    <xf numFmtId="177" fontId="15" fillId="0" borderId="1" xfId="14" applyNumberFormat="1" applyFont="1" applyFill="1" applyBorder="1" applyAlignment="1">
      <alignment horizontal="right" vertical="center"/>
    </xf>
    <xf numFmtId="177" fontId="15" fillId="0" borderId="11" xfId="14" applyNumberFormat="1" applyFont="1" applyFill="1" applyBorder="1" applyAlignment="1">
      <alignment horizontal="right" vertical="center"/>
    </xf>
    <xf numFmtId="177" fontId="15" fillId="0" borderId="0" xfId="14" applyNumberFormat="1" applyFont="1" applyFill="1" applyBorder="1" applyAlignment="1">
      <alignment horizontal="right" vertical="center"/>
    </xf>
    <xf numFmtId="177" fontId="15" fillId="0" borderId="4" xfId="14" applyNumberFormat="1" applyFont="1" applyFill="1" applyBorder="1" applyAlignment="1">
      <alignment horizontal="right" vertical="center"/>
    </xf>
    <xf numFmtId="177" fontId="35" fillId="0" borderId="0" xfId="5" applyNumberFormat="1" applyFont="1" applyFill="1" applyBorder="1" applyAlignment="1">
      <alignment horizontal="right" vertical="center"/>
    </xf>
    <xf numFmtId="177" fontId="15" fillId="0" borderId="8" xfId="14" applyNumberFormat="1" applyFont="1" applyFill="1" applyBorder="1" applyAlignment="1">
      <alignment horizontal="right" vertical="center"/>
    </xf>
    <xf numFmtId="49" fontId="35" fillId="0" borderId="0" xfId="5" applyNumberFormat="1" applyFont="1" applyFill="1" applyBorder="1" applyAlignment="1">
      <alignment horizontal="left" vertical="center"/>
    </xf>
    <xf numFmtId="177" fontId="15" fillId="0" borderId="0" xfId="5" applyNumberFormat="1" applyFont="1" applyFill="1" applyAlignment="1">
      <alignment horizontal="right" vertical="center"/>
    </xf>
    <xf numFmtId="177" fontId="15" fillId="0" borderId="0" xfId="2" applyNumberFormat="1" applyFont="1" applyFill="1" applyBorder="1" applyAlignment="1">
      <alignment vertical="center"/>
    </xf>
    <xf numFmtId="0" fontId="35" fillId="0" borderId="1" xfId="5" applyFont="1" applyFill="1" applyBorder="1" applyAlignment="1">
      <alignment horizontal="left" vertical="center"/>
    </xf>
    <xf numFmtId="0" fontId="35" fillId="0" borderId="4" xfId="5" applyFont="1" applyFill="1" applyBorder="1" applyAlignment="1">
      <alignment horizontal="centerContinuous" vertical="center"/>
    </xf>
    <xf numFmtId="0" fontId="35" fillId="0" borderId="0" xfId="5" applyFont="1" applyFill="1" applyBorder="1" applyAlignment="1">
      <alignment horizontal="right" vertical="center"/>
    </xf>
    <xf numFmtId="0" fontId="42" fillId="0" borderId="0" xfId="5" applyFont="1" applyFill="1" applyBorder="1" applyAlignment="1">
      <alignment vertical="center"/>
    </xf>
    <xf numFmtId="0" fontId="39" fillId="0" borderId="1" xfId="5" applyFont="1" applyFill="1" applyBorder="1" applyAlignment="1">
      <alignment vertical="center"/>
    </xf>
    <xf numFmtId="0" fontId="39" fillId="0" borderId="0" xfId="5" applyFont="1" applyFill="1" applyAlignment="1">
      <alignment vertical="center"/>
    </xf>
    <xf numFmtId="0" fontId="6" fillId="0" borderId="0" xfId="5" applyFont="1" applyFill="1"/>
    <xf numFmtId="0" fontId="6" fillId="0" borderId="0" xfId="5" applyFont="1" applyFill="1" applyAlignment="1">
      <alignment horizontal="left"/>
    </xf>
    <xf numFmtId="0" fontId="35" fillId="0" borderId="0" xfId="5" applyFont="1" applyFill="1"/>
    <xf numFmtId="0" fontId="35" fillId="0" borderId="0" xfId="5" applyFont="1" applyFill="1" applyAlignment="1"/>
    <xf numFmtId="38" fontId="35" fillId="0" borderId="0" xfId="15" applyNumberFormat="1" applyFont="1" applyFill="1" applyAlignment="1"/>
    <xf numFmtId="38" fontId="15" fillId="0" borderId="9" xfId="2" applyFont="1" applyFill="1" applyBorder="1" applyAlignment="1" applyProtection="1">
      <alignment vertical="center" wrapText="1"/>
    </xf>
    <xf numFmtId="38" fontId="15" fillId="0" borderId="1" xfId="2" applyFont="1" applyFill="1" applyBorder="1" applyAlignment="1" applyProtection="1">
      <alignment vertical="center" wrapText="1"/>
    </xf>
    <xf numFmtId="38" fontId="15" fillId="0" borderId="11" xfId="2" applyFont="1" applyFill="1" applyBorder="1" applyAlignment="1" applyProtection="1">
      <alignment vertical="center" wrapText="1"/>
    </xf>
    <xf numFmtId="38" fontId="15" fillId="0" borderId="8" xfId="2" applyFont="1" applyFill="1" applyBorder="1" applyAlignment="1" applyProtection="1">
      <alignment horizontal="right" vertical="center" wrapText="1"/>
    </xf>
    <xf numFmtId="38" fontId="15" fillId="0" borderId="0" xfId="2" applyFont="1" applyFill="1" applyBorder="1" applyAlignment="1" applyProtection="1">
      <alignment horizontal="right" vertical="center" wrapText="1"/>
    </xf>
    <xf numFmtId="38" fontId="15" fillId="0" borderId="14" xfId="2" applyFont="1" applyFill="1" applyBorder="1" applyAlignment="1" applyProtection="1">
      <alignment horizontal="right" vertical="center" wrapText="1"/>
    </xf>
    <xf numFmtId="38" fontId="46" fillId="0" borderId="8" xfId="2" applyFont="1" applyFill="1" applyBorder="1" applyAlignment="1" applyProtection="1">
      <alignment horizontal="right" vertical="center" wrapText="1"/>
    </xf>
    <xf numFmtId="38" fontId="46" fillId="0" borderId="0" xfId="2" applyFont="1" applyFill="1" applyBorder="1" applyAlignment="1" applyProtection="1">
      <alignment horizontal="right" vertical="center" wrapText="1"/>
    </xf>
    <xf numFmtId="38" fontId="46" fillId="0" borderId="14" xfId="2" applyFont="1" applyFill="1" applyBorder="1" applyAlignment="1" applyProtection="1">
      <alignment horizontal="right" vertical="center" wrapText="1"/>
    </xf>
    <xf numFmtId="38" fontId="15" fillId="0" borderId="8" xfId="2" applyFont="1" applyFill="1" applyBorder="1" applyAlignment="1">
      <alignment vertical="center"/>
    </xf>
    <xf numFmtId="38" fontId="15" fillId="0" borderId="0" xfId="2" applyFont="1" applyFill="1" applyBorder="1" applyAlignment="1">
      <alignment vertical="center"/>
    </xf>
    <xf numFmtId="38" fontId="15" fillId="0" borderId="8" xfId="2" applyFont="1" applyFill="1" applyBorder="1" applyAlignment="1">
      <alignment horizontal="right" vertical="center" wrapText="1"/>
    </xf>
    <xf numFmtId="38" fontId="15" fillId="0" borderId="0" xfId="2" applyFont="1" applyFill="1" applyBorder="1" applyAlignment="1">
      <alignment horizontal="right" vertical="center" wrapText="1"/>
    </xf>
    <xf numFmtId="0" fontId="35" fillId="0" borderId="10" xfId="5" applyFont="1" applyFill="1" applyBorder="1" applyAlignment="1">
      <alignment vertical="center"/>
    </xf>
    <xf numFmtId="38" fontId="15" fillId="0" borderId="18" xfId="15" applyNumberFormat="1" applyFont="1" applyFill="1" applyBorder="1" applyAlignment="1" applyProtection="1">
      <alignment horizontal="center" vertical="center" wrapText="1"/>
    </xf>
    <xf numFmtId="38" fontId="15" fillId="0" borderId="19" xfId="15" applyNumberFormat="1" applyFont="1" applyFill="1" applyBorder="1" applyAlignment="1" applyProtection="1">
      <alignment horizontal="center" vertical="center" wrapText="1"/>
    </xf>
    <xf numFmtId="38" fontId="35" fillId="0" borderId="20" xfId="15" applyNumberFormat="1" applyFont="1" applyFill="1" applyBorder="1" applyAlignment="1" applyProtection="1">
      <alignment horizontal="center" vertical="center" wrapText="1"/>
    </xf>
    <xf numFmtId="38" fontId="35" fillId="0" borderId="21" xfId="15" applyNumberFormat="1" applyFont="1" applyFill="1" applyBorder="1" applyAlignment="1" applyProtection="1">
      <alignment horizontal="center" vertical="center" wrapText="1"/>
    </xf>
    <xf numFmtId="38" fontId="35" fillId="0" borderId="14" xfId="15" applyNumberFormat="1" applyFont="1" applyFill="1" applyBorder="1" applyAlignment="1" applyProtection="1">
      <alignment horizontal="center" vertical="center" wrapText="1"/>
    </xf>
    <xf numFmtId="38" fontId="15" fillId="0" borderId="0" xfId="15" applyNumberFormat="1" applyFont="1" applyFill="1" applyBorder="1" applyAlignment="1" applyProtection="1">
      <alignment horizontal="center" vertical="center" wrapText="1"/>
    </xf>
    <xf numFmtId="38" fontId="15" fillId="0" borderId="23" xfId="15" applyNumberFormat="1" applyFont="1" applyFill="1" applyBorder="1" applyAlignment="1" applyProtection="1">
      <alignment horizontal="center" vertical="center" wrapText="1"/>
    </xf>
    <xf numFmtId="38" fontId="15" fillId="0" borderId="14" xfId="15" applyNumberFormat="1" applyFont="1" applyFill="1" applyBorder="1" applyAlignment="1" applyProtection="1">
      <alignment horizontal="center" vertical="center" wrapText="1"/>
    </xf>
    <xf numFmtId="38" fontId="35" fillId="0" borderId="24" xfId="15" applyNumberFormat="1" applyFont="1" applyFill="1" applyBorder="1" applyAlignment="1" applyProtection="1">
      <alignment horizontal="center" vertical="center" wrapText="1"/>
    </xf>
    <xf numFmtId="38" fontId="35" fillId="0" borderId="0" xfId="15" applyNumberFormat="1" applyFont="1" applyFill="1" applyBorder="1" applyAlignment="1" applyProtection="1">
      <alignment horizontal="center" vertical="center" wrapText="1"/>
    </xf>
    <xf numFmtId="0" fontId="15" fillId="0" borderId="25" xfId="5" applyFont="1" applyBorder="1" applyAlignment="1">
      <alignment vertical="center"/>
    </xf>
    <xf numFmtId="0" fontId="15" fillId="0" borderId="26" xfId="5" applyFont="1" applyBorder="1" applyAlignment="1">
      <alignment vertical="center"/>
    </xf>
    <xf numFmtId="38" fontId="15" fillId="0" borderId="14" xfId="15" applyNumberFormat="1" applyFont="1" applyFill="1" applyBorder="1" applyAlignment="1" applyProtection="1">
      <alignment horizontal="left" vertical="center"/>
    </xf>
    <xf numFmtId="38" fontId="35" fillId="0" borderId="25" xfId="15" applyNumberFormat="1" applyFont="1" applyFill="1" applyBorder="1" applyAlignment="1" applyProtection="1">
      <alignment horizontal="center" vertical="center" wrapText="1"/>
    </xf>
    <xf numFmtId="38" fontId="35" fillId="0" borderId="26" xfId="15" applyNumberFormat="1" applyFont="1" applyFill="1" applyBorder="1" applyAlignment="1" applyProtection="1">
      <alignment horizontal="center" vertical="center" wrapText="1"/>
    </xf>
    <xf numFmtId="38" fontId="15" fillId="0" borderId="0" xfId="15" applyNumberFormat="1" applyFont="1" applyFill="1" applyBorder="1" applyAlignment="1" applyProtection="1">
      <alignment vertical="center" wrapText="1"/>
    </xf>
    <xf numFmtId="0" fontId="15" fillId="0" borderId="15" xfId="5" applyFont="1" applyBorder="1" applyAlignment="1">
      <alignment horizontal="left" vertical="center"/>
    </xf>
    <xf numFmtId="38" fontId="15" fillId="0" borderId="0" xfId="15" applyNumberFormat="1" applyFont="1" applyFill="1" applyBorder="1" applyAlignment="1" applyProtection="1">
      <alignment horizontal="left" vertical="center"/>
    </xf>
    <xf numFmtId="38" fontId="15" fillId="0" borderId="14" xfId="15" applyNumberFormat="1" applyFont="1" applyFill="1" applyBorder="1" applyAlignment="1" applyProtection="1">
      <alignment vertical="center" wrapText="1"/>
    </xf>
    <xf numFmtId="38" fontId="15" fillId="0" borderId="23" xfId="15" applyNumberFormat="1" applyFont="1" applyFill="1" applyBorder="1" applyAlignment="1" applyProtection="1">
      <alignment vertical="center" wrapText="1"/>
    </xf>
    <xf numFmtId="38" fontId="35" fillId="0" borderId="27" xfId="15" applyNumberFormat="1" applyFont="1" applyFill="1" applyBorder="1" applyAlignment="1" applyProtection="1">
      <alignment vertical="center" wrapText="1"/>
    </xf>
    <xf numFmtId="38" fontId="35" fillId="0" borderId="28" xfId="15" applyNumberFormat="1" applyFont="1" applyFill="1" applyBorder="1" applyAlignment="1" applyProtection="1">
      <alignment vertical="center" wrapText="1"/>
    </xf>
    <xf numFmtId="22" fontId="12" fillId="0" borderId="1" xfId="5" applyNumberFormat="1" applyFont="1" applyFill="1" applyBorder="1" applyAlignment="1">
      <alignment vertical="center"/>
    </xf>
    <xf numFmtId="0" fontId="12" fillId="0" borderId="1" xfId="5" applyFont="1" applyFill="1" applyBorder="1" applyAlignment="1">
      <alignment vertical="center"/>
    </xf>
    <xf numFmtId="3" fontId="15" fillId="0" borderId="15" xfId="15" applyNumberFormat="1" applyFont="1" applyFill="1" applyBorder="1" applyAlignment="1" applyProtection="1">
      <alignment horizontal="right" vertical="center" wrapText="1"/>
    </xf>
    <xf numFmtId="38" fontId="15" fillId="0" borderId="0" xfId="15" applyNumberFormat="1" applyFont="1" applyFill="1" applyBorder="1" applyAlignment="1" applyProtection="1">
      <alignment horizontal="right" vertical="center"/>
    </xf>
    <xf numFmtId="3" fontId="15" fillId="0" borderId="0" xfId="15" applyNumberFormat="1" applyFont="1" applyFill="1" applyBorder="1" applyAlignment="1" applyProtection="1">
      <alignment horizontal="right" vertical="center" wrapText="1"/>
    </xf>
    <xf numFmtId="38" fontId="15" fillId="0" borderId="14" xfId="15" applyNumberFormat="1" applyFont="1" applyFill="1" applyBorder="1" applyAlignment="1" applyProtection="1">
      <alignment horizontal="right" vertical="center"/>
    </xf>
    <xf numFmtId="0" fontId="15" fillId="0" borderId="0" xfId="5" applyFont="1" applyFill="1" applyAlignment="1">
      <alignment vertical="center"/>
    </xf>
    <xf numFmtId="38" fontId="15" fillId="0" borderId="2" xfId="2" applyFont="1" applyFill="1" applyBorder="1" applyAlignment="1" applyProtection="1">
      <alignment horizontal="right" vertical="center" wrapText="1"/>
    </xf>
    <xf numFmtId="38" fontId="15" fillId="0" borderId="16" xfId="2" applyFont="1" applyFill="1" applyBorder="1" applyAlignment="1" applyProtection="1">
      <alignment horizontal="right" vertical="center" wrapText="1"/>
    </xf>
    <xf numFmtId="0" fontId="15" fillId="0" borderId="0" xfId="5" applyFont="1"/>
    <xf numFmtId="0" fontId="7" fillId="0" borderId="0" xfId="5" applyFont="1" applyFill="1"/>
    <xf numFmtId="0" fontId="7" fillId="0" borderId="0" xfId="5" applyFont="1" applyFill="1" applyAlignment="1">
      <alignment horizontal="left"/>
    </xf>
    <xf numFmtId="0" fontId="49" fillId="0" borderId="0" xfId="5" applyFont="1" applyFill="1" applyAlignment="1"/>
    <xf numFmtId="0" fontId="7" fillId="0" borderId="0" xfId="5" applyFont="1" applyFill="1" applyBorder="1" applyAlignment="1">
      <alignment horizontal="left"/>
    </xf>
    <xf numFmtId="0" fontId="7" fillId="0" borderId="0" xfId="5" applyFont="1" applyFill="1" applyBorder="1"/>
    <xf numFmtId="0" fontId="7" fillId="0" borderId="0" xfId="5" applyFont="1" applyFill="1" applyAlignment="1">
      <alignment vertical="center"/>
    </xf>
    <xf numFmtId="38" fontId="18" fillId="0" borderId="0" xfId="15" applyNumberFormat="1" applyFont="1" applyFill="1" applyAlignment="1" applyProtection="1">
      <alignment vertical="center"/>
    </xf>
    <xf numFmtId="38" fontId="15" fillId="0" borderId="0" xfId="15" applyNumberFormat="1" applyFont="1" applyFill="1" applyBorder="1" applyAlignment="1" applyProtection="1">
      <alignment horizontal="left" vertical="center" wrapText="1"/>
    </xf>
    <xf numFmtId="38" fontId="15" fillId="0" borderId="0" xfId="15" applyNumberFormat="1" applyFont="1" applyFill="1" applyAlignment="1" applyProtection="1">
      <alignment vertical="center"/>
    </xf>
    <xf numFmtId="38" fontId="15" fillId="0" borderId="0" xfId="15" applyNumberFormat="1" applyFont="1" applyFill="1" applyAlignment="1" applyProtection="1">
      <alignment vertical="center" wrapText="1"/>
    </xf>
    <xf numFmtId="38" fontId="18" fillId="0" borderId="0" xfId="15" applyNumberFormat="1" applyFont="1" applyFill="1" applyBorder="1" applyAlignment="1" applyProtection="1">
      <alignment vertical="center"/>
    </xf>
    <xf numFmtId="38" fontId="18" fillId="0" borderId="0" xfId="15" applyNumberFormat="1" applyFont="1" applyFill="1" applyProtection="1"/>
    <xf numFmtId="38" fontId="15" fillId="0" borderId="0" xfId="15" applyNumberFormat="1" applyFont="1" applyFill="1" applyBorder="1" applyAlignment="1" applyProtection="1">
      <alignment horizontal="right" wrapText="1"/>
    </xf>
    <xf numFmtId="38" fontId="15" fillId="0" borderId="11" xfId="15" applyNumberFormat="1" applyFont="1" applyFill="1" applyBorder="1" applyAlignment="1" applyProtection="1">
      <alignment wrapText="1"/>
    </xf>
    <xf numFmtId="38" fontId="15" fillId="0" borderId="9" xfId="15" applyNumberFormat="1" applyFont="1" applyFill="1" applyBorder="1" applyAlignment="1" applyProtection="1">
      <alignment wrapText="1"/>
    </xf>
    <xf numFmtId="38" fontId="15" fillId="0" borderId="1" xfId="15" applyNumberFormat="1" applyFont="1" applyFill="1" applyBorder="1" applyAlignment="1" applyProtection="1">
      <alignment wrapText="1"/>
    </xf>
    <xf numFmtId="38" fontId="15" fillId="0" borderId="9" xfId="15" applyNumberFormat="1" applyFont="1" applyFill="1" applyBorder="1" applyAlignment="1" applyProtection="1">
      <alignment horizontal="left" wrapText="1"/>
    </xf>
    <xf numFmtId="38" fontId="15" fillId="0" borderId="0" xfId="15" applyNumberFormat="1" applyFont="1" applyFill="1" applyBorder="1" applyAlignment="1" applyProtection="1">
      <alignment horizontal="right"/>
    </xf>
    <xf numFmtId="38" fontId="15" fillId="0" borderId="4" xfId="15" applyNumberFormat="1" applyFont="1" applyFill="1" applyBorder="1" applyAlignment="1" applyProtection="1">
      <alignment horizontal="left" vertical="center" wrapText="1"/>
    </xf>
    <xf numFmtId="3" fontId="15" fillId="0" borderId="8" xfId="15" applyNumberFormat="1" applyFont="1" applyFill="1" applyBorder="1" applyAlignment="1" applyProtection="1">
      <alignment horizontal="right" vertical="center" wrapText="1"/>
    </xf>
    <xf numFmtId="38" fontId="15" fillId="0" borderId="8" xfId="15" applyNumberFormat="1" applyFont="1" applyFill="1" applyBorder="1" applyAlignment="1" applyProtection="1">
      <alignment horizontal="left" vertical="center" wrapText="1"/>
    </xf>
    <xf numFmtId="38" fontId="15" fillId="0" borderId="14" xfId="15" applyNumberFormat="1" applyFont="1" applyFill="1" applyBorder="1" applyAlignment="1" applyProtection="1">
      <alignment horizontal="left" vertical="center" wrapText="1"/>
    </xf>
    <xf numFmtId="3" fontId="15" fillId="0" borderId="14" xfId="15" applyNumberFormat="1" applyFont="1" applyFill="1" applyBorder="1" applyAlignment="1" applyProtection="1">
      <alignment horizontal="right" vertical="center" wrapText="1"/>
    </xf>
    <xf numFmtId="38" fontId="15" fillId="0" borderId="15" xfId="15" applyNumberFormat="1" applyFont="1" applyFill="1" applyBorder="1" applyAlignment="1" applyProtection="1">
      <alignment horizontal="left" vertical="center" wrapText="1"/>
    </xf>
    <xf numFmtId="38" fontId="15" fillId="0" borderId="15" xfId="15" applyNumberFormat="1" applyFont="1" applyFill="1" applyBorder="1" applyAlignment="1" applyProtection="1">
      <alignment horizontal="left" vertical="center" wrapText="1" indent="1"/>
    </xf>
    <xf numFmtId="38" fontId="46" fillId="0" borderId="14" xfId="15" applyNumberFormat="1" applyFont="1" applyFill="1" applyBorder="1" applyAlignment="1" applyProtection="1">
      <alignment horizontal="left" vertical="center" wrapText="1"/>
    </xf>
    <xf numFmtId="3" fontId="46" fillId="0" borderId="0" xfId="15" applyNumberFormat="1" applyFont="1" applyFill="1" applyBorder="1" applyAlignment="1" applyProtection="1">
      <alignment horizontal="right" vertical="center" wrapText="1"/>
    </xf>
    <xf numFmtId="3" fontId="46" fillId="0" borderId="14" xfId="15" applyNumberFormat="1" applyFont="1" applyFill="1" applyBorder="1" applyAlignment="1" applyProtection="1">
      <alignment horizontal="right" vertical="center" wrapText="1"/>
    </xf>
    <xf numFmtId="38" fontId="46" fillId="0" borderId="15" xfId="15" applyNumberFormat="1" applyFont="1" applyFill="1" applyBorder="1" applyAlignment="1" applyProtection="1">
      <alignment horizontal="left" vertical="center" wrapText="1"/>
    </xf>
    <xf numFmtId="38" fontId="50" fillId="0" borderId="15" xfId="15" applyNumberFormat="1" applyFont="1" applyFill="1" applyBorder="1" applyAlignment="1" applyProtection="1">
      <alignment horizontal="left" vertical="center" wrapText="1" indent="1"/>
    </xf>
    <xf numFmtId="38" fontId="46" fillId="0" borderId="14" xfId="15" applyNumberFormat="1" applyFont="1" applyFill="1" applyBorder="1" applyAlignment="1" applyProtection="1">
      <alignment vertical="center" wrapText="1"/>
    </xf>
    <xf numFmtId="38" fontId="15" fillId="0" borderId="0" xfId="15" applyNumberFormat="1" applyFont="1" applyFill="1" applyBorder="1" applyAlignment="1" applyProtection="1">
      <alignment horizontal="right" vertical="center" wrapText="1"/>
    </xf>
    <xf numFmtId="38" fontId="15" fillId="0" borderId="29" xfId="15" applyNumberFormat="1" applyFont="1" applyFill="1" applyBorder="1" applyAlignment="1" applyProtection="1">
      <alignment horizontal="right" vertical="center" wrapText="1"/>
    </xf>
    <xf numFmtId="38" fontId="15" fillId="0" borderId="30" xfId="15" applyNumberFormat="1" applyFont="1" applyFill="1" applyBorder="1" applyAlignment="1" applyProtection="1">
      <alignment horizontal="right" vertical="center" wrapText="1"/>
    </xf>
    <xf numFmtId="38" fontId="15" fillId="0" borderId="15" xfId="15" applyNumberFormat="1" applyFont="1" applyFill="1" applyBorder="1" applyAlignment="1">
      <alignment horizontal="left" vertical="center" wrapText="1"/>
    </xf>
    <xf numFmtId="38" fontId="15" fillId="0" borderId="25" xfId="15" applyNumberFormat="1" applyFont="1" applyFill="1" applyBorder="1" applyAlignment="1" applyProtection="1">
      <alignment horizontal="center" vertical="center" wrapText="1"/>
    </xf>
    <xf numFmtId="38" fontId="15" fillId="0" borderId="0" xfId="15" applyNumberFormat="1" applyFont="1" applyFill="1" applyBorder="1" applyAlignment="1" applyProtection="1">
      <alignment horizontal="center" vertical="center"/>
    </xf>
    <xf numFmtId="38" fontId="15" fillId="0" borderId="15" xfId="15" applyNumberFormat="1" applyFont="1" applyFill="1" applyBorder="1" applyAlignment="1" applyProtection="1">
      <alignment horizontal="center" vertical="center" wrapText="1"/>
    </xf>
    <xf numFmtId="0" fontId="15" fillId="0" borderId="25" xfId="5" applyFont="1" applyFill="1" applyBorder="1" applyAlignment="1">
      <alignment vertical="center"/>
    </xf>
    <xf numFmtId="0" fontId="15" fillId="0" borderId="26" xfId="5" applyFont="1" applyFill="1" applyBorder="1" applyAlignment="1">
      <alignment vertical="center"/>
    </xf>
    <xf numFmtId="0" fontId="15" fillId="0" borderId="15" xfId="5" applyFont="1" applyFill="1" applyBorder="1" applyAlignment="1">
      <alignment horizontal="left" vertical="center"/>
    </xf>
    <xf numFmtId="38" fontId="15" fillId="0" borderId="15" xfId="15" applyNumberFormat="1" applyFont="1" applyFill="1" applyBorder="1" applyAlignment="1" applyProtection="1">
      <alignment vertical="center" wrapText="1"/>
    </xf>
    <xf numFmtId="38" fontId="15" fillId="0" borderId="0" xfId="15" applyNumberFormat="1" applyFont="1" applyFill="1" applyBorder="1" applyAlignment="1" applyProtection="1">
      <alignment vertical="center"/>
    </xf>
    <xf numFmtId="38" fontId="12" fillId="0" borderId="0" xfId="15" applyNumberFormat="1" applyFont="1" applyFill="1" applyBorder="1" applyAlignment="1">
      <alignment horizontal="left" wrapText="1"/>
    </xf>
    <xf numFmtId="0" fontId="49" fillId="0" borderId="1" xfId="5" applyFont="1" applyFill="1" applyBorder="1" applyAlignment="1"/>
    <xf numFmtId="0" fontId="7" fillId="0" borderId="1" xfId="5" applyFont="1" applyFill="1" applyBorder="1"/>
    <xf numFmtId="0" fontId="12" fillId="0" borderId="1" xfId="5" applyFont="1" applyFill="1" applyBorder="1"/>
    <xf numFmtId="38" fontId="12" fillId="0" borderId="1" xfId="15" applyNumberFormat="1" applyFont="1" applyFill="1" applyBorder="1" applyAlignment="1" applyProtection="1">
      <alignment wrapText="1"/>
    </xf>
    <xf numFmtId="38" fontId="12" fillId="0" borderId="1" xfId="15" applyNumberFormat="1" applyFont="1" applyFill="1" applyBorder="1" applyAlignment="1" applyProtection="1">
      <alignment horizontal="center" wrapText="1"/>
    </xf>
    <xf numFmtId="38" fontId="12" fillId="0" borderId="0" xfId="15" applyNumberFormat="1" applyFont="1" applyFill="1" applyBorder="1" applyProtection="1"/>
    <xf numFmtId="0" fontId="51" fillId="0" borderId="0" xfId="5" applyFont="1" applyFill="1" applyAlignment="1">
      <alignment horizontal="left"/>
    </xf>
    <xf numFmtId="38" fontId="52" fillId="0" borderId="0" xfId="15" applyNumberFormat="1" applyFont="1" applyFill="1" applyAlignment="1" applyProtection="1">
      <alignment horizontal="left" wrapText="1"/>
    </xf>
    <xf numFmtId="38" fontId="53" fillId="0" borderId="0" xfId="15" applyNumberFormat="1" applyFont="1" applyFill="1" applyAlignment="1" applyProtection="1">
      <alignment horizontal="left"/>
    </xf>
    <xf numFmtId="38" fontId="53" fillId="0" borderId="0" xfId="15" applyNumberFormat="1" applyFont="1" applyFill="1" applyAlignment="1" applyProtection="1">
      <alignment horizontal="left" wrapText="1"/>
    </xf>
    <xf numFmtId="38" fontId="12" fillId="0" borderId="0" xfId="15" applyNumberFormat="1" applyFont="1" applyFill="1" applyBorder="1" applyAlignment="1" applyProtection="1">
      <alignment horizontal="left"/>
    </xf>
    <xf numFmtId="38" fontId="52" fillId="0" borderId="0" xfId="15" applyNumberFormat="1" applyFont="1" applyFill="1" applyBorder="1" applyAlignment="1" applyProtection="1">
      <alignment horizontal="left" wrapText="1"/>
    </xf>
    <xf numFmtId="0" fontId="52" fillId="0" borderId="0" xfId="5" applyFont="1" applyFill="1" applyAlignment="1">
      <alignment horizontal="left"/>
    </xf>
    <xf numFmtId="38" fontId="52" fillId="0" borderId="0" xfId="15" applyNumberFormat="1" applyFont="1" applyFill="1" applyBorder="1" applyAlignment="1" applyProtection="1">
      <alignment horizontal="left"/>
    </xf>
    <xf numFmtId="37" fontId="52" fillId="0" borderId="0" xfId="15" applyFont="1" applyFill="1" applyAlignment="1">
      <alignment horizontal="left"/>
    </xf>
    <xf numFmtId="37" fontId="12" fillId="0" borderId="0" xfId="15" applyFont="1" applyFill="1" applyAlignment="1">
      <alignment horizontal="left"/>
    </xf>
    <xf numFmtId="0" fontId="51" fillId="0" borderId="0" xfId="5" applyFont="1" applyFill="1"/>
    <xf numFmtId="0" fontId="53" fillId="0" borderId="0" xfId="5" applyFont="1" applyFill="1" applyAlignment="1">
      <alignment horizontal="right"/>
    </xf>
    <xf numFmtId="0" fontId="52" fillId="0" borderId="0" xfId="5" applyFont="1" applyFill="1"/>
    <xf numFmtId="0" fontId="7" fillId="0" borderId="0" xfId="5" applyFont="1"/>
    <xf numFmtId="0" fontId="7" fillId="0" borderId="0" xfId="5" applyFont="1" applyAlignment="1">
      <alignment horizontal="left"/>
    </xf>
    <xf numFmtId="0" fontId="49" fillId="0" borderId="0" xfId="5" applyFont="1" applyAlignment="1"/>
    <xf numFmtId="0" fontId="7" fillId="0" borderId="0" xfId="5" applyFont="1" applyBorder="1" applyAlignment="1">
      <alignment horizontal="left"/>
    </xf>
    <xf numFmtId="0" fontId="7" fillId="0" borderId="0" xfId="5" applyFont="1" applyBorder="1"/>
    <xf numFmtId="0" fontId="7" fillId="0" borderId="0" xfId="5" applyFont="1" applyAlignment="1">
      <alignment vertical="center"/>
    </xf>
    <xf numFmtId="0" fontId="51" fillId="0" borderId="0" xfId="5" applyFont="1" applyAlignment="1">
      <alignment horizontal="left"/>
    </xf>
    <xf numFmtId="38" fontId="54" fillId="0" borderId="0" xfId="15" applyNumberFormat="1" applyFont="1" applyFill="1" applyBorder="1" applyAlignment="1" applyProtection="1">
      <alignment horizontal="left"/>
    </xf>
    <xf numFmtId="0" fontId="52" fillId="0" borderId="0" xfId="5" applyFont="1" applyAlignment="1">
      <alignment horizontal="left"/>
    </xf>
    <xf numFmtId="38" fontId="55" fillId="0" borderId="0" xfId="15" applyNumberFormat="1" applyFont="1" applyFill="1" applyBorder="1" applyAlignment="1" applyProtection="1">
      <alignment horizontal="left"/>
    </xf>
    <xf numFmtId="37" fontId="55" fillId="0" borderId="0" xfId="15" applyFont="1" applyFill="1" applyAlignment="1">
      <alignment horizontal="left"/>
    </xf>
    <xf numFmtId="37" fontId="54" fillId="0" borderId="0" xfId="15" applyFont="1" applyFill="1" applyAlignment="1">
      <alignment horizontal="left"/>
    </xf>
    <xf numFmtId="0" fontId="51" fillId="0" borderId="0" xfId="5" applyFont="1"/>
    <xf numFmtId="0" fontId="53" fillId="0" borderId="0" xfId="5" applyFont="1" applyAlignment="1">
      <alignment horizontal="right"/>
    </xf>
    <xf numFmtId="0" fontId="52" fillId="0" borderId="0" xfId="5" applyFont="1"/>
    <xf numFmtId="0" fontId="56" fillId="0" borderId="0" xfId="5" applyFont="1" applyFill="1" applyAlignment="1">
      <alignment vertical="center"/>
    </xf>
    <xf numFmtId="0" fontId="35" fillId="0" borderId="0" xfId="5" applyFont="1" applyFill="1" applyBorder="1"/>
    <xf numFmtId="0" fontId="35" fillId="0" borderId="0" xfId="5" applyFont="1" applyFill="1" applyBorder="1" applyAlignment="1">
      <alignment horizontal="left"/>
    </xf>
    <xf numFmtId="17" fontId="15" fillId="0" borderId="0" xfId="5" applyNumberFormat="1" applyFont="1" applyFill="1" applyBorder="1" applyAlignment="1">
      <alignment horizontal="left" vertical="center"/>
    </xf>
    <xf numFmtId="38" fontId="15" fillId="0" borderId="9" xfId="2" applyFont="1" applyFill="1" applyBorder="1" applyAlignment="1">
      <alignment vertical="center"/>
    </xf>
    <xf numFmtId="38" fontId="15" fillId="0" borderId="1" xfId="2" applyFont="1" applyFill="1" applyBorder="1" applyAlignment="1">
      <alignment vertical="center"/>
    </xf>
    <xf numFmtId="38" fontId="15" fillId="0" borderId="1" xfId="2" applyFont="1" applyFill="1" applyBorder="1" applyAlignment="1">
      <alignment horizontal="right" vertical="center"/>
    </xf>
    <xf numFmtId="38" fontId="15" fillId="0" borderId="11" xfId="2" applyFont="1" applyFill="1" applyBorder="1" applyAlignment="1">
      <alignment horizontal="right" vertical="center"/>
    </xf>
    <xf numFmtId="49" fontId="15" fillId="0" borderId="9" xfId="5" applyNumberFormat="1" applyFont="1" applyFill="1" applyBorder="1" applyAlignment="1">
      <alignment horizontal="right" vertical="center"/>
    </xf>
    <xf numFmtId="38" fontId="15" fillId="0" borderId="0" xfId="2" applyFont="1" applyFill="1" applyBorder="1" applyAlignment="1">
      <alignment horizontal="right" vertical="center"/>
    </xf>
    <xf numFmtId="49" fontId="15" fillId="0" borderId="8" xfId="5" applyNumberFormat="1" applyFont="1" applyFill="1" applyBorder="1" applyAlignment="1">
      <alignment horizontal="right" vertical="center"/>
    </xf>
    <xf numFmtId="49" fontId="15" fillId="0" borderId="0" xfId="5" applyNumberFormat="1" applyFont="1" applyFill="1" applyBorder="1" applyAlignment="1">
      <alignment horizontal="left" vertical="center"/>
    </xf>
    <xf numFmtId="185" fontId="15" fillId="0" borderId="4" xfId="14" applyNumberFormat="1" applyFont="1" applyFill="1" applyBorder="1" applyAlignment="1">
      <alignment vertical="center"/>
    </xf>
    <xf numFmtId="38" fontId="15" fillId="0" borderId="0" xfId="2" applyFont="1" applyFill="1" applyAlignment="1">
      <alignment vertical="center"/>
    </xf>
    <xf numFmtId="0" fontId="15" fillId="0" borderId="8" xfId="5" applyFont="1" applyFill="1" applyBorder="1" applyAlignment="1">
      <alignment vertical="center"/>
    </xf>
    <xf numFmtId="0" fontId="15" fillId="0" borderId="0" xfId="5" applyFont="1" applyFill="1" applyBorder="1" applyAlignment="1">
      <alignment vertical="center"/>
    </xf>
    <xf numFmtId="179" fontId="15" fillId="0" borderId="0" xfId="5" applyNumberFormat="1" applyFont="1" applyFill="1" applyBorder="1" applyAlignment="1">
      <alignment horizontal="left" vertical="center"/>
    </xf>
    <xf numFmtId="38" fontId="15" fillId="0" borderId="8" xfId="2" applyFont="1" applyFill="1" applyBorder="1" applyAlignment="1">
      <alignment horizontal="right" vertical="center"/>
    </xf>
    <xf numFmtId="0" fontId="15" fillId="0" borderId="8" xfId="5" applyFont="1" applyFill="1" applyBorder="1" applyAlignment="1">
      <alignment horizontal="distributed" vertical="center"/>
    </xf>
    <xf numFmtId="180" fontId="15" fillId="0" borderId="0" xfId="5" applyNumberFormat="1" applyFont="1" applyFill="1" applyBorder="1" applyAlignment="1">
      <alignment horizontal="left" vertical="center"/>
    </xf>
    <xf numFmtId="181" fontId="15" fillId="0" borderId="0" xfId="5" applyNumberFormat="1" applyFont="1" applyFill="1" applyBorder="1" applyAlignment="1">
      <alignment horizontal="left" vertical="center"/>
    </xf>
    <xf numFmtId="182" fontId="15" fillId="0" borderId="0" xfId="5" applyNumberFormat="1" applyFont="1" applyFill="1" applyBorder="1" applyAlignment="1">
      <alignment horizontal="left" vertical="center"/>
    </xf>
    <xf numFmtId="183" fontId="15" fillId="0" borderId="0" xfId="5" applyNumberFormat="1" applyFont="1" applyFill="1" applyBorder="1" applyAlignment="1">
      <alignment horizontal="left" vertical="center"/>
    </xf>
    <xf numFmtId="3" fontId="15" fillId="0" borderId="0" xfId="2" applyNumberFormat="1" applyFont="1" applyFill="1" applyBorder="1" applyAlignment="1">
      <alignment horizontal="right" vertical="center"/>
    </xf>
    <xf numFmtId="184" fontId="15" fillId="0" borderId="0" xfId="5" applyNumberFormat="1" applyFont="1" applyFill="1" applyBorder="1" applyAlignment="1">
      <alignment horizontal="left" vertical="center"/>
    </xf>
    <xf numFmtId="0" fontId="15" fillId="0" borderId="8" xfId="5" applyFont="1" applyFill="1" applyBorder="1" applyAlignment="1">
      <alignment horizontal="right" vertical="center"/>
    </xf>
    <xf numFmtId="0" fontId="15" fillId="0" borderId="0" xfId="5" applyFont="1" applyFill="1" applyAlignment="1">
      <alignment horizontal="left" vertical="center"/>
    </xf>
    <xf numFmtId="0" fontId="15" fillId="0" borderId="6" xfId="5" applyFont="1" applyFill="1" applyBorder="1" applyAlignment="1">
      <alignment horizontal="right" vertical="center"/>
    </xf>
    <xf numFmtId="0" fontId="35" fillId="0" borderId="0" xfId="5" applyFont="1" applyFill="1" applyBorder="1" applyAlignment="1">
      <alignment horizontal="center"/>
    </xf>
    <xf numFmtId="38" fontId="15" fillId="0" borderId="31" xfId="15" applyNumberFormat="1" applyFont="1" applyFill="1" applyBorder="1" applyAlignment="1" applyProtection="1">
      <alignment vertical="center" wrapText="1"/>
    </xf>
    <xf numFmtId="0" fontId="6" fillId="0" borderId="0" xfId="5" applyFont="1" applyFill="1" applyBorder="1" applyAlignment="1">
      <alignment horizontal="left"/>
    </xf>
    <xf numFmtId="0" fontId="6" fillId="0" borderId="1" xfId="5" applyFont="1" applyFill="1" applyBorder="1"/>
    <xf numFmtId="0" fontId="39" fillId="0" borderId="1" xfId="5" applyFont="1" applyFill="1" applyBorder="1" applyAlignment="1">
      <alignment horizontal="left" vertical="center"/>
    </xf>
    <xf numFmtId="0" fontId="59" fillId="0" borderId="0" xfId="5" applyFont="1" applyFill="1" applyAlignment="1">
      <alignment vertical="center"/>
    </xf>
    <xf numFmtId="0" fontId="59" fillId="0" borderId="0" xfId="5" applyFont="1" applyFill="1" applyAlignment="1">
      <alignment horizontal="right" vertical="center"/>
    </xf>
    <xf numFmtId="37" fontId="59" fillId="0" borderId="0" xfId="15" applyFont="1" applyFill="1" applyAlignment="1">
      <alignment horizontal="left" vertical="center"/>
    </xf>
    <xf numFmtId="0" fontId="59" fillId="0" borderId="0" xfId="5" applyFont="1" applyFill="1" applyAlignment="1">
      <alignment horizontal="center" vertical="center"/>
    </xf>
    <xf numFmtId="37" fontId="59" fillId="0" borderId="0" xfId="15" applyFont="1" applyFill="1" applyAlignment="1">
      <alignment vertical="center"/>
    </xf>
    <xf numFmtId="0" fontId="7" fillId="0" borderId="0" xfId="5" applyFont="1" applyFill="1" applyAlignment="1"/>
    <xf numFmtId="0" fontId="59" fillId="0" borderId="0" xfId="5" applyFont="1" applyFill="1" applyAlignment="1"/>
    <xf numFmtId="0" fontId="60" fillId="0" borderId="0" xfId="5" applyFont="1" applyFill="1"/>
    <xf numFmtId="0" fontId="17" fillId="0" borderId="0" xfId="5" applyFont="1" applyFill="1" applyAlignment="1">
      <alignment vertical="center"/>
    </xf>
    <xf numFmtId="38" fontId="15" fillId="0" borderId="0" xfId="5" applyNumberFormat="1" applyFont="1" applyFill="1" applyAlignment="1">
      <alignment vertical="center"/>
    </xf>
    <xf numFmtId="0" fontId="17" fillId="0" borderId="0" xfId="5" applyFont="1" applyFill="1"/>
    <xf numFmtId="0" fontId="15" fillId="0" borderId="0" xfId="5" applyFont="1" applyFill="1"/>
    <xf numFmtId="0" fontId="15" fillId="0" borderId="0" xfId="5" applyFont="1" applyFill="1" applyAlignment="1"/>
    <xf numFmtId="0" fontId="15" fillId="0" borderId="0" xfId="5" applyFont="1" applyFill="1" applyBorder="1" applyAlignment="1"/>
    <xf numFmtId="0" fontId="15" fillId="0" borderId="0" xfId="5" applyFont="1" applyFill="1" applyBorder="1"/>
    <xf numFmtId="38" fontId="46" fillId="0" borderId="0" xfId="2" applyFont="1" applyFill="1" applyBorder="1" applyAlignment="1">
      <alignment vertical="center"/>
    </xf>
    <xf numFmtId="0" fontId="15" fillId="0" borderId="0" xfId="5" applyFont="1" applyFill="1" applyAlignment="1">
      <alignment vertical="top"/>
    </xf>
    <xf numFmtId="0" fontId="15" fillId="0" borderId="0" xfId="5" applyFont="1" applyFill="1" applyBorder="1" applyAlignment="1">
      <alignment horizontal="right" vertical="top"/>
    </xf>
    <xf numFmtId="176" fontId="15" fillId="0" borderId="11" xfId="5" applyNumberFormat="1" applyFont="1" applyFill="1" applyBorder="1" applyAlignment="1">
      <alignment horizontal="left" vertical="top"/>
    </xf>
    <xf numFmtId="3" fontId="15" fillId="0" borderId="9" xfId="2" applyNumberFormat="1" applyFont="1" applyFill="1" applyBorder="1" applyAlignment="1">
      <alignment vertical="top"/>
    </xf>
    <xf numFmtId="3" fontId="15" fillId="0" borderId="1" xfId="2" applyNumberFormat="1" applyFont="1" applyFill="1" applyBorder="1" applyAlignment="1">
      <alignment vertical="top"/>
    </xf>
    <xf numFmtId="3" fontId="15" fillId="0" borderId="1" xfId="2" applyNumberFormat="1" applyFont="1" applyFill="1" applyBorder="1" applyAlignment="1">
      <alignment horizontal="right" vertical="top"/>
    </xf>
    <xf numFmtId="3" fontId="15" fillId="0" borderId="1" xfId="5" applyNumberFormat="1" applyFont="1" applyFill="1" applyBorder="1" applyAlignment="1">
      <alignment horizontal="right" vertical="top" wrapText="1"/>
    </xf>
    <xf numFmtId="3" fontId="15" fillId="0" borderId="1" xfId="5" applyNumberFormat="1" applyFont="1" applyFill="1" applyBorder="1" applyAlignment="1">
      <alignment horizontal="right" vertical="top"/>
    </xf>
    <xf numFmtId="3" fontId="15" fillId="0" borderId="11" xfId="2" applyNumberFormat="1" applyFont="1" applyFill="1" applyBorder="1" applyAlignment="1">
      <alignment horizontal="right" vertical="top"/>
    </xf>
    <xf numFmtId="176" fontId="15" fillId="0" borderId="4" xfId="5" applyNumberFormat="1" applyFont="1" applyFill="1" applyBorder="1" applyAlignment="1">
      <alignment horizontal="left"/>
    </xf>
    <xf numFmtId="3" fontId="15" fillId="0" borderId="8" xfId="5" applyNumberFormat="1" applyFont="1" applyFill="1" applyBorder="1" applyAlignment="1"/>
    <xf numFmtId="3" fontId="15" fillId="0" borderId="0" xfId="5" applyNumberFormat="1" applyFont="1" applyFill="1" applyBorder="1" applyAlignment="1"/>
    <xf numFmtId="3" fontId="15" fillId="0" borderId="0" xfId="5" applyNumberFormat="1" applyFont="1" applyFill="1" applyBorder="1" applyAlignment="1">
      <alignment horizontal="center"/>
    </xf>
    <xf numFmtId="186" fontId="15" fillId="0" borderId="0" xfId="5" applyNumberFormat="1" applyFont="1" applyFill="1" applyBorder="1" applyAlignment="1">
      <alignment horizontal="right"/>
    </xf>
    <xf numFmtId="186" fontId="15" fillId="0" borderId="4" xfId="5" applyNumberFormat="1" applyFont="1" applyFill="1" applyBorder="1" applyAlignment="1">
      <alignment horizontal="right"/>
    </xf>
    <xf numFmtId="176" fontId="15" fillId="0" borderId="4" xfId="5" applyNumberFormat="1" applyFont="1" applyFill="1" applyBorder="1" applyAlignment="1">
      <alignment horizontal="left" vertical="top"/>
    </xf>
    <xf numFmtId="3" fontId="15" fillId="0" borderId="8" xfId="2" applyNumberFormat="1" applyFont="1" applyFill="1" applyBorder="1" applyAlignment="1">
      <alignment vertical="top"/>
    </xf>
    <xf numFmtId="3" fontId="15" fillId="0" borderId="0" xfId="2" applyNumberFormat="1" applyFont="1" applyFill="1" applyBorder="1" applyAlignment="1">
      <alignment vertical="top"/>
    </xf>
    <xf numFmtId="3" fontId="15" fillId="0" borderId="0" xfId="5" applyNumberFormat="1" applyFont="1" applyFill="1" applyBorder="1" applyAlignment="1">
      <alignment horizontal="right" vertical="top" wrapText="1"/>
    </xf>
    <xf numFmtId="3" fontId="15" fillId="0" borderId="0" xfId="5" applyNumberFormat="1" applyFont="1" applyFill="1" applyBorder="1" applyAlignment="1">
      <alignment horizontal="right" vertical="top"/>
    </xf>
    <xf numFmtId="3" fontId="15" fillId="0" borderId="4" xfId="5" applyNumberFormat="1" applyFont="1" applyFill="1" applyBorder="1" applyAlignment="1">
      <alignment horizontal="right" vertical="top" wrapText="1"/>
    </xf>
    <xf numFmtId="178" fontId="15" fillId="0" borderId="4" xfId="5" applyNumberFormat="1" applyFont="1" applyFill="1" applyBorder="1" applyAlignment="1">
      <alignment horizontal="left"/>
    </xf>
    <xf numFmtId="3" fontId="15" fillId="0" borderId="0" xfId="5" applyNumberFormat="1" applyFont="1" applyFill="1" applyBorder="1" applyAlignment="1">
      <alignment horizontal="right" wrapText="1"/>
    </xf>
    <xf numFmtId="178" fontId="15" fillId="0" borderId="4" xfId="5" applyNumberFormat="1" applyFont="1" applyFill="1" applyBorder="1" applyAlignment="1">
      <alignment horizontal="left" vertical="top"/>
    </xf>
    <xf numFmtId="185" fontId="15" fillId="0" borderId="4" xfId="14" applyNumberFormat="1" applyFont="1" applyFill="1" applyBorder="1" applyAlignment="1"/>
    <xf numFmtId="3" fontId="15" fillId="0" borderId="0" xfId="5" applyNumberFormat="1" applyFont="1" applyFill="1" applyBorder="1" applyAlignment="1">
      <alignment horizontal="right"/>
    </xf>
    <xf numFmtId="3" fontId="15" fillId="0" borderId="4" xfId="5" applyNumberFormat="1" applyFont="1" applyFill="1" applyBorder="1" applyAlignment="1">
      <alignment horizontal="right" wrapText="1"/>
    </xf>
    <xf numFmtId="186" fontId="15" fillId="0" borderId="8" xfId="5" applyNumberFormat="1" applyFont="1" applyFill="1" applyBorder="1" applyAlignment="1">
      <alignment horizontal="right"/>
    </xf>
    <xf numFmtId="3" fontId="15" fillId="0" borderId="8" xfId="2" applyNumberFormat="1" applyFont="1" applyFill="1" applyBorder="1" applyAlignment="1"/>
    <xf numFmtId="3" fontId="15" fillId="0" borderId="0" xfId="2" applyNumberFormat="1" applyFont="1" applyFill="1" applyBorder="1" applyAlignment="1"/>
    <xf numFmtId="0" fontId="15" fillId="0" borderId="4" xfId="5" applyFont="1" applyFill="1" applyBorder="1" applyAlignment="1">
      <alignment horizontal="left"/>
    </xf>
    <xf numFmtId="186" fontId="15" fillId="0" borderId="0" xfId="5" applyNumberFormat="1" applyFont="1" applyFill="1" applyBorder="1" applyAlignment="1">
      <alignment horizontal="right" wrapText="1"/>
    </xf>
    <xf numFmtId="3" fontId="15" fillId="0" borderId="0" xfId="2" applyNumberFormat="1" applyFont="1" applyFill="1" applyBorder="1" applyAlignment="1">
      <alignment horizontal="right"/>
    </xf>
    <xf numFmtId="3" fontId="15" fillId="0" borderId="4" xfId="2" applyNumberFormat="1" applyFont="1" applyFill="1" applyBorder="1" applyAlignment="1">
      <alignment horizontal="right"/>
    </xf>
    <xf numFmtId="179" fontId="15" fillId="0" borderId="4" xfId="5" applyNumberFormat="1" applyFont="1" applyFill="1" applyBorder="1" applyAlignment="1">
      <alignment horizontal="left" vertical="top"/>
    </xf>
    <xf numFmtId="3" fontId="15" fillId="0" borderId="8" xfId="2" applyNumberFormat="1" applyFont="1" applyFill="1" applyBorder="1" applyAlignment="1">
      <alignment horizontal="right" vertical="top"/>
    </xf>
    <xf numFmtId="3" fontId="15" fillId="0" borderId="0" xfId="2" applyNumberFormat="1" applyFont="1" applyFill="1" applyBorder="1" applyAlignment="1">
      <alignment horizontal="right" vertical="top"/>
    </xf>
    <xf numFmtId="3" fontId="15" fillId="0" borderId="4" xfId="2" applyNumberFormat="1" applyFont="1" applyFill="1" applyBorder="1" applyAlignment="1">
      <alignment horizontal="right" vertical="top"/>
    </xf>
    <xf numFmtId="180" fontId="15" fillId="0" borderId="4" xfId="5" applyNumberFormat="1" applyFont="1" applyFill="1" applyBorder="1" applyAlignment="1">
      <alignment horizontal="left"/>
    </xf>
    <xf numFmtId="180" fontId="15" fillId="0" borderId="4" xfId="5" applyNumberFormat="1" applyFont="1" applyFill="1" applyBorder="1" applyAlignment="1">
      <alignment horizontal="left" vertical="top"/>
    </xf>
    <xf numFmtId="3" fontId="15" fillId="0" borderId="8" xfId="5" applyNumberFormat="1" applyFont="1" applyFill="1" applyBorder="1" applyAlignment="1">
      <alignment horizontal="right" vertical="top" wrapText="1"/>
    </xf>
    <xf numFmtId="181" fontId="15" fillId="0" borderId="4" xfId="5" applyNumberFormat="1" applyFont="1" applyFill="1" applyBorder="1" applyAlignment="1">
      <alignment horizontal="left"/>
    </xf>
    <xf numFmtId="181" fontId="15" fillId="0" borderId="4" xfId="5" applyNumberFormat="1" applyFont="1" applyFill="1" applyBorder="1" applyAlignment="1">
      <alignment horizontal="left" vertical="top"/>
    </xf>
    <xf numFmtId="182" fontId="15" fillId="0" borderId="4" xfId="5" applyNumberFormat="1" applyFont="1" applyFill="1" applyBorder="1" applyAlignment="1">
      <alignment horizontal="left"/>
    </xf>
    <xf numFmtId="182" fontId="15" fillId="0" borderId="4" xfId="5" applyNumberFormat="1" applyFont="1" applyFill="1" applyBorder="1" applyAlignment="1">
      <alignment horizontal="left" vertical="top"/>
    </xf>
    <xf numFmtId="179" fontId="15" fillId="0" borderId="4" xfId="5" applyNumberFormat="1" applyFont="1" applyFill="1" applyBorder="1" applyAlignment="1">
      <alignment horizontal="left"/>
    </xf>
    <xf numFmtId="3" fontId="15" fillId="0" borderId="4" xfId="5" applyNumberFormat="1" applyFont="1" applyFill="1" applyBorder="1" applyAlignment="1"/>
    <xf numFmtId="183" fontId="15" fillId="0" borderId="4" xfId="5" applyNumberFormat="1" applyFont="1" applyFill="1" applyBorder="1" applyAlignment="1">
      <alignment horizontal="left" vertical="top"/>
    </xf>
    <xf numFmtId="3" fontId="15" fillId="0" borderId="8" xfId="5" applyNumberFormat="1" applyFont="1" applyFill="1" applyBorder="1" applyAlignment="1">
      <alignment vertical="top"/>
    </xf>
    <xf numFmtId="183" fontId="15" fillId="0" borderId="4" xfId="5" applyNumberFormat="1" applyFont="1" applyFill="1" applyBorder="1" applyAlignment="1">
      <alignment horizontal="left"/>
    </xf>
    <xf numFmtId="0" fontId="17" fillId="0" borderId="0" xfId="5" applyFont="1" applyFill="1" applyBorder="1"/>
    <xf numFmtId="0" fontId="17" fillId="0" borderId="0" xfId="5" applyFont="1" applyFill="1" applyBorder="1" applyAlignment="1">
      <alignment vertical="top"/>
    </xf>
    <xf numFmtId="0" fontId="17" fillId="0" borderId="0" xfId="5" applyFont="1" applyFill="1" applyAlignment="1">
      <alignment vertical="top"/>
    </xf>
    <xf numFmtId="184" fontId="15" fillId="0" borderId="4" xfId="5" applyNumberFormat="1" applyFont="1" applyFill="1" applyBorder="1" applyAlignment="1">
      <alignment horizontal="left" vertical="top"/>
    </xf>
    <xf numFmtId="184" fontId="15" fillId="0" borderId="4" xfId="5" applyNumberFormat="1" applyFont="1" applyFill="1" applyBorder="1" applyAlignment="1">
      <alignment horizontal="left"/>
    </xf>
    <xf numFmtId="38" fontId="15" fillId="0" borderId="0" xfId="2" applyFont="1" applyFill="1" applyBorder="1" applyAlignment="1">
      <alignment horizontal="right" vertical="top"/>
    </xf>
    <xf numFmtId="0" fontId="57" fillId="0" borderId="5" xfId="5" applyFont="1" applyFill="1" applyBorder="1" applyAlignment="1">
      <alignment horizontal="center" wrapText="1"/>
    </xf>
    <xf numFmtId="0" fontId="15" fillId="0" borderId="10" xfId="5" applyFont="1" applyFill="1" applyBorder="1" applyAlignment="1">
      <alignment horizontal="center" vertical="center"/>
    </xf>
    <xf numFmtId="38" fontId="15" fillId="0" borderId="20" xfId="15" applyNumberFormat="1" applyFont="1" applyFill="1" applyBorder="1" applyAlignment="1" applyProtection="1">
      <alignment horizontal="center" vertical="center" wrapText="1"/>
    </xf>
    <xf numFmtId="38" fontId="15" fillId="0" borderId="21" xfId="15" applyNumberFormat="1" applyFont="1" applyFill="1" applyBorder="1" applyAlignment="1" applyProtection="1">
      <alignment horizontal="center" vertical="center" wrapText="1"/>
    </xf>
    <xf numFmtId="38" fontId="15" fillId="0" borderId="24" xfId="15" applyNumberFormat="1" applyFont="1" applyFill="1" applyBorder="1" applyAlignment="1" applyProtection="1">
      <alignment horizontal="center" vertical="center" wrapText="1"/>
    </xf>
    <xf numFmtId="38" fontId="15" fillId="0" borderId="26" xfId="15" applyNumberFormat="1" applyFont="1" applyFill="1" applyBorder="1" applyAlignment="1" applyProtection="1">
      <alignment horizontal="center" vertical="center" wrapText="1"/>
    </xf>
    <xf numFmtId="38" fontId="15" fillId="0" borderId="27" xfId="15" applyNumberFormat="1" applyFont="1" applyFill="1" applyBorder="1" applyAlignment="1" applyProtection="1">
      <alignment vertical="center" wrapText="1"/>
    </xf>
    <xf numFmtId="38" fontId="15" fillId="0" borderId="28" xfId="15" applyNumberFormat="1" applyFont="1" applyFill="1" applyBorder="1" applyAlignment="1" applyProtection="1">
      <alignment vertical="center" wrapText="1"/>
    </xf>
    <xf numFmtId="38" fontId="15" fillId="0" borderId="5" xfId="15" applyNumberFormat="1" applyFont="1" applyFill="1" applyBorder="1" applyAlignment="1" applyProtection="1">
      <alignment vertical="center" wrapText="1"/>
    </xf>
    <xf numFmtId="0" fontId="7" fillId="0" borderId="0" xfId="5" applyFont="1" applyFill="1" applyBorder="1" applyAlignment="1">
      <alignment vertical="center"/>
    </xf>
    <xf numFmtId="0" fontId="7" fillId="0" borderId="1" xfId="5" applyFont="1" applyFill="1" applyBorder="1" applyAlignment="1">
      <alignment vertical="center"/>
    </xf>
    <xf numFmtId="0" fontId="15" fillId="0" borderId="1" xfId="5" applyFont="1" applyFill="1" applyBorder="1" applyAlignment="1">
      <alignment horizontal="left" vertical="center"/>
    </xf>
    <xf numFmtId="0" fontId="62" fillId="0" borderId="1" xfId="5" applyFont="1" applyFill="1" applyBorder="1" applyAlignment="1">
      <alignment vertical="center"/>
    </xf>
    <xf numFmtId="0" fontId="12" fillId="0" borderId="1" xfId="5" applyFont="1" applyFill="1" applyBorder="1" applyAlignment="1">
      <alignment horizontal="center" vertical="center"/>
    </xf>
    <xf numFmtId="0" fontId="12" fillId="0" borderId="1" xfId="12" applyFont="1" applyFill="1" applyBorder="1" applyAlignment="1">
      <alignment vertical="center"/>
    </xf>
    <xf numFmtId="0" fontId="12" fillId="0" borderId="0" xfId="5" applyFont="1" applyFill="1" applyBorder="1" applyAlignment="1">
      <alignment vertical="center"/>
    </xf>
    <xf numFmtId="0" fontId="12" fillId="0" borderId="0" xfId="5" applyFont="1" applyFill="1" applyAlignment="1"/>
    <xf numFmtId="187" fontId="64" fillId="0" borderId="0" xfId="2" applyNumberFormat="1" applyFont="1" applyFill="1" applyBorder="1" applyAlignment="1">
      <alignment horizontal="right" vertical="center"/>
    </xf>
    <xf numFmtId="0" fontId="7" fillId="0" borderId="0" xfId="16" applyFont="1" applyFill="1">
      <alignment vertical="center"/>
    </xf>
    <xf numFmtId="37" fontId="15" fillId="0" borderId="0" xfId="16" applyNumberFormat="1" applyFont="1" applyFill="1" applyAlignment="1">
      <alignment horizontal="right" vertical="center"/>
    </xf>
    <xf numFmtId="37" fontId="15" fillId="0" borderId="11" xfId="16" applyNumberFormat="1" applyFont="1" applyFill="1" applyBorder="1" applyAlignment="1">
      <alignment horizontal="left" vertical="center"/>
    </xf>
    <xf numFmtId="37" fontId="15" fillId="0" borderId="9" xfId="16" applyNumberFormat="1" applyFont="1" applyFill="1" applyBorder="1" applyAlignment="1">
      <alignment horizontal="right" vertical="center"/>
    </xf>
    <xf numFmtId="37" fontId="15" fillId="0" borderId="1" xfId="16" applyNumberFormat="1" applyFont="1" applyFill="1" applyBorder="1" applyAlignment="1">
      <alignment horizontal="right" vertical="center"/>
    </xf>
    <xf numFmtId="37" fontId="15" fillId="0" borderId="11" xfId="16" applyNumberFormat="1" applyFont="1" applyFill="1" applyBorder="1" applyAlignment="1">
      <alignment horizontal="right" vertical="center"/>
    </xf>
    <xf numFmtId="37" fontId="15" fillId="0" borderId="4" xfId="16" applyNumberFormat="1" applyFont="1" applyFill="1" applyBorder="1" applyAlignment="1">
      <alignment horizontal="left" vertical="center"/>
    </xf>
    <xf numFmtId="37" fontId="15" fillId="0" borderId="8" xfId="16" applyNumberFormat="1" applyFont="1" applyFill="1" applyBorder="1" applyAlignment="1">
      <alignment horizontal="right" vertical="center"/>
    </xf>
    <xf numFmtId="37" fontId="15" fillId="0" borderId="5" xfId="16" applyNumberFormat="1" applyFont="1" applyFill="1" applyBorder="1" applyAlignment="1">
      <alignment horizontal="left" vertical="center"/>
    </xf>
    <xf numFmtId="37" fontId="15" fillId="0" borderId="6" xfId="16" applyNumberFormat="1" applyFont="1" applyFill="1" applyBorder="1" applyAlignment="1">
      <alignment horizontal="right" vertical="center"/>
    </xf>
    <xf numFmtId="37" fontId="15" fillId="0" borderId="2" xfId="16" applyNumberFormat="1" applyFont="1" applyFill="1" applyBorder="1" applyAlignment="1">
      <alignment horizontal="right" vertical="center"/>
    </xf>
    <xf numFmtId="37" fontId="15" fillId="0" borderId="5" xfId="16" applyNumberFormat="1" applyFont="1" applyFill="1" applyBorder="1" applyAlignment="1">
      <alignment horizontal="right" vertical="center"/>
    </xf>
    <xf numFmtId="0" fontId="15" fillId="0" borderId="0" xfId="16" applyFont="1" applyFill="1" applyAlignment="1">
      <alignment horizontal="center" vertical="center" wrapText="1"/>
    </xf>
    <xf numFmtId="0" fontId="15" fillId="0" borderId="32" xfId="16" applyFont="1" applyFill="1" applyBorder="1" applyAlignment="1">
      <alignment horizontal="center" vertical="center" wrapText="1"/>
    </xf>
    <xf numFmtId="0" fontId="15" fillId="0" borderId="2" xfId="16" applyFont="1" applyFill="1" applyBorder="1" applyAlignment="1">
      <alignment horizontal="center" vertical="center" wrapText="1"/>
    </xf>
    <xf numFmtId="0" fontId="15" fillId="0" borderId="5" xfId="16" applyFont="1" applyFill="1" applyBorder="1" applyAlignment="1">
      <alignment horizontal="left" vertical="center"/>
    </xf>
    <xf numFmtId="0" fontId="11" fillId="0" borderId="0" xfId="16" applyFont="1" applyFill="1" applyAlignment="1">
      <alignment horizontal="center" vertical="center"/>
    </xf>
    <xf numFmtId="0" fontId="15" fillId="0" borderId="33" xfId="16" applyFont="1" applyFill="1" applyBorder="1" applyAlignment="1">
      <alignment horizontal="center" vertical="center" wrapText="1"/>
    </xf>
    <xf numFmtId="0" fontId="17" fillId="0" borderId="32" xfId="16" applyFont="1" applyFill="1" applyBorder="1" applyAlignment="1">
      <alignment horizontal="center" vertical="center" wrapText="1"/>
    </xf>
    <xf numFmtId="0" fontId="15" fillId="0" borderId="0" xfId="16" applyFont="1" applyFill="1" applyAlignment="1">
      <alignment horizontal="right"/>
    </xf>
    <xf numFmtId="0" fontId="17" fillId="0" borderId="5" xfId="16" applyFont="1" applyFill="1" applyBorder="1" applyAlignment="1">
      <alignment horizontal="center" vertical="center" wrapText="1"/>
    </xf>
    <xf numFmtId="37" fontId="15" fillId="0" borderId="0" xfId="16" applyNumberFormat="1" applyFont="1" applyFill="1" applyBorder="1" applyAlignment="1">
      <alignment horizontal="right" vertical="center"/>
    </xf>
    <xf numFmtId="38" fontId="66" fillId="0" borderId="0" xfId="2" applyFont="1" applyFill="1" applyBorder="1" applyAlignment="1">
      <alignment vertical="center"/>
    </xf>
    <xf numFmtId="38" fontId="66" fillId="0" borderId="0" xfId="2" applyFont="1" applyFill="1" applyBorder="1" applyAlignment="1">
      <alignment horizontal="right" vertical="center"/>
    </xf>
    <xf numFmtId="0" fontId="56" fillId="0" borderId="0" xfId="5" applyFont="1" applyFill="1" applyAlignment="1">
      <alignment horizontal="right" vertical="center"/>
    </xf>
    <xf numFmtId="0" fontId="56" fillId="0" borderId="0" xfId="5" applyFont="1" applyFill="1" applyBorder="1" applyAlignment="1">
      <alignment vertical="center"/>
    </xf>
    <xf numFmtId="49" fontId="66" fillId="0" borderId="0" xfId="5" applyNumberFormat="1" applyFont="1" applyFill="1" applyBorder="1" applyAlignment="1">
      <alignment horizontal="right" vertical="center"/>
    </xf>
    <xf numFmtId="0" fontId="56" fillId="0" borderId="0" xfId="5" applyFont="1" applyFill="1" applyBorder="1" applyAlignment="1">
      <alignment horizontal="center" vertical="center"/>
    </xf>
    <xf numFmtId="0" fontId="57" fillId="0" borderId="0" xfId="5" applyFont="1" applyFill="1" applyBorder="1" applyAlignment="1">
      <alignment vertical="center"/>
    </xf>
    <xf numFmtId="0" fontId="57" fillId="0" borderId="0" xfId="5" applyFont="1" applyFill="1" applyAlignment="1">
      <alignment vertical="center"/>
    </xf>
    <xf numFmtId="0" fontId="57" fillId="0" borderId="0" xfId="5" applyFont="1" applyFill="1" applyAlignment="1">
      <alignment horizontal="left" vertical="center"/>
    </xf>
    <xf numFmtId="3" fontId="15" fillId="0" borderId="1" xfId="2" applyNumberFormat="1" applyFont="1" applyFill="1" applyBorder="1" applyAlignment="1">
      <alignment horizontal="right" vertical="center"/>
    </xf>
    <xf numFmtId="3" fontId="15" fillId="0" borderId="11" xfId="2" applyNumberFormat="1" applyFont="1" applyFill="1" applyBorder="1" applyAlignment="1">
      <alignment horizontal="right" vertical="center"/>
    </xf>
    <xf numFmtId="3" fontId="15" fillId="0" borderId="0" xfId="5" applyNumberFormat="1" applyFont="1" applyFill="1" applyAlignment="1">
      <alignment vertical="center"/>
    </xf>
    <xf numFmtId="3" fontId="15" fillId="0" borderId="0" xfId="5" applyNumberFormat="1" applyFont="1" applyFill="1" applyAlignment="1">
      <alignment horizontal="right" vertical="center"/>
    </xf>
    <xf numFmtId="38" fontId="35" fillId="0" borderId="5" xfId="15" applyNumberFormat="1" applyFont="1" applyFill="1" applyBorder="1" applyAlignment="1" applyProtection="1">
      <alignment vertical="center" wrapText="1"/>
    </xf>
    <xf numFmtId="0" fontId="6" fillId="0" borderId="0" xfId="5" applyFont="1" applyFill="1" applyBorder="1"/>
    <xf numFmtId="185" fontId="35" fillId="0" borderId="0" xfId="5" applyNumberFormat="1" applyFont="1" applyFill="1"/>
    <xf numFmtId="0" fontId="35" fillId="0" borderId="0" xfId="5" quotePrefix="1" applyFont="1" applyFill="1" applyAlignment="1">
      <alignment vertical="center"/>
    </xf>
    <xf numFmtId="185" fontId="35" fillId="0" borderId="0" xfId="5" applyNumberFormat="1" applyFont="1" applyFill="1" applyAlignment="1">
      <alignment vertical="center"/>
    </xf>
    <xf numFmtId="0" fontId="15" fillId="0" borderId="11" xfId="5" applyFont="1" applyFill="1" applyBorder="1" applyAlignment="1">
      <alignment horizontal="left" vertical="center"/>
    </xf>
    <xf numFmtId="3" fontId="15" fillId="0" borderId="1" xfId="5" applyNumberFormat="1" applyFont="1" applyFill="1" applyBorder="1" applyAlignment="1">
      <alignment horizontal="right" vertical="center"/>
    </xf>
    <xf numFmtId="3" fontId="15" fillId="0" borderId="1" xfId="5" applyNumberFormat="1" applyFont="1" applyFill="1" applyBorder="1"/>
    <xf numFmtId="0" fontId="15" fillId="0" borderId="9" xfId="5" applyFont="1" applyFill="1" applyBorder="1" applyAlignment="1">
      <alignment horizontal="distributed" vertical="center"/>
    </xf>
    <xf numFmtId="0" fontId="15" fillId="0" borderId="1" xfId="5" applyFont="1" applyFill="1" applyBorder="1" applyAlignment="1">
      <alignment horizontal="distributed" vertical="center" wrapText="1"/>
    </xf>
    <xf numFmtId="0" fontId="15" fillId="0" borderId="34" xfId="5" applyFont="1" applyFill="1" applyBorder="1" applyAlignment="1">
      <alignment horizontal="right" vertical="center"/>
    </xf>
    <xf numFmtId="3" fontId="15" fillId="0" borderId="0" xfId="5" applyNumberFormat="1" applyFont="1" applyFill="1" applyBorder="1" applyAlignment="1">
      <alignment horizontal="right" vertical="center"/>
    </xf>
    <xf numFmtId="3" fontId="15" fillId="0" borderId="0" xfId="5" applyNumberFormat="1" applyFont="1" applyFill="1" applyBorder="1"/>
    <xf numFmtId="0" fontId="15" fillId="0" borderId="0" xfId="5" applyFont="1" applyFill="1" applyBorder="1" applyAlignment="1">
      <alignment horizontal="distributed" vertical="center" wrapText="1"/>
    </xf>
    <xf numFmtId="0" fontId="15" fillId="0" borderId="35" xfId="5" applyFont="1" applyFill="1" applyBorder="1" applyAlignment="1">
      <alignment horizontal="right" vertical="center"/>
    </xf>
    <xf numFmtId="0" fontId="46" fillId="0" borderId="4" xfId="5" applyFont="1" applyFill="1" applyBorder="1" applyAlignment="1">
      <alignment horizontal="left" vertical="center"/>
    </xf>
    <xf numFmtId="3" fontId="46" fillId="0" borderId="0" xfId="2" applyNumberFormat="1" applyFont="1" applyFill="1" applyBorder="1" applyAlignment="1">
      <alignment horizontal="right" vertical="center"/>
    </xf>
    <xf numFmtId="3" fontId="46" fillId="0" borderId="0" xfId="5" applyNumberFormat="1" applyFont="1" applyFill="1" applyBorder="1" applyAlignment="1">
      <alignment horizontal="right" vertical="center"/>
    </xf>
    <xf numFmtId="0" fontId="46" fillId="0" borderId="8" xfId="5" applyFont="1" applyFill="1" applyBorder="1" applyAlignment="1">
      <alignment horizontal="distributed" vertical="center"/>
    </xf>
    <xf numFmtId="0" fontId="46" fillId="0" borderId="0" xfId="5" applyFont="1" applyFill="1" applyBorder="1" applyAlignment="1">
      <alignment horizontal="distributed" vertical="center" wrapText="1"/>
    </xf>
    <xf numFmtId="0" fontId="46" fillId="0" borderId="35" xfId="5" applyFont="1" applyFill="1" applyBorder="1" applyAlignment="1">
      <alignment horizontal="right"/>
    </xf>
    <xf numFmtId="0" fontId="15" fillId="0" borderId="36" xfId="5" applyFont="1" applyFill="1" applyBorder="1" applyAlignment="1">
      <alignment horizontal="left" vertical="center"/>
    </xf>
    <xf numFmtId="3" fontId="15" fillId="0" borderId="37" xfId="2" applyNumberFormat="1" applyFont="1" applyFill="1" applyBorder="1" applyAlignment="1">
      <alignment horizontal="right" vertical="center"/>
    </xf>
    <xf numFmtId="3" fontId="15" fillId="0" borderId="37" xfId="5" applyNumberFormat="1" applyFont="1" applyFill="1" applyBorder="1" applyAlignment="1">
      <alignment horizontal="right" vertical="center"/>
    </xf>
    <xf numFmtId="0" fontId="15" fillId="0" borderId="38" xfId="5" applyFont="1" applyFill="1" applyBorder="1" applyAlignment="1">
      <alignment horizontal="distributed" vertical="center"/>
    </xf>
    <xf numFmtId="0" fontId="15" fillId="0" borderId="37" xfId="5" applyFont="1" applyFill="1" applyBorder="1" applyAlignment="1">
      <alignment horizontal="distributed" vertical="center" wrapText="1"/>
    </xf>
    <xf numFmtId="0" fontId="15" fillId="0" borderId="39" xfId="5" applyFont="1" applyFill="1" applyBorder="1" applyAlignment="1">
      <alignment horizontal="right" vertical="center"/>
    </xf>
    <xf numFmtId="3" fontId="15" fillId="0" borderId="0" xfId="2" applyNumberFormat="1" applyFont="1" applyFill="1" applyAlignment="1">
      <alignment horizontal="right" vertical="center"/>
    </xf>
    <xf numFmtId="3" fontId="46" fillId="0" borderId="0" xfId="2" applyNumberFormat="1" applyFont="1" applyFill="1" applyAlignment="1">
      <alignment horizontal="right" vertical="center"/>
    </xf>
    <xf numFmtId="3" fontId="46" fillId="0" borderId="0" xfId="5" applyNumberFormat="1" applyFont="1" applyFill="1" applyAlignment="1">
      <alignment horizontal="right" vertical="center"/>
    </xf>
    <xf numFmtId="0" fontId="15" fillId="0" borderId="4" xfId="5" applyFont="1" applyFill="1" applyBorder="1" applyAlignment="1">
      <alignment vertical="center"/>
    </xf>
    <xf numFmtId="3" fontId="15" fillId="0" borderId="4" xfId="5" applyNumberFormat="1" applyFont="1" applyFill="1" applyBorder="1" applyAlignment="1">
      <alignment horizontal="right" vertical="center"/>
    </xf>
    <xf numFmtId="0" fontId="15" fillId="0" borderId="40" xfId="5" applyFont="1" applyFill="1" applyBorder="1" applyAlignment="1">
      <alignment horizontal="centerContinuous" vertical="center"/>
    </xf>
    <xf numFmtId="3" fontId="35" fillId="0" borderId="0" xfId="5" applyNumberFormat="1" applyFont="1" applyFill="1" applyAlignment="1">
      <alignment horizontal="right" vertical="center"/>
    </xf>
    <xf numFmtId="0" fontId="46" fillId="0" borderId="4" xfId="5" applyFont="1" applyFill="1" applyBorder="1" applyAlignment="1">
      <alignment vertical="center"/>
    </xf>
    <xf numFmtId="3" fontId="46" fillId="0" borderId="0" xfId="5" applyNumberFormat="1" applyFont="1" applyFill="1" applyAlignment="1">
      <alignment vertical="center"/>
    </xf>
    <xf numFmtId="0" fontId="46" fillId="0" borderId="42" xfId="5" applyFont="1" applyFill="1" applyBorder="1"/>
    <xf numFmtId="0" fontId="15" fillId="0" borderId="4" xfId="5" applyFont="1" applyFill="1" applyBorder="1"/>
    <xf numFmtId="0" fontId="15" fillId="0" borderId="43" xfId="5" applyFont="1" applyFill="1" applyBorder="1" applyAlignment="1">
      <alignment horizontal="centerContinuous"/>
    </xf>
    <xf numFmtId="0" fontId="35" fillId="0" borderId="0" xfId="5" applyFont="1" applyFill="1" applyAlignment="1">
      <alignment wrapText="1"/>
    </xf>
    <xf numFmtId="0" fontId="15" fillId="0" borderId="0" xfId="5" applyFont="1" applyFill="1" applyBorder="1" applyAlignment="1">
      <alignment vertical="center" wrapText="1"/>
    </xf>
    <xf numFmtId="0" fontId="35" fillId="0" borderId="9" xfId="5" applyFont="1" applyFill="1" applyBorder="1" applyAlignment="1">
      <alignment horizontal="centerContinuous" vertical="center" wrapText="1"/>
    </xf>
    <xf numFmtId="0" fontId="35" fillId="0" borderId="0" xfId="5" applyFont="1" applyFill="1" applyBorder="1" applyAlignment="1">
      <alignment horizontal="right" vertical="center" wrapText="1"/>
    </xf>
    <xf numFmtId="0" fontId="35" fillId="0" borderId="8" xfId="5" applyFont="1" applyFill="1" applyBorder="1" applyAlignment="1">
      <alignment horizontal="centerContinuous" vertical="center"/>
    </xf>
    <xf numFmtId="0" fontId="35" fillId="0" borderId="0" xfId="5" applyFont="1" applyFill="1" applyAlignment="1">
      <alignment horizontal="center" vertical="center"/>
    </xf>
    <xf numFmtId="38" fontId="15" fillId="0" borderId="45" xfId="15" applyNumberFormat="1" applyFont="1" applyFill="1" applyBorder="1" applyAlignment="1" applyProtection="1">
      <alignment vertical="center" wrapText="1"/>
    </xf>
    <xf numFmtId="38" fontId="15" fillId="0" borderId="30" xfId="15" applyNumberFormat="1" applyFont="1" applyFill="1" applyBorder="1" applyAlignment="1" applyProtection="1">
      <alignment vertical="center" wrapText="1"/>
    </xf>
    <xf numFmtId="0" fontId="35" fillId="0" borderId="8" xfId="5" applyFont="1" applyFill="1" applyBorder="1" applyAlignment="1">
      <alignment horizontal="centerContinuous"/>
    </xf>
    <xf numFmtId="0" fontId="68" fillId="0" borderId="0" xfId="5" applyFont="1" applyFill="1" applyAlignment="1">
      <alignment horizontal="left" vertical="center"/>
    </xf>
    <xf numFmtId="0" fontId="48" fillId="0" borderId="0" xfId="5" quotePrefix="1" applyFont="1" applyFill="1" applyAlignment="1">
      <alignment horizontal="left"/>
    </xf>
    <xf numFmtId="0" fontId="48" fillId="0" borderId="0" xfId="5" applyFont="1" applyFill="1" applyAlignment="1">
      <alignment horizontal="left"/>
    </xf>
    <xf numFmtId="0" fontId="48" fillId="0" borderId="0" xfId="5" applyFont="1" applyFill="1" applyAlignment="1"/>
    <xf numFmtId="0" fontId="6" fillId="0" borderId="0" xfId="5" applyFont="1" applyFill="1" applyAlignment="1">
      <alignment horizontal="left" vertical="center"/>
    </xf>
    <xf numFmtId="0" fontId="48" fillId="0" borderId="0" xfId="5" applyFont="1" applyFill="1" applyAlignment="1">
      <alignment horizontal="centerContinuous"/>
    </xf>
    <xf numFmtId="0" fontId="6" fillId="0" borderId="0" xfId="5" applyFont="1" applyFill="1" applyAlignment="1">
      <alignment horizontal="right" vertical="center"/>
    </xf>
    <xf numFmtId="0" fontId="69" fillId="0" borderId="0" xfId="5" applyFont="1" applyFill="1" applyAlignment="1">
      <alignment vertical="center"/>
    </xf>
    <xf numFmtId="0" fontId="69" fillId="0" borderId="0" xfId="5" applyFont="1" applyFill="1" applyAlignment="1">
      <alignment horizontal="left" vertical="center"/>
    </xf>
    <xf numFmtId="0" fontId="68" fillId="0" borderId="0" xfId="5" quotePrefix="1" applyFont="1" applyFill="1" applyAlignment="1">
      <alignment horizontal="left" vertical="center"/>
    </xf>
    <xf numFmtId="0" fontId="68" fillId="0" borderId="0" xfId="5" applyFont="1" applyFill="1" applyAlignment="1">
      <alignment vertical="center"/>
    </xf>
    <xf numFmtId="0" fontId="68" fillId="0" borderId="0" xfId="5" applyFont="1" applyFill="1" applyAlignment="1">
      <alignment horizontal="centerContinuous" vertical="center"/>
    </xf>
    <xf numFmtId="0" fontId="69" fillId="0" borderId="0" xfId="5" applyFont="1" applyFill="1" applyAlignment="1">
      <alignment horizontal="right" vertical="center"/>
    </xf>
    <xf numFmtId="0" fontId="68" fillId="0" borderId="0" xfId="5" applyFont="1" applyFill="1" applyAlignment="1">
      <alignment horizontal="center" vertical="center"/>
    </xf>
    <xf numFmtId="0" fontId="70" fillId="0" borderId="0" xfId="5" applyFont="1" applyFill="1"/>
    <xf numFmtId="0" fontId="67" fillId="0" borderId="0" xfId="5" applyFont="1" applyFill="1" applyAlignment="1">
      <alignment horizontal="center"/>
    </xf>
    <xf numFmtId="0" fontId="70" fillId="0" borderId="0" xfId="5" applyFont="1" applyFill="1" applyAlignment="1"/>
    <xf numFmtId="0" fontId="71" fillId="0" borderId="0" xfId="5" applyFont="1" applyFill="1" applyAlignment="1">
      <alignment vertical="center"/>
    </xf>
    <xf numFmtId="0" fontId="70" fillId="0" borderId="0" xfId="5" applyFont="1" applyFill="1" applyAlignment="1">
      <alignment horizontal="center"/>
    </xf>
    <xf numFmtId="0" fontId="56" fillId="0" borderId="0" xfId="5" applyFont="1"/>
    <xf numFmtId="0" fontId="56" fillId="0" borderId="0" xfId="5" applyFont="1" applyBorder="1"/>
    <xf numFmtId="188" fontId="56" fillId="0" borderId="0" xfId="5" applyNumberFormat="1" applyFont="1"/>
    <xf numFmtId="188" fontId="56" fillId="0" borderId="0" xfId="5" applyNumberFormat="1" applyFont="1" applyAlignment="1">
      <alignment horizontal="left"/>
    </xf>
    <xf numFmtId="188" fontId="56" fillId="0" borderId="0" xfId="5" applyNumberFormat="1" applyFont="1" applyFill="1"/>
    <xf numFmtId="0" fontId="56" fillId="0" borderId="0" xfId="5" applyFont="1" applyAlignment="1">
      <alignment horizontal="left"/>
    </xf>
    <xf numFmtId="0" fontId="56" fillId="0" borderId="0" xfId="5" applyFont="1" applyFill="1"/>
    <xf numFmtId="38" fontId="16" fillId="0" borderId="0" xfId="5" applyNumberFormat="1" applyFont="1" applyFill="1"/>
    <xf numFmtId="0" fontId="16" fillId="0" borderId="0" xfId="5" applyFont="1" applyAlignment="1">
      <alignment horizontal="left"/>
    </xf>
    <xf numFmtId="0" fontId="16" fillId="0" borderId="0" xfId="5" applyFont="1"/>
    <xf numFmtId="0" fontId="16" fillId="0" borderId="0" xfId="5" applyFont="1" applyFill="1"/>
    <xf numFmtId="0" fontId="16" fillId="0" borderId="0" xfId="5" applyFont="1" applyBorder="1" applyAlignment="1">
      <alignment horizontal="left"/>
    </xf>
    <xf numFmtId="0" fontId="16" fillId="0" borderId="0" xfId="5" applyFont="1" applyBorder="1"/>
    <xf numFmtId="0" fontId="15" fillId="0" borderId="0" xfId="5" applyFont="1" applyBorder="1"/>
    <xf numFmtId="0" fontId="15" fillId="0" borderId="0" xfId="5" applyFont="1" applyBorder="1" applyAlignment="1">
      <alignment horizontal="left"/>
    </xf>
    <xf numFmtId="38" fontId="15" fillId="0" borderId="10" xfId="5" applyNumberFormat="1" applyFont="1" applyFill="1" applyBorder="1"/>
    <xf numFmtId="0" fontId="15" fillId="0" borderId="9" xfId="5" applyFont="1" applyBorder="1"/>
    <xf numFmtId="38" fontId="15" fillId="0" borderId="10" xfId="5" applyNumberFormat="1" applyFont="1" applyFill="1" applyBorder="1" applyAlignment="1">
      <alignment horizontal="right"/>
    </xf>
    <xf numFmtId="38" fontId="15" fillId="0" borderId="10" xfId="5" applyNumberFormat="1" applyFont="1" applyBorder="1"/>
    <xf numFmtId="0" fontId="15" fillId="0" borderId="4" xfId="5" applyFont="1" applyBorder="1"/>
    <xf numFmtId="38" fontId="15" fillId="0" borderId="7" xfId="5" applyNumberFormat="1" applyFont="1" applyFill="1" applyBorder="1"/>
    <xf numFmtId="0" fontId="15" fillId="0" borderId="8" xfId="5" applyFont="1" applyBorder="1"/>
    <xf numFmtId="38" fontId="15" fillId="0" borderId="7" xfId="5" applyNumberFormat="1" applyFont="1" applyFill="1" applyBorder="1" applyAlignment="1">
      <alignment horizontal="right"/>
    </xf>
    <xf numFmtId="38" fontId="15" fillId="0" borderId="4" xfId="5" applyNumberFormat="1" applyFont="1" applyBorder="1"/>
    <xf numFmtId="38" fontId="15" fillId="0" borderId="7" xfId="5" applyNumberFormat="1" applyFont="1" applyBorder="1"/>
    <xf numFmtId="188" fontId="15" fillId="0" borderId="0" xfId="5" applyNumberFormat="1" applyFont="1" applyBorder="1"/>
    <xf numFmtId="188" fontId="15" fillId="0" borderId="4" xfId="5" applyNumberFormat="1" applyFont="1" applyBorder="1"/>
    <xf numFmtId="188" fontId="15" fillId="0" borderId="7" xfId="5" applyNumberFormat="1" applyFont="1" applyBorder="1" applyAlignment="1"/>
    <xf numFmtId="188" fontId="15" fillId="0" borderId="8" xfId="5" applyNumberFormat="1" applyFont="1" applyBorder="1"/>
    <xf numFmtId="38" fontId="46" fillId="0" borderId="7" xfId="5" applyNumberFormat="1" applyFont="1" applyFill="1" applyBorder="1"/>
    <xf numFmtId="38" fontId="46" fillId="0" borderId="6" xfId="5" applyNumberFormat="1" applyFont="1" applyFill="1" applyBorder="1"/>
    <xf numFmtId="38" fontId="46" fillId="0" borderId="2" xfId="5" applyNumberFormat="1" applyFont="1" applyFill="1" applyBorder="1"/>
    <xf numFmtId="38" fontId="46" fillId="0" borderId="3" xfId="5" applyNumberFormat="1" applyFont="1" applyFill="1" applyBorder="1" applyAlignment="1">
      <alignment horizontal="right"/>
    </xf>
    <xf numFmtId="38" fontId="46" fillId="0" borderId="5" xfId="5" applyNumberFormat="1" applyFont="1" applyBorder="1"/>
    <xf numFmtId="38" fontId="46" fillId="0" borderId="3" xfId="5" applyNumberFormat="1" applyFont="1" applyBorder="1"/>
    <xf numFmtId="38" fontId="15" fillId="0" borderId="0" xfId="5" applyNumberFormat="1" applyFont="1" applyFill="1" applyBorder="1"/>
    <xf numFmtId="188" fontId="15" fillId="0" borderId="11" xfId="5" applyNumberFormat="1" applyFont="1" applyBorder="1"/>
    <xf numFmtId="188" fontId="15" fillId="0" borderId="0" xfId="5" applyNumberFormat="1" applyFont="1"/>
    <xf numFmtId="0" fontId="46" fillId="0" borderId="4" xfId="5" applyFont="1" applyBorder="1" applyAlignment="1">
      <alignment wrapText="1"/>
    </xf>
    <xf numFmtId="38" fontId="46" fillId="0" borderId="7" xfId="5" applyNumberFormat="1" applyFont="1" applyFill="1" applyBorder="1" applyAlignment="1">
      <alignment horizontal="right"/>
    </xf>
    <xf numFmtId="38" fontId="46" fillId="0" borderId="4" xfId="5" applyNumberFormat="1" applyFont="1" applyBorder="1"/>
    <xf numFmtId="38" fontId="46" fillId="0" borderId="7" xfId="5" applyNumberFormat="1" applyFont="1" applyBorder="1"/>
    <xf numFmtId="188" fontId="46" fillId="0" borderId="8" xfId="5" applyNumberFormat="1" applyFont="1" applyBorder="1"/>
    <xf numFmtId="188" fontId="15" fillId="0" borderId="1" xfId="5" applyNumberFormat="1" applyFont="1" applyBorder="1" applyAlignment="1"/>
    <xf numFmtId="188" fontId="15" fillId="0" borderId="9" xfId="5" applyNumberFormat="1" applyFont="1" applyBorder="1"/>
    <xf numFmtId="188" fontId="15" fillId="0" borderId="0" xfId="5" applyNumberFormat="1" applyFont="1" applyBorder="1" applyAlignment="1"/>
    <xf numFmtId="188" fontId="46" fillId="0" borderId="4" xfId="5" applyNumberFormat="1" applyFont="1" applyBorder="1"/>
    <xf numFmtId="188" fontId="15" fillId="0" borderId="10" xfId="5" applyNumberFormat="1" applyFont="1" applyBorder="1" applyAlignment="1"/>
    <xf numFmtId="188" fontId="15" fillId="0" borderId="0" xfId="5" applyNumberFormat="1" applyFont="1" applyBorder="1" applyAlignment="1">
      <alignment horizontal="center"/>
    </xf>
    <xf numFmtId="0" fontId="46" fillId="0" borderId="5" xfId="5" applyFont="1" applyBorder="1" applyAlignment="1">
      <alignment wrapText="1"/>
    </xf>
    <xf numFmtId="38" fontId="46" fillId="0" borderId="3" xfId="5" applyNumberFormat="1" applyFont="1" applyFill="1" applyBorder="1"/>
    <xf numFmtId="188" fontId="46" fillId="0" borderId="6" xfId="5" applyNumberFormat="1" applyFont="1" applyBorder="1"/>
    <xf numFmtId="188" fontId="15" fillId="0" borderId="0" xfId="5" applyNumberFormat="1" applyFont="1" applyBorder="1" applyAlignment="1">
      <alignment horizontal="left"/>
    </xf>
    <xf numFmtId="176" fontId="15" fillId="0" borderId="10" xfId="5" applyNumberFormat="1" applyFont="1" applyFill="1" applyBorder="1" applyAlignment="1">
      <alignment horizontal="center"/>
    </xf>
    <xf numFmtId="178" fontId="15" fillId="0" borderId="10" xfId="5" applyNumberFormat="1" applyFont="1" applyFill="1" applyBorder="1" applyAlignment="1">
      <alignment horizontal="center"/>
    </xf>
    <xf numFmtId="189" fontId="15" fillId="0" borderId="10" xfId="5" applyNumberFormat="1" applyFont="1" applyFill="1" applyBorder="1" applyAlignment="1">
      <alignment horizontal="center"/>
    </xf>
    <xf numFmtId="184" fontId="15" fillId="0" borderId="10" xfId="5" applyNumberFormat="1" applyFont="1" applyFill="1" applyBorder="1" applyAlignment="1">
      <alignment horizontal="center"/>
    </xf>
    <xf numFmtId="188" fontId="46" fillId="0" borderId="0" xfId="5" applyNumberFormat="1" applyFont="1" applyBorder="1"/>
    <xf numFmtId="190" fontId="15" fillId="0" borderId="3" xfId="5" quotePrefix="1" applyNumberFormat="1" applyFont="1" applyFill="1" applyBorder="1" applyAlignment="1">
      <alignment horizontal="center"/>
    </xf>
    <xf numFmtId="188" fontId="56" fillId="0" borderId="0" xfId="5" applyNumberFormat="1" applyFont="1" applyBorder="1"/>
    <xf numFmtId="188" fontId="15" fillId="0" borderId="0" xfId="5" applyNumberFormat="1" applyFont="1" applyFill="1" applyAlignment="1">
      <alignment horizontal="right"/>
    </xf>
    <xf numFmtId="188" fontId="56" fillId="0" borderId="1" xfId="5" applyNumberFormat="1" applyFont="1" applyFill="1" applyBorder="1"/>
    <xf numFmtId="188" fontId="66" fillId="0" borderId="0" xfId="5" applyNumberFormat="1" applyFont="1"/>
    <xf numFmtId="188" fontId="12" fillId="0" borderId="0" xfId="5" applyNumberFormat="1" applyFont="1"/>
    <xf numFmtId="188" fontId="12" fillId="0" borderId="0" xfId="12" applyNumberFormat="1" applyFont="1" applyBorder="1"/>
    <xf numFmtId="0" fontId="73" fillId="0" borderId="0" xfId="5" applyFont="1"/>
    <xf numFmtId="0" fontId="73" fillId="0" borderId="0" xfId="5" applyFont="1" applyBorder="1"/>
    <xf numFmtId="188" fontId="73" fillId="0" borderId="0" xfId="5" applyNumberFormat="1" applyFont="1"/>
    <xf numFmtId="188" fontId="73" fillId="0" borderId="0" xfId="5" applyNumberFormat="1" applyFont="1" applyAlignment="1">
      <alignment horizontal="left"/>
    </xf>
    <xf numFmtId="188" fontId="73" fillId="0" borderId="0" xfId="5" applyNumberFormat="1" applyFont="1" applyFill="1"/>
    <xf numFmtId="188" fontId="73" fillId="0" borderId="0" xfId="5" applyNumberFormat="1" applyFont="1" applyAlignment="1">
      <alignment horizontal="right"/>
    </xf>
    <xf numFmtId="0" fontId="7" fillId="0" borderId="0" xfId="5" applyFill="1"/>
    <xf numFmtId="192" fontId="7" fillId="0" borderId="0" xfId="5" applyNumberFormat="1" applyFill="1"/>
    <xf numFmtId="0" fontId="61" fillId="0" borderId="0" xfId="5" applyFont="1" applyFill="1"/>
    <xf numFmtId="192" fontId="61" fillId="0" borderId="0" xfId="5" applyNumberFormat="1" applyFont="1" applyFill="1"/>
    <xf numFmtId="192" fontId="61" fillId="0" borderId="0" xfId="5" applyNumberFormat="1" applyFont="1" applyFill="1" applyBorder="1" applyAlignment="1">
      <alignment horizontal="right"/>
    </xf>
    <xf numFmtId="0" fontId="61" fillId="0" borderId="0" xfId="5" applyFont="1" applyFill="1" applyAlignment="1"/>
    <xf numFmtId="0" fontId="15" fillId="0" borderId="2" xfId="5" quotePrefix="1" applyFont="1" applyFill="1" applyBorder="1" applyAlignment="1">
      <alignment horizontal="left"/>
    </xf>
    <xf numFmtId="38" fontId="61" fillId="0" borderId="0" xfId="5" applyNumberFormat="1" applyFont="1" applyFill="1"/>
    <xf numFmtId="3" fontId="15" fillId="0" borderId="11" xfId="5" applyNumberFormat="1" applyFont="1" applyFill="1" applyBorder="1" applyAlignment="1"/>
    <xf numFmtId="38" fontId="15" fillId="0" borderId="10" xfId="2" applyFont="1" applyFill="1" applyBorder="1" applyAlignment="1">
      <alignment horizontal="right"/>
    </xf>
    <xf numFmtId="49" fontId="16" fillId="0" borderId="9" xfId="5" quotePrefix="1" applyNumberFormat="1" applyFont="1" applyFill="1" applyBorder="1" applyAlignment="1">
      <alignment horizontal="left"/>
    </xf>
    <xf numFmtId="38" fontId="15" fillId="0" borderId="7" xfId="2" applyFont="1" applyFill="1" applyBorder="1" applyAlignment="1">
      <alignment horizontal="right"/>
    </xf>
    <xf numFmtId="49" fontId="16" fillId="0" borderId="8" xfId="5" quotePrefix="1" applyNumberFormat="1" applyFont="1" applyFill="1" applyBorder="1" applyAlignment="1">
      <alignment horizontal="left"/>
    </xf>
    <xf numFmtId="3" fontId="15" fillId="0" borderId="4" xfId="5" quotePrefix="1" applyNumberFormat="1" applyFont="1" applyFill="1" applyBorder="1" applyAlignment="1">
      <alignment horizontal="left"/>
    </xf>
    <xf numFmtId="0" fontId="15" fillId="0" borderId="4" xfId="5" applyFont="1" applyFill="1" applyBorder="1" applyAlignment="1"/>
    <xf numFmtId="49" fontId="72" fillId="0" borderId="8" xfId="5" applyNumberFormat="1" applyFont="1" applyFill="1" applyBorder="1" applyAlignment="1">
      <alignment horizontal="right"/>
    </xf>
    <xf numFmtId="38" fontId="15" fillId="0" borderId="4" xfId="2" quotePrefix="1" applyFont="1" applyFill="1" applyBorder="1" applyAlignment="1">
      <alignment horizontal="left"/>
    </xf>
    <xf numFmtId="38" fontId="15" fillId="0" borderId="4" xfId="2" applyFont="1" applyFill="1" applyBorder="1" applyAlignment="1"/>
    <xf numFmtId="49" fontId="16" fillId="0" borderId="0" xfId="5" applyNumberFormat="1" applyFont="1" applyFill="1" applyBorder="1" applyAlignment="1"/>
    <xf numFmtId="49" fontId="16" fillId="0" borderId="0" xfId="5" quotePrefix="1" applyNumberFormat="1" applyFont="1" applyFill="1" applyBorder="1" applyAlignment="1">
      <alignment horizontal="left"/>
    </xf>
    <xf numFmtId="49" fontId="16" fillId="0" borderId="8" xfId="5" applyNumberFormat="1" applyFont="1" applyFill="1" applyBorder="1" applyAlignment="1">
      <alignment horizontal="right"/>
    </xf>
    <xf numFmtId="193" fontId="15" fillId="0" borderId="10" xfId="5" applyNumberFormat="1" applyFont="1" applyFill="1" applyBorder="1" applyAlignment="1">
      <alignment horizontal="center" vertical="center" wrapText="1"/>
    </xf>
    <xf numFmtId="38" fontId="15" fillId="0" borderId="10" xfId="5" applyNumberFormat="1" applyFont="1" applyFill="1" applyBorder="1" applyAlignment="1">
      <alignment horizontal="center" vertical="center" wrapText="1"/>
    </xf>
    <xf numFmtId="194" fontId="15" fillId="0" borderId="10" xfId="2" applyNumberFormat="1" applyFont="1" applyFill="1" applyBorder="1" applyAlignment="1">
      <alignment horizontal="center" vertical="center" wrapText="1"/>
    </xf>
    <xf numFmtId="193" fontId="15" fillId="0" borderId="3" xfId="5" applyNumberFormat="1" applyFont="1" applyFill="1" applyBorder="1" applyAlignment="1">
      <alignment horizontal="center" vertical="center" wrapText="1"/>
    </xf>
    <xf numFmtId="193" fontId="15" fillId="0" borderId="3" xfId="5" applyNumberFormat="1" applyFont="1" applyFill="1" applyBorder="1" applyAlignment="1">
      <alignment horizontal="center" vertical="center"/>
    </xf>
    <xf numFmtId="38" fontId="15" fillId="0" borderId="3" xfId="5" quotePrefix="1" applyNumberFormat="1" applyFont="1" applyFill="1" applyBorder="1" applyAlignment="1">
      <alignment horizontal="center" vertical="center" wrapText="1"/>
    </xf>
    <xf numFmtId="38" fontId="15" fillId="0" borderId="3" xfId="5" applyNumberFormat="1" applyFont="1" applyFill="1" applyBorder="1" applyAlignment="1">
      <alignment horizontal="center" vertical="center"/>
    </xf>
    <xf numFmtId="195" fontId="15" fillId="0" borderId="3" xfId="5" applyNumberFormat="1" applyFont="1" applyFill="1" applyBorder="1" applyAlignment="1">
      <alignment horizontal="center" vertical="center"/>
    </xf>
    <xf numFmtId="194" fontId="15" fillId="0" borderId="3" xfId="2" applyNumberFormat="1" applyFont="1" applyFill="1" applyBorder="1" applyAlignment="1">
      <alignment horizontal="center" vertical="center"/>
    </xf>
    <xf numFmtId="0" fontId="74" fillId="0" borderId="0" xfId="5" applyFont="1" applyFill="1"/>
    <xf numFmtId="0" fontId="12" fillId="0" borderId="0" xfId="5" quotePrefix="1" applyFont="1" applyFill="1" applyAlignment="1">
      <alignment horizontal="left"/>
    </xf>
    <xf numFmtId="0" fontId="61" fillId="0" borderId="0" xfId="5" applyFont="1" applyFill="1" applyBorder="1" applyAlignment="1">
      <alignment vertical="center"/>
    </xf>
    <xf numFmtId="3" fontId="61" fillId="0" borderId="0" xfId="5" applyNumberFormat="1" applyFont="1" applyFill="1" applyBorder="1" applyAlignment="1">
      <alignment vertical="center"/>
    </xf>
    <xf numFmtId="0" fontId="61" fillId="0" borderId="2" xfId="5" applyFont="1" applyFill="1" applyBorder="1" applyAlignment="1">
      <alignment vertical="center"/>
    </xf>
    <xf numFmtId="38" fontId="56" fillId="0" borderId="0" xfId="2" applyFont="1" applyFill="1"/>
    <xf numFmtId="196" fontId="15" fillId="0" borderId="10" xfId="5" applyNumberFormat="1" applyFont="1" applyFill="1" applyBorder="1" applyAlignment="1"/>
    <xf numFmtId="38" fontId="15" fillId="0" borderId="10" xfId="2" applyFont="1" applyFill="1" applyBorder="1" applyAlignment="1"/>
    <xf numFmtId="197" fontId="15" fillId="0" borderId="7" xfId="5" applyNumberFormat="1" applyFont="1" applyFill="1" applyBorder="1" applyAlignment="1"/>
    <xf numFmtId="38" fontId="15" fillId="0" borderId="21" xfId="2" applyFont="1" applyFill="1" applyBorder="1"/>
    <xf numFmtId="196" fontId="15" fillId="0" borderId="7" xfId="5" applyNumberFormat="1" applyFont="1" applyFill="1" applyBorder="1" applyAlignment="1"/>
    <xf numFmtId="38" fontId="15" fillId="0" borderId="7" xfId="2" applyFont="1" applyFill="1" applyBorder="1" applyAlignment="1"/>
    <xf numFmtId="38" fontId="15" fillId="0" borderId="23" xfId="2" applyFont="1" applyFill="1" applyBorder="1"/>
    <xf numFmtId="196" fontId="15" fillId="0" borderId="7" xfId="5" applyNumberFormat="1" applyFont="1" applyFill="1" applyBorder="1" applyAlignment="1">
      <alignment horizontal="right"/>
    </xf>
    <xf numFmtId="40" fontId="61" fillId="0" borderId="0" xfId="5" applyNumberFormat="1" applyFont="1" applyFill="1"/>
    <xf numFmtId="38" fontId="56" fillId="0" borderId="0" xfId="5" applyNumberFormat="1" applyFont="1" applyFill="1"/>
    <xf numFmtId="196" fontId="15" fillId="0" borderId="7" xfId="2" applyNumberFormat="1" applyFont="1" applyFill="1" applyBorder="1" applyAlignment="1"/>
    <xf numFmtId="198" fontId="61" fillId="0" borderId="0" xfId="5" applyNumberFormat="1" applyFont="1" applyFill="1"/>
    <xf numFmtId="3" fontId="61" fillId="0" borderId="0" xfId="5" applyNumberFormat="1" applyFont="1" applyFill="1"/>
    <xf numFmtId="197" fontId="15" fillId="0" borderId="7" xfId="2" applyNumberFormat="1" applyFont="1" applyFill="1" applyBorder="1" applyAlignment="1"/>
    <xf numFmtId="38" fontId="15" fillId="0" borderId="10" xfId="12" applyNumberFormat="1" applyFont="1" applyFill="1" applyBorder="1" applyAlignment="1">
      <alignment horizontal="center" vertical="center" wrapText="1"/>
    </xf>
    <xf numFmtId="194" fontId="15" fillId="0" borderId="10" xfId="2" quotePrefix="1" applyNumberFormat="1" applyFont="1" applyFill="1" applyBorder="1" applyAlignment="1">
      <alignment horizontal="center" vertical="center" wrapText="1"/>
    </xf>
    <xf numFmtId="193" fontId="15" fillId="0" borderId="3" xfId="12" quotePrefix="1" applyNumberFormat="1" applyFont="1" applyFill="1" applyBorder="1" applyAlignment="1">
      <alignment horizontal="center" vertical="center" wrapText="1"/>
    </xf>
    <xf numFmtId="193" fontId="15" fillId="0" borderId="7" xfId="12" applyNumberFormat="1" applyFont="1" applyFill="1" applyBorder="1" applyAlignment="1">
      <alignment horizontal="center" vertical="center" wrapText="1"/>
    </xf>
    <xf numFmtId="38" fontId="15" fillId="0" borderId="3" xfId="12" quotePrefix="1" applyNumberFormat="1" applyFont="1" applyFill="1" applyBorder="1" applyAlignment="1">
      <alignment horizontal="center" vertical="center" wrapText="1"/>
    </xf>
    <xf numFmtId="194" fontId="15" fillId="0" borderId="7" xfId="2" applyNumberFormat="1" applyFont="1" applyFill="1" applyBorder="1" applyAlignment="1">
      <alignment horizontal="center" vertical="center" wrapText="1"/>
    </xf>
    <xf numFmtId="38" fontId="15" fillId="0" borderId="2" xfId="12" applyNumberFormat="1" applyFont="1" applyFill="1" applyBorder="1" applyAlignment="1">
      <alignment horizontal="centerContinuous" vertical="center" wrapText="1"/>
    </xf>
    <xf numFmtId="38" fontId="15" fillId="0" borderId="5" xfId="12" applyNumberFormat="1" applyFont="1" applyFill="1" applyBorder="1" applyAlignment="1">
      <alignment horizontal="centerContinuous" vertical="center" wrapText="1"/>
    </xf>
    <xf numFmtId="193" fontId="15" fillId="0" borderId="0" xfId="5" applyNumberFormat="1" applyFont="1" applyFill="1" applyBorder="1" applyAlignment="1">
      <alignment horizontal="left" indent="1"/>
    </xf>
    <xf numFmtId="40" fontId="15" fillId="0" borderId="0" xfId="2" applyNumberFormat="1" applyFont="1" applyFill="1" applyBorder="1" applyAlignment="1"/>
    <xf numFmtId="199" fontId="15" fillId="0" borderId="0" xfId="2" applyNumberFormat="1" applyFont="1" applyFill="1" applyBorder="1" applyAlignment="1"/>
    <xf numFmtId="0" fontId="15" fillId="0" borderId="0" xfId="5" quotePrefix="1" applyFont="1" applyFill="1" applyAlignment="1"/>
    <xf numFmtId="38" fontId="15" fillId="0" borderId="0" xfId="2" applyFont="1" applyFill="1" applyBorder="1" applyAlignment="1">
      <alignment horizontal="right"/>
    </xf>
    <xf numFmtId="38" fontId="15" fillId="0" borderId="0" xfId="2" applyFont="1" applyFill="1" applyBorder="1"/>
    <xf numFmtId="0" fontId="15" fillId="0" borderId="0" xfId="5" quotePrefix="1" applyFont="1" applyFill="1" applyBorder="1" applyAlignment="1">
      <alignment horizontal="left"/>
    </xf>
    <xf numFmtId="0" fontId="76" fillId="0" borderId="0" xfId="5" applyFont="1" applyFill="1" applyBorder="1"/>
    <xf numFmtId="38" fontId="12" fillId="0" borderId="0" xfId="5" applyNumberFormat="1" applyFont="1" applyFill="1"/>
    <xf numFmtId="0" fontId="15" fillId="0" borderId="1" xfId="5" applyFont="1" applyFill="1" applyBorder="1"/>
    <xf numFmtId="0" fontId="76" fillId="0" borderId="11" xfId="5" applyFont="1" applyFill="1" applyBorder="1"/>
    <xf numFmtId="0" fontId="15" fillId="0" borderId="0" xfId="5" applyFont="1" applyFill="1" applyAlignment="1">
      <alignment wrapText="1"/>
    </xf>
    <xf numFmtId="193" fontId="15" fillId="0" borderId="0" xfId="5" applyNumberFormat="1" applyFont="1" applyFill="1" applyBorder="1" applyAlignment="1"/>
    <xf numFmtId="0" fontId="46" fillId="0" borderId="8" xfId="5" applyFont="1" applyFill="1" applyBorder="1" applyAlignment="1">
      <alignment horizontal="centerContinuous"/>
    </xf>
    <xf numFmtId="193" fontId="15" fillId="0" borderId="0" xfId="5" applyNumberFormat="1" applyFont="1" applyFill="1" applyBorder="1" applyAlignment="1">
      <alignment vertical="center"/>
    </xf>
    <xf numFmtId="193" fontId="15" fillId="0" borderId="3" xfId="5" applyNumberFormat="1" applyFont="1" applyFill="1" applyBorder="1" applyAlignment="1">
      <alignment horizontal="right" vertical="center"/>
    </xf>
    <xf numFmtId="0" fontId="15" fillId="0" borderId="0" xfId="5" quotePrefix="1" applyFont="1" applyFill="1" applyBorder="1" applyAlignment="1">
      <alignment horizontal="left" vertical="center"/>
    </xf>
    <xf numFmtId="193" fontId="15" fillId="0" borderId="7" xfId="5" applyNumberFormat="1" applyFont="1" applyFill="1" applyBorder="1" applyAlignment="1">
      <alignment horizontal="center" vertical="center" wrapText="1"/>
    </xf>
    <xf numFmtId="0" fontId="73" fillId="0" borderId="0" xfId="5" applyFont="1" applyFill="1"/>
    <xf numFmtId="0" fontId="15" fillId="0" borderId="0" xfId="5" quotePrefix="1" applyFont="1" applyFill="1" applyAlignment="1">
      <alignment wrapText="1"/>
    </xf>
    <xf numFmtId="0" fontId="15" fillId="0" borderId="11" xfId="5" applyFont="1" applyFill="1" applyBorder="1"/>
    <xf numFmtId="38" fontId="15" fillId="0" borderId="10" xfId="2" applyNumberFormat="1" applyFont="1" applyFill="1" applyBorder="1" applyAlignment="1">
      <alignment horizontal="right"/>
    </xf>
    <xf numFmtId="40" fontId="15" fillId="0" borderId="10" xfId="2" applyNumberFormat="1" applyFont="1" applyFill="1" applyBorder="1" applyAlignment="1">
      <alignment horizontal="right"/>
    </xf>
    <xf numFmtId="38" fontId="15" fillId="0" borderId="7" xfId="2" applyNumberFormat="1" applyFont="1" applyFill="1" applyBorder="1" applyAlignment="1">
      <alignment horizontal="right"/>
    </xf>
    <xf numFmtId="40" fontId="15" fillId="0" borderId="7" xfId="2" applyNumberFormat="1" applyFont="1" applyFill="1" applyBorder="1" applyAlignment="1">
      <alignment horizontal="right"/>
    </xf>
    <xf numFmtId="0" fontId="61" fillId="0" borderId="0" xfId="5" quotePrefix="1" applyFont="1" applyFill="1" applyAlignment="1">
      <alignment horizontal="left"/>
    </xf>
    <xf numFmtId="38" fontId="15" fillId="0" borderId="3" xfId="12" applyNumberFormat="1" applyFont="1" applyFill="1" applyBorder="1" applyAlignment="1">
      <alignment horizontal="center" vertical="center" wrapText="1"/>
    </xf>
    <xf numFmtId="38" fontId="15" fillId="0" borderId="7" xfId="5" applyNumberFormat="1" applyFont="1" applyFill="1" applyBorder="1" applyAlignment="1">
      <alignment horizontal="center" vertical="center" wrapText="1"/>
    </xf>
    <xf numFmtId="0" fontId="15" fillId="0" borderId="1" xfId="5" quotePrefix="1" applyFont="1" applyFill="1" applyBorder="1" applyAlignment="1">
      <alignment horizontal="left" vertical="center"/>
    </xf>
    <xf numFmtId="193" fontId="15" fillId="0" borderId="11" xfId="5" applyNumberFormat="1" applyFont="1" applyFill="1" applyBorder="1" applyAlignment="1">
      <alignment horizontal="left" indent="1"/>
    </xf>
    <xf numFmtId="199" fontId="15" fillId="0" borderId="10" xfId="2" applyNumberFormat="1" applyFont="1" applyFill="1" applyBorder="1" applyAlignment="1">
      <alignment horizontal="right"/>
    </xf>
    <xf numFmtId="199" fontId="15" fillId="0" borderId="7" xfId="2" applyNumberFormat="1" applyFont="1" applyFill="1" applyBorder="1" applyAlignment="1">
      <alignment horizontal="right"/>
    </xf>
    <xf numFmtId="0" fontId="46" fillId="0" borderId="0" xfId="5" applyFont="1" applyFill="1" applyBorder="1" applyAlignment="1">
      <alignment horizontal="centerContinuous"/>
    </xf>
    <xf numFmtId="38" fontId="15" fillId="0" borderId="3" xfId="5" applyNumberFormat="1" applyFont="1" applyFill="1" applyBorder="1" applyAlignment="1">
      <alignment horizontal="right" vertical="center"/>
    </xf>
    <xf numFmtId="192" fontId="15" fillId="0" borderId="3" xfId="5" applyNumberFormat="1" applyFont="1" applyFill="1" applyBorder="1" applyAlignment="1">
      <alignment horizontal="right" vertical="center"/>
    </xf>
    <xf numFmtId="195" fontId="15" fillId="0" borderId="2" xfId="5" applyNumberFormat="1" applyFont="1" applyFill="1" applyBorder="1" applyAlignment="1">
      <alignment horizontal="right" vertical="center"/>
    </xf>
    <xf numFmtId="194" fontId="15" fillId="0" borderId="3" xfId="2" applyNumberFormat="1" applyFont="1" applyFill="1" applyBorder="1" applyAlignment="1">
      <alignment horizontal="right" vertical="center"/>
    </xf>
    <xf numFmtId="193" fontId="15" fillId="0" borderId="7" xfId="12" applyNumberFormat="1" applyFont="1" applyFill="1" applyBorder="1" applyAlignment="1">
      <alignment horizontal="center" vertical="center"/>
    </xf>
    <xf numFmtId="38" fontId="15" fillId="0" borderId="7" xfId="12" quotePrefix="1" applyNumberFormat="1" applyFont="1" applyFill="1" applyBorder="1" applyAlignment="1">
      <alignment horizontal="center" vertical="center" wrapText="1"/>
    </xf>
    <xf numFmtId="38" fontId="15" fillId="0" borderId="7" xfId="12" applyNumberFormat="1" applyFont="1" applyFill="1" applyBorder="1" applyAlignment="1">
      <alignment horizontal="center" vertical="center" wrapText="1"/>
    </xf>
    <xf numFmtId="0" fontId="15" fillId="0" borderId="7" xfId="12" applyFont="1" applyFill="1" applyBorder="1" applyAlignment="1">
      <alignment horizontal="center" vertical="center" wrapText="1"/>
    </xf>
    <xf numFmtId="195" fontId="15" fillId="0" borderId="0" xfId="12" applyNumberFormat="1" applyFont="1" applyFill="1" applyBorder="1" applyAlignment="1">
      <alignment horizontal="center" vertical="center" wrapText="1"/>
    </xf>
    <xf numFmtId="194" fontId="15" fillId="0" borderId="7" xfId="2" applyNumberFormat="1" applyFont="1" applyFill="1" applyBorder="1" applyAlignment="1">
      <alignment horizontal="center" vertical="center"/>
    </xf>
    <xf numFmtId="193" fontId="15" fillId="0" borderId="7" xfId="12" quotePrefix="1" applyNumberFormat="1" applyFont="1" applyFill="1" applyBorder="1" applyAlignment="1">
      <alignment horizontal="center" vertical="center" wrapText="1"/>
    </xf>
    <xf numFmtId="193" fontId="17" fillId="0" borderId="7" xfId="12" quotePrefix="1" applyNumberFormat="1" applyFont="1" applyFill="1" applyBorder="1" applyAlignment="1">
      <alignment horizontal="center" vertical="center" wrapText="1"/>
    </xf>
    <xf numFmtId="193" fontId="17" fillId="0" borderId="3" xfId="12" quotePrefix="1" applyNumberFormat="1" applyFont="1" applyFill="1" applyBorder="1" applyAlignment="1">
      <alignment horizontal="center" vertical="center" wrapText="1"/>
    </xf>
    <xf numFmtId="38" fontId="15" fillId="0" borderId="3" xfId="12" quotePrefix="1" applyNumberFormat="1" applyFont="1" applyFill="1" applyBorder="1" applyAlignment="1">
      <alignment horizontal="center" vertical="center"/>
    </xf>
    <xf numFmtId="195" fontId="15" fillId="0" borderId="3" xfId="12" applyNumberFormat="1" applyFont="1" applyFill="1" applyBorder="1" applyAlignment="1">
      <alignment horizontal="center" vertical="center" wrapText="1"/>
    </xf>
    <xf numFmtId="0" fontId="12" fillId="0" borderId="0" xfId="5" quotePrefix="1" applyFont="1" applyFill="1" applyBorder="1" applyAlignment="1">
      <alignment horizontal="left"/>
    </xf>
    <xf numFmtId="0" fontId="56" fillId="0" borderId="0" xfId="5" applyFont="1" applyFill="1" applyBorder="1"/>
    <xf numFmtId="197" fontId="15" fillId="0" borderId="10" xfId="2" applyNumberFormat="1" applyFont="1" applyFill="1" applyBorder="1" applyAlignment="1">
      <alignment horizontal="right"/>
    </xf>
    <xf numFmtId="38" fontId="61" fillId="0" borderId="0" xfId="5" applyNumberFormat="1" applyFont="1" applyFill="1" applyBorder="1"/>
    <xf numFmtId="197" fontId="15" fillId="0" borderId="7" xfId="2" applyNumberFormat="1" applyFont="1" applyFill="1" applyBorder="1" applyAlignment="1">
      <alignment horizontal="right"/>
    </xf>
    <xf numFmtId="0" fontId="20" fillId="0" borderId="0" xfId="1" quotePrefix="1" applyFill="1" applyAlignment="1" applyProtection="1">
      <alignment vertical="center"/>
    </xf>
    <xf numFmtId="176" fontId="15" fillId="0" borderId="0" xfId="5" applyNumberFormat="1" applyFont="1" applyFill="1" applyBorder="1" applyAlignment="1">
      <alignment horizontal="left"/>
    </xf>
    <xf numFmtId="176" fontId="15" fillId="0" borderId="11" xfId="5" applyNumberFormat="1" applyFont="1" applyFill="1" applyBorder="1" applyAlignment="1">
      <alignment horizontal="left"/>
    </xf>
    <xf numFmtId="200" fontId="15" fillId="0" borderId="1" xfId="5" applyNumberFormat="1" applyFont="1" applyFill="1" applyBorder="1" applyAlignment="1">
      <alignment horizontal="right"/>
    </xf>
    <xf numFmtId="38" fontId="15" fillId="0" borderId="1" xfId="2" applyFont="1" applyFill="1" applyBorder="1" applyAlignment="1">
      <alignment horizontal="right"/>
    </xf>
    <xf numFmtId="201" fontId="15" fillId="0" borderId="1" xfId="5" applyNumberFormat="1" applyFont="1" applyFill="1" applyBorder="1" applyAlignment="1">
      <alignment horizontal="right"/>
    </xf>
    <xf numFmtId="200" fontId="15" fillId="0" borderId="11" xfId="5" applyNumberFormat="1" applyFont="1" applyFill="1" applyBorder="1" applyAlignment="1">
      <alignment horizontal="right"/>
    </xf>
    <xf numFmtId="200" fontId="15" fillId="0" borderId="0" xfId="5" applyNumberFormat="1" applyFont="1" applyFill="1" applyBorder="1" applyAlignment="1">
      <alignment horizontal="right"/>
    </xf>
    <xf numFmtId="201" fontId="15" fillId="0" borderId="0" xfId="5" applyNumberFormat="1" applyFont="1" applyFill="1"/>
    <xf numFmtId="200" fontId="15" fillId="0" borderId="4" xfId="5" applyNumberFormat="1" applyFont="1" applyFill="1" applyBorder="1" applyAlignment="1">
      <alignment horizontal="right"/>
    </xf>
    <xf numFmtId="200" fontId="15" fillId="0" borderId="8" xfId="5" applyNumberFormat="1" applyFont="1" applyFill="1" applyBorder="1" applyAlignment="1">
      <alignment horizontal="right"/>
    </xf>
    <xf numFmtId="200" fontId="15" fillId="0" borderId="0" xfId="5" applyNumberFormat="1" applyFont="1" applyFill="1" applyAlignment="1">
      <alignment horizontal="right"/>
    </xf>
    <xf numFmtId="202" fontId="15" fillId="0" borderId="0" xfId="5" applyNumberFormat="1" applyFont="1" applyFill="1" applyAlignment="1">
      <alignment horizontal="right"/>
    </xf>
    <xf numFmtId="202" fontId="15" fillId="0" borderId="4" xfId="5" applyNumberFormat="1" applyFont="1" applyFill="1" applyBorder="1" applyAlignment="1">
      <alignment horizontal="right"/>
    </xf>
    <xf numFmtId="0" fontId="7" fillId="0" borderId="0" xfId="5" applyFont="1" applyFill="1" applyBorder="1" applyAlignment="1">
      <alignment horizontal="center" vertical="center" wrapText="1"/>
    </xf>
    <xf numFmtId="0" fontId="15" fillId="0" borderId="32" xfId="5" applyFont="1" applyFill="1" applyBorder="1" applyAlignment="1">
      <alignment horizontal="center" vertical="center" wrapText="1"/>
    </xf>
    <xf numFmtId="0" fontId="15" fillId="0" borderId="32" xfId="5" quotePrefix="1" applyFont="1" applyFill="1" applyBorder="1" applyAlignment="1">
      <alignment horizontal="center" vertical="center" wrapText="1"/>
    </xf>
    <xf numFmtId="0" fontId="15" fillId="0" borderId="0" xfId="5" quotePrefix="1" applyFont="1" applyFill="1" applyBorder="1" applyAlignment="1">
      <alignment horizontal="center" vertical="center" wrapText="1"/>
    </xf>
    <xf numFmtId="0" fontId="77" fillId="0" borderId="0" xfId="5" applyFont="1" applyFill="1"/>
    <xf numFmtId="200" fontId="15" fillId="0" borderId="9" xfId="2" quotePrefix="1" applyNumberFormat="1" applyFont="1" applyFill="1" applyBorder="1"/>
    <xf numFmtId="200" fontId="15" fillId="0" borderId="1" xfId="2" quotePrefix="1" applyNumberFormat="1" applyFont="1" applyFill="1" applyBorder="1"/>
    <xf numFmtId="200" fontId="15" fillId="0" borderId="1" xfId="2" applyNumberFormat="1" applyFont="1" applyFill="1" applyBorder="1"/>
    <xf numFmtId="200" fontId="15" fillId="0" borderId="11" xfId="2" quotePrefix="1" applyNumberFormat="1" applyFont="1" applyFill="1" applyBorder="1"/>
    <xf numFmtId="200" fontId="15" fillId="0" borderId="8" xfId="2" applyNumberFormat="1" applyFont="1" applyFill="1" applyBorder="1"/>
    <xf numFmtId="200" fontId="15" fillId="0" borderId="0" xfId="2" applyNumberFormat="1" applyFont="1" applyFill="1" applyBorder="1"/>
    <xf numFmtId="200" fontId="15" fillId="0" borderId="4" xfId="2" applyNumberFormat="1" applyFont="1" applyFill="1" applyBorder="1"/>
    <xf numFmtId="200" fontId="15" fillId="0" borderId="0" xfId="2" applyNumberFormat="1" applyFont="1" applyFill="1" applyBorder="1" applyAlignment="1">
      <alignment horizontal="right"/>
    </xf>
    <xf numFmtId="38" fontId="15" fillId="0" borderId="8" xfId="2" applyFont="1" applyFill="1" applyBorder="1"/>
    <xf numFmtId="38" fontId="15" fillId="0" borderId="0" xfId="2" applyFont="1" applyFill="1"/>
    <xf numFmtId="38" fontId="15" fillId="0" borderId="4" xfId="2" applyFont="1" applyFill="1" applyBorder="1"/>
    <xf numFmtId="0" fontId="74" fillId="0" borderId="0" xfId="5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horizontal="center" vertical="top" wrapText="1"/>
    </xf>
    <xf numFmtId="0" fontId="74" fillId="0" borderId="0" xfId="5" applyFont="1" applyFill="1" applyAlignment="1">
      <alignment vertical="center"/>
    </xf>
    <xf numFmtId="0" fontId="74" fillId="0" borderId="0" xfId="5" applyFont="1" applyFill="1" applyBorder="1" applyAlignment="1">
      <alignment vertical="center"/>
    </xf>
    <xf numFmtId="0" fontId="15" fillId="0" borderId="12" xfId="5" applyFont="1" applyFill="1" applyBorder="1" applyAlignment="1">
      <alignment horizontal="centerContinuous" vertical="center"/>
    </xf>
    <xf numFmtId="0" fontId="15" fillId="0" borderId="33" xfId="5" applyFont="1" applyFill="1" applyBorder="1" applyAlignment="1">
      <alignment horizontal="centerContinuous" vertical="center"/>
    </xf>
    <xf numFmtId="0" fontId="15" fillId="0" borderId="13" xfId="5" applyFont="1" applyFill="1" applyBorder="1" applyAlignment="1">
      <alignment horizontal="centerContinuous" vertical="center"/>
    </xf>
    <xf numFmtId="0" fontId="78" fillId="0" borderId="0" xfId="5" applyFont="1" applyFill="1" applyBorder="1" applyAlignment="1">
      <alignment vertical="center"/>
    </xf>
    <xf numFmtId="0" fontId="43" fillId="0" borderId="0" xfId="5" applyFont="1" applyFill="1" applyBorder="1" applyAlignment="1">
      <alignment vertical="center"/>
    </xf>
    <xf numFmtId="0" fontId="38" fillId="0" borderId="1" xfId="5" applyFont="1" applyFill="1" applyBorder="1" applyAlignment="1">
      <alignment horizontal="left" vertical="center"/>
    </xf>
    <xf numFmtId="0" fontId="24" fillId="0" borderId="0" xfId="1" applyFont="1" applyAlignment="1" applyProtection="1">
      <alignment vertical="center"/>
    </xf>
    <xf numFmtId="38" fontId="17" fillId="0" borderId="3" xfId="2" applyFont="1" applyFill="1" applyBorder="1" applyAlignment="1">
      <alignment horizontal="center" vertical="center" wrapText="1"/>
    </xf>
    <xf numFmtId="0" fontId="7" fillId="0" borderId="0" xfId="5"/>
    <xf numFmtId="0" fontId="20" fillId="0" borderId="0" xfId="1" applyAlignment="1" applyProtection="1">
      <alignment vertical="center"/>
    </xf>
    <xf numFmtId="49" fontId="16" fillId="0" borderId="8" xfId="2" applyNumberFormat="1" applyFont="1" applyFill="1" applyBorder="1" applyAlignment="1">
      <alignment horizontal="left"/>
    </xf>
    <xf numFmtId="49" fontId="16" fillId="0" borderId="9" xfId="2" applyNumberFormat="1" applyFont="1" applyFill="1" applyBorder="1" applyAlignment="1">
      <alignment horizontal="left"/>
    </xf>
    <xf numFmtId="0" fontId="16" fillId="0" borderId="0" xfId="5" applyFont="1" applyFill="1" applyBorder="1" applyAlignment="1">
      <alignment horizontal="right" vertical="center"/>
    </xf>
    <xf numFmtId="49" fontId="16" fillId="0" borderId="0" xfId="5" applyNumberFormat="1" applyFont="1" applyFill="1" applyBorder="1" applyAlignment="1">
      <alignment horizontal="left" vertical="center"/>
    </xf>
    <xf numFmtId="0" fontId="16" fillId="0" borderId="0" xfId="5" applyFont="1" applyFill="1" applyBorder="1" applyAlignment="1">
      <alignment vertical="center"/>
    </xf>
    <xf numFmtId="0" fontId="16" fillId="0" borderId="0" xfId="5" applyFont="1" applyFill="1" applyBorder="1" applyAlignment="1">
      <alignment horizontal="distributed" vertical="center"/>
    </xf>
    <xf numFmtId="49" fontId="79" fillId="0" borderId="0" xfId="5" applyNumberFormat="1" applyFont="1" applyFill="1" applyBorder="1" applyAlignment="1">
      <alignment horizontal="left" vertical="center"/>
    </xf>
    <xf numFmtId="49" fontId="16" fillId="0" borderId="1" xfId="5" applyNumberFormat="1" applyFont="1" applyFill="1" applyBorder="1" applyAlignment="1">
      <alignment horizontal="left" vertical="center"/>
    </xf>
    <xf numFmtId="49" fontId="16" fillId="0" borderId="2" xfId="5" applyNumberFormat="1" applyFont="1" applyFill="1" applyBorder="1" applyAlignment="1">
      <alignment horizontal="center"/>
    </xf>
    <xf numFmtId="0" fontId="16" fillId="0" borderId="2" xfId="5" applyFont="1" applyFill="1" applyBorder="1" applyAlignment="1">
      <alignment horizontal="center"/>
    </xf>
    <xf numFmtId="49" fontId="16" fillId="0" borderId="0" xfId="5" applyNumberFormat="1" applyFont="1" applyFill="1" applyBorder="1" applyAlignment="1">
      <alignment horizontal="left" vertical="top"/>
    </xf>
    <xf numFmtId="0" fontId="16" fillId="0" borderId="0" xfId="5" applyFont="1" applyFill="1" applyBorder="1" applyAlignment="1">
      <alignment horizontal="right" vertical="top"/>
    </xf>
    <xf numFmtId="49" fontId="16" fillId="0" borderId="0" xfId="5" applyNumberFormat="1" applyFont="1" applyFill="1" applyBorder="1" applyAlignment="1">
      <alignment horizontal="left"/>
    </xf>
    <xf numFmtId="49" fontId="16" fillId="0" borderId="0" xfId="5" applyNumberFormat="1" applyFont="1" applyFill="1" applyBorder="1" applyAlignment="1">
      <alignment horizontal="center"/>
    </xf>
    <xf numFmtId="0" fontId="16" fillId="0" borderId="0" xfId="5" applyFont="1" applyFill="1" applyBorder="1" applyAlignment="1">
      <alignment horizontal="right"/>
    </xf>
    <xf numFmtId="49" fontId="80" fillId="0" borderId="0" xfId="5" applyNumberFormat="1" applyFont="1" applyFill="1"/>
    <xf numFmtId="0" fontId="16" fillId="0" borderId="0" xfId="5" applyFont="1" applyFill="1" applyBorder="1" applyAlignment="1"/>
    <xf numFmtId="0" fontId="16" fillId="0" borderId="0" xfId="5" applyFont="1" applyFill="1" applyBorder="1" applyAlignment="1">
      <alignment horizontal="distributed" vertical="top"/>
    </xf>
    <xf numFmtId="0" fontId="16" fillId="0" borderId="0" xfId="5" applyFont="1" applyFill="1" applyBorder="1" applyAlignment="1">
      <alignment horizontal="distributed"/>
    </xf>
    <xf numFmtId="0" fontId="16" fillId="0" borderId="0" xfId="5" applyFont="1" applyFill="1" applyBorder="1" applyAlignment="1">
      <alignment horizontal="left" vertical="top"/>
    </xf>
    <xf numFmtId="49" fontId="16" fillId="0" borderId="0" xfId="5" applyNumberFormat="1" applyFont="1" applyFill="1" applyBorder="1" applyAlignment="1">
      <alignment horizontal="right"/>
    </xf>
    <xf numFmtId="49" fontId="79" fillId="0" borderId="0" xfId="5" applyNumberFormat="1" applyFont="1" applyFill="1" applyBorder="1" applyAlignment="1">
      <alignment horizontal="left" vertical="top"/>
    </xf>
    <xf numFmtId="49" fontId="16" fillId="0" borderId="1" xfId="5" applyNumberFormat="1" applyFont="1" applyFill="1" applyBorder="1" applyAlignment="1">
      <alignment horizontal="right" vertical="top"/>
    </xf>
    <xf numFmtId="49" fontId="16" fillId="0" borderId="1" xfId="5" applyNumberFormat="1" applyFont="1" applyFill="1" applyBorder="1" applyAlignment="1">
      <alignment horizontal="left" vertical="top"/>
    </xf>
    <xf numFmtId="3" fontId="15" fillId="0" borderId="8" xfId="2" applyNumberFormat="1" applyFont="1" applyFill="1" applyBorder="1" applyAlignment="1">
      <alignment horizontal="right" vertical="center"/>
    </xf>
    <xf numFmtId="3" fontId="15" fillId="0" borderId="8" xfId="5" applyNumberFormat="1" applyFont="1" applyFill="1" applyBorder="1" applyAlignment="1">
      <alignment horizontal="right" vertical="center"/>
    </xf>
    <xf numFmtId="3" fontId="15" fillId="0" borderId="9" xfId="2" applyNumberFormat="1" applyFont="1" applyFill="1" applyBorder="1" applyAlignment="1">
      <alignment horizontal="right" vertical="center"/>
    </xf>
    <xf numFmtId="0" fontId="16" fillId="0" borderId="0" xfId="5" applyFont="1" applyFill="1" applyAlignment="1">
      <alignment horizontal="center"/>
    </xf>
    <xf numFmtId="38" fontId="81" fillId="0" borderId="3" xfId="2" applyFont="1" applyFill="1" applyBorder="1" applyAlignment="1">
      <alignment horizontal="center" vertical="center" wrapText="1"/>
    </xf>
    <xf numFmtId="177" fontId="17" fillId="0" borderId="0" xfId="5" applyNumberFormat="1" applyFont="1" applyFill="1" applyBorder="1" applyAlignment="1">
      <alignment vertical="center"/>
    </xf>
    <xf numFmtId="177" fontId="34" fillId="0" borderId="0" xfId="5" applyNumberFormat="1" applyFont="1" applyFill="1" applyBorder="1" applyAlignment="1">
      <alignment vertical="center"/>
    </xf>
    <xf numFmtId="0" fontId="39" fillId="0" borderId="0" xfId="5" applyFont="1" applyFill="1" applyAlignment="1">
      <alignment horizontal="left" vertical="center"/>
    </xf>
    <xf numFmtId="22" fontId="39" fillId="0" borderId="0" xfId="5" applyNumberFormat="1" applyFont="1" applyFill="1" applyAlignment="1">
      <alignment vertical="center"/>
    </xf>
    <xf numFmtId="0" fontId="82" fillId="0" borderId="0" xfId="5" applyFont="1" applyFill="1" applyAlignment="1">
      <alignment vertical="center"/>
    </xf>
    <xf numFmtId="0" fontId="48" fillId="0" borderId="0" xfId="5" applyFont="1" applyFill="1" applyAlignment="1">
      <alignment horizontal="left" vertical="center"/>
    </xf>
    <xf numFmtId="0" fontId="48" fillId="0" borderId="0" xfId="5" applyFont="1" applyFill="1" applyAlignment="1">
      <alignment vertical="center"/>
    </xf>
    <xf numFmtId="0" fontId="39" fillId="0" borderId="0" xfId="5" applyFont="1" applyFill="1" applyBorder="1" applyAlignment="1">
      <alignment vertical="center"/>
    </xf>
    <xf numFmtId="0" fontId="6" fillId="0" borderId="1" xfId="5" applyFont="1" applyFill="1" applyBorder="1" applyAlignment="1">
      <alignment vertical="center"/>
    </xf>
    <xf numFmtId="0" fontId="6" fillId="0" borderId="0" xfId="5" applyFont="1" applyFill="1" applyBorder="1" applyAlignment="1">
      <alignment horizontal="left" vertical="center"/>
    </xf>
    <xf numFmtId="37" fontId="35" fillId="0" borderId="0" xfId="15" applyFont="1" applyFill="1" applyBorder="1" applyAlignment="1" applyProtection="1">
      <alignment vertical="center"/>
    </xf>
    <xf numFmtId="38" fontId="35" fillId="0" borderId="15" xfId="15" applyNumberFormat="1" applyFont="1" applyFill="1" applyBorder="1" applyAlignment="1" applyProtection="1">
      <alignment vertical="center" wrapText="1"/>
    </xf>
    <xf numFmtId="38" fontId="35" fillId="0" borderId="16" xfId="15" applyNumberFormat="1" applyFont="1" applyFill="1" applyBorder="1" applyAlignment="1" applyProtection="1">
      <alignment vertical="center" wrapText="1"/>
    </xf>
    <xf numFmtId="38" fontId="35" fillId="0" borderId="14" xfId="15" applyNumberFormat="1" applyFont="1" applyFill="1" applyBorder="1" applyAlignment="1" applyProtection="1">
      <alignment vertical="center" wrapText="1"/>
    </xf>
    <xf numFmtId="0" fontId="83" fillId="0" borderId="0" xfId="5" applyFont="1" applyFill="1" applyAlignment="1">
      <alignment vertical="center"/>
    </xf>
    <xf numFmtId="37" fontId="35" fillId="0" borderId="0" xfId="15" applyFont="1" applyFill="1" applyBorder="1" applyAlignment="1" applyProtection="1">
      <alignment horizontal="center" vertical="center"/>
    </xf>
    <xf numFmtId="38" fontId="35" fillId="0" borderId="15" xfId="15" applyNumberFormat="1" applyFont="1" applyFill="1" applyBorder="1" applyAlignment="1" applyProtection="1">
      <alignment horizontal="center" vertical="center" wrapText="1"/>
    </xf>
    <xf numFmtId="38" fontId="35" fillId="0" borderId="22" xfId="15" applyNumberFormat="1" applyFont="1" applyFill="1" applyBorder="1" applyAlignment="1" applyProtection="1">
      <alignment horizontal="center" vertical="center" wrapText="1"/>
    </xf>
    <xf numFmtId="38" fontId="35" fillId="0" borderId="17" xfId="15" applyNumberFormat="1" applyFont="1" applyFill="1" applyBorder="1" applyAlignment="1" applyProtection="1">
      <alignment horizontal="center" vertical="center" wrapText="1"/>
    </xf>
    <xf numFmtId="37" fontId="35" fillId="0" borderId="0" xfId="15" applyFont="1" applyFill="1" applyBorder="1" applyAlignment="1" applyProtection="1">
      <alignment horizontal="right" vertical="center"/>
    </xf>
    <xf numFmtId="38" fontId="35" fillId="0" borderId="16" xfId="2" applyFont="1" applyFill="1" applyBorder="1" applyAlignment="1" applyProtection="1">
      <alignment horizontal="right" vertical="center" wrapText="1"/>
    </xf>
    <xf numFmtId="38" fontId="35" fillId="0" borderId="2" xfId="2" applyFont="1" applyFill="1" applyBorder="1" applyAlignment="1" applyProtection="1">
      <alignment horizontal="right" vertical="center" wrapText="1"/>
    </xf>
    <xf numFmtId="38" fontId="35" fillId="0" borderId="8" xfId="2" applyFont="1" applyFill="1" applyBorder="1" applyAlignment="1" applyProtection="1">
      <alignment horizontal="right" vertical="center" wrapText="1"/>
    </xf>
    <xf numFmtId="38" fontId="35" fillId="0" borderId="4" xfId="15" applyNumberFormat="1" applyFont="1" applyFill="1" applyBorder="1" applyAlignment="1" applyProtection="1">
      <alignment vertical="center" wrapText="1"/>
    </xf>
    <xf numFmtId="38" fontId="84" fillId="0" borderId="15" xfId="15" applyNumberFormat="1" applyFont="1" applyFill="1" applyBorder="1" applyAlignment="1" applyProtection="1">
      <alignment horizontal="left" vertical="center" wrapText="1"/>
    </xf>
    <xf numFmtId="38" fontId="84" fillId="0" borderId="4" xfId="15" applyNumberFormat="1" applyFont="1" applyFill="1" applyBorder="1" applyAlignment="1" applyProtection="1">
      <alignment horizontal="left" vertical="center" wrapText="1"/>
    </xf>
    <xf numFmtId="0" fontId="84" fillId="0" borderId="0" xfId="5" applyFont="1" applyFill="1" applyAlignment="1">
      <alignment vertical="center"/>
    </xf>
    <xf numFmtId="38" fontId="35" fillId="0" borderId="4" xfId="15" applyNumberFormat="1" applyFont="1" applyFill="1" applyBorder="1" applyAlignment="1" applyProtection="1">
      <alignment horizontal="right" vertical="center" wrapText="1"/>
    </xf>
    <xf numFmtId="38" fontId="35" fillId="0" borderId="15" xfId="15" applyNumberFormat="1" applyFont="1" applyFill="1" applyBorder="1" applyAlignment="1" applyProtection="1">
      <alignment horizontal="left" vertical="center" wrapText="1" indent="1"/>
    </xf>
    <xf numFmtId="38" fontId="84" fillId="0" borderId="15" xfId="15" applyNumberFormat="1" applyFont="1" applyFill="1" applyBorder="1" applyAlignment="1" applyProtection="1">
      <alignment vertical="center" wrapText="1"/>
    </xf>
    <xf numFmtId="38" fontId="84" fillId="0" borderId="4" xfId="15" applyNumberFormat="1" applyFont="1" applyFill="1" applyBorder="1" applyAlignment="1" applyProtection="1">
      <alignment vertical="center" wrapText="1"/>
    </xf>
    <xf numFmtId="38" fontId="35" fillId="0" borderId="4" xfId="15" applyNumberFormat="1" applyFont="1" applyFill="1" applyBorder="1" applyAlignment="1" applyProtection="1">
      <alignment horizontal="left" vertical="center" wrapText="1"/>
    </xf>
    <xf numFmtId="38" fontId="35" fillId="0" borderId="15" xfId="15" applyNumberFormat="1" applyFont="1" applyFill="1" applyBorder="1" applyAlignment="1" applyProtection="1">
      <alignment horizontal="left" vertical="center" indent="1"/>
    </xf>
    <xf numFmtId="38" fontId="35" fillId="0" borderId="15" xfId="15" applyNumberFormat="1" applyFont="1" applyFill="1" applyBorder="1" applyAlignment="1" applyProtection="1">
      <alignment vertical="center"/>
    </xf>
    <xf numFmtId="38" fontId="35" fillId="0" borderId="1" xfId="15" applyNumberFormat="1" applyFont="1" applyFill="1" applyBorder="1" applyAlignment="1" applyProtection="1">
      <alignment vertical="center" wrapText="1"/>
    </xf>
    <xf numFmtId="38" fontId="35" fillId="0" borderId="11" xfId="15" applyNumberFormat="1" applyFont="1" applyFill="1" applyBorder="1" applyAlignment="1" applyProtection="1">
      <alignment vertical="center" wrapText="1"/>
    </xf>
    <xf numFmtId="37" fontId="35" fillId="0" borderId="0" xfId="15" applyFont="1" applyFill="1" applyBorder="1" applyProtection="1"/>
    <xf numFmtId="38" fontId="35" fillId="0" borderId="0" xfId="15" applyNumberFormat="1" applyFont="1" applyFill="1" applyBorder="1" applyAlignment="1" applyProtection="1"/>
    <xf numFmtId="38" fontId="35" fillId="0" borderId="0" xfId="15" applyNumberFormat="1" applyFont="1" applyFill="1" applyAlignment="1" applyProtection="1">
      <alignment wrapText="1"/>
    </xf>
    <xf numFmtId="38" fontId="35" fillId="0" borderId="0" xfId="15" applyNumberFormat="1" applyFont="1" applyFill="1" applyBorder="1" applyAlignment="1" applyProtection="1">
      <alignment wrapText="1"/>
    </xf>
    <xf numFmtId="38" fontId="35" fillId="0" borderId="0" xfId="15" applyNumberFormat="1" applyFont="1" applyFill="1" applyBorder="1" applyAlignment="1"/>
    <xf numFmtId="38" fontId="35" fillId="0" borderId="0" xfId="15" applyNumberFormat="1" applyFont="1" applyFill="1" applyBorder="1" applyAlignment="1">
      <alignment wrapText="1"/>
    </xf>
    <xf numFmtId="38" fontId="35" fillId="0" borderId="0" xfId="15" applyNumberFormat="1" applyFont="1" applyFill="1" applyBorder="1" applyAlignment="1" applyProtection="1">
      <alignment horizontal="left" wrapText="1"/>
    </xf>
    <xf numFmtId="37" fontId="35" fillId="0" borderId="0" xfId="15" applyFont="1" applyFill="1" applyBorder="1"/>
    <xf numFmtId="38" fontId="35" fillId="0" borderId="0" xfId="15" applyNumberFormat="1" applyFont="1" applyFill="1" applyAlignment="1">
      <alignment wrapText="1"/>
    </xf>
    <xf numFmtId="37" fontId="35" fillId="0" borderId="0" xfId="15" applyFont="1" applyFill="1"/>
    <xf numFmtId="38" fontId="35" fillId="0" borderId="0" xfId="15" applyNumberFormat="1" applyFont="1" applyFill="1" applyBorder="1" applyAlignment="1">
      <alignment horizontal="left" wrapText="1"/>
    </xf>
    <xf numFmtId="38" fontId="35" fillId="0" borderId="0" xfId="15" quotePrefix="1" applyNumberFormat="1" applyFont="1" applyFill="1" applyAlignment="1">
      <alignment wrapText="1"/>
    </xf>
    <xf numFmtId="38" fontId="35" fillId="0" borderId="0" xfId="15" applyNumberFormat="1" applyFont="1" applyFill="1" applyAlignment="1">
      <alignment horizontal="left" wrapText="1"/>
    </xf>
    <xf numFmtId="0" fontId="44" fillId="0" borderId="0" xfId="5" applyFont="1" applyFill="1"/>
    <xf numFmtId="0" fontId="84" fillId="0" borderId="0" xfId="5" applyFont="1" applyFill="1" applyAlignment="1">
      <alignment horizontal="left" vertical="center"/>
    </xf>
    <xf numFmtId="0" fontId="35" fillId="0" borderId="0" xfId="5" applyFont="1" applyFill="1" applyAlignment="1">
      <alignment horizontal="left"/>
    </xf>
    <xf numFmtId="0" fontId="45" fillId="0" borderId="0" xfId="5" applyFont="1" applyFill="1"/>
    <xf numFmtId="0" fontId="6" fillId="0" borderId="1" xfId="5" applyFont="1" applyFill="1" applyBorder="1" applyAlignment="1">
      <alignment horizontal="center" vertical="center"/>
    </xf>
    <xf numFmtId="0" fontId="48" fillId="0" borderId="1" xfId="5" applyFont="1" applyFill="1" applyBorder="1" applyAlignment="1">
      <alignment vertical="center"/>
    </xf>
    <xf numFmtId="0" fontId="85" fillId="0" borderId="1" xfId="5" applyFont="1" applyFill="1" applyBorder="1" applyAlignment="1"/>
    <xf numFmtId="38" fontId="35" fillId="0" borderId="1" xfId="15" applyNumberFormat="1" applyFont="1" applyFill="1" applyBorder="1" applyAlignment="1" applyProtection="1">
      <alignment vertical="center"/>
    </xf>
    <xf numFmtId="37" fontId="58" fillId="0" borderId="1" xfId="15" applyFont="1" applyFill="1" applyBorder="1" applyAlignment="1">
      <alignment vertical="center"/>
    </xf>
    <xf numFmtId="0" fontId="83" fillId="0" borderId="0" xfId="5" applyFont="1" applyFill="1" applyBorder="1"/>
    <xf numFmtId="0" fontId="83" fillId="0" borderId="0" xfId="5" applyFont="1" applyFill="1"/>
    <xf numFmtId="0" fontId="83" fillId="0" borderId="0" xfId="5" applyFont="1" applyFill="1" applyBorder="1" applyAlignment="1">
      <alignment horizontal="center"/>
    </xf>
    <xf numFmtId="38" fontId="35" fillId="0" borderId="14" xfId="15" applyNumberFormat="1" applyFont="1" applyFill="1" applyBorder="1" applyAlignment="1" applyProtection="1">
      <alignment horizontal="center" vertical="top" wrapText="1"/>
    </xf>
    <xf numFmtId="0" fontId="83" fillId="0" borderId="0" xfId="5" applyFont="1" applyFill="1" applyAlignment="1">
      <alignment horizontal="right"/>
    </xf>
    <xf numFmtId="0" fontId="34" fillId="0" borderId="0" xfId="5" applyFont="1" applyFill="1"/>
    <xf numFmtId="0" fontId="35" fillId="0" borderId="0" xfId="5" applyFont="1" applyFill="1" applyBorder="1" applyAlignment="1"/>
    <xf numFmtId="38" fontId="35" fillId="0" borderId="0" xfId="5" applyNumberFormat="1" applyFont="1" applyFill="1" applyAlignment="1">
      <alignment vertical="center"/>
    </xf>
    <xf numFmtId="0" fontId="15" fillId="0" borderId="3" xfId="16" applyFont="1" applyFill="1" applyBorder="1" applyAlignment="1">
      <alignment horizontal="left" vertical="center" shrinkToFit="1"/>
    </xf>
    <xf numFmtId="0" fontId="6" fillId="0" borderId="0" xfId="5" applyFont="1" applyFill="1" applyBorder="1" applyAlignment="1">
      <alignment horizontal="center"/>
    </xf>
    <xf numFmtId="0" fontId="35" fillId="0" borderId="0" xfId="5" applyFont="1" applyFill="1" applyAlignment="1">
      <alignment horizontal="right"/>
    </xf>
    <xf numFmtId="0" fontId="6" fillId="0" borderId="1" xfId="5" applyFont="1" applyFill="1" applyBorder="1" applyAlignment="1">
      <alignment horizontal="center"/>
    </xf>
    <xf numFmtId="0" fontId="39" fillId="0" borderId="1" xfId="5" applyFont="1" applyFill="1" applyBorder="1" applyAlignment="1">
      <alignment horizontal="left"/>
    </xf>
    <xf numFmtId="0" fontId="83" fillId="0" borderId="1" xfId="5" applyFont="1" applyFill="1" applyBorder="1"/>
    <xf numFmtId="38" fontId="39" fillId="0" borderId="1" xfId="15" applyNumberFormat="1" applyFont="1" applyFill="1" applyBorder="1" applyAlignment="1" applyProtection="1"/>
    <xf numFmtId="3" fontId="86" fillId="0" borderId="0" xfId="2" applyNumberFormat="1" applyFont="1" applyFill="1" applyBorder="1" applyAlignment="1">
      <alignment horizontal="right" vertical="center"/>
    </xf>
    <xf numFmtId="184" fontId="86" fillId="0" borderId="4" xfId="5" applyNumberFormat="1" applyFont="1" applyFill="1" applyBorder="1" applyAlignment="1">
      <alignment horizontal="left" vertical="center"/>
    </xf>
    <xf numFmtId="3" fontId="86" fillId="0" borderId="8" xfId="2" applyNumberFormat="1" applyFont="1" applyFill="1" applyBorder="1" applyAlignment="1">
      <alignment horizontal="right" vertical="center"/>
    </xf>
    <xf numFmtId="3" fontId="86" fillId="0" borderId="0" xfId="2" applyNumberFormat="1" applyFont="1" applyFill="1" applyBorder="1" applyAlignment="1">
      <alignment vertical="center"/>
    </xf>
    <xf numFmtId="3" fontId="86" fillId="0" borderId="8" xfId="2" applyNumberFormat="1" applyFont="1" applyFill="1" applyBorder="1" applyAlignment="1">
      <alignment vertical="center"/>
    </xf>
    <xf numFmtId="183" fontId="86" fillId="0" borderId="4" xfId="5" applyNumberFormat="1" applyFont="1" applyFill="1" applyBorder="1" applyAlignment="1">
      <alignment horizontal="left" vertical="center"/>
    </xf>
    <xf numFmtId="0" fontId="86" fillId="0" borderId="4" xfId="5" applyFont="1" applyFill="1" applyBorder="1" applyAlignment="1">
      <alignment horizontal="left" vertical="center"/>
    </xf>
    <xf numFmtId="179" fontId="86" fillId="0" borderId="4" xfId="5" applyNumberFormat="1" applyFont="1" applyFill="1" applyBorder="1" applyAlignment="1">
      <alignment horizontal="left" vertical="center"/>
    </xf>
    <xf numFmtId="182" fontId="86" fillId="0" borderId="4" xfId="5" applyNumberFormat="1" applyFont="1" applyFill="1" applyBorder="1" applyAlignment="1">
      <alignment horizontal="left" vertical="center"/>
    </xf>
    <xf numFmtId="181" fontId="86" fillId="0" borderId="4" xfId="5" applyNumberFormat="1" applyFont="1" applyFill="1" applyBorder="1" applyAlignment="1">
      <alignment horizontal="left" vertical="center"/>
    </xf>
    <xf numFmtId="180" fontId="86" fillId="0" borderId="4" xfId="5" applyNumberFormat="1" applyFont="1" applyFill="1" applyBorder="1" applyAlignment="1">
      <alignment horizontal="left" vertical="center"/>
    </xf>
    <xf numFmtId="3" fontId="86" fillId="0" borderId="0" xfId="5" applyNumberFormat="1" applyFont="1" applyFill="1" applyAlignment="1">
      <alignment vertical="center"/>
    </xf>
    <xf numFmtId="3" fontId="86" fillId="0" borderId="8" xfId="5" applyNumberFormat="1" applyFont="1" applyFill="1" applyBorder="1" applyAlignment="1">
      <alignment vertical="center"/>
    </xf>
    <xf numFmtId="178" fontId="86" fillId="0" borderId="4" xfId="5" applyNumberFormat="1" applyFont="1" applyFill="1" applyBorder="1" applyAlignment="1">
      <alignment horizontal="left" vertical="center"/>
    </xf>
    <xf numFmtId="176" fontId="86" fillId="0" borderId="4" xfId="5" applyNumberFormat="1" applyFont="1" applyFill="1" applyBorder="1" applyAlignment="1">
      <alignment horizontal="left" vertical="center"/>
    </xf>
    <xf numFmtId="185" fontId="86" fillId="0" borderId="4" xfId="14" applyNumberFormat="1" applyFont="1" applyFill="1" applyBorder="1" applyAlignment="1">
      <alignment vertical="center"/>
    </xf>
    <xf numFmtId="3" fontId="86" fillId="0" borderId="11" xfId="2" applyNumberFormat="1" applyFont="1" applyFill="1" applyBorder="1" applyAlignment="1">
      <alignment horizontal="right" vertical="center"/>
    </xf>
    <xf numFmtId="3" fontId="86" fillId="0" borderId="1" xfId="2" applyNumberFormat="1" applyFont="1" applyFill="1" applyBorder="1" applyAlignment="1">
      <alignment horizontal="right" vertical="center"/>
    </xf>
    <xf numFmtId="3" fontId="86" fillId="0" borderId="1" xfId="2" applyNumberFormat="1" applyFont="1" applyFill="1" applyBorder="1" applyAlignment="1">
      <alignment vertical="center"/>
    </xf>
    <xf numFmtId="3" fontId="86" fillId="0" borderId="9" xfId="2" applyNumberFormat="1" applyFont="1" applyFill="1" applyBorder="1" applyAlignment="1">
      <alignment vertical="center"/>
    </xf>
    <xf numFmtId="176" fontId="86" fillId="0" borderId="11" xfId="5" applyNumberFormat="1" applyFont="1" applyFill="1" applyBorder="1" applyAlignment="1">
      <alignment horizontal="left" vertical="center"/>
    </xf>
    <xf numFmtId="191" fontId="15" fillId="0" borderId="3" xfId="5" quotePrefix="1" applyNumberFormat="1" applyFont="1" applyFill="1" applyBorder="1" applyAlignment="1">
      <alignment horizontal="center"/>
    </xf>
    <xf numFmtId="204" fontId="15" fillId="0" borderId="3" xfId="5" quotePrefix="1" applyNumberFormat="1" applyFont="1" applyFill="1" applyBorder="1" applyAlignment="1">
      <alignment horizontal="center"/>
    </xf>
    <xf numFmtId="200" fontId="15" fillId="0" borderId="4" xfId="2" quotePrefix="1" applyNumberFormat="1" applyFont="1" applyFill="1" applyBorder="1"/>
    <xf numFmtId="200" fontId="15" fillId="0" borderId="0" xfId="2" quotePrefix="1" applyNumberFormat="1" applyFont="1" applyFill="1" applyBorder="1"/>
    <xf numFmtId="200" fontId="15" fillId="0" borderId="8" xfId="2" quotePrefix="1" applyNumberFormat="1" applyFont="1" applyFill="1" applyBorder="1"/>
    <xf numFmtId="188" fontId="15" fillId="0" borderId="0" xfId="5" applyNumberFormat="1" applyFont="1" applyFill="1" applyBorder="1" applyAlignment="1">
      <alignment horizontal="left"/>
    </xf>
    <xf numFmtId="205" fontId="15" fillId="0" borderId="0" xfId="5" applyNumberFormat="1" applyFont="1" applyFill="1" applyBorder="1" applyAlignment="1">
      <alignment horizontal="left"/>
    </xf>
    <xf numFmtId="201" fontId="15" fillId="0" borderId="0" xfId="5" applyNumberFormat="1" applyFont="1" applyFill="1" applyBorder="1" applyAlignment="1">
      <alignment horizontal="right"/>
    </xf>
    <xf numFmtId="201" fontId="15" fillId="0" borderId="0" xfId="5" applyNumberFormat="1" applyFont="1" applyFill="1" applyBorder="1"/>
    <xf numFmtId="0" fontId="15" fillId="0" borderId="3" xfId="12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5" xfId="5" applyNumberFormat="1" applyFont="1" applyFill="1" applyBorder="1" applyAlignment="1">
      <alignment horizontal="center" vertical="center" wrapText="1"/>
    </xf>
    <xf numFmtId="38" fontId="15" fillId="0" borderId="5" xfId="2" applyFont="1" applyFill="1" applyBorder="1" applyAlignment="1">
      <alignment horizontal="center" vertical="center" wrapText="1"/>
    </xf>
    <xf numFmtId="0" fontId="15" fillId="0" borderId="4" xfId="5" applyNumberFormat="1" applyFont="1" applyFill="1" applyBorder="1" applyAlignment="1">
      <alignment horizontal="center" vertical="center" wrapText="1"/>
    </xf>
    <xf numFmtId="0" fontId="15" fillId="0" borderId="11" xfId="5" applyNumberFormat="1" applyFont="1" applyFill="1" applyBorder="1" applyAlignment="1">
      <alignment horizontal="center" vertical="center" wrapText="1"/>
    </xf>
    <xf numFmtId="0" fontId="35" fillId="0" borderId="2" xfId="5" applyFont="1" applyFill="1" applyBorder="1" applyAlignment="1">
      <alignment horizontal="center" vertical="center"/>
    </xf>
    <xf numFmtId="0" fontId="35" fillId="0" borderId="6" xfId="5" applyFont="1" applyFill="1" applyBorder="1" applyAlignment="1">
      <alignment horizontal="center" vertical="center"/>
    </xf>
    <xf numFmtId="0" fontId="35" fillId="0" borderId="0" xfId="5" applyFont="1" applyFill="1" applyBorder="1" applyAlignment="1">
      <alignment horizontal="center" vertical="center"/>
    </xf>
    <xf numFmtId="0" fontId="35" fillId="0" borderId="8" xfId="5" applyFont="1" applyFill="1" applyBorder="1" applyAlignment="1">
      <alignment horizontal="center" vertical="center"/>
    </xf>
    <xf numFmtId="0" fontId="35" fillId="0" borderId="1" xfId="5" applyFont="1" applyFill="1" applyBorder="1" applyAlignment="1">
      <alignment horizontal="center" vertical="center"/>
    </xf>
    <xf numFmtId="0" fontId="35" fillId="0" borderId="9" xfId="5" applyFont="1" applyFill="1" applyBorder="1" applyAlignment="1">
      <alignment horizontal="center" vertical="center"/>
    </xf>
    <xf numFmtId="0" fontId="35" fillId="0" borderId="10" xfId="5" applyFont="1" applyFill="1" applyBorder="1" applyAlignment="1">
      <alignment horizontal="center" vertical="center" wrapText="1"/>
    </xf>
    <xf numFmtId="0" fontId="35" fillId="0" borderId="10" xfId="5" applyFont="1" applyFill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0" fontId="15" fillId="0" borderId="8" xfId="5" applyFont="1" applyFill="1" applyBorder="1" applyAlignment="1">
      <alignment horizontal="center" vertical="center"/>
    </xf>
    <xf numFmtId="0" fontId="15" fillId="0" borderId="6" xfId="16" applyFont="1" applyFill="1" applyBorder="1" applyAlignment="1">
      <alignment horizontal="center" vertical="center" wrapText="1"/>
    </xf>
    <xf numFmtId="0" fontId="15" fillId="0" borderId="5" xfId="16" applyFont="1" applyFill="1" applyBorder="1" applyAlignment="1">
      <alignment horizontal="center" vertical="center" wrapText="1"/>
    </xf>
    <xf numFmtId="0" fontId="15" fillId="0" borderId="11" xfId="16" applyFont="1" applyFill="1" applyBorder="1" applyAlignment="1">
      <alignment horizontal="center" vertical="center" wrapText="1"/>
    </xf>
    <xf numFmtId="0" fontId="15" fillId="0" borderId="10" xfId="16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/>
    </xf>
    <xf numFmtId="188" fontId="15" fillId="0" borderId="8" xfId="5" applyNumberFormat="1" applyFont="1" applyBorder="1" applyAlignment="1">
      <alignment horizontal="center"/>
    </xf>
    <xf numFmtId="188" fontId="15" fillId="0" borderId="11" xfId="5" applyNumberFormat="1" applyFont="1" applyBorder="1" applyAlignment="1">
      <alignment horizontal="center"/>
    </xf>
    <xf numFmtId="188" fontId="15" fillId="0" borderId="9" xfId="5" applyNumberFormat="1" applyFont="1" applyBorder="1" applyAlignment="1">
      <alignment horizontal="center"/>
    </xf>
    <xf numFmtId="188" fontId="15" fillId="0" borderId="8" xfId="5" applyNumberFormat="1" applyFont="1" applyBorder="1" applyAlignment="1">
      <alignment horizontal="center" vertical="top"/>
    </xf>
    <xf numFmtId="0" fontId="57" fillId="0" borderId="10" xfId="5" applyFont="1" applyBorder="1" applyAlignment="1">
      <alignment vertical="center"/>
    </xf>
    <xf numFmtId="0" fontId="15" fillId="0" borderId="4" xfId="5" applyFont="1" applyBorder="1" applyAlignment="1">
      <alignment horizontal="center"/>
    </xf>
    <xf numFmtId="0" fontId="15" fillId="0" borderId="8" xfId="5" applyFont="1" applyBorder="1" applyAlignment="1">
      <alignment horizontal="center"/>
    </xf>
    <xf numFmtId="0" fontId="15" fillId="0" borderId="8" xfId="5" applyFont="1" applyBorder="1" applyAlignment="1">
      <alignment horizontal="center" vertical="center"/>
    </xf>
    <xf numFmtId="0" fontId="15" fillId="0" borderId="5" xfId="5" quotePrefix="1" applyFont="1" applyFill="1" applyBorder="1" applyAlignment="1">
      <alignment horizontal="center" vertical="center" wrapText="1"/>
    </xf>
    <xf numFmtId="0" fontId="15" fillId="0" borderId="10" xfId="5" applyFont="1" applyFill="1" applyBorder="1" applyAlignment="1">
      <alignment vertical="center"/>
    </xf>
    <xf numFmtId="0" fontId="15" fillId="0" borderId="3" xfId="5" quotePrefix="1" applyFont="1" applyFill="1" applyBorder="1" applyAlignment="1">
      <alignment horizontal="center" vertical="center" wrapText="1"/>
    </xf>
    <xf numFmtId="0" fontId="15" fillId="0" borderId="2" xfId="5" applyFont="1" applyFill="1" applyBorder="1" applyAlignment="1">
      <alignment horizontal="center" vertical="center"/>
    </xf>
    <xf numFmtId="0" fontId="15" fillId="0" borderId="6" xfId="5" applyFont="1" applyFill="1" applyBorder="1" applyAlignment="1">
      <alignment horizontal="center" vertical="center"/>
    </xf>
    <xf numFmtId="0" fontId="15" fillId="0" borderId="9" xfId="5" applyFont="1" applyFill="1" applyBorder="1" applyAlignment="1">
      <alignment horizontal="center" vertical="center"/>
    </xf>
    <xf numFmtId="0" fontId="15" fillId="0" borderId="33" xfId="5" quotePrefix="1" applyFont="1" applyFill="1" applyBorder="1" applyAlignment="1">
      <alignment horizontal="center" vertical="center" wrapText="1"/>
    </xf>
    <xf numFmtId="0" fontId="15" fillId="0" borderId="12" xfId="5" applyFont="1" applyFill="1" applyBorder="1" applyAlignment="1">
      <alignment horizontal="center" vertical="center" wrapText="1"/>
    </xf>
    <xf numFmtId="0" fontId="15" fillId="0" borderId="1" xfId="5" applyFont="1" applyFill="1" applyBorder="1" applyAlignment="1">
      <alignment horizontal="center" vertical="center"/>
    </xf>
    <xf numFmtId="193" fontId="15" fillId="0" borderId="3" xfId="5" quotePrefix="1" applyNumberFormat="1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left" vertical="center"/>
    </xf>
    <xf numFmtId="0" fontId="15" fillId="0" borderId="8" xfId="5" applyFont="1" applyFill="1" applyBorder="1" applyAlignment="1">
      <alignment horizontal="left" vertical="center"/>
    </xf>
    <xf numFmtId="0" fontId="15" fillId="0" borderId="9" xfId="5" applyFont="1" applyFill="1" applyBorder="1" applyAlignment="1">
      <alignment horizontal="left"/>
    </xf>
    <xf numFmtId="0" fontId="15" fillId="0" borderId="0" xfId="5" applyFont="1" applyFill="1" applyBorder="1" applyAlignment="1">
      <alignment horizontal="left"/>
    </xf>
    <xf numFmtId="0" fontId="15" fillId="0" borderId="8" xfId="5" applyFont="1" applyFill="1" applyBorder="1" applyAlignment="1">
      <alignment horizontal="left"/>
    </xf>
    <xf numFmtId="0" fontId="15" fillId="0" borderId="0" xfId="5" quotePrefix="1" applyFont="1" applyFill="1" applyAlignment="1">
      <alignment horizontal="left" wrapText="1"/>
    </xf>
    <xf numFmtId="0" fontId="15" fillId="0" borderId="0" xfId="5" quotePrefix="1" applyFont="1" applyFill="1" applyAlignment="1">
      <alignment horizontal="left"/>
    </xf>
    <xf numFmtId="0" fontId="13" fillId="0" borderId="0" xfId="5" applyFont="1" applyFill="1"/>
    <xf numFmtId="0" fontId="14" fillId="0" borderId="0" xfId="5" applyFont="1" applyFill="1"/>
    <xf numFmtId="49" fontId="16" fillId="0" borderId="6" xfId="5" applyNumberFormat="1" applyFont="1" applyFill="1" applyBorder="1" applyAlignment="1">
      <alignment horizontal="left"/>
    </xf>
    <xf numFmtId="49" fontId="16" fillId="0" borderId="8" xfId="5" applyNumberFormat="1" applyFont="1" applyFill="1" applyBorder="1" applyAlignment="1">
      <alignment horizontal="left"/>
    </xf>
    <xf numFmtId="49" fontId="16" fillId="0" borderId="9" xfId="5" applyNumberFormat="1" applyFont="1" applyFill="1" applyBorder="1" applyAlignment="1">
      <alignment horizontal="left"/>
    </xf>
    <xf numFmtId="38" fontId="12" fillId="0" borderId="0" xfId="2" applyFont="1" applyFill="1" applyBorder="1" applyAlignment="1">
      <alignment horizontal="left" vertical="center"/>
    </xf>
    <xf numFmtId="38" fontId="17" fillId="0" borderId="3" xfId="2" applyFont="1" applyFill="1" applyBorder="1" applyAlignment="1">
      <alignment horizontal="left" vertical="center" wrapText="1" shrinkToFit="1"/>
    </xf>
    <xf numFmtId="38" fontId="15" fillId="0" borderId="3" xfId="2" applyFont="1" applyFill="1" applyBorder="1" applyAlignment="1">
      <alignment horizontal="left"/>
    </xf>
    <xf numFmtId="37" fontId="15" fillId="0" borderId="3" xfId="2" applyNumberFormat="1" applyFont="1" applyFill="1" applyBorder="1" applyAlignment="1">
      <alignment horizontal="right"/>
    </xf>
    <xf numFmtId="37" fontId="15" fillId="0" borderId="7" xfId="2" applyNumberFormat="1" applyFont="1" applyFill="1" applyBorder="1" applyAlignment="1">
      <alignment horizontal="right"/>
    </xf>
    <xf numFmtId="37" fontId="15" fillId="0" borderId="10" xfId="2" applyNumberFormat="1" applyFont="1" applyFill="1" applyBorder="1" applyAlignment="1">
      <alignment horizontal="right"/>
    </xf>
    <xf numFmtId="0" fontId="12" fillId="0" borderId="0" xfId="5" applyFont="1" applyFill="1" applyAlignment="1">
      <alignment vertical="center"/>
    </xf>
    <xf numFmtId="0" fontId="32" fillId="0" borderId="0" xfId="5" applyFont="1" applyFill="1" applyAlignment="1">
      <alignment vertical="center"/>
    </xf>
    <xf numFmtId="0" fontId="17" fillId="0" borderId="5" xfId="5" applyNumberFormat="1" applyFont="1" applyFill="1" applyBorder="1" applyAlignment="1">
      <alignment horizontal="center" vertical="center" wrapText="1"/>
    </xf>
    <xf numFmtId="0" fontId="87" fillId="0" borderId="3" xfId="5" applyNumberFormat="1" applyFont="1" applyFill="1" applyBorder="1" applyAlignment="1">
      <alignment horizontal="center" vertical="center" wrapText="1"/>
    </xf>
    <xf numFmtId="0" fontId="78" fillId="0" borderId="0" xfId="5" applyFont="1" applyFill="1" applyAlignment="1">
      <alignment vertical="center"/>
    </xf>
    <xf numFmtId="0" fontId="43" fillId="0" borderId="0" xfId="5" applyFont="1" applyFill="1" applyAlignment="1">
      <alignment vertical="center"/>
    </xf>
    <xf numFmtId="0" fontId="42" fillId="0" borderId="0" xfId="5" applyFont="1" applyFill="1" applyAlignment="1">
      <alignment vertical="center"/>
    </xf>
    <xf numFmtId="0" fontId="88" fillId="0" borderId="0" xfId="5" applyFont="1" applyFill="1" applyBorder="1" applyAlignment="1">
      <alignment horizontal="center" vertical="center"/>
    </xf>
    <xf numFmtId="49" fontId="16" fillId="0" borderId="2" xfId="5" applyNumberFormat="1" applyFont="1" applyFill="1" applyBorder="1" applyAlignment="1">
      <alignment horizontal="left" vertical="center"/>
    </xf>
    <xf numFmtId="49" fontId="16" fillId="0" borderId="8" xfId="5" applyNumberFormat="1" applyFont="1" applyFill="1" applyBorder="1" applyAlignment="1">
      <alignment vertical="center"/>
    </xf>
    <xf numFmtId="49" fontId="16" fillId="0" borderId="9" xfId="5" applyNumberFormat="1" applyFont="1" applyFill="1" applyBorder="1" applyAlignment="1">
      <alignment vertical="center"/>
    </xf>
    <xf numFmtId="0" fontId="17" fillId="0" borderId="0" xfId="5" applyFont="1" applyFill="1" applyBorder="1" applyAlignment="1">
      <alignment vertical="center"/>
    </xf>
    <xf numFmtId="177" fontId="34" fillId="0" borderId="0" xfId="5" applyNumberFormat="1" applyFont="1" applyFill="1" applyAlignment="1">
      <alignment vertical="center"/>
    </xf>
    <xf numFmtId="0" fontId="82" fillId="0" borderId="0" xfId="5" applyFont="1" applyFill="1" applyAlignment="1">
      <alignment horizontal="left" vertical="center"/>
    </xf>
    <xf numFmtId="22" fontId="46" fillId="0" borderId="1" xfId="5" applyNumberFormat="1" applyFont="1" applyFill="1" applyBorder="1" applyAlignment="1">
      <alignment vertical="center"/>
    </xf>
    <xf numFmtId="38" fontId="54" fillId="0" borderId="1" xfId="15" applyNumberFormat="1" applyFont="1" applyFill="1" applyBorder="1" applyAlignment="1" applyProtection="1">
      <alignment horizontal="center" wrapText="1"/>
    </xf>
    <xf numFmtId="0" fontId="12" fillId="0" borderId="1" xfId="5" applyFont="1" applyBorder="1"/>
    <xf numFmtId="0" fontId="7" fillId="0" borderId="1" xfId="5" applyFont="1" applyBorder="1"/>
    <xf numFmtId="0" fontId="49" fillId="0" borderId="1" xfId="5" applyFont="1" applyBorder="1" applyAlignment="1"/>
    <xf numFmtId="38" fontId="58" fillId="0" borderId="1" xfId="15" applyNumberFormat="1" applyFont="1" applyFill="1" applyBorder="1" applyAlignment="1" applyProtection="1"/>
    <xf numFmtId="0" fontId="89" fillId="0" borderId="0" xfId="5" applyFont="1" applyFill="1" applyBorder="1" applyAlignment="1">
      <alignment horizontal="right" vertical="center"/>
    </xf>
    <xf numFmtId="49" fontId="90" fillId="0" borderId="2" xfId="5" applyNumberFormat="1" applyFont="1" applyFill="1" applyBorder="1" applyAlignment="1">
      <alignment horizontal="left" vertical="center"/>
    </xf>
    <xf numFmtId="0" fontId="16" fillId="0" borderId="2" xfId="5" applyFont="1" applyFill="1" applyBorder="1" applyAlignment="1">
      <alignment horizontal="right" vertical="center"/>
    </xf>
    <xf numFmtId="0" fontId="16" fillId="0" borderId="6" xfId="5" applyFont="1" applyFill="1" applyBorder="1" applyAlignment="1">
      <alignment horizontal="right" vertical="center"/>
    </xf>
    <xf numFmtId="49" fontId="90" fillId="0" borderId="0" xfId="5" applyNumberFormat="1" applyFont="1" applyFill="1" applyBorder="1" applyAlignment="1">
      <alignment horizontal="left" vertical="center"/>
    </xf>
    <xf numFmtId="0" fontId="16" fillId="0" borderId="8" xfId="5" applyFont="1" applyFill="1" applyBorder="1" applyAlignment="1">
      <alignment horizontal="right" vertical="center"/>
    </xf>
    <xf numFmtId="203" fontId="15" fillId="0" borderId="0" xfId="2" applyNumberFormat="1" applyFont="1" applyFill="1" applyBorder="1" applyAlignment="1">
      <alignment horizontal="right" vertical="center"/>
    </xf>
    <xf numFmtId="0" fontId="16" fillId="0" borderId="8" xfId="5" applyFont="1" applyFill="1" applyBorder="1" applyAlignment="1">
      <alignment vertical="center"/>
    </xf>
    <xf numFmtId="0" fontId="16" fillId="0" borderId="8" xfId="5" applyFont="1" applyFill="1" applyBorder="1" applyAlignment="1">
      <alignment horizontal="distributed" vertical="center"/>
    </xf>
    <xf numFmtId="0" fontId="90" fillId="0" borderId="0" xfId="5" applyFont="1" applyFill="1" applyBorder="1" applyAlignment="1">
      <alignment horizontal="left" vertical="center"/>
    </xf>
    <xf numFmtId="0" fontId="90" fillId="0" borderId="0" xfId="5" applyFont="1" applyFill="1" applyBorder="1" applyAlignment="1">
      <alignment vertical="center"/>
    </xf>
    <xf numFmtId="49" fontId="16" fillId="0" borderId="8" xfId="5" applyNumberFormat="1" applyFont="1" applyFill="1" applyBorder="1" applyAlignment="1">
      <alignment horizontal="right" vertical="center"/>
    </xf>
    <xf numFmtId="49" fontId="91" fillId="0" borderId="0" xfId="5" applyNumberFormat="1" applyFont="1" applyFill="1" applyBorder="1" applyAlignment="1">
      <alignment horizontal="left" vertical="center"/>
    </xf>
    <xf numFmtId="49" fontId="90" fillId="0" borderId="1" xfId="5" applyNumberFormat="1" applyFont="1" applyFill="1" applyBorder="1" applyAlignment="1">
      <alignment horizontal="right" vertical="center"/>
    </xf>
    <xf numFmtId="49" fontId="90" fillId="0" borderId="1" xfId="5" applyNumberFormat="1" applyFont="1" applyFill="1" applyBorder="1" applyAlignment="1">
      <alignment horizontal="left" vertical="center"/>
    </xf>
    <xf numFmtId="49" fontId="16" fillId="0" borderId="9" xfId="5" applyNumberFormat="1" applyFont="1" applyFill="1" applyBorder="1" applyAlignment="1">
      <alignment horizontal="right" vertical="center"/>
    </xf>
    <xf numFmtId="0" fontId="12" fillId="0" borderId="0" xfId="5" applyFont="1" applyFill="1" applyAlignment="1">
      <alignment horizontal="left"/>
    </xf>
    <xf numFmtId="0" fontId="59" fillId="0" borderId="0" xfId="5" applyFont="1" applyFill="1"/>
    <xf numFmtId="0" fontId="63" fillId="0" borderId="0" xfId="5" applyFont="1" applyFill="1" applyAlignment="1">
      <alignment horizontal="left"/>
    </xf>
    <xf numFmtId="0" fontId="16" fillId="0" borderId="0" xfId="5" applyFont="1" applyFill="1" applyBorder="1" applyAlignment="1">
      <alignment horizontal="center" vertical="center"/>
    </xf>
    <xf numFmtId="0" fontId="16" fillId="0" borderId="6" xfId="5" applyFont="1" applyFill="1" applyBorder="1" applyAlignment="1">
      <alignment horizontal="center"/>
    </xf>
    <xf numFmtId="0" fontId="16" fillId="0" borderId="8" xfId="5" applyFont="1" applyFill="1" applyBorder="1" applyAlignment="1">
      <alignment horizontal="right" vertical="top"/>
    </xf>
    <xf numFmtId="0" fontId="16" fillId="0" borderId="8" xfId="5" applyFont="1" applyFill="1" applyBorder="1" applyAlignment="1">
      <alignment horizontal="right"/>
    </xf>
    <xf numFmtId="0" fontId="16" fillId="0" borderId="8" xfId="5" applyFont="1" applyFill="1" applyBorder="1" applyAlignment="1"/>
    <xf numFmtId="0" fontId="16" fillId="0" borderId="8" xfId="5" applyFont="1" applyFill="1" applyBorder="1" applyAlignment="1">
      <alignment horizontal="distributed" vertical="top"/>
    </xf>
    <xf numFmtId="0" fontId="16" fillId="0" borderId="8" xfId="5" applyFont="1" applyFill="1" applyBorder="1" applyAlignment="1">
      <alignment horizontal="distributed"/>
    </xf>
    <xf numFmtId="49" fontId="16" fillId="0" borderId="8" xfId="5" applyNumberFormat="1" applyFont="1" applyFill="1" applyBorder="1" applyAlignment="1">
      <alignment horizontal="right" vertical="top"/>
    </xf>
    <xf numFmtId="186" fontId="16" fillId="0" borderId="8" xfId="5" applyNumberFormat="1" applyFont="1" applyFill="1" applyBorder="1" applyAlignment="1">
      <alignment horizontal="right"/>
    </xf>
    <xf numFmtId="49" fontId="16" fillId="0" borderId="9" xfId="5" applyNumberFormat="1" applyFont="1" applyFill="1" applyBorder="1" applyAlignment="1">
      <alignment horizontal="right" vertical="top"/>
    </xf>
    <xf numFmtId="38" fontId="12" fillId="0" borderId="0" xfId="3" quotePrefix="1" applyFont="1" applyFill="1" applyAlignment="1">
      <alignment horizontal="left" vertical="center"/>
    </xf>
    <xf numFmtId="38" fontId="65" fillId="0" borderId="0" xfId="3" applyFont="1" applyFill="1">
      <alignment vertical="center"/>
    </xf>
    <xf numFmtId="38" fontId="11" fillId="0" borderId="0" xfId="3" applyFont="1" applyFill="1" applyAlignment="1">
      <alignment horizontal="center" vertical="center"/>
    </xf>
    <xf numFmtId="38" fontId="62" fillId="0" borderId="0" xfId="3" applyFont="1" applyFill="1">
      <alignment vertical="center"/>
    </xf>
    <xf numFmtId="38" fontId="15" fillId="0" borderId="0" xfId="3" applyFont="1" applyFill="1">
      <alignment vertical="center"/>
    </xf>
    <xf numFmtId="38" fontId="15" fillId="0" borderId="0" xfId="3" quotePrefix="1" applyFont="1" applyFill="1" applyBorder="1" applyAlignment="1">
      <alignment vertical="center"/>
    </xf>
    <xf numFmtId="38" fontId="15" fillId="0" borderId="0" xfId="3" quotePrefix="1" applyFont="1" applyFill="1" applyBorder="1" applyAlignment="1">
      <alignment horizontal="right"/>
    </xf>
    <xf numFmtId="0" fontId="87" fillId="0" borderId="5" xfId="16" applyFont="1" applyFill="1" applyBorder="1" applyAlignment="1">
      <alignment horizontal="center" vertical="center" wrapText="1"/>
    </xf>
    <xf numFmtId="0" fontId="15" fillId="0" borderId="3" xfId="16" applyFont="1" applyFill="1" applyBorder="1" applyAlignment="1">
      <alignment horizontal="left" vertical="center" wrapText="1" shrinkToFit="1"/>
    </xf>
    <xf numFmtId="0" fontId="90" fillId="0" borderId="2" xfId="5" applyFont="1" applyFill="1" applyBorder="1" applyAlignment="1">
      <alignment horizontal="right" vertical="center"/>
    </xf>
    <xf numFmtId="0" fontId="90" fillId="0" borderId="0" xfId="5" applyFont="1" applyFill="1" applyBorder="1" applyAlignment="1">
      <alignment horizontal="right" vertical="center"/>
    </xf>
    <xf numFmtId="0" fontId="90" fillId="0" borderId="0" xfId="5" applyFont="1" applyFill="1" applyBorder="1" applyAlignment="1">
      <alignment horizontal="distributed" vertical="center"/>
    </xf>
    <xf numFmtId="0" fontId="67" fillId="0" borderId="0" xfId="5" applyFont="1" applyFill="1" applyBorder="1" applyAlignment="1">
      <alignment horizontal="center" vertical="center"/>
    </xf>
    <xf numFmtId="0" fontId="67" fillId="0" borderId="1" xfId="5" applyFont="1" applyFill="1" applyBorder="1" applyAlignment="1">
      <alignment horizontal="center"/>
    </xf>
    <xf numFmtId="0" fontId="68" fillId="0" borderId="1" xfId="5" quotePrefix="1" applyFont="1" applyFill="1" applyBorder="1" applyAlignment="1">
      <alignment horizontal="left"/>
    </xf>
    <xf numFmtId="0" fontId="67" fillId="0" borderId="1" xfId="5" applyFont="1" applyFill="1" applyBorder="1" applyAlignment="1">
      <alignment horizontal="right"/>
    </xf>
    <xf numFmtId="0" fontId="67" fillId="0" borderId="1" xfId="5" applyFont="1" applyFill="1" applyBorder="1" applyAlignment="1">
      <alignment horizontal="center" vertical="top"/>
    </xf>
    <xf numFmtId="0" fontId="48" fillId="0" borderId="1" xfId="5" quotePrefix="1" applyFont="1" applyFill="1" applyBorder="1" applyAlignment="1">
      <alignment horizontal="left" vertical="center"/>
    </xf>
    <xf numFmtId="0" fontId="44" fillId="0" borderId="1" xfId="5" applyFont="1" applyFill="1" applyBorder="1" applyAlignment="1">
      <alignment horizontal="centerContinuous" vertical="center"/>
    </xf>
    <xf numFmtId="0" fontId="59" fillId="0" borderId="0" xfId="5" applyFont="1" applyFill="1" applyBorder="1" applyAlignment="1">
      <alignment vertical="center"/>
    </xf>
    <xf numFmtId="0" fontId="39" fillId="0" borderId="0" xfId="5" applyFont="1" applyFill="1" applyBorder="1" applyAlignment="1">
      <alignment horizontal="left" vertical="center"/>
    </xf>
    <xf numFmtId="0" fontId="90" fillId="0" borderId="6" xfId="5" applyFont="1" applyFill="1" applyBorder="1" applyAlignment="1">
      <alignment horizontal="right" vertical="center"/>
    </xf>
    <xf numFmtId="0" fontId="90" fillId="0" borderId="8" xfId="5" applyFont="1" applyFill="1" applyBorder="1" applyAlignment="1">
      <alignment horizontal="right" vertical="center"/>
    </xf>
    <xf numFmtId="0" fontId="90" fillId="0" borderId="8" xfId="5" applyFont="1" applyFill="1" applyBorder="1" applyAlignment="1">
      <alignment vertical="center"/>
    </xf>
    <xf numFmtId="0" fontId="90" fillId="0" borderId="8" xfId="5" applyFont="1" applyFill="1" applyBorder="1" applyAlignment="1">
      <alignment horizontal="distributed" vertical="center"/>
    </xf>
    <xf numFmtId="49" fontId="90" fillId="0" borderId="8" xfId="5" applyNumberFormat="1" applyFont="1" applyFill="1" applyBorder="1" applyAlignment="1">
      <alignment horizontal="right" vertical="center"/>
    </xf>
    <xf numFmtId="49" fontId="90" fillId="0" borderId="9" xfId="5" applyNumberFormat="1" applyFont="1" applyFill="1" applyBorder="1" applyAlignment="1">
      <alignment horizontal="right" vertical="center"/>
    </xf>
    <xf numFmtId="188" fontId="12" fillId="0" borderId="0" xfId="5" applyNumberFormat="1" applyFont="1" applyAlignment="1"/>
    <xf numFmtId="188" fontId="55" fillId="0" borderId="0" xfId="5" applyNumberFormat="1" applyFont="1" applyAlignment="1"/>
    <xf numFmtId="188" fontId="15" fillId="0" borderId="10" xfId="5" applyNumberFormat="1" applyFont="1" applyBorder="1"/>
    <xf numFmtId="188" fontId="15" fillId="0" borderId="11" xfId="5" applyNumberFormat="1" applyFont="1" applyBorder="1" applyAlignment="1"/>
    <xf numFmtId="188" fontId="15" fillId="0" borderId="9" xfId="5" applyNumberFormat="1" applyFont="1" applyBorder="1" applyAlignment="1"/>
    <xf numFmtId="188" fontId="15" fillId="0" borderId="4" xfId="5" applyNumberFormat="1" applyFont="1" applyBorder="1" applyAlignment="1">
      <alignment vertical="top"/>
    </xf>
    <xf numFmtId="0" fontId="16" fillId="0" borderId="1" xfId="5" applyFont="1" applyBorder="1"/>
    <xf numFmtId="0" fontId="16" fillId="0" borderId="10" xfId="5" applyFont="1" applyBorder="1"/>
    <xf numFmtId="0" fontId="16" fillId="0" borderId="11" xfId="5" applyFont="1" applyBorder="1"/>
    <xf numFmtId="0" fontId="16" fillId="0" borderId="9" xfId="5" applyFont="1" applyBorder="1"/>
    <xf numFmtId="38" fontId="16" fillId="0" borderId="10" xfId="5" applyNumberFormat="1" applyFont="1" applyFill="1" applyBorder="1"/>
    <xf numFmtId="38" fontId="16" fillId="0" borderId="10" xfId="5" applyNumberFormat="1" applyFont="1" applyBorder="1"/>
    <xf numFmtId="38" fontId="16" fillId="0" borderId="11" xfId="5" applyNumberFormat="1" applyFont="1" applyFill="1" applyBorder="1"/>
    <xf numFmtId="38" fontId="16" fillId="0" borderId="9" xfId="5" applyNumberFormat="1" applyFont="1" applyFill="1" applyBorder="1"/>
    <xf numFmtId="38" fontId="16" fillId="0" borderId="1" xfId="5" applyNumberFormat="1" applyFont="1" applyFill="1" applyBorder="1"/>
    <xf numFmtId="0" fontId="1" fillId="0" borderId="0" xfId="21">
      <alignment vertical="center"/>
    </xf>
    <xf numFmtId="0" fontId="61" fillId="0" borderId="0" xfId="5" applyFont="1" applyFill="1" applyAlignment="1">
      <alignment horizontal="centerContinuous"/>
    </xf>
    <xf numFmtId="0" fontId="15" fillId="0" borderId="0" xfId="5" applyFont="1" applyFill="1" applyAlignment="1">
      <alignment horizontal="centerContinuous"/>
    </xf>
    <xf numFmtId="0" fontId="15" fillId="0" borderId="0" xfId="5" applyFont="1" applyFill="1" applyAlignment="1">
      <alignment horizontal="right"/>
    </xf>
    <xf numFmtId="200" fontId="15" fillId="0" borderId="4" xfId="2" applyNumberFormat="1" applyFont="1" applyFill="1" applyBorder="1" applyAlignment="1"/>
    <xf numFmtId="200" fontId="15" fillId="0" borderId="0" xfId="2" applyNumberFormat="1" applyFont="1" applyFill="1" applyBorder="1" applyAlignment="1"/>
    <xf numFmtId="0" fontId="1" fillId="0" borderId="0" xfId="21" applyFill="1">
      <alignment vertical="center"/>
    </xf>
    <xf numFmtId="200" fontId="1" fillId="0" borderId="0" xfId="21" applyNumberFormat="1">
      <alignment vertical="center"/>
    </xf>
    <xf numFmtId="201" fontId="1" fillId="0" borderId="0" xfId="21" applyNumberFormat="1">
      <alignment vertical="center"/>
    </xf>
    <xf numFmtId="0" fontId="7" fillId="0" borderId="1" xfId="5" applyFill="1" applyBorder="1" applyAlignment="1">
      <alignment horizontal="right"/>
    </xf>
    <xf numFmtId="0" fontId="20" fillId="0" borderId="0" xfId="1" applyFill="1" applyAlignment="1" applyProtection="1">
      <alignment vertical="center"/>
    </xf>
    <xf numFmtId="0" fontId="15" fillId="0" borderId="5" xfId="5" applyNumberFormat="1" applyFont="1" applyFill="1" applyBorder="1" applyAlignment="1">
      <alignment horizontal="center" vertical="center" wrapText="1"/>
    </xf>
    <xf numFmtId="0" fontId="15" fillId="0" borderId="4" xfId="5" applyNumberFormat="1" applyFont="1" applyFill="1" applyBorder="1" applyAlignment="1">
      <alignment horizontal="center" vertical="center"/>
    </xf>
    <xf numFmtId="0" fontId="15" fillId="0" borderId="11" xfId="5" applyNumberFormat="1" applyFont="1" applyFill="1" applyBorder="1" applyAlignment="1">
      <alignment horizontal="center" vertical="center"/>
    </xf>
    <xf numFmtId="38" fontId="15" fillId="0" borderId="5" xfId="2" applyFont="1" applyFill="1" applyBorder="1" applyAlignment="1">
      <alignment horizontal="center" vertical="center" wrapText="1"/>
    </xf>
    <xf numFmtId="38" fontId="15" fillId="0" borderId="4" xfId="2" applyFont="1" applyFill="1" applyBorder="1" applyAlignment="1">
      <alignment horizontal="center" vertical="center"/>
    </xf>
    <xf numFmtId="38" fontId="15" fillId="0" borderId="11" xfId="2" applyFont="1" applyFill="1" applyBorder="1" applyAlignment="1">
      <alignment horizontal="center" vertical="center"/>
    </xf>
    <xf numFmtId="38" fontId="12" fillId="0" borderId="0" xfId="2" applyFont="1" applyFill="1" applyBorder="1" applyAlignment="1">
      <alignment horizontal="left" vertical="center"/>
    </xf>
    <xf numFmtId="0" fontId="35" fillId="0" borderId="7" xfId="5" applyFont="1" applyFill="1" applyBorder="1" applyAlignment="1">
      <alignment horizontal="center" vertical="center" wrapText="1"/>
    </xf>
    <xf numFmtId="0" fontId="7" fillId="0" borderId="10" xfId="5" applyFill="1" applyBorder="1" applyAlignment="1">
      <alignment horizontal="center" vertical="center" wrapText="1"/>
    </xf>
    <xf numFmtId="0" fontId="35" fillId="0" borderId="2" xfId="5" applyFont="1" applyFill="1" applyBorder="1" applyAlignment="1">
      <alignment horizontal="center" vertical="center"/>
    </xf>
    <xf numFmtId="0" fontId="35" fillId="0" borderId="6" xfId="5" applyFont="1" applyFill="1" applyBorder="1" applyAlignment="1">
      <alignment horizontal="center" vertical="center"/>
    </xf>
    <xf numFmtId="0" fontId="35" fillId="0" borderId="0" xfId="5" applyFont="1" applyFill="1" applyBorder="1" applyAlignment="1">
      <alignment horizontal="center" vertical="center"/>
    </xf>
    <xf numFmtId="0" fontId="35" fillId="0" borderId="8" xfId="5" applyFont="1" applyFill="1" applyBorder="1" applyAlignment="1">
      <alignment horizontal="center" vertical="center"/>
    </xf>
    <xf numFmtId="0" fontId="35" fillId="0" borderId="1" xfId="5" applyFont="1" applyFill="1" applyBorder="1" applyAlignment="1">
      <alignment horizontal="center" vertical="center"/>
    </xf>
    <xf numFmtId="0" fontId="35" fillId="0" borderId="9" xfId="5" applyFont="1" applyFill="1" applyBorder="1" applyAlignment="1">
      <alignment horizontal="center" vertical="center"/>
    </xf>
    <xf numFmtId="0" fontId="35" fillId="0" borderId="13" xfId="5" applyFont="1" applyFill="1" applyBorder="1" applyAlignment="1">
      <alignment horizontal="center" vertical="center"/>
    </xf>
    <xf numFmtId="0" fontId="7" fillId="0" borderId="10" xfId="5" applyFont="1" applyFill="1" applyBorder="1" applyAlignment="1">
      <alignment horizontal="center" vertical="center" wrapText="1"/>
    </xf>
    <xf numFmtId="0" fontId="35" fillId="0" borderId="12" xfId="5" applyFont="1" applyFill="1" applyBorder="1" applyAlignment="1">
      <alignment horizontal="center" vertical="center"/>
    </xf>
    <xf numFmtId="0" fontId="15" fillId="0" borderId="5" xfId="5" applyFont="1" applyFill="1" applyBorder="1" applyAlignment="1">
      <alignment horizontal="center" vertical="center" wrapText="1"/>
    </xf>
    <xf numFmtId="0" fontId="7" fillId="0" borderId="4" xfId="5" applyFill="1" applyBorder="1" applyAlignment="1">
      <alignment horizontal="center" vertical="center" wrapText="1"/>
    </xf>
    <xf numFmtId="0" fontId="35" fillId="0" borderId="10" xfId="5" applyFont="1" applyFill="1" applyBorder="1" applyAlignment="1">
      <alignment horizontal="center" vertical="center" wrapText="1"/>
    </xf>
    <xf numFmtId="0" fontId="35" fillId="0" borderId="10" xfId="5" applyFont="1" applyFill="1" applyBorder="1" applyAlignment="1">
      <alignment horizontal="center" vertical="center"/>
    </xf>
    <xf numFmtId="0" fontId="7" fillId="0" borderId="4" xfId="5" applyFont="1" applyFill="1" applyBorder="1" applyAlignment="1">
      <alignment horizontal="center" vertical="center" wrapText="1"/>
    </xf>
    <xf numFmtId="0" fontId="35" fillId="0" borderId="16" xfId="5" applyFont="1" applyFill="1" applyBorder="1" applyAlignment="1">
      <alignment horizontal="center" vertical="center" wrapText="1"/>
    </xf>
    <xf numFmtId="0" fontId="57" fillId="0" borderId="14" xfId="5" applyFont="1" applyFill="1" applyBorder="1" applyAlignment="1">
      <alignment horizontal="center" vertical="center" wrapText="1"/>
    </xf>
    <xf numFmtId="0" fontId="57" fillId="0" borderId="17" xfId="5" applyFont="1" applyFill="1" applyBorder="1" applyAlignment="1">
      <alignment horizontal="center" vertical="center" wrapText="1"/>
    </xf>
    <xf numFmtId="0" fontId="15" fillId="0" borderId="16" xfId="5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/>
    </xf>
    <xf numFmtId="0" fontId="15" fillId="0" borderId="8" xfId="5" applyFont="1" applyFill="1" applyBorder="1" applyAlignment="1">
      <alignment horizontal="center" vertical="center"/>
    </xf>
    <xf numFmtId="0" fontId="15" fillId="0" borderId="6" xfId="16" applyFont="1" applyFill="1" applyBorder="1" applyAlignment="1">
      <alignment horizontal="center" vertical="center" wrapText="1"/>
    </xf>
    <xf numFmtId="0" fontId="15" fillId="0" borderId="8" xfId="16" applyFont="1" applyFill="1" applyBorder="1" applyAlignment="1">
      <alignment horizontal="center" vertical="center" wrapText="1"/>
    </xf>
    <xf numFmtId="0" fontId="15" fillId="0" borderId="9" xfId="16" applyFont="1" applyFill="1" applyBorder="1" applyAlignment="1">
      <alignment horizontal="center" vertical="center" wrapText="1"/>
    </xf>
    <xf numFmtId="0" fontId="15" fillId="0" borderId="5" xfId="16" applyFont="1" applyFill="1" applyBorder="1" applyAlignment="1">
      <alignment horizontal="center" vertical="center" wrapText="1"/>
    </xf>
    <xf numFmtId="0" fontId="15" fillId="0" borderId="4" xfId="16" applyFont="1" applyFill="1" applyBorder="1" applyAlignment="1">
      <alignment horizontal="center" vertical="center" wrapText="1"/>
    </xf>
    <xf numFmtId="0" fontId="15" fillId="0" borderId="11" xfId="16" applyFont="1" applyFill="1" applyBorder="1" applyAlignment="1">
      <alignment horizontal="center" vertical="center" wrapText="1"/>
    </xf>
    <xf numFmtId="0" fontId="15" fillId="0" borderId="7" xfId="16" applyFont="1" applyFill="1" applyBorder="1" applyAlignment="1">
      <alignment horizontal="center" vertical="center" wrapText="1"/>
    </xf>
    <xf numFmtId="0" fontId="15" fillId="0" borderId="10" xfId="16" applyFont="1" applyFill="1" applyBorder="1" applyAlignment="1">
      <alignment horizontal="center" vertical="center" wrapText="1"/>
    </xf>
    <xf numFmtId="0" fontId="35" fillId="0" borderId="0" xfId="5" applyFont="1" applyFill="1" applyBorder="1" applyAlignment="1">
      <alignment horizontal="center" vertical="center" wrapText="1"/>
    </xf>
    <xf numFmtId="0" fontId="57" fillId="0" borderId="0" xfId="5" applyFont="1" applyFill="1" applyBorder="1" applyAlignment="1">
      <alignment vertical="center" wrapText="1"/>
    </xf>
    <xf numFmtId="0" fontId="57" fillId="0" borderId="26" xfId="5" applyFont="1" applyFill="1" applyBorder="1" applyAlignment="1">
      <alignment vertical="center" wrapText="1"/>
    </xf>
    <xf numFmtId="0" fontId="15" fillId="0" borderId="44" xfId="5" applyFont="1" applyFill="1" applyBorder="1" applyAlignment="1">
      <alignment horizontal="left" vertical="center"/>
    </xf>
    <xf numFmtId="0" fontId="15" fillId="0" borderId="41" xfId="5" applyFont="1" applyFill="1" applyBorder="1" applyAlignment="1">
      <alignment horizontal="left" vertical="center"/>
    </xf>
    <xf numFmtId="0" fontId="15" fillId="0" borderId="2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188" fontId="15" fillId="0" borderId="5" xfId="5" applyNumberFormat="1" applyFont="1" applyBorder="1" applyAlignment="1">
      <alignment horizontal="center" vertical="center"/>
    </xf>
    <xf numFmtId="0" fontId="15" fillId="0" borderId="2" xfId="5" applyFont="1" applyBorder="1"/>
    <xf numFmtId="0" fontId="15" fillId="0" borderId="11" xfId="5" applyFont="1" applyBorder="1"/>
    <xf numFmtId="0" fontId="15" fillId="0" borderId="1" xfId="5" applyFont="1" applyBorder="1"/>
    <xf numFmtId="0" fontId="15" fillId="0" borderId="0" xfId="5" applyFont="1" applyFill="1" applyBorder="1" applyAlignment="1">
      <alignment horizontal="center"/>
    </xf>
    <xf numFmtId="188" fontId="15" fillId="0" borderId="3" xfId="5" applyNumberFormat="1" applyFont="1" applyBorder="1" applyAlignment="1">
      <alignment horizontal="center" vertical="center" wrapText="1"/>
    </xf>
    <xf numFmtId="0" fontId="57" fillId="0" borderId="7" xfId="5" applyFont="1" applyBorder="1" applyAlignment="1">
      <alignment horizontal="center" wrapText="1"/>
    </xf>
    <xf numFmtId="0" fontId="57" fillId="0" borderId="10" xfId="5" applyFont="1" applyBorder="1" applyAlignment="1">
      <alignment horizontal="center"/>
    </xf>
    <xf numFmtId="188" fontId="46" fillId="0" borderId="5" xfId="5" applyNumberFormat="1" applyFont="1" applyBorder="1" applyAlignment="1">
      <alignment horizontal="center"/>
    </xf>
    <xf numFmtId="188" fontId="46" fillId="0" borderId="6" xfId="5" applyNumberFormat="1" applyFont="1" applyBorder="1" applyAlignment="1">
      <alignment horizontal="center"/>
    </xf>
    <xf numFmtId="38" fontId="46" fillId="0" borderId="5" xfId="5" applyNumberFormat="1" applyFont="1" applyFill="1" applyBorder="1" applyAlignment="1"/>
    <xf numFmtId="38" fontId="46" fillId="0" borderId="2" xfId="5" applyNumberFormat="1" applyFont="1" applyFill="1" applyBorder="1" applyAlignment="1"/>
    <xf numFmtId="188" fontId="15" fillId="0" borderId="4" xfId="5" applyNumberFormat="1" applyFont="1" applyBorder="1" applyAlignment="1">
      <alignment horizontal="center"/>
    </xf>
    <xf numFmtId="188" fontId="15" fillId="0" borderId="8" xfId="5" applyNumberFormat="1" applyFont="1" applyBorder="1" applyAlignment="1">
      <alignment horizontal="center"/>
    </xf>
    <xf numFmtId="188" fontId="15" fillId="0" borderId="7" xfId="5" applyNumberFormat="1" applyFont="1" applyBorder="1" applyAlignment="1">
      <alignment horizontal="left" vertical="center"/>
    </xf>
    <xf numFmtId="188" fontId="15" fillId="0" borderId="7" xfId="5" applyNumberFormat="1" applyFont="1" applyFill="1" applyBorder="1" applyAlignment="1">
      <alignment horizontal="left" vertical="center"/>
    </xf>
    <xf numFmtId="188" fontId="15" fillId="0" borderId="0" xfId="5" applyNumberFormat="1" applyFont="1" applyBorder="1" applyAlignment="1">
      <alignment horizontal="center" vertical="center"/>
    </xf>
    <xf numFmtId="0" fontId="15" fillId="0" borderId="0" xfId="5" applyFont="1" applyBorder="1" applyAlignment="1">
      <alignment vertical="center"/>
    </xf>
    <xf numFmtId="188" fontId="15" fillId="0" borderId="7" xfId="5" applyNumberFormat="1" applyFont="1" applyBorder="1" applyAlignment="1">
      <alignment horizontal="center" vertical="center" wrapText="1"/>
    </xf>
    <xf numFmtId="0" fontId="57" fillId="0" borderId="10" xfId="5" applyFont="1" applyBorder="1" applyAlignment="1">
      <alignment horizontal="center" wrapText="1"/>
    </xf>
    <xf numFmtId="188" fontId="46" fillId="0" borderId="4" xfId="5" applyNumberFormat="1" applyFont="1" applyBorder="1" applyAlignment="1">
      <alignment horizontal="center"/>
    </xf>
    <xf numFmtId="188" fontId="46" fillId="0" borderId="8" xfId="5" applyNumberFormat="1" applyFont="1" applyBorder="1" applyAlignment="1">
      <alignment horizontal="center"/>
    </xf>
    <xf numFmtId="38" fontId="46" fillId="0" borderId="4" xfId="5" applyNumberFormat="1" applyFont="1" applyFill="1" applyBorder="1" applyAlignment="1"/>
    <xf numFmtId="38" fontId="46" fillId="0" borderId="0" xfId="5" applyNumberFormat="1" applyFont="1" applyFill="1" applyBorder="1" applyAlignment="1"/>
    <xf numFmtId="188" fontId="15" fillId="0" borderId="8" xfId="5" applyNumberFormat="1" applyFont="1" applyBorder="1" applyAlignment="1">
      <alignment horizontal="center" vertical="top"/>
    </xf>
    <xf numFmtId="0" fontId="15" fillId="0" borderId="8" xfId="5" applyFont="1" applyBorder="1" applyAlignment="1">
      <alignment horizontal="center" vertical="top"/>
    </xf>
    <xf numFmtId="188" fontId="15" fillId="0" borderId="3" xfId="5" applyNumberFormat="1" applyFont="1" applyBorder="1" applyAlignment="1">
      <alignment horizontal="center" vertical="center"/>
    </xf>
    <xf numFmtId="0" fontId="57" fillId="0" borderId="7" xfId="5" applyFont="1" applyBorder="1" applyAlignment="1">
      <alignment vertical="center"/>
    </xf>
    <xf numFmtId="0" fontId="15" fillId="0" borderId="4" xfId="5" applyFont="1" applyBorder="1" applyAlignment="1">
      <alignment horizontal="center"/>
    </xf>
    <xf numFmtId="0" fontId="15" fillId="0" borderId="8" xfId="5" applyFont="1" applyBorder="1" applyAlignment="1">
      <alignment horizontal="center"/>
    </xf>
    <xf numFmtId="0" fontId="15" fillId="0" borderId="8" xfId="5" applyFont="1" applyBorder="1" applyAlignment="1">
      <alignment horizontal="center" vertical="center"/>
    </xf>
    <xf numFmtId="0" fontId="57" fillId="0" borderId="8" xfId="5" applyFont="1" applyBorder="1" applyAlignment="1">
      <alignment horizontal="center" vertical="center"/>
    </xf>
    <xf numFmtId="0" fontId="57" fillId="0" borderId="7" xfId="5" applyFont="1" applyBorder="1" applyAlignment="1"/>
    <xf numFmtId="0" fontId="57" fillId="0" borderId="10" xfId="5" applyFont="1" applyBorder="1" applyAlignment="1"/>
    <xf numFmtId="0" fontId="15" fillId="0" borderId="5" xfId="5" quotePrefix="1" applyFont="1" applyFill="1" applyBorder="1" applyAlignment="1">
      <alignment horizontal="center" vertical="center" wrapText="1"/>
    </xf>
    <xf numFmtId="0" fontId="15" fillId="0" borderId="4" xfId="5" applyFont="1" applyFill="1" applyBorder="1" applyAlignment="1">
      <alignment vertical="center" wrapText="1"/>
    </xf>
    <xf numFmtId="0" fontId="15" fillId="0" borderId="11" xfId="5" applyFont="1" applyFill="1" applyBorder="1" applyAlignment="1">
      <alignment vertical="center" wrapText="1"/>
    </xf>
    <xf numFmtId="0" fontId="15" fillId="0" borderId="3" xfId="5" applyFont="1" applyFill="1" applyBorder="1" applyAlignment="1">
      <alignment horizontal="center" vertical="center" wrapText="1"/>
    </xf>
    <xf numFmtId="0" fontId="15" fillId="0" borderId="10" xfId="5" applyFont="1" applyFill="1" applyBorder="1" applyAlignment="1">
      <alignment vertical="center"/>
    </xf>
    <xf numFmtId="0" fontId="15" fillId="0" borderId="4" xfId="5" applyFont="1" applyFill="1" applyBorder="1" applyAlignment="1">
      <alignment horizontal="center" vertical="center" wrapText="1"/>
    </xf>
    <xf numFmtId="0" fontId="15" fillId="0" borderId="11" xfId="5" applyFont="1" applyFill="1" applyBorder="1" applyAlignment="1">
      <alignment vertical="center"/>
    </xf>
    <xf numFmtId="0" fontId="15" fillId="0" borderId="10" xfId="5" applyFont="1" applyFill="1" applyBorder="1" applyAlignment="1">
      <alignment horizontal="center" vertical="center" wrapText="1"/>
    </xf>
    <xf numFmtId="0" fontId="15" fillId="0" borderId="3" xfId="5" quotePrefix="1" applyFont="1" applyFill="1" applyBorder="1" applyAlignment="1">
      <alignment horizontal="center" vertical="center" wrapText="1"/>
    </xf>
    <xf numFmtId="0" fontId="15" fillId="0" borderId="10" xfId="5" quotePrefix="1" applyFont="1" applyFill="1" applyBorder="1" applyAlignment="1">
      <alignment horizontal="center" vertical="center" wrapText="1"/>
    </xf>
    <xf numFmtId="0" fontId="15" fillId="0" borderId="10" xfId="5" applyFont="1" applyFill="1" applyBorder="1" applyAlignment="1">
      <alignment vertical="center" wrapText="1"/>
    </xf>
    <xf numFmtId="0" fontId="15" fillId="0" borderId="5" xfId="5" applyFont="1" applyFill="1" applyBorder="1" applyAlignment="1">
      <alignment horizontal="center" vertical="center"/>
    </xf>
    <xf numFmtId="0" fontId="15" fillId="0" borderId="2" xfId="5" applyFont="1" applyFill="1" applyBorder="1" applyAlignment="1">
      <alignment horizontal="center" vertical="center"/>
    </xf>
    <xf numFmtId="0" fontId="15" fillId="0" borderId="13" xfId="5" applyFont="1" applyFill="1" applyBorder="1" applyAlignment="1">
      <alignment horizontal="center" vertical="center"/>
    </xf>
    <xf numFmtId="0" fontId="15" fillId="0" borderId="6" xfId="5" applyFont="1" applyFill="1" applyBorder="1" applyAlignment="1">
      <alignment horizontal="center" vertical="center"/>
    </xf>
    <xf numFmtId="0" fontId="15" fillId="0" borderId="9" xfId="5" applyFont="1" applyFill="1" applyBorder="1" applyAlignment="1">
      <alignment horizontal="center" vertical="center"/>
    </xf>
    <xf numFmtId="0" fontId="15" fillId="0" borderId="33" xfId="5" quotePrefix="1" applyFont="1" applyFill="1" applyBorder="1" applyAlignment="1">
      <alignment horizontal="center" vertical="center" wrapText="1"/>
    </xf>
    <xf numFmtId="0" fontId="15" fillId="0" borderId="12" xfId="5" applyFont="1" applyFill="1" applyBorder="1" applyAlignment="1">
      <alignment horizontal="center" vertical="center" wrapText="1"/>
    </xf>
    <xf numFmtId="0" fontId="7" fillId="0" borderId="11" xfId="5" applyFont="1" applyFill="1" applyBorder="1" applyAlignment="1">
      <alignment horizontal="center" vertical="center" wrapText="1"/>
    </xf>
    <xf numFmtId="0" fontId="15" fillId="0" borderId="6" xfId="5" quotePrefix="1" applyFont="1" applyFill="1" applyBorder="1" applyAlignment="1">
      <alignment horizontal="center" vertical="center" justifyLastLine="1"/>
    </xf>
    <xf numFmtId="0" fontId="15" fillId="0" borderId="8" xfId="5" applyFont="1" applyFill="1" applyBorder="1" applyAlignment="1">
      <alignment horizontal="center" vertical="center" justifyLastLine="1"/>
    </xf>
    <xf numFmtId="0" fontId="15" fillId="0" borderId="9" xfId="5" applyFont="1" applyFill="1" applyBorder="1" applyAlignment="1">
      <alignment horizontal="center" vertical="center" justifyLastLine="1"/>
    </xf>
    <xf numFmtId="0" fontId="15" fillId="0" borderId="33" xfId="5" applyFont="1" applyFill="1" applyBorder="1" applyAlignment="1">
      <alignment horizontal="center" vertical="center"/>
    </xf>
    <xf numFmtId="0" fontId="15" fillId="0" borderId="12" xfId="5" applyFont="1" applyFill="1" applyBorder="1" applyAlignment="1">
      <alignment horizontal="center" vertical="center"/>
    </xf>
    <xf numFmtId="0" fontId="15" fillId="0" borderId="11" xfId="5" applyFont="1" applyFill="1" applyBorder="1" applyAlignment="1">
      <alignment horizontal="center"/>
    </xf>
    <xf numFmtId="0" fontId="15" fillId="0" borderId="1" xfId="5" applyFont="1" applyFill="1" applyBorder="1" applyAlignment="1">
      <alignment horizontal="center" vertical="center"/>
    </xf>
    <xf numFmtId="194" fontId="15" fillId="0" borderId="5" xfId="2" quotePrefix="1" applyNumberFormat="1" applyFont="1" applyFill="1" applyBorder="1" applyAlignment="1">
      <alignment horizontal="center" vertical="center" wrapText="1"/>
    </xf>
    <xf numFmtId="194" fontId="15" fillId="0" borderId="2" xfId="2" applyNumberFormat="1" applyFont="1" applyFill="1" applyBorder="1" applyAlignment="1">
      <alignment horizontal="center" vertical="center" wrapText="1"/>
    </xf>
    <xf numFmtId="194" fontId="15" fillId="0" borderId="6" xfId="2" applyNumberFormat="1" applyFont="1" applyFill="1" applyBorder="1" applyAlignment="1">
      <alignment horizontal="center" vertical="center" wrapText="1"/>
    </xf>
    <xf numFmtId="193" fontId="15" fillId="0" borderId="3" xfId="5" quotePrefix="1" applyNumberFormat="1" applyFont="1" applyFill="1" applyBorder="1" applyAlignment="1">
      <alignment horizontal="center" vertical="center" wrapText="1"/>
    </xf>
    <xf numFmtId="0" fontId="15" fillId="0" borderId="7" xfId="5" applyFont="1" applyFill="1" applyBorder="1" applyAlignment="1">
      <alignment horizontal="center" vertical="center" wrapText="1"/>
    </xf>
    <xf numFmtId="0" fontId="15" fillId="0" borderId="5" xfId="12" quotePrefix="1" applyFont="1" applyFill="1" applyBorder="1" applyAlignment="1">
      <alignment horizontal="center" vertical="center" wrapText="1"/>
    </xf>
    <xf numFmtId="0" fontId="7" fillId="0" borderId="4" xfId="12" applyFill="1" applyBorder="1"/>
    <xf numFmtId="0" fontId="7" fillId="0" borderId="11" xfId="12" applyFill="1" applyBorder="1"/>
    <xf numFmtId="0" fontId="15" fillId="0" borderId="0" xfId="5" applyFont="1" applyFill="1" applyBorder="1" applyAlignment="1">
      <alignment horizontal="left" vertical="center"/>
    </xf>
    <xf numFmtId="0" fontId="15" fillId="0" borderId="8" xfId="5" applyFont="1" applyFill="1" applyBorder="1" applyAlignment="1">
      <alignment horizontal="left" vertical="center"/>
    </xf>
    <xf numFmtId="0" fontId="15" fillId="0" borderId="1" xfId="5" applyFont="1" applyFill="1" applyBorder="1" applyAlignment="1">
      <alignment horizontal="left"/>
    </xf>
    <xf numFmtId="0" fontId="15" fillId="0" borderId="9" xfId="5" applyFont="1" applyFill="1" applyBorder="1" applyAlignment="1">
      <alignment horizontal="left"/>
    </xf>
    <xf numFmtId="194" fontId="15" fillId="0" borderId="5" xfId="2" applyNumberFormat="1" applyFont="1" applyFill="1" applyBorder="1" applyAlignment="1">
      <alignment horizontal="center" vertical="center"/>
    </xf>
    <xf numFmtId="194" fontId="15" fillId="0" borderId="2" xfId="2" applyNumberFormat="1" applyFont="1" applyFill="1" applyBorder="1" applyAlignment="1">
      <alignment horizontal="center" vertical="center"/>
    </xf>
    <xf numFmtId="194" fontId="15" fillId="0" borderId="6" xfId="2" applyNumberFormat="1" applyFont="1" applyFill="1" applyBorder="1" applyAlignment="1">
      <alignment horizontal="center" vertical="center"/>
    </xf>
    <xf numFmtId="0" fontId="15" fillId="0" borderId="5" xfId="12" applyFont="1" applyFill="1" applyBorder="1" applyAlignment="1">
      <alignment horizontal="center" vertical="center"/>
    </xf>
    <xf numFmtId="0" fontId="15" fillId="0" borderId="2" xfId="12" applyFont="1" applyFill="1" applyBorder="1" applyAlignment="1">
      <alignment horizontal="center" vertical="center"/>
    </xf>
    <xf numFmtId="0" fontId="15" fillId="0" borderId="4" xfId="12" applyFont="1" applyFill="1" applyBorder="1" applyAlignment="1">
      <alignment horizontal="center" vertical="center"/>
    </xf>
    <xf numFmtId="0" fontId="15" fillId="0" borderId="0" xfId="12" applyFont="1" applyFill="1" applyAlignment="1">
      <alignment horizontal="center" vertical="center"/>
    </xf>
    <xf numFmtId="0" fontId="15" fillId="0" borderId="11" xfId="12" applyFont="1" applyFill="1" applyBorder="1" applyAlignment="1">
      <alignment horizontal="center" vertical="center"/>
    </xf>
    <xf numFmtId="0" fontId="15" fillId="0" borderId="1" xfId="12" applyFont="1" applyFill="1" applyBorder="1" applyAlignment="1">
      <alignment horizontal="center" vertical="center"/>
    </xf>
    <xf numFmtId="0" fontId="15" fillId="0" borderId="0" xfId="5" applyFont="1" applyFill="1" applyBorder="1" applyAlignment="1">
      <alignment horizontal="left"/>
    </xf>
    <xf numFmtId="0" fontId="15" fillId="0" borderId="8" xfId="5" applyFont="1" applyFill="1" applyBorder="1" applyAlignment="1">
      <alignment horizontal="left"/>
    </xf>
    <xf numFmtId="38" fontId="15" fillId="0" borderId="5" xfId="5" quotePrefix="1" applyNumberFormat="1" applyFont="1" applyFill="1" applyBorder="1" applyAlignment="1">
      <alignment horizontal="center" vertical="center" wrapText="1"/>
    </xf>
    <xf numFmtId="38" fontId="15" fillId="0" borderId="2" xfId="5" applyNumberFormat="1" applyFont="1" applyFill="1" applyBorder="1" applyAlignment="1">
      <alignment horizontal="center" vertical="center" wrapText="1"/>
    </xf>
    <xf numFmtId="38" fontId="15" fillId="0" borderId="6" xfId="5" applyNumberFormat="1" applyFont="1" applyFill="1" applyBorder="1" applyAlignment="1">
      <alignment horizontal="center" vertical="center" wrapText="1"/>
    </xf>
    <xf numFmtId="0" fontId="15" fillId="0" borderId="5" xfId="5" quotePrefix="1" applyFont="1" applyFill="1" applyBorder="1" applyAlignment="1">
      <alignment horizontal="center" vertical="center"/>
    </xf>
    <xf numFmtId="0" fontId="15" fillId="0" borderId="4" xfId="5" applyFont="1" applyFill="1" applyBorder="1" applyAlignment="1">
      <alignment horizontal="center" vertical="center"/>
    </xf>
    <xf numFmtId="0" fontId="15" fillId="0" borderId="0" xfId="5" applyFont="1" applyFill="1" applyAlignment="1">
      <alignment horizontal="center" vertical="center"/>
    </xf>
    <xf numFmtId="0" fontId="15" fillId="0" borderId="11" xfId="5" applyFont="1" applyFill="1" applyBorder="1" applyAlignment="1">
      <alignment horizontal="center" vertical="center"/>
    </xf>
    <xf numFmtId="0" fontId="15" fillId="0" borderId="0" xfId="5" quotePrefix="1" applyFont="1" applyFill="1" applyAlignment="1">
      <alignment horizontal="left" wrapText="1"/>
    </xf>
    <xf numFmtId="0" fontId="7" fillId="0" borderId="2" xfId="5" applyBorder="1" applyAlignment="1">
      <alignment horizontal="center" vertical="center"/>
    </xf>
    <xf numFmtId="0" fontId="7" fillId="0" borderId="4" xfId="5" applyBorder="1" applyAlignment="1">
      <alignment horizontal="center" vertical="center"/>
    </xf>
    <xf numFmtId="0" fontId="7" fillId="0" borderId="0" xfId="5" applyBorder="1" applyAlignment="1">
      <alignment horizontal="center" vertical="center"/>
    </xf>
    <xf numFmtId="0" fontId="7" fillId="0" borderId="11" xfId="5" applyBorder="1" applyAlignment="1">
      <alignment horizontal="center" vertical="center"/>
    </xf>
    <xf numFmtId="0" fontId="7" fillId="0" borderId="1" xfId="5" applyBorder="1" applyAlignment="1">
      <alignment horizontal="center" vertical="center"/>
    </xf>
    <xf numFmtId="0" fontId="15" fillId="0" borderId="0" xfId="5" quotePrefix="1" applyFont="1" applyFill="1" applyAlignment="1">
      <alignment horizontal="left"/>
    </xf>
  </cellXfs>
  <cellStyles count="22">
    <cellStyle name="パーセント 2" xfId="9" xr:uid="{00000000-0005-0000-0000-000000000000}"/>
    <cellStyle name="ハイパーリンク" xfId="1" builtinId="8"/>
    <cellStyle name="桁区切り 2" xfId="2" xr:uid="{00000000-0005-0000-0000-000002000000}"/>
    <cellStyle name="桁区切り 2 2" xfId="3" xr:uid="{00000000-0005-0000-0000-000003000000}"/>
    <cellStyle name="桁区切り 3" xfId="4" xr:uid="{00000000-0005-0000-0000-000004000000}"/>
    <cellStyle name="通貨 2" xfId="8" xr:uid="{00000000-0005-0000-0000-000005000000}"/>
    <cellStyle name="通貨 3" xfId="10" xr:uid="{00000000-0005-0000-0000-000006000000}"/>
    <cellStyle name="標準" xfId="0" builtinId="0"/>
    <cellStyle name="標準 2" xfId="5" xr:uid="{00000000-0005-0000-0000-000008000000}"/>
    <cellStyle name="標準 2 2" xfId="6" xr:uid="{00000000-0005-0000-0000-000009000000}"/>
    <cellStyle name="標準 2 2 2" xfId="12" xr:uid="{00000000-0005-0000-0000-00000A000000}"/>
    <cellStyle name="標準 2 3" xfId="11" xr:uid="{00000000-0005-0000-0000-00000B000000}"/>
    <cellStyle name="標準 3" xfId="7" xr:uid="{00000000-0005-0000-0000-00000C000000}"/>
    <cellStyle name="標準 3 2" xfId="16" xr:uid="{00000000-0005-0000-0000-00000D000000}"/>
    <cellStyle name="標準 4" xfId="17" xr:uid="{00000000-0005-0000-0000-00000E000000}"/>
    <cellStyle name="標準 5" xfId="18" xr:uid="{00000000-0005-0000-0000-00000F000000}"/>
    <cellStyle name="標準 6" xfId="19" xr:uid="{00000000-0005-0000-0000-000010000000}"/>
    <cellStyle name="標準 7" xfId="20" xr:uid="{00000000-0005-0000-0000-000011000000}"/>
    <cellStyle name="標準 8" xfId="21" xr:uid="{00000000-0005-0000-0000-000012000000}"/>
    <cellStyle name="標準_改正調票集計" xfId="14" xr:uid="{00000000-0005-0000-0000-000013000000}"/>
    <cellStyle name="標準_原稿ｼｰﾄ" xfId="15" xr:uid="{00000000-0005-0000-0000-000014000000}"/>
    <cellStyle name="未定義" xfId="13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6" name="Line 13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ShapeType="1"/>
        </xdr:cNvSpPr>
      </xdr:nvSpPr>
      <xdr:spPr bwMode="auto">
        <a:xfrm>
          <a:off x="9525" y="200025"/>
          <a:ext cx="1533525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28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/>
        </xdr:cNvSpPr>
      </xdr:nvSpPr>
      <xdr:spPr bwMode="auto">
        <a:xfrm>
          <a:off x="9525" y="4572000"/>
          <a:ext cx="1533525" cy="476250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" name="Freeform 4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6" name="Freeform 7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9" name="Freeform 10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2" name="Freeform 13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5" name="Freeform 16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8" name="Freeform 19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1" name="Freeform 22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4" name="Freeform 2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7" name="Freeform 28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8" name="Line 29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0" name="Freeform 31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3" name="Freeform 34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38"/>
  <sheetViews>
    <sheetView tabSelected="1" zoomScaleNormal="100" zoomScaleSheetLayoutView="100" workbookViewId="0"/>
  </sheetViews>
  <sheetFormatPr defaultColWidth="9" defaultRowHeight="13" x14ac:dyDescent="0.2"/>
  <cols>
    <col min="1" max="1" width="2" style="1" customWidth="1"/>
    <col min="2" max="5" width="3" style="1" customWidth="1"/>
    <col min="6" max="10" width="3.90625" style="1" customWidth="1"/>
    <col min="11" max="16384" width="9" style="1"/>
  </cols>
  <sheetData>
    <row r="1" spans="2:24" ht="31.5" customHeight="1" x14ac:dyDescent="0.2">
      <c r="B1" s="8" t="s">
        <v>749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2"/>
      <c r="R1" s="2"/>
      <c r="S1" s="2"/>
      <c r="T1" s="2"/>
      <c r="U1" s="2"/>
      <c r="V1" s="2"/>
      <c r="W1" s="2"/>
      <c r="X1" s="2"/>
    </row>
    <row r="2" spans="2:24" ht="14" x14ac:dyDescent="0.2">
      <c r="B2" s="10" t="s">
        <v>6</v>
      </c>
    </row>
    <row r="3" spans="2:24" ht="22.5" customHeight="1" x14ac:dyDescent="0.2">
      <c r="B3" s="3" t="s">
        <v>7</v>
      </c>
    </row>
    <row r="4" spans="2:24" s="4" customFormat="1" ht="14" x14ac:dyDescent="0.2">
      <c r="C4" s="4" t="s">
        <v>8</v>
      </c>
    </row>
    <row r="5" spans="2:24" s="4" customFormat="1" ht="14" x14ac:dyDescent="0.2">
      <c r="D5" s="5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24" s="4" customFormat="1" ht="14" x14ac:dyDescent="0.2">
      <c r="D6" s="5" t="s">
        <v>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24" s="4" customFormat="1" ht="14" x14ac:dyDescent="0.2">
      <c r="D7" s="5" t="s">
        <v>66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24" s="4" customFormat="1" ht="14" x14ac:dyDescent="0.2">
      <c r="D8" s="5" t="s">
        <v>667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spans="2:24" s="4" customFormat="1" ht="14" x14ac:dyDescent="0.2">
      <c r="C9" s="4" t="s">
        <v>10</v>
      </c>
    </row>
    <row r="10" spans="2:24" s="4" customFormat="1" ht="14" x14ac:dyDescent="0.2">
      <c r="D10" s="4" t="s">
        <v>0</v>
      </c>
    </row>
    <row r="11" spans="2:24" s="4" customFormat="1" ht="14" x14ac:dyDescent="0.2">
      <c r="E11" s="22" t="s">
        <v>750</v>
      </c>
      <c r="F11" s="5"/>
      <c r="G11" s="5"/>
      <c r="H11" s="5"/>
      <c r="I11" s="5"/>
      <c r="J11" s="5"/>
      <c r="K11" s="5"/>
    </row>
    <row r="12" spans="2:24" s="4" customFormat="1" ht="14" x14ac:dyDescent="0.2">
      <c r="E12" s="22" t="s">
        <v>751</v>
      </c>
      <c r="F12" s="5"/>
      <c r="G12" s="5"/>
      <c r="H12" s="5"/>
      <c r="I12" s="5"/>
      <c r="J12" s="5"/>
      <c r="K12" s="5"/>
    </row>
    <row r="13" spans="2:24" s="4" customFormat="1" ht="14" x14ac:dyDescent="0.2">
      <c r="D13" s="4" t="s">
        <v>4</v>
      </c>
    </row>
    <row r="14" spans="2:24" s="4" customFormat="1" ht="14" x14ac:dyDescent="0.2">
      <c r="E14" s="5" t="s">
        <v>752</v>
      </c>
      <c r="F14" s="5"/>
      <c r="G14" s="5"/>
      <c r="H14" s="5"/>
      <c r="I14" s="5"/>
      <c r="J14" s="5"/>
      <c r="K14" s="5"/>
    </row>
    <row r="15" spans="2:24" s="4" customFormat="1" ht="14" x14ac:dyDescent="0.2">
      <c r="E15" s="5" t="s">
        <v>753</v>
      </c>
      <c r="F15" s="5"/>
      <c r="G15" s="5"/>
      <c r="H15" s="5"/>
      <c r="I15" s="5"/>
      <c r="J15" s="5"/>
      <c r="K15" s="5"/>
    </row>
    <row r="16" spans="2:24" s="4" customFormat="1" ht="14" x14ac:dyDescent="0.2">
      <c r="D16" s="5" t="s">
        <v>666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25"/>
    </row>
    <row r="17" spans="2:25" s="4" customFormat="1" ht="14" x14ac:dyDescent="0.2">
      <c r="D17" s="4" t="s">
        <v>3</v>
      </c>
    </row>
    <row r="18" spans="2:25" s="4" customFormat="1" ht="14" x14ac:dyDescent="0.2">
      <c r="D18" s="6"/>
      <c r="E18" s="5" t="s">
        <v>1</v>
      </c>
      <c r="F18" s="5"/>
      <c r="G18" s="5"/>
      <c r="H18" s="5"/>
      <c r="I18" s="5"/>
      <c r="J18" s="5"/>
      <c r="K18" s="5"/>
    </row>
    <row r="19" spans="2:25" s="4" customFormat="1" ht="14" x14ac:dyDescent="0.2">
      <c r="D19" s="6"/>
      <c r="E19" s="23" t="s">
        <v>196</v>
      </c>
      <c r="F19" s="5"/>
      <c r="G19" s="5"/>
      <c r="H19" s="5"/>
      <c r="I19" s="5"/>
      <c r="J19" s="5"/>
      <c r="K19" s="5"/>
      <c r="L19" s="5"/>
      <c r="M19" s="5"/>
      <c r="N19" s="5"/>
    </row>
    <row r="20" spans="2:25" s="4" customFormat="1" ht="14" x14ac:dyDescent="0.2">
      <c r="D20" s="6"/>
      <c r="E20" s="5" t="s">
        <v>2</v>
      </c>
      <c r="F20" s="5"/>
      <c r="G20" s="5"/>
      <c r="H20" s="5"/>
      <c r="I20" s="5"/>
      <c r="J20" s="5"/>
      <c r="K20" s="5"/>
    </row>
    <row r="21" spans="2:25" s="4" customFormat="1" ht="14" x14ac:dyDescent="0.2">
      <c r="D21" s="6"/>
      <c r="E21" s="5" t="s">
        <v>195</v>
      </c>
      <c r="F21" s="5"/>
      <c r="G21" s="5"/>
      <c r="H21" s="5"/>
      <c r="I21" s="5"/>
      <c r="J21" s="5"/>
      <c r="K21" s="5"/>
      <c r="L21" s="5"/>
      <c r="M21" s="5"/>
      <c r="N21" s="5"/>
    </row>
    <row r="22" spans="2:25" s="4" customFormat="1" ht="14" x14ac:dyDescent="0.2">
      <c r="D22" s="765" t="s">
        <v>547</v>
      </c>
      <c r="E22" s="768"/>
      <c r="F22" s="768"/>
      <c r="G22" s="768"/>
      <c r="H22" s="768"/>
      <c r="I22" s="768"/>
      <c r="J22" s="768"/>
      <c r="K22" s="768"/>
      <c r="L22" s="768"/>
      <c r="M22" s="768"/>
      <c r="N22" s="768"/>
      <c r="O22" s="768"/>
      <c r="P22" s="768"/>
      <c r="Q22" s="768"/>
    </row>
    <row r="23" spans="2:25" s="4" customFormat="1" ht="14" x14ac:dyDescent="0.2">
      <c r="D23" s="765" t="s">
        <v>664</v>
      </c>
      <c r="E23" s="765"/>
      <c r="F23" s="765"/>
      <c r="G23" s="765"/>
      <c r="H23" s="765"/>
      <c r="I23" s="765"/>
      <c r="J23" s="765"/>
      <c r="K23" s="765"/>
      <c r="L23" s="765"/>
      <c r="M23" s="765"/>
      <c r="N23" s="765"/>
      <c r="O23" s="765"/>
      <c r="P23" s="765"/>
      <c r="Q23" s="765"/>
      <c r="R23" s="765"/>
      <c r="S23" s="765"/>
      <c r="T23" s="765"/>
      <c r="U23" s="765"/>
      <c r="V23" s="765"/>
      <c r="W23" s="765"/>
      <c r="X23" s="765"/>
      <c r="Y23" s="765"/>
    </row>
    <row r="24" spans="2:25" s="4" customFormat="1" ht="14" x14ac:dyDescent="0.2">
      <c r="D24" s="5" t="s">
        <v>665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6" spans="2:25" ht="14" x14ac:dyDescent="0.2">
      <c r="B26" s="7" t="s">
        <v>546</v>
      </c>
    </row>
    <row r="27" spans="2:25" ht="14" x14ac:dyDescent="0.2">
      <c r="B27" s="4"/>
      <c r="C27" s="23" t="s">
        <v>67</v>
      </c>
      <c r="D27" s="5"/>
      <c r="E27" s="5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2:25" ht="14" x14ac:dyDescent="0.2">
      <c r="B28" s="4"/>
      <c r="C28" s="5" t="s">
        <v>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4"/>
    </row>
    <row r="29" spans="2:25" ht="14" x14ac:dyDescent="0.2">
      <c r="B29" s="4"/>
      <c r="C29" s="4" t="s">
        <v>758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2:25" ht="14" x14ac:dyDescent="0.2">
      <c r="B30" s="4"/>
      <c r="C30" s="4"/>
      <c r="D30" s="5" t="s">
        <v>759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2:25" ht="14" x14ac:dyDescent="0.2">
      <c r="B31" s="4"/>
      <c r="C31" s="4"/>
      <c r="D31" s="5" t="s">
        <v>548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4"/>
      <c r="Q31" s="4"/>
      <c r="R31" s="4"/>
      <c r="S31" s="4"/>
      <c r="T31" s="4"/>
      <c r="U31" s="4"/>
    </row>
    <row r="32" spans="2:25" ht="14" x14ac:dyDescent="0.2">
      <c r="B32" s="4"/>
      <c r="C32" s="4"/>
      <c r="D32" s="5" t="s">
        <v>760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2:24" ht="14" x14ac:dyDescent="0.2">
      <c r="B33" s="4"/>
      <c r="C33" s="4"/>
      <c r="D33" s="765" t="s">
        <v>761</v>
      </c>
      <c r="E33" s="765"/>
      <c r="F33" s="765"/>
      <c r="G33" s="765"/>
      <c r="H33" s="765"/>
      <c r="I33" s="765"/>
      <c r="J33" s="765"/>
      <c r="K33" s="765"/>
      <c r="L33" s="765"/>
      <c r="M33" s="765"/>
      <c r="N33" s="765"/>
      <c r="O33" s="765"/>
      <c r="P33" s="765"/>
      <c r="Q33" s="765"/>
      <c r="R33" s="765"/>
      <c r="S33" s="765"/>
      <c r="T33" s="765"/>
      <c r="U33" s="765"/>
      <c r="V33" s="765"/>
      <c r="W33" s="765"/>
      <c r="X33" s="765"/>
    </row>
    <row r="34" spans="2:24" ht="14" x14ac:dyDescent="0.2">
      <c r="B34" s="4"/>
      <c r="C34" s="4"/>
      <c r="D34" s="5" t="s">
        <v>754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4"/>
      <c r="U34" s="4"/>
    </row>
    <row r="35" spans="2:24" ht="14" x14ac:dyDescent="0.2">
      <c r="B35" s="4"/>
      <c r="C35" s="4"/>
      <c r="D35" s="5" t="s">
        <v>755</v>
      </c>
      <c r="E35" s="1059"/>
      <c r="F35" s="1059"/>
      <c r="G35" s="1059"/>
      <c r="H35" s="1059"/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59"/>
      <c r="T35" s="4"/>
      <c r="U35" s="4"/>
    </row>
    <row r="36" spans="2:24" ht="14" x14ac:dyDescent="0.2">
      <c r="B36" s="4"/>
      <c r="C36" s="4"/>
      <c r="D36" s="765" t="s">
        <v>756</v>
      </c>
      <c r="E36" s="765"/>
      <c r="F36" s="765"/>
      <c r="G36" s="765"/>
      <c r="H36" s="765"/>
      <c r="I36" s="765"/>
      <c r="J36" s="765"/>
      <c r="K36" s="765"/>
      <c r="L36" s="765"/>
      <c r="M36" s="765"/>
      <c r="N36" s="765"/>
      <c r="O36" s="765"/>
      <c r="P36" s="765"/>
      <c r="Q36" s="765"/>
      <c r="R36" s="765"/>
      <c r="S36" s="765"/>
      <c r="T36" s="765"/>
      <c r="U36" s="765"/>
      <c r="V36" s="5"/>
      <c r="W36" s="5"/>
    </row>
    <row r="37" spans="2:24" ht="14" x14ac:dyDescent="0.2">
      <c r="B37" s="4"/>
      <c r="C37" s="4"/>
      <c r="D37" s="765" t="s">
        <v>757</v>
      </c>
      <c r="E37" s="765"/>
      <c r="F37" s="765"/>
      <c r="G37" s="765"/>
      <c r="H37" s="765"/>
      <c r="I37" s="765"/>
      <c r="J37" s="765"/>
      <c r="K37" s="765"/>
      <c r="L37" s="765"/>
      <c r="M37" s="765"/>
      <c r="N37" s="765"/>
      <c r="O37" s="765"/>
      <c r="P37" s="765"/>
      <c r="Q37" s="765"/>
      <c r="R37" s="765"/>
      <c r="S37" s="765"/>
      <c r="T37" s="765"/>
      <c r="U37" s="765"/>
      <c r="V37" s="765"/>
      <c r="W37" s="765"/>
    </row>
    <row r="38" spans="2:24" ht="14" x14ac:dyDescent="0.2"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4"/>
      <c r="U38" s="4"/>
    </row>
  </sheetData>
  <phoneticPr fontId="10"/>
  <hyperlinks>
    <hyperlink ref="D5:O5" location="'１（１）原油地域別、国別輸入'!A1" display="（１）原油地域別、国別輸入 / Import of Crude Oil by Area and Country" xr:uid="{00000000-0004-0000-0000-000000000000}"/>
    <hyperlink ref="D6:N6" location="'Ⅱ－２(2)原油油種別輸入'!A1" display="（２）原油油種別輸入 / Import by Kind of Crude Oil" xr:uid="{00000000-0004-0000-0000-000001000000}"/>
    <hyperlink ref="D7:O7" location="'Ⅱ－２(3)非精製用出荷内訳'!A1" display="（３）非精製用出荷内訳 / Shipment of Crude Oil for non-Refining" xr:uid="{00000000-0004-0000-0000-000002000000}"/>
    <hyperlink ref="E11:K11" location="'２（１）①石油製品需給総括暦年'!A1" display="　①平成25年 / (C.Y.2013)" xr:uid="{00000000-0004-0000-0000-000003000000}"/>
    <hyperlink ref="E12:K12" location="'２（１）②石油製品需給総括年度'!A1" display="　②平成25年度 / (F.Y.2013)" xr:uid="{00000000-0004-0000-0000-000004000000}"/>
    <hyperlink ref="E14:K14" location="'２（２）①製造業者・輸入業者受払暦年'!A1" display="　①平成25年 / (C.Y.2013)" xr:uid="{00000000-0004-0000-0000-000005000000}"/>
    <hyperlink ref="E15:K15" location="'２（２）②製造業者・輸入業者受払年度'!A1" display="　②平成25年度 / (F.Y.2013)" xr:uid="{00000000-0004-0000-0000-000006000000}"/>
    <hyperlink ref="D16:P16" location="'２（３）石油製品国内向月別販売'!A1" display="（３）石油製品国内向月別販売 / Domestic Sales of Petroleum Products by Month " xr:uid="{00000000-0004-0000-0000-000007000000}"/>
    <hyperlink ref="E18:K18" location="'２（４）①石油製品月別輸入'!A1" display="①月別輸入 / Import by Month" xr:uid="{00000000-0004-0000-0000-000008000000}"/>
    <hyperlink ref="E19:N19" location="'２（４）②石油製品国・地域別月別輸入'!A1" display="②国・地域別月別輸入 / Monthly Import by Area and Country" xr:uid="{00000000-0004-0000-0000-000009000000}"/>
    <hyperlink ref="E20:K20" location="'２（４）③石油製品月別輸出'!A1" display="③月別輸出 / Export by Month" xr:uid="{00000000-0004-0000-0000-00000A000000}"/>
    <hyperlink ref="E21:N21" location="'２（４）④石油製品国・地域別月別輸出'!A1" display="④国・地域別月別輸出 / Monthly Export by Area and Country" xr:uid="{00000000-0004-0000-0000-00000B000000}"/>
    <hyperlink ref="D24:Y24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0C000000}"/>
    <hyperlink ref="C28:P28" location="'参考資料１、２備蓄量推移、輸入価格推移'!A25" display="２．石油輸入価格推移 / Customs Clearance Prices of Crude Oil and Petroleum Products(CIF)" xr:uid="{00000000-0004-0000-0000-00000D000000}"/>
    <hyperlink ref="D30:U30" location="'参考資料３（１）（２）'!A1" display="（１）契約期間別原油月別輸入、ＣＩＦ総額、平均ＡＰＩ及び平均硫黄分 /Crude Oil Import, Value（C.I.F）,Average API and Average Sulfur by Month and Contract" xr:uid="{00000000-0004-0000-0000-00000E000000}"/>
    <hyperlink ref="D31:N31" location="'参考資料３（１）（２）'!L42" display="（２）供給者区分別原油月別輸入 / Crude Oil Import by Month and Supplier" xr:uid="{00000000-0004-0000-0000-00000F000000}"/>
    <hyperlink ref="D32:V32" location="'参考資料３（３）（４）'!A1" display="（３）国別、契約期間別原油輸入、平均ＡＰＩ及び平均硫黄分（平成25年） / Crude Oil Import, Average API and Average Sulfur by Country and Contract(C.Y.2013)" xr:uid="{00000000-0004-0000-0000-000010000000}"/>
    <hyperlink ref="D34:Q34" location="'参考資料３（５）（６）'!A1" display="（５）国別、契約期間別ＣＩＦ総額（平成25年） / Imported Crude Oil Value(CIF) by Country and Contract(C.Y.2013)" xr:uid="{00000000-0004-0000-0000-000011000000}"/>
    <hyperlink ref="D35:R35" location="'参考資料３（５）（６）'!A27" display="（６）原油国別、契約期間別、ＣＩＦ総額（令和2年度） / Import of  Crude Oil Value(CIF) by Country and Contract(Ｆ.Y.2020)" xr:uid="{00000000-0004-0000-0000-000012000000}"/>
    <hyperlink ref="D5" location="'１（１）原油地域別、国別輸入'!A1" display="（１）原油地域別、国別輸入 / Import of Crude Oil by Area and Country" xr:uid="{00000000-0004-0000-0000-000013000000}"/>
    <hyperlink ref="D6:O6" location="'１（２）原油油種別輸入'!A1" display="（２）原油油種別輸入 / Import by Kind of Crude Oil" xr:uid="{00000000-0004-0000-0000-000014000000}"/>
    <hyperlink ref="D7:P7" location="'１（３）非精製用出荷内訳'!A1" display="（３）非精製用出荷内訳 / Shipment of Crude Oil for non-Refining" xr:uid="{00000000-0004-0000-0000-000015000000}"/>
    <hyperlink ref="D8:N8" location="'１（４）原油処理及び原油在庫'!A1" display="（４）原油処理及び原油在庫 / Crude Oil Processing and Inventory " xr:uid="{00000000-0004-0000-0000-000016000000}"/>
    <hyperlink ref="C27:K27" location="'参考資料１、２備蓄量推移、輸入価格推移'!A1" display="１．石油備蓄量推移 / Changes in Oil Stock" xr:uid="{00000000-0004-0000-0000-000017000000}"/>
    <hyperlink ref="E19" location="'２（４）②石油製品国・地域別月別輸入'!A1" display="②国・地域別月別輸入 / Monthly Import by Area and Country" xr:uid="{00000000-0004-0000-0000-000018000000}"/>
    <hyperlink ref="E21" location="'２（４）④石油製品国・地域別月別輸出'!A1" display="④国・地域別月別輸出 / Monthly Export by Area and Country" xr:uid="{00000000-0004-0000-0000-000019000000}"/>
    <hyperlink ref="D22" location="'２（５）石油製品月別業態別在庫'!A1" display="（５）石油製品月別業態別在庫 / Monthly Inventory of Petroleum Products by Type of Business" xr:uid="{00000000-0004-0000-0000-00001A000000}"/>
    <hyperlink ref="D23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B000000}"/>
    <hyperlink ref="D23:X23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C000000}"/>
    <hyperlink ref="D22:Q22" location="'２（５）石油製品月別業態別在庫'!A1" display="（５）石油製品月別業態別在庫 / Monthly Inventory of Petroleum Products by Type of Business" xr:uid="{00000000-0004-0000-0000-00001D000000}"/>
    <hyperlink ref="D24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1E000000}"/>
    <hyperlink ref="D30:W30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1F000000}"/>
    <hyperlink ref="D31:O31" location="'参考資料３（１）（２）'!L42" display="（２）供給者区分別原油月別輸入 / Crude Oil Import by Month and Supplier" xr:uid="{00000000-0004-0000-0000-000020000000}"/>
    <hyperlink ref="D32:X32" location="'参考資料３（３）（４）'!A1" display="（３）国別、契約期間別原油輸入、平均ＡＰＩ度及び平均硫黄分（平成29年） / Crude Oil Import, Average API　gravity and Average Sulfur by Country and Contract(C.Y.2017)" xr:uid="{00000000-0004-0000-0000-000021000000}"/>
    <hyperlink ref="D34:R34" location="'参考資料３（５）（６）'!A1" display="（５）国別、契約期間別ＣＩＦ総額（平成29年） / Imported Crude Oil Value(CIF) by Country and Contract(C.Y.2017)" xr:uid="{00000000-0004-0000-0000-000022000000}"/>
    <hyperlink ref="D35" location="'参考資料３（５）（６）'!A27" display="（６）原油国別、契約期間別、ＣＩＦ総額（令和2年度） / Import of  Crude Oil Value(CIF) by Country and Contract(Ｆ.Y.2020)" xr:uid="{00000000-0004-0000-0000-000023000000}"/>
    <hyperlink ref="D35:S35" location="'参考資料３（５）（６）'!A28" display="（６）原油国別、契約期間別、ＣＩＦ総額（令和3年度） / Import of  Crude Oil Value(CIF) by Country and Contract(Ｆ.Y.2021)" xr:uid="{00000000-0004-0000-0000-000024000000}"/>
    <hyperlink ref="Y23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25000000}"/>
    <hyperlink ref="S34" location="'参考資料３（５）（６）'!A1" display="（５）国別、契約期間別ＣＩＦ総額（平成29年） / Imported Crude Oil Value(CIF) by Country and Contract(C.Y.2017)" xr:uid="{00000000-0004-0000-0000-000026000000}"/>
    <hyperlink ref="X30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7000000}"/>
    <hyperlink ref="D36:W36" location="'参考資料３（７）（８）'!A1" display="（７）原油国別船積数量、FOB、運賃総額及び保険料総額（令和2年） / Import of Crude Oil, Shipped Quantity,FOB,Freight and Insurance by Country (C.Y.2020)" xr:uid="{00000000-0004-0000-0000-000028000000}"/>
    <hyperlink ref="D33:X33" location="'参考資料３（３）（４）'!A29" display="（４）原油国別、契約期間別輸入、平均ＡＰＩ度及び平均硫黄分（令和3年度） / Import of Crude Oil, Average API gravity and Average Sulfur by Country and Contract(F.Y.2021)" xr:uid="{00000000-0004-0000-0000-000029000000}"/>
    <hyperlink ref="D37:W37" location="'参考資料３（７）（８）'!A29" display="（８）原油国別船積数量、FOB、運賃総額及び保険料総額（令和3年度） /Import of Crude Oil, Shipped Quantity,FOB,Freight and Insurance by Country (F.Y.2021)" xr:uid="{00000000-0004-0000-0000-00002A000000}"/>
  </hyperlinks>
  <pageMargins left="0.70866141732283472" right="0.70866141732283472" top="0.74803149606299213" bottom="0.74803149606299213" header="0.31496062992125984" footer="0.31496062992125984"/>
  <pageSetup paperSize="9" scale="74" orientation="landscape" r:id="rId1"/>
  <colBreaks count="1" manualBreakCount="1"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8"/>
  <sheetViews>
    <sheetView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ColWidth="9" defaultRowHeight="23.5" x14ac:dyDescent="0.35"/>
  <cols>
    <col min="1" max="1" width="16" style="27" customWidth="1"/>
    <col min="2" max="5" width="9.453125" style="27" customWidth="1"/>
    <col min="6" max="6" width="9.6328125" style="27" customWidth="1"/>
    <col min="7" max="18" width="9.453125" style="27" customWidth="1"/>
    <col min="19" max="16384" width="9" style="27"/>
  </cols>
  <sheetData>
    <row r="1" spans="1:18" ht="9" customHeight="1" x14ac:dyDescent="0.3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5.75" customHeight="1" x14ac:dyDescent="0.35">
      <c r="A2" s="25" t="s">
        <v>668</v>
      </c>
      <c r="B2" s="947"/>
      <c r="C2" s="948"/>
      <c r="D2" s="948"/>
      <c r="E2" s="948"/>
      <c r="F2" s="94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16.5" customHeight="1" x14ac:dyDescent="0.35">
      <c r="A3" s="28" t="s">
        <v>669</v>
      </c>
      <c r="B3" s="29"/>
      <c r="C3" s="29"/>
      <c r="D3" s="29"/>
      <c r="E3" s="29"/>
      <c r="F3" s="29"/>
      <c r="G3" s="30"/>
      <c r="H3" s="30"/>
      <c r="I3" s="31" t="s">
        <v>483</v>
      </c>
      <c r="J3" s="30"/>
      <c r="K3" s="30"/>
      <c r="L3" s="30"/>
      <c r="M3" s="30"/>
      <c r="N3" s="30"/>
      <c r="O3" s="30"/>
      <c r="P3" s="30"/>
      <c r="Q3" s="24" t="s">
        <v>484</v>
      </c>
      <c r="R3" s="24"/>
    </row>
    <row r="4" spans="1:18" s="46" customFormat="1" ht="15" customHeight="1" x14ac:dyDescent="0.15">
      <c r="A4" s="42"/>
      <c r="B4" s="43"/>
      <c r="C4" s="44"/>
      <c r="D4" s="42"/>
      <c r="E4" s="44"/>
      <c r="F4" s="45"/>
      <c r="G4" s="45"/>
      <c r="H4" s="45"/>
      <c r="I4" s="45"/>
      <c r="J4" s="42"/>
      <c r="K4" s="44"/>
      <c r="L4" s="45"/>
      <c r="M4" s="45"/>
      <c r="N4" s="45"/>
      <c r="O4" s="45"/>
      <c r="P4" s="45"/>
      <c r="Q4" s="45"/>
      <c r="R4" s="1060" t="s">
        <v>86</v>
      </c>
    </row>
    <row r="5" spans="1:18" s="49" customFormat="1" ht="22.5" customHeight="1" x14ac:dyDescent="0.2">
      <c r="A5" s="47" t="s">
        <v>194</v>
      </c>
      <c r="B5" s="40" t="s">
        <v>61</v>
      </c>
      <c r="C5" s="48" t="s">
        <v>87</v>
      </c>
      <c r="D5" s="38" t="s">
        <v>76</v>
      </c>
      <c r="E5" s="40" t="s">
        <v>88</v>
      </c>
      <c r="F5" s="38" t="s">
        <v>762</v>
      </c>
      <c r="G5" s="38" t="s">
        <v>670</v>
      </c>
      <c r="H5" s="38" t="s">
        <v>65</v>
      </c>
      <c r="I5" s="38" t="s">
        <v>12</v>
      </c>
      <c r="J5" s="38" t="s">
        <v>62</v>
      </c>
      <c r="K5" s="40" t="s">
        <v>89</v>
      </c>
      <c r="L5" s="38" t="s">
        <v>13</v>
      </c>
      <c r="M5" s="38" t="s">
        <v>14</v>
      </c>
      <c r="N5" s="38" t="s">
        <v>462</v>
      </c>
      <c r="O5" s="38" t="s">
        <v>29</v>
      </c>
      <c r="P5" s="38" t="s">
        <v>30</v>
      </c>
      <c r="Q5" s="903" t="s">
        <v>102</v>
      </c>
      <c r="R5" s="1061"/>
    </row>
    <row r="6" spans="1:18" s="49" customFormat="1" ht="30" customHeight="1" x14ac:dyDescent="0.2">
      <c r="A6" s="47"/>
      <c r="B6" s="33" t="s">
        <v>60</v>
      </c>
      <c r="C6" s="33" t="s">
        <v>90</v>
      </c>
      <c r="D6" s="33" t="s">
        <v>77</v>
      </c>
      <c r="E6" s="33" t="s">
        <v>91</v>
      </c>
      <c r="F6" s="33" t="s">
        <v>40</v>
      </c>
      <c r="G6" s="33" t="s">
        <v>671</v>
      </c>
      <c r="H6" s="33" t="s">
        <v>19</v>
      </c>
      <c r="I6" s="33" t="s">
        <v>20</v>
      </c>
      <c r="J6" s="33" t="s">
        <v>21</v>
      </c>
      <c r="K6" s="33" t="s">
        <v>48</v>
      </c>
      <c r="L6" s="33" t="s">
        <v>22</v>
      </c>
      <c r="M6" s="33" t="s">
        <v>23</v>
      </c>
      <c r="N6" s="33" t="s">
        <v>463</v>
      </c>
      <c r="O6" s="33" t="s">
        <v>35</v>
      </c>
      <c r="P6" s="33" t="s">
        <v>36</v>
      </c>
      <c r="Q6" s="906" t="s">
        <v>107</v>
      </c>
      <c r="R6" s="1062"/>
    </row>
    <row r="7" spans="1:18" s="53" customFormat="1" ht="10.5" customHeight="1" x14ac:dyDescent="0.15">
      <c r="A7" s="949" t="s">
        <v>763</v>
      </c>
      <c r="B7" s="50">
        <v>187638721</v>
      </c>
      <c r="C7" s="51">
        <v>1847420</v>
      </c>
      <c r="D7" s="51">
        <v>1847420</v>
      </c>
      <c r="E7" s="51">
        <v>4203820</v>
      </c>
      <c r="F7" s="51">
        <v>1025612</v>
      </c>
      <c r="G7" s="51" t="s">
        <v>648</v>
      </c>
      <c r="H7" s="51">
        <v>851350</v>
      </c>
      <c r="I7" s="51">
        <v>91402</v>
      </c>
      <c r="J7" s="51">
        <v>2235456</v>
      </c>
      <c r="K7" s="51">
        <v>162826225</v>
      </c>
      <c r="L7" s="51">
        <v>9993792</v>
      </c>
      <c r="M7" s="51">
        <v>3243225</v>
      </c>
      <c r="N7" s="51" t="s">
        <v>648</v>
      </c>
      <c r="O7" s="51">
        <v>75176583</v>
      </c>
      <c r="P7" s="51">
        <v>13708100</v>
      </c>
      <c r="Q7" s="51" t="s">
        <v>648</v>
      </c>
      <c r="R7" s="52" t="s">
        <v>464</v>
      </c>
    </row>
    <row r="8" spans="1:18" s="53" customFormat="1" ht="10.5" customHeight="1" x14ac:dyDescent="0.15">
      <c r="A8" s="950" t="s">
        <v>764</v>
      </c>
      <c r="B8" s="54">
        <v>177477098</v>
      </c>
      <c r="C8" s="53">
        <v>2019665</v>
      </c>
      <c r="D8" s="53">
        <v>2019665</v>
      </c>
      <c r="E8" s="53">
        <v>2937844</v>
      </c>
      <c r="F8" s="53">
        <v>516234</v>
      </c>
      <c r="G8" s="53" t="s">
        <v>648</v>
      </c>
      <c r="H8" s="53">
        <v>836043</v>
      </c>
      <c r="I8" s="53">
        <v>130531</v>
      </c>
      <c r="J8" s="53">
        <v>1455036</v>
      </c>
      <c r="K8" s="53">
        <v>156613048</v>
      </c>
      <c r="L8" s="53">
        <v>7393975</v>
      </c>
      <c r="M8" s="53">
        <v>3254304</v>
      </c>
      <c r="N8" s="53">
        <v>2488745</v>
      </c>
      <c r="O8" s="53">
        <v>67524797</v>
      </c>
      <c r="P8" s="53">
        <v>13524438</v>
      </c>
      <c r="Q8" s="53" t="s">
        <v>648</v>
      </c>
      <c r="R8" s="55" t="s">
        <v>489</v>
      </c>
    </row>
    <row r="9" spans="1:18" s="53" customFormat="1" ht="10.5" customHeight="1" x14ac:dyDescent="0.15">
      <c r="A9" s="950" t="s">
        <v>765</v>
      </c>
      <c r="B9" s="54">
        <v>175488885</v>
      </c>
      <c r="C9" s="53">
        <v>1092458</v>
      </c>
      <c r="D9" s="53">
        <v>1092458</v>
      </c>
      <c r="E9" s="53">
        <v>1827860</v>
      </c>
      <c r="F9" s="53">
        <v>586629</v>
      </c>
      <c r="G9" s="53" t="s">
        <v>648</v>
      </c>
      <c r="H9" s="53">
        <v>751894</v>
      </c>
      <c r="I9" s="53">
        <v>368422</v>
      </c>
      <c r="J9" s="53">
        <v>120915</v>
      </c>
      <c r="K9" s="53">
        <v>156043026</v>
      </c>
      <c r="L9" s="53">
        <v>2719294</v>
      </c>
      <c r="M9" s="53">
        <v>2465339</v>
      </c>
      <c r="N9" s="53">
        <v>2911341</v>
      </c>
      <c r="O9" s="53">
        <v>61967631</v>
      </c>
      <c r="P9" s="53">
        <v>14692639</v>
      </c>
      <c r="Q9" s="53" t="s">
        <v>648</v>
      </c>
      <c r="R9" s="55" t="s">
        <v>549</v>
      </c>
    </row>
    <row r="10" spans="1:18" s="53" customFormat="1" ht="10.5" customHeight="1" x14ac:dyDescent="0.15">
      <c r="A10" s="950" t="s">
        <v>766</v>
      </c>
      <c r="B10" s="54">
        <v>143879667</v>
      </c>
      <c r="C10" s="53">
        <v>998907</v>
      </c>
      <c r="D10" s="53">
        <v>998907</v>
      </c>
      <c r="E10" s="53">
        <v>1168949</v>
      </c>
      <c r="F10" s="53">
        <v>397479</v>
      </c>
      <c r="G10" s="53">
        <v>11177</v>
      </c>
      <c r="H10" s="53">
        <v>667645</v>
      </c>
      <c r="I10" s="53">
        <v>92648</v>
      </c>
      <c r="J10" s="53" t="s">
        <v>648</v>
      </c>
      <c r="K10" s="53">
        <v>132362206</v>
      </c>
      <c r="L10" s="53" t="s">
        <v>648</v>
      </c>
      <c r="M10" s="53">
        <v>788821</v>
      </c>
      <c r="N10" s="53">
        <v>2040752</v>
      </c>
      <c r="O10" s="53">
        <v>56773606</v>
      </c>
      <c r="P10" s="53">
        <v>13223305</v>
      </c>
      <c r="Q10" s="53">
        <v>197107</v>
      </c>
      <c r="R10" s="55" t="s">
        <v>672</v>
      </c>
    </row>
    <row r="11" spans="1:18" s="53" customFormat="1" ht="10.5" customHeight="1" x14ac:dyDescent="0.15">
      <c r="A11" s="950" t="s">
        <v>767</v>
      </c>
      <c r="B11" s="54">
        <v>144662684</v>
      </c>
      <c r="C11" s="53">
        <v>166004</v>
      </c>
      <c r="D11" s="53">
        <v>166004</v>
      </c>
      <c r="E11" s="53">
        <v>1244456</v>
      </c>
      <c r="F11" s="53">
        <v>321963</v>
      </c>
      <c r="G11" s="53">
        <v>49688</v>
      </c>
      <c r="H11" s="53">
        <v>516977</v>
      </c>
      <c r="I11" s="53">
        <v>182256</v>
      </c>
      <c r="J11" s="53">
        <v>173572</v>
      </c>
      <c r="K11" s="53">
        <v>134068585</v>
      </c>
      <c r="L11" s="53" t="s">
        <v>648</v>
      </c>
      <c r="M11" s="53">
        <v>157960</v>
      </c>
      <c r="N11" s="53">
        <v>2050509</v>
      </c>
      <c r="O11" s="53">
        <v>56525615</v>
      </c>
      <c r="P11" s="53">
        <v>12105867</v>
      </c>
      <c r="Q11" s="53">
        <v>465530</v>
      </c>
      <c r="R11" s="55" t="s">
        <v>768</v>
      </c>
    </row>
    <row r="12" spans="1:18" s="53" customFormat="1" ht="10.5" customHeight="1" x14ac:dyDescent="0.15">
      <c r="A12" s="950"/>
      <c r="B12" s="54"/>
      <c r="R12" s="55"/>
    </row>
    <row r="13" spans="1:18" s="53" customFormat="1" ht="10.5" customHeight="1" x14ac:dyDescent="0.15">
      <c r="A13" s="950" t="s">
        <v>769</v>
      </c>
      <c r="B13" s="54">
        <v>136462606</v>
      </c>
      <c r="C13" s="53">
        <v>452031</v>
      </c>
      <c r="D13" s="53">
        <v>452031</v>
      </c>
      <c r="E13" s="53">
        <v>1288441</v>
      </c>
      <c r="F13" s="53">
        <v>334350</v>
      </c>
      <c r="G13" s="53">
        <v>25768</v>
      </c>
      <c r="H13" s="53">
        <v>670441</v>
      </c>
      <c r="I13" s="53">
        <v>179826</v>
      </c>
      <c r="J13" s="53">
        <v>78056</v>
      </c>
      <c r="K13" s="53">
        <v>125598576</v>
      </c>
      <c r="L13" s="53" t="s">
        <v>648</v>
      </c>
      <c r="M13" s="53">
        <v>788821</v>
      </c>
      <c r="N13" s="53">
        <v>2095727</v>
      </c>
      <c r="O13" s="53">
        <v>57977159</v>
      </c>
      <c r="P13" s="53">
        <v>11735979</v>
      </c>
      <c r="Q13" s="53">
        <v>385867</v>
      </c>
      <c r="R13" s="55" t="s">
        <v>673</v>
      </c>
    </row>
    <row r="14" spans="1:18" s="53" customFormat="1" ht="10.5" customHeight="1" x14ac:dyDescent="0.15">
      <c r="A14" s="950" t="s">
        <v>770</v>
      </c>
      <c r="B14" s="54">
        <v>148903593</v>
      </c>
      <c r="C14" s="53">
        <v>338339</v>
      </c>
      <c r="D14" s="53">
        <v>338339</v>
      </c>
      <c r="E14" s="53">
        <v>1177159</v>
      </c>
      <c r="F14" s="53">
        <v>367365</v>
      </c>
      <c r="G14" s="53">
        <v>41905</v>
      </c>
      <c r="H14" s="53">
        <v>485322</v>
      </c>
      <c r="I14" s="53">
        <v>187051</v>
      </c>
      <c r="J14" s="53">
        <v>95516</v>
      </c>
      <c r="K14" s="53">
        <v>137734742</v>
      </c>
      <c r="L14" s="53" t="s">
        <v>648</v>
      </c>
      <c r="M14" s="53">
        <v>157960</v>
      </c>
      <c r="N14" s="53">
        <v>2184776</v>
      </c>
      <c r="O14" s="53">
        <v>55593521</v>
      </c>
      <c r="P14" s="53">
        <v>12512645</v>
      </c>
      <c r="Q14" s="53">
        <v>416928</v>
      </c>
      <c r="R14" s="55" t="s">
        <v>771</v>
      </c>
    </row>
    <row r="15" spans="1:18" s="53" customFormat="1" ht="10.5" customHeight="1" x14ac:dyDescent="0.15">
      <c r="A15" s="950"/>
      <c r="B15" s="54"/>
      <c r="R15" s="55"/>
    </row>
    <row r="16" spans="1:18" s="53" customFormat="1" ht="10.5" customHeight="1" x14ac:dyDescent="0.15">
      <c r="A16" s="950" t="s">
        <v>772</v>
      </c>
      <c r="B16" s="54">
        <v>35758521</v>
      </c>
      <c r="C16" s="53" t="s">
        <v>648</v>
      </c>
      <c r="D16" s="53" t="s">
        <v>648</v>
      </c>
      <c r="E16" s="53">
        <v>384897</v>
      </c>
      <c r="F16" s="53">
        <v>47013</v>
      </c>
      <c r="G16" s="53">
        <v>14591</v>
      </c>
      <c r="H16" s="53">
        <v>158059</v>
      </c>
      <c r="I16" s="53">
        <v>87178</v>
      </c>
      <c r="J16" s="53">
        <v>78056</v>
      </c>
      <c r="K16" s="53">
        <v>33062536</v>
      </c>
      <c r="L16" s="53" t="s">
        <v>648</v>
      </c>
      <c r="M16" s="53" t="s">
        <v>648</v>
      </c>
      <c r="N16" s="53">
        <v>612364</v>
      </c>
      <c r="O16" s="53">
        <v>16295585</v>
      </c>
      <c r="P16" s="53">
        <v>2712977</v>
      </c>
      <c r="Q16" s="53">
        <v>188760</v>
      </c>
      <c r="R16" s="55" t="s">
        <v>674</v>
      </c>
    </row>
    <row r="17" spans="1:18" s="53" customFormat="1" ht="10.5" customHeight="1" x14ac:dyDescent="0.15">
      <c r="A17" s="950" t="s">
        <v>773</v>
      </c>
      <c r="B17" s="54">
        <v>33807642</v>
      </c>
      <c r="C17" s="53" t="s">
        <v>648</v>
      </c>
      <c r="D17" s="53" t="s">
        <v>648</v>
      </c>
      <c r="E17" s="53">
        <v>208070</v>
      </c>
      <c r="F17" s="53">
        <v>47598</v>
      </c>
      <c r="G17" s="53" t="s">
        <v>648</v>
      </c>
      <c r="H17" s="53">
        <v>137849</v>
      </c>
      <c r="I17" s="53" t="s">
        <v>648</v>
      </c>
      <c r="J17" s="53">
        <v>22623</v>
      </c>
      <c r="K17" s="53">
        <v>31260376</v>
      </c>
      <c r="L17" s="53" t="s">
        <v>648</v>
      </c>
      <c r="M17" s="53" t="s">
        <v>648</v>
      </c>
      <c r="N17" s="53">
        <v>369180</v>
      </c>
      <c r="O17" s="53">
        <v>11721953</v>
      </c>
      <c r="P17" s="53">
        <v>2813896</v>
      </c>
      <c r="Q17" s="53" t="s">
        <v>648</v>
      </c>
      <c r="R17" s="55" t="s">
        <v>92</v>
      </c>
    </row>
    <row r="18" spans="1:18" s="53" customFormat="1" ht="10.5" customHeight="1" x14ac:dyDescent="0.15">
      <c r="A18" s="950" t="s">
        <v>774</v>
      </c>
      <c r="B18" s="54">
        <v>35477274</v>
      </c>
      <c r="C18" s="53">
        <v>166004</v>
      </c>
      <c r="D18" s="53">
        <v>166004</v>
      </c>
      <c r="E18" s="53">
        <v>398190</v>
      </c>
      <c r="F18" s="53">
        <v>179869</v>
      </c>
      <c r="G18" s="53">
        <v>21093</v>
      </c>
      <c r="H18" s="53">
        <v>116497</v>
      </c>
      <c r="I18" s="53">
        <v>49171</v>
      </c>
      <c r="J18" s="53">
        <v>31560</v>
      </c>
      <c r="K18" s="53">
        <v>33174607</v>
      </c>
      <c r="L18" s="53" t="s">
        <v>648</v>
      </c>
      <c r="M18" s="53" t="s">
        <v>648</v>
      </c>
      <c r="N18" s="53">
        <v>689003</v>
      </c>
      <c r="O18" s="53">
        <v>12681481</v>
      </c>
      <c r="P18" s="53">
        <v>2997012</v>
      </c>
      <c r="Q18" s="53">
        <v>144533</v>
      </c>
      <c r="R18" s="55" t="s">
        <v>93</v>
      </c>
    </row>
    <row r="19" spans="1:18" s="53" customFormat="1" ht="10.5" customHeight="1" x14ac:dyDescent="0.15">
      <c r="A19" s="950" t="s">
        <v>775</v>
      </c>
      <c r="B19" s="54">
        <v>39619247</v>
      </c>
      <c r="C19" s="53" t="s">
        <v>648</v>
      </c>
      <c r="D19" s="53" t="s">
        <v>648</v>
      </c>
      <c r="E19" s="53">
        <v>253299</v>
      </c>
      <c r="F19" s="53">
        <v>47483</v>
      </c>
      <c r="G19" s="53">
        <v>14004</v>
      </c>
      <c r="H19" s="53">
        <v>104572</v>
      </c>
      <c r="I19" s="53">
        <v>45907</v>
      </c>
      <c r="J19" s="53">
        <v>41333</v>
      </c>
      <c r="K19" s="53">
        <v>36571066</v>
      </c>
      <c r="L19" s="53" t="s">
        <v>648</v>
      </c>
      <c r="M19" s="53">
        <v>157960</v>
      </c>
      <c r="N19" s="53">
        <v>379962</v>
      </c>
      <c r="O19" s="53">
        <v>15826596</v>
      </c>
      <c r="P19" s="53">
        <v>3581982</v>
      </c>
      <c r="Q19" s="53">
        <v>132237</v>
      </c>
      <c r="R19" s="55" t="s">
        <v>94</v>
      </c>
    </row>
    <row r="20" spans="1:18" s="53" customFormat="1" ht="10.5" customHeight="1" x14ac:dyDescent="0.15">
      <c r="A20" s="950" t="s">
        <v>776</v>
      </c>
      <c r="B20" s="54">
        <v>39999430</v>
      </c>
      <c r="C20" s="53">
        <v>172335</v>
      </c>
      <c r="D20" s="53">
        <v>172335</v>
      </c>
      <c r="E20" s="53">
        <v>317600</v>
      </c>
      <c r="F20" s="53">
        <v>92415</v>
      </c>
      <c r="G20" s="53">
        <v>6808</v>
      </c>
      <c r="H20" s="53">
        <v>126404</v>
      </c>
      <c r="I20" s="53">
        <v>91973</v>
      </c>
      <c r="J20" s="53" t="s">
        <v>648</v>
      </c>
      <c r="K20" s="53">
        <v>36728693</v>
      </c>
      <c r="L20" s="53" t="s">
        <v>648</v>
      </c>
      <c r="M20" s="53" t="s">
        <v>648</v>
      </c>
      <c r="N20" s="53">
        <v>746631</v>
      </c>
      <c r="O20" s="53">
        <v>15363491</v>
      </c>
      <c r="P20" s="53">
        <v>3119755</v>
      </c>
      <c r="Q20" s="53">
        <v>140158</v>
      </c>
      <c r="R20" s="55" t="s">
        <v>777</v>
      </c>
    </row>
    <row r="21" spans="1:18" s="53" customFormat="1" ht="10.5" customHeight="1" x14ac:dyDescent="0.15">
      <c r="A21" s="950"/>
      <c r="B21" s="54"/>
      <c r="R21" s="55"/>
    </row>
    <row r="22" spans="1:18" s="53" customFormat="1" ht="10.5" customHeight="1" x14ac:dyDescent="0.15">
      <c r="A22" s="950" t="s">
        <v>778</v>
      </c>
      <c r="B22" s="54">
        <v>12720192</v>
      </c>
      <c r="C22" s="53" t="s">
        <v>648</v>
      </c>
      <c r="D22" s="53" t="s">
        <v>648</v>
      </c>
      <c r="E22" s="53">
        <v>191149</v>
      </c>
      <c r="F22" s="53">
        <v>47013</v>
      </c>
      <c r="G22" s="53">
        <v>7390</v>
      </c>
      <c r="H22" s="53">
        <v>95096</v>
      </c>
      <c r="I22" s="53" t="s">
        <v>648</v>
      </c>
      <c r="J22" s="53">
        <v>41650</v>
      </c>
      <c r="K22" s="53">
        <v>11890666</v>
      </c>
      <c r="L22" s="53" t="s">
        <v>648</v>
      </c>
      <c r="M22" s="53" t="s">
        <v>648</v>
      </c>
      <c r="N22" s="53">
        <v>294923</v>
      </c>
      <c r="O22" s="53">
        <v>5810397</v>
      </c>
      <c r="P22" s="53">
        <v>707145</v>
      </c>
      <c r="Q22" s="53">
        <v>29514</v>
      </c>
      <c r="R22" s="55" t="s">
        <v>675</v>
      </c>
    </row>
    <row r="23" spans="1:18" s="53" customFormat="1" ht="10.5" customHeight="1" x14ac:dyDescent="0.15">
      <c r="A23" s="950" t="s">
        <v>779</v>
      </c>
      <c r="B23" s="54">
        <v>11485022</v>
      </c>
      <c r="C23" s="53" t="s">
        <v>648</v>
      </c>
      <c r="D23" s="53" t="s">
        <v>648</v>
      </c>
      <c r="E23" s="53">
        <v>114272</v>
      </c>
      <c r="F23" s="53" t="s">
        <v>648</v>
      </c>
      <c r="G23" s="53">
        <v>7201</v>
      </c>
      <c r="H23" s="53">
        <v>31097</v>
      </c>
      <c r="I23" s="53">
        <v>39568</v>
      </c>
      <c r="J23" s="53">
        <v>36406</v>
      </c>
      <c r="K23" s="53">
        <v>10714461</v>
      </c>
      <c r="L23" s="53" t="s">
        <v>648</v>
      </c>
      <c r="M23" s="53" t="s">
        <v>648</v>
      </c>
      <c r="N23" s="53">
        <v>177781</v>
      </c>
      <c r="O23" s="53">
        <v>5344528</v>
      </c>
      <c r="P23" s="53">
        <v>1113852</v>
      </c>
      <c r="Q23" s="53">
        <v>17497</v>
      </c>
      <c r="R23" s="55" t="s">
        <v>80</v>
      </c>
    </row>
    <row r="24" spans="1:18" s="53" customFormat="1" ht="10.5" customHeight="1" x14ac:dyDescent="0.15">
      <c r="A24" s="950" t="s">
        <v>780</v>
      </c>
      <c r="B24" s="54">
        <v>11553307</v>
      </c>
      <c r="C24" s="53" t="s">
        <v>648</v>
      </c>
      <c r="D24" s="53" t="s">
        <v>648</v>
      </c>
      <c r="E24" s="53">
        <v>79476</v>
      </c>
      <c r="F24" s="53" t="s">
        <v>648</v>
      </c>
      <c r="G24" s="53" t="s">
        <v>648</v>
      </c>
      <c r="H24" s="53">
        <v>31866</v>
      </c>
      <c r="I24" s="53">
        <v>47610</v>
      </c>
      <c r="J24" s="53" t="s">
        <v>648</v>
      </c>
      <c r="K24" s="53">
        <v>10457409</v>
      </c>
      <c r="L24" s="53" t="s">
        <v>648</v>
      </c>
      <c r="M24" s="53" t="s">
        <v>648</v>
      </c>
      <c r="N24" s="53">
        <v>139660</v>
      </c>
      <c r="O24" s="53">
        <v>5140660</v>
      </c>
      <c r="P24" s="53">
        <v>891980</v>
      </c>
      <c r="Q24" s="53">
        <v>141749</v>
      </c>
      <c r="R24" s="55" t="s">
        <v>81</v>
      </c>
    </row>
    <row r="25" spans="1:18" s="53" customFormat="1" ht="10.5" customHeight="1" x14ac:dyDescent="0.15">
      <c r="A25" s="950" t="s">
        <v>781</v>
      </c>
      <c r="B25" s="54">
        <v>12653221</v>
      </c>
      <c r="C25" s="53" t="s">
        <v>648</v>
      </c>
      <c r="D25" s="53" t="s">
        <v>648</v>
      </c>
      <c r="E25" s="53">
        <v>74481</v>
      </c>
      <c r="F25" s="53" t="s">
        <v>648</v>
      </c>
      <c r="G25" s="53" t="s">
        <v>648</v>
      </c>
      <c r="H25" s="53">
        <v>74481</v>
      </c>
      <c r="I25" s="53" t="s">
        <v>648</v>
      </c>
      <c r="J25" s="53" t="s">
        <v>648</v>
      </c>
      <c r="K25" s="53">
        <v>11617370</v>
      </c>
      <c r="L25" s="53" t="s">
        <v>648</v>
      </c>
      <c r="M25" s="53" t="s">
        <v>648</v>
      </c>
      <c r="N25" s="53">
        <v>210203</v>
      </c>
      <c r="O25" s="53">
        <v>4245414</v>
      </c>
      <c r="P25" s="53">
        <v>976573</v>
      </c>
      <c r="Q25" s="53" t="s">
        <v>648</v>
      </c>
      <c r="R25" s="55" t="s">
        <v>82</v>
      </c>
    </row>
    <row r="26" spans="1:18" s="53" customFormat="1" ht="10.5" customHeight="1" x14ac:dyDescent="0.15">
      <c r="A26" s="950" t="s">
        <v>782</v>
      </c>
      <c r="B26" s="54">
        <v>11908957</v>
      </c>
      <c r="C26" s="53" t="s">
        <v>648</v>
      </c>
      <c r="D26" s="53" t="s">
        <v>648</v>
      </c>
      <c r="E26" s="53">
        <v>54433</v>
      </c>
      <c r="F26" s="53" t="s">
        <v>648</v>
      </c>
      <c r="G26" s="53" t="s">
        <v>648</v>
      </c>
      <c r="H26" s="53">
        <v>31810</v>
      </c>
      <c r="I26" s="53" t="s">
        <v>648</v>
      </c>
      <c r="J26" s="53">
        <v>22623</v>
      </c>
      <c r="K26" s="53">
        <v>11068746</v>
      </c>
      <c r="L26" s="53" t="s">
        <v>648</v>
      </c>
      <c r="M26" s="53" t="s">
        <v>648</v>
      </c>
      <c r="N26" s="53">
        <v>158977</v>
      </c>
      <c r="O26" s="53">
        <v>4064756</v>
      </c>
      <c r="P26" s="53">
        <v>862689</v>
      </c>
      <c r="Q26" s="53" t="s">
        <v>648</v>
      </c>
      <c r="R26" s="56" t="s">
        <v>95</v>
      </c>
    </row>
    <row r="27" spans="1:18" s="53" customFormat="1" ht="10.5" customHeight="1" x14ac:dyDescent="0.15">
      <c r="A27" s="950" t="s">
        <v>783</v>
      </c>
      <c r="B27" s="54">
        <v>9245464</v>
      </c>
      <c r="C27" s="53" t="s">
        <v>648</v>
      </c>
      <c r="D27" s="53" t="s">
        <v>648</v>
      </c>
      <c r="E27" s="53">
        <v>79156</v>
      </c>
      <c r="F27" s="53">
        <v>47598</v>
      </c>
      <c r="G27" s="53" t="s">
        <v>648</v>
      </c>
      <c r="H27" s="53">
        <v>31558</v>
      </c>
      <c r="I27" s="53" t="s">
        <v>648</v>
      </c>
      <c r="J27" s="53" t="s">
        <v>648</v>
      </c>
      <c r="K27" s="53">
        <v>8574260</v>
      </c>
      <c r="L27" s="53" t="s">
        <v>648</v>
      </c>
      <c r="M27" s="53" t="s">
        <v>648</v>
      </c>
      <c r="N27" s="53" t="s">
        <v>648</v>
      </c>
      <c r="O27" s="53">
        <v>3411783</v>
      </c>
      <c r="P27" s="53">
        <v>974634</v>
      </c>
      <c r="Q27" s="53" t="s">
        <v>648</v>
      </c>
      <c r="R27" s="55" t="s">
        <v>96</v>
      </c>
    </row>
    <row r="28" spans="1:18" s="53" customFormat="1" ht="10.5" customHeight="1" x14ac:dyDescent="0.15">
      <c r="A28" s="950" t="s">
        <v>784</v>
      </c>
      <c r="B28" s="54">
        <v>10266829</v>
      </c>
      <c r="C28" s="53" t="s">
        <v>648</v>
      </c>
      <c r="D28" s="53" t="s">
        <v>648</v>
      </c>
      <c r="E28" s="53">
        <v>7091</v>
      </c>
      <c r="F28" s="53" t="s">
        <v>648</v>
      </c>
      <c r="G28" s="53">
        <v>7091</v>
      </c>
      <c r="H28" s="53" t="s">
        <v>648</v>
      </c>
      <c r="I28" s="53" t="s">
        <v>648</v>
      </c>
      <c r="J28" s="53" t="s">
        <v>648</v>
      </c>
      <c r="K28" s="53">
        <v>9889616</v>
      </c>
      <c r="L28" s="53" t="s">
        <v>648</v>
      </c>
      <c r="M28" s="53" t="s">
        <v>648</v>
      </c>
      <c r="N28" s="53">
        <v>108861</v>
      </c>
      <c r="O28" s="53">
        <v>3622732</v>
      </c>
      <c r="P28" s="53">
        <v>1145034</v>
      </c>
      <c r="Q28" s="53" t="s">
        <v>648</v>
      </c>
      <c r="R28" s="55" t="s">
        <v>97</v>
      </c>
    </row>
    <row r="29" spans="1:18" s="53" customFormat="1" ht="10.5" customHeight="1" x14ac:dyDescent="0.15">
      <c r="A29" s="950" t="s">
        <v>785</v>
      </c>
      <c r="B29" s="54">
        <v>13441936</v>
      </c>
      <c r="C29" s="53" t="s">
        <v>648</v>
      </c>
      <c r="D29" s="53" t="s">
        <v>648</v>
      </c>
      <c r="E29" s="53">
        <v>179193</v>
      </c>
      <c r="F29" s="53">
        <v>87142</v>
      </c>
      <c r="G29" s="53">
        <v>7159</v>
      </c>
      <c r="H29" s="53">
        <v>53332</v>
      </c>
      <c r="I29" s="53" t="s">
        <v>648</v>
      </c>
      <c r="J29" s="53">
        <v>31560</v>
      </c>
      <c r="K29" s="53">
        <v>12380526</v>
      </c>
      <c r="L29" s="53" t="s">
        <v>648</v>
      </c>
      <c r="M29" s="53" t="s">
        <v>648</v>
      </c>
      <c r="N29" s="53">
        <v>184870</v>
      </c>
      <c r="O29" s="53">
        <v>4980074</v>
      </c>
      <c r="P29" s="53">
        <v>904294</v>
      </c>
      <c r="Q29" s="53" t="s">
        <v>648</v>
      </c>
      <c r="R29" s="55" t="s">
        <v>98</v>
      </c>
    </row>
    <row r="30" spans="1:18" s="53" customFormat="1" ht="10.5" customHeight="1" x14ac:dyDescent="0.15">
      <c r="A30" s="950" t="s">
        <v>786</v>
      </c>
      <c r="B30" s="54">
        <v>11768509</v>
      </c>
      <c r="C30" s="53">
        <v>166004</v>
      </c>
      <c r="D30" s="53">
        <v>166004</v>
      </c>
      <c r="E30" s="53">
        <v>211906</v>
      </c>
      <c r="F30" s="53">
        <v>92727</v>
      </c>
      <c r="G30" s="53">
        <v>6843</v>
      </c>
      <c r="H30" s="53">
        <v>63165</v>
      </c>
      <c r="I30" s="53">
        <v>49171</v>
      </c>
      <c r="J30" s="53" t="s">
        <v>648</v>
      </c>
      <c r="K30" s="53">
        <v>10904465</v>
      </c>
      <c r="L30" s="53" t="s">
        <v>648</v>
      </c>
      <c r="M30" s="53" t="s">
        <v>648</v>
      </c>
      <c r="N30" s="53">
        <v>395272</v>
      </c>
      <c r="O30" s="53">
        <v>4078675</v>
      </c>
      <c r="P30" s="53">
        <v>947684</v>
      </c>
      <c r="Q30" s="53">
        <v>144533</v>
      </c>
      <c r="R30" s="55" t="s">
        <v>99</v>
      </c>
    </row>
    <row r="31" spans="1:18" s="53" customFormat="1" ht="10.5" customHeight="1" x14ac:dyDescent="0.15">
      <c r="A31" s="950" t="s">
        <v>787</v>
      </c>
      <c r="B31" s="54">
        <v>11601339</v>
      </c>
      <c r="C31" s="53" t="s">
        <v>648</v>
      </c>
      <c r="D31" s="53" t="s">
        <v>648</v>
      </c>
      <c r="E31" s="53">
        <v>39855</v>
      </c>
      <c r="F31" s="53" t="s">
        <v>648</v>
      </c>
      <c r="G31" s="53">
        <v>7196</v>
      </c>
      <c r="H31" s="53">
        <v>32659</v>
      </c>
      <c r="I31" s="53" t="s">
        <v>648</v>
      </c>
      <c r="J31" s="53" t="s">
        <v>648</v>
      </c>
      <c r="K31" s="53">
        <v>10363278</v>
      </c>
      <c r="L31" s="53" t="s">
        <v>648</v>
      </c>
      <c r="M31" s="53" t="s">
        <v>648</v>
      </c>
      <c r="N31" s="53">
        <v>76338</v>
      </c>
      <c r="O31" s="53">
        <v>4358060</v>
      </c>
      <c r="P31" s="53">
        <v>1332586</v>
      </c>
      <c r="Q31" s="53">
        <v>61854</v>
      </c>
      <c r="R31" s="55" t="s">
        <v>83</v>
      </c>
    </row>
    <row r="32" spans="1:18" s="53" customFormat="1" ht="10.5" customHeight="1" x14ac:dyDescent="0.15">
      <c r="A32" s="950" t="s">
        <v>788</v>
      </c>
      <c r="B32" s="54">
        <v>13385055</v>
      </c>
      <c r="C32" s="53" t="s">
        <v>648</v>
      </c>
      <c r="D32" s="53" t="s">
        <v>648</v>
      </c>
      <c r="E32" s="53">
        <v>108536</v>
      </c>
      <c r="F32" s="53">
        <v>47483</v>
      </c>
      <c r="G32" s="53">
        <v>6808</v>
      </c>
      <c r="H32" s="53">
        <v>32790</v>
      </c>
      <c r="I32" s="53" t="s">
        <v>648</v>
      </c>
      <c r="J32" s="53">
        <v>21455</v>
      </c>
      <c r="K32" s="53">
        <v>12271792</v>
      </c>
      <c r="L32" s="53" t="s">
        <v>648</v>
      </c>
      <c r="M32" s="53">
        <v>157960</v>
      </c>
      <c r="N32" s="53">
        <v>75847</v>
      </c>
      <c r="O32" s="53">
        <v>5138456</v>
      </c>
      <c r="P32" s="53">
        <v>1169091</v>
      </c>
      <c r="Q32" s="53" t="s">
        <v>648</v>
      </c>
      <c r="R32" s="55" t="s">
        <v>84</v>
      </c>
    </row>
    <row r="33" spans="1:18" s="53" customFormat="1" ht="10.5" customHeight="1" x14ac:dyDescent="0.15">
      <c r="A33" s="950" t="s">
        <v>789</v>
      </c>
      <c r="B33" s="54">
        <v>14632853</v>
      </c>
      <c r="C33" s="53" t="s">
        <v>648</v>
      </c>
      <c r="D33" s="53" t="s">
        <v>648</v>
      </c>
      <c r="E33" s="53">
        <v>104908</v>
      </c>
      <c r="F33" s="53" t="s">
        <v>648</v>
      </c>
      <c r="G33" s="53" t="s">
        <v>648</v>
      </c>
      <c r="H33" s="53">
        <v>39123</v>
      </c>
      <c r="I33" s="53">
        <v>45907</v>
      </c>
      <c r="J33" s="53">
        <v>19878</v>
      </c>
      <c r="K33" s="53">
        <v>13935996</v>
      </c>
      <c r="L33" s="53" t="s">
        <v>648</v>
      </c>
      <c r="M33" s="53" t="s">
        <v>648</v>
      </c>
      <c r="N33" s="53">
        <v>227777</v>
      </c>
      <c r="O33" s="53">
        <v>6330080</v>
      </c>
      <c r="P33" s="53">
        <v>1080305</v>
      </c>
      <c r="Q33" s="53">
        <v>70383</v>
      </c>
      <c r="R33" s="55" t="s">
        <v>85</v>
      </c>
    </row>
    <row r="34" spans="1:18" s="53" customFormat="1" ht="10.5" customHeight="1" x14ac:dyDescent="0.15">
      <c r="A34" s="950" t="s">
        <v>790</v>
      </c>
      <c r="B34" s="54">
        <v>13384115</v>
      </c>
      <c r="C34" s="53" t="s">
        <v>648</v>
      </c>
      <c r="D34" s="53" t="s">
        <v>648</v>
      </c>
      <c r="E34" s="53">
        <v>146073</v>
      </c>
      <c r="F34" s="53">
        <v>45041</v>
      </c>
      <c r="G34" s="53">
        <v>6808</v>
      </c>
      <c r="H34" s="53">
        <v>48282</v>
      </c>
      <c r="I34" s="53">
        <v>45942</v>
      </c>
      <c r="J34" s="53" t="s">
        <v>648</v>
      </c>
      <c r="K34" s="53">
        <v>12283587</v>
      </c>
      <c r="L34" s="53" t="s">
        <v>648</v>
      </c>
      <c r="M34" s="53" t="s">
        <v>648</v>
      </c>
      <c r="N34" s="53">
        <v>307865</v>
      </c>
      <c r="O34" s="53">
        <v>5542872</v>
      </c>
      <c r="P34" s="53">
        <v>1059673</v>
      </c>
      <c r="Q34" s="53">
        <v>71638</v>
      </c>
      <c r="R34" s="55" t="s">
        <v>791</v>
      </c>
    </row>
    <row r="35" spans="1:18" s="53" customFormat="1" ht="10.5" customHeight="1" x14ac:dyDescent="0.15">
      <c r="A35" s="950" t="s">
        <v>792</v>
      </c>
      <c r="B35" s="54">
        <v>12463351</v>
      </c>
      <c r="C35" s="53">
        <v>172335</v>
      </c>
      <c r="D35" s="53">
        <v>172335</v>
      </c>
      <c r="E35" s="53">
        <v>155677</v>
      </c>
      <c r="F35" s="53">
        <v>47374</v>
      </c>
      <c r="G35" s="53" t="s">
        <v>648</v>
      </c>
      <c r="H35" s="53">
        <v>62272</v>
      </c>
      <c r="I35" s="53">
        <v>46031</v>
      </c>
      <c r="J35" s="53" t="s">
        <v>648</v>
      </c>
      <c r="K35" s="53">
        <v>11248239</v>
      </c>
      <c r="L35" s="53" t="s">
        <v>648</v>
      </c>
      <c r="M35" s="53" t="s">
        <v>648</v>
      </c>
      <c r="N35" s="53">
        <v>114200</v>
      </c>
      <c r="O35" s="53">
        <v>4977082</v>
      </c>
      <c r="P35" s="53">
        <v>1061068</v>
      </c>
      <c r="Q35" s="53" t="s">
        <v>648</v>
      </c>
      <c r="R35" s="55" t="s">
        <v>80</v>
      </c>
    </row>
    <row r="36" spans="1:18" s="53" customFormat="1" ht="10.5" customHeight="1" x14ac:dyDescent="0.15">
      <c r="A36" s="951" t="s">
        <v>793</v>
      </c>
      <c r="B36" s="57">
        <v>14151964</v>
      </c>
      <c r="C36" s="58" t="s">
        <v>648</v>
      </c>
      <c r="D36" s="58" t="s">
        <v>648</v>
      </c>
      <c r="E36" s="58">
        <v>15850</v>
      </c>
      <c r="F36" s="58" t="s">
        <v>648</v>
      </c>
      <c r="G36" s="58" t="s">
        <v>648</v>
      </c>
      <c r="H36" s="58">
        <v>15850</v>
      </c>
      <c r="I36" s="58" t="s">
        <v>648</v>
      </c>
      <c r="J36" s="58" t="s">
        <v>648</v>
      </c>
      <c r="K36" s="58">
        <v>13196867</v>
      </c>
      <c r="L36" s="58" t="s">
        <v>648</v>
      </c>
      <c r="M36" s="58" t="s">
        <v>648</v>
      </c>
      <c r="N36" s="58">
        <v>324566</v>
      </c>
      <c r="O36" s="58">
        <v>4843537</v>
      </c>
      <c r="P36" s="58">
        <v>999014</v>
      </c>
      <c r="Q36" s="58">
        <v>68520</v>
      </c>
      <c r="R36" s="59" t="s">
        <v>81</v>
      </c>
    </row>
    <row r="37" spans="1:18" ht="9" customHeight="1" x14ac:dyDescent="0.35"/>
    <row r="38" spans="1:18" ht="13.5" customHeight="1" x14ac:dyDescent="0.35">
      <c r="I38" s="60" t="s">
        <v>100</v>
      </c>
    </row>
    <row r="39" spans="1:18" s="46" customFormat="1" ht="15" customHeight="1" x14ac:dyDescent="0.15">
      <c r="A39" s="42"/>
      <c r="B39" s="61" t="s">
        <v>101</v>
      </c>
      <c r="C39" s="45"/>
      <c r="D39" s="45"/>
      <c r="E39" s="42"/>
      <c r="F39" s="44"/>
      <c r="G39" s="45"/>
      <c r="H39" s="42"/>
      <c r="I39" s="44"/>
      <c r="J39" s="45"/>
      <c r="K39" s="42"/>
      <c r="L39" s="44"/>
      <c r="M39" s="45"/>
      <c r="N39" s="45"/>
      <c r="O39" s="45"/>
      <c r="P39" s="45"/>
      <c r="Q39" s="45"/>
      <c r="R39" s="1060" t="s">
        <v>86</v>
      </c>
    </row>
    <row r="40" spans="1:18" s="49" customFormat="1" ht="22.5" customHeight="1" x14ac:dyDescent="0.2">
      <c r="A40" s="47" t="s">
        <v>194</v>
      </c>
      <c r="B40" s="38" t="s">
        <v>31</v>
      </c>
      <c r="C40" s="38" t="s">
        <v>32</v>
      </c>
      <c r="D40" s="38" t="s">
        <v>794</v>
      </c>
      <c r="E40" s="38" t="s">
        <v>33</v>
      </c>
      <c r="F40" s="40" t="s">
        <v>103</v>
      </c>
      <c r="G40" s="38" t="s">
        <v>104</v>
      </c>
      <c r="H40" s="38" t="s">
        <v>34</v>
      </c>
      <c r="I40" s="40" t="s">
        <v>105</v>
      </c>
      <c r="J40" s="38" t="s">
        <v>550</v>
      </c>
      <c r="K40" s="38" t="s">
        <v>78</v>
      </c>
      <c r="L40" s="40" t="s">
        <v>106</v>
      </c>
      <c r="M40" s="38" t="s">
        <v>71</v>
      </c>
      <c r="N40" s="38" t="s">
        <v>73</v>
      </c>
      <c r="O40" s="38" t="s">
        <v>795</v>
      </c>
      <c r="P40" s="38" t="s">
        <v>15</v>
      </c>
      <c r="Q40" s="903" t="s">
        <v>796</v>
      </c>
      <c r="R40" s="1061"/>
    </row>
    <row r="41" spans="1:18" s="49" customFormat="1" ht="30" customHeight="1" x14ac:dyDescent="0.2">
      <c r="A41" s="39"/>
      <c r="B41" s="33" t="s">
        <v>37</v>
      </c>
      <c r="C41" s="33" t="s">
        <v>38</v>
      </c>
      <c r="D41" s="33" t="s">
        <v>69</v>
      </c>
      <c r="E41" s="33" t="s">
        <v>108</v>
      </c>
      <c r="F41" s="33" t="s">
        <v>109</v>
      </c>
      <c r="G41" s="33" t="s">
        <v>110</v>
      </c>
      <c r="H41" s="33" t="s">
        <v>70</v>
      </c>
      <c r="I41" s="33" t="s">
        <v>111</v>
      </c>
      <c r="J41" s="33" t="s">
        <v>551</v>
      </c>
      <c r="K41" s="33" t="s">
        <v>68</v>
      </c>
      <c r="L41" s="33" t="s">
        <v>112</v>
      </c>
      <c r="M41" s="33" t="s">
        <v>72</v>
      </c>
      <c r="N41" s="33" t="s">
        <v>74</v>
      </c>
      <c r="O41" s="33" t="s">
        <v>75</v>
      </c>
      <c r="P41" s="33" t="s">
        <v>24</v>
      </c>
      <c r="Q41" s="906" t="s">
        <v>797</v>
      </c>
      <c r="R41" s="1062"/>
    </row>
    <row r="42" spans="1:18" s="53" customFormat="1" ht="10.5" customHeight="1" x14ac:dyDescent="0.15">
      <c r="A42" s="949" t="s">
        <v>798</v>
      </c>
      <c r="B42" s="50">
        <v>13706709</v>
      </c>
      <c r="C42" s="51">
        <v>1747022</v>
      </c>
      <c r="D42" s="51">
        <v>45250794</v>
      </c>
      <c r="E42" s="51" t="s">
        <v>648</v>
      </c>
      <c r="F42" s="51">
        <v>10705375</v>
      </c>
      <c r="G42" s="51">
        <v>96599</v>
      </c>
      <c r="H42" s="51">
        <v>10608776</v>
      </c>
      <c r="I42" s="51">
        <v>1813492</v>
      </c>
      <c r="J42" s="51" t="s">
        <v>648</v>
      </c>
      <c r="K42" s="51">
        <v>1813492</v>
      </c>
      <c r="L42" s="51">
        <v>5005894</v>
      </c>
      <c r="M42" s="51">
        <v>2532351</v>
      </c>
      <c r="N42" s="51">
        <v>443929</v>
      </c>
      <c r="O42" s="51">
        <v>475238</v>
      </c>
      <c r="P42" s="51">
        <v>1554376</v>
      </c>
      <c r="Q42" s="51" t="s">
        <v>648</v>
      </c>
      <c r="R42" s="52" t="s">
        <v>464</v>
      </c>
    </row>
    <row r="43" spans="1:18" s="53" customFormat="1" ht="10.5" customHeight="1" x14ac:dyDescent="0.15">
      <c r="A43" s="950" t="s">
        <v>764</v>
      </c>
      <c r="B43" s="53">
        <v>14337731</v>
      </c>
      <c r="C43" s="53">
        <v>2988696</v>
      </c>
      <c r="D43" s="53">
        <v>45017010</v>
      </c>
      <c r="E43" s="53">
        <v>83352</v>
      </c>
      <c r="F43" s="53">
        <v>7869542</v>
      </c>
      <c r="G43" s="53" t="s">
        <v>648</v>
      </c>
      <c r="H43" s="53">
        <v>7869542</v>
      </c>
      <c r="I43" s="53">
        <v>3016747</v>
      </c>
      <c r="J43" s="53" t="s">
        <v>648</v>
      </c>
      <c r="K43" s="53">
        <v>3016747</v>
      </c>
      <c r="L43" s="53">
        <v>3792241</v>
      </c>
      <c r="M43" s="53">
        <v>1908649</v>
      </c>
      <c r="N43" s="53">
        <v>185818</v>
      </c>
      <c r="O43" s="53" t="s">
        <v>648</v>
      </c>
      <c r="P43" s="53">
        <v>1697774</v>
      </c>
      <c r="Q43" s="53" t="s">
        <v>648</v>
      </c>
      <c r="R43" s="55" t="s">
        <v>489</v>
      </c>
    </row>
    <row r="44" spans="1:18" s="53" customFormat="1" ht="10.5" customHeight="1" x14ac:dyDescent="0.15">
      <c r="A44" s="950" t="s">
        <v>765</v>
      </c>
      <c r="B44" s="53">
        <v>15567254</v>
      </c>
      <c r="C44" s="53">
        <v>3352539</v>
      </c>
      <c r="D44" s="53">
        <v>52366989</v>
      </c>
      <c r="E44" s="53" t="s">
        <v>648</v>
      </c>
      <c r="F44" s="53">
        <v>8915306</v>
      </c>
      <c r="G44" s="53" t="s">
        <v>648</v>
      </c>
      <c r="H44" s="53">
        <v>8915306</v>
      </c>
      <c r="I44" s="53">
        <v>3739047</v>
      </c>
      <c r="J44" s="53">
        <v>47092</v>
      </c>
      <c r="K44" s="53">
        <v>3691955</v>
      </c>
      <c r="L44" s="53">
        <v>2678816</v>
      </c>
      <c r="M44" s="53">
        <v>319147</v>
      </c>
      <c r="N44" s="53">
        <v>158877</v>
      </c>
      <c r="O44" s="53" t="s">
        <v>648</v>
      </c>
      <c r="P44" s="53">
        <v>2200792</v>
      </c>
      <c r="Q44" s="53" t="s">
        <v>648</v>
      </c>
      <c r="R44" s="55" t="s">
        <v>549</v>
      </c>
    </row>
    <row r="45" spans="1:18" s="53" customFormat="1" ht="10.5" customHeight="1" x14ac:dyDescent="0.15">
      <c r="A45" s="950" t="s">
        <v>766</v>
      </c>
      <c r="B45" s="53">
        <v>12371792</v>
      </c>
      <c r="C45" s="53">
        <v>668065</v>
      </c>
      <c r="D45" s="53">
        <v>46298758</v>
      </c>
      <c r="E45" s="53" t="s">
        <v>648</v>
      </c>
      <c r="F45" s="53">
        <v>4942885</v>
      </c>
      <c r="G45" s="53" t="s">
        <v>648</v>
      </c>
      <c r="H45" s="53">
        <v>4942885</v>
      </c>
      <c r="I45" s="53">
        <v>1094794</v>
      </c>
      <c r="J45" s="53" t="s">
        <v>648</v>
      </c>
      <c r="K45" s="53">
        <v>1094794</v>
      </c>
      <c r="L45" s="53">
        <v>2530556</v>
      </c>
      <c r="M45" s="53">
        <v>81102</v>
      </c>
      <c r="N45" s="53" t="s">
        <v>648</v>
      </c>
      <c r="O45" s="53" t="s">
        <v>648</v>
      </c>
      <c r="P45" s="53">
        <v>2449454</v>
      </c>
      <c r="Q45" s="53" t="s">
        <v>648</v>
      </c>
      <c r="R45" s="55" t="s">
        <v>672</v>
      </c>
    </row>
    <row r="46" spans="1:18" s="53" customFormat="1" ht="10.5" customHeight="1" x14ac:dyDescent="0.15">
      <c r="A46" s="950" t="s">
        <v>767</v>
      </c>
      <c r="B46" s="53">
        <v>11301078</v>
      </c>
      <c r="C46" s="53">
        <v>825144</v>
      </c>
      <c r="D46" s="53">
        <v>50636882</v>
      </c>
      <c r="E46" s="53" t="s">
        <v>648</v>
      </c>
      <c r="F46" s="53">
        <v>5183041</v>
      </c>
      <c r="G46" s="53">
        <v>10</v>
      </c>
      <c r="H46" s="53">
        <v>5183031</v>
      </c>
      <c r="I46" s="53">
        <v>469328</v>
      </c>
      <c r="J46" s="53" t="s">
        <v>648</v>
      </c>
      <c r="K46" s="53">
        <v>469328</v>
      </c>
      <c r="L46" s="53">
        <v>2444840</v>
      </c>
      <c r="M46" s="53">
        <v>114870</v>
      </c>
      <c r="N46" s="53" t="s">
        <v>648</v>
      </c>
      <c r="O46" s="53" t="s">
        <v>648</v>
      </c>
      <c r="P46" s="53">
        <v>2329652</v>
      </c>
      <c r="Q46" s="53">
        <v>318</v>
      </c>
      <c r="R46" s="55" t="s">
        <v>768</v>
      </c>
    </row>
    <row r="47" spans="1:18" s="53" customFormat="1" ht="10.5" customHeight="1" x14ac:dyDescent="0.15">
      <c r="A47" s="950"/>
      <c r="R47" s="55"/>
    </row>
    <row r="48" spans="1:18" s="53" customFormat="1" ht="10.5" customHeight="1" x14ac:dyDescent="0.15">
      <c r="A48" s="950" t="s">
        <v>799</v>
      </c>
      <c r="B48" s="53">
        <v>11315373</v>
      </c>
      <c r="C48" s="53">
        <v>526674</v>
      </c>
      <c r="D48" s="53">
        <v>40772976</v>
      </c>
      <c r="E48" s="53" t="s">
        <v>648</v>
      </c>
      <c r="F48" s="53">
        <v>4884632</v>
      </c>
      <c r="G48" s="53" t="s">
        <v>648</v>
      </c>
      <c r="H48" s="53">
        <v>4884632</v>
      </c>
      <c r="I48" s="53">
        <v>968924</v>
      </c>
      <c r="J48" s="53" t="s">
        <v>648</v>
      </c>
      <c r="K48" s="53">
        <v>968924</v>
      </c>
      <c r="L48" s="53">
        <v>2610461</v>
      </c>
      <c r="M48" s="53" t="s">
        <v>648</v>
      </c>
      <c r="N48" s="53" t="s">
        <v>648</v>
      </c>
      <c r="O48" s="53" t="s">
        <v>648</v>
      </c>
      <c r="P48" s="53">
        <v>2610461</v>
      </c>
      <c r="Q48" s="53" t="s">
        <v>648</v>
      </c>
      <c r="R48" s="55" t="s">
        <v>673</v>
      </c>
    </row>
    <row r="49" spans="1:18" s="53" customFormat="1" ht="10.5" customHeight="1" x14ac:dyDescent="0.15">
      <c r="A49" s="950" t="s">
        <v>800</v>
      </c>
      <c r="B49" s="53">
        <v>11599693</v>
      </c>
      <c r="C49" s="53">
        <v>1013381</v>
      </c>
      <c r="D49" s="53">
        <v>54255838</v>
      </c>
      <c r="E49" s="53" t="s">
        <v>648</v>
      </c>
      <c r="F49" s="53">
        <v>5423606</v>
      </c>
      <c r="G49" s="53">
        <v>10</v>
      </c>
      <c r="H49" s="53">
        <v>5423596</v>
      </c>
      <c r="I49" s="53">
        <v>223941</v>
      </c>
      <c r="J49" s="53" t="s">
        <v>648</v>
      </c>
      <c r="K49" s="53">
        <v>223941</v>
      </c>
      <c r="L49" s="53">
        <v>2754558</v>
      </c>
      <c r="M49" s="53">
        <v>361032</v>
      </c>
      <c r="N49" s="53" t="s">
        <v>648</v>
      </c>
      <c r="O49" s="53" t="s">
        <v>648</v>
      </c>
      <c r="P49" s="53">
        <v>2393208</v>
      </c>
      <c r="Q49" s="53">
        <v>318</v>
      </c>
      <c r="R49" s="55" t="s">
        <v>771</v>
      </c>
    </row>
    <row r="50" spans="1:18" s="53" customFormat="1" ht="10.5" customHeight="1" x14ac:dyDescent="0.15">
      <c r="A50" s="950"/>
      <c r="R50" s="55"/>
    </row>
    <row r="51" spans="1:18" s="53" customFormat="1" ht="10.5" customHeight="1" x14ac:dyDescent="0.15">
      <c r="A51" s="950" t="s">
        <v>772</v>
      </c>
      <c r="B51" s="53">
        <v>3278029</v>
      </c>
      <c r="C51" s="53">
        <v>209273</v>
      </c>
      <c r="D51" s="53">
        <v>9765548</v>
      </c>
      <c r="E51" s="53" t="s">
        <v>648</v>
      </c>
      <c r="F51" s="53">
        <v>1316769</v>
      </c>
      <c r="G51" s="53" t="s">
        <v>648</v>
      </c>
      <c r="H51" s="53">
        <v>1316769</v>
      </c>
      <c r="I51" s="53">
        <v>245387</v>
      </c>
      <c r="J51" s="53" t="s">
        <v>648</v>
      </c>
      <c r="K51" s="53">
        <v>245387</v>
      </c>
      <c r="L51" s="53">
        <v>608921</v>
      </c>
      <c r="M51" s="53" t="s">
        <v>648</v>
      </c>
      <c r="N51" s="53" t="s">
        <v>648</v>
      </c>
      <c r="O51" s="53" t="s">
        <v>648</v>
      </c>
      <c r="P51" s="53">
        <v>608921</v>
      </c>
      <c r="Q51" s="53" t="s">
        <v>648</v>
      </c>
      <c r="R51" s="55" t="s">
        <v>674</v>
      </c>
    </row>
    <row r="52" spans="1:18" s="53" customFormat="1" ht="10.5" customHeight="1" x14ac:dyDescent="0.15">
      <c r="A52" s="950" t="s">
        <v>773</v>
      </c>
      <c r="B52" s="53">
        <v>3494811</v>
      </c>
      <c r="C52" s="53">
        <v>158912</v>
      </c>
      <c r="D52" s="53">
        <v>12701624</v>
      </c>
      <c r="E52" s="53" t="s">
        <v>648</v>
      </c>
      <c r="F52" s="53">
        <v>1437283</v>
      </c>
      <c r="G52" s="53" t="s">
        <v>648</v>
      </c>
      <c r="H52" s="53">
        <v>1437283</v>
      </c>
      <c r="I52" s="53">
        <v>112614</v>
      </c>
      <c r="J52" s="53" t="s">
        <v>648</v>
      </c>
      <c r="K52" s="53">
        <v>112614</v>
      </c>
      <c r="L52" s="53">
        <v>541506</v>
      </c>
      <c r="M52" s="53" t="s">
        <v>648</v>
      </c>
      <c r="N52" s="53" t="s">
        <v>648</v>
      </c>
      <c r="O52" s="53" t="s">
        <v>648</v>
      </c>
      <c r="P52" s="53">
        <v>541506</v>
      </c>
      <c r="Q52" s="53" t="s">
        <v>648</v>
      </c>
      <c r="R52" s="55" t="s">
        <v>92</v>
      </c>
    </row>
    <row r="53" spans="1:18" s="53" customFormat="1" ht="10.5" customHeight="1" x14ac:dyDescent="0.15">
      <c r="A53" s="950" t="s">
        <v>774</v>
      </c>
      <c r="B53" s="53">
        <v>2727158</v>
      </c>
      <c r="C53" s="53">
        <v>298301</v>
      </c>
      <c r="D53" s="53">
        <v>13637119</v>
      </c>
      <c r="E53" s="53" t="s">
        <v>648</v>
      </c>
      <c r="F53" s="53">
        <v>573078</v>
      </c>
      <c r="G53" s="53" t="s">
        <v>648</v>
      </c>
      <c r="H53" s="53">
        <v>573078</v>
      </c>
      <c r="I53" s="53">
        <v>111267</v>
      </c>
      <c r="J53" s="53" t="s">
        <v>648</v>
      </c>
      <c r="K53" s="53">
        <v>111267</v>
      </c>
      <c r="L53" s="53">
        <v>564659</v>
      </c>
      <c r="M53" s="53" t="s">
        <v>648</v>
      </c>
      <c r="N53" s="53" t="s">
        <v>648</v>
      </c>
      <c r="O53" s="53" t="s">
        <v>648</v>
      </c>
      <c r="P53" s="53">
        <v>564659</v>
      </c>
      <c r="Q53" s="53" t="s">
        <v>648</v>
      </c>
      <c r="R53" s="55" t="s">
        <v>93</v>
      </c>
    </row>
    <row r="54" spans="1:18" s="53" customFormat="1" ht="10.5" customHeight="1" x14ac:dyDescent="0.15">
      <c r="A54" s="950" t="s">
        <v>801</v>
      </c>
      <c r="B54" s="53">
        <v>1801080</v>
      </c>
      <c r="C54" s="53">
        <v>158658</v>
      </c>
      <c r="D54" s="53">
        <v>14532591</v>
      </c>
      <c r="E54" s="53" t="s">
        <v>648</v>
      </c>
      <c r="F54" s="53">
        <v>1855911</v>
      </c>
      <c r="G54" s="53">
        <v>10</v>
      </c>
      <c r="H54" s="53">
        <v>1855901</v>
      </c>
      <c r="I54" s="53">
        <v>60</v>
      </c>
      <c r="J54" s="53" t="s">
        <v>648</v>
      </c>
      <c r="K54" s="53">
        <v>60</v>
      </c>
      <c r="L54" s="53">
        <v>729754</v>
      </c>
      <c r="M54" s="53">
        <v>114870</v>
      </c>
      <c r="N54" s="53" t="s">
        <v>648</v>
      </c>
      <c r="O54" s="53" t="s">
        <v>648</v>
      </c>
      <c r="P54" s="53">
        <v>614566</v>
      </c>
      <c r="Q54" s="53">
        <v>318</v>
      </c>
      <c r="R54" s="55" t="s">
        <v>94</v>
      </c>
    </row>
    <row r="55" spans="1:18" s="53" customFormat="1" ht="10.5" customHeight="1" x14ac:dyDescent="0.15">
      <c r="A55" s="950" t="s">
        <v>802</v>
      </c>
      <c r="B55" s="53">
        <v>3576644</v>
      </c>
      <c r="C55" s="53">
        <v>397510</v>
      </c>
      <c r="D55" s="53">
        <v>13384504</v>
      </c>
      <c r="E55" s="53" t="s">
        <v>648</v>
      </c>
      <c r="F55" s="53">
        <v>1557334</v>
      </c>
      <c r="G55" s="53" t="s">
        <v>648</v>
      </c>
      <c r="H55" s="53">
        <v>1557334</v>
      </c>
      <c r="I55" s="53" t="s">
        <v>648</v>
      </c>
      <c r="J55" s="53" t="s">
        <v>648</v>
      </c>
      <c r="K55" s="53" t="s">
        <v>648</v>
      </c>
      <c r="L55" s="53">
        <v>918639</v>
      </c>
      <c r="M55" s="53">
        <v>246162</v>
      </c>
      <c r="N55" s="53" t="s">
        <v>648</v>
      </c>
      <c r="O55" s="53" t="s">
        <v>648</v>
      </c>
      <c r="P55" s="53">
        <v>672477</v>
      </c>
      <c r="Q55" s="53" t="s">
        <v>648</v>
      </c>
      <c r="R55" s="55" t="s">
        <v>777</v>
      </c>
    </row>
    <row r="56" spans="1:18" s="53" customFormat="1" ht="10.5" customHeight="1" x14ac:dyDescent="0.15">
      <c r="A56" s="950"/>
      <c r="R56" s="55"/>
    </row>
    <row r="57" spans="1:18" s="53" customFormat="1" ht="10.5" customHeight="1" x14ac:dyDescent="0.15">
      <c r="A57" s="950" t="s">
        <v>778</v>
      </c>
      <c r="B57" s="53">
        <v>984014</v>
      </c>
      <c r="C57" s="53">
        <v>209273</v>
      </c>
      <c r="D57" s="53">
        <v>3855400</v>
      </c>
      <c r="E57" s="53" t="s">
        <v>648</v>
      </c>
      <c r="F57" s="53">
        <v>366677</v>
      </c>
      <c r="G57" s="53" t="s">
        <v>648</v>
      </c>
      <c r="H57" s="53">
        <v>366677</v>
      </c>
      <c r="I57" s="53">
        <v>82295</v>
      </c>
      <c r="J57" s="53" t="s">
        <v>648</v>
      </c>
      <c r="K57" s="53">
        <v>82295</v>
      </c>
      <c r="L57" s="53">
        <v>117494</v>
      </c>
      <c r="M57" s="53" t="s">
        <v>648</v>
      </c>
      <c r="N57" s="53" t="s">
        <v>648</v>
      </c>
      <c r="O57" s="53" t="s">
        <v>648</v>
      </c>
      <c r="P57" s="53">
        <v>117494</v>
      </c>
      <c r="Q57" s="53" t="s">
        <v>648</v>
      </c>
      <c r="R57" s="55" t="s">
        <v>675</v>
      </c>
    </row>
    <row r="58" spans="1:18" s="53" customFormat="1" ht="10.5" customHeight="1" x14ac:dyDescent="0.15">
      <c r="A58" s="950" t="s">
        <v>803</v>
      </c>
      <c r="B58" s="53">
        <v>1080799</v>
      </c>
      <c r="C58" s="53" t="s">
        <v>648</v>
      </c>
      <c r="D58" s="53">
        <v>2980004</v>
      </c>
      <c r="E58" s="53" t="s">
        <v>648</v>
      </c>
      <c r="F58" s="53">
        <v>315259</v>
      </c>
      <c r="G58" s="53" t="s">
        <v>648</v>
      </c>
      <c r="H58" s="53">
        <v>315259</v>
      </c>
      <c r="I58" s="53" t="s">
        <v>648</v>
      </c>
      <c r="J58" s="53" t="s">
        <v>648</v>
      </c>
      <c r="K58" s="53" t="s">
        <v>648</v>
      </c>
      <c r="L58" s="53">
        <v>293768</v>
      </c>
      <c r="M58" s="53" t="s">
        <v>648</v>
      </c>
      <c r="N58" s="53" t="s">
        <v>648</v>
      </c>
      <c r="O58" s="53" t="s">
        <v>648</v>
      </c>
      <c r="P58" s="53">
        <v>293768</v>
      </c>
      <c r="Q58" s="53" t="s">
        <v>648</v>
      </c>
      <c r="R58" s="55" t="s">
        <v>80</v>
      </c>
    </row>
    <row r="59" spans="1:18" s="53" customFormat="1" ht="10.5" customHeight="1" x14ac:dyDescent="0.15">
      <c r="A59" s="950" t="s">
        <v>780</v>
      </c>
      <c r="B59" s="53">
        <v>1213216</v>
      </c>
      <c r="C59" s="53" t="s">
        <v>648</v>
      </c>
      <c r="D59" s="53">
        <v>2930144</v>
      </c>
      <c r="E59" s="53" t="s">
        <v>648</v>
      </c>
      <c r="F59" s="53">
        <v>634833</v>
      </c>
      <c r="G59" s="53" t="s">
        <v>648</v>
      </c>
      <c r="H59" s="53">
        <v>634833</v>
      </c>
      <c r="I59" s="53">
        <v>163092</v>
      </c>
      <c r="J59" s="53" t="s">
        <v>648</v>
      </c>
      <c r="K59" s="53">
        <v>163092</v>
      </c>
      <c r="L59" s="53">
        <v>197659</v>
      </c>
      <c r="M59" s="53" t="s">
        <v>648</v>
      </c>
      <c r="N59" s="53" t="s">
        <v>648</v>
      </c>
      <c r="O59" s="53" t="s">
        <v>648</v>
      </c>
      <c r="P59" s="53">
        <v>197659</v>
      </c>
      <c r="Q59" s="53" t="s">
        <v>648</v>
      </c>
      <c r="R59" s="55" t="s">
        <v>81</v>
      </c>
    </row>
    <row r="60" spans="1:18" s="53" customFormat="1" ht="10.5" customHeight="1" x14ac:dyDescent="0.15">
      <c r="A60" s="950" t="s">
        <v>804</v>
      </c>
      <c r="B60" s="53">
        <v>1206816</v>
      </c>
      <c r="C60" s="53" t="s">
        <v>648</v>
      </c>
      <c r="D60" s="53">
        <v>4978364</v>
      </c>
      <c r="E60" s="53" t="s">
        <v>648</v>
      </c>
      <c r="F60" s="53">
        <v>406721</v>
      </c>
      <c r="G60" s="53" t="s">
        <v>648</v>
      </c>
      <c r="H60" s="53">
        <v>406721</v>
      </c>
      <c r="I60" s="53">
        <v>112614</v>
      </c>
      <c r="J60" s="53" t="s">
        <v>648</v>
      </c>
      <c r="K60" s="53">
        <v>112614</v>
      </c>
      <c r="L60" s="53">
        <v>301004</v>
      </c>
      <c r="M60" s="53" t="s">
        <v>648</v>
      </c>
      <c r="N60" s="53" t="s">
        <v>648</v>
      </c>
      <c r="O60" s="53" t="s">
        <v>648</v>
      </c>
      <c r="P60" s="53">
        <v>301004</v>
      </c>
      <c r="Q60" s="53" t="s">
        <v>648</v>
      </c>
      <c r="R60" s="55" t="s">
        <v>82</v>
      </c>
    </row>
    <row r="61" spans="1:18" s="53" customFormat="1" ht="10.5" customHeight="1" x14ac:dyDescent="0.15">
      <c r="A61" s="950" t="s">
        <v>782</v>
      </c>
      <c r="B61" s="53">
        <v>1268868</v>
      </c>
      <c r="C61" s="53">
        <v>79477</v>
      </c>
      <c r="D61" s="53">
        <v>4633979</v>
      </c>
      <c r="E61" s="53" t="s">
        <v>648</v>
      </c>
      <c r="F61" s="53">
        <v>696531</v>
      </c>
      <c r="G61" s="53" t="s">
        <v>648</v>
      </c>
      <c r="H61" s="53">
        <v>696531</v>
      </c>
      <c r="I61" s="53" t="s">
        <v>648</v>
      </c>
      <c r="J61" s="53" t="s">
        <v>648</v>
      </c>
      <c r="K61" s="53" t="s">
        <v>648</v>
      </c>
      <c r="L61" s="53">
        <v>37837</v>
      </c>
      <c r="M61" s="53" t="s">
        <v>648</v>
      </c>
      <c r="N61" s="53" t="s">
        <v>648</v>
      </c>
      <c r="O61" s="53" t="s">
        <v>648</v>
      </c>
      <c r="P61" s="53">
        <v>37837</v>
      </c>
      <c r="Q61" s="53" t="s">
        <v>648</v>
      </c>
      <c r="R61" s="56" t="s">
        <v>95</v>
      </c>
    </row>
    <row r="62" spans="1:18" s="53" customFormat="1" ht="10.5" customHeight="1" x14ac:dyDescent="0.15">
      <c r="A62" s="950" t="s">
        <v>805</v>
      </c>
      <c r="B62" s="53">
        <v>1019127</v>
      </c>
      <c r="C62" s="53">
        <v>79435</v>
      </c>
      <c r="D62" s="53">
        <v>3089281</v>
      </c>
      <c r="E62" s="53" t="s">
        <v>648</v>
      </c>
      <c r="F62" s="53">
        <v>334031</v>
      </c>
      <c r="G62" s="53" t="s">
        <v>648</v>
      </c>
      <c r="H62" s="53">
        <v>334031</v>
      </c>
      <c r="I62" s="53" t="s">
        <v>648</v>
      </c>
      <c r="J62" s="53" t="s">
        <v>648</v>
      </c>
      <c r="K62" s="53" t="s">
        <v>648</v>
      </c>
      <c r="L62" s="53">
        <v>202665</v>
      </c>
      <c r="M62" s="53" t="s">
        <v>648</v>
      </c>
      <c r="N62" s="53" t="s">
        <v>648</v>
      </c>
      <c r="O62" s="53" t="s">
        <v>648</v>
      </c>
      <c r="P62" s="53">
        <v>202665</v>
      </c>
      <c r="Q62" s="53" t="s">
        <v>648</v>
      </c>
      <c r="R62" s="55" t="s">
        <v>96</v>
      </c>
    </row>
    <row r="63" spans="1:18" s="53" customFormat="1" ht="10.5" customHeight="1" x14ac:dyDescent="0.15">
      <c r="A63" s="950" t="s">
        <v>784</v>
      </c>
      <c r="B63" s="53">
        <v>920206</v>
      </c>
      <c r="C63" s="53">
        <v>60337</v>
      </c>
      <c r="D63" s="53">
        <v>4032446</v>
      </c>
      <c r="E63" s="53" t="s">
        <v>648</v>
      </c>
      <c r="F63" s="53">
        <v>70514</v>
      </c>
      <c r="G63" s="53" t="s">
        <v>648</v>
      </c>
      <c r="H63" s="53">
        <v>70514</v>
      </c>
      <c r="I63" s="53" t="s">
        <v>648</v>
      </c>
      <c r="J63" s="53" t="s">
        <v>648</v>
      </c>
      <c r="K63" s="53" t="s">
        <v>648</v>
      </c>
      <c r="L63" s="53">
        <v>114194</v>
      </c>
      <c r="M63" s="53" t="s">
        <v>648</v>
      </c>
      <c r="N63" s="53" t="s">
        <v>648</v>
      </c>
      <c r="O63" s="53" t="s">
        <v>648</v>
      </c>
      <c r="P63" s="53">
        <v>114194</v>
      </c>
      <c r="Q63" s="53" t="s">
        <v>648</v>
      </c>
      <c r="R63" s="55" t="s">
        <v>97</v>
      </c>
    </row>
    <row r="64" spans="1:18" s="53" customFormat="1" ht="10.5" customHeight="1" x14ac:dyDescent="0.15">
      <c r="A64" s="950" t="s">
        <v>806</v>
      </c>
      <c r="B64" s="53">
        <v>815618</v>
      </c>
      <c r="C64" s="53">
        <v>158576</v>
      </c>
      <c r="D64" s="53">
        <v>5337094</v>
      </c>
      <c r="E64" s="53" t="s">
        <v>648</v>
      </c>
      <c r="F64" s="53">
        <v>389696</v>
      </c>
      <c r="G64" s="53" t="s">
        <v>648</v>
      </c>
      <c r="H64" s="53">
        <v>389696</v>
      </c>
      <c r="I64" s="53">
        <v>111267</v>
      </c>
      <c r="J64" s="53" t="s">
        <v>648</v>
      </c>
      <c r="K64" s="53">
        <v>111267</v>
      </c>
      <c r="L64" s="53">
        <v>231255</v>
      </c>
      <c r="M64" s="53" t="s">
        <v>648</v>
      </c>
      <c r="N64" s="53" t="s">
        <v>648</v>
      </c>
      <c r="O64" s="53" t="s">
        <v>648</v>
      </c>
      <c r="P64" s="53">
        <v>231255</v>
      </c>
      <c r="Q64" s="53" t="s">
        <v>648</v>
      </c>
      <c r="R64" s="55" t="s">
        <v>98</v>
      </c>
    </row>
    <row r="65" spans="1:18" s="53" customFormat="1" ht="10.5" customHeight="1" x14ac:dyDescent="0.15">
      <c r="A65" s="950" t="s">
        <v>786</v>
      </c>
      <c r="B65" s="53">
        <v>991334</v>
      </c>
      <c r="C65" s="53">
        <v>79388</v>
      </c>
      <c r="D65" s="53">
        <v>4267579</v>
      </c>
      <c r="E65" s="53" t="s">
        <v>648</v>
      </c>
      <c r="F65" s="53">
        <v>112868</v>
      </c>
      <c r="G65" s="53" t="s">
        <v>648</v>
      </c>
      <c r="H65" s="53">
        <v>112868</v>
      </c>
      <c r="I65" s="53" t="s">
        <v>648</v>
      </c>
      <c r="J65" s="53" t="s">
        <v>648</v>
      </c>
      <c r="K65" s="53" t="s">
        <v>648</v>
      </c>
      <c r="L65" s="53">
        <v>219210</v>
      </c>
      <c r="M65" s="53" t="s">
        <v>648</v>
      </c>
      <c r="N65" s="53" t="s">
        <v>648</v>
      </c>
      <c r="O65" s="53" t="s">
        <v>648</v>
      </c>
      <c r="P65" s="53">
        <v>219210</v>
      </c>
      <c r="Q65" s="53" t="s">
        <v>648</v>
      </c>
      <c r="R65" s="55" t="s">
        <v>99</v>
      </c>
    </row>
    <row r="66" spans="1:18" s="53" customFormat="1" ht="10.5" customHeight="1" x14ac:dyDescent="0.15">
      <c r="A66" s="950" t="s">
        <v>807</v>
      </c>
      <c r="B66" s="53">
        <v>395363</v>
      </c>
      <c r="C66" s="53">
        <v>79219</v>
      </c>
      <c r="D66" s="53">
        <v>4059858</v>
      </c>
      <c r="E66" s="53" t="s">
        <v>648</v>
      </c>
      <c r="F66" s="53">
        <v>817477</v>
      </c>
      <c r="G66" s="53" t="s">
        <v>648</v>
      </c>
      <c r="H66" s="53">
        <v>817477</v>
      </c>
      <c r="I66" s="53" t="s">
        <v>648</v>
      </c>
      <c r="J66" s="53" t="s">
        <v>648</v>
      </c>
      <c r="K66" s="53" t="s">
        <v>648</v>
      </c>
      <c r="L66" s="53">
        <v>256889</v>
      </c>
      <c r="M66" s="53">
        <v>114870</v>
      </c>
      <c r="N66" s="53" t="s">
        <v>648</v>
      </c>
      <c r="O66" s="53" t="s">
        <v>648</v>
      </c>
      <c r="P66" s="53">
        <v>142019</v>
      </c>
      <c r="Q66" s="53" t="s">
        <v>648</v>
      </c>
      <c r="R66" s="55" t="s">
        <v>83</v>
      </c>
    </row>
    <row r="67" spans="1:18" s="53" customFormat="1" ht="10.5" customHeight="1" x14ac:dyDescent="0.15">
      <c r="A67" s="950" t="s">
        <v>788</v>
      </c>
      <c r="B67" s="53">
        <v>662138</v>
      </c>
      <c r="C67" s="53" t="s">
        <v>648</v>
      </c>
      <c r="D67" s="53">
        <v>5068300</v>
      </c>
      <c r="E67" s="53" t="s">
        <v>648</v>
      </c>
      <c r="F67" s="53">
        <v>580720</v>
      </c>
      <c r="G67" s="53">
        <v>10</v>
      </c>
      <c r="H67" s="53">
        <v>580710</v>
      </c>
      <c r="I67" s="53">
        <v>60</v>
      </c>
      <c r="J67" s="53" t="s">
        <v>648</v>
      </c>
      <c r="K67" s="53">
        <v>60</v>
      </c>
      <c r="L67" s="53">
        <v>338630</v>
      </c>
      <c r="M67" s="53" t="s">
        <v>648</v>
      </c>
      <c r="N67" s="53" t="s">
        <v>648</v>
      </c>
      <c r="O67" s="53" t="s">
        <v>648</v>
      </c>
      <c r="P67" s="53">
        <v>338312</v>
      </c>
      <c r="Q67" s="53">
        <v>318</v>
      </c>
      <c r="R67" s="55" t="s">
        <v>84</v>
      </c>
    </row>
    <row r="68" spans="1:18" s="53" customFormat="1" ht="10.5" customHeight="1" x14ac:dyDescent="0.15">
      <c r="A68" s="950" t="s">
        <v>789</v>
      </c>
      <c r="B68" s="53">
        <v>743579</v>
      </c>
      <c r="C68" s="53">
        <v>79439</v>
      </c>
      <c r="D68" s="53">
        <v>5404433</v>
      </c>
      <c r="E68" s="53" t="s">
        <v>648</v>
      </c>
      <c r="F68" s="53">
        <v>457714</v>
      </c>
      <c r="G68" s="53" t="s">
        <v>648</v>
      </c>
      <c r="H68" s="53">
        <v>457714</v>
      </c>
      <c r="I68" s="53" t="s">
        <v>648</v>
      </c>
      <c r="J68" s="53" t="s">
        <v>648</v>
      </c>
      <c r="K68" s="53" t="s">
        <v>648</v>
      </c>
      <c r="L68" s="53">
        <v>134235</v>
      </c>
      <c r="M68" s="53" t="s">
        <v>648</v>
      </c>
      <c r="N68" s="53" t="s">
        <v>648</v>
      </c>
      <c r="O68" s="53" t="s">
        <v>648</v>
      </c>
      <c r="P68" s="53">
        <v>134235</v>
      </c>
      <c r="Q68" s="53" t="s">
        <v>648</v>
      </c>
      <c r="R68" s="55" t="s">
        <v>85</v>
      </c>
    </row>
    <row r="69" spans="1:18" s="53" customFormat="1" ht="10.5" customHeight="1" x14ac:dyDescent="0.15">
      <c r="A69" s="950" t="s">
        <v>790</v>
      </c>
      <c r="B69" s="53">
        <v>1169600</v>
      </c>
      <c r="C69" s="53">
        <v>79355</v>
      </c>
      <c r="D69" s="53">
        <v>4052584</v>
      </c>
      <c r="E69" s="53" t="s">
        <v>648</v>
      </c>
      <c r="F69" s="53">
        <v>578962</v>
      </c>
      <c r="G69" s="53" t="s">
        <v>648</v>
      </c>
      <c r="H69" s="53">
        <v>578962</v>
      </c>
      <c r="I69" s="53" t="s">
        <v>648</v>
      </c>
      <c r="J69" s="53" t="s">
        <v>648</v>
      </c>
      <c r="K69" s="53" t="s">
        <v>648</v>
      </c>
      <c r="L69" s="53">
        <v>232733</v>
      </c>
      <c r="M69" s="53" t="s">
        <v>648</v>
      </c>
      <c r="N69" s="53" t="s">
        <v>648</v>
      </c>
      <c r="O69" s="53" t="s">
        <v>648</v>
      </c>
      <c r="P69" s="53">
        <v>232733</v>
      </c>
      <c r="Q69" s="53" t="s">
        <v>648</v>
      </c>
      <c r="R69" s="55" t="s">
        <v>791</v>
      </c>
    </row>
    <row r="70" spans="1:18" s="53" customFormat="1" ht="10.5" customHeight="1" x14ac:dyDescent="0.15">
      <c r="A70" s="950" t="s">
        <v>792</v>
      </c>
      <c r="B70" s="53">
        <v>1099112</v>
      </c>
      <c r="C70" s="53">
        <v>79411</v>
      </c>
      <c r="D70" s="53">
        <v>3917366</v>
      </c>
      <c r="E70" s="53" t="s">
        <v>648</v>
      </c>
      <c r="F70" s="53">
        <v>464346</v>
      </c>
      <c r="G70" s="53" t="s">
        <v>648</v>
      </c>
      <c r="H70" s="53">
        <v>464346</v>
      </c>
      <c r="I70" s="53" t="s">
        <v>648</v>
      </c>
      <c r="J70" s="53" t="s">
        <v>648</v>
      </c>
      <c r="K70" s="53" t="s">
        <v>648</v>
      </c>
      <c r="L70" s="53">
        <v>386712</v>
      </c>
      <c r="M70" s="53">
        <v>167580</v>
      </c>
      <c r="N70" s="53" t="s">
        <v>648</v>
      </c>
      <c r="O70" s="53" t="s">
        <v>648</v>
      </c>
      <c r="P70" s="53">
        <v>219132</v>
      </c>
      <c r="Q70" s="53" t="s">
        <v>648</v>
      </c>
      <c r="R70" s="55" t="s">
        <v>80</v>
      </c>
    </row>
    <row r="71" spans="1:18" s="53" customFormat="1" ht="10.5" customHeight="1" x14ac:dyDescent="0.15">
      <c r="A71" s="951" t="s">
        <v>793</v>
      </c>
      <c r="B71" s="57">
        <v>1307932</v>
      </c>
      <c r="C71" s="58">
        <v>238744</v>
      </c>
      <c r="D71" s="58">
        <v>5414554</v>
      </c>
      <c r="E71" s="58" t="s">
        <v>648</v>
      </c>
      <c r="F71" s="58">
        <v>514026</v>
      </c>
      <c r="G71" s="58" t="s">
        <v>648</v>
      </c>
      <c r="H71" s="58">
        <v>514026</v>
      </c>
      <c r="I71" s="58" t="s">
        <v>648</v>
      </c>
      <c r="J71" s="58" t="s">
        <v>648</v>
      </c>
      <c r="K71" s="58" t="s">
        <v>648</v>
      </c>
      <c r="L71" s="58">
        <v>299194</v>
      </c>
      <c r="M71" s="58">
        <v>78582</v>
      </c>
      <c r="N71" s="58" t="s">
        <v>648</v>
      </c>
      <c r="O71" s="58" t="s">
        <v>648</v>
      </c>
      <c r="P71" s="58">
        <v>220612</v>
      </c>
      <c r="Q71" s="58" t="s">
        <v>648</v>
      </c>
      <c r="R71" s="59" t="s">
        <v>81</v>
      </c>
    </row>
    <row r="72" spans="1:18" ht="9" customHeight="1" x14ac:dyDescent="0.35"/>
    <row r="73" spans="1:18" ht="32.25" customHeight="1" x14ac:dyDescent="0.35">
      <c r="I73" s="60" t="s">
        <v>100</v>
      </c>
      <c r="N73" s="62" t="s">
        <v>79</v>
      </c>
      <c r="O73" s="62"/>
    </row>
    <row r="74" spans="1:18" s="46" customFormat="1" ht="15" customHeight="1" x14ac:dyDescent="0.15">
      <c r="A74" s="42"/>
      <c r="B74" s="44"/>
      <c r="C74" s="45"/>
      <c r="D74" s="45"/>
      <c r="E74" s="45"/>
      <c r="F74" s="45"/>
      <c r="G74" s="45"/>
      <c r="H74" s="45"/>
      <c r="I74" s="45"/>
      <c r="J74" s="45"/>
      <c r="K74" s="42"/>
      <c r="L74" s="44"/>
      <c r="M74" s="45"/>
      <c r="N74" s="42"/>
      <c r="O74" s="1060" t="s">
        <v>86</v>
      </c>
    </row>
    <row r="75" spans="1:18" s="49" customFormat="1" ht="22.5" customHeight="1" x14ac:dyDescent="0.2">
      <c r="A75" s="47" t="s">
        <v>194</v>
      </c>
      <c r="B75" s="40" t="s">
        <v>113</v>
      </c>
      <c r="C75" s="38" t="s">
        <v>114</v>
      </c>
      <c r="D75" s="38" t="s">
        <v>115</v>
      </c>
      <c r="E75" s="38" t="s">
        <v>16</v>
      </c>
      <c r="F75" s="38" t="s">
        <v>465</v>
      </c>
      <c r="G75" s="38" t="s">
        <v>552</v>
      </c>
      <c r="H75" s="38" t="s">
        <v>17</v>
      </c>
      <c r="I75" s="38" t="s">
        <v>18</v>
      </c>
      <c r="J75" s="38" t="s">
        <v>490</v>
      </c>
      <c r="K75" s="38" t="s">
        <v>466</v>
      </c>
      <c r="L75" s="40" t="s">
        <v>116</v>
      </c>
      <c r="M75" s="38" t="s">
        <v>64</v>
      </c>
      <c r="N75" s="38" t="s">
        <v>120</v>
      </c>
      <c r="O75" s="1061"/>
    </row>
    <row r="76" spans="1:18" s="49" customFormat="1" ht="30" customHeight="1" x14ac:dyDescent="0.2">
      <c r="A76" s="39"/>
      <c r="B76" s="33" t="s">
        <v>25</v>
      </c>
      <c r="C76" s="33" t="s">
        <v>117</v>
      </c>
      <c r="D76" s="33" t="s">
        <v>118</v>
      </c>
      <c r="E76" s="33" t="s">
        <v>26</v>
      </c>
      <c r="F76" s="33" t="s">
        <v>467</v>
      </c>
      <c r="G76" s="33" t="s">
        <v>553</v>
      </c>
      <c r="H76" s="33" t="s">
        <v>27</v>
      </c>
      <c r="I76" s="33" t="s">
        <v>28</v>
      </c>
      <c r="J76" s="33" t="s">
        <v>491</v>
      </c>
      <c r="K76" s="33" t="s">
        <v>468</v>
      </c>
      <c r="L76" s="33" t="s">
        <v>57</v>
      </c>
      <c r="M76" s="33" t="s">
        <v>58</v>
      </c>
      <c r="N76" s="33" t="s">
        <v>121</v>
      </c>
      <c r="O76" s="1062"/>
    </row>
    <row r="77" spans="1:18" s="53" customFormat="1" ht="10.5" customHeight="1" x14ac:dyDescent="0.15">
      <c r="A77" s="949" t="s">
        <v>763</v>
      </c>
      <c r="B77" s="50">
        <v>795611</v>
      </c>
      <c r="C77" s="51">
        <v>26917</v>
      </c>
      <c r="D77" s="51" t="s">
        <v>648</v>
      </c>
      <c r="E77" s="51" t="s">
        <v>648</v>
      </c>
      <c r="F77" s="51">
        <v>157618</v>
      </c>
      <c r="G77" s="51" t="s">
        <v>648</v>
      </c>
      <c r="H77" s="51" t="s">
        <v>648</v>
      </c>
      <c r="I77" s="51">
        <v>611076</v>
      </c>
      <c r="J77" s="51" t="s">
        <v>648</v>
      </c>
      <c r="K77" s="51" t="s">
        <v>648</v>
      </c>
      <c r="L77" s="51">
        <v>440884</v>
      </c>
      <c r="M77" s="51">
        <v>410946</v>
      </c>
      <c r="N77" s="63">
        <v>29938</v>
      </c>
      <c r="O77" s="52" t="s">
        <v>464</v>
      </c>
    </row>
    <row r="78" spans="1:18" s="53" customFormat="1" ht="10.5" customHeight="1" x14ac:dyDescent="0.15">
      <c r="A78" s="950" t="s">
        <v>808</v>
      </c>
      <c r="B78" s="53">
        <v>619926</v>
      </c>
      <c r="C78" s="53">
        <v>202159</v>
      </c>
      <c r="D78" s="53" t="s">
        <v>648</v>
      </c>
      <c r="E78" s="53" t="s">
        <v>648</v>
      </c>
      <c r="F78" s="53" t="s">
        <v>648</v>
      </c>
      <c r="G78" s="53" t="s">
        <v>648</v>
      </c>
      <c r="H78" s="53" t="s">
        <v>648</v>
      </c>
      <c r="I78" s="53">
        <v>387291</v>
      </c>
      <c r="J78" s="53">
        <v>11619</v>
      </c>
      <c r="K78" s="53">
        <v>18857</v>
      </c>
      <c r="L78" s="53">
        <v>608085</v>
      </c>
      <c r="M78" s="53">
        <v>579012</v>
      </c>
      <c r="N78" s="64">
        <v>29073</v>
      </c>
      <c r="O78" s="55" t="s">
        <v>489</v>
      </c>
    </row>
    <row r="79" spans="1:18" s="53" customFormat="1" ht="10.5" customHeight="1" x14ac:dyDescent="0.15">
      <c r="A79" s="950" t="s">
        <v>765</v>
      </c>
      <c r="B79" s="53">
        <v>742099</v>
      </c>
      <c r="C79" s="53">
        <v>498520</v>
      </c>
      <c r="D79" s="53" t="s">
        <v>648</v>
      </c>
      <c r="E79" s="53" t="s">
        <v>648</v>
      </c>
      <c r="F79" s="53" t="s">
        <v>648</v>
      </c>
      <c r="G79" s="53">
        <v>58730</v>
      </c>
      <c r="H79" s="53">
        <v>41986</v>
      </c>
      <c r="I79" s="53">
        <v>142863</v>
      </c>
      <c r="J79" s="53" t="s">
        <v>648</v>
      </c>
      <c r="K79" s="53" t="s">
        <v>648</v>
      </c>
      <c r="L79" s="53">
        <v>450273</v>
      </c>
      <c r="M79" s="53">
        <v>416430</v>
      </c>
      <c r="N79" s="64">
        <v>33843</v>
      </c>
      <c r="O79" s="55" t="s">
        <v>549</v>
      </c>
    </row>
    <row r="80" spans="1:18" s="53" customFormat="1" ht="10.5" customHeight="1" x14ac:dyDescent="0.15">
      <c r="A80" s="950" t="s">
        <v>766</v>
      </c>
      <c r="B80" s="53">
        <v>421459</v>
      </c>
      <c r="C80" s="53">
        <v>369843</v>
      </c>
      <c r="D80" s="53">
        <v>51616</v>
      </c>
      <c r="E80" s="53" t="s">
        <v>648</v>
      </c>
      <c r="F80" s="53" t="s">
        <v>648</v>
      </c>
      <c r="G80" s="53" t="s">
        <v>648</v>
      </c>
      <c r="H80" s="53" t="s">
        <v>648</v>
      </c>
      <c r="I80" s="53" t="s">
        <v>648</v>
      </c>
      <c r="J80" s="53" t="s">
        <v>648</v>
      </c>
      <c r="K80" s="53" t="s">
        <v>648</v>
      </c>
      <c r="L80" s="53">
        <v>359911</v>
      </c>
      <c r="M80" s="53">
        <v>313145</v>
      </c>
      <c r="N80" s="64">
        <v>46766</v>
      </c>
      <c r="O80" s="55" t="s">
        <v>672</v>
      </c>
    </row>
    <row r="81" spans="1:15" s="53" customFormat="1" ht="10.5" customHeight="1" x14ac:dyDescent="0.15">
      <c r="A81" s="950" t="s">
        <v>767</v>
      </c>
      <c r="B81" s="53">
        <v>752667</v>
      </c>
      <c r="C81" s="53">
        <v>498527</v>
      </c>
      <c r="D81" s="53">
        <v>67609</v>
      </c>
      <c r="E81" s="53">
        <v>151524</v>
      </c>
      <c r="F81" s="53" t="s">
        <v>648</v>
      </c>
      <c r="G81" s="53" t="s">
        <v>648</v>
      </c>
      <c r="H81" s="53" t="s">
        <v>648</v>
      </c>
      <c r="I81" s="53" t="s">
        <v>648</v>
      </c>
      <c r="J81" s="53" t="s">
        <v>648</v>
      </c>
      <c r="K81" s="53">
        <v>35007</v>
      </c>
      <c r="L81" s="53">
        <v>333763</v>
      </c>
      <c r="M81" s="53">
        <v>259648</v>
      </c>
      <c r="N81" s="64">
        <v>74115</v>
      </c>
      <c r="O81" s="55" t="s">
        <v>768</v>
      </c>
    </row>
    <row r="82" spans="1:15" s="53" customFormat="1" ht="10.5" customHeight="1" x14ac:dyDescent="0.15">
      <c r="A82" s="950"/>
      <c r="N82" s="64"/>
      <c r="O82" s="55"/>
    </row>
    <row r="83" spans="1:15" s="53" customFormat="1" ht="10.5" customHeight="1" x14ac:dyDescent="0.15">
      <c r="A83" s="950" t="s">
        <v>799</v>
      </c>
      <c r="B83" s="53">
        <v>281132</v>
      </c>
      <c r="C83" s="53">
        <v>281132</v>
      </c>
      <c r="D83" s="53" t="s">
        <v>648</v>
      </c>
      <c r="E83" s="53" t="s">
        <v>648</v>
      </c>
      <c r="F83" s="53" t="s">
        <v>648</v>
      </c>
      <c r="G83" s="53" t="s">
        <v>648</v>
      </c>
      <c r="H83" s="53" t="s">
        <v>648</v>
      </c>
      <c r="I83" s="53" t="s">
        <v>648</v>
      </c>
      <c r="J83" s="53" t="s">
        <v>648</v>
      </c>
      <c r="K83" s="53" t="s">
        <v>648</v>
      </c>
      <c r="L83" s="53">
        <v>378409</v>
      </c>
      <c r="M83" s="53">
        <v>316323</v>
      </c>
      <c r="N83" s="64">
        <v>62086</v>
      </c>
      <c r="O83" s="55" t="s">
        <v>673</v>
      </c>
    </row>
    <row r="84" spans="1:15" s="53" customFormat="1" ht="10.5" customHeight="1" x14ac:dyDescent="0.15">
      <c r="A84" s="950" t="s">
        <v>800</v>
      </c>
      <c r="B84" s="53">
        <v>848745</v>
      </c>
      <c r="C84" s="53">
        <v>497405</v>
      </c>
      <c r="D84" s="53">
        <v>67609</v>
      </c>
      <c r="E84" s="53">
        <v>248724</v>
      </c>
      <c r="F84" s="53" t="s">
        <v>648</v>
      </c>
      <c r="G84" s="53" t="s">
        <v>648</v>
      </c>
      <c r="H84" s="53" t="s">
        <v>648</v>
      </c>
      <c r="I84" s="53" t="s">
        <v>648</v>
      </c>
      <c r="J84" s="53" t="s">
        <v>648</v>
      </c>
      <c r="K84" s="53">
        <v>35007</v>
      </c>
      <c r="L84" s="53">
        <v>402503</v>
      </c>
      <c r="M84" s="53">
        <v>331954</v>
      </c>
      <c r="N84" s="64">
        <v>70549</v>
      </c>
      <c r="O84" s="55" t="s">
        <v>771</v>
      </c>
    </row>
    <row r="85" spans="1:15" s="53" customFormat="1" ht="10.5" customHeight="1" x14ac:dyDescent="0.15">
      <c r="A85" s="950"/>
      <c r="N85" s="64"/>
      <c r="O85" s="55"/>
    </row>
    <row r="86" spans="1:15" s="53" customFormat="1" ht="10.5" customHeight="1" x14ac:dyDescent="0.15">
      <c r="A86" s="950" t="s">
        <v>772</v>
      </c>
      <c r="B86" s="53">
        <v>72395</v>
      </c>
      <c r="C86" s="53">
        <v>72395</v>
      </c>
      <c r="D86" s="53" t="s">
        <v>648</v>
      </c>
      <c r="E86" s="53" t="s">
        <v>648</v>
      </c>
      <c r="F86" s="53" t="s">
        <v>648</v>
      </c>
      <c r="G86" s="53" t="s">
        <v>648</v>
      </c>
      <c r="H86" s="53" t="s">
        <v>648</v>
      </c>
      <c r="I86" s="53" t="s">
        <v>648</v>
      </c>
      <c r="J86" s="53" t="s">
        <v>648</v>
      </c>
      <c r="K86" s="53" t="s">
        <v>648</v>
      </c>
      <c r="L86" s="53">
        <v>67616</v>
      </c>
      <c r="M86" s="53">
        <v>52296</v>
      </c>
      <c r="N86" s="64">
        <v>15320</v>
      </c>
      <c r="O86" s="55" t="s">
        <v>674</v>
      </c>
    </row>
    <row r="87" spans="1:15" s="53" customFormat="1" ht="10.5" customHeight="1" x14ac:dyDescent="0.15">
      <c r="A87" s="950" t="s">
        <v>773</v>
      </c>
      <c r="B87" s="53">
        <v>145264</v>
      </c>
      <c r="C87" s="53">
        <v>54762</v>
      </c>
      <c r="D87" s="53">
        <v>31636</v>
      </c>
      <c r="E87" s="53">
        <v>58866</v>
      </c>
      <c r="F87" s="53" t="s">
        <v>648</v>
      </c>
      <c r="G87" s="53" t="s">
        <v>648</v>
      </c>
      <c r="H87" s="53" t="s">
        <v>648</v>
      </c>
      <c r="I87" s="53" t="s">
        <v>648</v>
      </c>
      <c r="J87" s="53" t="s">
        <v>648</v>
      </c>
      <c r="K87" s="53" t="s">
        <v>648</v>
      </c>
      <c r="L87" s="53">
        <v>102529</v>
      </c>
      <c r="M87" s="53">
        <v>59676</v>
      </c>
      <c r="N87" s="64">
        <v>42853</v>
      </c>
      <c r="O87" s="55" t="s">
        <v>92</v>
      </c>
    </row>
    <row r="88" spans="1:15" s="53" customFormat="1" ht="10.5" customHeight="1" x14ac:dyDescent="0.15">
      <c r="A88" s="950" t="s">
        <v>774</v>
      </c>
      <c r="B88" s="53">
        <v>423256</v>
      </c>
      <c r="C88" s="53">
        <v>355463</v>
      </c>
      <c r="D88" s="53">
        <v>35973</v>
      </c>
      <c r="E88" s="53">
        <v>31820</v>
      </c>
      <c r="F88" s="53" t="s">
        <v>648</v>
      </c>
      <c r="G88" s="53" t="s">
        <v>648</v>
      </c>
      <c r="H88" s="53" t="s">
        <v>648</v>
      </c>
      <c r="I88" s="53" t="s">
        <v>648</v>
      </c>
      <c r="J88" s="53" t="s">
        <v>648</v>
      </c>
      <c r="K88" s="53" t="s">
        <v>648</v>
      </c>
      <c r="L88" s="53">
        <v>66213</v>
      </c>
      <c r="M88" s="53">
        <v>66213</v>
      </c>
      <c r="N88" s="64" t="s">
        <v>648</v>
      </c>
      <c r="O88" s="55" t="s">
        <v>93</v>
      </c>
    </row>
    <row r="89" spans="1:15" s="53" customFormat="1" ht="10.5" customHeight="1" x14ac:dyDescent="0.15">
      <c r="A89" s="950" t="s">
        <v>801</v>
      </c>
      <c r="B89" s="53">
        <v>111752</v>
      </c>
      <c r="C89" s="53">
        <v>15907</v>
      </c>
      <c r="D89" s="53" t="s">
        <v>648</v>
      </c>
      <c r="E89" s="53">
        <v>60838</v>
      </c>
      <c r="F89" s="53" t="s">
        <v>648</v>
      </c>
      <c r="G89" s="53" t="s">
        <v>648</v>
      </c>
      <c r="H89" s="53" t="s">
        <v>648</v>
      </c>
      <c r="I89" s="53" t="s">
        <v>648</v>
      </c>
      <c r="J89" s="53" t="s">
        <v>648</v>
      </c>
      <c r="K89" s="53">
        <v>35007</v>
      </c>
      <c r="L89" s="53">
        <v>97405</v>
      </c>
      <c r="M89" s="53">
        <v>81463</v>
      </c>
      <c r="N89" s="64">
        <v>15942</v>
      </c>
      <c r="O89" s="55" t="s">
        <v>94</v>
      </c>
    </row>
    <row r="90" spans="1:15" s="53" customFormat="1" ht="10.5" customHeight="1" x14ac:dyDescent="0.15">
      <c r="A90" s="950" t="s">
        <v>809</v>
      </c>
      <c r="B90" s="53">
        <v>168473</v>
      </c>
      <c r="C90" s="53">
        <v>71273</v>
      </c>
      <c r="D90" s="53" t="s">
        <v>648</v>
      </c>
      <c r="E90" s="53">
        <v>97200</v>
      </c>
      <c r="F90" s="53" t="s">
        <v>648</v>
      </c>
      <c r="G90" s="53" t="s">
        <v>648</v>
      </c>
      <c r="H90" s="53" t="s">
        <v>648</v>
      </c>
      <c r="I90" s="53" t="s">
        <v>648</v>
      </c>
      <c r="J90" s="53" t="s">
        <v>648</v>
      </c>
      <c r="K90" s="53" t="s">
        <v>648</v>
      </c>
      <c r="L90" s="53">
        <v>136356</v>
      </c>
      <c r="M90" s="53">
        <v>124602</v>
      </c>
      <c r="N90" s="64">
        <v>11754</v>
      </c>
      <c r="O90" s="55" t="s">
        <v>777</v>
      </c>
    </row>
    <row r="91" spans="1:15" s="53" customFormat="1" ht="10.5" customHeight="1" x14ac:dyDescent="0.15">
      <c r="A91" s="950"/>
      <c r="N91" s="64"/>
      <c r="O91" s="55"/>
    </row>
    <row r="92" spans="1:15" s="53" customFormat="1" ht="10.5" customHeight="1" x14ac:dyDescent="0.15">
      <c r="A92" s="950" t="s">
        <v>778</v>
      </c>
      <c r="B92" s="53">
        <v>41272</v>
      </c>
      <c r="C92" s="53">
        <v>41272</v>
      </c>
      <c r="D92" s="53" t="s">
        <v>648</v>
      </c>
      <c r="E92" s="53" t="s">
        <v>648</v>
      </c>
      <c r="F92" s="53" t="s">
        <v>648</v>
      </c>
      <c r="G92" s="53" t="s">
        <v>648</v>
      </c>
      <c r="H92" s="53" t="s">
        <v>648</v>
      </c>
      <c r="I92" s="53" t="s">
        <v>648</v>
      </c>
      <c r="J92" s="53" t="s">
        <v>648</v>
      </c>
      <c r="K92" s="53" t="s">
        <v>648</v>
      </c>
      <c r="L92" s="53">
        <v>30639</v>
      </c>
      <c r="M92" s="53">
        <v>15319</v>
      </c>
      <c r="N92" s="64">
        <v>15320</v>
      </c>
      <c r="O92" s="55" t="s">
        <v>675</v>
      </c>
    </row>
    <row r="93" spans="1:15" s="53" customFormat="1" ht="10.5" customHeight="1" x14ac:dyDescent="0.15">
      <c r="A93" s="950" t="s">
        <v>810</v>
      </c>
      <c r="B93" s="53">
        <v>31123</v>
      </c>
      <c r="C93" s="53">
        <v>31123</v>
      </c>
      <c r="D93" s="53" t="s">
        <v>648</v>
      </c>
      <c r="E93" s="53" t="s">
        <v>648</v>
      </c>
      <c r="F93" s="53" t="s">
        <v>648</v>
      </c>
      <c r="G93" s="53" t="s">
        <v>648</v>
      </c>
      <c r="H93" s="53" t="s">
        <v>648</v>
      </c>
      <c r="I93" s="53" t="s">
        <v>648</v>
      </c>
      <c r="J93" s="53" t="s">
        <v>648</v>
      </c>
      <c r="K93" s="53" t="s">
        <v>648</v>
      </c>
      <c r="L93" s="53">
        <v>16139</v>
      </c>
      <c r="M93" s="53">
        <v>16139</v>
      </c>
      <c r="N93" s="64" t="s">
        <v>648</v>
      </c>
      <c r="O93" s="55" t="s">
        <v>80</v>
      </c>
    </row>
    <row r="94" spans="1:15" s="53" customFormat="1" ht="10.5" customHeight="1" x14ac:dyDescent="0.15">
      <c r="A94" s="950" t="s">
        <v>780</v>
      </c>
      <c r="B94" s="53" t="s">
        <v>648</v>
      </c>
      <c r="C94" s="53" t="s">
        <v>648</v>
      </c>
      <c r="D94" s="53" t="s">
        <v>648</v>
      </c>
      <c r="E94" s="53" t="s">
        <v>648</v>
      </c>
      <c r="F94" s="53" t="s">
        <v>648</v>
      </c>
      <c r="G94" s="53" t="s">
        <v>648</v>
      </c>
      <c r="H94" s="53" t="s">
        <v>648</v>
      </c>
      <c r="I94" s="53" t="s">
        <v>648</v>
      </c>
      <c r="J94" s="53" t="s">
        <v>648</v>
      </c>
      <c r="K94" s="53" t="s">
        <v>648</v>
      </c>
      <c r="L94" s="53">
        <v>20838</v>
      </c>
      <c r="M94" s="53">
        <v>20838</v>
      </c>
      <c r="N94" s="64" t="s">
        <v>648</v>
      </c>
      <c r="O94" s="55" t="s">
        <v>81</v>
      </c>
    </row>
    <row r="95" spans="1:15" s="53" customFormat="1" ht="10.5" customHeight="1" x14ac:dyDescent="0.15">
      <c r="A95" s="950" t="s">
        <v>781</v>
      </c>
      <c r="B95" s="53">
        <v>113628</v>
      </c>
      <c r="C95" s="53">
        <v>54762</v>
      </c>
      <c r="D95" s="53" t="s">
        <v>648</v>
      </c>
      <c r="E95" s="53">
        <v>58866</v>
      </c>
      <c r="F95" s="53" t="s">
        <v>648</v>
      </c>
      <c r="G95" s="53" t="s">
        <v>648</v>
      </c>
      <c r="H95" s="53" t="s">
        <v>648</v>
      </c>
      <c r="I95" s="53" t="s">
        <v>648</v>
      </c>
      <c r="J95" s="53" t="s">
        <v>648</v>
      </c>
      <c r="K95" s="53" t="s">
        <v>648</v>
      </c>
      <c r="L95" s="53">
        <v>27403</v>
      </c>
      <c r="M95" s="53">
        <v>8927</v>
      </c>
      <c r="N95" s="64">
        <v>18476</v>
      </c>
      <c r="O95" s="55" t="s">
        <v>82</v>
      </c>
    </row>
    <row r="96" spans="1:15" s="53" customFormat="1" ht="10.5" customHeight="1" x14ac:dyDescent="0.15">
      <c r="A96" s="950" t="s">
        <v>811</v>
      </c>
      <c r="B96" s="53">
        <v>31636</v>
      </c>
      <c r="C96" s="53" t="s">
        <v>648</v>
      </c>
      <c r="D96" s="53">
        <v>31636</v>
      </c>
      <c r="E96" s="53" t="s">
        <v>648</v>
      </c>
      <c r="F96" s="53" t="s">
        <v>648</v>
      </c>
      <c r="G96" s="53" t="s">
        <v>648</v>
      </c>
      <c r="H96" s="53" t="s">
        <v>648</v>
      </c>
      <c r="I96" s="53" t="s">
        <v>648</v>
      </c>
      <c r="J96" s="53" t="s">
        <v>648</v>
      </c>
      <c r="K96" s="53" t="s">
        <v>648</v>
      </c>
      <c r="L96" s="53">
        <v>19774</v>
      </c>
      <c r="M96" s="53">
        <v>19774</v>
      </c>
      <c r="N96" s="64" t="s">
        <v>648</v>
      </c>
      <c r="O96" s="56" t="s">
        <v>95</v>
      </c>
    </row>
    <row r="97" spans="1:15" s="53" customFormat="1" ht="10.5" customHeight="1" x14ac:dyDescent="0.15">
      <c r="A97" s="950" t="s">
        <v>783</v>
      </c>
      <c r="B97" s="53" t="s">
        <v>648</v>
      </c>
      <c r="C97" s="53" t="s">
        <v>648</v>
      </c>
      <c r="D97" s="53" t="s">
        <v>648</v>
      </c>
      <c r="E97" s="53" t="s">
        <v>648</v>
      </c>
      <c r="F97" s="53" t="s">
        <v>648</v>
      </c>
      <c r="G97" s="53" t="s">
        <v>648</v>
      </c>
      <c r="H97" s="53" t="s">
        <v>648</v>
      </c>
      <c r="I97" s="53" t="s">
        <v>648</v>
      </c>
      <c r="J97" s="53" t="s">
        <v>648</v>
      </c>
      <c r="K97" s="53" t="s">
        <v>648</v>
      </c>
      <c r="L97" s="53">
        <v>55352</v>
      </c>
      <c r="M97" s="53">
        <v>30975</v>
      </c>
      <c r="N97" s="64">
        <v>24377</v>
      </c>
      <c r="O97" s="55" t="s">
        <v>96</v>
      </c>
    </row>
    <row r="98" spans="1:15" s="53" customFormat="1" ht="10.5" customHeight="1" x14ac:dyDescent="0.15">
      <c r="A98" s="950" t="s">
        <v>784</v>
      </c>
      <c r="B98" s="53">
        <v>152197</v>
      </c>
      <c r="C98" s="53">
        <v>84404</v>
      </c>
      <c r="D98" s="53">
        <v>35973</v>
      </c>
      <c r="E98" s="53">
        <v>31820</v>
      </c>
      <c r="F98" s="53" t="s">
        <v>648</v>
      </c>
      <c r="G98" s="53" t="s">
        <v>648</v>
      </c>
      <c r="H98" s="53" t="s">
        <v>648</v>
      </c>
      <c r="I98" s="53" t="s">
        <v>648</v>
      </c>
      <c r="J98" s="53" t="s">
        <v>648</v>
      </c>
      <c r="K98" s="53" t="s">
        <v>648</v>
      </c>
      <c r="L98" s="53">
        <v>33217</v>
      </c>
      <c r="M98" s="53">
        <v>33217</v>
      </c>
      <c r="N98" s="64" t="s">
        <v>648</v>
      </c>
      <c r="O98" s="55" t="s">
        <v>97</v>
      </c>
    </row>
    <row r="99" spans="1:15" s="53" customFormat="1" ht="10.5" customHeight="1" x14ac:dyDescent="0.15">
      <c r="A99" s="950" t="s">
        <v>806</v>
      </c>
      <c r="B99" s="53">
        <v>149999</v>
      </c>
      <c r="C99" s="53">
        <v>149999</v>
      </c>
      <c r="D99" s="53" t="s">
        <v>648</v>
      </c>
      <c r="E99" s="53" t="s">
        <v>648</v>
      </c>
      <c r="F99" s="53" t="s">
        <v>648</v>
      </c>
      <c r="G99" s="53" t="s">
        <v>648</v>
      </c>
      <c r="H99" s="53" t="s">
        <v>648</v>
      </c>
      <c r="I99" s="53" t="s">
        <v>648</v>
      </c>
      <c r="J99" s="53" t="s">
        <v>648</v>
      </c>
      <c r="K99" s="53" t="s">
        <v>648</v>
      </c>
      <c r="L99" s="53" t="s">
        <v>648</v>
      </c>
      <c r="M99" s="53" t="s">
        <v>648</v>
      </c>
      <c r="N99" s="64" t="s">
        <v>648</v>
      </c>
      <c r="O99" s="55" t="s">
        <v>98</v>
      </c>
    </row>
    <row r="100" spans="1:15" s="53" customFormat="1" ht="10.5" customHeight="1" x14ac:dyDescent="0.15">
      <c r="A100" s="950" t="s">
        <v>786</v>
      </c>
      <c r="B100" s="53">
        <v>121060</v>
      </c>
      <c r="C100" s="53">
        <v>121060</v>
      </c>
      <c r="D100" s="53" t="s">
        <v>648</v>
      </c>
      <c r="E100" s="53" t="s">
        <v>648</v>
      </c>
      <c r="F100" s="53" t="s">
        <v>648</v>
      </c>
      <c r="G100" s="53" t="s">
        <v>648</v>
      </c>
      <c r="H100" s="53" t="s">
        <v>648</v>
      </c>
      <c r="I100" s="53" t="s">
        <v>648</v>
      </c>
      <c r="J100" s="53" t="s">
        <v>648</v>
      </c>
      <c r="K100" s="53" t="s">
        <v>648</v>
      </c>
      <c r="L100" s="53">
        <v>32996</v>
      </c>
      <c r="M100" s="53">
        <v>32996</v>
      </c>
      <c r="N100" s="64" t="s">
        <v>648</v>
      </c>
      <c r="O100" s="55" t="s">
        <v>99</v>
      </c>
    </row>
    <row r="101" spans="1:15" s="53" customFormat="1" ht="10.5" customHeight="1" x14ac:dyDescent="0.15">
      <c r="A101" s="950" t="s">
        <v>812</v>
      </c>
      <c r="B101" s="53">
        <v>39156</v>
      </c>
      <c r="C101" s="53">
        <v>7487</v>
      </c>
      <c r="D101" s="53" t="s">
        <v>648</v>
      </c>
      <c r="E101" s="53">
        <v>31669</v>
      </c>
      <c r="F101" s="53" t="s">
        <v>648</v>
      </c>
      <c r="G101" s="53" t="s">
        <v>648</v>
      </c>
      <c r="H101" s="53" t="s">
        <v>648</v>
      </c>
      <c r="I101" s="53" t="s">
        <v>648</v>
      </c>
      <c r="J101" s="53" t="s">
        <v>648</v>
      </c>
      <c r="K101" s="53" t="s">
        <v>648</v>
      </c>
      <c r="L101" s="53">
        <v>84684</v>
      </c>
      <c r="M101" s="53">
        <v>68742</v>
      </c>
      <c r="N101" s="64">
        <v>15942</v>
      </c>
      <c r="O101" s="55" t="s">
        <v>83</v>
      </c>
    </row>
    <row r="102" spans="1:15" s="53" customFormat="1" ht="10.5" customHeight="1" x14ac:dyDescent="0.15">
      <c r="A102" s="950" t="s">
        <v>788</v>
      </c>
      <c r="B102" s="53">
        <v>72596</v>
      </c>
      <c r="C102" s="53">
        <v>8420</v>
      </c>
      <c r="D102" s="53" t="s">
        <v>648</v>
      </c>
      <c r="E102" s="53">
        <v>29169</v>
      </c>
      <c r="F102" s="53" t="s">
        <v>648</v>
      </c>
      <c r="G102" s="53" t="s">
        <v>648</v>
      </c>
      <c r="H102" s="53" t="s">
        <v>648</v>
      </c>
      <c r="I102" s="53" t="s">
        <v>648</v>
      </c>
      <c r="J102" s="53" t="s">
        <v>648</v>
      </c>
      <c r="K102" s="53">
        <v>35007</v>
      </c>
      <c r="L102" s="53">
        <v>12721</v>
      </c>
      <c r="M102" s="53">
        <v>12721</v>
      </c>
      <c r="N102" s="64" t="s">
        <v>648</v>
      </c>
      <c r="O102" s="55" t="s">
        <v>84</v>
      </c>
    </row>
    <row r="103" spans="1:15" s="53" customFormat="1" ht="10.5" customHeight="1" x14ac:dyDescent="0.15">
      <c r="A103" s="950" t="s">
        <v>789</v>
      </c>
      <c r="B103" s="53" t="s">
        <v>648</v>
      </c>
      <c r="C103" s="53" t="s">
        <v>648</v>
      </c>
      <c r="D103" s="53" t="s">
        <v>648</v>
      </c>
      <c r="E103" s="53" t="s">
        <v>648</v>
      </c>
      <c r="F103" s="53" t="s">
        <v>648</v>
      </c>
      <c r="G103" s="53" t="s">
        <v>648</v>
      </c>
      <c r="H103" s="53" t="s">
        <v>648</v>
      </c>
      <c r="I103" s="53" t="s">
        <v>648</v>
      </c>
      <c r="J103" s="53" t="s">
        <v>648</v>
      </c>
      <c r="K103" s="53" t="s">
        <v>648</v>
      </c>
      <c r="L103" s="53" t="s">
        <v>648</v>
      </c>
      <c r="M103" s="53" t="s">
        <v>648</v>
      </c>
      <c r="N103" s="64" t="s">
        <v>648</v>
      </c>
      <c r="O103" s="55" t="s">
        <v>85</v>
      </c>
    </row>
    <row r="104" spans="1:15" s="53" customFormat="1" ht="10.5" customHeight="1" x14ac:dyDescent="0.15">
      <c r="A104" s="950" t="s">
        <v>813</v>
      </c>
      <c r="B104" s="53">
        <v>44046</v>
      </c>
      <c r="C104" s="53" t="s">
        <v>648</v>
      </c>
      <c r="D104" s="53" t="s">
        <v>648</v>
      </c>
      <c r="E104" s="53">
        <v>44046</v>
      </c>
      <c r="F104" s="53" t="s">
        <v>648</v>
      </c>
      <c r="G104" s="53" t="s">
        <v>648</v>
      </c>
      <c r="H104" s="53" t="s">
        <v>648</v>
      </c>
      <c r="I104" s="53" t="s">
        <v>648</v>
      </c>
      <c r="J104" s="53" t="s">
        <v>648</v>
      </c>
      <c r="K104" s="53" t="s">
        <v>648</v>
      </c>
      <c r="L104" s="53">
        <v>98714</v>
      </c>
      <c r="M104" s="53">
        <v>86960</v>
      </c>
      <c r="N104" s="64">
        <v>11754</v>
      </c>
      <c r="O104" s="55" t="s">
        <v>791</v>
      </c>
    </row>
    <row r="105" spans="1:15" s="53" customFormat="1" ht="10.5" customHeight="1" x14ac:dyDescent="0.15">
      <c r="A105" s="950" t="s">
        <v>792</v>
      </c>
      <c r="B105" s="53">
        <v>15839</v>
      </c>
      <c r="C105" s="53" t="s">
        <v>648</v>
      </c>
      <c r="D105" s="53" t="s">
        <v>648</v>
      </c>
      <c r="E105" s="53">
        <v>15839</v>
      </c>
      <c r="F105" s="53" t="s">
        <v>648</v>
      </c>
      <c r="G105" s="53" t="s">
        <v>648</v>
      </c>
      <c r="H105" s="53" t="s">
        <v>648</v>
      </c>
      <c r="I105" s="53" t="s">
        <v>648</v>
      </c>
      <c r="J105" s="53" t="s">
        <v>648</v>
      </c>
      <c r="K105" s="53" t="s">
        <v>648</v>
      </c>
      <c r="L105" s="53">
        <v>20203</v>
      </c>
      <c r="M105" s="53">
        <v>20203</v>
      </c>
      <c r="N105" s="64" t="s">
        <v>648</v>
      </c>
      <c r="O105" s="55" t="s">
        <v>80</v>
      </c>
    </row>
    <row r="106" spans="1:15" s="53" customFormat="1" ht="10.5" customHeight="1" x14ac:dyDescent="0.15">
      <c r="A106" s="951" t="s">
        <v>793</v>
      </c>
      <c r="B106" s="57">
        <v>108588</v>
      </c>
      <c r="C106" s="58">
        <v>71273</v>
      </c>
      <c r="D106" s="58" t="s">
        <v>648</v>
      </c>
      <c r="E106" s="58">
        <v>37315</v>
      </c>
      <c r="F106" s="58" t="s">
        <v>648</v>
      </c>
      <c r="G106" s="58" t="s">
        <v>648</v>
      </c>
      <c r="H106" s="58" t="s">
        <v>648</v>
      </c>
      <c r="I106" s="58" t="s">
        <v>648</v>
      </c>
      <c r="J106" s="58" t="s">
        <v>648</v>
      </c>
      <c r="K106" s="58" t="s">
        <v>648</v>
      </c>
      <c r="L106" s="58">
        <v>17439</v>
      </c>
      <c r="M106" s="58">
        <v>17439</v>
      </c>
      <c r="N106" s="65" t="s">
        <v>648</v>
      </c>
      <c r="O106" s="59" t="s">
        <v>81</v>
      </c>
    </row>
    <row r="107" spans="1:15" ht="9" customHeight="1" x14ac:dyDescent="0.35"/>
    <row r="108" spans="1:15" ht="13.5" customHeight="1" x14ac:dyDescent="0.35"/>
  </sheetData>
  <mergeCells count="3">
    <mergeCell ref="R4:R6"/>
    <mergeCell ref="R39:R41"/>
    <mergeCell ref="O74:O76"/>
  </mergeCells>
  <phoneticPr fontId="30"/>
  <pageMargins left="0.59055118110236227" right="0.59055118110236227" top="0.59055118110236227" bottom="0.59055118110236227" header="0.19685039370078741" footer="0.19685039370078741"/>
  <pageSetup paperSize="9" scale="90" pageOrder="overThenDown" orientation="portrait" r:id="rId1"/>
  <headerFooter alignWithMargins="0"/>
  <rowBreaks count="1" manualBreakCount="1">
    <brk id="71" max="17" man="1"/>
  </rowBreaks>
  <colBreaks count="1" manualBreakCount="1">
    <brk id="9" max="10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3"/>
  <sheetViews>
    <sheetView view="pageBreakPreview" zoomScaleNormal="100" zoomScaleSheetLayoutView="100" workbookViewId="0">
      <pane xSplit="1" topLeftCell="B1" activePane="topRight" state="frozen"/>
      <selection pane="topRight" activeCell="A2" sqref="A2"/>
    </sheetView>
  </sheetViews>
  <sheetFormatPr defaultColWidth="9" defaultRowHeight="23.5" x14ac:dyDescent="0.35"/>
  <cols>
    <col min="1" max="1" width="16.08984375" style="11" customWidth="1"/>
    <col min="2" max="12" width="9.453125" style="11" customWidth="1"/>
    <col min="13" max="13" width="9.36328125" style="11" customWidth="1"/>
    <col min="14" max="17" width="9.453125" style="11" customWidth="1"/>
    <col min="18" max="18" width="10.7265625" style="11" customWidth="1"/>
    <col min="19" max="19" width="10.90625" style="12" customWidth="1"/>
    <col min="20" max="20" width="9.453125" style="12" customWidth="1"/>
    <col min="21" max="21" width="9.36328125" style="12" customWidth="1"/>
    <col min="22" max="22" width="11.08984375" style="12" customWidth="1"/>
    <col min="23" max="23" width="9.90625" style="12" customWidth="1"/>
    <col min="24" max="24" width="10.453125" style="12" customWidth="1"/>
    <col min="25" max="25" width="22.6328125" style="12" customWidth="1"/>
    <col min="26" max="26" width="25.6328125" style="11" customWidth="1"/>
    <col min="27" max="27" width="21.08984375" style="11" customWidth="1"/>
    <col min="28" max="28" width="20.90625" style="11" customWidth="1"/>
    <col min="29" max="29" width="21.26953125" style="11" customWidth="1"/>
    <col min="30" max="30" width="20.453125" style="11" customWidth="1"/>
    <col min="31" max="31" width="19.7265625" style="11" customWidth="1"/>
    <col min="32" max="32" width="20.7265625" style="11" customWidth="1"/>
    <col min="33" max="33" width="19.7265625" style="11" customWidth="1"/>
    <col min="34" max="16384" width="9" style="11"/>
  </cols>
  <sheetData>
    <row r="1" spans="1:25" ht="5.25" customHeight="1" x14ac:dyDescent="0.35">
      <c r="Y1" s="11"/>
    </row>
    <row r="2" spans="1:25" ht="9.75" customHeight="1" x14ac:dyDescent="0.35">
      <c r="A2" s="13"/>
      <c r="Y2" s="11"/>
    </row>
    <row r="3" spans="1:25" ht="18" customHeight="1" x14ac:dyDescent="0.35">
      <c r="A3" s="1066" t="s">
        <v>39</v>
      </c>
      <c r="B3" s="1066"/>
      <c r="C3" s="1066"/>
      <c r="D3" s="1066"/>
      <c r="E3" s="1066"/>
      <c r="F3" s="952"/>
      <c r="I3" s="34" t="s">
        <v>483</v>
      </c>
      <c r="K3" s="34"/>
      <c r="L3" s="34"/>
      <c r="Q3" s="32" t="s">
        <v>484</v>
      </c>
      <c r="R3" s="32"/>
      <c r="W3" s="32"/>
      <c r="X3" s="32"/>
      <c r="Y3" s="11"/>
    </row>
    <row r="4" spans="1:25" s="21" customFormat="1" ht="11.25" customHeight="1" x14ac:dyDescent="0.15">
      <c r="A4" s="66"/>
      <c r="B4" s="67"/>
      <c r="C4" s="37"/>
      <c r="D4" s="68"/>
      <c r="E4" s="68"/>
      <c r="F4" s="66"/>
      <c r="G4" s="37"/>
      <c r="H4" s="68"/>
      <c r="I4" s="68"/>
      <c r="J4" s="68"/>
      <c r="K4" s="68"/>
      <c r="L4" s="68"/>
      <c r="M4" s="68"/>
      <c r="N4" s="68"/>
      <c r="O4" s="68"/>
      <c r="P4" s="68"/>
      <c r="Q4" s="68"/>
      <c r="R4" s="1063" t="s">
        <v>86</v>
      </c>
      <c r="S4" s="19"/>
      <c r="T4" s="19"/>
      <c r="U4" s="19"/>
      <c r="V4" s="19"/>
      <c r="W4" s="19"/>
      <c r="X4" s="19"/>
      <c r="Y4" s="19"/>
    </row>
    <row r="5" spans="1:25" s="69" customFormat="1" ht="28.5" customHeight="1" x14ac:dyDescent="0.2">
      <c r="A5" s="35" t="s">
        <v>194</v>
      </c>
      <c r="B5" s="16" t="s">
        <v>61</v>
      </c>
      <c r="C5" s="16" t="s">
        <v>122</v>
      </c>
      <c r="D5" s="904" t="s">
        <v>469</v>
      </c>
      <c r="E5" s="20"/>
      <c r="F5" s="84"/>
      <c r="G5" s="16" t="s">
        <v>88</v>
      </c>
      <c r="H5" s="904" t="s">
        <v>814</v>
      </c>
      <c r="I5" s="20"/>
      <c r="J5" s="20"/>
      <c r="K5" s="20"/>
      <c r="L5" s="20"/>
      <c r="M5" s="20"/>
      <c r="N5" s="84"/>
      <c r="O5" s="14" t="s">
        <v>676</v>
      </c>
      <c r="P5" s="904" t="s">
        <v>130</v>
      </c>
      <c r="Q5" s="20"/>
      <c r="R5" s="1064"/>
      <c r="S5" s="15"/>
      <c r="T5" s="15"/>
      <c r="U5" s="15"/>
      <c r="V5" s="15"/>
      <c r="W5" s="15"/>
      <c r="X5" s="15"/>
      <c r="Y5" s="15"/>
    </row>
    <row r="6" spans="1:25" s="69" customFormat="1" ht="28.5" customHeight="1" x14ac:dyDescent="0.2">
      <c r="A6" s="35"/>
      <c r="B6" s="16" t="s">
        <v>60</v>
      </c>
      <c r="C6" s="16" t="s">
        <v>90</v>
      </c>
      <c r="D6" s="16" t="s">
        <v>77</v>
      </c>
      <c r="E6" s="14" t="s">
        <v>815</v>
      </c>
      <c r="F6" s="14" t="s">
        <v>816</v>
      </c>
      <c r="G6" s="16" t="s">
        <v>91</v>
      </c>
      <c r="H6" s="16" t="s">
        <v>40</v>
      </c>
      <c r="I6" s="14" t="s">
        <v>124</v>
      </c>
      <c r="J6" s="14" t="s">
        <v>125</v>
      </c>
      <c r="K6" s="14" t="s">
        <v>126</v>
      </c>
      <c r="L6" s="14" t="s">
        <v>127</v>
      </c>
      <c r="M6" s="14" t="s">
        <v>128</v>
      </c>
      <c r="N6" s="14" t="s">
        <v>817</v>
      </c>
      <c r="O6" s="14" t="s">
        <v>818</v>
      </c>
      <c r="P6" s="16" t="s">
        <v>19</v>
      </c>
      <c r="Q6" s="904" t="s">
        <v>131</v>
      </c>
      <c r="R6" s="1064"/>
      <c r="S6" s="15"/>
      <c r="T6" s="15"/>
      <c r="U6" s="15"/>
      <c r="V6" s="15"/>
      <c r="W6" s="15"/>
      <c r="X6" s="15"/>
      <c r="Y6" s="15"/>
    </row>
    <row r="7" spans="1:25" s="69" customFormat="1" ht="12" customHeight="1" x14ac:dyDescent="0.2">
      <c r="A7" s="35"/>
      <c r="B7" s="18"/>
      <c r="C7" s="18"/>
      <c r="D7" s="18"/>
      <c r="E7" s="18" t="str">
        <f>PROPER("CPC-B")</f>
        <v>Cpc-B</v>
      </c>
      <c r="F7" s="18" t="str">
        <f>PROPER("ZAIKMN-C")</f>
        <v>Zaikmn-C</v>
      </c>
      <c r="G7" s="18"/>
      <c r="H7" s="18"/>
      <c r="I7" s="18" t="str">
        <f>PROPER("BACH HO")</f>
        <v>Bach Ho</v>
      </c>
      <c r="J7" s="18" t="str">
        <f>PROPER("DAI HUNG")</f>
        <v>Dai Hung</v>
      </c>
      <c r="K7" s="18" t="str">
        <f>PROPER("RUBY")</f>
        <v>Ruby</v>
      </c>
      <c r="L7" s="18" t="str">
        <f>PROPER("SUTUDEN")</f>
        <v>Sutuden</v>
      </c>
      <c r="M7" s="18" t="str">
        <f>PROPER("CHIM-SAO")</f>
        <v>Chim-Sao</v>
      </c>
      <c r="N7" s="18" t="str">
        <f>PROPER("TANGLONG")</f>
        <v>Tanglong</v>
      </c>
      <c r="O7" s="18" t="str">
        <f>PROPER("THAI-FO")</f>
        <v>Thai-Fo</v>
      </c>
      <c r="P7" s="18"/>
      <c r="Q7" s="17" t="str">
        <f>PROPER("TAPIS-B")</f>
        <v>Tapis-B</v>
      </c>
      <c r="R7" s="1065"/>
      <c r="S7" s="15"/>
      <c r="T7" s="15"/>
      <c r="U7" s="15"/>
      <c r="V7" s="15"/>
      <c r="W7" s="15"/>
      <c r="X7" s="15"/>
      <c r="Y7" s="15"/>
    </row>
    <row r="8" spans="1:25" s="74" customFormat="1" ht="10.5" customHeight="1" x14ac:dyDescent="0.15">
      <c r="A8" s="949" t="s">
        <v>763</v>
      </c>
      <c r="B8" s="70">
        <v>187638721</v>
      </c>
      <c r="C8" s="71">
        <v>1847420</v>
      </c>
      <c r="D8" s="71">
        <v>1847420</v>
      </c>
      <c r="E8" s="71">
        <v>1765833</v>
      </c>
      <c r="F8" s="71">
        <v>81587</v>
      </c>
      <c r="G8" s="71">
        <v>4203820</v>
      </c>
      <c r="H8" s="71">
        <v>1025612</v>
      </c>
      <c r="I8" s="71">
        <v>82994</v>
      </c>
      <c r="J8" s="71" t="s">
        <v>648</v>
      </c>
      <c r="K8" s="71">
        <v>242913</v>
      </c>
      <c r="L8" s="71">
        <v>363169</v>
      </c>
      <c r="M8" s="71">
        <v>336536</v>
      </c>
      <c r="N8" s="71" t="s">
        <v>648</v>
      </c>
      <c r="O8" s="71" t="s">
        <v>648</v>
      </c>
      <c r="P8" s="71">
        <v>851350</v>
      </c>
      <c r="Q8" s="71" t="s">
        <v>648</v>
      </c>
      <c r="R8" s="72" t="s">
        <v>464</v>
      </c>
      <c r="S8" s="73"/>
      <c r="T8" s="73"/>
      <c r="U8" s="73"/>
      <c r="V8" s="73"/>
      <c r="W8" s="73"/>
      <c r="X8" s="73"/>
      <c r="Y8" s="73"/>
    </row>
    <row r="9" spans="1:25" s="74" customFormat="1" ht="10.5" customHeight="1" x14ac:dyDescent="0.15">
      <c r="A9" s="950" t="s">
        <v>764</v>
      </c>
      <c r="B9" s="75">
        <v>177477098</v>
      </c>
      <c r="C9" s="74">
        <v>2019665</v>
      </c>
      <c r="D9" s="74">
        <v>2019665</v>
      </c>
      <c r="E9" s="74">
        <v>2019665</v>
      </c>
      <c r="F9" s="74" t="s">
        <v>648</v>
      </c>
      <c r="G9" s="74">
        <v>2937844</v>
      </c>
      <c r="H9" s="74">
        <v>516234</v>
      </c>
      <c r="I9" s="74">
        <v>116101</v>
      </c>
      <c r="J9" s="74" t="s">
        <v>648</v>
      </c>
      <c r="K9" s="74">
        <v>111896</v>
      </c>
      <c r="L9" s="74" t="s">
        <v>648</v>
      </c>
      <c r="M9" s="74">
        <v>288237</v>
      </c>
      <c r="N9" s="74" t="s">
        <v>648</v>
      </c>
      <c r="O9" s="74" t="s">
        <v>648</v>
      </c>
      <c r="P9" s="74">
        <v>836043</v>
      </c>
      <c r="Q9" s="74">
        <v>30444</v>
      </c>
      <c r="R9" s="76" t="s">
        <v>489</v>
      </c>
      <c r="S9" s="73"/>
      <c r="T9" s="73"/>
      <c r="U9" s="73"/>
      <c r="V9" s="73"/>
      <c r="W9" s="73"/>
      <c r="X9" s="73"/>
      <c r="Y9" s="73"/>
    </row>
    <row r="10" spans="1:25" s="74" customFormat="1" ht="10.5" customHeight="1" x14ac:dyDescent="0.15">
      <c r="A10" s="950" t="s">
        <v>765</v>
      </c>
      <c r="B10" s="75">
        <v>175488885</v>
      </c>
      <c r="C10" s="74">
        <v>1092458</v>
      </c>
      <c r="D10" s="74">
        <v>1092458</v>
      </c>
      <c r="E10" s="74">
        <v>1092458</v>
      </c>
      <c r="F10" s="74" t="s">
        <v>648</v>
      </c>
      <c r="G10" s="74">
        <v>1827860</v>
      </c>
      <c r="H10" s="74">
        <v>586629</v>
      </c>
      <c r="I10" s="74">
        <v>37872</v>
      </c>
      <c r="J10" s="74">
        <v>126757</v>
      </c>
      <c r="K10" s="74" t="s">
        <v>648</v>
      </c>
      <c r="L10" s="74">
        <v>236789</v>
      </c>
      <c r="M10" s="74">
        <v>185211</v>
      </c>
      <c r="N10" s="74" t="s">
        <v>648</v>
      </c>
      <c r="O10" s="74" t="s">
        <v>648</v>
      </c>
      <c r="P10" s="74">
        <v>751894</v>
      </c>
      <c r="Q10" s="74" t="s">
        <v>648</v>
      </c>
      <c r="R10" s="76" t="s">
        <v>549</v>
      </c>
      <c r="S10" s="73"/>
      <c r="T10" s="73"/>
      <c r="U10" s="73"/>
      <c r="V10" s="73"/>
      <c r="W10" s="73"/>
      <c r="X10" s="73"/>
      <c r="Y10" s="73"/>
    </row>
    <row r="11" spans="1:25" s="74" customFormat="1" ht="10.5" customHeight="1" x14ac:dyDescent="0.15">
      <c r="A11" s="950" t="s">
        <v>766</v>
      </c>
      <c r="B11" s="75">
        <v>143879667</v>
      </c>
      <c r="C11" s="74">
        <v>998907</v>
      </c>
      <c r="D11" s="74">
        <v>998907</v>
      </c>
      <c r="E11" s="74">
        <v>998907</v>
      </c>
      <c r="F11" s="74" t="s">
        <v>648</v>
      </c>
      <c r="G11" s="74">
        <v>1168949</v>
      </c>
      <c r="H11" s="74">
        <v>397479</v>
      </c>
      <c r="I11" s="74">
        <v>144883</v>
      </c>
      <c r="J11" s="74">
        <v>111767</v>
      </c>
      <c r="K11" s="74">
        <v>46056</v>
      </c>
      <c r="L11" s="74">
        <v>47380</v>
      </c>
      <c r="M11" s="74">
        <v>47393</v>
      </c>
      <c r="N11" s="74" t="s">
        <v>648</v>
      </c>
      <c r="O11" s="74">
        <v>11177</v>
      </c>
      <c r="P11" s="74">
        <v>667645</v>
      </c>
      <c r="Q11" s="74" t="s">
        <v>648</v>
      </c>
      <c r="R11" s="76" t="s">
        <v>672</v>
      </c>
      <c r="S11" s="73"/>
      <c r="T11" s="73"/>
      <c r="U11" s="73"/>
      <c r="V11" s="73"/>
      <c r="W11" s="73"/>
      <c r="X11" s="73"/>
      <c r="Y11" s="73"/>
    </row>
    <row r="12" spans="1:25" s="74" customFormat="1" ht="10.5" customHeight="1" x14ac:dyDescent="0.15">
      <c r="A12" s="950" t="s">
        <v>767</v>
      </c>
      <c r="B12" s="75">
        <v>144662684</v>
      </c>
      <c r="C12" s="74">
        <v>166004</v>
      </c>
      <c r="D12" s="74">
        <v>166004</v>
      </c>
      <c r="E12" s="74">
        <v>166004</v>
      </c>
      <c r="F12" s="74" t="s">
        <v>648</v>
      </c>
      <c r="G12" s="74">
        <v>1244456</v>
      </c>
      <c r="H12" s="74">
        <v>321963</v>
      </c>
      <c r="I12" s="74" t="s">
        <v>648</v>
      </c>
      <c r="J12" s="74" t="s">
        <v>648</v>
      </c>
      <c r="K12" s="74">
        <v>139963</v>
      </c>
      <c r="L12" s="74">
        <v>95040</v>
      </c>
      <c r="M12" s="74">
        <v>47483</v>
      </c>
      <c r="N12" s="74">
        <v>39477</v>
      </c>
      <c r="O12" s="74">
        <v>49688</v>
      </c>
      <c r="P12" s="74">
        <v>516977</v>
      </c>
      <c r="Q12" s="74" t="s">
        <v>648</v>
      </c>
      <c r="R12" s="76" t="s">
        <v>768</v>
      </c>
      <c r="S12" s="73"/>
      <c r="T12" s="73"/>
      <c r="U12" s="73"/>
      <c r="V12" s="73"/>
      <c r="W12" s="73"/>
      <c r="X12" s="73"/>
      <c r="Y12" s="73"/>
    </row>
    <row r="13" spans="1:25" s="74" customFormat="1" ht="10.5" customHeight="1" x14ac:dyDescent="0.15">
      <c r="A13" s="950"/>
      <c r="B13" s="75"/>
      <c r="R13" s="76"/>
      <c r="S13" s="73"/>
      <c r="T13" s="73"/>
      <c r="U13" s="73"/>
      <c r="V13" s="73"/>
      <c r="W13" s="73"/>
      <c r="X13" s="73"/>
      <c r="Y13" s="73"/>
    </row>
    <row r="14" spans="1:25" s="74" customFormat="1" ht="10.5" customHeight="1" x14ac:dyDescent="0.15">
      <c r="A14" s="950" t="s">
        <v>799</v>
      </c>
      <c r="B14" s="75">
        <v>136462606</v>
      </c>
      <c r="C14" s="74">
        <v>452031</v>
      </c>
      <c r="D14" s="74">
        <v>452031</v>
      </c>
      <c r="E14" s="74">
        <v>452031</v>
      </c>
      <c r="F14" s="74" t="s">
        <v>648</v>
      </c>
      <c r="G14" s="74">
        <v>1288441</v>
      </c>
      <c r="H14" s="74">
        <v>334350</v>
      </c>
      <c r="I14" s="74">
        <v>144883</v>
      </c>
      <c r="J14" s="74">
        <v>47681</v>
      </c>
      <c r="K14" s="74">
        <v>47013</v>
      </c>
      <c r="L14" s="74">
        <v>47380</v>
      </c>
      <c r="M14" s="74">
        <v>47393</v>
      </c>
      <c r="N14" s="74" t="s">
        <v>648</v>
      </c>
      <c r="O14" s="74">
        <v>25768</v>
      </c>
      <c r="P14" s="74">
        <v>670441</v>
      </c>
      <c r="Q14" s="74" t="s">
        <v>648</v>
      </c>
      <c r="R14" s="76" t="s">
        <v>673</v>
      </c>
      <c r="S14" s="73"/>
      <c r="T14" s="73"/>
      <c r="U14" s="73"/>
      <c r="V14" s="73"/>
      <c r="W14" s="73"/>
      <c r="X14" s="73"/>
      <c r="Y14" s="73"/>
    </row>
    <row r="15" spans="1:25" s="74" customFormat="1" ht="10.5" customHeight="1" x14ac:dyDescent="0.15">
      <c r="A15" s="950" t="s">
        <v>800</v>
      </c>
      <c r="B15" s="75">
        <v>148903593</v>
      </c>
      <c r="C15" s="74">
        <v>338339</v>
      </c>
      <c r="D15" s="74">
        <v>338339</v>
      </c>
      <c r="E15" s="74">
        <v>338339</v>
      </c>
      <c r="F15" s="74" t="s">
        <v>648</v>
      </c>
      <c r="G15" s="74">
        <v>1177159</v>
      </c>
      <c r="H15" s="74">
        <v>367365</v>
      </c>
      <c r="I15" s="74" t="s">
        <v>648</v>
      </c>
      <c r="J15" s="74" t="s">
        <v>648</v>
      </c>
      <c r="K15" s="74">
        <v>92950</v>
      </c>
      <c r="L15" s="74">
        <v>140081</v>
      </c>
      <c r="M15" s="74">
        <v>94857</v>
      </c>
      <c r="N15" s="74">
        <v>39477</v>
      </c>
      <c r="O15" s="74">
        <v>41905</v>
      </c>
      <c r="P15" s="74">
        <v>485322</v>
      </c>
      <c r="Q15" s="74" t="s">
        <v>648</v>
      </c>
      <c r="R15" s="76" t="s">
        <v>771</v>
      </c>
      <c r="S15" s="73"/>
      <c r="T15" s="73"/>
      <c r="U15" s="73"/>
      <c r="V15" s="73"/>
      <c r="W15" s="73"/>
      <c r="X15" s="73"/>
      <c r="Y15" s="73"/>
    </row>
    <row r="16" spans="1:25" s="74" customFormat="1" ht="10.5" customHeight="1" x14ac:dyDescent="0.15">
      <c r="A16" s="950"/>
      <c r="B16" s="75"/>
      <c r="R16" s="76"/>
      <c r="S16" s="73"/>
      <c r="T16" s="73"/>
      <c r="U16" s="73"/>
      <c r="V16" s="73"/>
      <c r="W16" s="73"/>
      <c r="X16" s="73"/>
      <c r="Y16" s="73"/>
    </row>
    <row r="17" spans="1:25" s="74" customFormat="1" ht="10.5" customHeight="1" x14ac:dyDescent="0.15">
      <c r="A17" s="950" t="s">
        <v>772</v>
      </c>
      <c r="B17" s="75">
        <v>35758521</v>
      </c>
      <c r="C17" s="74" t="s">
        <v>648</v>
      </c>
      <c r="D17" s="74" t="s">
        <v>648</v>
      </c>
      <c r="E17" s="74" t="s">
        <v>648</v>
      </c>
      <c r="F17" s="74" t="s">
        <v>648</v>
      </c>
      <c r="G17" s="74">
        <v>384897</v>
      </c>
      <c r="H17" s="74">
        <v>47013</v>
      </c>
      <c r="I17" s="74" t="s">
        <v>648</v>
      </c>
      <c r="J17" s="74" t="s">
        <v>648</v>
      </c>
      <c r="K17" s="74">
        <v>47013</v>
      </c>
      <c r="L17" s="74" t="s">
        <v>648</v>
      </c>
      <c r="M17" s="74" t="s">
        <v>648</v>
      </c>
      <c r="N17" s="74" t="s">
        <v>648</v>
      </c>
      <c r="O17" s="74">
        <v>14591</v>
      </c>
      <c r="P17" s="74">
        <v>158059</v>
      </c>
      <c r="Q17" s="74" t="s">
        <v>648</v>
      </c>
      <c r="R17" s="76" t="s">
        <v>674</v>
      </c>
      <c r="S17" s="73"/>
      <c r="T17" s="73"/>
      <c r="U17" s="73"/>
      <c r="V17" s="73"/>
      <c r="W17" s="73"/>
      <c r="X17" s="73"/>
      <c r="Y17" s="73"/>
    </row>
    <row r="18" spans="1:25" s="74" customFormat="1" ht="10.5" customHeight="1" x14ac:dyDescent="0.15">
      <c r="A18" s="950" t="s">
        <v>773</v>
      </c>
      <c r="B18" s="75">
        <v>33807642</v>
      </c>
      <c r="C18" s="74" t="s">
        <v>648</v>
      </c>
      <c r="D18" s="74" t="s">
        <v>648</v>
      </c>
      <c r="E18" s="74" t="s">
        <v>648</v>
      </c>
      <c r="F18" s="74" t="s">
        <v>648</v>
      </c>
      <c r="G18" s="74">
        <v>208070</v>
      </c>
      <c r="H18" s="74">
        <v>47598</v>
      </c>
      <c r="I18" s="74" t="s">
        <v>648</v>
      </c>
      <c r="J18" s="74" t="s">
        <v>648</v>
      </c>
      <c r="K18" s="74">
        <v>47598</v>
      </c>
      <c r="L18" s="74" t="s">
        <v>648</v>
      </c>
      <c r="M18" s="74" t="s">
        <v>648</v>
      </c>
      <c r="N18" s="74" t="s">
        <v>648</v>
      </c>
      <c r="O18" s="74" t="s">
        <v>648</v>
      </c>
      <c r="P18" s="74">
        <v>137849</v>
      </c>
      <c r="Q18" s="74" t="s">
        <v>648</v>
      </c>
      <c r="R18" s="76" t="s">
        <v>92</v>
      </c>
      <c r="S18" s="73"/>
      <c r="T18" s="73"/>
      <c r="U18" s="73"/>
      <c r="V18" s="73"/>
      <c r="W18" s="73"/>
      <c r="X18" s="73"/>
      <c r="Y18" s="73"/>
    </row>
    <row r="19" spans="1:25" s="74" customFormat="1" ht="10.5" customHeight="1" x14ac:dyDescent="0.15">
      <c r="A19" s="950" t="s">
        <v>774</v>
      </c>
      <c r="B19" s="75">
        <v>35477274</v>
      </c>
      <c r="C19" s="74">
        <v>166004</v>
      </c>
      <c r="D19" s="74">
        <v>166004</v>
      </c>
      <c r="E19" s="74">
        <v>166004</v>
      </c>
      <c r="F19" s="74" t="s">
        <v>648</v>
      </c>
      <c r="G19" s="74">
        <v>398190</v>
      </c>
      <c r="H19" s="74">
        <v>179869</v>
      </c>
      <c r="I19" s="74" t="s">
        <v>648</v>
      </c>
      <c r="J19" s="74" t="s">
        <v>648</v>
      </c>
      <c r="K19" s="74">
        <v>45352</v>
      </c>
      <c r="L19" s="74">
        <v>95040</v>
      </c>
      <c r="M19" s="74" t="s">
        <v>648</v>
      </c>
      <c r="N19" s="74">
        <v>39477</v>
      </c>
      <c r="O19" s="74">
        <v>21093</v>
      </c>
      <c r="P19" s="74">
        <v>116497</v>
      </c>
      <c r="Q19" s="74" t="s">
        <v>648</v>
      </c>
      <c r="R19" s="76" t="s">
        <v>93</v>
      </c>
      <c r="S19" s="73"/>
      <c r="T19" s="73"/>
      <c r="U19" s="73"/>
      <c r="V19" s="73"/>
      <c r="W19" s="73"/>
      <c r="X19" s="73"/>
      <c r="Y19" s="73"/>
    </row>
    <row r="20" spans="1:25" s="74" customFormat="1" ht="10.5" customHeight="1" x14ac:dyDescent="0.15">
      <c r="A20" s="950" t="s">
        <v>801</v>
      </c>
      <c r="B20" s="75">
        <v>39619247</v>
      </c>
      <c r="C20" s="74" t="s">
        <v>648</v>
      </c>
      <c r="D20" s="74" t="s">
        <v>648</v>
      </c>
      <c r="E20" s="74" t="s">
        <v>648</v>
      </c>
      <c r="F20" s="74" t="s">
        <v>648</v>
      </c>
      <c r="G20" s="74">
        <v>253299</v>
      </c>
      <c r="H20" s="74">
        <v>47483</v>
      </c>
      <c r="I20" s="74" t="s">
        <v>648</v>
      </c>
      <c r="J20" s="74" t="s">
        <v>648</v>
      </c>
      <c r="K20" s="74" t="s">
        <v>648</v>
      </c>
      <c r="L20" s="74" t="s">
        <v>648</v>
      </c>
      <c r="M20" s="74">
        <v>47483</v>
      </c>
      <c r="N20" s="74" t="s">
        <v>648</v>
      </c>
      <c r="O20" s="74">
        <v>14004</v>
      </c>
      <c r="P20" s="74">
        <v>104572</v>
      </c>
      <c r="Q20" s="74" t="s">
        <v>648</v>
      </c>
      <c r="R20" s="76" t="s">
        <v>94</v>
      </c>
      <c r="S20" s="73"/>
      <c r="T20" s="73"/>
      <c r="U20" s="73"/>
      <c r="V20" s="73"/>
      <c r="W20" s="73"/>
      <c r="X20" s="73"/>
      <c r="Y20" s="73"/>
    </row>
    <row r="21" spans="1:25" s="74" customFormat="1" ht="10.5" customHeight="1" x14ac:dyDescent="0.15">
      <c r="A21" s="950" t="s">
        <v>809</v>
      </c>
      <c r="B21" s="75">
        <v>39999430</v>
      </c>
      <c r="C21" s="74">
        <v>172335</v>
      </c>
      <c r="D21" s="74">
        <v>172335</v>
      </c>
      <c r="E21" s="74">
        <v>172335</v>
      </c>
      <c r="F21" s="74" t="s">
        <v>648</v>
      </c>
      <c r="G21" s="74">
        <v>317600</v>
      </c>
      <c r="H21" s="74">
        <v>92415</v>
      </c>
      <c r="I21" s="74" t="s">
        <v>648</v>
      </c>
      <c r="J21" s="74" t="s">
        <v>648</v>
      </c>
      <c r="K21" s="74" t="s">
        <v>648</v>
      </c>
      <c r="L21" s="74">
        <v>45041</v>
      </c>
      <c r="M21" s="74">
        <v>47374</v>
      </c>
      <c r="N21" s="74" t="s">
        <v>648</v>
      </c>
      <c r="O21" s="74">
        <v>6808</v>
      </c>
      <c r="P21" s="74">
        <v>126404</v>
      </c>
      <c r="Q21" s="74" t="s">
        <v>648</v>
      </c>
      <c r="R21" s="76" t="s">
        <v>777</v>
      </c>
      <c r="S21" s="73"/>
      <c r="T21" s="73"/>
      <c r="U21" s="73"/>
      <c r="V21" s="73"/>
      <c r="W21" s="73"/>
      <c r="X21" s="73"/>
      <c r="Y21" s="73"/>
    </row>
    <row r="22" spans="1:25" s="74" customFormat="1" ht="10.5" customHeight="1" x14ac:dyDescent="0.15">
      <c r="A22" s="950"/>
      <c r="B22" s="75"/>
      <c r="R22" s="76"/>
      <c r="S22" s="73"/>
      <c r="T22" s="73"/>
      <c r="U22" s="73"/>
      <c r="V22" s="73"/>
      <c r="W22" s="73"/>
      <c r="X22" s="73"/>
      <c r="Y22" s="73"/>
    </row>
    <row r="23" spans="1:25" s="74" customFormat="1" ht="10.5" customHeight="1" x14ac:dyDescent="0.15">
      <c r="A23" s="950" t="s">
        <v>778</v>
      </c>
      <c r="B23" s="75">
        <v>12720192</v>
      </c>
      <c r="C23" s="74" t="s">
        <v>648</v>
      </c>
      <c r="D23" s="74" t="s">
        <v>648</v>
      </c>
      <c r="E23" s="74" t="s">
        <v>648</v>
      </c>
      <c r="F23" s="74" t="s">
        <v>648</v>
      </c>
      <c r="G23" s="74">
        <v>191149</v>
      </c>
      <c r="H23" s="74">
        <v>47013</v>
      </c>
      <c r="I23" s="74" t="s">
        <v>648</v>
      </c>
      <c r="J23" s="74" t="s">
        <v>648</v>
      </c>
      <c r="K23" s="74">
        <v>47013</v>
      </c>
      <c r="L23" s="74" t="s">
        <v>648</v>
      </c>
      <c r="M23" s="74" t="s">
        <v>648</v>
      </c>
      <c r="N23" s="74" t="s">
        <v>648</v>
      </c>
      <c r="O23" s="74">
        <v>7390</v>
      </c>
      <c r="P23" s="74">
        <v>95096</v>
      </c>
      <c r="Q23" s="74" t="s">
        <v>648</v>
      </c>
      <c r="R23" s="76" t="s">
        <v>675</v>
      </c>
      <c r="S23" s="73"/>
      <c r="T23" s="73"/>
      <c r="U23" s="73"/>
      <c r="V23" s="73"/>
      <c r="W23" s="73"/>
      <c r="X23" s="73"/>
      <c r="Y23" s="73"/>
    </row>
    <row r="24" spans="1:25" s="74" customFormat="1" ht="10.5" customHeight="1" x14ac:dyDescent="0.15">
      <c r="A24" s="950" t="s">
        <v>779</v>
      </c>
      <c r="B24" s="75">
        <v>11485022</v>
      </c>
      <c r="C24" s="74" t="s">
        <v>648</v>
      </c>
      <c r="D24" s="74" t="s">
        <v>648</v>
      </c>
      <c r="E24" s="74" t="s">
        <v>648</v>
      </c>
      <c r="F24" s="74" t="s">
        <v>648</v>
      </c>
      <c r="G24" s="74">
        <v>114272</v>
      </c>
      <c r="H24" s="74" t="s">
        <v>648</v>
      </c>
      <c r="I24" s="74" t="s">
        <v>648</v>
      </c>
      <c r="J24" s="74" t="s">
        <v>648</v>
      </c>
      <c r="K24" s="74" t="s">
        <v>648</v>
      </c>
      <c r="L24" s="74" t="s">
        <v>648</v>
      </c>
      <c r="M24" s="74" t="s">
        <v>648</v>
      </c>
      <c r="N24" s="74" t="s">
        <v>648</v>
      </c>
      <c r="O24" s="74">
        <v>7201</v>
      </c>
      <c r="P24" s="74">
        <v>31097</v>
      </c>
      <c r="Q24" s="74" t="s">
        <v>648</v>
      </c>
      <c r="R24" s="76" t="s">
        <v>80</v>
      </c>
      <c r="S24" s="73"/>
      <c r="T24" s="73"/>
      <c r="U24" s="73"/>
      <c r="V24" s="73"/>
      <c r="W24" s="73"/>
      <c r="X24" s="73"/>
      <c r="Y24" s="73"/>
    </row>
    <row r="25" spans="1:25" s="74" customFormat="1" ht="10.5" customHeight="1" x14ac:dyDescent="0.15">
      <c r="A25" s="950" t="s">
        <v>780</v>
      </c>
      <c r="B25" s="75">
        <v>11553307</v>
      </c>
      <c r="C25" s="74" t="s">
        <v>648</v>
      </c>
      <c r="D25" s="74" t="s">
        <v>648</v>
      </c>
      <c r="E25" s="74" t="s">
        <v>648</v>
      </c>
      <c r="F25" s="74" t="s">
        <v>648</v>
      </c>
      <c r="G25" s="74">
        <v>79476</v>
      </c>
      <c r="H25" s="74" t="s">
        <v>648</v>
      </c>
      <c r="I25" s="74" t="s">
        <v>648</v>
      </c>
      <c r="J25" s="74" t="s">
        <v>648</v>
      </c>
      <c r="K25" s="74" t="s">
        <v>648</v>
      </c>
      <c r="L25" s="74" t="s">
        <v>648</v>
      </c>
      <c r="M25" s="74" t="s">
        <v>648</v>
      </c>
      <c r="N25" s="74" t="s">
        <v>648</v>
      </c>
      <c r="O25" s="74" t="s">
        <v>648</v>
      </c>
      <c r="P25" s="74">
        <v>31866</v>
      </c>
      <c r="Q25" s="74" t="s">
        <v>648</v>
      </c>
      <c r="R25" s="76" t="s">
        <v>81</v>
      </c>
      <c r="S25" s="73"/>
      <c r="T25" s="73"/>
      <c r="U25" s="73"/>
      <c r="V25" s="73"/>
      <c r="W25" s="73"/>
      <c r="X25" s="73"/>
      <c r="Y25" s="73"/>
    </row>
    <row r="26" spans="1:25" s="74" customFormat="1" ht="10.5" customHeight="1" x14ac:dyDescent="0.15">
      <c r="A26" s="950" t="s">
        <v>781</v>
      </c>
      <c r="B26" s="75">
        <v>12653221</v>
      </c>
      <c r="C26" s="74" t="s">
        <v>648</v>
      </c>
      <c r="D26" s="74" t="s">
        <v>648</v>
      </c>
      <c r="E26" s="74" t="s">
        <v>648</v>
      </c>
      <c r="F26" s="74" t="s">
        <v>648</v>
      </c>
      <c r="G26" s="74">
        <v>74481</v>
      </c>
      <c r="H26" s="74" t="s">
        <v>648</v>
      </c>
      <c r="I26" s="74" t="s">
        <v>648</v>
      </c>
      <c r="J26" s="74" t="s">
        <v>648</v>
      </c>
      <c r="K26" s="74" t="s">
        <v>648</v>
      </c>
      <c r="L26" s="74" t="s">
        <v>648</v>
      </c>
      <c r="M26" s="74" t="s">
        <v>648</v>
      </c>
      <c r="N26" s="74" t="s">
        <v>648</v>
      </c>
      <c r="O26" s="74" t="s">
        <v>648</v>
      </c>
      <c r="P26" s="74">
        <v>74481</v>
      </c>
      <c r="Q26" s="74" t="s">
        <v>648</v>
      </c>
      <c r="R26" s="76" t="s">
        <v>82</v>
      </c>
      <c r="S26" s="73"/>
      <c r="T26" s="73"/>
      <c r="U26" s="73"/>
      <c r="V26" s="73"/>
      <c r="W26" s="73"/>
      <c r="X26" s="73"/>
      <c r="Y26" s="73"/>
    </row>
    <row r="27" spans="1:25" s="74" customFormat="1" ht="10.5" customHeight="1" x14ac:dyDescent="0.15">
      <c r="A27" s="950" t="s">
        <v>782</v>
      </c>
      <c r="B27" s="75">
        <v>11908957</v>
      </c>
      <c r="C27" s="74" t="s">
        <v>648</v>
      </c>
      <c r="D27" s="74" t="s">
        <v>648</v>
      </c>
      <c r="E27" s="74" t="s">
        <v>648</v>
      </c>
      <c r="F27" s="74" t="s">
        <v>648</v>
      </c>
      <c r="G27" s="74">
        <v>54433</v>
      </c>
      <c r="H27" s="74" t="s">
        <v>648</v>
      </c>
      <c r="I27" s="74" t="s">
        <v>648</v>
      </c>
      <c r="J27" s="74" t="s">
        <v>648</v>
      </c>
      <c r="K27" s="74" t="s">
        <v>648</v>
      </c>
      <c r="L27" s="74" t="s">
        <v>648</v>
      </c>
      <c r="M27" s="74" t="s">
        <v>648</v>
      </c>
      <c r="N27" s="74" t="s">
        <v>648</v>
      </c>
      <c r="O27" s="74" t="s">
        <v>648</v>
      </c>
      <c r="P27" s="74">
        <v>31810</v>
      </c>
      <c r="Q27" s="74" t="s">
        <v>648</v>
      </c>
      <c r="R27" s="77" t="s">
        <v>95</v>
      </c>
      <c r="S27" s="73"/>
      <c r="T27" s="73"/>
      <c r="U27" s="73"/>
      <c r="V27" s="73"/>
      <c r="W27" s="73"/>
      <c r="X27" s="73"/>
      <c r="Y27" s="73"/>
    </row>
    <row r="28" spans="1:25" s="74" customFormat="1" ht="10.5" customHeight="1" x14ac:dyDescent="0.15">
      <c r="A28" s="950" t="s">
        <v>783</v>
      </c>
      <c r="B28" s="75">
        <v>9245464</v>
      </c>
      <c r="C28" s="74" t="s">
        <v>648</v>
      </c>
      <c r="D28" s="74" t="s">
        <v>648</v>
      </c>
      <c r="E28" s="74" t="s">
        <v>648</v>
      </c>
      <c r="F28" s="74" t="s">
        <v>648</v>
      </c>
      <c r="G28" s="74">
        <v>79156</v>
      </c>
      <c r="H28" s="74">
        <v>47598</v>
      </c>
      <c r="I28" s="74" t="s">
        <v>648</v>
      </c>
      <c r="J28" s="74" t="s">
        <v>648</v>
      </c>
      <c r="K28" s="74">
        <v>47598</v>
      </c>
      <c r="L28" s="74" t="s">
        <v>648</v>
      </c>
      <c r="M28" s="74" t="s">
        <v>648</v>
      </c>
      <c r="N28" s="74" t="s">
        <v>648</v>
      </c>
      <c r="O28" s="74" t="s">
        <v>648</v>
      </c>
      <c r="P28" s="74">
        <v>31558</v>
      </c>
      <c r="Q28" s="74" t="s">
        <v>648</v>
      </c>
      <c r="R28" s="76" t="s">
        <v>96</v>
      </c>
      <c r="S28" s="73"/>
      <c r="T28" s="73"/>
      <c r="U28" s="73"/>
      <c r="V28" s="73"/>
      <c r="W28" s="73"/>
      <c r="X28" s="73"/>
      <c r="Y28" s="73"/>
    </row>
    <row r="29" spans="1:25" s="74" customFormat="1" ht="10.5" customHeight="1" x14ac:dyDescent="0.15">
      <c r="A29" s="950" t="s">
        <v>784</v>
      </c>
      <c r="B29" s="75">
        <v>10266829</v>
      </c>
      <c r="C29" s="74" t="s">
        <v>648</v>
      </c>
      <c r="D29" s="74" t="s">
        <v>648</v>
      </c>
      <c r="E29" s="74" t="s">
        <v>648</v>
      </c>
      <c r="F29" s="74" t="s">
        <v>648</v>
      </c>
      <c r="G29" s="74">
        <v>7091</v>
      </c>
      <c r="H29" s="74" t="s">
        <v>648</v>
      </c>
      <c r="I29" s="74" t="s">
        <v>648</v>
      </c>
      <c r="J29" s="74" t="s">
        <v>648</v>
      </c>
      <c r="K29" s="74" t="s">
        <v>648</v>
      </c>
      <c r="L29" s="74" t="s">
        <v>648</v>
      </c>
      <c r="M29" s="74" t="s">
        <v>648</v>
      </c>
      <c r="N29" s="74" t="s">
        <v>648</v>
      </c>
      <c r="O29" s="74">
        <v>7091</v>
      </c>
      <c r="P29" s="74" t="s">
        <v>648</v>
      </c>
      <c r="Q29" s="74" t="s">
        <v>648</v>
      </c>
      <c r="R29" s="76" t="s">
        <v>97</v>
      </c>
      <c r="S29" s="73"/>
      <c r="T29" s="73"/>
      <c r="U29" s="73"/>
      <c r="V29" s="73"/>
      <c r="W29" s="73"/>
      <c r="X29" s="73"/>
      <c r="Y29" s="73"/>
    </row>
    <row r="30" spans="1:25" s="74" customFormat="1" ht="10.5" customHeight="1" x14ac:dyDescent="0.15">
      <c r="A30" s="950" t="s">
        <v>806</v>
      </c>
      <c r="B30" s="75">
        <v>13441936</v>
      </c>
      <c r="C30" s="74" t="s">
        <v>648</v>
      </c>
      <c r="D30" s="74" t="s">
        <v>648</v>
      </c>
      <c r="E30" s="74" t="s">
        <v>648</v>
      </c>
      <c r="F30" s="74" t="s">
        <v>648</v>
      </c>
      <c r="G30" s="74">
        <v>179193</v>
      </c>
      <c r="H30" s="74">
        <v>87142</v>
      </c>
      <c r="I30" s="74" t="s">
        <v>648</v>
      </c>
      <c r="J30" s="74" t="s">
        <v>648</v>
      </c>
      <c r="K30" s="74" t="s">
        <v>648</v>
      </c>
      <c r="L30" s="74">
        <v>47665</v>
      </c>
      <c r="M30" s="74" t="s">
        <v>648</v>
      </c>
      <c r="N30" s="74">
        <v>39477</v>
      </c>
      <c r="O30" s="74">
        <v>7159</v>
      </c>
      <c r="P30" s="74">
        <v>53332</v>
      </c>
      <c r="Q30" s="74" t="s">
        <v>648</v>
      </c>
      <c r="R30" s="76" t="s">
        <v>98</v>
      </c>
      <c r="S30" s="73"/>
      <c r="T30" s="73"/>
      <c r="U30" s="73"/>
      <c r="V30" s="73"/>
      <c r="W30" s="73"/>
      <c r="X30" s="73"/>
      <c r="Y30" s="73"/>
    </row>
    <row r="31" spans="1:25" s="74" customFormat="1" ht="10.5" customHeight="1" x14ac:dyDescent="0.15">
      <c r="A31" s="950" t="s">
        <v>786</v>
      </c>
      <c r="B31" s="75">
        <v>11768509</v>
      </c>
      <c r="C31" s="74">
        <v>166004</v>
      </c>
      <c r="D31" s="74">
        <v>166004</v>
      </c>
      <c r="E31" s="74">
        <v>166004</v>
      </c>
      <c r="F31" s="74" t="s">
        <v>648</v>
      </c>
      <c r="G31" s="74">
        <v>211906</v>
      </c>
      <c r="H31" s="74">
        <v>92727</v>
      </c>
      <c r="I31" s="74" t="s">
        <v>648</v>
      </c>
      <c r="J31" s="74" t="s">
        <v>648</v>
      </c>
      <c r="K31" s="74">
        <v>45352</v>
      </c>
      <c r="L31" s="74">
        <v>47375</v>
      </c>
      <c r="M31" s="74" t="s">
        <v>648</v>
      </c>
      <c r="N31" s="74" t="s">
        <v>648</v>
      </c>
      <c r="O31" s="74">
        <v>6843</v>
      </c>
      <c r="P31" s="74">
        <v>63165</v>
      </c>
      <c r="Q31" s="74" t="s">
        <v>648</v>
      </c>
      <c r="R31" s="76" t="s">
        <v>99</v>
      </c>
      <c r="S31" s="73"/>
      <c r="T31" s="73"/>
      <c r="U31" s="73"/>
      <c r="V31" s="73"/>
      <c r="W31" s="73"/>
      <c r="X31" s="73"/>
      <c r="Y31" s="73"/>
    </row>
    <row r="32" spans="1:25" s="74" customFormat="1" ht="10.5" customHeight="1" x14ac:dyDescent="0.15">
      <c r="A32" s="950" t="s">
        <v>807</v>
      </c>
      <c r="B32" s="75">
        <v>11601339</v>
      </c>
      <c r="C32" s="74" t="s">
        <v>648</v>
      </c>
      <c r="D32" s="74" t="s">
        <v>648</v>
      </c>
      <c r="E32" s="74" t="s">
        <v>648</v>
      </c>
      <c r="F32" s="74" t="s">
        <v>648</v>
      </c>
      <c r="G32" s="74">
        <v>39855</v>
      </c>
      <c r="H32" s="74" t="s">
        <v>648</v>
      </c>
      <c r="I32" s="74" t="s">
        <v>648</v>
      </c>
      <c r="J32" s="74" t="s">
        <v>648</v>
      </c>
      <c r="K32" s="74" t="s">
        <v>648</v>
      </c>
      <c r="L32" s="74" t="s">
        <v>648</v>
      </c>
      <c r="M32" s="74" t="s">
        <v>648</v>
      </c>
      <c r="N32" s="74" t="s">
        <v>648</v>
      </c>
      <c r="O32" s="74">
        <v>7196</v>
      </c>
      <c r="P32" s="74">
        <v>32659</v>
      </c>
      <c r="Q32" s="74" t="s">
        <v>648</v>
      </c>
      <c r="R32" s="76" t="s">
        <v>83</v>
      </c>
      <c r="S32" s="73"/>
      <c r="T32" s="73"/>
      <c r="U32" s="73"/>
      <c r="V32" s="73"/>
      <c r="W32" s="73"/>
      <c r="X32" s="73"/>
      <c r="Y32" s="73"/>
    </row>
    <row r="33" spans="1:25" s="74" customFormat="1" ht="10.5" customHeight="1" x14ac:dyDescent="0.15">
      <c r="A33" s="950" t="s">
        <v>788</v>
      </c>
      <c r="B33" s="75">
        <v>13385055</v>
      </c>
      <c r="C33" s="74" t="s">
        <v>648</v>
      </c>
      <c r="D33" s="74" t="s">
        <v>648</v>
      </c>
      <c r="E33" s="74" t="s">
        <v>648</v>
      </c>
      <c r="F33" s="74" t="s">
        <v>648</v>
      </c>
      <c r="G33" s="74">
        <v>108536</v>
      </c>
      <c r="H33" s="74">
        <v>47483</v>
      </c>
      <c r="I33" s="74" t="s">
        <v>648</v>
      </c>
      <c r="J33" s="74" t="s">
        <v>648</v>
      </c>
      <c r="K33" s="74" t="s">
        <v>648</v>
      </c>
      <c r="L33" s="74" t="s">
        <v>648</v>
      </c>
      <c r="M33" s="74">
        <v>47483</v>
      </c>
      <c r="N33" s="74" t="s">
        <v>648</v>
      </c>
      <c r="O33" s="74">
        <v>6808</v>
      </c>
      <c r="P33" s="74">
        <v>32790</v>
      </c>
      <c r="Q33" s="74" t="s">
        <v>648</v>
      </c>
      <c r="R33" s="76" t="s">
        <v>84</v>
      </c>
      <c r="S33" s="73"/>
      <c r="T33" s="73"/>
      <c r="U33" s="73"/>
      <c r="V33" s="73"/>
      <c r="W33" s="73"/>
      <c r="X33" s="73"/>
      <c r="Y33" s="73"/>
    </row>
    <row r="34" spans="1:25" s="74" customFormat="1" ht="10.5" customHeight="1" x14ac:dyDescent="0.15">
      <c r="A34" s="950" t="s">
        <v>789</v>
      </c>
      <c r="B34" s="75">
        <v>14632853</v>
      </c>
      <c r="C34" s="74" t="s">
        <v>648</v>
      </c>
      <c r="D34" s="74" t="s">
        <v>648</v>
      </c>
      <c r="E34" s="74" t="s">
        <v>648</v>
      </c>
      <c r="F34" s="74" t="s">
        <v>648</v>
      </c>
      <c r="G34" s="74">
        <v>104908</v>
      </c>
      <c r="H34" s="74" t="s">
        <v>648</v>
      </c>
      <c r="I34" s="74" t="s">
        <v>648</v>
      </c>
      <c r="J34" s="74" t="s">
        <v>648</v>
      </c>
      <c r="K34" s="74" t="s">
        <v>648</v>
      </c>
      <c r="L34" s="74" t="s">
        <v>648</v>
      </c>
      <c r="M34" s="74" t="s">
        <v>648</v>
      </c>
      <c r="N34" s="74" t="s">
        <v>648</v>
      </c>
      <c r="O34" s="74" t="s">
        <v>648</v>
      </c>
      <c r="P34" s="74">
        <v>39123</v>
      </c>
      <c r="Q34" s="74" t="s">
        <v>648</v>
      </c>
      <c r="R34" s="76" t="s">
        <v>85</v>
      </c>
      <c r="S34" s="73"/>
      <c r="T34" s="73"/>
      <c r="U34" s="73"/>
      <c r="V34" s="73"/>
      <c r="W34" s="73"/>
      <c r="X34" s="73"/>
      <c r="Y34" s="73"/>
    </row>
    <row r="35" spans="1:25" s="74" customFormat="1" ht="10.5" customHeight="1" x14ac:dyDescent="0.15">
      <c r="A35" s="950" t="s">
        <v>790</v>
      </c>
      <c r="B35" s="75">
        <v>13384115</v>
      </c>
      <c r="C35" s="74" t="s">
        <v>648</v>
      </c>
      <c r="D35" s="74" t="s">
        <v>648</v>
      </c>
      <c r="E35" s="74" t="s">
        <v>648</v>
      </c>
      <c r="F35" s="74" t="s">
        <v>648</v>
      </c>
      <c r="G35" s="74">
        <v>146073</v>
      </c>
      <c r="H35" s="74">
        <v>45041</v>
      </c>
      <c r="I35" s="74" t="s">
        <v>648</v>
      </c>
      <c r="J35" s="74" t="s">
        <v>648</v>
      </c>
      <c r="K35" s="74" t="s">
        <v>648</v>
      </c>
      <c r="L35" s="74">
        <v>45041</v>
      </c>
      <c r="M35" s="74" t="s">
        <v>648</v>
      </c>
      <c r="N35" s="74" t="s">
        <v>648</v>
      </c>
      <c r="O35" s="74">
        <v>6808</v>
      </c>
      <c r="P35" s="74">
        <v>48282</v>
      </c>
      <c r="Q35" s="74" t="s">
        <v>648</v>
      </c>
      <c r="R35" s="76" t="s">
        <v>791</v>
      </c>
      <c r="S35" s="73"/>
      <c r="T35" s="73"/>
      <c r="U35" s="73"/>
      <c r="V35" s="73"/>
      <c r="W35" s="73"/>
      <c r="X35" s="73"/>
      <c r="Y35" s="73"/>
    </row>
    <row r="36" spans="1:25" s="74" customFormat="1" ht="10.5" customHeight="1" x14ac:dyDescent="0.15">
      <c r="A36" s="950" t="s">
        <v>792</v>
      </c>
      <c r="B36" s="75">
        <v>12463351</v>
      </c>
      <c r="C36" s="74">
        <v>172335</v>
      </c>
      <c r="D36" s="74">
        <v>172335</v>
      </c>
      <c r="E36" s="74">
        <v>172335</v>
      </c>
      <c r="F36" s="74" t="s">
        <v>648</v>
      </c>
      <c r="G36" s="74">
        <v>155677</v>
      </c>
      <c r="H36" s="74">
        <v>47374</v>
      </c>
      <c r="I36" s="74" t="s">
        <v>648</v>
      </c>
      <c r="J36" s="74" t="s">
        <v>648</v>
      </c>
      <c r="K36" s="74" t="s">
        <v>648</v>
      </c>
      <c r="L36" s="74" t="s">
        <v>648</v>
      </c>
      <c r="M36" s="74">
        <v>47374</v>
      </c>
      <c r="N36" s="74" t="s">
        <v>648</v>
      </c>
      <c r="O36" s="74" t="s">
        <v>648</v>
      </c>
      <c r="P36" s="74">
        <v>62272</v>
      </c>
      <c r="Q36" s="74" t="s">
        <v>648</v>
      </c>
      <c r="R36" s="76" t="s">
        <v>80</v>
      </c>
      <c r="S36" s="73"/>
      <c r="T36" s="73"/>
      <c r="U36" s="73"/>
      <c r="V36" s="73"/>
      <c r="W36" s="73"/>
      <c r="X36" s="73"/>
      <c r="Y36" s="73"/>
    </row>
    <row r="37" spans="1:25" s="74" customFormat="1" ht="10.5" customHeight="1" x14ac:dyDescent="0.15">
      <c r="A37" s="951" t="s">
        <v>793</v>
      </c>
      <c r="B37" s="78">
        <v>14151964</v>
      </c>
      <c r="C37" s="79" t="s">
        <v>648</v>
      </c>
      <c r="D37" s="79" t="s">
        <v>648</v>
      </c>
      <c r="E37" s="79" t="s">
        <v>648</v>
      </c>
      <c r="F37" s="79" t="s">
        <v>648</v>
      </c>
      <c r="G37" s="79">
        <v>15850</v>
      </c>
      <c r="H37" s="79" t="s">
        <v>648</v>
      </c>
      <c r="I37" s="79" t="s">
        <v>648</v>
      </c>
      <c r="J37" s="79" t="s">
        <v>648</v>
      </c>
      <c r="K37" s="79" t="s">
        <v>648</v>
      </c>
      <c r="L37" s="79" t="s">
        <v>648</v>
      </c>
      <c r="M37" s="79" t="s">
        <v>648</v>
      </c>
      <c r="N37" s="79" t="s">
        <v>648</v>
      </c>
      <c r="O37" s="79" t="s">
        <v>648</v>
      </c>
      <c r="P37" s="79">
        <v>15850</v>
      </c>
      <c r="Q37" s="79" t="s">
        <v>648</v>
      </c>
      <c r="R37" s="80" t="s">
        <v>81</v>
      </c>
      <c r="S37" s="73"/>
      <c r="T37" s="73"/>
      <c r="U37" s="73"/>
      <c r="V37" s="73"/>
      <c r="W37" s="73"/>
      <c r="X37" s="73"/>
      <c r="Y37" s="73"/>
    </row>
    <row r="38" spans="1:25" ht="23.25" customHeight="1" x14ac:dyDescent="0.35">
      <c r="I38" s="81" t="s">
        <v>100</v>
      </c>
    </row>
    <row r="39" spans="1:25" s="21" customFormat="1" ht="11.25" customHeight="1" x14ac:dyDescent="0.15">
      <c r="A39" s="66"/>
      <c r="B39" s="82" t="s">
        <v>129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1063" t="s">
        <v>86</v>
      </c>
      <c r="S39" s="19"/>
      <c r="T39" s="19"/>
      <c r="U39" s="19"/>
      <c r="V39" s="19"/>
      <c r="W39" s="19"/>
      <c r="X39" s="19"/>
      <c r="Y39" s="19"/>
    </row>
    <row r="40" spans="1:25" s="69" customFormat="1" ht="28.5" customHeight="1" x14ac:dyDescent="0.2">
      <c r="A40" s="35" t="s">
        <v>194</v>
      </c>
      <c r="B40" s="41" t="s">
        <v>554</v>
      </c>
      <c r="C40" s="20"/>
      <c r="D40" s="20"/>
      <c r="E40" s="20"/>
      <c r="F40" s="20"/>
      <c r="G40" s="20"/>
      <c r="H40" s="20"/>
      <c r="I40" s="20"/>
      <c r="J40" s="20"/>
      <c r="K40" s="20"/>
      <c r="L40" s="84"/>
      <c r="M40" s="904" t="s">
        <v>137</v>
      </c>
      <c r="N40" s="20"/>
      <c r="O40" s="84"/>
      <c r="P40" s="904" t="s">
        <v>41</v>
      </c>
      <c r="Q40" s="20"/>
      <c r="R40" s="1064"/>
      <c r="S40" s="15"/>
      <c r="T40" s="15"/>
      <c r="U40" s="15"/>
      <c r="V40" s="15"/>
      <c r="W40" s="15"/>
      <c r="X40" s="15"/>
      <c r="Y40" s="15"/>
    </row>
    <row r="41" spans="1:25" s="69" customFormat="1" ht="28.5" customHeight="1" x14ac:dyDescent="0.2">
      <c r="A41" s="35"/>
      <c r="B41" s="14" t="s">
        <v>132</v>
      </c>
      <c r="C41" s="14" t="s">
        <v>133</v>
      </c>
      <c r="D41" s="14" t="s">
        <v>134</v>
      </c>
      <c r="E41" s="14" t="s">
        <v>135</v>
      </c>
      <c r="F41" s="14" t="s">
        <v>136</v>
      </c>
      <c r="G41" s="766" t="s">
        <v>819</v>
      </c>
      <c r="H41" s="14" t="s">
        <v>138</v>
      </c>
      <c r="I41" s="14" t="s">
        <v>820</v>
      </c>
      <c r="J41" s="14" t="s">
        <v>492</v>
      </c>
      <c r="K41" s="14" t="s">
        <v>139</v>
      </c>
      <c r="L41" s="14" t="s">
        <v>677</v>
      </c>
      <c r="M41" s="16" t="s">
        <v>20</v>
      </c>
      <c r="N41" s="14" t="s">
        <v>59</v>
      </c>
      <c r="O41" s="14" t="s">
        <v>140</v>
      </c>
      <c r="P41" s="16" t="s">
        <v>21</v>
      </c>
      <c r="Q41" s="904" t="s">
        <v>43</v>
      </c>
      <c r="R41" s="1064"/>
      <c r="S41" s="15"/>
      <c r="T41" s="15"/>
      <c r="U41" s="15"/>
      <c r="V41" s="15"/>
      <c r="W41" s="15"/>
      <c r="X41" s="15"/>
      <c r="Y41" s="15"/>
    </row>
    <row r="42" spans="1:25" s="69" customFormat="1" ht="12" customHeight="1" x14ac:dyDescent="0.2">
      <c r="A42" s="36"/>
      <c r="B42" s="18" t="str">
        <f>PROPER("TAPIS-T")</f>
        <v>Tapis-T</v>
      </c>
      <c r="C42" s="18" t="str">
        <f>PROPER("DULANG")</f>
        <v>Dulang</v>
      </c>
      <c r="D42" s="18" t="str">
        <f>PROPER("ANGSI")</f>
        <v>Angsi</v>
      </c>
      <c r="E42" s="18" t="str">
        <f>PROPER("PENARA-B")</f>
        <v>Penara-B</v>
      </c>
      <c r="F42" s="18" t="str">
        <f>PROPER("SEPAT")</f>
        <v>Sepat</v>
      </c>
      <c r="G42" s="18" t="str">
        <f>PROPER("MYSIA-FO")</f>
        <v>Mysia-Fo</v>
      </c>
      <c r="H42" s="18" t="str">
        <f>PROPER("BERTAM")</f>
        <v>Bertam</v>
      </c>
      <c r="I42" s="18" t="str">
        <f>PROPER("BLEND-FO")</f>
        <v>Blend-Fo</v>
      </c>
      <c r="J42" s="18" t="str">
        <f>PROPER("MIRI-L")</f>
        <v>Miri-L</v>
      </c>
      <c r="K42" s="18" t="str">
        <f>PROPER("KIDURONG")</f>
        <v>Kidurong</v>
      </c>
      <c r="L42" s="18" t="str">
        <f>PROPER("LABUAN-L")</f>
        <v>Labuan-L</v>
      </c>
      <c r="M42" s="18"/>
      <c r="N42" s="18" t="str">
        <f>PROPER("L-SERIA")</f>
        <v>L-Seria</v>
      </c>
      <c r="O42" s="18" t="str">
        <f>PROPER("CHAMPION")</f>
        <v>Champion</v>
      </c>
      <c r="P42" s="18"/>
      <c r="Q42" s="17" t="str">
        <f>PROPER("DURI")</f>
        <v>Duri</v>
      </c>
      <c r="R42" s="1065"/>
      <c r="S42" s="15"/>
      <c r="T42" s="15"/>
      <c r="U42" s="15"/>
      <c r="V42" s="15"/>
      <c r="W42" s="15"/>
      <c r="X42" s="15"/>
      <c r="Y42" s="15"/>
    </row>
    <row r="43" spans="1:25" s="74" customFormat="1" ht="10.5" customHeight="1" x14ac:dyDescent="0.15">
      <c r="A43" s="949" t="s">
        <v>763</v>
      </c>
      <c r="B43" s="70" t="s">
        <v>648</v>
      </c>
      <c r="C43" s="71">
        <v>493567</v>
      </c>
      <c r="D43" s="71" t="s">
        <v>648</v>
      </c>
      <c r="E43" s="71">
        <v>131655</v>
      </c>
      <c r="F43" s="71">
        <v>63607</v>
      </c>
      <c r="G43" s="71">
        <v>162521</v>
      </c>
      <c r="H43" s="71" t="s">
        <v>648</v>
      </c>
      <c r="I43" s="71" t="s">
        <v>648</v>
      </c>
      <c r="J43" s="71" t="s">
        <v>648</v>
      </c>
      <c r="K43" s="71" t="s">
        <v>648</v>
      </c>
      <c r="L43" s="71" t="s">
        <v>648</v>
      </c>
      <c r="M43" s="71">
        <v>91402</v>
      </c>
      <c r="N43" s="71" t="s">
        <v>648</v>
      </c>
      <c r="O43" s="71">
        <v>91402</v>
      </c>
      <c r="P43" s="71">
        <v>2235456</v>
      </c>
      <c r="Q43" s="71">
        <v>466716</v>
      </c>
      <c r="R43" s="72" t="s">
        <v>464</v>
      </c>
      <c r="S43" s="73"/>
      <c r="T43" s="73"/>
      <c r="U43" s="73"/>
      <c r="V43" s="73"/>
      <c r="W43" s="73"/>
      <c r="X43" s="73"/>
      <c r="Y43" s="73"/>
    </row>
    <row r="44" spans="1:25" s="74" customFormat="1" ht="10.5" customHeight="1" x14ac:dyDescent="0.15">
      <c r="A44" s="950" t="s">
        <v>764</v>
      </c>
      <c r="B44" s="74">
        <v>19059</v>
      </c>
      <c r="C44" s="74">
        <v>208964</v>
      </c>
      <c r="D44" s="74">
        <v>39311</v>
      </c>
      <c r="E44" s="74">
        <v>100164</v>
      </c>
      <c r="F44" s="74">
        <v>238368</v>
      </c>
      <c r="G44" s="74">
        <v>116638</v>
      </c>
      <c r="H44" s="74" t="s">
        <v>648</v>
      </c>
      <c r="I44" s="74" t="s">
        <v>648</v>
      </c>
      <c r="J44" s="74">
        <v>37722</v>
      </c>
      <c r="K44" s="74">
        <v>45373</v>
      </c>
      <c r="L44" s="74" t="s">
        <v>648</v>
      </c>
      <c r="M44" s="74">
        <v>130531</v>
      </c>
      <c r="N44" s="74" t="s">
        <v>648</v>
      </c>
      <c r="O44" s="74">
        <v>130531</v>
      </c>
      <c r="P44" s="74">
        <v>1455036</v>
      </c>
      <c r="Q44" s="74">
        <v>356685</v>
      </c>
      <c r="R44" s="76" t="s">
        <v>489</v>
      </c>
      <c r="S44" s="73"/>
      <c r="T44" s="73"/>
      <c r="U44" s="73"/>
      <c r="V44" s="73"/>
      <c r="W44" s="73"/>
      <c r="X44" s="73"/>
      <c r="Y44" s="73"/>
    </row>
    <row r="45" spans="1:25" s="74" customFormat="1" ht="10.5" customHeight="1" x14ac:dyDescent="0.15">
      <c r="A45" s="950" t="s">
        <v>765</v>
      </c>
      <c r="B45" s="74" t="s">
        <v>648</v>
      </c>
      <c r="C45" s="74">
        <v>97712</v>
      </c>
      <c r="D45" s="74" t="s">
        <v>648</v>
      </c>
      <c r="E45" s="74">
        <v>174097</v>
      </c>
      <c r="F45" s="74">
        <v>280165</v>
      </c>
      <c r="G45" s="74">
        <v>74811</v>
      </c>
      <c r="H45" s="74">
        <v>75268</v>
      </c>
      <c r="I45" s="74">
        <v>49841</v>
      </c>
      <c r="J45" s="74" t="s">
        <v>648</v>
      </c>
      <c r="K45" s="74" t="s">
        <v>648</v>
      </c>
      <c r="L45" s="74" t="s">
        <v>648</v>
      </c>
      <c r="M45" s="74">
        <v>368422</v>
      </c>
      <c r="N45" s="74">
        <v>95195</v>
      </c>
      <c r="O45" s="74">
        <v>273227</v>
      </c>
      <c r="P45" s="74">
        <v>120915</v>
      </c>
      <c r="Q45" s="74" t="s">
        <v>648</v>
      </c>
      <c r="R45" s="76" t="s">
        <v>549</v>
      </c>
      <c r="S45" s="73"/>
      <c r="T45" s="73"/>
      <c r="U45" s="73"/>
      <c r="V45" s="73"/>
      <c r="W45" s="73"/>
      <c r="X45" s="73"/>
      <c r="Y45" s="73"/>
    </row>
    <row r="46" spans="1:25" s="74" customFormat="1" ht="10.5" customHeight="1" x14ac:dyDescent="0.15">
      <c r="A46" s="950" t="s">
        <v>766</v>
      </c>
      <c r="B46" s="74" t="s">
        <v>648</v>
      </c>
      <c r="C46" s="74">
        <v>108958</v>
      </c>
      <c r="D46" s="74" t="s">
        <v>648</v>
      </c>
      <c r="E46" s="74">
        <v>216981</v>
      </c>
      <c r="F46" s="74">
        <v>183317</v>
      </c>
      <c r="G46" s="74">
        <v>20891</v>
      </c>
      <c r="H46" s="74" t="s">
        <v>648</v>
      </c>
      <c r="I46" s="74">
        <v>46460</v>
      </c>
      <c r="J46" s="74" t="s">
        <v>648</v>
      </c>
      <c r="K46" s="74" t="s">
        <v>648</v>
      </c>
      <c r="L46" s="74">
        <v>91038</v>
      </c>
      <c r="M46" s="74">
        <v>92648</v>
      </c>
      <c r="N46" s="74" t="s">
        <v>648</v>
      </c>
      <c r="O46" s="74">
        <v>92648</v>
      </c>
      <c r="P46" s="74" t="s">
        <v>648</v>
      </c>
      <c r="Q46" s="74" t="s">
        <v>648</v>
      </c>
      <c r="R46" s="76" t="s">
        <v>672</v>
      </c>
      <c r="S46" s="73"/>
      <c r="T46" s="73"/>
      <c r="U46" s="73"/>
      <c r="V46" s="73"/>
      <c r="W46" s="73"/>
      <c r="X46" s="73"/>
      <c r="Y46" s="73"/>
    </row>
    <row r="47" spans="1:25" s="74" customFormat="1" ht="10.5" customHeight="1" x14ac:dyDescent="0.15">
      <c r="A47" s="950" t="s">
        <v>767</v>
      </c>
      <c r="B47" s="74" t="s">
        <v>648</v>
      </c>
      <c r="C47" s="74">
        <v>31645</v>
      </c>
      <c r="D47" s="74" t="s">
        <v>648</v>
      </c>
      <c r="E47" s="74">
        <v>64109</v>
      </c>
      <c r="F47" s="74">
        <v>318998</v>
      </c>
      <c r="G47" s="74">
        <v>38774</v>
      </c>
      <c r="H47" s="74">
        <v>47366</v>
      </c>
      <c r="I47" s="74">
        <v>16085</v>
      </c>
      <c r="J47" s="74" t="s">
        <v>648</v>
      </c>
      <c r="K47" s="74" t="s">
        <v>648</v>
      </c>
      <c r="L47" s="74" t="s">
        <v>648</v>
      </c>
      <c r="M47" s="74">
        <v>182256</v>
      </c>
      <c r="N47" s="74" t="s">
        <v>648</v>
      </c>
      <c r="O47" s="74">
        <v>182256</v>
      </c>
      <c r="P47" s="74">
        <v>173572</v>
      </c>
      <c r="Q47" s="74">
        <v>36406</v>
      </c>
      <c r="R47" s="76" t="s">
        <v>768</v>
      </c>
      <c r="S47" s="73"/>
      <c r="T47" s="73"/>
      <c r="U47" s="73"/>
      <c r="V47" s="73"/>
      <c r="W47" s="73"/>
      <c r="X47" s="73"/>
      <c r="Y47" s="73"/>
    </row>
    <row r="48" spans="1:25" s="74" customFormat="1" ht="10.5" customHeight="1" x14ac:dyDescent="0.15">
      <c r="A48" s="950"/>
      <c r="R48" s="76"/>
      <c r="S48" s="73"/>
      <c r="T48" s="73"/>
      <c r="U48" s="73"/>
      <c r="V48" s="73"/>
      <c r="W48" s="73"/>
      <c r="X48" s="73"/>
      <c r="Y48" s="73"/>
    </row>
    <row r="49" spans="1:25" s="74" customFormat="1" ht="10.5" customHeight="1" x14ac:dyDescent="0.15">
      <c r="A49" s="950" t="s">
        <v>821</v>
      </c>
      <c r="B49" s="74" t="s">
        <v>648</v>
      </c>
      <c r="C49" s="74">
        <v>101220</v>
      </c>
      <c r="D49" s="74" t="s">
        <v>648</v>
      </c>
      <c r="E49" s="74">
        <v>131810</v>
      </c>
      <c r="F49" s="74">
        <v>246280</v>
      </c>
      <c r="G49" s="74">
        <v>20891</v>
      </c>
      <c r="H49" s="74">
        <v>47366</v>
      </c>
      <c r="I49" s="74">
        <v>31836</v>
      </c>
      <c r="J49" s="74" t="s">
        <v>648</v>
      </c>
      <c r="K49" s="74" t="s">
        <v>648</v>
      </c>
      <c r="L49" s="74">
        <v>91038</v>
      </c>
      <c r="M49" s="74">
        <v>179826</v>
      </c>
      <c r="N49" s="74" t="s">
        <v>648</v>
      </c>
      <c r="O49" s="74">
        <v>179826</v>
      </c>
      <c r="P49" s="74">
        <v>78056</v>
      </c>
      <c r="Q49" s="74">
        <v>36406</v>
      </c>
      <c r="R49" s="76" t="s">
        <v>673</v>
      </c>
      <c r="S49" s="73"/>
      <c r="T49" s="73"/>
      <c r="U49" s="73"/>
      <c r="V49" s="73"/>
      <c r="W49" s="73"/>
      <c r="X49" s="73"/>
      <c r="Y49" s="73"/>
    </row>
    <row r="50" spans="1:25" s="74" customFormat="1" ht="10.5" customHeight="1" x14ac:dyDescent="0.15">
      <c r="A50" s="950" t="s">
        <v>822</v>
      </c>
      <c r="B50" s="74" t="s">
        <v>648</v>
      </c>
      <c r="C50" s="74" t="s">
        <v>648</v>
      </c>
      <c r="D50" s="74" t="s">
        <v>648</v>
      </c>
      <c r="E50" s="74">
        <v>64109</v>
      </c>
      <c r="F50" s="74">
        <v>350116</v>
      </c>
      <c r="G50" s="74">
        <v>71097</v>
      </c>
      <c r="H50" s="74" t="s">
        <v>648</v>
      </c>
      <c r="I50" s="74" t="s">
        <v>648</v>
      </c>
      <c r="J50" s="74" t="s">
        <v>648</v>
      </c>
      <c r="K50" s="74" t="s">
        <v>648</v>
      </c>
      <c r="L50" s="74" t="s">
        <v>648</v>
      </c>
      <c r="M50" s="74">
        <v>187051</v>
      </c>
      <c r="N50" s="74">
        <v>45942</v>
      </c>
      <c r="O50" s="74">
        <v>141109</v>
      </c>
      <c r="P50" s="74">
        <v>95516</v>
      </c>
      <c r="Q50" s="74" t="s">
        <v>648</v>
      </c>
      <c r="R50" s="76" t="s">
        <v>771</v>
      </c>
      <c r="S50" s="73"/>
      <c r="T50" s="73"/>
      <c r="U50" s="73"/>
      <c r="V50" s="73"/>
      <c r="W50" s="73"/>
      <c r="X50" s="73"/>
      <c r="Y50" s="73"/>
    </row>
    <row r="51" spans="1:25" s="74" customFormat="1" ht="10.5" customHeight="1" x14ac:dyDescent="0.15">
      <c r="A51" s="950"/>
      <c r="R51" s="76"/>
      <c r="S51" s="73"/>
      <c r="T51" s="73"/>
      <c r="U51" s="73"/>
      <c r="V51" s="73"/>
      <c r="W51" s="73"/>
      <c r="X51" s="73"/>
      <c r="Y51" s="73"/>
    </row>
    <row r="52" spans="1:25" s="74" customFormat="1" ht="10.5" customHeight="1" x14ac:dyDescent="0.15">
      <c r="A52" s="950" t="s">
        <v>772</v>
      </c>
      <c r="B52" s="74" t="s">
        <v>648</v>
      </c>
      <c r="C52" s="74">
        <v>31645</v>
      </c>
      <c r="D52" s="74" t="s">
        <v>648</v>
      </c>
      <c r="E52" s="74" t="s">
        <v>648</v>
      </c>
      <c r="F52" s="74">
        <v>62963</v>
      </c>
      <c r="G52" s="74" t="s">
        <v>648</v>
      </c>
      <c r="H52" s="74">
        <v>47366</v>
      </c>
      <c r="I52" s="74">
        <v>16085</v>
      </c>
      <c r="J52" s="74" t="s">
        <v>648</v>
      </c>
      <c r="K52" s="74" t="s">
        <v>648</v>
      </c>
      <c r="L52" s="74" t="s">
        <v>648</v>
      </c>
      <c r="M52" s="74">
        <v>87178</v>
      </c>
      <c r="N52" s="74" t="s">
        <v>648</v>
      </c>
      <c r="O52" s="74">
        <v>87178</v>
      </c>
      <c r="P52" s="74">
        <v>78056</v>
      </c>
      <c r="Q52" s="74">
        <v>36406</v>
      </c>
      <c r="R52" s="76" t="s">
        <v>674</v>
      </c>
      <c r="S52" s="73"/>
      <c r="T52" s="73"/>
      <c r="U52" s="73"/>
      <c r="V52" s="73"/>
      <c r="W52" s="73"/>
      <c r="X52" s="73"/>
      <c r="Y52" s="73"/>
    </row>
    <row r="53" spans="1:25" s="74" customFormat="1" ht="10.5" customHeight="1" x14ac:dyDescent="0.15">
      <c r="A53" s="950" t="s">
        <v>773</v>
      </c>
      <c r="B53" s="74" t="s">
        <v>648</v>
      </c>
      <c r="C53" s="74" t="s">
        <v>648</v>
      </c>
      <c r="D53" s="74" t="s">
        <v>648</v>
      </c>
      <c r="E53" s="74">
        <v>32432</v>
      </c>
      <c r="F53" s="74">
        <v>95506</v>
      </c>
      <c r="G53" s="74">
        <v>9911</v>
      </c>
      <c r="H53" s="74" t="s">
        <v>648</v>
      </c>
      <c r="I53" s="74" t="s">
        <v>648</v>
      </c>
      <c r="J53" s="74" t="s">
        <v>648</v>
      </c>
      <c r="K53" s="74" t="s">
        <v>648</v>
      </c>
      <c r="L53" s="74" t="s">
        <v>648</v>
      </c>
      <c r="M53" s="74" t="s">
        <v>648</v>
      </c>
      <c r="N53" s="74" t="s">
        <v>648</v>
      </c>
      <c r="O53" s="74" t="s">
        <v>648</v>
      </c>
      <c r="P53" s="74">
        <v>22623</v>
      </c>
      <c r="Q53" s="74" t="s">
        <v>648</v>
      </c>
      <c r="R53" s="76" t="s">
        <v>92</v>
      </c>
      <c r="S53" s="73"/>
      <c r="T53" s="73"/>
      <c r="U53" s="73"/>
      <c r="V53" s="73"/>
      <c r="W53" s="73"/>
      <c r="X53" s="73"/>
      <c r="Y53" s="73"/>
    </row>
    <row r="54" spans="1:25" s="74" customFormat="1" ht="10.5" customHeight="1" x14ac:dyDescent="0.15">
      <c r="A54" s="950" t="s">
        <v>774</v>
      </c>
      <c r="B54" s="74" t="s">
        <v>648</v>
      </c>
      <c r="C54" s="74" t="s">
        <v>648</v>
      </c>
      <c r="D54" s="74" t="s">
        <v>648</v>
      </c>
      <c r="E54" s="74">
        <v>31677</v>
      </c>
      <c r="F54" s="74">
        <v>63710</v>
      </c>
      <c r="G54" s="74">
        <v>21110</v>
      </c>
      <c r="H54" s="74" t="s">
        <v>648</v>
      </c>
      <c r="I54" s="74" t="s">
        <v>648</v>
      </c>
      <c r="J54" s="74" t="s">
        <v>648</v>
      </c>
      <c r="K54" s="74" t="s">
        <v>648</v>
      </c>
      <c r="L54" s="74" t="s">
        <v>648</v>
      </c>
      <c r="M54" s="74">
        <v>49171</v>
      </c>
      <c r="N54" s="74" t="s">
        <v>648</v>
      </c>
      <c r="O54" s="74">
        <v>49171</v>
      </c>
      <c r="P54" s="74">
        <v>31560</v>
      </c>
      <c r="Q54" s="74" t="s">
        <v>648</v>
      </c>
      <c r="R54" s="76" t="s">
        <v>93</v>
      </c>
      <c r="S54" s="73"/>
      <c r="T54" s="73"/>
      <c r="U54" s="73"/>
      <c r="V54" s="73"/>
      <c r="W54" s="73"/>
      <c r="X54" s="73"/>
      <c r="Y54" s="73"/>
    </row>
    <row r="55" spans="1:25" s="74" customFormat="1" ht="10.5" customHeight="1" x14ac:dyDescent="0.15">
      <c r="A55" s="950" t="s">
        <v>801</v>
      </c>
      <c r="B55" s="74" t="s">
        <v>648</v>
      </c>
      <c r="C55" s="74" t="s">
        <v>648</v>
      </c>
      <c r="D55" s="74" t="s">
        <v>648</v>
      </c>
      <c r="E55" s="74" t="s">
        <v>648</v>
      </c>
      <c r="F55" s="74">
        <v>96819</v>
      </c>
      <c r="G55" s="74">
        <v>7753</v>
      </c>
      <c r="H55" s="74" t="s">
        <v>648</v>
      </c>
      <c r="I55" s="74" t="s">
        <v>648</v>
      </c>
      <c r="J55" s="74" t="s">
        <v>648</v>
      </c>
      <c r="K55" s="74" t="s">
        <v>648</v>
      </c>
      <c r="L55" s="74" t="s">
        <v>648</v>
      </c>
      <c r="M55" s="74">
        <v>45907</v>
      </c>
      <c r="N55" s="74" t="s">
        <v>648</v>
      </c>
      <c r="O55" s="74">
        <v>45907</v>
      </c>
      <c r="P55" s="74">
        <v>41333</v>
      </c>
      <c r="Q55" s="74" t="s">
        <v>648</v>
      </c>
      <c r="R55" s="76" t="s">
        <v>94</v>
      </c>
      <c r="S55" s="73"/>
      <c r="T55" s="73"/>
      <c r="U55" s="73"/>
      <c r="V55" s="73"/>
      <c r="W55" s="73"/>
      <c r="X55" s="73"/>
      <c r="Y55" s="73"/>
    </row>
    <row r="56" spans="1:25" s="74" customFormat="1" ht="10.5" customHeight="1" x14ac:dyDescent="0.15">
      <c r="A56" s="950" t="s">
        <v>823</v>
      </c>
      <c r="B56" s="74" t="s">
        <v>648</v>
      </c>
      <c r="C56" s="74" t="s">
        <v>648</v>
      </c>
      <c r="D56" s="74" t="s">
        <v>648</v>
      </c>
      <c r="E56" s="74" t="s">
        <v>648</v>
      </c>
      <c r="F56" s="74">
        <v>94081</v>
      </c>
      <c r="G56" s="74">
        <v>32323</v>
      </c>
      <c r="H56" s="74" t="s">
        <v>648</v>
      </c>
      <c r="I56" s="74" t="s">
        <v>648</v>
      </c>
      <c r="J56" s="74" t="s">
        <v>648</v>
      </c>
      <c r="K56" s="74" t="s">
        <v>648</v>
      </c>
      <c r="L56" s="74" t="s">
        <v>648</v>
      </c>
      <c r="M56" s="74">
        <v>91973</v>
      </c>
      <c r="N56" s="74">
        <v>45942</v>
      </c>
      <c r="O56" s="74">
        <v>46031</v>
      </c>
      <c r="P56" s="74" t="s">
        <v>648</v>
      </c>
      <c r="Q56" s="74" t="s">
        <v>648</v>
      </c>
      <c r="R56" s="76" t="s">
        <v>777</v>
      </c>
      <c r="S56" s="73"/>
      <c r="T56" s="73"/>
      <c r="U56" s="73"/>
      <c r="V56" s="73"/>
      <c r="W56" s="73"/>
      <c r="X56" s="73"/>
      <c r="Y56" s="73"/>
    </row>
    <row r="57" spans="1:25" s="74" customFormat="1" ht="10.5" customHeight="1" x14ac:dyDescent="0.15">
      <c r="A57" s="950"/>
      <c r="R57" s="76"/>
      <c r="S57" s="73"/>
      <c r="T57" s="73"/>
      <c r="U57" s="73"/>
      <c r="V57" s="73"/>
      <c r="W57" s="73"/>
      <c r="X57" s="73"/>
      <c r="Y57" s="73"/>
    </row>
    <row r="58" spans="1:25" s="74" customFormat="1" ht="10.5" customHeight="1" x14ac:dyDescent="0.15">
      <c r="A58" s="950" t="s">
        <v>824</v>
      </c>
      <c r="B58" s="74" t="s">
        <v>648</v>
      </c>
      <c r="C58" s="74">
        <v>31645</v>
      </c>
      <c r="D58" s="74" t="s">
        <v>648</v>
      </c>
      <c r="E58" s="74" t="s">
        <v>648</v>
      </c>
      <c r="F58" s="74" t="s">
        <v>648</v>
      </c>
      <c r="G58" s="74" t="s">
        <v>648</v>
      </c>
      <c r="H58" s="74">
        <v>47366</v>
      </c>
      <c r="I58" s="74">
        <v>16085</v>
      </c>
      <c r="J58" s="74" t="s">
        <v>648</v>
      </c>
      <c r="K58" s="74" t="s">
        <v>648</v>
      </c>
      <c r="L58" s="74" t="s">
        <v>648</v>
      </c>
      <c r="M58" s="74" t="s">
        <v>648</v>
      </c>
      <c r="N58" s="74" t="s">
        <v>648</v>
      </c>
      <c r="O58" s="74" t="s">
        <v>648</v>
      </c>
      <c r="P58" s="74">
        <v>41650</v>
      </c>
      <c r="Q58" s="74" t="s">
        <v>648</v>
      </c>
      <c r="R58" s="76" t="s">
        <v>675</v>
      </c>
      <c r="S58" s="73"/>
      <c r="T58" s="73"/>
      <c r="U58" s="73"/>
      <c r="V58" s="73"/>
      <c r="W58" s="73"/>
      <c r="X58" s="73"/>
      <c r="Y58" s="73"/>
    </row>
    <row r="59" spans="1:25" s="74" customFormat="1" ht="10.5" customHeight="1" x14ac:dyDescent="0.15">
      <c r="A59" s="950" t="s">
        <v>825</v>
      </c>
      <c r="B59" s="74" t="s">
        <v>648</v>
      </c>
      <c r="C59" s="74" t="s">
        <v>648</v>
      </c>
      <c r="D59" s="74" t="s">
        <v>648</v>
      </c>
      <c r="E59" s="74" t="s">
        <v>648</v>
      </c>
      <c r="F59" s="74">
        <v>31097</v>
      </c>
      <c r="G59" s="74" t="s">
        <v>648</v>
      </c>
      <c r="H59" s="74" t="s">
        <v>648</v>
      </c>
      <c r="I59" s="74" t="s">
        <v>648</v>
      </c>
      <c r="J59" s="74" t="s">
        <v>648</v>
      </c>
      <c r="K59" s="74" t="s">
        <v>648</v>
      </c>
      <c r="L59" s="74" t="s">
        <v>648</v>
      </c>
      <c r="M59" s="74">
        <v>39568</v>
      </c>
      <c r="N59" s="74" t="s">
        <v>648</v>
      </c>
      <c r="O59" s="74">
        <v>39568</v>
      </c>
      <c r="P59" s="74">
        <v>36406</v>
      </c>
      <c r="Q59" s="74">
        <v>36406</v>
      </c>
      <c r="R59" s="76" t="s">
        <v>80</v>
      </c>
      <c r="S59" s="73"/>
      <c r="T59" s="73"/>
      <c r="U59" s="73"/>
      <c r="V59" s="73"/>
      <c r="W59" s="73"/>
      <c r="X59" s="73"/>
      <c r="Y59" s="73"/>
    </row>
    <row r="60" spans="1:25" s="74" customFormat="1" ht="10.5" customHeight="1" x14ac:dyDescent="0.15">
      <c r="A60" s="950" t="s">
        <v>780</v>
      </c>
      <c r="B60" s="74" t="s">
        <v>648</v>
      </c>
      <c r="C60" s="74" t="s">
        <v>648</v>
      </c>
      <c r="D60" s="74" t="s">
        <v>648</v>
      </c>
      <c r="E60" s="74" t="s">
        <v>648</v>
      </c>
      <c r="F60" s="74">
        <v>31866</v>
      </c>
      <c r="G60" s="74" t="s">
        <v>648</v>
      </c>
      <c r="H60" s="74" t="s">
        <v>648</v>
      </c>
      <c r="I60" s="74" t="s">
        <v>648</v>
      </c>
      <c r="J60" s="74" t="s">
        <v>648</v>
      </c>
      <c r="K60" s="74" t="s">
        <v>648</v>
      </c>
      <c r="L60" s="74" t="s">
        <v>648</v>
      </c>
      <c r="M60" s="74">
        <v>47610</v>
      </c>
      <c r="N60" s="74" t="s">
        <v>648</v>
      </c>
      <c r="O60" s="74">
        <v>47610</v>
      </c>
      <c r="P60" s="74" t="s">
        <v>648</v>
      </c>
      <c r="Q60" s="74" t="s">
        <v>648</v>
      </c>
      <c r="R60" s="76" t="s">
        <v>81</v>
      </c>
      <c r="S60" s="73"/>
      <c r="T60" s="73"/>
      <c r="U60" s="73"/>
      <c r="V60" s="73"/>
      <c r="W60" s="73"/>
      <c r="X60" s="73"/>
      <c r="Y60" s="73"/>
    </row>
    <row r="61" spans="1:25" s="74" customFormat="1" ht="10.5" customHeight="1" x14ac:dyDescent="0.15">
      <c r="A61" s="950" t="s">
        <v>781</v>
      </c>
      <c r="B61" s="74" t="s">
        <v>648</v>
      </c>
      <c r="C61" s="74" t="s">
        <v>648</v>
      </c>
      <c r="D61" s="74" t="s">
        <v>648</v>
      </c>
      <c r="E61" s="74">
        <v>32432</v>
      </c>
      <c r="F61" s="74">
        <v>32138</v>
      </c>
      <c r="G61" s="74">
        <v>9911</v>
      </c>
      <c r="H61" s="74" t="s">
        <v>648</v>
      </c>
      <c r="I61" s="74" t="s">
        <v>648</v>
      </c>
      <c r="J61" s="74" t="s">
        <v>648</v>
      </c>
      <c r="K61" s="74" t="s">
        <v>648</v>
      </c>
      <c r="L61" s="74" t="s">
        <v>648</v>
      </c>
      <c r="M61" s="74" t="s">
        <v>648</v>
      </c>
      <c r="N61" s="74" t="s">
        <v>648</v>
      </c>
      <c r="O61" s="74" t="s">
        <v>648</v>
      </c>
      <c r="P61" s="74" t="s">
        <v>648</v>
      </c>
      <c r="Q61" s="74" t="s">
        <v>648</v>
      </c>
      <c r="R61" s="76" t="s">
        <v>82</v>
      </c>
      <c r="S61" s="73"/>
      <c r="T61" s="73"/>
      <c r="U61" s="73"/>
      <c r="V61" s="73"/>
      <c r="W61" s="73"/>
      <c r="X61" s="73"/>
      <c r="Y61" s="73"/>
    </row>
    <row r="62" spans="1:25" s="74" customFormat="1" ht="10.5" customHeight="1" x14ac:dyDescent="0.15">
      <c r="A62" s="950" t="s">
        <v>782</v>
      </c>
      <c r="B62" s="74" t="s">
        <v>648</v>
      </c>
      <c r="C62" s="74" t="s">
        <v>648</v>
      </c>
      <c r="D62" s="74" t="s">
        <v>648</v>
      </c>
      <c r="E62" s="74" t="s">
        <v>648</v>
      </c>
      <c r="F62" s="74">
        <v>31810</v>
      </c>
      <c r="G62" s="74" t="s">
        <v>648</v>
      </c>
      <c r="H62" s="74" t="s">
        <v>648</v>
      </c>
      <c r="I62" s="74" t="s">
        <v>648</v>
      </c>
      <c r="J62" s="74" t="s">
        <v>648</v>
      </c>
      <c r="K62" s="74" t="s">
        <v>648</v>
      </c>
      <c r="L62" s="74" t="s">
        <v>648</v>
      </c>
      <c r="M62" s="74" t="s">
        <v>648</v>
      </c>
      <c r="N62" s="74" t="s">
        <v>648</v>
      </c>
      <c r="O62" s="74" t="s">
        <v>648</v>
      </c>
      <c r="P62" s="74">
        <v>22623</v>
      </c>
      <c r="Q62" s="74" t="s">
        <v>648</v>
      </c>
      <c r="R62" s="77" t="s">
        <v>95</v>
      </c>
      <c r="S62" s="73"/>
      <c r="T62" s="73"/>
      <c r="U62" s="73"/>
      <c r="V62" s="73"/>
      <c r="W62" s="73"/>
      <c r="X62" s="73"/>
      <c r="Y62" s="73"/>
    </row>
    <row r="63" spans="1:25" s="74" customFormat="1" ht="10.5" customHeight="1" x14ac:dyDescent="0.15">
      <c r="A63" s="950" t="s">
        <v>783</v>
      </c>
      <c r="B63" s="74" t="s">
        <v>648</v>
      </c>
      <c r="C63" s="74" t="s">
        <v>648</v>
      </c>
      <c r="D63" s="74" t="s">
        <v>648</v>
      </c>
      <c r="E63" s="74" t="s">
        <v>648</v>
      </c>
      <c r="F63" s="74">
        <v>31558</v>
      </c>
      <c r="G63" s="74" t="s">
        <v>648</v>
      </c>
      <c r="H63" s="74" t="s">
        <v>648</v>
      </c>
      <c r="I63" s="74" t="s">
        <v>648</v>
      </c>
      <c r="J63" s="74" t="s">
        <v>648</v>
      </c>
      <c r="K63" s="74" t="s">
        <v>648</v>
      </c>
      <c r="L63" s="74" t="s">
        <v>648</v>
      </c>
      <c r="M63" s="74" t="s">
        <v>648</v>
      </c>
      <c r="N63" s="74" t="s">
        <v>648</v>
      </c>
      <c r="O63" s="74" t="s">
        <v>648</v>
      </c>
      <c r="P63" s="74" t="s">
        <v>648</v>
      </c>
      <c r="Q63" s="74" t="s">
        <v>648</v>
      </c>
      <c r="R63" s="76" t="s">
        <v>96</v>
      </c>
      <c r="S63" s="73"/>
      <c r="T63" s="73"/>
      <c r="U63" s="73"/>
      <c r="V63" s="73"/>
      <c r="W63" s="73"/>
      <c r="X63" s="73"/>
      <c r="Y63" s="73"/>
    </row>
    <row r="64" spans="1:25" s="74" customFormat="1" ht="10.5" customHeight="1" x14ac:dyDescent="0.15">
      <c r="A64" s="950" t="s">
        <v>784</v>
      </c>
      <c r="B64" s="74" t="s">
        <v>648</v>
      </c>
      <c r="C64" s="74" t="s">
        <v>648</v>
      </c>
      <c r="D64" s="74" t="s">
        <v>648</v>
      </c>
      <c r="E64" s="74" t="s">
        <v>648</v>
      </c>
      <c r="F64" s="74" t="s">
        <v>648</v>
      </c>
      <c r="G64" s="74" t="s">
        <v>648</v>
      </c>
      <c r="H64" s="74" t="s">
        <v>648</v>
      </c>
      <c r="I64" s="74" t="s">
        <v>648</v>
      </c>
      <c r="J64" s="74" t="s">
        <v>648</v>
      </c>
      <c r="K64" s="74" t="s">
        <v>648</v>
      </c>
      <c r="L64" s="74" t="s">
        <v>648</v>
      </c>
      <c r="M64" s="74" t="s">
        <v>648</v>
      </c>
      <c r="N64" s="74" t="s">
        <v>648</v>
      </c>
      <c r="O64" s="74" t="s">
        <v>648</v>
      </c>
      <c r="P64" s="74" t="s">
        <v>648</v>
      </c>
      <c r="Q64" s="74" t="s">
        <v>648</v>
      </c>
      <c r="R64" s="76" t="s">
        <v>97</v>
      </c>
      <c r="S64" s="73"/>
      <c r="T64" s="73"/>
      <c r="U64" s="73"/>
      <c r="V64" s="73"/>
      <c r="W64" s="73"/>
      <c r="X64" s="73"/>
      <c r="Y64" s="73"/>
    </row>
    <row r="65" spans="1:25" s="74" customFormat="1" ht="10.5" customHeight="1" x14ac:dyDescent="0.15">
      <c r="A65" s="950" t="s">
        <v>806</v>
      </c>
      <c r="B65" s="74" t="s">
        <v>648</v>
      </c>
      <c r="C65" s="74" t="s">
        <v>648</v>
      </c>
      <c r="D65" s="74" t="s">
        <v>648</v>
      </c>
      <c r="E65" s="74" t="s">
        <v>648</v>
      </c>
      <c r="F65" s="74">
        <v>32222</v>
      </c>
      <c r="G65" s="74">
        <v>21110</v>
      </c>
      <c r="H65" s="74" t="s">
        <v>648</v>
      </c>
      <c r="I65" s="74" t="s">
        <v>648</v>
      </c>
      <c r="J65" s="74" t="s">
        <v>648</v>
      </c>
      <c r="K65" s="74" t="s">
        <v>648</v>
      </c>
      <c r="L65" s="74" t="s">
        <v>648</v>
      </c>
      <c r="M65" s="74" t="s">
        <v>648</v>
      </c>
      <c r="N65" s="74" t="s">
        <v>648</v>
      </c>
      <c r="O65" s="74" t="s">
        <v>648</v>
      </c>
      <c r="P65" s="74">
        <v>31560</v>
      </c>
      <c r="Q65" s="74" t="s">
        <v>648</v>
      </c>
      <c r="R65" s="76" t="s">
        <v>98</v>
      </c>
      <c r="S65" s="73"/>
      <c r="T65" s="73"/>
      <c r="U65" s="73"/>
      <c r="V65" s="73"/>
      <c r="W65" s="73"/>
      <c r="X65" s="73"/>
      <c r="Y65" s="73"/>
    </row>
    <row r="66" spans="1:25" s="74" customFormat="1" ht="10.5" customHeight="1" x14ac:dyDescent="0.15">
      <c r="A66" s="950" t="s">
        <v>786</v>
      </c>
      <c r="B66" s="74" t="s">
        <v>648</v>
      </c>
      <c r="C66" s="74" t="s">
        <v>648</v>
      </c>
      <c r="D66" s="74" t="s">
        <v>648</v>
      </c>
      <c r="E66" s="74">
        <v>31677</v>
      </c>
      <c r="F66" s="74">
        <v>31488</v>
      </c>
      <c r="G66" s="74" t="s">
        <v>648</v>
      </c>
      <c r="H66" s="74" t="s">
        <v>648</v>
      </c>
      <c r="I66" s="74" t="s">
        <v>648</v>
      </c>
      <c r="J66" s="74" t="s">
        <v>648</v>
      </c>
      <c r="K66" s="74" t="s">
        <v>648</v>
      </c>
      <c r="L66" s="74" t="s">
        <v>648</v>
      </c>
      <c r="M66" s="74">
        <v>49171</v>
      </c>
      <c r="N66" s="74" t="s">
        <v>648</v>
      </c>
      <c r="O66" s="74">
        <v>49171</v>
      </c>
      <c r="P66" s="74" t="s">
        <v>648</v>
      </c>
      <c r="Q66" s="74" t="s">
        <v>648</v>
      </c>
      <c r="R66" s="76" t="s">
        <v>99</v>
      </c>
      <c r="S66" s="73"/>
      <c r="T66" s="73"/>
      <c r="U66" s="73"/>
      <c r="V66" s="73"/>
      <c r="W66" s="73"/>
      <c r="X66" s="73"/>
      <c r="Y66" s="73"/>
    </row>
    <row r="67" spans="1:25" s="74" customFormat="1" ht="10.5" customHeight="1" x14ac:dyDescent="0.15">
      <c r="A67" s="950" t="s">
        <v>807</v>
      </c>
      <c r="B67" s="74" t="s">
        <v>648</v>
      </c>
      <c r="C67" s="74" t="s">
        <v>648</v>
      </c>
      <c r="D67" s="74" t="s">
        <v>648</v>
      </c>
      <c r="E67" s="74" t="s">
        <v>648</v>
      </c>
      <c r="F67" s="74">
        <v>32659</v>
      </c>
      <c r="G67" s="74" t="s">
        <v>648</v>
      </c>
      <c r="H67" s="74" t="s">
        <v>648</v>
      </c>
      <c r="I67" s="74" t="s">
        <v>648</v>
      </c>
      <c r="J67" s="74" t="s">
        <v>648</v>
      </c>
      <c r="K67" s="74" t="s">
        <v>648</v>
      </c>
      <c r="L67" s="74" t="s">
        <v>648</v>
      </c>
      <c r="M67" s="74" t="s">
        <v>648</v>
      </c>
      <c r="N67" s="74" t="s">
        <v>648</v>
      </c>
      <c r="O67" s="74" t="s">
        <v>648</v>
      </c>
      <c r="P67" s="74" t="s">
        <v>648</v>
      </c>
      <c r="Q67" s="74" t="s">
        <v>648</v>
      </c>
      <c r="R67" s="76" t="s">
        <v>83</v>
      </c>
      <c r="S67" s="73"/>
      <c r="T67" s="73"/>
      <c r="U67" s="73"/>
      <c r="V67" s="73"/>
      <c r="W67" s="73"/>
      <c r="X67" s="73"/>
      <c r="Y67" s="73"/>
    </row>
    <row r="68" spans="1:25" s="74" customFormat="1" ht="10.5" customHeight="1" x14ac:dyDescent="0.15">
      <c r="A68" s="950" t="s">
        <v>788</v>
      </c>
      <c r="B68" s="74" t="s">
        <v>648</v>
      </c>
      <c r="C68" s="74" t="s">
        <v>648</v>
      </c>
      <c r="D68" s="74" t="s">
        <v>648</v>
      </c>
      <c r="E68" s="74" t="s">
        <v>648</v>
      </c>
      <c r="F68" s="74">
        <v>32790</v>
      </c>
      <c r="G68" s="74" t="s">
        <v>648</v>
      </c>
      <c r="H68" s="74" t="s">
        <v>648</v>
      </c>
      <c r="I68" s="74" t="s">
        <v>648</v>
      </c>
      <c r="J68" s="74" t="s">
        <v>648</v>
      </c>
      <c r="K68" s="74" t="s">
        <v>648</v>
      </c>
      <c r="L68" s="74" t="s">
        <v>648</v>
      </c>
      <c r="M68" s="74" t="s">
        <v>648</v>
      </c>
      <c r="N68" s="74" t="s">
        <v>648</v>
      </c>
      <c r="O68" s="74" t="s">
        <v>648</v>
      </c>
      <c r="P68" s="74">
        <v>21455</v>
      </c>
      <c r="Q68" s="74" t="s">
        <v>648</v>
      </c>
      <c r="R68" s="76" t="s">
        <v>84</v>
      </c>
      <c r="S68" s="73"/>
      <c r="T68" s="73"/>
      <c r="U68" s="73"/>
      <c r="V68" s="73"/>
      <c r="W68" s="73"/>
      <c r="X68" s="73"/>
      <c r="Y68" s="73"/>
    </row>
    <row r="69" spans="1:25" s="74" customFormat="1" ht="10.5" customHeight="1" x14ac:dyDescent="0.15">
      <c r="A69" s="950" t="s">
        <v>789</v>
      </c>
      <c r="B69" s="74" t="s">
        <v>648</v>
      </c>
      <c r="C69" s="74" t="s">
        <v>648</v>
      </c>
      <c r="D69" s="74" t="s">
        <v>648</v>
      </c>
      <c r="E69" s="74" t="s">
        <v>648</v>
      </c>
      <c r="F69" s="74">
        <v>31370</v>
      </c>
      <c r="G69" s="74">
        <v>7753</v>
      </c>
      <c r="H69" s="74" t="s">
        <v>648</v>
      </c>
      <c r="I69" s="74" t="s">
        <v>648</v>
      </c>
      <c r="J69" s="74" t="s">
        <v>648</v>
      </c>
      <c r="K69" s="74" t="s">
        <v>648</v>
      </c>
      <c r="L69" s="74" t="s">
        <v>648</v>
      </c>
      <c r="M69" s="74">
        <v>45907</v>
      </c>
      <c r="N69" s="74" t="s">
        <v>648</v>
      </c>
      <c r="O69" s="74">
        <v>45907</v>
      </c>
      <c r="P69" s="74">
        <v>19878</v>
      </c>
      <c r="Q69" s="74" t="s">
        <v>648</v>
      </c>
      <c r="R69" s="76" t="s">
        <v>85</v>
      </c>
      <c r="S69" s="73"/>
      <c r="T69" s="73"/>
      <c r="U69" s="73"/>
      <c r="V69" s="73"/>
      <c r="W69" s="73"/>
      <c r="X69" s="73"/>
      <c r="Y69" s="73"/>
    </row>
    <row r="70" spans="1:25" s="74" customFormat="1" ht="10.5" customHeight="1" x14ac:dyDescent="0.15">
      <c r="A70" s="950" t="s">
        <v>790</v>
      </c>
      <c r="B70" s="74" t="s">
        <v>648</v>
      </c>
      <c r="C70" s="74" t="s">
        <v>648</v>
      </c>
      <c r="D70" s="74" t="s">
        <v>648</v>
      </c>
      <c r="E70" s="74" t="s">
        <v>648</v>
      </c>
      <c r="F70" s="74">
        <v>31809</v>
      </c>
      <c r="G70" s="74">
        <v>16473</v>
      </c>
      <c r="H70" s="74" t="s">
        <v>648</v>
      </c>
      <c r="I70" s="74" t="s">
        <v>648</v>
      </c>
      <c r="J70" s="74" t="s">
        <v>648</v>
      </c>
      <c r="K70" s="74" t="s">
        <v>648</v>
      </c>
      <c r="L70" s="74" t="s">
        <v>648</v>
      </c>
      <c r="M70" s="74">
        <v>45942</v>
      </c>
      <c r="N70" s="74">
        <v>45942</v>
      </c>
      <c r="O70" s="74" t="s">
        <v>648</v>
      </c>
      <c r="P70" s="74" t="s">
        <v>648</v>
      </c>
      <c r="Q70" s="74" t="s">
        <v>648</v>
      </c>
      <c r="R70" s="76" t="s">
        <v>791</v>
      </c>
      <c r="S70" s="73"/>
      <c r="T70" s="73"/>
      <c r="U70" s="73"/>
      <c r="V70" s="73"/>
      <c r="W70" s="73"/>
      <c r="X70" s="73"/>
      <c r="Y70" s="73"/>
    </row>
    <row r="71" spans="1:25" s="74" customFormat="1" ht="10.5" customHeight="1" x14ac:dyDescent="0.15">
      <c r="A71" s="950" t="s">
        <v>792</v>
      </c>
      <c r="B71" s="74" t="s">
        <v>648</v>
      </c>
      <c r="C71" s="74" t="s">
        <v>648</v>
      </c>
      <c r="D71" s="74" t="s">
        <v>648</v>
      </c>
      <c r="E71" s="74" t="s">
        <v>648</v>
      </c>
      <c r="F71" s="74">
        <v>62272</v>
      </c>
      <c r="G71" s="74" t="s">
        <v>648</v>
      </c>
      <c r="H71" s="74" t="s">
        <v>648</v>
      </c>
      <c r="I71" s="74" t="s">
        <v>648</v>
      </c>
      <c r="J71" s="74" t="s">
        <v>648</v>
      </c>
      <c r="K71" s="74" t="s">
        <v>648</v>
      </c>
      <c r="L71" s="74" t="s">
        <v>648</v>
      </c>
      <c r="M71" s="74">
        <v>46031</v>
      </c>
      <c r="N71" s="74" t="s">
        <v>648</v>
      </c>
      <c r="O71" s="74">
        <v>46031</v>
      </c>
      <c r="P71" s="74" t="s">
        <v>648</v>
      </c>
      <c r="Q71" s="74" t="s">
        <v>648</v>
      </c>
      <c r="R71" s="76" t="s">
        <v>80</v>
      </c>
      <c r="S71" s="73"/>
      <c r="T71" s="73"/>
      <c r="U71" s="73"/>
      <c r="V71" s="73"/>
      <c r="W71" s="73"/>
      <c r="X71" s="73"/>
      <c r="Y71" s="73"/>
    </row>
    <row r="72" spans="1:25" s="74" customFormat="1" ht="10.5" customHeight="1" x14ac:dyDescent="0.15">
      <c r="A72" s="951" t="s">
        <v>793</v>
      </c>
      <c r="B72" s="78" t="s">
        <v>648</v>
      </c>
      <c r="C72" s="79" t="s">
        <v>648</v>
      </c>
      <c r="D72" s="79" t="s">
        <v>648</v>
      </c>
      <c r="E72" s="79" t="s">
        <v>648</v>
      </c>
      <c r="F72" s="79" t="s">
        <v>648</v>
      </c>
      <c r="G72" s="79">
        <v>15850</v>
      </c>
      <c r="H72" s="79" t="s">
        <v>648</v>
      </c>
      <c r="I72" s="79" t="s">
        <v>648</v>
      </c>
      <c r="J72" s="79" t="s">
        <v>648</v>
      </c>
      <c r="K72" s="79" t="s">
        <v>648</v>
      </c>
      <c r="L72" s="79" t="s">
        <v>648</v>
      </c>
      <c r="M72" s="79" t="s">
        <v>648</v>
      </c>
      <c r="N72" s="79" t="s">
        <v>648</v>
      </c>
      <c r="O72" s="79" t="s">
        <v>648</v>
      </c>
      <c r="P72" s="79" t="s">
        <v>648</v>
      </c>
      <c r="Q72" s="79" t="s">
        <v>648</v>
      </c>
      <c r="R72" s="80" t="s">
        <v>81</v>
      </c>
      <c r="S72" s="73"/>
      <c r="T72" s="73"/>
      <c r="U72" s="73"/>
      <c r="V72" s="73"/>
      <c r="W72" s="73"/>
      <c r="X72" s="73"/>
      <c r="Y72" s="73"/>
    </row>
    <row r="73" spans="1:25" ht="23.25" customHeight="1" x14ac:dyDescent="0.35">
      <c r="I73" s="81" t="s">
        <v>100</v>
      </c>
      <c r="Q73" s="83" t="s">
        <v>79</v>
      </c>
    </row>
    <row r="74" spans="1:25" s="21" customFormat="1" ht="11.25" customHeight="1" x14ac:dyDescent="0.15">
      <c r="A74" s="66"/>
      <c r="B74" s="82" t="s">
        <v>129</v>
      </c>
      <c r="C74" s="68"/>
      <c r="D74" s="68"/>
      <c r="E74" s="68"/>
      <c r="F74" s="68"/>
      <c r="G74" s="68"/>
      <c r="H74" s="68"/>
      <c r="I74" s="66"/>
      <c r="J74" s="37"/>
      <c r="K74" s="68"/>
      <c r="L74" s="68"/>
      <c r="M74" s="68"/>
      <c r="N74" s="68"/>
      <c r="O74" s="68"/>
      <c r="P74" s="68"/>
      <c r="Q74" s="68"/>
      <c r="R74" s="1063" t="s">
        <v>86</v>
      </c>
      <c r="S74" s="19"/>
      <c r="T74" s="19"/>
      <c r="U74" s="19"/>
      <c r="V74" s="19"/>
      <c r="W74" s="19"/>
      <c r="X74" s="19"/>
      <c r="Y74" s="19"/>
    </row>
    <row r="75" spans="1:25" s="69" customFormat="1" ht="28.5" customHeight="1" x14ac:dyDescent="0.2">
      <c r="A75" s="35" t="s">
        <v>194</v>
      </c>
      <c r="B75" s="41" t="s">
        <v>141</v>
      </c>
      <c r="C75" s="20"/>
      <c r="D75" s="20"/>
      <c r="E75" s="20"/>
      <c r="F75" s="20"/>
      <c r="G75" s="20"/>
      <c r="H75" s="20"/>
      <c r="I75" s="84"/>
      <c r="J75" s="16" t="s">
        <v>89</v>
      </c>
      <c r="K75" s="904" t="s">
        <v>143</v>
      </c>
      <c r="L75" s="20"/>
      <c r="M75" s="20"/>
      <c r="N75" s="20"/>
      <c r="O75" s="20"/>
      <c r="P75" s="20"/>
      <c r="Q75" s="20"/>
      <c r="R75" s="1064"/>
      <c r="S75" s="15"/>
      <c r="T75" s="15"/>
      <c r="U75" s="15"/>
      <c r="V75" s="15"/>
      <c r="W75" s="15"/>
      <c r="X75" s="15"/>
      <c r="Y75" s="15"/>
    </row>
    <row r="76" spans="1:25" s="69" customFormat="1" ht="28.5" customHeight="1" x14ac:dyDescent="0.2">
      <c r="A76" s="35"/>
      <c r="B76" s="14" t="s">
        <v>44</v>
      </c>
      <c r="C76" s="14" t="s">
        <v>45</v>
      </c>
      <c r="D76" s="14" t="s">
        <v>826</v>
      </c>
      <c r="E76" s="14" t="s">
        <v>827</v>
      </c>
      <c r="F76" s="14" t="s">
        <v>47</v>
      </c>
      <c r="G76" s="14" t="s">
        <v>142</v>
      </c>
      <c r="H76" s="14" t="s">
        <v>200</v>
      </c>
      <c r="I76" s="14" t="s">
        <v>199</v>
      </c>
      <c r="J76" s="16" t="s">
        <v>48</v>
      </c>
      <c r="K76" s="16" t="s">
        <v>22</v>
      </c>
      <c r="L76" s="14" t="s">
        <v>145</v>
      </c>
      <c r="M76" s="14" t="s">
        <v>49</v>
      </c>
      <c r="N76" s="14" t="s">
        <v>146</v>
      </c>
      <c r="O76" s="14" t="s">
        <v>828</v>
      </c>
      <c r="P76" s="14" t="s">
        <v>493</v>
      </c>
      <c r="Q76" s="904" t="s">
        <v>147</v>
      </c>
      <c r="R76" s="1064"/>
      <c r="S76" s="15"/>
      <c r="T76" s="15"/>
      <c r="U76" s="15"/>
      <c r="V76" s="15"/>
      <c r="W76" s="15"/>
      <c r="X76" s="15"/>
      <c r="Y76" s="15"/>
    </row>
    <row r="77" spans="1:25" s="69" customFormat="1" ht="12" customHeight="1" x14ac:dyDescent="0.2">
      <c r="A77" s="36"/>
      <c r="B77" s="18" t="str">
        <f>PROPER("SUMATR-L")</f>
        <v>Sumatr-L</v>
      </c>
      <c r="C77" s="18" t="str">
        <f>PROPER("BEKAPAI")</f>
        <v>Bekapai</v>
      </c>
      <c r="D77" s="18" t="str">
        <f>PROPER("LALANG")</f>
        <v>Lalang</v>
      </c>
      <c r="E77" s="18" t="str">
        <f>PROPER("SENIPH-C")</f>
        <v>Seniph-C</v>
      </c>
      <c r="F77" s="18" t="str">
        <f>PROPER("KAJISEMO")</f>
        <v>Kajisemo</v>
      </c>
      <c r="G77" s="18" t="str">
        <f>PROPER("HNDL-MIX")</f>
        <v>Hndl-Mix</v>
      </c>
      <c r="H77" s="18" t="str">
        <f>PROPER("KETAPANG")</f>
        <v>Ketapang</v>
      </c>
      <c r="I77" s="18" t="str">
        <f>PROPER("BANYU-UR")</f>
        <v>Banyu-Ur</v>
      </c>
      <c r="J77" s="18"/>
      <c r="K77" s="18"/>
      <c r="L77" s="18" t="str">
        <f>PROPER("IRAN-L")</f>
        <v>Iran-L</v>
      </c>
      <c r="M77" s="18" t="str">
        <f>PROPER("IRAN-H")</f>
        <v>Iran-H</v>
      </c>
      <c r="N77" s="18" t="str">
        <f>PROPER("BAHREGAN")</f>
        <v>Bahregan</v>
      </c>
      <c r="O77" s="18" t="str">
        <f>PROPER("FOROZN-B")</f>
        <v>Forozn-B</v>
      </c>
      <c r="P77" s="18" t="str">
        <f>PROPER("S-PARS-C")</f>
        <v>S-Pars-C</v>
      </c>
      <c r="Q77" s="17" t="str">
        <f>PROPER("SOROOSH")</f>
        <v>Soroosh</v>
      </c>
      <c r="R77" s="1065"/>
      <c r="S77" s="15"/>
      <c r="T77" s="15"/>
      <c r="U77" s="15"/>
      <c r="V77" s="15"/>
      <c r="W77" s="15"/>
      <c r="X77" s="15"/>
      <c r="Y77" s="15"/>
    </row>
    <row r="78" spans="1:25" s="74" customFormat="1" ht="10.5" customHeight="1" x14ac:dyDescent="0.15">
      <c r="A78" s="949" t="s">
        <v>763</v>
      </c>
      <c r="B78" s="70">
        <v>983752</v>
      </c>
      <c r="C78" s="71">
        <v>63677</v>
      </c>
      <c r="D78" s="71" t="s">
        <v>648</v>
      </c>
      <c r="E78" s="71">
        <v>30148</v>
      </c>
      <c r="F78" s="71">
        <v>68005</v>
      </c>
      <c r="G78" s="71">
        <v>129151</v>
      </c>
      <c r="H78" s="71">
        <v>446762</v>
      </c>
      <c r="I78" s="71">
        <v>47245</v>
      </c>
      <c r="J78" s="71">
        <v>162826225</v>
      </c>
      <c r="K78" s="71">
        <v>9993792</v>
      </c>
      <c r="L78" s="71">
        <v>579060</v>
      </c>
      <c r="M78" s="71">
        <v>4705682</v>
      </c>
      <c r="N78" s="71">
        <v>252593</v>
      </c>
      <c r="O78" s="71">
        <v>2492735</v>
      </c>
      <c r="P78" s="71">
        <v>1963722</v>
      </c>
      <c r="Q78" s="71" t="s">
        <v>648</v>
      </c>
      <c r="R78" s="72" t="s">
        <v>464</v>
      </c>
      <c r="S78" s="73"/>
      <c r="T78" s="73"/>
      <c r="U78" s="73"/>
      <c r="V78" s="73"/>
      <c r="W78" s="73"/>
      <c r="X78" s="73"/>
      <c r="Y78" s="73"/>
    </row>
    <row r="79" spans="1:25" s="74" customFormat="1" ht="10.5" customHeight="1" x14ac:dyDescent="0.15">
      <c r="A79" s="950" t="s">
        <v>764</v>
      </c>
      <c r="B79" s="74">
        <v>658968</v>
      </c>
      <c r="C79" s="74" t="s">
        <v>648</v>
      </c>
      <c r="D79" s="74" t="s">
        <v>648</v>
      </c>
      <c r="E79" s="74" t="s">
        <v>648</v>
      </c>
      <c r="F79" s="74">
        <v>89095</v>
      </c>
      <c r="G79" s="74" t="s">
        <v>648</v>
      </c>
      <c r="H79" s="74">
        <v>350288</v>
      </c>
      <c r="I79" s="74" t="s">
        <v>648</v>
      </c>
      <c r="J79" s="74">
        <v>156613048</v>
      </c>
      <c r="K79" s="74">
        <v>7393975</v>
      </c>
      <c r="L79" s="74">
        <v>507732</v>
      </c>
      <c r="M79" s="74">
        <v>3986274</v>
      </c>
      <c r="N79" s="74" t="s">
        <v>648</v>
      </c>
      <c r="O79" s="74">
        <v>2206595</v>
      </c>
      <c r="P79" s="74">
        <v>693374</v>
      </c>
      <c r="Q79" s="74" t="s">
        <v>648</v>
      </c>
      <c r="R79" s="76" t="s">
        <v>489</v>
      </c>
      <c r="S79" s="73"/>
      <c r="T79" s="73"/>
      <c r="U79" s="73"/>
      <c r="V79" s="73"/>
      <c r="W79" s="73"/>
      <c r="X79" s="73"/>
      <c r="Y79" s="73"/>
    </row>
    <row r="80" spans="1:25" s="74" customFormat="1" ht="10.5" customHeight="1" x14ac:dyDescent="0.15">
      <c r="A80" s="950" t="s">
        <v>765</v>
      </c>
      <c r="B80" s="74">
        <v>28698</v>
      </c>
      <c r="C80" s="74" t="s">
        <v>648</v>
      </c>
      <c r="D80" s="74" t="s">
        <v>648</v>
      </c>
      <c r="E80" s="74" t="s">
        <v>648</v>
      </c>
      <c r="F80" s="74">
        <v>25423</v>
      </c>
      <c r="G80" s="74" t="s">
        <v>648</v>
      </c>
      <c r="H80" s="74">
        <v>66794</v>
      </c>
      <c r="I80" s="74" t="s">
        <v>648</v>
      </c>
      <c r="J80" s="74">
        <v>156043026</v>
      </c>
      <c r="K80" s="74">
        <v>2719294</v>
      </c>
      <c r="L80" s="74">
        <v>128419</v>
      </c>
      <c r="M80" s="74">
        <v>1890751</v>
      </c>
      <c r="N80" s="74" t="s">
        <v>648</v>
      </c>
      <c r="O80" s="74">
        <v>545313</v>
      </c>
      <c r="P80" s="74">
        <v>76246</v>
      </c>
      <c r="Q80" s="74">
        <v>78565</v>
      </c>
      <c r="R80" s="76" t="s">
        <v>549</v>
      </c>
      <c r="S80" s="73"/>
      <c r="T80" s="73"/>
      <c r="U80" s="73"/>
      <c r="V80" s="73"/>
      <c r="W80" s="73"/>
      <c r="X80" s="73"/>
      <c r="Y80" s="73"/>
    </row>
    <row r="81" spans="1:25" s="74" customFormat="1" ht="10.5" customHeight="1" x14ac:dyDescent="0.15">
      <c r="A81" s="950" t="s">
        <v>766</v>
      </c>
      <c r="B81" s="74" t="s">
        <v>648</v>
      </c>
      <c r="C81" s="74" t="s">
        <v>648</v>
      </c>
      <c r="D81" s="74" t="s">
        <v>648</v>
      </c>
      <c r="E81" s="74" t="s">
        <v>648</v>
      </c>
      <c r="F81" s="74" t="s">
        <v>648</v>
      </c>
      <c r="G81" s="74" t="s">
        <v>648</v>
      </c>
      <c r="H81" s="74" t="s">
        <v>648</v>
      </c>
      <c r="I81" s="74" t="s">
        <v>648</v>
      </c>
      <c r="J81" s="74">
        <v>132362206</v>
      </c>
      <c r="K81" s="74" t="s">
        <v>648</v>
      </c>
      <c r="L81" s="74" t="s">
        <v>648</v>
      </c>
      <c r="M81" s="74" t="s">
        <v>648</v>
      </c>
      <c r="N81" s="74" t="s">
        <v>648</v>
      </c>
      <c r="O81" s="74" t="s">
        <v>648</v>
      </c>
      <c r="P81" s="74" t="s">
        <v>648</v>
      </c>
      <c r="Q81" s="74" t="s">
        <v>648</v>
      </c>
      <c r="R81" s="76" t="s">
        <v>672</v>
      </c>
      <c r="S81" s="73"/>
      <c r="T81" s="73"/>
      <c r="U81" s="73"/>
      <c r="V81" s="73"/>
      <c r="W81" s="73"/>
      <c r="X81" s="73"/>
      <c r="Y81" s="73"/>
    </row>
    <row r="82" spans="1:25" s="74" customFormat="1" ht="10.5" customHeight="1" x14ac:dyDescent="0.15">
      <c r="A82" s="950" t="s">
        <v>767</v>
      </c>
      <c r="B82" s="74">
        <v>41650</v>
      </c>
      <c r="C82" s="74" t="s">
        <v>648</v>
      </c>
      <c r="D82" s="74">
        <v>63956</v>
      </c>
      <c r="E82" s="74" t="s">
        <v>648</v>
      </c>
      <c r="F82" s="74" t="s">
        <v>648</v>
      </c>
      <c r="G82" s="74" t="s">
        <v>648</v>
      </c>
      <c r="H82" s="74">
        <v>31560</v>
      </c>
      <c r="I82" s="74" t="s">
        <v>648</v>
      </c>
      <c r="J82" s="74">
        <v>134068585</v>
      </c>
      <c r="K82" s="74" t="s">
        <v>648</v>
      </c>
      <c r="L82" s="74" t="s">
        <v>648</v>
      </c>
      <c r="M82" s="74" t="s">
        <v>648</v>
      </c>
      <c r="N82" s="74" t="s">
        <v>648</v>
      </c>
      <c r="O82" s="74" t="s">
        <v>648</v>
      </c>
      <c r="P82" s="74" t="s">
        <v>648</v>
      </c>
      <c r="Q82" s="74" t="s">
        <v>648</v>
      </c>
      <c r="R82" s="76" t="s">
        <v>768</v>
      </c>
      <c r="S82" s="73"/>
      <c r="T82" s="73"/>
      <c r="U82" s="73"/>
      <c r="V82" s="73"/>
      <c r="W82" s="73"/>
      <c r="X82" s="73"/>
      <c r="Y82" s="73"/>
    </row>
    <row r="83" spans="1:25" s="74" customFormat="1" ht="10.5" customHeight="1" x14ac:dyDescent="0.15">
      <c r="A83" s="950"/>
      <c r="R83" s="76"/>
      <c r="S83" s="73"/>
      <c r="T83" s="73"/>
      <c r="U83" s="73"/>
      <c r="V83" s="73"/>
      <c r="W83" s="73"/>
      <c r="X83" s="73"/>
      <c r="Y83" s="73"/>
    </row>
    <row r="84" spans="1:25" s="74" customFormat="1" ht="10.5" customHeight="1" x14ac:dyDescent="0.15">
      <c r="A84" s="950" t="s">
        <v>799</v>
      </c>
      <c r="B84" s="74">
        <v>41650</v>
      </c>
      <c r="C84" s="74" t="s">
        <v>648</v>
      </c>
      <c r="D84" s="74" t="s">
        <v>648</v>
      </c>
      <c r="E84" s="74" t="s">
        <v>648</v>
      </c>
      <c r="F84" s="74" t="s">
        <v>648</v>
      </c>
      <c r="G84" s="74" t="s">
        <v>648</v>
      </c>
      <c r="H84" s="74" t="s">
        <v>648</v>
      </c>
      <c r="I84" s="74" t="s">
        <v>648</v>
      </c>
      <c r="J84" s="74">
        <v>125598576</v>
      </c>
      <c r="K84" s="74" t="s">
        <v>648</v>
      </c>
      <c r="L84" s="74" t="s">
        <v>648</v>
      </c>
      <c r="M84" s="74" t="s">
        <v>648</v>
      </c>
      <c r="N84" s="74" t="s">
        <v>648</v>
      </c>
      <c r="O84" s="74" t="s">
        <v>648</v>
      </c>
      <c r="P84" s="74" t="s">
        <v>648</v>
      </c>
      <c r="Q84" s="74" t="s">
        <v>648</v>
      </c>
      <c r="R84" s="76" t="s">
        <v>673</v>
      </c>
      <c r="S84" s="73"/>
      <c r="T84" s="73"/>
      <c r="U84" s="73"/>
      <c r="V84" s="73"/>
      <c r="W84" s="73"/>
      <c r="X84" s="73"/>
      <c r="Y84" s="73"/>
    </row>
    <row r="85" spans="1:25" s="74" customFormat="1" ht="10.5" customHeight="1" x14ac:dyDescent="0.15">
      <c r="A85" s="950" t="s">
        <v>800</v>
      </c>
      <c r="B85" s="74" t="s">
        <v>648</v>
      </c>
      <c r="C85" s="74" t="s">
        <v>648</v>
      </c>
      <c r="D85" s="74">
        <v>63956</v>
      </c>
      <c r="E85" s="74" t="s">
        <v>648</v>
      </c>
      <c r="F85" s="74" t="s">
        <v>648</v>
      </c>
      <c r="G85" s="74" t="s">
        <v>648</v>
      </c>
      <c r="H85" s="74">
        <v>31560</v>
      </c>
      <c r="I85" s="74" t="s">
        <v>648</v>
      </c>
      <c r="J85" s="74">
        <v>137734742</v>
      </c>
      <c r="K85" s="74" t="s">
        <v>648</v>
      </c>
      <c r="L85" s="74" t="s">
        <v>648</v>
      </c>
      <c r="M85" s="74" t="s">
        <v>648</v>
      </c>
      <c r="N85" s="74" t="s">
        <v>648</v>
      </c>
      <c r="O85" s="74" t="s">
        <v>648</v>
      </c>
      <c r="P85" s="74" t="s">
        <v>648</v>
      </c>
      <c r="Q85" s="74" t="s">
        <v>648</v>
      </c>
      <c r="R85" s="76" t="s">
        <v>771</v>
      </c>
      <c r="S85" s="73"/>
      <c r="T85" s="73"/>
      <c r="U85" s="73"/>
      <c r="V85" s="73"/>
      <c r="W85" s="73"/>
      <c r="X85" s="73"/>
      <c r="Y85" s="73"/>
    </row>
    <row r="86" spans="1:25" s="74" customFormat="1" ht="10.5" customHeight="1" x14ac:dyDescent="0.15">
      <c r="A86" s="950"/>
      <c r="R86" s="76"/>
      <c r="S86" s="73"/>
      <c r="T86" s="73"/>
      <c r="U86" s="73"/>
      <c r="V86" s="73"/>
      <c r="W86" s="73"/>
      <c r="X86" s="73"/>
      <c r="Y86" s="73"/>
    </row>
    <row r="87" spans="1:25" s="74" customFormat="1" ht="10.5" customHeight="1" x14ac:dyDescent="0.15">
      <c r="A87" s="950" t="s">
        <v>772</v>
      </c>
      <c r="B87" s="74">
        <v>41650</v>
      </c>
      <c r="C87" s="74" t="s">
        <v>648</v>
      </c>
      <c r="D87" s="74" t="s">
        <v>648</v>
      </c>
      <c r="E87" s="74" t="s">
        <v>648</v>
      </c>
      <c r="F87" s="74" t="s">
        <v>648</v>
      </c>
      <c r="G87" s="74" t="s">
        <v>648</v>
      </c>
      <c r="H87" s="74" t="s">
        <v>648</v>
      </c>
      <c r="I87" s="74" t="s">
        <v>648</v>
      </c>
      <c r="J87" s="74">
        <v>33062536</v>
      </c>
      <c r="K87" s="74" t="s">
        <v>648</v>
      </c>
      <c r="L87" s="74" t="s">
        <v>648</v>
      </c>
      <c r="M87" s="74" t="s">
        <v>648</v>
      </c>
      <c r="N87" s="74" t="s">
        <v>648</v>
      </c>
      <c r="O87" s="74" t="s">
        <v>648</v>
      </c>
      <c r="P87" s="74" t="s">
        <v>648</v>
      </c>
      <c r="Q87" s="74" t="s">
        <v>648</v>
      </c>
      <c r="R87" s="76" t="s">
        <v>674</v>
      </c>
      <c r="S87" s="73"/>
      <c r="T87" s="73"/>
      <c r="U87" s="73"/>
      <c r="V87" s="73"/>
      <c r="W87" s="73"/>
      <c r="X87" s="73"/>
      <c r="Y87" s="73"/>
    </row>
    <row r="88" spans="1:25" s="74" customFormat="1" ht="10.5" customHeight="1" x14ac:dyDescent="0.15">
      <c r="A88" s="950" t="s">
        <v>773</v>
      </c>
      <c r="B88" s="74" t="s">
        <v>648</v>
      </c>
      <c r="C88" s="74" t="s">
        <v>648</v>
      </c>
      <c r="D88" s="74">
        <v>22623</v>
      </c>
      <c r="E88" s="74" t="s">
        <v>648</v>
      </c>
      <c r="F88" s="74" t="s">
        <v>648</v>
      </c>
      <c r="G88" s="74" t="s">
        <v>648</v>
      </c>
      <c r="H88" s="74" t="s">
        <v>648</v>
      </c>
      <c r="I88" s="74" t="s">
        <v>648</v>
      </c>
      <c r="J88" s="74">
        <v>31260376</v>
      </c>
      <c r="K88" s="74" t="s">
        <v>648</v>
      </c>
      <c r="L88" s="74" t="s">
        <v>648</v>
      </c>
      <c r="M88" s="74" t="s">
        <v>648</v>
      </c>
      <c r="N88" s="74" t="s">
        <v>648</v>
      </c>
      <c r="O88" s="74" t="s">
        <v>648</v>
      </c>
      <c r="P88" s="74" t="s">
        <v>648</v>
      </c>
      <c r="Q88" s="74" t="s">
        <v>648</v>
      </c>
      <c r="R88" s="76" t="s">
        <v>92</v>
      </c>
      <c r="S88" s="73"/>
      <c r="T88" s="73"/>
      <c r="U88" s="73"/>
      <c r="V88" s="73"/>
      <c r="W88" s="73"/>
      <c r="X88" s="73"/>
      <c r="Y88" s="73"/>
    </row>
    <row r="89" spans="1:25" s="74" customFormat="1" ht="10.5" customHeight="1" x14ac:dyDescent="0.15">
      <c r="A89" s="950" t="s">
        <v>774</v>
      </c>
      <c r="B89" s="74" t="s">
        <v>648</v>
      </c>
      <c r="C89" s="74" t="s">
        <v>648</v>
      </c>
      <c r="D89" s="74" t="s">
        <v>648</v>
      </c>
      <c r="E89" s="74" t="s">
        <v>648</v>
      </c>
      <c r="F89" s="74" t="s">
        <v>648</v>
      </c>
      <c r="G89" s="74" t="s">
        <v>648</v>
      </c>
      <c r="H89" s="74">
        <v>31560</v>
      </c>
      <c r="I89" s="74" t="s">
        <v>648</v>
      </c>
      <c r="J89" s="74">
        <v>33174607</v>
      </c>
      <c r="K89" s="74" t="s">
        <v>648</v>
      </c>
      <c r="L89" s="74" t="s">
        <v>648</v>
      </c>
      <c r="M89" s="74" t="s">
        <v>648</v>
      </c>
      <c r="N89" s="74" t="s">
        <v>648</v>
      </c>
      <c r="O89" s="74" t="s">
        <v>648</v>
      </c>
      <c r="P89" s="74" t="s">
        <v>648</v>
      </c>
      <c r="Q89" s="74" t="s">
        <v>648</v>
      </c>
      <c r="R89" s="76" t="s">
        <v>93</v>
      </c>
      <c r="S89" s="73"/>
      <c r="T89" s="73"/>
      <c r="U89" s="73"/>
      <c r="V89" s="73"/>
      <c r="W89" s="73"/>
      <c r="X89" s="73"/>
      <c r="Y89" s="73"/>
    </row>
    <row r="90" spans="1:25" s="74" customFormat="1" ht="10.5" customHeight="1" x14ac:dyDescent="0.15">
      <c r="A90" s="950" t="s">
        <v>801</v>
      </c>
      <c r="B90" s="74" t="s">
        <v>648</v>
      </c>
      <c r="C90" s="74" t="s">
        <v>648</v>
      </c>
      <c r="D90" s="74">
        <v>41333</v>
      </c>
      <c r="E90" s="74" t="s">
        <v>648</v>
      </c>
      <c r="F90" s="74" t="s">
        <v>648</v>
      </c>
      <c r="G90" s="74" t="s">
        <v>648</v>
      </c>
      <c r="H90" s="74" t="s">
        <v>648</v>
      </c>
      <c r="I90" s="74" t="s">
        <v>648</v>
      </c>
      <c r="J90" s="74">
        <v>36571066</v>
      </c>
      <c r="K90" s="74" t="s">
        <v>648</v>
      </c>
      <c r="L90" s="74" t="s">
        <v>648</v>
      </c>
      <c r="M90" s="74" t="s">
        <v>648</v>
      </c>
      <c r="N90" s="74" t="s">
        <v>648</v>
      </c>
      <c r="O90" s="74" t="s">
        <v>648</v>
      </c>
      <c r="P90" s="74" t="s">
        <v>648</v>
      </c>
      <c r="Q90" s="74" t="s">
        <v>648</v>
      </c>
      <c r="R90" s="76" t="s">
        <v>94</v>
      </c>
      <c r="S90" s="73"/>
      <c r="T90" s="73"/>
      <c r="U90" s="73"/>
      <c r="V90" s="73"/>
      <c r="W90" s="73"/>
      <c r="X90" s="73"/>
      <c r="Y90" s="73"/>
    </row>
    <row r="91" spans="1:25" s="74" customFormat="1" ht="10.5" customHeight="1" x14ac:dyDescent="0.15">
      <c r="A91" s="950" t="s">
        <v>809</v>
      </c>
      <c r="B91" s="74" t="s">
        <v>648</v>
      </c>
      <c r="C91" s="74" t="s">
        <v>648</v>
      </c>
      <c r="D91" s="74" t="s">
        <v>648</v>
      </c>
      <c r="E91" s="74" t="s">
        <v>648</v>
      </c>
      <c r="F91" s="74" t="s">
        <v>648</v>
      </c>
      <c r="G91" s="74" t="s">
        <v>648</v>
      </c>
      <c r="H91" s="74" t="s">
        <v>648</v>
      </c>
      <c r="I91" s="74" t="s">
        <v>648</v>
      </c>
      <c r="J91" s="74">
        <v>36728693</v>
      </c>
      <c r="K91" s="74" t="s">
        <v>648</v>
      </c>
      <c r="L91" s="74" t="s">
        <v>648</v>
      </c>
      <c r="M91" s="74" t="s">
        <v>648</v>
      </c>
      <c r="N91" s="74" t="s">
        <v>648</v>
      </c>
      <c r="O91" s="74" t="s">
        <v>648</v>
      </c>
      <c r="P91" s="74" t="s">
        <v>648</v>
      </c>
      <c r="Q91" s="74" t="s">
        <v>648</v>
      </c>
      <c r="R91" s="76" t="s">
        <v>777</v>
      </c>
      <c r="S91" s="73"/>
      <c r="T91" s="73"/>
      <c r="U91" s="73"/>
      <c r="V91" s="73"/>
      <c r="W91" s="73"/>
      <c r="X91" s="73"/>
      <c r="Y91" s="73"/>
    </row>
    <row r="92" spans="1:25" s="74" customFormat="1" ht="10.5" customHeight="1" x14ac:dyDescent="0.15">
      <c r="A92" s="950"/>
      <c r="R92" s="76"/>
      <c r="S92" s="73"/>
      <c r="T92" s="73"/>
      <c r="U92" s="73"/>
      <c r="V92" s="73"/>
      <c r="W92" s="73"/>
      <c r="X92" s="73"/>
      <c r="Y92" s="73"/>
    </row>
    <row r="93" spans="1:25" s="74" customFormat="1" ht="10.5" customHeight="1" x14ac:dyDescent="0.15">
      <c r="A93" s="950" t="s">
        <v>778</v>
      </c>
      <c r="B93" s="74">
        <v>41650</v>
      </c>
      <c r="C93" s="74" t="s">
        <v>648</v>
      </c>
      <c r="D93" s="74" t="s">
        <v>648</v>
      </c>
      <c r="E93" s="74" t="s">
        <v>648</v>
      </c>
      <c r="F93" s="74" t="s">
        <v>648</v>
      </c>
      <c r="G93" s="74" t="s">
        <v>648</v>
      </c>
      <c r="H93" s="74" t="s">
        <v>648</v>
      </c>
      <c r="I93" s="74" t="s">
        <v>648</v>
      </c>
      <c r="J93" s="74">
        <v>11890666</v>
      </c>
      <c r="K93" s="74" t="s">
        <v>648</v>
      </c>
      <c r="L93" s="74" t="s">
        <v>648</v>
      </c>
      <c r="M93" s="74" t="s">
        <v>648</v>
      </c>
      <c r="N93" s="74" t="s">
        <v>648</v>
      </c>
      <c r="O93" s="74" t="s">
        <v>648</v>
      </c>
      <c r="P93" s="74" t="s">
        <v>648</v>
      </c>
      <c r="Q93" s="74" t="s">
        <v>648</v>
      </c>
      <c r="R93" s="76" t="s">
        <v>675</v>
      </c>
      <c r="S93" s="73"/>
      <c r="T93" s="73"/>
      <c r="U93" s="73"/>
      <c r="V93" s="73"/>
      <c r="W93" s="73"/>
      <c r="X93" s="73"/>
      <c r="Y93" s="73"/>
    </row>
    <row r="94" spans="1:25" s="74" customFormat="1" ht="10.5" customHeight="1" x14ac:dyDescent="0.15">
      <c r="A94" s="950" t="s">
        <v>779</v>
      </c>
      <c r="B94" s="74" t="s">
        <v>648</v>
      </c>
      <c r="C94" s="74" t="s">
        <v>648</v>
      </c>
      <c r="D94" s="74" t="s">
        <v>648</v>
      </c>
      <c r="E94" s="74" t="s">
        <v>648</v>
      </c>
      <c r="F94" s="74" t="s">
        <v>648</v>
      </c>
      <c r="G94" s="74" t="s">
        <v>648</v>
      </c>
      <c r="H94" s="74" t="s">
        <v>648</v>
      </c>
      <c r="I94" s="74" t="s">
        <v>648</v>
      </c>
      <c r="J94" s="74">
        <v>10714461</v>
      </c>
      <c r="K94" s="74" t="s">
        <v>648</v>
      </c>
      <c r="L94" s="74" t="s">
        <v>648</v>
      </c>
      <c r="M94" s="74" t="s">
        <v>648</v>
      </c>
      <c r="N94" s="74" t="s">
        <v>648</v>
      </c>
      <c r="O94" s="74" t="s">
        <v>648</v>
      </c>
      <c r="P94" s="74" t="s">
        <v>648</v>
      </c>
      <c r="Q94" s="74" t="s">
        <v>648</v>
      </c>
      <c r="R94" s="76" t="s">
        <v>80</v>
      </c>
      <c r="S94" s="73"/>
      <c r="T94" s="73"/>
      <c r="U94" s="73"/>
      <c r="V94" s="73"/>
      <c r="W94" s="73"/>
      <c r="X94" s="73"/>
      <c r="Y94" s="73"/>
    </row>
    <row r="95" spans="1:25" s="74" customFormat="1" ht="10.5" customHeight="1" x14ac:dyDescent="0.15">
      <c r="A95" s="950" t="s">
        <v>780</v>
      </c>
      <c r="B95" s="74" t="s">
        <v>648</v>
      </c>
      <c r="C95" s="74" t="s">
        <v>648</v>
      </c>
      <c r="D95" s="74" t="s">
        <v>648</v>
      </c>
      <c r="E95" s="74" t="s">
        <v>648</v>
      </c>
      <c r="F95" s="74" t="s">
        <v>648</v>
      </c>
      <c r="G95" s="74" t="s">
        <v>648</v>
      </c>
      <c r="H95" s="74" t="s">
        <v>648</v>
      </c>
      <c r="I95" s="74" t="s">
        <v>648</v>
      </c>
      <c r="J95" s="74">
        <v>10457409</v>
      </c>
      <c r="K95" s="74" t="s">
        <v>648</v>
      </c>
      <c r="L95" s="74" t="s">
        <v>648</v>
      </c>
      <c r="M95" s="74" t="s">
        <v>648</v>
      </c>
      <c r="N95" s="74" t="s">
        <v>648</v>
      </c>
      <c r="O95" s="74" t="s">
        <v>648</v>
      </c>
      <c r="P95" s="74" t="s">
        <v>648</v>
      </c>
      <c r="Q95" s="74" t="s">
        <v>648</v>
      </c>
      <c r="R95" s="76" t="s">
        <v>81</v>
      </c>
      <c r="S95" s="73"/>
      <c r="T95" s="73"/>
      <c r="U95" s="73"/>
      <c r="V95" s="73"/>
      <c r="W95" s="73"/>
      <c r="X95" s="73"/>
      <c r="Y95" s="73"/>
    </row>
    <row r="96" spans="1:25" s="74" customFormat="1" ht="10.5" customHeight="1" x14ac:dyDescent="0.15">
      <c r="A96" s="950" t="s">
        <v>781</v>
      </c>
      <c r="B96" s="74" t="s">
        <v>648</v>
      </c>
      <c r="C96" s="74" t="s">
        <v>648</v>
      </c>
      <c r="D96" s="74" t="s">
        <v>648</v>
      </c>
      <c r="E96" s="74" t="s">
        <v>648</v>
      </c>
      <c r="F96" s="74" t="s">
        <v>648</v>
      </c>
      <c r="G96" s="74" t="s">
        <v>648</v>
      </c>
      <c r="H96" s="74" t="s">
        <v>648</v>
      </c>
      <c r="I96" s="74" t="s">
        <v>648</v>
      </c>
      <c r="J96" s="74">
        <v>11617370</v>
      </c>
      <c r="K96" s="74" t="s">
        <v>648</v>
      </c>
      <c r="L96" s="74" t="s">
        <v>648</v>
      </c>
      <c r="M96" s="74" t="s">
        <v>648</v>
      </c>
      <c r="N96" s="74" t="s">
        <v>648</v>
      </c>
      <c r="O96" s="74" t="s">
        <v>648</v>
      </c>
      <c r="P96" s="74" t="s">
        <v>648</v>
      </c>
      <c r="Q96" s="74" t="s">
        <v>648</v>
      </c>
      <c r="R96" s="76" t="s">
        <v>82</v>
      </c>
      <c r="S96" s="73"/>
      <c r="T96" s="73"/>
      <c r="U96" s="73"/>
      <c r="V96" s="73"/>
      <c r="W96" s="73"/>
      <c r="X96" s="73"/>
      <c r="Y96" s="73"/>
    </row>
    <row r="97" spans="1:25" s="74" customFormat="1" ht="10.5" customHeight="1" x14ac:dyDescent="0.15">
      <c r="A97" s="950" t="s">
        <v>782</v>
      </c>
      <c r="B97" s="74" t="s">
        <v>648</v>
      </c>
      <c r="C97" s="74" t="s">
        <v>648</v>
      </c>
      <c r="D97" s="74">
        <v>22623</v>
      </c>
      <c r="E97" s="74" t="s">
        <v>648</v>
      </c>
      <c r="F97" s="74" t="s">
        <v>648</v>
      </c>
      <c r="G97" s="74" t="s">
        <v>648</v>
      </c>
      <c r="H97" s="74" t="s">
        <v>648</v>
      </c>
      <c r="I97" s="74" t="s">
        <v>648</v>
      </c>
      <c r="J97" s="74">
        <v>11068746</v>
      </c>
      <c r="K97" s="74" t="s">
        <v>648</v>
      </c>
      <c r="L97" s="74" t="s">
        <v>648</v>
      </c>
      <c r="M97" s="74" t="s">
        <v>648</v>
      </c>
      <c r="N97" s="74" t="s">
        <v>648</v>
      </c>
      <c r="O97" s="74" t="s">
        <v>648</v>
      </c>
      <c r="P97" s="74" t="s">
        <v>648</v>
      </c>
      <c r="Q97" s="74" t="s">
        <v>648</v>
      </c>
      <c r="R97" s="77" t="s">
        <v>95</v>
      </c>
      <c r="S97" s="73"/>
      <c r="T97" s="73"/>
      <c r="U97" s="73"/>
      <c r="V97" s="73"/>
      <c r="W97" s="73"/>
      <c r="X97" s="73"/>
      <c r="Y97" s="73"/>
    </row>
    <row r="98" spans="1:25" s="74" customFormat="1" ht="10.5" customHeight="1" x14ac:dyDescent="0.15">
      <c r="A98" s="950" t="s">
        <v>783</v>
      </c>
      <c r="B98" s="74" t="s">
        <v>648</v>
      </c>
      <c r="C98" s="74" t="s">
        <v>648</v>
      </c>
      <c r="D98" s="74" t="s">
        <v>648</v>
      </c>
      <c r="E98" s="74" t="s">
        <v>648</v>
      </c>
      <c r="F98" s="74" t="s">
        <v>648</v>
      </c>
      <c r="G98" s="74" t="s">
        <v>648</v>
      </c>
      <c r="H98" s="74" t="s">
        <v>648</v>
      </c>
      <c r="I98" s="74" t="s">
        <v>648</v>
      </c>
      <c r="J98" s="74">
        <v>8574260</v>
      </c>
      <c r="K98" s="74" t="s">
        <v>648</v>
      </c>
      <c r="L98" s="74" t="s">
        <v>648</v>
      </c>
      <c r="M98" s="74" t="s">
        <v>648</v>
      </c>
      <c r="N98" s="74" t="s">
        <v>648</v>
      </c>
      <c r="O98" s="74" t="s">
        <v>648</v>
      </c>
      <c r="P98" s="74" t="s">
        <v>648</v>
      </c>
      <c r="Q98" s="74" t="s">
        <v>648</v>
      </c>
      <c r="R98" s="76" t="s">
        <v>96</v>
      </c>
      <c r="S98" s="73"/>
      <c r="T98" s="73"/>
      <c r="U98" s="73"/>
      <c r="V98" s="73"/>
      <c r="W98" s="73"/>
      <c r="X98" s="73"/>
      <c r="Y98" s="73"/>
    </row>
    <row r="99" spans="1:25" s="74" customFormat="1" ht="10.5" customHeight="1" x14ac:dyDescent="0.15">
      <c r="A99" s="950" t="s">
        <v>784</v>
      </c>
      <c r="B99" s="74" t="s">
        <v>648</v>
      </c>
      <c r="C99" s="74" t="s">
        <v>648</v>
      </c>
      <c r="D99" s="74" t="s">
        <v>648</v>
      </c>
      <c r="E99" s="74" t="s">
        <v>648</v>
      </c>
      <c r="F99" s="74" t="s">
        <v>648</v>
      </c>
      <c r="G99" s="74" t="s">
        <v>648</v>
      </c>
      <c r="H99" s="74" t="s">
        <v>648</v>
      </c>
      <c r="I99" s="74" t="s">
        <v>648</v>
      </c>
      <c r="J99" s="74">
        <v>9889616</v>
      </c>
      <c r="K99" s="74" t="s">
        <v>648</v>
      </c>
      <c r="L99" s="74" t="s">
        <v>648</v>
      </c>
      <c r="M99" s="74" t="s">
        <v>648</v>
      </c>
      <c r="N99" s="74" t="s">
        <v>648</v>
      </c>
      <c r="O99" s="74" t="s">
        <v>648</v>
      </c>
      <c r="P99" s="74" t="s">
        <v>648</v>
      </c>
      <c r="Q99" s="74" t="s">
        <v>648</v>
      </c>
      <c r="R99" s="76" t="s">
        <v>97</v>
      </c>
      <c r="S99" s="73"/>
      <c r="T99" s="73"/>
      <c r="U99" s="73"/>
      <c r="V99" s="73"/>
      <c r="W99" s="73"/>
      <c r="X99" s="73"/>
      <c r="Y99" s="73"/>
    </row>
    <row r="100" spans="1:25" s="74" customFormat="1" ht="10.5" customHeight="1" x14ac:dyDescent="0.15">
      <c r="A100" s="950" t="s">
        <v>806</v>
      </c>
      <c r="B100" s="74" t="s">
        <v>648</v>
      </c>
      <c r="C100" s="74" t="s">
        <v>648</v>
      </c>
      <c r="D100" s="74" t="s">
        <v>648</v>
      </c>
      <c r="E100" s="74" t="s">
        <v>648</v>
      </c>
      <c r="F100" s="74" t="s">
        <v>648</v>
      </c>
      <c r="G100" s="74" t="s">
        <v>648</v>
      </c>
      <c r="H100" s="74">
        <v>31560</v>
      </c>
      <c r="I100" s="74" t="s">
        <v>648</v>
      </c>
      <c r="J100" s="74">
        <v>12380526</v>
      </c>
      <c r="K100" s="74" t="s">
        <v>648</v>
      </c>
      <c r="L100" s="74" t="s">
        <v>648</v>
      </c>
      <c r="M100" s="74" t="s">
        <v>648</v>
      </c>
      <c r="N100" s="74" t="s">
        <v>648</v>
      </c>
      <c r="O100" s="74" t="s">
        <v>648</v>
      </c>
      <c r="P100" s="74" t="s">
        <v>648</v>
      </c>
      <c r="Q100" s="74" t="s">
        <v>648</v>
      </c>
      <c r="R100" s="76" t="s">
        <v>98</v>
      </c>
      <c r="S100" s="73"/>
      <c r="T100" s="73"/>
      <c r="U100" s="73"/>
      <c r="V100" s="73"/>
      <c r="W100" s="73"/>
      <c r="X100" s="73"/>
      <c r="Y100" s="73"/>
    </row>
    <row r="101" spans="1:25" s="74" customFormat="1" ht="10.5" customHeight="1" x14ac:dyDescent="0.15">
      <c r="A101" s="950" t="s">
        <v>786</v>
      </c>
      <c r="B101" s="74" t="s">
        <v>648</v>
      </c>
      <c r="C101" s="74" t="s">
        <v>648</v>
      </c>
      <c r="D101" s="74" t="s">
        <v>648</v>
      </c>
      <c r="E101" s="74" t="s">
        <v>648</v>
      </c>
      <c r="F101" s="74" t="s">
        <v>648</v>
      </c>
      <c r="G101" s="74" t="s">
        <v>648</v>
      </c>
      <c r="H101" s="74" t="s">
        <v>648</v>
      </c>
      <c r="I101" s="74" t="s">
        <v>648</v>
      </c>
      <c r="J101" s="74">
        <v>10904465</v>
      </c>
      <c r="K101" s="74" t="s">
        <v>648</v>
      </c>
      <c r="L101" s="74" t="s">
        <v>648</v>
      </c>
      <c r="M101" s="74" t="s">
        <v>648</v>
      </c>
      <c r="N101" s="74" t="s">
        <v>648</v>
      </c>
      <c r="O101" s="74" t="s">
        <v>648</v>
      </c>
      <c r="P101" s="74" t="s">
        <v>648</v>
      </c>
      <c r="Q101" s="74" t="s">
        <v>648</v>
      </c>
      <c r="R101" s="76" t="s">
        <v>99</v>
      </c>
      <c r="S101" s="73"/>
      <c r="T101" s="73"/>
      <c r="U101" s="73"/>
      <c r="V101" s="73"/>
      <c r="W101" s="73"/>
      <c r="X101" s="73"/>
      <c r="Y101" s="73"/>
    </row>
    <row r="102" spans="1:25" s="74" customFormat="1" ht="10.5" customHeight="1" x14ac:dyDescent="0.15">
      <c r="A102" s="950" t="s">
        <v>807</v>
      </c>
      <c r="B102" s="74" t="s">
        <v>648</v>
      </c>
      <c r="C102" s="74" t="s">
        <v>648</v>
      </c>
      <c r="D102" s="74" t="s">
        <v>648</v>
      </c>
      <c r="E102" s="74" t="s">
        <v>648</v>
      </c>
      <c r="F102" s="74" t="s">
        <v>648</v>
      </c>
      <c r="G102" s="74" t="s">
        <v>648</v>
      </c>
      <c r="H102" s="74" t="s">
        <v>648</v>
      </c>
      <c r="I102" s="74" t="s">
        <v>648</v>
      </c>
      <c r="J102" s="74">
        <v>10363278</v>
      </c>
      <c r="K102" s="74" t="s">
        <v>648</v>
      </c>
      <c r="L102" s="74" t="s">
        <v>648</v>
      </c>
      <c r="M102" s="74" t="s">
        <v>648</v>
      </c>
      <c r="N102" s="74" t="s">
        <v>648</v>
      </c>
      <c r="O102" s="74" t="s">
        <v>648</v>
      </c>
      <c r="P102" s="74" t="s">
        <v>648</v>
      </c>
      <c r="Q102" s="74" t="s">
        <v>648</v>
      </c>
      <c r="R102" s="76" t="s">
        <v>83</v>
      </c>
      <c r="S102" s="73"/>
      <c r="T102" s="73"/>
      <c r="U102" s="73"/>
      <c r="V102" s="73"/>
      <c r="W102" s="73"/>
      <c r="X102" s="73"/>
      <c r="Y102" s="73"/>
    </row>
    <row r="103" spans="1:25" s="74" customFormat="1" ht="10.5" customHeight="1" x14ac:dyDescent="0.15">
      <c r="A103" s="950" t="s">
        <v>788</v>
      </c>
      <c r="B103" s="74" t="s">
        <v>648</v>
      </c>
      <c r="C103" s="74" t="s">
        <v>648</v>
      </c>
      <c r="D103" s="74">
        <v>21455</v>
      </c>
      <c r="E103" s="74" t="s">
        <v>648</v>
      </c>
      <c r="F103" s="74" t="s">
        <v>648</v>
      </c>
      <c r="G103" s="74" t="s">
        <v>648</v>
      </c>
      <c r="H103" s="74" t="s">
        <v>648</v>
      </c>
      <c r="I103" s="74" t="s">
        <v>648</v>
      </c>
      <c r="J103" s="74">
        <v>12271792</v>
      </c>
      <c r="K103" s="74" t="s">
        <v>648</v>
      </c>
      <c r="L103" s="74" t="s">
        <v>648</v>
      </c>
      <c r="M103" s="74" t="s">
        <v>648</v>
      </c>
      <c r="N103" s="74" t="s">
        <v>648</v>
      </c>
      <c r="O103" s="74" t="s">
        <v>648</v>
      </c>
      <c r="P103" s="74" t="s">
        <v>648</v>
      </c>
      <c r="Q103" s="74" t="s">
        <v>648</v>
      </c>
      <c r="R103" s="76" t="s">
        <v>84</v>
      </c>
      <c r="S103" s="73"/>
      <c r="T103" s="73"/>
      <c r="U103" s="73"/>
      <c r="V103" s="73"/>
      <c r="W103" s="73"/>
      <c r="X103" s="73"/>
      <c r="Y103" s="73"/>
    </row>
    <row r="104" spans="1:25" s="74" customFormat="1" ht="10.5" customHeight="1" x14ac:dyDescent="0.15">
      <c r="A104" s="950" t="s">
        <v>789</v>
      </c>
      <c r="B104" s="74" t="s">
        <v>648</v>
      </c>
      <c r="C104" s="74" t="s">
        <v>648</v>
      </c>
      <c r="D104" s="74">
        <v>19878</v>
      </c>
      <c r="E104" s="74" t="s">
        <v>648</v>
      </c>
      <c r="F104" s="74" t="s">
        <v>648</v>
      </c>
      <c r="G104" s="74" t="s">
        <v>648</v>
      </c>
      <c r="H104" s="74" t="s">
        <v>648</v>
      </c>
      <c r="I104" s="74" t="s">
        <v>648</v>
      </c>
      <c r="J104" s="74">
        <v>13935996</v>
      </c>
      <c r="K104" s="74" t="s">
        <v>648</v>
      </c>
      <c r="L104" s="74" t="s">
        <v>648</v>
      </c>
      <c r="M104" s="74" t="s">
        <v>648</v>
      </c>
      <c r="N104" s="74" t="s">
        <v>648</v>
      </c>
      <c r="O104" s="74" t="s">
        <v>648</v>
      </c>
      <c r="P104" s="74" t="s">
        <v>648</v>
      </c>
      <c r="Q104" s="74" t="s">
        <v>648</v>
      </c>
      <c r="R104" s="76" t="s">
        <v>85</v>
      </c>
      <c r="S104" s="73"/>
      <c r="T104" s="73"/>
      <c r="U104" s="73"/>
      <c r="V104" s="73"/>
      <c r="W104" s="73"/>
      <c r="X104" s="73"/>
      <c r="Y104" s="73"/>
    </row>
    <row r="105" spans="1:25" s="74" customFormat="1" ht="10.5" customHeight="1" x14ac:dyDescent="0.15">
      <c r="A105" s="950" t="s">
        <v>790</v>
      </c>
      <c r="B105" s="74" t="s">
        <v>648</v>
      </c>
      <c r="C105" s="74" t="s">
        <v>648</v>
      </c>
      <c r="D105" s="74" t="s">
        <v>648</v>
      </c>
      <c r="E105" s="74" t="s">
        <v>648</v>
      </c>
      <c r="F105" s="74" t="s">
        <v>648</v>
      </c>
      <c r="G105" s="74" t="s">
        <v>648</v>
      </c>
      <c r="H105" s="74" t="s">
        <v>648</v>
      </c>
      <c r="I105" s="74" t="s">
        <v>648</v>
      </c>
      <c r="J105" s="74">
        <v>12283587</v>
      </c>
      <c r="K105" s="74" t="s">
        <v>648</v>
      </c>
      <c r="L105" s="74" t="s">
        <v>648</v>
      </c>
      <c r="M105" s="74" t="s">
        <v>648</v>
      </c>
      <c r="N105" s="74" t="s">
        <v>648</v>
      </c>
      <c r="O105" s="74" t="s">
        <v>648</v>
      </c>
      <c r="P105" s="74" t="s">
        <v>648</v>
      </c>
      <c r="Q105" s="74" t="s">
        <v>648</v>
      </c>
      <c r="R105" s="76" t="s">
        <v>791</v>
      </c>
      <c r="S105" s="73"/>
      <c r="T105" s="73"/>
      <c r="U105" s="73"/>
      <c r="V105" s="73"/>
      <c r="W105" s="73"/>
      <c r="X105" s="73"/>
      <c r="Y105" s="73"/>
    </row>
    <row r="106" spans="1:25" s="74" customFormat="1" ht="10.5" customHeight="1" x14ac:dyDescent="0.15">
      <c r="A106" s="950" t="s">
        <v>792</v>
      </c>
      <c r="B106" s="74" t="s">
        <v>648</v>
      </c>
      <c r="C106" s="74" t="s">
        <v>648</v>
      </c>
      <c r="D106" s="74" t="s">
        <v>648</v>
      </c>
      <c r="E106" s="74" t="s">
        <v>648</v>
      </c>
      <c r="F106" s="74" t="s">
        <v>648</v>
      </c>
      <c r="G106" s="74" t="s">
        <v>648</v>
      </c>
      <c r="H106" s="74" t="s">
        <v>648</v>
      </c>
      <c r="I106" s="74" t="s">
        <v>648</v>
      </c>
      <c r="J106" s="74">
        <v>11248239</v>
      </c>
      <c r="K106" s="74" t="s">
        <v>648</v>
      </c>
      <c r="L106" s="74" t="s">
        <v>648</v>
      </c>
      <c r="M106" s="74" t="s">
        <v>648</v>
      </c>
      <c r="N106" s="74" t="s">
        <v>648</v>
      </c>
      <c r="O106" s="74" t="s">
        <v>648</v>
      </c>
      <c r="P106" s="74" t="s">
        <v>648</v>
      </c>
      <c r="Q106" s="74" t="s">
        <v>648</v>
      </c>
      <c r="R106" s="76" t="s">
        <v>80</v>
      </c>
      <c r="S106" s="73"/>
      <c r="T106" s="73"/>
      <c r="U106" s="73"/>
      <c r="V106" s="73"/>
      <c r="W106" s="73"/>
      <c r="X106" s="73"/>
      <c r="Y106" s="73"/>
    </row>
    <row r="107" spans="1:25" s="74" customFormat="1" ht="10.5" customHeight="1" x14ac:dyDescent="0.15">
      <c r="A107" s="951" t="s">
        <v>793</v>
      </c>
      <c r="B107" s="78" t="s">
        <v>648</v>
      </c>
      <c r="C107" s="79" t="s">
        <v>648</v>
      </c>
      <c r="D107" s="79" t="s">
        <v>648</v>
      </c>
      <c r="E107" s="79" t="s">
        <v>648</v>
      </c>
      <c r="F107" s="79" t="s">
        <v>648</v>
      </c>
      <c r="G107" s="79" t="s">
        <v>648</v>
      </c>
      <c r="H107" s="79" t="s">
        <v>648</v>
      </c>
      <c r="I107" s="79" t="s">
        <v>648</v>
      </c>
      <c r="J107" s="79">
        <v>13196867</v>
      </c>
      <c r="K107" s="79" t="s">
        <v>648</v>
      </c>
      <c r="L107" s="79" t="s">
        <v>648</v>
      </c>
      <c r="M107" s="79" t="s">
        <v>648</v>
      </c>
      <c r="N107" s="79" t="s">
        <v>648</v>
      </c>
      <c r="O107" s="79" t="s">
        <v>648</v>
      </c>
      <c r="P107" s="79" t="s">
        <v>648</v>
      </c>
      <c r="Q107" s="79" t="s">
        <v>648</v>
      </c>
      <c r="R107" s="80" t="s">
        <v>81</v>
      </c>
      <c r="S107" s="73"/>
      <c r="T107" s="73"/>
      <c r="U107" s="73"/>
      <c r="V107" s="73"/>
      <c r="W107" s="73"/>
      <c r="X107" s="73"/>
      <c r="Y107" s="73"/>
    </row>
    <row r="108" spans="1:25" ht="23.25" customHeight="1" x14ac:dyDescent="0.35">
      <c r="I108" s="81" t="s">
        <v>100</v>
      </c>
    </row>
    <row r="109" spans="1:25" s="21" customFormat="1" ht="11.25" customHeight="1" x14ac:dyDescent="0.15">
      <c r="A109" s="66"/>
      <c r="B109" s="82" t="s">
        <v>101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1063" t="s">
        <v>86</v>
      </c>
      <c r="S109" s="19"/>
      <c r="T109" s="19"/>
      <c r="U109" s="19"/>
      <c r="V109" s="19"/>
      <c r="W109" s="19"/>
      <c r="X109" s="19"/>
      <c r="Y109" s="19"/>
    </row>
    <row r="110" spans="1:25" s="69" customFormat="1" ht="28.5" customHeight="1" x14ac:dyDescent="0.2">
      <c r="A110" s="35" t="s">
        <v>194</v>
      </c>
      <c r="B110" s="904" t="s">
        <v>144</v>
      </c>
      <c r="C110" s="20"/>
      <c r="D110" s="84"/>
      <c r="E110" s="14" t="s">
        <v>470</v>
      </c>
      <c r="F110" s="904" t="s">
        <v>51</v>
      </c>
      <c r="G110" s="20"/>
      <c r="H110" s="20"/>
      <c r="I110" s="20"/>
      <c r="J110" s="20"/>
      <c r="K110" s="84"/>
      <c r="L110" s="904" t="s">
        <v>149</v>
      </c>
      <c r="M110" s="20"/>
      <c r="N110" s="84"/>
      <c r="O110" s="14" t="s">
        <v>678</v>
      </c>
      <c r="P110" s="904" t="s">
        <v>151</v>
      </c>
      <c r="Q110" s="20"/>
      <c r="R110" s="1064"/>
      <c r="S110" s="15"/>
      <c r="T110" s="15"/>
      <c r="U110" s="15"/>
      <c r="V110" s="15"/>
      <c r="W110" s="15"/>
      <c r="X110" s="15"/>
      <c r="Y110" s="15"/>
    </row>
    <row r="111" spans="1:25" s="69" customFormat="1" ht="28.5" customHeight="1" x14ac:dyDescent="0.2">
      <c r="A111" s="35"/>
      <c r="B111" s="16" t="s">
        <v>23</v>
      </c>
      <c r="C111" s="14" t="s">
        <v>50</v>
      </c>
      <c r="D111" s="14" t="s">
        <v>148</v>
      </c>
      <c r="E111" s="14" t="s">
        <v>829</v>
      </c>
      <c r="F111" s="16" t="s">
        <v>35</v>
      </c>
      <c r="G111" s="14" t="s">
        <v>52</v>
      </c>
      <c r="H111" s="14" t="s">
        <v>53</v>
      </c>
      <c r="I111" s="14" t="s">
        <v>830</v>
      </c>
      <c r="J111" s="14" t="s">
        <v>831</v>
      </c>
      <c r="K111" s="14" t="s">
        <v>832</v>
      </c>
      <c r="L111" s="16" t="s">
        <v>36</v>
      </c>
      <c r="M111" s="14" t="s">
        <v>150</v>
      </c>
      <c r="N111" s="766" t="s">
        <v>833</v>
      </c>
      <c r="O111" s="14" t="s">
        <v>679</v>
      </c>
      <c r="P111" s="16" t="s">
        <v>37</v>
      </c>
      <c r="Q111" s="904" t="s">
        <v>154</v>
      </c>
      <c r="R111" s="1064"/>
      <c r="S111" s="15"/>
      <c r="T111" s="15"/>
      <c r="U111" s="15"/>
      <c r="V111" s="15"/>
      <c r="W111" s="15"/>
      <c r="X111" s="15"/>
      <c r="Y111" s="15"/>
    </row>
    <row r="112" spans="1:25" s="69" customFormat="1" ht="12" customHeight="1" x14ac:dyDescent="0.2">
      <c r="A112" s="36"/>
      <c r="B112" s="18"/>
      <c r="C112" s="18" t="str">
        <f>PROPER("BASRAH-L")</f>
        <v>Basrah-L</v>
      </c>
      <c r="D112" s="18" t="str">
        <f>PROPER("BASRAH-H")</f>
        <v>Basrah-H</v>
      </c>
      <c r="E112" s="18" t="str">
        <f>PROPER("BANOC-AM")</f>
        <v>Banoc-Am</v>
      </c>
      <c r="F112" s="18"/>
      <c r="G112" s="18" t="str">
        <f>PROPER("ARAB-L")</f>
        <v>Arab-L</v>
      </c>
      <c r="H112" s="18" t="str">
        <f>PROPER("ARAB-H")</f>
        <v>Arab-H</v>
      </c>
      <c r="I112" s="18" t="str">
        <f>PROPER("ARAB-M")</f>
        <v>Arab-M</v>
      </c>
      <c r="J112" s="18" t="str">
        <f>PROPER("ARAB-E-L")</f>
        <v>Arab-E-L</v>
      </c>
      <c r="K112" s="18" t="str">
        <f>PROPER("ARAB-S-L")</f>
        <v>Arab-S-L</v>
      </c>
      <c r="L112" s="18"/>
      <c r="M112" s="18" t="str">
        <f>PROPER("KUWAIT")</f>
        <v>Kuwait</v>
      </c>
      <c r="N112" s="18" t="str">
        <f>PROPER("KWAIT-SL")</f>
        <v>Kwait-Sl</v>
      </c>
      <c r="O112" s="18" t="str">
        <f>PROPER("KHAFJI")</f>
        <v>Khafji</v>
      </c>
      <c r="P112" s="18"/>
      <c r="Q112" s="17" t="str">
        <f>PROPER("QATAR")</f>
        <v>Qatar</v>
      </c>
      <c r="R112" s="1065"/>
      <c r="S112" s="15"/>
      <c r="T112" s="15"/>
      <c r="U112" s="15"/>
      <c r="V112" s="15"/>
      <c r="W112" s="15"/>
      <c r="X112" s="15"/>
      <c r="Y112" s="15"/>
    </row>
    <row r="113" spans="1:25" s="74" customFormat="1" ht="10.5" customHeight="1" x14ac:dyDescent="0.15">
      <c r="A113" s="949" t="s">
        <v>763</v>
      </c>
      <c r="B113" s="70">
        <v>3243225</v>
      </c>
      <c r="C113" s="71">
        <v>3077333</v>
      </c>
      <c r="D113" s="71">
        <v>165892</v>
      </c>
      <c r="E113" s="71" t="s">
        <v>648</v>
      </c>
      <c r="F113" s="71">
        <v>75176583</v>
      </c>
      <c r="G113" s="71">
        <v>23289838</v>
      </c>
      <c r="H113" s="71">
        <v>7432762</v>
      </c>
      <c r="I113" s="71">
        <v>7753393</v>
      </c>
      <c r="J113" s="71">
        <v>34143252</v>
      </c>
      <c r="K113" s="71">
        <v>2557338</v>
      </c>
      <c r="L113" s="71">
        <v>13708100</v>
      </c>
      <c r="M113" s="71">
        <v>13708100</v>
      </c>
      <c r="N113" s="71" t="s">
        <v>648</v>
      </c>
      <c r="O113" s="71" t="s">
        <v>648</v>
      </c>
      <c r="P113" s="71">
        <v>13706709</v>
      </c>
      <c r="Q113" s="71">
        <v>3800121</v>
      </c>
      <c r="R113" s="72" t="s">
        <v>464</v>
      </c>
      <c r="S113" s="73"/>
      <c r="T113" s="73"/>
      <c r="U113" s="73"/>
      <c r="V113" s="73"/>
      <c r="W113" s="73"/>
      <c r="X113" s="73"/>
      <c r="Y113" s="73"/>
    </row>
    <row r="114" spans="1:25" s="74" customFormat="1" ht="10.5" customHeight="1" x14ac:dyDescent="0.15">
      <c r="A114" s="950" t="s">
        <v>764</v>
      </c>
      <c r="B114" s="74">
        <v>3254304</v>
      </c>
      <c r="C114" s="74">
        <v>3095887</v>
      </c>
      <c r="D114" s="74">
        <v>158417</v>
      </c>
      <c r="E114" s="74">
        <v>2488745</v>
      </c>
      <c r="F114" s="74">
        <v>67524797</v>
      </c>
      <c r="G114" s="74">
        <v>21528299</v>
      </c>
      <c r="H114" s="74">
        <v>5359694</v>
      </c>
      <c r="I114" s="74">
        <v>7395914</v>
      </c>
      <c r="J114" s="74">
        <v>31063805</v>
      </c>
      <c r="K114" s="74">
        <v>2177085</v>
      </c>
      <c r="L114" s="74">
        <v>13524438</v>
      </c>
      <c r="M114" s="74">
        <v>12403240</v>
      </c>
      <c r="N114" s="74">
        <v>1121198</v>
      </c>
      <c r="O114" s="74" t="s">
        <v>648</v>
      </c>
      <c r="P114" s="74">
        <v>14337731</v>
      </c>
      <c r="Q114" s="74">
        <v>4491663</v>
      </c>
      <c r="R114" s="76" t="s">
        <v>489</v>
      </c>
      <c r="S114" s="73"/>
      <c r="T114" s="73"/>
      <c r="U114" s="73"/>
      <c r="V114" s="73"/>
      <c r="W114" s="73"/>
      <c r="X114" s="73"/>
      <c r="Y114" s="73"/>
    </row>
    <row r="115" spans="1:25" s="74" customFormat="1" ht="10.5" customHeight="1" x14ac:dyDescent="0.15">
      <c r="A115" s="950" t="s">
        <v>765</v>
      </c>
      <c r="B115" s="74">
        <v>2465339</v>
      </c>
      <c r="C115" s="74">
        <v>2011168</v>
      </c>
      <c r="D115" s="74">
        <v>454171</v>
      </c>
      <c r="E115" s="74">
        <v>2911341</v>
      </c>
      <c r="F115" s="74">
        <v>61967631</v>
      </c>
      <c r="G115" s="74">
        <v>22969545</v>
      </c>
      <c r="H115" s="74">
        <v>7659329</v>
      </c>
      <c r="I115" s="74">
        <v>2260623</v>
      </c>
      <c r="J115" s="74">
        <v>26618296</v>
      </c>
      <c r="K115" s="74">
        <v>2459838</v>
      </c>
      <c r="L115" s="74">
        <v>14692639</v>
      </c>
      <c r="M115" s="74">
        <v>11706239</v>
      </c>
      <c r="N115" s="74">
        <v>2986400</v>
      </c>
      <c r="O115" s="74" t="s">
        <v>648</v>
      </c>
      <c r="P115" s="74">
        <v>15567254</v>
      </c>
      <c r="Q115" s="74">
        <v>4996484</v>
      </c>
      <c r="R115" s="76" t="s">
        <v>549</v>
      </c>
      <c r="S115" s="73"/>
      <c r="T115" s="73"/>
      <c r="U115" s="73"/>
      <c r="V115" s="73"/>
      <c r="W115" s="73"/>
      <c r="X115" s="73"/>
      <c r="Y115" s="73"/>
    </row>
    <row r="116" spans="1:25" s="74" customFormat="1" ht="10.5" customHeight="1" x14ac:dyDescent="0.15">
      <c r="A116" s="950" t="s">
        <v>766</v>
      </c>
      <c r="B116" s="74">
        <v>788821</v>
      </c>
      <c r="C116" s="74">
        <v>788821</v>
      </c>
      <c r="D116" s="74" t="s">
        <v>648</v>
      </c>
      <c r="E116" s="74">
        <v>2040752</v>
      </c>
      <c r="F116" s="74">
        <v>56773606</v>
      </c>
      <c r="G116" s="74">
        <v>23045058</v>
      </c>
      <c r="H116" s="74">
        <v>5919709</v>
      </c>
      <c r="I116" s="74">
        <v>2301674</v>
      </c>
      <c r="J116" s="74">
        <v>23320165</v>
      </c>
      <c r="K116" s="74">
        <v>2187000</v>
      </c>
      <c r="L116" s="74">
        <v>13223305</v>
      </c>
      <c r="M116" s="74">
        <v>11363272</v>
      </c>
      <c r="N116" s="74">
        <v>1860033</v>
      </c>
      <c r="O116" s="74">
        <v>197107</v>
      </c>
      <c r="P116" s="74">
        <v>12371792</v>
      </c>
      <c r="Q116" s="74">
        <v>4229452</v>
      </c>
      <c r="R116" s="76" t="s">
        <v>672</v>
      </c>
      <c r="S116" s="73"/>
      <c r="T116" s="73"/>
      <c r="U116" s="73"/>
      <c r="V116" s="73"/>
      <c r="W116" s="73"/>
      <c r="X116" s="73"/>
      <c r="Y116" s="73"/>
    </row>
    <row r="117" spans="1:25" s="74" customFormat="1" ht="10.5" customHeight="1" x14ac:dyDescent="0.15">
      <c r="A117" s="950" t="s">
        <v>767</v>
      </c>
      <c r="B117" s="74">
        <v>157960</v>
      </c>
      <c r="C117" s="74">
        <v>157960</v>
      </c>
      <c r="D117" s="74" t="s">
        <v>648</v>
      </c>
      <c r="E117" s="74">
        <v>2050509</v>
      </c>
      <c r="F117" s="74">
        <v>56525615</v>
      </c>
      <c r="G117" s="74">
        <v>21970904</v>
      </c>
      <c r="H117" s="74">
        <v>8259483</v>
      </c>
      <c r="I117" s="74">
        <v>1894831</v>
      </c>
      <c r="J117" s="74">
        <v>22407111</v>
      </c>
      <c r="K117" s="74">
        <v>1993286</v>
      </c>
      <c r="L117" s="74">
        <v>12105867</v>
      </c>
      <c r="M117" s="74">
        <v>11550466</v>
      </c>
      <c r="N117" s="74">
        <v>555401</v>
      </c>
      <c r="O117" s="74">
        <v>465530</v>
      </c>
      <c r="P117" s="74">
        <v>11301078</v>
      </c>
      <c r="Q117" s="74">
        <v>3770218</v>
      </c>
      <c r="R117" s="76" t="s">
        <v>768</v>
      </c>
      <c r="S117" s="73"/>
      <c r="T117" s="73"/>
      <c r="U117" s="73"/>
      <c r="V117" s="73"/>
      <c r="W117" s="73"/>
      <c r="X117" s="73"/>
      <c r="Y117" s="73"/>
    </row>
    <row r="118" spans="1:25" s="74" customFormat="1" ht="10.5" customHeight="1" x14ac:dyDescent="0.15">
      <c r="A118" s="950"/>
      <c r="R118" s="76"/>
      <c r="S118" s="73"/>
      <c r="T118" s="73"/>
      <c r="U118" s="73"/>
      <c r="V118" s="73"/>
      <c r="W118" s="73"/>
      <c r="X118" s="73"/>
      <c r="Y118" s="73"/>
    </row>
    <row r="119" spans="1:25" s="74" customFormat="1" ht="10.5" customHeight="1" x14ac:dyDescent="0.15">
      <c r="A119" s="950" t="s">
        <v>799</v>
      </c>
      <c r="B119" s="74">
        <v>788821</v>
      </c>
      <c r="C119" s="74">
        <v>788821</v>
      </c>
      <c r="D119" s="74" t="s">
        <v>648</v>
      </c>
      <c r="E119" s="74">
        <v>2095727</v>
      </c>
      <c r="F119" s="74">
        <v>57977159</v>
      </c>
      <c r="G119" s="74">
        <v>24465679</v>
      </c>
      <c r="H119" s="74">
        <v>6289187</v>
      </c>
      <c r="I119" s="74">
        <v>2000096</v>
      </c>
      <c r="J119" s="74">
        <v>23002313</v>
      </c>
      <c r="K119" s="74">
        <v>2219884</v>
      </c>
      <c r="L119" s="74">
        <v>11735979</v>
      </c>
      <c r="M119" s="74">
        <v>10320994</v>
      </c>
      <c r="N119" s="74">
        <v>1414985</v>
      </c>
      <c r="O119" s="74">
        <v>385867</v>
      </c>
      <c r="P119" s="74">
        <v>11315373</v>
      </c>
      <c r="Q119" s="74">
        <v>4192007</v>
      </c>
      <c r="R119" s="76" t="s">
        <v>673</v>
      </c>
      <c r="S119" s="73"/>
      <c r="T119" s="73"/>
      <c r="U119" s="73"/>
      <c r="V119" s="73"/>
      <c r="W119" s="73"/>
      <c r="X119" s="73"/>
      <c r="Y119" s="73"/>
    </row>
    <row r="120" spans="1:25" s="74" customFormat="1" ht="10.5" customHeight="1" x14ac:dyDescent="0.15">
      <c r="A120" s="950" t="s">
        <v>800</v>
      </c>
      <c r="B120" s="74">
        <v>157960</v>
      </c>
      <c r="C120" s="74">
        <v>157960</v>
      </c>
      <c r="D120" s="74" t="s">
        <v>648</v>
      </c>
      <c r="E120" s="74">
        <v>2184776</v>
      </c>
      <c r="F120" s="74">
        <v>55593521</v>
      </c>
      <c r="G120" s="74">
        <v>22094824</v>
      </c>
      <c r="H120" s="74">
        <v>8423622</v>
      </c>
      <c r="I120" s="74">
        <v>1826264</v>
      </c>
      <c r="J120" s="74">
        <v>21300152</v>
      </c>
      <c r="K120" s="74">
        <v>1948659</v>
      </c>
      <c r="L120" s="74">
        <v>12512645</v>
      </c>
      <c r="M120" s="74">
        <v>11894514</v>
      </c>
      <c r="N120" s="74">
        <v>618131</v>
      </c>
      <c r="O120" s="74">
        <v>416928</v>
      </c>
      <c r="P120" s="74">
        <v>11599693</v>
      </c>
      <c r="Q120" s="74">
        <v>4291831</v>
      </c>
      <c r="R120" s="76" t="s">
        <v>771</v>
      </c>
      <c r="S120" s="73"/>
      <c r="T120" s="73"/>
      <c r="U120" s="73"/>
      <c r="V120" s="73"/>
      <c r="W120" s="73"/>
      <c r="X120" s="73"/>
      <c r="Y120" s="73"/>
    </row>
    <row r="121" spans="1:25" s="74" customFormat="1" ht="10.5" customHeight="1" x14ac:dyDescent="0.15">
      <c r="A121" s="950"/>
      <c r="R121" s="76"/>
      <c r="S121" s="73"/>
      <c r="T121" s="73"/>
      <c r="U121" s="73"/>
      <c r="V121" s="73"/>
      <c r="W121" s="73"/>
      <c r="X121" s="73"/>
      <c r="Y121" s="73"/>
    </row>
    <row r="122" spans="1:25" s="74" customFormat="1" ht="10.5" customHeight="1" x14ac:dyDescent="0.15">
      <c r="A122" s="950" t="s">
        <v>772</v>
      </c>
      <c r="B122" s="74" t="s">
        <v>648</v>
      </c>
      <c r="C122" s="74" t="s">
        <v>648</v>
      </c>
      <c r="D122" s="74" t="s">
        <v>648</v>
      </c>
      <c r="E122" s="74">
        <v>612364</v>
      </c>
      <c r="F122" s="74">
        <v>16295585</v>
      </c>
      <c r="G122" s="74">
        <v>7061259</v>
      </c>
      <c r="H122" s="74">
        <v>1809481</v>
      </c>
      <c r="I122" s="74">
        <v>557853</v>
      </c>
      <c r="J122" s="74">
        <v>6268651</v>
      </c>
      <c r="K122" s="74">
        <v>598341</v>
      </c>
      <c r="L122" s="74">
        <v>2712977</v>
      </c>
      <c r="M122" s="74">
        <v>2554711</v>
      </c>
      <c r="N122" s="74">
        <v>158266</v>
      </c>
      <c r="O122" s="74">
        <v>188760</v>
      </c>
      <c r="P122" s="74">
        <v>3278029</v>
      </c>
      <c r="Q122" s="74">
        <v>1116518</v>
      </c>
      <c r="R122" s="76" t="s">
        <v>674</v>
      </c>
      <c r="S122" s="73"/>
      <c r="T122" s="73"/>
      <c r="U122" s="73"/>
      <c r="V122" s="73"/>
      <c r="W122" s="73"/>
      <c r="X122" s="73"/>
      <c r="Y122" s="73"/>
    </row>
    <row r="123" spans="1:25" s="74" customFormat="1" ht="10.5" customHeight="1" x14ac:dyDescent="0.15">
      <c r="A123" s="950" t="s">
        <v>773</v>
      </c>
      <c r="B123" s="74" t="s">
        <v>648</v>
      </c>
      <c r="C123" s="74" t="s">
        <v>648</v>
      </c>
      <c r="D123" s="74" t="s">
        <v>648</v>
      </c>
      <c r="E123" s="74">
        <v>369180</v>
      </c>
      <c r="F123" s="74">
        <v>11721953</v>
      </c>
      <c r="G123" s="74">
        <v>4486247</v>
      </c>
      <c r="H123" s="74">
        <v>2168675</v>
      </c>
      <c r="I123" s="74">
        <v>419903</v>
      </c>
      <c r="J123" s="74">
        <v>4241473</v>
      </c>
      <c r="K123" s="74">
        <v>405655</v>
      </c>
      <c r="L123" s="74">
        <v>2813896</v>
      </c>
      <c r="M123" s="74">
        <v>2813896</v>
      </c>
      <c r="N123" s="74" t="s">
        <v>648</v>
      </c>
      <c r="O123" s="74" t="s">
        <v>648</v>
      </c>
      <c r="P123" s="74">
        <v>3494811</v>
      </c>
      <c r="Q123" s="74">
        <v>1158852</v>
      </c>
      <c r="R123" s="76" t="s">
        <v>92</v>
      </c>
      <c r="S123" s="73"/>
      <c r="T123" s="73"/>
      <c r="U123" s="73"/>
      <c r="V123" s="73"/>
      <c r="W123" s="73"/>
      <c r="X123" s="73"/>
      <c r="Y123" s="73"/>
    </row>
    <row r="124" spans="1:25" s="74" customFormat="1" ht="10.5" customHeight="1" x14ac:dyDescent="0.15">
      <c r="A124" s="950" t="s">
        <v>774</v>
      </c>
      <c r="B124" s="74" t="s">
        <v>648</v>
      </c>
      <c r="C124" s="74" t="s">
        <v>648</v>
      </c>
      <c r="D124" s="74" t="s">
        <v>648</v>
      </c>
      <c r="E124" s="74">
        <v>689003</v>
      </c>
      <c r="F124" s="74">
        <v>12681481</v>
      </c>
      <c r="G124" s="74">
        <v>4912775</v>
      </c>
      <c r="H124" s="74">
        <v>2057675</v>
      </c>
      <c r="I124" s="74">
        <v>451355</v>
      </c>
      <c r="J124" s="74">
        <v>4874829</v>
      </c>
      <c r="K124" s="74">
        <v>384847</v>
      </c>
      <c r="L124" s="74">
        <v>2997012</v>
      </c>
      <c r="M124" s="74">
        <v>2805822</v>
      </c>
      <c r="N124" s="74">
        <v>191190</v>
      </c>
      <c r="O124" s="74">
        <v>144533</v>
      </c>
      <c r="P124" s="74">
        <v>2727158</v>
      </c>
      <c r="Q124" s="74">
        <v>865312</v>
      </c>
      <c r="R124" s="76" t="s">
        <v>93</v>
      </c>
      <c r="S124" s="73"/>
      <c r="T124" s="73"/>
      <c r="U124" s="73"/>
      <c r="V124" s="73"/>
      <c r="W124" s="73"/>
      <c r="X124" s="73"/>
      <c r="Y124" s="73"/>
    </row>
    <row r="125" spans="1:25" s="74" customFormat="1" ht="10.5" customHeight="1" x14ac:dyDescent="0.15">
      <c r="A125" s="950" t="s">
        <v>801</v>
      </c>
      <c r="B125" s="74">
        <v>157960</v>
      </c>
      <c r="C125" s="74">
        <v>157960</v>
      </c>
      <c r="D125" s="74" t="s">
        <v>648</v>
      </c>
      <c r="E125" s="74">
        <v>379962</v>
      </c>
      <c r="F125" s="74">
        <v>15826596</v>
      </c>
      <c r="G125" s="74">
        <v>5510623</v>
      </c>
      <c r="H125" s="74">
        <v>2223652</v>
      </c>
      <c r="I125" s="74">
        <v>465720</v>
      </c>
      <c r="J125" s="74">
        <v>7022158</v>
      </c>
      <c r="K125" s="74">
        <v>604443</v>
      </c>
      <c r="L125" s="74">
        <v>3581982</v>
      </c>
      <c r="M125" s="74">
        <v>3376037</v>
      </c>
      <c r="N125" s="74">
        <v>205945</v>
      </c>
      <c r="O125" s="74">
        <v>132237</v>
      </c>
      <c r="P125" s="74">
        <v>1801080</v>
      </c>
      <c r="Q125" s="74">
        <v>629536</v>
      </c>
      <c r="R125" s="76" t="s">
        <v>94</v>
      </c>
      <c r="S125" s="73"/>
      <c r="T125" s="73"/>
      <c r="U125" s="73"/>
      <c r="V125" s="73"/>
      <c r="W125" s="73"/>
      <c r="X125" s="73"/>
      <c r="Y125" s="73"/>
    </row>
    <row r="126" spans="1:25" s="74" customFormat="1" ht="10.5" customHeight="1" x14ac:dyDescent="0.15">
      <c r="A126" s="950" t="s">
        <v>809</v>
      </c>
      <c r="B126" s="74" t="s">
        <v>648</v>
      </c>
      <c r="C126" s="74" t="s">
        <v>648</v>
      </c>
      <c r="D126" s="74" t="s">
        <v>648</v>
      </c>
      <c r="E126" s="74">
        <v>746631</v>
      </c>
      <c r="F126" s="74">
        <v>15363491</v>
      </c>
      <c r="G126" s="74">
        <v>7185179</v>
      </c>
      <c r="H126" s="74">
        <v>1973620</v>
      </c>
      <c r="I126" s="74">
        <v>489286</v>
      </c>
      <c r="J126" s="74">
        <v>5161692</v>
      </c>
      <c r="K126" s="74">
        <v>553714</v>
      </c>
      <c r="L126" s="74">
        <v>3119755</v>
      </c>
      <c r="M126" s="74">
        <v>2898759</v>
      </c>
      <c r="N126" s="74">
        <v>220996</v>
      </c>
      <c r="O126" s="74">
        <v>140158</v>
      </c>
      <c r="P126" s="74">
        <v>3576644</v>
      </c>
      <c r="Q126" s="74">
        <v>1638131</v>
      </c>
      <c r="R126" s="76" t="s">
        <v>777</v>
      </c>
      <c r="S126" s="73"/>
      <c r="T126" s="73"/>
      <c r="U126" s="73"/>
      <c r="V126" s="73"/>
      <c r="W126" s="73"/>
      <c r="X126" s="73"/>
      <c r="Y126" s="73"/>
    </row>
    <row r="127" spans="1:25" s="74" customFormat="1" ht="10.5" customHeight="1" x14ac:dyDescent="0.15">
      <c r="A127" s="950"/>
      <c r="R127" s="76"/>
      <c r="S127" s="73"/>
      <c r="T127" s="73"/>
      <c r="U127" s="73"/>
      <c r="V127" s="73"/>
      <c r="W127" s="73"/>
      <c r="X127" s="73"/>
      <c r="Y127" s="73"/>
    </row>
    <row r="128" spans="1:25" s="74" customFormat="1" ht="10.5" customHeight="1" x14ac:dyDescent="0.15">
      <c r="A128" s="950" t="s">
        <v>778</v>
      </c>
      <c r="B128" s="74" t="s">
        <v>648</v>
      </c>
      <c r="C128" s="74" t="s">
        <v>648</v>
      </c>
      <c r="D128" s="74" t="s">
        <v>648</v>
      </c>
      <c r="E128" s="74">
        <v>294923</v>
      </c>
      <c r="F128" s="74">
        <v>5810397</v>
      </c>
      <c r="G128" s="74">
        <v>2619532</v>
      </c>
      <c r="H128" s="74">
        <v>681468</v>
      </c>
      <c r="I128" s="74">
        <v>240196</v>
      </c>
      <c r="J128" s="74">
        <v>2063119</v>
      </c>
      <c r="K128" s="74">
        <v>206082</v>
      </c>
      <c r="L128" s="74">
        <v>707145</v>
      </c>
      <c r="M128" s="74">
        <v>548879</v>
      </c>
      <c r="N128" s="74">
        <v>158266</v>
      </c>
      <c r="O128" s="74">
        <v>29514</v>
      </c>
      <c r="P128" s="74">
        <v>984014</v>
      </c>
      <c r="Q128" s="74">
        <v>316177</v>
      </c>
      <c r="R128" s="76" t="s">
        <v>675</v>
      </c>
      <c r="S128" s="73"/>
      <c r="T128" s="73"/>
      <c r="U128" s="73"/>
      <c r="V128" s="73"/>
      <c r="W128" s="73"/>
      <c r="X128" s="73"/>
      <c r="Y128" s="73"/>
    </row>
    <row r="129" spans="1:25" s="74" customFormat="1" ht="10.5" customHeight="1" x14ac:dyDescent="0.15">
      <c r="A129" s="950" t="s">
        <v>779</v>
      </c>
      <c r="B129" s="74" t="s">
        <v>648</v>
      </c>
      <c r="C129" s="74" t="s">
        <v>648</v>
      </c>
      <c r="D129" s="74" t="s">
        <v>648</v>
      </c>
      <c r="E129" s="74">
        <v>177781</v>
      </c>
      <c r="F129" s="74">
        <v>5344528</v>
      </c>
      <c r="G129" s="74">
        <v>2136615</v>
      </c>
      <c r="H129" s="74">
        <v>571977</v>
      </c>
      <c r="I129" s="74">
        <v>21924</v>
      </c>
      <c r="J129" s="74">
        <v>2407814</v>
      </c>
      <c r="K129" s="74">
        <v>206198</v>
      </c>
      <c r="L129" s="74">
        <v>1113852</v>
      </c>
      <c r="M129" s="74">
        <v>1113852</v>
      </c>
      <c r="N129" s="74" t="s">
        <v>648</v>
      </c>
      <c r="O129" s="74">
        <v>17497</v>
      </c>
      <c r="P129" s="74">
        <v>1080799</v>
      </c>
      <c r="Q129" s="74">
        <v>392319</v>
      </c>
      <c r="R129" s="76" t="s">
        <v>80</v>
      </c>
      <c r="S129" s="73"/>
      <c r="T129" s="73"/>
      <c r="U129" s="73"/>
      <c r="V129" s="73"/>
      <c r="W129" s="73"/>
      <c r="X129" s="73"/>
      <c r="Y129" s="73"/>
    </row>
    <row r="130" spans="1:25" s="74" customFormat="1" ht="10.5" customHeight="1" x14ac:dyDescent="0.15">
      <c r="A130" s="950" t="s">
        <v>780</v>
      </c>
      <c r="B130" s="74" t="s">
        <v>648</v>
      </c>
      <c r="C130" s="74" t="s">
        <v>648</v>
      </c>
      <c r="D130" s="74" t="s">
        <v>648</v>
      </c>
      <c r="E130" s="74">
        <v>139660</v>
      </c>
      <c r="F130" s="74">
        <v>5140660</v>
      </c>
      <c r="G130" s="74">
        <v>2305112</v>
      </c>
      <c r="H130" s="74">
        <v>556036</v>
      </c>
      <c r="I130" s="74">
        <v>295733</v>
      </c>
      <c r="J130" s="74">
        <v>1797718</v>
      </c>
      <c r="K130" s="74">
        <v>186061</v>
      </c>
      <c r="L130" s="74">
        <v>891980</v>
      </c>
      <c r="M130" s="74">
        <v>891980</v>
      </c>
      <c r="N130" s="74" t="s">
        <v>648</v>
      </c>
      <c r="O130" s="74">
        <v>141749</v>
      </c>
      <c r="P130" s="74">
        <v>1213216</v>
      </c>
      <c r="Q130" s="74">
        <v>408022</v>
      </c>
      <c r="R130" s="76" t="s">
        <v>81</v>
      </c>
      <c r="S130" s="73"/>
      <c r="T130" s="73"/>
      <c r="U130" s="73"/>
      <c r="V130" s="73"/>
      <c r="W130" s="73"/>
      <c r="X130" s="73"/>
      <c r="Y130" s="73"/>
    </row>
    <row r="131" spans="1:25" s="74" customFormat="1" ht="10.5" customHeight="1" x14ac:dyDescent="0.15">
      <c r="A131" s="950" t="s">
        <v>781</v>
      </c>
      <c r="B131" s="74" t="s">
        <v>648</v>
      </c>
      <c r="C131" s="74" t="s">
        <v>648</v>
      </c>
      <c r="D131" s="74" t="s">
        <v>648</v>
      </c>
      <c r="E131" s="74">
        <v>210203</v>
      </c>
      <c r="F131" s="74">
        <v>4245414</v>
      </c>
      <c r="G131" s="74">
        <v>1635596</v>
      </c>
      <c r="H131" s="74">
        <v>913483</v>
      </c>
      <c r="I131" s="74">
        <v>141152</v>
      </c>
      <c r="J131" s="74">
        <v>1349035</v>
      </c>
      <c r="K131" s="74">
        <v>206148</v>
      </c>
      <c r="L131" s="74">
        <v>976573</v>
      </c>
      <c r="M131" s="74">
        <v>976573</v>
      </c>
      <c r="N131" s="74" t="s">
        <v>648</v>
      </c>
      <c r="O131" s="74" t="s">
        <v>648</v>
      </c>
      <c r="P131" s="74">
        <v>1206816</v>
      </c>
      <c r="Q131" s="74">
        <v>439964</v>
      </c>
      <c r="R131" s="76" t="s">
        <v>82</v>
      </c>
      <c r="S131" s="73"/>
      <c r="T131" s="73"/>
      <c r="U131" s="73"/>
      <c r="V131" s="73"/>
      <c r="W131" s="73"/>
      <c r="X131" s="73"/>
      <c r="Y131" s="73"/>
    </row>
    <row r="132" spans="1:25" s="74" customFormat="1" ht="10.5" customHeight="1" x14ac:dyDescent="0.15">
      <c r="A132" s="950" t="s">
        <v>782</v>
      </c>
      <c r="B132" s="74" t="s">
        <v>648</v>
      </c>
      <c r="C132" s="74" t="s">
        <v>648</v>
      </c>
      <c r="D132" s="74" t="s">
        <v>648</v>
      </c>
      <c r="E132" s="74">
        <v>158977</v>
      </c>
      <c r="F132" s="74">
        <v>4064756</v>
      </c>
      <c r="G132" s="74">
        <v>1706172</v>
      </c>
      <c r="H132" s="74">
        <v>797281</v>
      </c>
      <c r="I132" s="74">
        <v>92962</v>
      </c>
      <c r="J132" s="74">
        <v>1268834</v>
      </c>
      <c r="K132" s="74">
        <v>199507</v>
      </c>
      <c r="L132" s="74">
        <v>862689</v>
      </c>
      <c r="M132" s="74">
        <v>862689</v>
      </c>
      <c r="N132" s="74" t="s">
        <v>648</v>
      </c>
      <c r="O132" s="74" t="s">
        <v>648</v>
      </c>
      <c r="P132" s="74">
        <v>1268868</v>
      </c>
      <c r="Q132" s="74">
        <v>325520</v>
      </c>
      <c r="R132" s="77" t="s">
        <v>95</v>
      </c>
      <c r="S132" s="73"/>
      <c r="T132" s="73"/>
      <c r="U132" s="73"/>
      <c r="V132" s="73"/>
      <c r="W132" s="73"/>
      <c r="X132" s="73"/>
      <c r="Y132" s="73"/>
    </row>
    <row r="133" spans="1:25" s="74" customFormat="1" ht="10.5" customHeight="1" x14ac:dyDescent="0.15">
      <c r="A133" s="950" t="s">
        <v>783</v>
      </c>
      <c r="B133" s="74" t="s">
        <v>648</v>
      </c>
      <c r="C133" s="74" t="s">
        <v>648</v>
      </c>
      <c r="D133" s="74" t="s">
        <v>648</v>
      </c>
      <c r="E133" s="74" t="s">
        <v>648</v>
      </c>
      <c r="F133" s="74">
        <v>3411783</v>
      </c>
      <c r="G133" s="74">
        <v>1144479</v>
      </c>
      <c r="H133" s="74">
        <v>457911</v>
      </c>
      <c r="I133" s="74">
        <v>185789</v>
      </c>
      <c r="J133" s="74">
        <v>1623604</v>
      </c>
      <c r="K133" s="74" t="s">
        <v>648</v>
      </c>
      <c r="L133" s="74">
        <v>974634</v>
      </c>
      <c r="M133" s="74">
        <v>974634</v>
      </c>
      <c r="N133" s="74" t="s">
        <v>648</v>
      </c>
      <c r="O133" s="74" t="s">
        <v>648</v>
      </c>
      <c r="P133" s="74">
        <v>1019127</v>
      </c>
      <c r="Q133" s="74">
        <v>393368</v>
      </c>
      <c r="R133" s="76" t="s">
        <v>96</v>
      </c>
      <c r="S133" s="73"/>
      <c r="T133" s="73"/>
      <c r="U133" s="73"/>
      <c r="V133" s="73"/>
      <c r="W133" s="73"/>
      <c r="X133" s="73"/>
      <c r="Y133" s="73"/>
    </row>
    <row r="134" spans="1:25" s="74" customFormat="1" ht="10.5" customHeight="1" x14ac:dyDescent="0.15">
      <c r="A134" s="950" t="s">
        <v>784</v>
      </c>
      <c r="B134" s="74" t="s">
        <v>648</v>
      </c>
      <c r="C134" s="74" t="s">
        <v>648</v>
      </c>
      <c r="D134" s="74" t="s">
        <v>648</v>
      </c>
      <c r="E134" s="74">
        <v>108861</v>
      </c>
      <c r="F134" s="74">
        <v>3622732</v>
      </c>
      <c r="G134" s="74">
        <v>1293401</v>
      </c>
      <c r="H134" s="74">
        <v>594452</v>
      </c>
      <c r="I134" s="74">
        <v>137378</v>
      </c>
      <c r="J134" s="74">
        <v>1398212</v>
      </c>
      <c r="K134" s="74">
        <v>199289</v>
      </c>
      <c r="L134" s="74">
        <v>1145034</v>
      </c>
      <c r="M134" s="74">
        <v>1145034</v>
      </c>
      <c r="N134" s="74" t="s">
        <v>648</v>
      </c>
      <c r="O134" s="74" t="s">
        <v>648</v>
      </c>
      <c r="P134" s="74">
        <v>920206</v>
      </c>
      <c r="Q134" s="74">
        <v>237952</v>
      </c>
      <c r="R134" s="76" t="s">
        <v>97</v>
      </c>
      <c r="S134" s="73"/>
      <c r="T134" s="73"/>
      <c r="U134" s="73"/>
      <c r="V134" s="73"/>
      <c r="W134" s="73"/>
      <c r="X134" s="73"/>
      <c r="Y134" s="73"/>
    </row>
    <row r="135" spans="1:25" s="74" customFormat="1" ht="10.5" customHeight="1" x14ac:dyDescent="0.15">
      <c r="A135" s="950" t="s">
        <v>806</v>
      </c>
      <c r="B135" s="74" t="s">
        <v>648</v>
      </c>
      <c r="C135" s="74" t="s">
        <v>648</v>
      </c>
      <c r="D135" s="74" t="s">
        <v>648</v>
      </c>
      <c r="E135" s="74">
        <v>184870</v>
      </c>
      <c r="F135" s="74">
        <v>4980074</v>
      </c>
      <c r="G135" s="74">
        <v>2109312</v>
      </c>
      <c r="H135" s="74">
        <v>771223</v>
      </c>
      <c r="I135" s="74">
        <v>267100</v>
      </c>
      <c r="J135" s="74">
        <v>1832439</v>
      </c>
      <c r="K135" s="74" t="s">
        <v>648</v>
      </c>
      <c r="L135" s="74">
        <v>904294</v>
      </c>
      <c r="M135" s="74">
        <v>840014</v>
      </c>
      <c r="N135" s="74">
        <v>64280</v>
      </c>
      <c r="O135" s="74" t="s">
        <v>648</v>
      </c>
      <c r="P135" s="74">
        <v>815618</v>
      </c>
      <c r="Q135" s="74">
        <v>260957</v>
      </c>
      <c r="R135" s="76" t="s">
        <v>98</v>
      </c>
      <c r="S135" s="73"/>
      <c r="T135" s="73"/>
      <c r="U135" s="73"/>
      <c r="V135" s="73"/>
      <c r="W135" s="73"/>
      <c r="X135" s="73"/>
      <c r="Y135" s="73"/>
    </row>
    <row r="136" spans="1:25" s="74" customFormat="1" ht="10.5" customHeight="1" x14ac:dyDescent="0.15">
      <c r="A136" s="950" t="s">
        <v>786</v>
      </c>
      <c r="B136" s="74" t="s">
        <v>648</v>
      </c>
      <c r="C136" s="74" t="s">
        <v>648</v>
      </c>
      <c r="D136" s="74" t="s">
        <v>648</v>
      </c>
      <c r="E136" s="74">
        <v>395272</v>
      </c>
      <c r="F136" s="74">
        <v>4078675</v>
      </c>
      <c r="G136" s="74">
        <v>1510062</v>
      </c>
      <c r="H136" s="74">
        <v>692000</v>
      </c>
      <c r="I136" s="74">
        <v>46877</v>
      </c>
      <c r="J136" s="74">
        <v>1644178</v>
      </c>
      <c r="K136" s="74">
        <v>185558</v>
      </c>
      <c r="L136" s="74">
        <v>947684</v>
      </c>
      <c r="M136" s="74">
        <v>820774</v>
      </c>
      <c r="N136" s="74">
        <v>126910</v>
      </c>
      <c r="O136" s="74">
        <v>144533</v>
      </c>
      <c r="P136" s="74">
        <v>991334</v>
      </c>
      <c r="Q136" s="74">
        <v>366403</v>
      </c>
      <c r="R136" s="76" t="s">
        <v>99</v>
      </c>
      <c r="S136" s="73"/>
      <c r="T136" s="73"/>
      <c r="U136" s="73"/>
      <c r="V136" s="73"/>
      <c r="W136" s="73"/>
      <c r="X136" s="73"/>
      <c r="Y136" s="73"/>
    </row>
    <row r="137" spans="1:25" s="74" customFormat="1" ht="10.5" customHeight="1" x14ac:dyDescent="0.15">
      <c r="A137" s="950" t="s">
        <v>807</v>
      </c>
      <c r="B137" s="74" t="s">
        <v>648</v>
      </c>
      <c r="C137" s="74" t="s">
        <v>648</v>
      </c>
      <c r="D137" s="74" t="s">
        <v>648</v>
      </c>
      <c r="E137" s="74">
        <v>76338</v>
      </c>
      <c r="F137" s="74">
        <v>4358060</v>
      </c>
      <c r="G137" s="74">
        <v>1644386</v>
      </c>
      <c r="H137" s="74">
        <v>654744</v>
      </c>
      <c r="I137" s="74">
        <v>132712</v>
      </c>
      <c r="J137" s="74">
        <v>1727116</v>
      </c>
      <c r="K137" s="74">
        <v>199102</v>
      </c>
      <c r="L137" s="74">
        <v>1332586</v>
      </c>
      <c r="M137" s="74">
        <v>1206385</v>
      </c>
      <c r="N137" s="74">
        <v>126201</v>
      </c>
      <c r="O137" s="74">
        <v>61854</v>
      </c>
      <c r="P137" s="74">
        <v>395363</v>
      </c>
      <c r="Q137" s="74">
        <v>154795</v>
      </c>
      <c r="R137" s="76" t="s">
        <v>83</v>
      </c>
      <c r="S137" s="73"/>
      <c r="T137" s="73"/>
      <c r="U137" s="73"/>
      <c r="V137" s="73"/>
      <c r="W137" s="73"/>
      <c r="X137" s="73"/>
      <c r="Y137" s="73"/>
    </row>
    <row r="138" spans="1:25" s="74" customFormat="1" ht="10.5" customHeight="1" x14ac:dyDescent="0.15">
      <c r="A138" s="950" t="s">
        <v>788</v>
      </c>
      <c r="B138" s="74">
        <v>157960</v>
      </c>
      <c r="C138" s="74">
        <v>157960</v>
      </c>
      <c r="D138" s="74" t="s">
        <v>648</v>
      </c>
      <c r="E138" s="74">
        <v>75847</v>
      </c>
      <c r="F138" s="74">
        <v>5138456</v>
      </c>
      <c r="G138" s="74">
        <v>1519517</v>
      </c>
      <c r="H138" s="74">
        <v>528179</v>
      </c>
      <c r="I138" s="74">
        <v>212991</v>
      </c>
      <c r="J138" s="74">
        <v>2671877</v>
      </c>
      <c r="K138" s="74">
        <v>205892</v>
      </c>
      <c r="L138" s="74">
        <v>1169091</v>
      </c>
      <c r="M138" s="74">
        <v>1169091</v>
      </c>
      <c r="N138" s="74" t="s">
        <v>648</v>
      </c>
      <c r="O138" s="74" t="s">
        <v>648</v>
      </c>
      <c r="P138" s="74">
        <v>662138</v>
      </c>
      <c r="Q138" s="74">
        <v>313049</v>
      </c>
      <c r="R138" s="76" t="s">
        <v>84</v>
      </c>
      <c r="S138" s="73"/>
      <c r="T138" s="73"/>
      <c r="U138" s="73"/>
      <c r="V138" s="73"/>
      <c r="W138" s="73"/>
      <c r="X138" s="73"/>
      <c r="Y138" s="73"/>
    </row>
    <row r="139" spans="1:25" s="74" customFormat="1" ht="10.5" customHeight="1" x14ac:dyDescent="0.15">
      <c r="A139" s="950" t="s">
        <v>789</v>
      </c>
      <c r="B139" s="74" t="s">
        <v>648</v>
      </c>
      <c r="C139" s="74" t="s">
        <v>648</v>
      </c>
      <c r="D139" s="74" t="s">
        <v>648</v>
      </c>
      <c r="E139" s="74">
        <v>227777</v>
      </c>
      <c r="F139" s="74">
        <v>6330080</v>
      </c>
      <c r="G139" s="74">
        <v>2346720</v>
      </c>
      <c r="H139" s="74">
        <v>1040729</v>
      </c>
      <c r="I139" s="74">
        <v>120017</v>
      </c>
      <c r="J139" s="74">
        <v>2623165</v>
      </c>
      <c r="K139" s="74">
        <v>199449</v>
      </c>
      <c r="L139" s="74">
        <v>1080305</v>
      </c>
      <c r="M139" s="74">
        <v>1000561</v>
      </c>
      <c r="N139" s="74">
        <v>79744</v>
      </c>
      <c r="O139" s="74">
        <v>70383</v>
      </c>
      <c r="P139" s="74">
        <v>743579</v>
      </c>
      <c r="Q139" s="74">
        <v>161692</v>
      </c>
      <c r="R139" s="76" t="s">
        <v>85</v>
      </c>
      <c r="S139" s="73"/>
      <c r="T139" s="73"/>
      <c r="U139" s="73"/>
      <c r="V139" s="73"/>
      <c r="W139" s="73"/>
      <c r="X139" s="73"/>
      <c r="Y139" s="73"/>
    </row>
    <row r="140" spans="1:25" s="74" customFormat="1" ht="10.5" customHeight="1" x14ac:dyDescent="0.15">
      <c r="A140" s="950" t="s">
        <v>790</v>
      </c>
      <c r="B140" s="74" t="s">
        <v>648</v>
      </c>
      <c r="C140" s="74" t="s">
        <v>648</v>
      </c>
      <c r="D140" s="74" t="s">
        <v>648</v>
      </c>
      <c r="E140" s="74">
        <v>307865</v>
      </c>
      <c r="F140" s="74">
        <v>5542872</v>
      </c>
      <c r="G140" s="74">
        <v>2942405</v>
      </c>
      <c r="H140" s="74">
        <v>520261</v>
      </c>
      <c r="I140" s="74">
        <v>232165</v>
      </c>
      <c r="J140" s="74">
        <v>1641783</v>
      </c>
      <c r="K140" s="74">
        <v>206258</v>
      </c>
      <c r="L140" s="74">
        <v>1059673</v>
      </c>
      <c r="M140" s="74">
        <v>997004</v>
      </c>
      <c r="N140" s="74">
        <v>62669</v>
      </c>
      <c r="O140" s="74">
        <v>71638</v>
      </c>
      <c r="P140" s="74">
        <v>1169600</v>
      </c>
      <c r="Q140" s="74">
        <v>630072</v>
      </c>
      <c r="R140" s="76" t="s">
        <v>791</v>
      </c>
      <c r="S140" s="73"/>
      <c r="T140" s="73"/>
      <c r="U140" s="73"/>
      <c r="V140" s="73"/>
      <c r="W140" s="73"/>
      <c r="X140" s="73"/>
      <c r="Y140" s="73"/>
    </row>
    <row r="141" spans="1:25" s="74" customFormat="1" ht="10.5" customHeight="1" x14ac:dyDescent="0.15">
      <c r="A141" s="950" t="s">
        <v>792</v>
      </c>
      <c r="B141" s="74" t="s">
        <v>648</v>
      </c>
      <c r="C141" s="74" t="s">
        <v>648</v>
      </c>
      <c r="D141" s="74" t="s">
        <v>648</v>
      </c>
      <c r="E141" s="74">
        <v>114200</v>
      </c>
      <c r="F141" s="74">
        <v>4977082</v>
      </c>
      <c r="G141" s="74">
        <v>2138334</v>
      </c>
      <c r="H141" s="74">
        <v>731725</v>
      </c>
      <c r="I141" s="74">
        <v>185160</v>
      </c>
      <c r="J141" s="74">
        <v>1760413</v>
      </c>
      <c r="K141" s="74">
        <v>161450</v>
      </c>
      <c r="L141" s="74">
        <v>1061068</v>
      </c>
      <c r="M141" s="74">
        <v>902741</v>
      </c>
      <c r="N141" s="74">
        <v>158327</v>
      </c>
      <c r="O141" s="74" t="s">
        <v>648</v>
      </c>
      <c r="P141" s="74">
        <v>1099112</v>
      </c>
      <c r="Q141" s="74">
        <v>548481</v>
      </c>
      <c r="R141" s="76" t="s">
        <v>80</v>
      </c>
      <c r="S141" s="73"/>
      <c r="T141" s="73"/>
      <c r="U141" s="73"/>
      <c r="V141" s="73"/>
      <c r="W141" s="73"/>
      <c r="X141" s="73"/>
      <c r="Y141" s="73"/>
    </row>
    <row r="142" spans="1:25" s="74" customFormat="1" ht="10.5" customHeight="1" x14ac:dyDescent="0.15">
      <c r="A142" s="951" t="s">
        <v>793</v>
      </c>
      <c r="B142" s="78" t="s">
        <v>648</v>
      </c>
      <c r="C142" s="79" t="s">
        <v>648</v>
      </c>
      <c r="D142" s="79" t="s">
        <v>648</v>
      </c>
      <c r="E142" s="79">
        <v>324566</v>
      </c>
      <c r="F142" s="79">
        <v>4843537</v>
      </c>
      <c r="G142" s="79">
        <v>2104440</v>
      </c>
      <c r="H142" s="79">
        <v>721634</v>
      </c>
      <c r="I142" s="79">
        <v>71961</v>
      </c>
      <c r="J142" s="79">
        <v>1759496</v>
      </c>
      <c r="K142" s="79">
        <v>186006</v>
      </c>
      <c r="L142" s="79">
        <v>999014</v>
      </c>
      <c r="M142" s="79">
        <v>999014</v>
      </c>
      <c r="N142" s="79" t="s">
        <v>648</v>
      </c>
      <c r="O142" s="79">
        <v>68520</v>
      </c>
      <c r="P142" s="79">
        <v>1307932</v>
      </c>
      <c r="Q142" s="79">
        <v>459578</v>
      </c>
      <c r="R142" s="80" t="s">
        <v>81</v>
      </c>
      <c r="S142" s="73"/>
      <c r="T142" s="73"/>
      <c r="U142" s="73"/>
      <c r="V142" s="73"/>
      <c r="W142" s="73"/>
      <c r="X142" s="73"/>
      <c r="Y142" s="73"/>
    </row>
    <row r="143" spans="1:25" ht="23.25" customHeight="1" x14ac:dyDescent="0.35">
      <c r="I143" s="81" t="s">
        <v>100</v>
      </c>
      <c r="Q143" s="83" t="s">
        <v>79</v>
      </c>
    </row>
    <row r="144" spans="1:25" s="21" customFormat="1" ht="11.25" customHeight="1" x14ac:dyDescent="0.15">
      <c r="A144" s="66"/>
      <c r="B144" s="82" t="s">
        <v>101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1063" t="s">
        <v>86</v>
      </c>
      <c r="S144" s="19"/>
      <c r="T144" s="19"/>
      <c r="U144" s="19"/>
      <c r="V144" s="19"/>
      <c r="W144" s="19"/>
      <c r="X144" s="19"/>
      <c r="Y144" s="19"/>
    </row>
    <row r="145" spans="1:25" s="69" customFormat="1" ht="28.5" customHeight="1" x14ac:dyDescent="0.2">
      <c r="A145" s="35" t="s">
        <v>194</v>
      </c>
      <c r="B145" s="41" t="s">
        <v>834</v>
      </c>
      <c r="C145" s="20"/>
      <c r="D145" s="20"/>
      <c r="E145" s="20"/>
      <c r="F145" s="84"/>
      <c r="G145" s="904" t="s">
        <v>152</v>
      </c>
      <c r="H145" s="20"/>
      <c r="I145" s="84"/>
      <c r="J145" s="904" t="s">
        <v>153</v>
      </c>
      <c r="K145" s="20"/>
      <c r="L145" s="20"/>
      <c r="M145" s="20"/>
      <c r="N145" s="20"/>
      <c r="O145" s="20"/>
      <c r="P145" s="20"/>
      <c r="Q145" s="20"/>
      <c r="R145" s="1064"/>
      <c r="S145" s="15"/>
      <c r="T145" s="15"/>
      <c r="U145" s="15"/>
      <c r="V145" s="15"/>
      <c r="W145" s="15"/>
      <c r="X145" s="15"/>
      <c r="Y145" s="15"/>
    </row>
    <row r="146" spans="1:25" s="69" customFormat="1" ht="28.5" customHeight="1" x14ac:dyDescent="0.2">
      <c r="A146" s="35"/>
      <c r="B146" s="14" t="s">
        <v>155</v>
      </c>
      <c r="C146" s="14" t="s">
        <v>54</v>
      </c>
      <c r="D146" s="14" t="s">
        <v>156</v>
      </c>
      <c r="E146" s="14" t="s">
        <v>564</v>
      </c>
      <c r="F146" s="766" t="s">
        <v>835</v>
      </c>
      <c r="G146" s="16" t="s">
        <v>38</v>
      </c>
      <c r="H146" s="14" t="s">
        <v>157</v>
      </c>
      <c r="I146" s="14" t="s">
        <v>198</v>
      </c>
      <c r="J146" s="16" t="s">
        <v>158</v>
      </c>
      <c r="K146" s="14" t="s">
        <v>159</v>
      </c>
      <c r="L146" s="14" t="s">
        <v>162</v>
      </c>
      <c r="M146" s="14" t="s">
        <v>494</v>
      </c>
      <c r="N146" s="14" t="s">
        <v>163</v>
      </c>
      <c r="O146" s="14" t="s">
        <v>164</v>
      </c>
      <c r="P146" s="14" t="s">
        <v>165</v>
      </c>
      <c r="Q146" s="904" t="s">
        <v>471</v>
      </c>
      <c r="R146" s="1064"/>
      <c r="S146" s="15"/>
      <c r="T146" s="15"/>
      <c r="U146" s="15"/>
      <c r="V146" s="15"/>
      <c r="W146" s="15"/>
      <c r="X146" s="15"/>
      <c r="Y146" s="15"/>
    </row>
    <row r="147" spans="1:25" s="69" customFormat="1" ht="12" customHeight="1" x14ac:dyDescent="0.2">
      <c r="A147" s="36"/>
      <c r="B147" s="18" t="str">
        <f>PROPER("QATAR-M")</f>
        <v>Qatar-M</v>
      </c>
      <c r="C147" s="18" t="str">
        <f>PROPER("A-SHAHEN")</f>
        <v>A-Shahen</v>
      </c>
      <c r="D147" s="18" t="str">
        <f>PROPER("A-RAYYAN")</f>
        <v>A-Rayyan</v>
      </c>
      <c r="E147" s="18" t="str">
        <f>PROPER("LOWSUL-C")</f>
        <v>Lowsul-C</v>
      </c>
      <c r="F147" s="18" t="str">
        <f>PROPER("DEOD-F-C")</f>
        <v>Deod-F-C</v>
      </c>
      <c r="G147" s="18"/>
      <c r="H147" s="18" t="str">
        <f>PROPER("OMAN")</f>
        <v>Oman</v>
      </c>
      <c r="I147" s="18" t="str">
        <f>PROPER("WESTBUKH")</f>
        <v>Westbukh</v>
      </c>
      <c r="J147" s="18"/>
      <c r="K147" s="18" t="str">
        <f>PROPER("MURBAN")</f>
        <v>Murban</v>
      </c>
      <c r="L147" s="18" t="str">
        <f>PROPER("DUBAI")</f>
        <v>Dubai</v>
      </c>
      <c r="M147" s="18" t="str">
        <f>PROPER("SHARJA-C")</f>
        <v>Sharja-C</v>
      </c>
      <c r="N147" s="18" t="str">
        <f>PROPER("U-ZAKUM")</f>
        <v>U-Zakum</v>
      </c>
      <c r="O147" s="18" t="str">
        <f>PROPER("MUBARA-B")</f>
        <v>Mubara-B</v>
      </c>
      <c r="P147" s="18" t="str">
        <f>PROPER("DAS")</f>
        <v>Das</v>
      </c>
      <c r="Q147" s="17" t="str">
        <f>PROPER("MUBARRAZ")</f>
        <v>Mubarraz</v>
      </c>
      <c r="R147" s="1065"/>
      <c r="S147" s="15"/>
      <c r="T147" s="15"/>
      <c r="U147" s="15"/>
      <c r="V147" s="15"/>
      <c r="W147" s="15"/>
      <c r="X147" s="15"/>
      <c r="Y147" s="15"/>
    </row>
    <row r="148" spans="1:25" s="74" customFormat="1" ht="10.5" customHeight="1" x14ac:dyDescent="0.15">
      <c r="A148" s="949" t="s">
        <v>763</v>
      </c>
      <c r="B148" s="70">
        <v>5262657</v>
      </c>
      <c r="C148" s="71">
        <v>2779666</v>
      </c>
      <c r="D148" s="71">
        <v>159929</v>
      </c>
      <c r="E148" s="71">
        <v>438360</v>
      </c>
      <c r="F148" s="71">
        <v>1265976</v>
      </c>
      <c r="G148" s="71">
        <v>1747022</v>
      </c>
      <c r="H148" s="71">
        <v>1747022</v>
      </c>
      <c r="I148" s="71" t="s">
        <v>648</v>
      </c>
      <c r="J148" s="71">
        <v>45250794</v>
      </c>
      <c r="K148" s="71">
        <v>13143635</v>
      </c>
      <c r="L148" s="71">
        <v>735786</v>
      </c>
      <c r="M148" s="71">
        <v>37729</v>
      </c>
      <c r="N148" s="71">
        <v>12252668</v>
      </c>
      <c r="O148" s="71">
        <v>1130677</v>
      </c>
      <c r="P148" s="71">
        <v>17873360</v>
      </c>
      <c r="Q148" s="71">
        <v>76939</v>
      </c>
      <c r="R148" s="72" t="s">
        <v>464</v>
      </c>
      <c r="S148" s="73"/>
      <c r="T148" s="73"/>
      <c r="U148" s="73"/>
      <c r="V148" s="73"/>
      <c r="W148" s="73"/>
      <c r="X148" s="73"/>
      <c r="Y148" s="73"/>
    </row>
    <row r="149" spans="1:25" s="74" customFormat="1" ht="10.5" customHeight="1" x14ac:dyDescent="0.15">
      <c r="A149" s="950" t="s">
        <v>764</v>
      </c>
      <c r="B149" s="74">
        <v>4337748</v>
      </c>
      <c r="C149" s="74">
        <v>3864361</v>
      </c>
      <c r="D149" s="74">
        <v>221796</v>
      </c>
      <c r="E149" s="74">
        <v>686989</v>
      </c>
      <c r="F149" s="74">
        <v>735174</v>
      </c>
      <c r="G149" s="74">
        <v>2988696</v>
      </c>
      <c r="H149" s="74">
        <v>2884109</v>
      </c>
      <c r="I149" s="74">
        <v>104587</v>
      </c>
      <c r="J149" s="74">
        <v>45017010</v>
      </c>
      <c r="K149" s="74">
        <v>13105512</v>
      </c>
      <c r="L149" s="74">
        <v>1425845</v>
      </c>
      <c r="M149" s="74" t="s">
        <v>648</v>
      </c>
      <c r="N149" s="74">
        <v>10653696</v>
      </c>
      <c r="O149" s="74" t="s">
        <v>648</v>
      </c>
      <c r="P149" s="74">
        <v>17911945</v>
      </c>
      <c r="Q149" s="74">
        <v>1920012</v>
      </c>
      <c r="R149" s="76" t="s">
        <v>489</v>
      </c>
      <c r="S149" s="73"/>
      <c r="T149" s="73"/>
      <c r="U149" s="73"/>
      <c r="V149" s="73"/>
      <c r="W149" s="73"/>
      <c r="X149" s="73"/>
      <c r="Y149" s="73"/>
    </row>
    <row r="150" spans="1:25" s="74" customFormat="1" ht="10.5" customHeight="1" x14ac:dyDescent="0.15">
      <c r="A150" s="950" t="s">
        <v>765</v>
      </c>
      <c r="B150" s="74">
        <v>3427764</v>
      </c>
      <c r="C150" s="74">
        <v>4244379</v>
      </c>
      <c r="D150" s="74" t="s">
        <v>648</v>
      </c>
      <c r="E150" s="74">
        <v>1322147</v>
      </c>
      <c r="F150" s="74">
        <v>1576480</v>
      </c>
      <c r="G150" s="74">
        <v>3352539</v>
      </c>
      <c r="H150" s="74">
        <v>3352539</v>
      </c>
      <c r="I150" s="74" t="s">
        <v>648</v>
      </c>
      <c r="J150" s="74">
        <v>52366989</v>
      </c>
      <c r="K150" s="74">
        <v>20937579</v>
      </c>
      <c r="L150" s="74">
        <v>1030693</v>
      </c>
      <c r="M150" s="74" t="s">
        <v>648</v>
      </c>
      <c r="N150" s="74">
        <v>7667650</v>
      </c>
      <c r="O150" s="74" t="s">
        <v>648</v>
      </c>
      <c r="P150" s="74">
        <v>20032829</v>
      </c>
      <c r="Q150" s="74">
        <v>1925548</v>
      </c>
      <c r="R150" s="76" t="s">
        <v>549</v>
      </c>
      <c r="S150" s="73"/>
      <c r="T150" s="73"/>
      <c r="U150" s="73"/>
      <c r="V150" s="73"/>
      <c r="W150" s="73"/>
      <c r="X150" s="73"/>
      <c r="Y150" s="73"/>
    </row>
    <row r="151" spans="1:25" s="74" customFormat="1" ht="10.5" customHeight="1" x14ac:dyDescent="0.15">
      <c r="A151" s="950" t="s">
        <v>766</v>
      </c>
      <c r="B151" s="74">
        <v>2610370</v>
      </c>
      <c r="C151" s="74">
        <v>3970725</v>
      </c>
      <c r="D151" s="74" t="s">
        <v>648</v>
      </c>
      <c r="E151" s="74">
        <v>1086864</v>
      </c>
      <c r="F151" s="74">
        <v>474381</v>
      </c>
      <c r="G151" s="74">
        <v>668065</v>
      </c>
      <c r="H151" s="74">
        <v>668065</v>
      </c>
      <c r="I151" s="74" t="s">
        <v>648</v>
      </c>
      <c r="J151" s="74">
        <v>46298758</v>
      </c>
      <c r="K151" s="74">
        <v>18924462</v>
      </c>
      <c r="L151" s="74">
        <v>1426156</v>
      </c>
      <c r="M151" s="74" t="s">
        <v>648</v>
      </c>
      <c r="N151" s="74">
        <v>6887720</v>
      </c>
      <c r="O151" s="74" t="s">
        <v>648</v>
      </c>
      <c r="P151" s="74">
        <v>16584724</v>
      </c>
      <c r="Q151" s="74">
        <v>1929409</v>
      </c>
      <c r="R151" s="76" t="s">
        <v>672</v>
      </c>
      <c r="S151" s="73"/>
      <c r="T151" s="73"/>
      <c r="U151" s="73"/>
      <c r="V151" s="73"/>
      <c r="W151" s="73"/>
      <c r="X151" s="73"/>
      <c r="Y151" s="73"/>
    </row>
    <row r="152" spans="1:25" s="74" customFormat="1" ht="10.5" customHeight="1" x14ac:dyDescent="0.15">
      <c r="A152" s="950" t="s">
        <v>767</v>
      </c>
      <c r="B152" s="74">
        <v>2082792</v>
      </c>
      <c r="C152" s="74">
        <v>4590851</v>
      </c>
      <c r="D152" s="74" t="s">
        <v>648</v>
      </c>
      <c r="E152" s="74">
        <v>702166</v>
      </c>
      <c r="F152" s="74">
        <v>155051</v>
      </c>
      <c r="G152" s="74">
        <v>825144</v>
      </c>
      <c r="H152" s="74">
        <v>774331</v>
      </c>
      <c r="I152" s="74">
        <v>50813</v>
      </c>
      <c r="J152" s="74">
        <v>50636882</v>
      </c>
      <c r="K152" s="74">
        <v>26829061</v>
      </c>
      <c r="L152" s="74">
        <v>951338</v>
      </c>
      <c r="M152" s="74">
        <v>37026</v>
      </c>
      <c r="N152" s="74">
        <v>4907013</v>
      </c>
      <c r="O152" s="74" t="s">
        <v>648</v>
      </c>
      <c r="P152" s="74">
        <v>14742070</v>
      </c>
      <c r="Q152" s="74">
        <v>1893490</v>
      </c>
      <c r="R152" s="76" t="s">
        <v>768</v>
      </c>
      <c r="S152" s="73"/>
      <c r="T152" s="73"/>
      <c r="U152" s="73"/>
      <c r="V152" s="73"/>
      <c r="W152" s="73"/>
      <c r="X152" s="73"/>
      <c r="Y152" s="73"/>
    </row>
    <row r="153" spans="1:25" s="74" customFormat="1" ht="10.5" customHeight="1" x14ac:dyDescent="0.15">
      <c r="A153" s="950"/>
      <c r="R153" s="76"/>
      <c r="S153" s="73"/>
      <c r="T153" s="73"/>
      <c r="U153" s="73"/>
      <c r="V153" s="73"/>
      <c r="W153" s="73"/>
      <c r="X153" s="73"/>
      <c r="Y153" s="73"/>
    </row>
    <row r="154" spans="1:25" s="74" customFormat="1" ht="10.5" customHeight="1" x14ac:dyDescent="0.15">
      <c r="A154" s="950" t="s">
        <v>799</v>
      </c>
      <c r="B154" s="74">
        <v>2137660</v>
      </c>
      <c r="C154" s="74">
        <v>3435485</v>
      </c>
      <c r="D154" s="74" t="s">
        <v>648</v>
      </c>
      <c r="E154" s="74">
        <v>1233386</v>
      </c>
      <c r="F154" s="74">
        <v>316835</v>
      </c>
      <c r="G154" s="74">
        <v>526674</v>
      </c>
      <c r="H154" s="74">
        <v>475861</v>
      </c>
      <c r="I154" s="74">
        <v>50813</v>
      </c>
      <c r="J154" s="74">
        <v>40772976</v>
      </c>
      <c r="K154" s="74">
        <v>17113428</v>
      </c>
      <c r="L154" s="74">
        <v>1029501</v>
      </c>
      <c r="M154" s="74" t="s">
        <v>648</v>
      </c>
      <c r="N154" s="74">
        <v>5220493</v>
      </c>
      <c r="O154" s="74" t="s">
        <v>648</v>
      </c>
      <c r="P154" s="74">
        <v>14833644</v>
      </c>
      <c r="Q154" s="74">
        <v>1867474</v>
      </c>
      <c r="R154" s="76" t="s">
        <v>673</v>
      </c>
      <c r="S154" s="73"/>
      <c r="T154" s="73"/>
      <c r="U154" s="73"/>
      <c r="V154" s="73"/>
      <c r="W154" s="73"/>
      <c r="X154" s="73"/>
      <c r="Y154" s="73"/>
    </row>
    <row r="155" spans="1:25" s="74" customFormat="1" ht="10.5" customHeight="1" x14ac:dyDescent="0.15">
      <c r="A155" s="950" t="s">
        <v>800</v>
      </c>
      <c r="B155" s="74">
        <v>2330453</v>
      </c>
      <c r="C155" s="74">
        <v>4665520</v>
      </c>
      <c r="D155" s="74" t="s">
        <v>648</v>
      </c>
      <c r="E155" s="74">
        <v>156838</v>
      </c>
      <c r="F155" s="74">
        <v>155051</v>
      </c>
      <c r="G155" s="74">
        <v>1013381</v>
      </c>
      <c r="H155" s="74">
        <v>1013381</v>
      </c>
      <c r="I155" s="74" t="s">
        <v>648</v>
      </c>
      <c r="J155" s="74">
        <v>54255838</v>
      </c>
      <c r="K155" s="74">
        <v>29040703</v>
      </c>
      <c r="L155" s="74">
        <v>1030352</v>
      </c>
      <c r="M155" s="74">
        <v>37026</v>
      </c>
      <c r="N155" s="74">
        <v>5626134</v>
      </c>
      <c r="O155" s="74" t="s">
        <v>648</v>
      </c>
      <c r="P155" s="74">
        <v>15332506</v>
      </c>
      <c r="Q155" s="74">
        <v>1829574</v>
      </c>
      <c r="R155" s="76" t="s">
        <v>771</v>
      </c>
      <c r="S155" s="73"/>
      <c r="T155" s="73"/>
      <c r="U155" s="73"/>
      <c r="V155" s="73"/>
      <c r="W155" s="73"/>
      <c r="X155" s="73"/>
      <c r="Y155" s="73"/>
    </row>
    <row r="156" spans="1:25" s="74" customFormat="1" ht="10.5" customHeight="1" x14ac:dyDescent="0.15">
      <c r="A156" s="950"/>
      <c r="R156" s="76"/>
      <c r="S156" s="73"/>
      <c r="T156" s="73"/>
      <c r="U156" s="73"/>
      <c r="V156" s="73"/>
      <c r="W156" s="73"/>
      <c r="X156" s="73"/>
      <c r="Y156" s="73"/>
    </row>
    <row r="157" spans="1:25" s="74" customFormat="1" ht="10.5" customHeight="1" x14ac:dyDescent="0.15">
      <c r="A157" s="950" t="s">
        <v>772</v>
      </c>
      <c r="B157" s="74">
        <v>608144</v>
      </c>
      <c r="C157" s="74">
        <v>1008039</v>
      </c>
      <c r="D157" s="74" t="s">
        <v>648</v>
      </c>
      <c r="E157" s="74">
        <v>545328</v>
      </c>
      <c r="F157" s="74" t="s">
        <v>648</v>
      </c>
      <c r="G157" s="74">
        <v>209273</v>
      </c>
      <c r="H157" s="74">
        <v>158460</v>
      </c>
      <c r="I157" s="74">
        <v>50813</v>
      </c>
      <c r="J157" s="74">
        <v>9765548</v>
      </c>
      <c r="K157" s="74">
        <v>4547056</v>
      </c>
      <c r="L157" s="74">
        <v>158413</v>
      </c>
      <c r="M157" s="74" t="s">
        <v>648</v>
      </c>
      <c r="N157" s="74">
        <v>1031611</v>
      </c>
      <c r="O157" s="74" t="s">
        <v>648</v>
      </c>
      <c r="P157" s="74">
        <v>3253197</v>
      </c>
      <c r="Q157" s="74">
        <v>535163</v>
      </c>
      <c r="R157" s="76" t="s">
        <v>674</v>
      </c>
      <c r="S157" s="73"/>
      <c r="T157" s="73"/>
      <c r="U157" s="73"/>
      <c r="V157" s="73"/>
      <c r="W157" s="73"/>
      <c r="X157" s="73"/>
      <c r="Y157" s="73"/>
    </row>
    <row r="158" spans="1:25" s="74" customFormat="1" ht="10.5" customHeight="1" x14ac:dyDescent="0.15">
      <c r="A158" s="950" t="s">
        <v>773</v>
      </c>
      <c r="B158" s="74">
        <v>466766</v>
      </c>
      <c r="C158" s="74">
        <v>1635158</v>
      </c>
      <c r="D158" s="74" t="s">
        <v>648</v>
      </c>
      <c r="E158" s="74">
        <v>156838</v>
      </c>
      <c r="F158" s="74">
        <v>77197</v>
      </c>
      <c r="G158" s="74">
        <v>158912</v>
      </c>
      <c r="H158" s="74">
        <v>158912</v>
      </c>
      <c r="I158" s="74" t="s">
        <v>648</v>
      </c>
      <c r="J158" s="74">
        <v>12701624</v>
      </c>
      <c r="K158" s="74">
        <v>7147719</v>
      </c>
      <c r="L158" s="74">
        <v>238361</v>
      </c>
      <c r="M158" s="74" t="s">
        <v>648</v>
      </c>
      <c r="N158" s="74">
        <v>1016064</v>
      </c>
      <c r="O158" s="74" t="s">
        <v>648</v>
      </c>
      <c r="P158" s="74">
        <v>3723314</v>
      </c>
      <c r="Q158" s="74">
        <v>417098</v>
      </c>
      <c r="R158" s="76" t="s">
        <v>92</v>
      </c>
      <c r="S158" s="73"/>
      <c r="T158" s="73"/>
      <c r="U158" s="73"/>
      <c r="V158" s="73"/>
      <c r="W158" s="73"/>
      <c r="X158" s="73"/>
      <c r="Y158" s="73"/>
    </row>
    <row r="159" spans="1:25" s="74" customFormat="1" ht="10.5" customHeight="1" x14ac:dyDescent="0.15">
      <c r="A159" s="950" t="s">
        <v>774</v>
      </c>
      <c r="B159" s="74">
        <v>463623</v>
      </c>
      <c r="C159" s="74">
        <v>1320369</v>
      </c>
      <c r="D159" s="74" t="s">
        <v>648</v>
      </c>
      <c r="E159" s="74" t="s">
        <v>648</v>
      </c>
      <c r="F159" s="74">
        <v>77854</v>
      </c>
      <c r="G159" s="74">
        <v>298301</v>
      </c>
      <c r="H159" s="74">
        <v>298301</v>
      </c>
      <c r="I159" s="74" t="s">
        <v>648</v>
      </c>
      <c r="J159" s="74">
        <v>13637119</v>
      </c>
      <c r="K159" s="74">
        <v>7823604</v>
      </c>
      <c r="L159" s="74">
        <v>237610</v>
      </c>
      <c r="M159" s="74">
        <v>37026</v>
      </c>
      <c r="N159" s="74">
        <v>1264707</v>
      </c>
      <c r="O159" s="74" t="s">
        <v>648</v>
      </c>
      <c r="P159" s="74">
        <v>3465247</v>
      </c>
      <c r="Q159" s="74">
        <v>399992</v>
      </c>
      <c r="R159" s="76" t="s">
        <v>93</v>
      </c>
      <c r="S159" s="73"/>
      <c r="T159" s="73"/>
      <c r="U159" s="73"/>
      <c r="V159" s="73"/>
      <c r="W159" s="73"/>
      <c r="X159" s="73"/>
      <c r="Y159" s="73"/>
    </row>
    <row r="160" spans="1:25" s="74" customFormat="1" ht="10.5" customHeight="1" x14ac:dyDescent="0.15">
      <c r="A160" s="950" t="s">
        <v>801</v>
      </c>
      <c r="B160" s="74">
        <v>544259</v>
      </c>
      <c r="C160" s="74">
        <v>627285</v>
      </c>
      <c r="D160" s="74" t="s">
        <v>648</v>
      </c>
      <c r="E160" s="74" t="s">
        <v>648</v>
      </c>
      <c r="F160" s="74" t="s">
        <v>648</v>
      </c>
      <c r="G160" s="74">
        <v>158658</v>
      </c>
      <c r="H160" s="74">
        <v>158658</v>
      </c>
      <c r="I160" s="74" t="s">
        <v>648</v>
      </c>
      <c r="J160" s="74">
        <v>14532591</v>
      </c>
      <c r="K160" s="74">
        <v>7310682</v>
      </c>
      <c r="L160" s="74">
        <v>316954</v>
      </c>
      <c r="M160" s="74" t="s">
        <v>648</v>
      </c>
      <c r="N160" s="74">
        <v>1594631</v>
      </c>
      <c r="O160" s="74" t="s">
        <v>648</v>
      </c>
      <c r="P160" s="74">
        <v>4300312</v>
      </c>
      <c r="Q160" s="74">
        <v>541237</v>
      </c>
      <c r="R160" s="76" t="s">
        <v>94</v>
      </c>
      <c r="S160" s="73"/>
      <c r="T160" s="73"/>
      <c r="U160" s="73"/>
      <c r="V160" s="73"/>
      <c r="W160" s="73"/>
      <c r="X160" s="73"/>
      <c r="Y160" s="73"/>
    </row>
    <row r="161" spans="1:25" s="74" customFormat="1" ht="10.5" customHeight="1" x14ac:dyDescent="0.15">
      <c r="A161" s="950" t="s">
        <v>809</v>
      </c>
      <c r="B161" s="74">
        <v>855805</v>
      </c>
      <c r="C161" s="74">
        <v>1082708</v>
      </c>
      <c r="D161" s="74" t="s">
        <v>648</v>
      </c>
      <c r="E161" s="74" t="s">
        <v>648</v>
      </c>
      <c r="F161" s="74" t="s">
        <v>648</v>
      </c>
      <c r="G161" s="74">
        <v>397510</v>
      </c>
      <c r="H161" s="74">
        <v>397510</v>
      </c>
      <c r="I161" s="74" t="s">
        <v>648</v>
      </c>
      <c r="J161" s="74">
        <v>13384504</v>
      </c>
      <c r="K161" s="74">
        <v>6758698</v>
      </c>
      <c r="L161" s="74">
        <v>237427</v>
      </c>
      <c r="M161" s="74" t="s">
        <v>648</v>
      </c>
      <c r="N161" s="74">
        <v>1750732</v>
      </c>
      <c r="O161" s="74" t="s">
        <v>648</v>
      </c>
      <c r="P161" s="74">
        <v>3843633</v>
      </c>
      <c r="Q161" s="74">
        <v>471247</v>
      </c>
      <c r="R161" s="76" t="s">
        <v>777</v>
      </c>
      <c r="S161" s="73"/>
      <c r="T161" s="73"/>
      <c r="U161" s="73"/>
      <c r="V161" s="73"/>
      <c r="W161" s="73"/>
      <c r="X161" s="73"/>
      <c r="Y161" s="73"/>
    </row>
    <row r="162" spans="1:25" s="74" customFormat="1" ht="10.5" customHeight="1" x14ac:dyDescent="0.15">
      <c r="A162" s="950"/>
      <c r="R162" s="76"/>
      <c r="S162" s="73"/>
      <c r="T162" s="73"/>
      <c r="U162" s="73"/>
      <c r="V162" s="73"/>
      <c r="W162" s="73"/>
      <c r="X162" s="73"/>
      <c r="Y162" s="73"/>
    </row>
    <row r="163" spans="1:25" s="74" customFormat="1" ht="10.5" customHeight="1" x14ac:dyDescent="0.15">
      <c r="A163" s="950" t="s">
        <v>778</v>
      </c>
      <c r="B163" s="74">
        <v>230518</v>
      </c>
      <c r="C163" s="74">
        <v>204976</v>
      </c>
      <c r="D163" s="74" t="s">
        <v>648</v>
      </c>
      <c r="E163" s="74">
        <v>232343</v>
      </c>
      <c r="F163" s="74" t="s">
        <v>648</v>
      </c>
      <c r="G163" s="74">
        <v>209273</v>
      </c>
      <c r="H163" s="74">
        <v>158460</v>
      </c>
      <c r="I163" s="74">
        <v>50813</v>
      </c>
      <c r="J163" s="74">
        <v>3855400</v>
      </c>
      <c r="K163" s="74">
        <v>1778574</v>
      </c>
      <c r="L163" s="74">
        <v>47665</v>
      </c>
      <c r="M163" s="74" t="s">
        <v>648</v>
      </c>
      <c r="N163" s="74">
        <v>301306</v>
      </c>
      <c r="O163" s="74" t="s">
        <v>648</v>
      </c>
      <c r="P163" s="74">
        <v>1383760</v>
      </c>
      <c r="Q163" s="74">
        <v>263593</v>
      </c>
      <c r="R163" s="76" t="s">
        <v>675</v>
      </c>
      <c r="S163" s="73"/>
      <c r="T163" s="73"/>
      <c r="U163" s="73"/>
      <c r="V163" s="73"/>
      <c r="W163" s="73"/>
      <c r="X163" s="73"/>
      <c r="Y163" s="73"/>
    </row>
    <row r="164" spans="1:25" s="74" customFormat="1" ht="10.5" customHeight="1" x14ac:dyDescent="0.15">
      <c r="A164" s="950" t="s">
        <v>779</v>
      </c>
      <c r="B164" s="74">
        <v>226178</v>
      </c>
      <c r="C164" s="74">
        <v>306337</v>
      </c>
      <c r="D164" s="74" t="s">
        <v>648</v>
      </c>
      <c r="E164" s="74">
        <v>155965</v>
      </c>
      <c r="F164" s="74" t="s">
        <v>648</v>
      </c>
      <c r="G164" s="74" t="s">
        <v>648</v>
      </c>
      <c r="H164" s="74" t="s">
        <v>648</v>
      </c>
      <c r="I164" s="74" t="s">
        <v>648</v>
      </c>
      <c r="J164" s="74">
        <v>2980004</v>
      </c>
      <c r="K164" s="74">
        <v>1450571</v>
      </c>
      <c r="L164" s="74">
        <v>31547</v>
      </c>
      <c r="M164" s="74" t="s">
        <v>648</v>
      </c>
      <c r="N164" s="74">
        <v>556261</v>
      </c>
      <c r="O164" s="74" t="s">
        <v>648</v>
      </c>
      <c r="P164" s="74">
        <v>827238</v>
      </c>
      <c r="Q164" s="74">
        <v>63881</v>
      </c>
      <c r="R164" s="76" t="s">
        <v>80</v>
      </c>
      <c r="S164" s="73"/>
      <c r="T164" s="73"/>
      <c r="U164" s="73"/>
      <c r="V164" s="73"/>
      <c r="W164" s="73"/>
      <c r="X164" s="73"/>
      <c r="Y164" s="73"/>
    </row>
    <row r="165" spans="1:25" s="74" customFormat="1" ht="10.5" customHeight="1" x14ac:dyDescent="0.15">
      <c r="A165" s="950" t="s">
        <v>780</v>
      </c>
      <c r="B165" s="74">
        <v>151448</v>
      </c>
      <c r="C165" s="74">
        <v>496726</v>
      </c>
      <c r="D165" s="74" t="s">
        <v>648</v>
      </c>
      <c r="E165" s="74">
        <v>157020</v>
      </c>
      <c r="F165" s="74" t="s">
        <v>648</v>
      </c>
      <c r="G165" s="74" t="s">
        <v>648</v>
      </c>
      <c r="H165" s="74" t="s">
        <v>648</v>
      </c>
      <c r="I165" s="74" t="s">
        <v>648</v>
      </c>
      <c r="J165" s="74">
        <v>2930144</v>
      </c>
      <c r="K165" s="74">
        <v>1317911</v>
      </c>
      <c r="L165" s="74">
        <v>79201</v>
      </c>
      <c r="M165" s="74" t="s">
        <v>648</v>
      </c>
      <c r="N165" s="74">
        <v>174044</v>
      </c>
      <c r="O165" s="74" t="s">
        <v>648</v>
      </c>
      <c r="P165" s="74">
        <v>1042199</v>
      </c>
      <c r="Q165" s="74">
        <v>207689</v>
      </c>
      <c r="R165" s="76" t="s">
        <v>81</v>
      </c>
      <c r="S165" s="73"/>
      <c r="T165" s="73"/>
      <c r="U165" s="73"/>
      <c r="V165" s="73"/>
      <c r="W165" s="73"/>
      <c r="X165" s="73"/>
      <c r="Y165" s="73"/>
    </row>
    <row r="166" spans="1:25" s="74" customFormat="1" ht="10.5" customHeight="1" x14ac:dyDescent="0.15">
      <c r="A166" s="950" t="s">
        <v>781</v>
      </c>
      <c r="B166" s="74">
        <v>76079</v>
      </c>
      <c r="C166" s="74">
        <v>535159</v>
      </c>
      <c r="D166" s="74" t="s">
        <v>648</v>
      </c>
      <c r="E166" s="74">
        <v>78417</v>
      </c>
      <c r="F166" s="74">
        <v>77197</v>
      </c>
      <c r="G166" s="74" t="s">
        <v>648</v>
      </c>
      <c r="H166" s="74" t="s">
        <v>648</v>
      </c>
      <c r="I166" s="74" t="s">
        <v>648</v>
      </c>
      <c r="J166" s="74">
        <v>4978364</v>
      </c>
      <c r="K166" s="74">
        <v>3148104</v>
      </c>
      <c r="L166" s="74">
        <v>79492</v>
      </c>
      <c r="M166" s="74" t="s">
        <v>648</v>
      </c>
      <c r="N166" s="74">
        <v>368726</v>
      </c>
      <c r="O166" s="74" t="s">
        <v>648</v>
      </c>
      <c r="P166" s="74">
        <v>1225694</v>
      </c>
      <c r="Q166" s="74">
        <v>143391</v>
      </c>
      <c r="R166" s="76" t="s">
        <v>82</v>
      </c>
      <c r="S166" s="73"/>
      <c r="T166" s="73"/>
      <c r="U166" s="73"/>
      <c r="V166" s="73"/>
      <c r="W166" s="73"/>
      <c r="X166" s="73"/>
      <c r="Y166" s="73"/>
    </row>
    <row r="167" spans="1:25" s="74" customFormat="1" ht="10.5" customHeight="1" x14ac:dyDescent="0.15">
      <c r="A167" s="950" t="s">
        <v>782</v>
      </c>
      <c r="B167" s="74">
        <v>233776</v>
      </c>
      <c r="C167" s="74">
        <v>631151</v>
      </c>
      <c r="D167" s="74" t="s">
        <v>648</v>
      </c>
      <c r="E167" s="74">
        <v>78421</v>
      </c>
      <c r="F167" s="74" t="s">
        <v>648</v>
      </c>
      <c r="G167" s="74">
        <v>79477</v>
      </c>
      <c r="H167" s="74">
        <v>79477</v>
      </c>
      <c r="I167" s="74" t="s">
        <v>648</v>
      </c>
      <c r="J167" s="74">
        <v>4633979</v>
      </c>
      <c r="K167" s="74">
        <v>2279587</v>
      </c>
      <c r="L167" s="74">
        <v>79361</v>
      </c>
      <c r="M167" s="74" t="s">
        <v>648</v>
      </c>
      <c r="N167" s="74">
        <v>449368</v>
      </c>
      <c r="O167" s="74" t="s">
        <v>648</v>
      </c>
      <c r="P167" s="74">
        <v>1617291</v>
      </c>
      <c r="Q167" s="74">
        <v>130210</v>
      </c>
      <c r="R167" s="77" t="s">
        <v>95</v>
      </c>
      <c r="S167" s="73"/>
      <c r="T167" s="73"/>
      <c r="U167" s="73"/>
      <c r="V167" s="73"/>
      <c r="W167" s="73"/>
      <c r="X167" s="73"/>
      <c r="Y167" s="73"/>
    </row>
    <row r="168" spans="1:25" s="74" customFormat="1" ht="10.5" customHeight="1" x14ac:dyDescent="0.15">
      <c r="A168" s="950" t="s">
        <v>783</v>
      </c>
      <c r="B168" s="74">
        <v>156911</v>
      </c>
      <c r="C168" s="74">
        <v>468848</v>
      </c>
      <c r="D168" s="74" t="s">
        <v>648</v>
      </c>
      <c r="E168" s="74" t="s">
        <v>648</v>
      </c>
      <c r="F168" s="74" t="s">
        <v>648</v>
      </c>
      <c r="G168" s="74">
        <v>79435</v>
      </c>
      <c r="H168" s="74">
        <v>79435</v>
      </c>
      <c r="I168" s="74" t="s">
        <v>648</v>
      </c>
      <c r="J168" s="74">
        <v>3089281</v>
      </c>
      <c r="K168" s="74">
        <v>1720028</v>
      </c>
      <c r="L168" s="74">
        <v>79508</v>
      </c>
      <c r="M168" s="74" t="s">
        <v>648</v>
      </c>
      <c r="N168" s="74">
        <v>197970</v>
      </c>
      <c r="O168" s="74" t="s">
        <v>648</v>
      </c>
      <c r="P168" s="74">
        <v>880329</v>
      </c>
      <c r="Q168" s="74">
        <v>143497</v>
      </c>
      <c r="R168" s="76" t="s">
        <v>96</v>
      </c>
      <c r="S168" s="73"/>
      <c r="T168" s="73"/>
      <c r="U168" s="73"/>
      <c r="V168" s="73"/>
      <c r="W168" s="73"/>
      <c r="X168" s="73"/>
      <c r="Y168" s="73"/>
    </row>
    <row r="169" spans="1:25" s="74" customFormat="1" ht="10.5" customHeight="1" x14ac:dyDescent="0.15">
      <c r="A169" s="950" t="s">
        <v>784</v>
      </c>
      <c r="B169" s="74">
        <v>76136</v>
      </c>
      <c r="C169" s="74">
        <v>528264</v>
      </c>
      <c r="D169" s="74" t="s">
        <v>648</v>
      </c>
      <c r="E169" s="74" t="s">
        <v>648</v>
      </c>
      <c r="F169" s="74">
        <v>77854</v>
      </c>
      <c r="G169" s="74">
        <v>60337</v>
      </c>
      <c r="H169" s="74">
        <v>60337</v>
      </c>
      <c r="I169" s="74" t="s">
        <v>648</v>
      </c>
      <c r="J169" s="74">
        <v>4032446</v>
      </c>
      <c r="K169" s="74">
        <v>2284006</v>
      </c>
      <c r="L169" s="74">
        <v>79177</v>
      </c>
      <c r="M169" s="74" t="s">
        <v>648</v>
      </c>
      <c r="N169" s="74">
        <v>328444</v>
      </c>
      <c r="O169" s="74" t="s">
        <v>648</v>
      </c>
      <c r="P169" s="74">
        <v>1134088</v>
      </c>
      <c r="Q169" s="74">
        <v>128268</v>
      </c>
      <c r="R169" s="76" t="s">
        <v>97</v>
      </c>
      <c r="S169" s="73"/>
      <c r="T169" s="73"/>
      <c r="U169" s="73"/>
      <c r="V169" s="73"/>
      <c r="W169" s="73"/>
      <c r="X169" s="73"/>
      <c r="Y169" s="73"/>
    </row>
    <row r="170" spans="1:25" s="74" customFormat="1" ht="10.5" customHeight="1" x14ac:dyDescent="0.15">
      <c r="A170" s="950" t="s">
        <v>806</v>
      </c>
      <c r="B170" s="74">
        <v>116219</v>
      </c>
      <c r="C170" s="74">
        <v>438442</v>
      </c>
      <c r="D170" s="74" t="s">
        <v>648</v>
      </c>
      <c r="E170" s="74" t="s">
        <v>648</v>
      </c>
      <c r="F170" s="74" t="s">
        <v>648</v>
      </c>
      <c r="G170" s="74">
        <v>158576</v>
      </c>
      <c r="H170" s="74">
        <v>158576</v>
      </c>
      <c r="I170" s="74" t="s">
        <v>648</v>
      </c>
      <c r="J170" s="74">
        <v>5337094</v>
      </c>
      <c r="K170" s="74">
        <v>2997532</v>
      </c>
      <c r="L170" s="74">
        <v>79038</v>
      </c>
      <c r="M170" s="74" t="s">
        <v>648</v>
      </c>
      <c r="N170" s="74">
        <v>430957</v>
      </c>
      <c r="O170" s="74" t="s">
        <v>648</v>
      </c>
      <c r="P170" s="74">
        <v>1436977</v>
      </c>
      <c r="Q170" s="74">
        <v>141224</v>
      </c>
      <c r="R170" s="76" t="s">
        <v>98</v>
      </c>
      <c r="S170" s="73"/>
      <c r="T170" s="73"/>
      <c r="U170" s="73"/>
      <c r="V170" s="73"/>
      <c r="W170" s="73"/>
      <c r="X170" s="73"/>
      <c r="Y170" s="73"/>
    </row>
    <row r="171" spans="1:25" s="74" customFormat="1" ht="10.5" customHeight="1" x14ac:dyDescent="0.15">
      <c r="A171" s="950" t="s">
        <v>786</v>
      </c>
      <c r="B171" s="74">
        <v>271268</v>
      </c>
      <c r="C171" s="74">
        <v>353663</v>
      </c>
      <c r="D171" s="74" t="s">
        <v>648</v>
      </c>
      <c r="E171" s="74" t="s">
        <v>648</v>
      </c>
      <c r="F171" s="74" t="s">
        <v>648</v>
      </c>
      <c r="G171" s="74">
        <v>79388</v>
      </c>
      <c r="H171" s="74">
        <v>79388</v>
      </c>
      <c r="I171" s="74" t="s">
        <v>648</v>
      </c>
      <c r="J171" s="74">
        <v>4267579</v>
      </c>
      <c r="K171" s="74">
        <v>2542066</v>
      </c>
      <c r="L171" s="74">
        <v>79395</v>
      </c>
      <c r="M171" s="74">
        <v>37026</v>
      </c>
      <c r="N171" s="74">
        <v>505306</v>
      </c>
      <c r="O171" s="74" t="s">
        <v>648</v>
      </c>
      <c r="P171" s="74">
        <v>894182</v>
      </c>
      <c r="Q171" s="74">
        <v>130500</v>
      </c>
      <c r="R171" s="76" t="s">
        <v>99</v>
      </c>
      <c r="S171" s="73"/>
      <c r="T171" s="73"/>
      <c r="U171" s="73"/>
      <c r="V171" s="73"/>
      <c r="W171" s="73"/>
      <c r="X171" s="73"/>
      <c r="Y171" s="73"/>
    </row>
    <row r="172" spans="1:25" s="74" customFormat="1" ht="10.5" customHeight="1" x14ac:dyDescent="0.15">
      <c r="A172" s="950" t="s">
        <v>807</v>
      </c>
      <c r="B172" s="74">
        <v>82063</v>
      </c>
      <c r="C172" s="74">
        <v>158505</v>
      </c>
      <c r="D172" s="74" t="s">
        <v>648</v>
      </c>
      <c r="E172" s="74" t="s">
        <v>648</v>
      </c>
      <c r="F172" s="74" t="s">
        <v>648</v>
      </c>
      <c r="G172" s="74">
        <v>79219</v>
      </c>
      <c r="H172" s="74">
        <v>79219</v>
      </c>
      <c r="I172" s="74" t="s">
        <v>648</v>
      </c>
      <c r="J172" s="74">
        <v>4059858</v>
      </c>
      <c r="K172" s="74">
        <v>2585913</v>
      </c>
      <c r="L172" s="74">
        <v>158137</v>
      </c>
      <c r="M172" s="74" t="s">
        <v>648</v>
      </c>
      <c r="N172" s="74">
        <v>287364</v>
      </c>
      <c r="O172" s="74" t="s">
        <v>648</v>
      </c>
      <c r="P172" s="74">
        <v>787785</v>
      </c>
      <c r="Q172" s="74">
        <v>137139</v>
      </c>
      <c r="R172" s="76" t="s">
        <v>83</v>
      </c>
      <c r="S172" s="73"/>
      <c r="T172" s="73"/>
      <c r="U172" s="73"/>
      <c r="V172" s="73"/>
      <c r="W172" s="73"/>
      <c r="X172" s="73"/>
      <c r="Y172" s="73"/>
    </row>
    <row r="173" spans="1:25" s="74" customFormat="1" ht="10.5" customHeight="1" x14ac:dyDescent="0.15">
      <c r="A173" s="950" t="s">
        <v>788</v>
      </c>
      <c r="B173" s="74">
        <v>214248</v>
      </c>
      <c r="C173" s="74">
        <v>134841</v>
      </c>
      <c r="D173" s="74" t="s">
        <v>648</v>
      </c>
      <c r="E173" s="74" t="s">
        <v>648</v>
      </c>
      <c r="F173" s="74" t="s">
        <v>648</v>
      </c>
      <c r="G173" s="74" t="s">
        <v>648</v>
      </c>
      <c r="H173" s="74" t="s">
        <v>648</v>
      </c>
      <c r="I173" s="74" t="s">
        <v>648</v>
      </c>
      <c r="J173" s="74">
        <v>5068300</v>
      </c>
      <c r="K173" s="74">
        <v>2394881</v>
      </c>
      <c r="L173" s="74">
        <v>79537</v>
      </c>
      <c r="M173" s="74" t="s">
        <v>648</v>
      </c>
      <c r="N173" s="74">
        <v>791378</v>
      </c>
      <c r="O173" s="74" t="s">
        <v>648</v>
      </c>
      <c r="P173" s="74">
        <v>1338454</v>
      </c>
      <c r="Q173" s="74">
        <v>129773</v>
      </c>
      <c r="R173" s="76" t="s">
        <v>84</v>
      </c>
      <c r="S173" s="73"/>
      <c r="T173" s="73"/>
      <c r="U173" s="73"/>
      <c r="V173" s="73"/>
      <c r="W173" s="73"/>
      <c r="X173" s="73"/>
      <c r="Y173" s="73"/>
    </row>
    <row r="174" spans="1:25" s="74" customFormat="1" ht="10.5" customHeight="1" x14ac:dyDescent="0.15">
      <c r="A174" s="950" t="s">
        <v>789</v>
      </c>
      <c r="B174" s="74">
        <v>247948</v>
      </c>
      <c r="C174" s="74">
        <v>333939</v>
      </c>
      <c r="D174" s="74" t="s">
        <v>648</v>
      </c>
      <c r="E174" s="74" t="s">
        <v>648</v>
      </c>
      <c r="F174" s="74" t="s">
        <v>648</v>
      </c>
      <c r="G174" s="74">
        <v>79439</v>
      </c>
      <c r="H174" s="74">
        <v>79439</v>
      </c>
      <c r="I174" s="74" t="s">
        <v>648</v>
      </c>
      <c r="J174" s="74">
        <v>5404433</v>
      </c>
      <c r="K174" s="74">
        <v>2329888</v>
      </c>
      <c r="L174" s="74">
        <v>79280</v>
      </c>
      <c r="M174" s="74" t="s">
        <v>648</v>
      </c>
      <c r="N174" s="74">
        <v>515889</v>
      </c>
      <c r="O174" s="74" t="s">
        <v>648</v>
      </c>
      <c r="P174" s="74">
        <v>2174073</v>
      </c>
      <c r="Q174" s="74">
        <v>274325</v>
      </c>
      <c r="R174" s="76" t="s">
        <v>85</v>
      </c>
      <c r="S174" s="73"/>
      <c r="T174" s="73"/>
      <c r="U174" s="73"/>
      <c r="V174" s="73"/>
      <c r="W174" s="73"/>
      <c r="X174" s="73"/>
      <c r="Y174" s="73"/>
    </row>
    <row r="175" spans="1:25" s="74" customFormat="1" ht="10.5" customHeight="1" x14ac:dyDescent="0.15">
      <c r="A175" s="950" t="s">
        <v>790</v>
      </c>
      <c r="B175" s="74">
        <v>226525</v>
      </c>
      <c r="C175" s="74">
        <v>313003</v>
      </c>
      <c r="D175" s="74" t="s">
        <v>648</v>
      </c>
      <c r="E175" s="74" t="s">
        <v>648</v>
      </c>
      <c r="F175" s="74" t="s">
        <v>648</v>
      </c>
      <c r="G175" s="74">
        <v>79355</v>
      </c>
      <c r="H175" s="74">
        <v>79355</v>
      </c>
      <c r="I175" s="74" t="s">
        <v>648</v>
      </c>
      <c r="J175" s="74">
        <v>4052584</v>
      </c>
      <c r="K175" s="74">
        <v>2226450</v>
      </c>
      <c r="L175" s="74">
        <v>78833</v>
      </c>
      <c r="M175" s="74" t="s">
        <v>648</v>
      </c>
      <c r="N175" s="74">
        <v>582080</v>
      </c>
      <c r="O175" s="74" t="s">
        <v>648</v>
      </c>
      <c r="P175" s="74">
        <v>985430</v>
      </c>
      <c r="Q175" s="74">
        <v>143541</v>
      </c>
      <c r="R175" s="76" t="s">
        <v>791</v>
      </c>
      <c r="S175" s="73"/>
      <c r="T175" s="73"/>
      <c r="U175" s="73"/>
      <c r="V175" s="73"/>
      <c r="W175" s="73"/>
      <c r="X175" s="73"/>
      <c r="Y175" s="73"/>
    </row>
    <row r="176" spans="1:25" s="74" customFormat="1" ht="10.5" customHeight="1" x14ac:dyDescent="0.15">
      <c r="A176" s="950" t="s">
        <v>792</v>
      </c>
      <c r="B176" s="74">
        <v>236972</v>
      </c>
      <c r="C176" s="74">
        <v>313659</v>
      </c>
      <c r="D176" s="74" t="s">
        <v>648</v>
      </c>
      <c r="E176" s="74" t="s">
        <v>648</v>
      </c>
      <c r="F176" s="74" t="s">
        <v>648</v>
      </c>
      <c r="G176" s="74">
        <v>79411</v>
      </c>
      <c r="H176" s="74">
        <v>79411</v>
      </c>
      <c r="I176" s="74" t="s">
        <v>648</v>
      </c>
      <c r="J176" s="74">
        <v>3917366</v>
      </c>
      <c r="K176" s="74">
        <v>2007925</v>
      </c>
      <c r="L176" s="74">
        <v>79211</v>
      </c>
      <c r="M176" s="74" t="s">
        <v>648</v>
      </c>
      <c r="N176" s="74">
        <v>413271</v>
      </c>
      <c r="O176" s="74" t="s">
        <v>648</v>
      </c>
      <c r="P176" s="74">
        <v>1332059</v>
      </c>
      <c r="Q176" s="74">
        <v>53366</v>
      </c>
      <c r="R176" s="76" t="s">
        <v>80</v>
      </c>
      <c r="S176" s="73"/>
      <c r="T176" s="73"/>
      <c r="U176" s="73"/>
      <c r="V176" s="73"/>
      <c r="W176" s="73"/>
      <c r="X176" s="73"/>
      <c r="Y176" s="73"/>
    </row>
    <row r="177" spans="1:25" s="74" customFormat="1" ht="10.5" customHeight="1" x14ac:dyDescent="0.15">
      <c r="A177" s="951" t="s">
        <v>793</v>
      </c>
      <c r="B177" s="78">
        <v>392308</v>
      </c>
      <c r="C177" s="79">
        <v>456046</v>
      </c>
      <c r="D177" s="79" t="s">
        <v>648</v>
      </c>
      <c r="E177" s="79" t="s">
        <v>648</v>
      </c>
      <c r="F177" s="79" t="s">
        <v>648</v>
      </c>
      <c r="G177" s="79">
        <v>238744</v>
      </c>
      <c r="H177" s="79">
        <v>238744</v>
      </c>
      <c r="I177" s="79" t="s">
        <v>648</v>
      </c>
      <c r="J177" s="79">
        <v>5414554</v>
      </c>
      <c r="K177" s="79">
        <v>2524323</v>
      </c>
      <c r="L177" s="79">
        <v>79383</v>
      </c>
      <c r="M177" s="79" t="s">
        <v>648</v>
      </c>
      <c r="N177" s="79">
        <v>755381</v>
      </c>
      <c r="O177" s="79" t="s">
        <v>648</v>
      </c>
      <c r="P177" s="79">
        <v>1526144</v>
      </c>
      <c r="Q177" s="79">
        <v>274340</v>
      </c>
      <c r="R177" s="80" t="s">
        <v>81</v>
      </c>
      <c r="S177" s="73"/>
      <c r="T177" s="73"/>
      <c r="U177" s="73"/>
      <c r="V177" s="73"/>
      <c r="W177" s="73"/>
      <c r="X177" s="73"/>
      <c r="Y177" s="73"/>
    </row>
    <row r="178" spans="1:25" ht="23.25" customHeight="1" x14ac:dyDescent="0.35">
      <c r="I178" s="81" t="s">
        <v>100</v>
      </c>
    </row>
    <row r="179" spans="1:25" s="21" customFormat="1" ht="11.25" customHeight="1" x14ac:dyDescent="0.15">
      <c r="A179" s="66"/>
      <c r="B179" s="82" t="s">
        <v>101</v>
      </c>
      <c r="C179" s="66"/>
      <c r="D179" s="37"/>
      <c r="E179" s="68"/>
      <c r="F179" s="68"/>
      <c r="G179" s="68"/>
      <c r="H179" s="68"/>
      <c r="I179" s="68"/>
      <c r="J179" s="66"/>
      <c r="K179" s="37"/>
      <c r="L179" s="68"/>
      <c r="M179" s="68"/>
      <c r="N179" s="68"/>
      <c r="O179" s="68"/>
      <c r="P179" s="68"/>
      <c r="Q179" s="68"/>
      <c r="R179" s="1063" t="s">
        <v>86</v>
      </c>
      <c r="S179" s="19"/>
      <c r="T179" s="19"/>
      <c r="U179" s="19"/>
      <c r="V179" s="19"/>
      <c r="W179" s="19"/>
      <c r="X179" s="19"/>
      <c r="Y179" s="19"/>
    </row>
    <row r="180" spans="1:25" s="69" customFormat="1" ht="28.5" customHeight="1" x14ac:dyDescent="0.2">
      <c r="A180" s="35" t="s">
        <v>194</v>
      </c>
      <c r="B180" s="953" t="s">
        <v>836</v>
      </c>
      <c r="C180" s="14" t="s">
        <v>680</v>
      </c>
      <c r="D180" s="16" t="s">
        <v>103</v>
      </c>
      <c r="E180" s="14" t="s">
        <v>161</v>
      </c>
      <c r="F180" s="904" t="s">
        <v>167</v>
      </c>
      <c r="G180" s="20"/>
      <c r="H180" s="20"/>
      <c r="I180" s="20"/>
      <c r="J180" s="84"/>
      <c r="K180" s="16" t="s">
        <v>105</v>
      </c>
      <c r="L180" s="14" t="s">
        <v>555</v>
      </c>
      <c r="M180" s="904" t="s">
        <v>168</v>
      </c>
      <c r="N180" s="20"/>
      <c r="O180" s="20"/>
      <c r="P180" s="20"/>
      <c r="Q180" s="20"/>
      <c r="R180" s="1064"/>
      <c r="S180" s="15"/>
      <c r="T180" s="15"/>
      <c r="U180" s="15"/>
      <c r="V180" s="15"/>
      <c r="W180" s="15"/>
      <c r="X180" s="15"/>
      <c r="Y180" s="15"/>
    </row>
    <row r="181" spans="1:25" s="69" customFormat="1" ht="28.5" customHeight="1" x14ac:dyDescent="0.2">
      <c r="A181" s="35"/>
      <c r="B181" s="14" t="s">
        <v>495</v>
      </c>
      <c r="C181" s="14" t="s">
        <v>837</v>
      </c>
      <c r="D181" s="16" t="s">
        <v>109</v>
      </c>
      <c r="E181" s="14" t="s">
        <v>166</v>
      </c>
      <c r="F181" s="16" t="s">
        <v>70</v>
      </c>
      <c r="G181" s="14" t="s">
        <v>170</v>
      </c>
      <c r="H181" s="14" t="s">
        <v>171</v>
      </c>
      <c r="I181" s="14" t="s">
        <v>172</v>
      </c>
      <c r="J181" s="14" t="s">
        <v>838</v>
      </c>
      <c r="K181" s="16" t="s">
        <v>173</v>
      </c>
      <c r="L181" s="14" t="s">
        <v>556</v>
      </c>
      <c r="M181" s="16" t="s">
        <v>68</v>
      </c>
      <c r="N181" s="14" t="s">
        <v>472</v>
      </c>
      <c r="O181" s="14" t="s">
        <v>197</v>
      </c>
      <c r="P181" s="14" t="s">
        <v>839</v>
      </c>
      <c r="Q181" s="904" t="s">
        <v>474</v>
      </c>
      <c r="R181" s="1064"/>
      <c r="S181" s="15"/>
      <c r="T181" s="15"/>
      <c r="U181" s="15"/>
      <c r="V181" s="15"/>
      <c r="W181" s="15"/>
      <c r="X181" s="15"/>
      <c r="Y181" s="15"/>
    </row>
    <row r="182" spans="1:25" s="69" customFormat="1" ht="12" customHeight="1" x14ac:dyDescent="0.2">
      <c r="A182" s="36"/>
      <c r="B182" s="18" t="str">
        <f>PROPER("UMM-LULU")</f>
        <v>Umm-Lulu</v>
      </c>
      <c r="C182" s="18" t="str">
        <f>PROPER("SHABWA-B")</f>
        <v>Shabwa-B</v>
      </c>
      <c r="D182" s="18"/>
      <c r="E182" s="18" t="str">
        <f>PROPER("FORTIES")</f>
        <v>Forties</v>
      </c>
      <c r="F182" s="18"/>
      <c r="G182" s="18" t="str">
        <f>PROPER("SOKOL")</f>
        <v>Sokol</v>
      </c>
      <c r="H182" s="18" t="str">
        <f>PROPER("ESPO-B")</f>
        <v>Espo-B</v>
      </c>
      <c r="I182" s="18" t="str">
        <f>PROPER("SAKHAL-B")</f>
        <v>Sakhal-B</v>
      </c>
      <c r="J182" s="18" t="str">
        <f>PROPER("YAMAL-C")</f>
        <v>Yamal-C</v>
      </c>
      <c r="K182" s="18"/>
      <c r="L182" s="18" t="str">
        <f>PROPER("COLDLAKE")</f>
        <v>Coldlake</v>
      </c>
      <c r="M182" s="18"/>
      <c r="N182" s="18" t="str">
        <f>PROPER("WTIM")</f>
        <v>Wtim</v>
      </c>
      <c r="O182" s="18" t="str">
        <f>PROPER("EGL-FORD")</f>
        <v>Egl-Ford</v>
      </c>
      <c r="P182" s="18" t="str">
        <f>PROPER("SGC")</f>
        <v>Sgc</v>
      </c>
      <c r="Q182" s="17" t="str">
        <f>PROPER("MARS")</f>
        <v>Mars</v>
      </c>
      <c r="R182" s="1065"/>
      <c r="S182" s="15"/>
      <c r="T182" s="15"/>
      <c r="U182" s="15"/>
      <c r="V182" s="15"/>
      <c r="W182" s="15"/>
      <c r="X182" s="15"/>
      <c r="Y182" s="15"/>
    </row>
    <row r="183" spans="1:25" s="74" customFormat="1" ht="10.5" customHeight="1" x14ac:dyDescent="0.15">
      <c r="A183" s="949" t="s">
        <v>840</v>
      </c>
      <c r="B183" s="70" t="s">
        <v>648</v>
      </c>
      <c r="C183" s="71" t="s">
        <v>648</v>
      </c>
      <c r="D183" s="71">
        <v>10705375</v>
      </c>
      <c r="E183" s="71">
        <v>96599</v>
      </c>
      <c r="F183" s="71">
        <v>10608776</v>
      </c>
      <c r="G183" s="71">
        <v>3050987</v>
      </c>
      <c r="H183" s="71">
        <v>5266176</v>
      </c>
      <c r="I183" s="71">
        <v>2291613</v>
      </c>
      <c r="J183" s="71" t="s">
        <v>648</v>
      </c>
      <c r="K183" s="71">
        <v>1813492</v>
      </c>
      <c r="L183" s="71" t="s">
        <v>648</v>
      </c>
      <c r="M183" s="71">
        <v>1813492</v>
      </c>
      <c r="N183" s="71">
        <v>631839</v>
      </c>
      <c r="O183" s="71">
        <v>244890</v>
      </c>
      <c r="P183" s="71">
        <v>278372</v>
      </c>
      <c r="Q183" s="71">
        <v>641793</v>
      </c>
      <c r="R183" s="72" t="s">
        <v>464</v>
      </c>
      <c r="S183" s="73"/>
      <c r="T183" s="73"/>
      <c r="U183" s="73"/>
      <c r="V183" s="73"/>
      <c r="W183" s="73"/>
      <c r="X183" s="73"/>
      <c r="Y183" s="73"/>
    </row>
    <row r="184" spans="1:25" s="74" customFormat="1" ht="10.5" customHeight="1" x14ac:dyDescent="0.15">
      <c r="A184" s="950" t="s">
        <v>841</v>
      </c>
      <c r="B184" s="74" t="s">
        <v>648</v>
      </c>
      <c r="C184" s="74">
        <v>83352</v>
      </c>
      <c r="D184" s="74">
        <v>7869542</v>
      </c>
      <c r="E184" s="74" t="s">
        <v>648</v>
      </c>
      <c r="F184" s="74">
        <v>7869542</v>
      </c>
      <c r="G184" s="74">
        <v>3146103</v>
      </c>
      <c r="H184" s="74">
        <v>3105191</v>
      </c>
      <c r="I184" s="74">
        <v>1569607</v>
      </c>
      <c r="J184" s="74">
        <v>48641</v>
      </c>
      <c r="K184" s="74">
        <v>3016747</v>
      </c>
      <c r="L184" s="74" t="s">
        <v>648</v>
      </c>
      <c r="M184" s="74">
        <v>3016747</v>
      </c>
      <c r="N184" s="74">
        <v>1767392</v>
      </c>
      <c r="O184" s="74">
        <v>403532</v>
      </c>
      <c r="P184" s="74">
        <v>292853</v>
      </c>
      <c r="Q184" s="74">
        <v>317783</v>
      </c>
      <c r="R184" s="76" t="s">
        <v>489</v>
      </c>
      <c r="S184" s="73"/>
      <c r="T184" s="73"/>
      <c r="U184" s="73"/>
      <c r="V184" s="73"/>
      <c r="W184" s="73"/>
      <c r="X184" s="73"/>
      <c r="Y184" s="73"/>
    </row>
    <row r="185" spans="1:25" s="74" customFormat="1" ht="10.5" customHeight="1" x14ac:dyDescent="0.15">
      <c r="A185" s="950" t="s">
        <v>765</v>
      </c>
      <c r="B185" s="74">
        <v>772690</v>
      </c>
      <c r="C185" s="74" t="s">
        <v>648</v>
      </c>
      <c r="D185" s="74">
        <v>8915306</v>
      </c>
      <c r="E185" s="74" t="s">
        <v>648</v>
      </c>
      <c r="F185" s="74">
        <v>8915306</v>
      </c>
      <c r="G185" s="74">
        <v>4377964</v>
      </c>
      <c r="H185" s="74">
        <v>2854377</v>
      </c>
      <c r="I185" s="74">
        <v>1682965</v>
      </c>
      <c r="J185" s="74" t="s">
        <v>648</v>
      </c>
      <c r="K185" s="74">
        <v>3739047</v>
      </c>
      <c r="L185" s="74">
        <v>47092</v>
      </c>
      <c r="M185" s="74">
        <v>3691955</v>
      </c>
      <c r="N185" s="74">
        <v>2769318</v>
      </c>
      <c r="O185" s="74">
        <v>661738</v>
      </c>
      <c r="P185" s="74" t="s">
        <v>648</v>
      </c>
      <c r="Q185" s="74">
        <v>158298</v>
      </c>
      <c r="R185" s="76" t="s">
        <v>549</v>
      </c>
      <c r="S185" s="73"/>
      <c r="T185" s="73"/>
      <c r="U185" s="73"/>
      <c r="V185" s="73"/>
      <c r="W185" s="73"/>
      <c r="X185" s="73"/>
      <c r="Y185" s="73"/>
    </row>
    <row r="186" spans="1:25" s="74" customFormat="1" ht="10.5" customHeight="1" x14ac:dyDescent="0.15">
      <c r="A186" s="950" t="s">
        <v>842</v>
      </c>
      <c r="B186" s="74">
        <v>546287</v>
      </c>
      <c r="C186" s="74" t="s">
        <v>648</v>
      </c>
      <c r="D186" s="74">
        <v>4942885</v>
      </c>
      <c r="E186" s="74" t="s">
        <v>648</v>
      </c>
      <c r="F186" s="74">
        <v>4942885</v>
      </c>
      <c r="G186" s="74">
        <v>2012019</v>
      </c>
      <c r="H186" s="74">
        <v>2241690</v>
      </c>
      <c r="I186" s="74">
        <v>689176</v>
      </c>
      <c r="J186" s="74" t="s">
        <v>648</v>
      </c>
      <c r="K186" s="74">
        <v>1094794</v>
      </c>
      <c r="L186" s="74" t="s">
        <v>648</v>
      </c>
      <c r="M186" s="74">
        <v>1094794</v>
      </c>
      <c r="N186" s="74">
        <v>712543</v>
      </c>
      <c r="O186" s="74" t="s">
        <v>648</v>
      </c>
      <c r="P186" s="74" t="s">
        <v>648</v>
      </c>
      <c r="Q186" s="74">
        <v>240225</v>
      </c>
      <c r="R186" s="76" t="s">
        <v>672</v>
      </c>
      <c r="S186" s="73"/>
      <c r="T186" s="73"/>
      <c r="U186" s="73"/>
      <c r="V186" s="73"/>
      <c r="W186" s="73"/>
      <c r="X186" s="73"/>
      <c r="Y186" s="73"/>
    </row>
    <row r="187" spans="1:25" s="74" customFormat="1" ht="10.5" customHeight="1" x14ac:dyDescent="0.15">
      <c r="A187" s="950" t="s">
        <v>767</v>
      </c>
      <c r="B187" s="74">
        <v>1276884</v>
      </c>
      <c r="C187" s="74" t="s">
        <v>648</v>
      </c>
      <c r="D187" s="74">
        <v>5183041</v>
      </c>
      <c r="E187" s="74">
        <v>10</v>
      </c>
      <c r="F187" s="74">
        <v>5183031</v>
      </c>
      <c r="G187" s="74">
        <v>1797812</v>
      </c>
      <c r="H187" s="74">
        <v>2932700</v>
      </c>
      <c r="I187" s="74">
        <v>452519</v>
      </c>
      <c r="J187" s="74" t="s">
        <v>648</v>
      </c>
      <c r="K187" s="74">
        <v>469328</v>
      </c>
      <c r="L187" s="74" t="s">
        <v>648</v>
      </c>
      <c r="M187" s="74">
        <v>469328</v>
      </c>
      <c r="N187" s="74">
        <v>82295</v>
      </c>
      <c r="O187" s="74">
        <v>223881</v>
      </c>
      <c r="P187" s="74" t="s">
        <v>648</v>
      </c>
      <c r="Q187" s="74">
        <v>163092</v>
      </c>
      <c r="R187" s="76" t="s">
        <v>768</v>
      </c>
      <c r="S187" s="73"/>
      <c r="T187" s="73"/>
      <c r="U187" s="73"/>
      <c r="V187" s="73"/>
      <c r="W187" s="73"/>
      <c r="X187" s="73"/>
      <c r="Y187" s="73"/>
    </row>
    <row r="188" spans="1:25" s="74" customFormat="1" ht="10.5" customHeight="1" x14ac:dyDescent="0.15">
      <c r="A188" s="950"/>
      <c r="R188" s="76"/>
      <c r="S188" s="73"/>
      <c r="T188" s="73"/>
      <c r="U188" s="73"/>
      <c r="V188" s="73"/>
      <c r="W188" s="73"/>
      <c r="X188" s="73"/>
      <c r="Y188" s="73"/>
    </row>
    <row r="189" spans="1:25" s="74" customFormat="1" ht="10.5" customHeight="1" x14ac:dyDescent="0.15">
      <c r="A189" s="950" t="s">
        <v>843</v>
      </c>
      <c r="B189" s="74">
        <v>708436</v>
      </c>
      <c r="C189" s="74" t="s">
        <v>648</v>
      </c>
      <c r="D189" s="74">
        <v>4884632</v>
      </c>
      <c r="E189" s="74" t="s">
        <v>648</v>
      </c>
      <c r="F189" s="74">
        <v>4884632</v>
      </c>
      <c r="G189" s="74">
        <v>1902701</v>
      </c>
      <c r="H189" s="74">
        <v>2471037</v>
      </c>
      <c r="I189" s="74">
        <v>510894</v>
      </c>
      <c r="J189" s="74" t="s">
        <v>648</v>
      </c>
      <c r="K189" s="74">
        <v>968924</v>
      </c>
      <c r="L189" s="74" t="s">
        <v>648</v>
      </c>
      <c r="M189" s="74">
        <v>968924</v>
      </c>
      <c r="N189" s="74">
        <v>494628</v>
      </c>
      <c r="O189" s="74" t="s">
        <v>648</v>
      </c>
      <c r="P189" s="74" t="s">
        <v>648</v>
      </c>
      <c r="Q189" s="74">
        <v>403317</v>
      </c>
      <c r="R189" s="76" t="s">
        <v>673</v>
      </c>
      <c r="S189" s="73"/>
      <c r="T189" s="73"/>
      <c r="U189" s="73"/>
      <c r="V189" s="73"/>
      <c r="W189" s="73"/>
      <c r="X189" s="73"/>
      <c r="Y189" s="73"/>
    </row>
    <row r="190" spans="1:25" s="74" customFormat="1" ht="10.5" customHeight="1" x14ac:dyDescent="0.15">
      <c r="A190" s="950" t="s">
        <v>800</v>
      </c>
      <c r="B190" s="74">
        <v>1359543</v>
      </c>
      <c r="C190" s="74" t="s">
        <v>648</v>
      </c>
      <c r="D190" s="74">
        <v>5423606</v>
      </c>
      <c r="E190" s="74">
        <v>10</v>
      </c>
      <c r="F190" s="74">
        <v>5423596</v>
      </c>
      <c r="G190" s="74">
        <v>1685893</v>
      </c>
      <c r="H190" s="74">
        <v>3282611</v>
      </c>
      <c r="I190" s="74">
        <v>455092</v>
      </c>
      <c r="J190" s="74" t="s">
        <v>648</v>
      </c>
      <c r="K190" s="74">
        <v>223941</v>
      </c>
      <c r="L190" s="74" t="s">
        <v>648</v>
      </c>
      <c r="M190" s="74">
        <v>223941</v>
      </c>
      <c r="N190" s="74" t="s">
        <v>648</v>
      </c>
      <c r="O190" s="74">
        <v>223881</v>
      </c>
      <c r="P190" s="74" t="s">
        <v>648</v>
      </c>
      <c r="Q190" s="74" t="s">
        <v>648</v>
      </c>
      <c r="R190" s="76" t="s">
        <v>771</v>
      </c>
      <c r="S190" s="73"/>
      <c r="T190" s="73"/>
      <c r="U190" s="73"/>
      <c r="V190" s="73"/>
      <c r="W190" s="73"/>
      <c r="X190" s="73"/>
      <c r="Y190" s="73"/>
    </row>
    <row r="191" spans="1:25" s="74" customFormat="1" ht="10.5" customHeight="1" x14ac:dyDescent="0.15">
      <c r="A191" s="950"/>
      <c r="R191" s="76"/>
      <c r="S191" s="73"/>
      <c r="T191" s="73"/>
      <c r="U191" s="73"/>
      <c r="V191" s="73"/>
      <c r="W191" s="73"/>
      <c r="X191" s="73"/>
      <c r="Y191" s="73"/>
    </row>
    <row r="192" spans="1:25" s="74" customFormat="1" ht="10.5" customHeight="1" x14ac:dyDescent="0.15">
      <c r="A192" s="950" t="s">
        <v>772</v>
      </c>
      <c r="B192" s="74">
        <v>240108</v>
      </c>
      <c r="C192" s="74" t="s">
        <v>648</v>
      </c>
      <c r="D192" s="74">
        <v>1316769</v>
      </c>
      <c r="E192" s="74" t="s">
        <v>648</v>
      </c>
      <c r="F192" s="74">
        <v>1316769</v>
      </c>
      <c r="G192" s="74">
        <v>560208</v>
      </c>
      <c r="H192" s="74">
        <v>588248</v>
      </c>
      <c r="I192" s="74">
        <v>168313</v>
      </c>
      <c r="J192" s="74" t="s">
        <v>648</v>
      </c>
      <c r="K192" s="74">
        <v>245387</v>
      </c>
      <c r="L192" s="74" t="s">
        <v>648</v>
      </c>
      <c r="M192" s="74">
        <v>245387</v>
      </c>
      <c r="N192" s="74">
        <v>82295</v>
      </c>
      <c r="O192" s="74" t="s">
        <v>648</v>
      </c>
      <c r="P192" s="74" t="s">
        <v>648</v>
      </c>
      <c r="Q192" s="74">
        <v>163092</v>
      </c>
      <c r="R192" s="76" t="s">
        <v>674</v>
      </c>
      <c r="S192" s="73"/>
      <c r="T192" s="73"/>
      <c r="U192" s="73"/>
      <c r="V192" s="73"/>
      <c r="W192" s="73"/>
      <c r="X192" s="73"/>
      <c r="Y192" s="73"/>
    </row>
    <row r="193" spans="1:25" s="74" customFormat="1" ht="10.5" customHeight="1" x14ac:dyDescent="0.15">
      <c r="A193" s="950" t="s">
        <v>844</v>
      </c>
      <c r="B193" s="74">
        <v>159068</v>
      </c>
      <c r="C193" s="74" t="s">
        <v>648</v>
      </c>
      <c r="D193" s="74">
        <v>1437283</v>
      </c>
      <c r="E193" s="74" t="s">
        <v>648</v>
      </c>
      <c r="F193" s="74">
        <v>1437283</v>
      </c>
      <c r="G193" s="74">
        <v>563941</v>
      </c>
      <c r="H193" s="74">
        <v>705502</v>
      </c>
      <c r="I193" s="74">
        <v>167840</v>
      </c>
      <c r="J193" s="74" t="s">
        <v>648</v>
      </c>
      <c r="K193" s="74">
        <v>112614</v>
      </c>
      <c r="L193" s="74" t="s">
        <v>648</v>
      </c>
      <c r="M193" s="74">
        <v>112614</v>
      </c>
      <c r="N193" s="74" t="s">
        <v>648</v>
      </c>
      <c r="O193" s="74">
        <v>112614</v>
      </c>
      <c r="P193" s="74" t="s">
        <v>648</v>
      </c>
      <c r="Q193" s="74" t="s">
        <v>648</v>
      </c>
      <c r="R193" s="76" t="s">
        <v>92</v>
      </c>
      <c r="S193" s="73"/>
      <c r="T193" s="73"/>
      <c r="U193" s="73"/>
      <c r="V193" s="73"/>
      <c r="W193" s="73"/>
      <c r="X193" s="73"/>
      <c r="Y193" s="73"/>
    </row>
    <row r="194" spans="1:25" s="74" customFormat="1" ht="10.5" customHeight="1" x14ac:dyDescent="0.15">
      <c r="A194" s="950" t="s">
        <v>774</v>
      </c>
      <c r="B194" s="74">
        <v>408933</v>
      </c>
      <c r="C194" s="74" t="s">
        <v>648</v>
      </c>
      <c r="D194" s="74">
        <v>573078</v>
      </c>
      <c r="E194" s="74" t="s">
        <v>648</v>
      </c>
      <c r="F194" s="74">
        <v>573078</v>
      </c>
      <c r="G194" s="74">
        <v>225600</v>
      </c>
      <c r="H194" s="74">
        <v>347478</v>
      </c>
      <c r="I194" s="74" t="s">
        <v>648</v>
      </c>
      <c r="J194" s="74" t="s">
        <v>648</v>
      </c>
      <c r="K194" s="74">
        <v>111267</v>
      </c>
      <c r="L194" s="74" t="s">
        <v>648</v>
      </c>
      <c r="M194" s="74">
        <v>111267</v>
      </c>
      <c r="N194" s="74" t="s">
        <v>648</v>
      </c>
      <c r="O194" s="74">
        <v>111267</v>
      </c>
      <c r="P194" s="74" t="s">
        <v>648</v>
      </c>
      <c r="Q194" s="74" t="s">
        <v>648</v>
      </c>
      <c r="R194" s="76" t="s">
        <v>93</v>
      </c>
      <c r="S194" s="73"/>
      <c r="T194" s="73"/>
      <c r="U194" s="73"/>
      <c r="V194" s="73"/>
      <c r="W194" s="73"/>
      <c r="X194" s="73"/>
      <c r="Y194" s="73"/>
    </row>
    <row r="195" spans="1:25" s="74" customFormat="1" ht="10.5" customHeight="1" x14ac:dyDescent="0.15">
      <c r="A195" s="950" t="s">
        <v>801</v>
      </c>
      <c r="B195" s="74">
        <v>468775</v>
      </c>
      <c r="C195" s="74" t="s">
        <v>648</v>
      </c>
      <c r="D195" s="74">
        <v>1855911</v>
      </c>
      <c r="E195" s="74">
        <v>10</v>
      </c>
      <c r="F195" s="74">
        <v>1855901</v>
      </c>
      <c r="G195" s="74">
        <v>448063</v>
      </c>
      <c r="H195" s="74">
        <v>1291472</v>
      </c>
      <c r="I195" s="74">
        <v>116366</v>
      </c>
      <c r="J195" s="74" t="s">
        <v>648</v>
      </c>
      <c r="K195" s="74">
        <v>60</v>
      </c>
      <c r="L195" s="74" t="s">
        <v>648</v>
      </c>
      <c r="M195" s="74">
        <v>60</v>
      </c>
      <c r="N195" s="74" t="s">
        <v>648</v>
      </c>
      <c r="O195" s="74" t="s">
        <v>648</v>
      </c>
      <c r="P195" s="74" t="s">
        <v>648</v>
      </c>
      <c r="Q195" s="74" t="s">
        <v>648</v>
      </c>
      <c r="R195" s="76" t="s">
        <v>94</v>
      </c>
      <c r="S195" s="73"/>
      <c r="T195" s="73"/>
      <c r="U195" s="73"/>
      <c r="V195" s="73"/>
      <c r="W195" s="73"/>
      <c r="X195" s="73"/>
      <c r="Y195" s="73"/>
    </row>
    <row r="196" spans="1:25" s="74" customFormat="1" ht="10.5" customHeight="1" x14ac:dyDescent="0.15">
      <c r="A196" s="950" t="s">
        <v>845</v>
      </c>
      <c r="B196" s="74">
        <v>322767</v>
      </c>
      <c r="C196" s="74" t="s">
        <v>648</v>
      </c>
      <c r="D196" s="74">
        <v>1557334</v>
      </c>
      <c r="E196" s="74" t="s">
        <v>648</v>
      </c>
      <c r="F196" s="74">
        <v>1557334</v>
      </c>
      <c r="G196" s="74">
        <v>448289</v>
      </c>
      <c r="H196" s="74">
        <v>938159</v>
      </c>
      <c r="I196" s="74">
        <v>170886</v>
      </c>
      <c r="J196" s="74" t="s">
        <v>648</v>
      </c>
      <c r="K196" s="74" t="s">
        <v>648</v>
      </c>
      <c r="L196" s="74" t="s">
        <v>648</v>
      </c>
      <c r="M196" s="74" t="s">
        <v>648</v>
      </c>
      <c r="N196" s="74" t="s">
        <v>648</v>
      </c>
      <c r="O196" s="74" t="s">
        <v>648</v>
      </c>
      <c r="P196" s="74" t="s">
        <v>648</v>
      </c>
      <c r="Q196" s="74" t="s">
        <v>648</v>
      </c>
      <c r="R196" s="76" t="s">
        <v>777</v>
      </c>
      <c r="S196" s="73"/>
      <c r="T196" s="73"/>
      <c r="U196" s="73"/>
      <c r="V196" s="73"/>
      <c r="W196" s="73"/>
      <c r="X196" s="73"/>
      <c r="Y196" s="73"/>
    </row>
    <row r="197" spans="1:25" s="74" customFormat="1" ht="10.5" customHeight="1" x14ac:dyDescent="0.15">
      <c r="A197" s="950"/>
      <c r="R197" s="76"/>
      <c r="S197" s="73"/>
      <c r="T197" s="73"/>
      <c r="U197" s="73"/>
      <c r="V197" s="73"/>
      <c r="W197" s="73"/>
      <c r="X197" s="73"/>
      <c r="Y197" s="73"/>
    </row>
    <row r="198" spans="1:25" s="74" customFormat="1" ht="10.5" customHeight="1" x14ac:dyDescent="0.15">
      <c r="A198" s="950" t="s">
        <v>846</v>
      </c>
      <c r="B198" s="74">
        <v>80502</v>
      </c>
      <c r="C198" s="74" t="s">
        <v>648</v>
      </c>
      <c r="D198" s="74">
        <v>366677</v>
      </c>
      <c r="E198" s="74" t="s">
        <v>648</v>
      </c>
      <c r="F198" s="74">
        <v>366677</v>
      </c>
      <c r="G198" s="74">
        <v>224233</v>
      </c>
      <c r="H198" s="74">
        <v>117497</v>
      </c>
      <c r="I198" s="74">
        <v>24947</v>
      </c>
      <c r="J198" s="74" t="s">
        <v>648</v>
      </c>
      <c r="K198" s="74">
        <v>82295</v>
      </c>
      <c r="L198" s="74" t="s">
        <v>648</v>
      </c>
      <c r="M198" s="74">
        <v>82295</v>
      </c>
      <c r="N198" s="74">
        <v>82295</v>
      </c>
      <c r="O198" s="74" t="s">
        <v>648</v>
      </c>
      <c r="P198" s="74" t="s">
        <v>648</v>
      </c>
      <c r="Q198" s="74" t="s">
        <v>648</v>
      </c>
      <c r="R198" s="76" t="s">
        <v>675</v>
      </c>
      <c r="S198" s="73"/>
      <c r="T198" s="73"/>
      <c r="U198" s="73"/>
      <c r="V198" s="73"/>
      <c r="W198" s="73"/>
      <c r="X198" s="73"/>
      <c r="Y198" s="73"/>
    </row>
    <row r="199" spans="1:25" s="74" customFormat="1" ht="10.5" customHeight="1" x14ac:dyDescent="0.15">
      <c r="A199" s="950" t="s">
        <v>847</v>
      </c>
      <c r="B199" s="74">
        <v>50506</v>
      </c>
      <c r="C199" s="74" t="s">
        <v>648</v>
      </c>
      <c r="D199" s="74">
        <v>315259</v>
      </c>
      <c r="E199" s="74" t="s">
        <v>648</v>
      </c>
      <c r="F199" s="74">
        <v>315259</v>
      </c>
      <c r="G199" s="74">
        <v>223922</v>
      </c>
      <c r="H199" s="74" t="s">
        <v>648</v>
      </c>
      <c r="I199" s="74">
        <v>91337</v>
      </c>
      <c r="J199" s="74" t="s">
        <v>648</v>
      </c>
      <c r="K199" s="74" t="s">
        <v>648</v>
      </c>
      <c r="L199" s="74" t="s">
        <v>648</v>
      </c>
      <c r="M199" s="74" t="s">
        <v>648</v>
      </c>
      <c r="N199" s="74" t="s">
        <v>648</v>
      </c>
      <c r="O199" s="74" t="s">
        <v>648</v>
      </c>
      <c r="P199" s="74" t="s">
        <v>648</v>
      </c>
      <c r="Q199" s="74" t="s">
        <v>648</v>
      </c>
      <c r="R199" s="76" t="s">
        <v>80</v>
      </c>
      <c r="S199" s="73"/>
      <c r="T199" s="73"/>
      <c r="U199" s="73"/>
      <c r="V199" s="73"/>
      <c r="W199" s="73"/>
      <c r="X199" s="73"/>
      <c r="Y199" s="73"/>
    </row>
    <row r="200" spans="1:25" s="74" customFormat="1" ht="10.5" customHeight="1" x14ac:dyDescent="0.15">
      <c r="A200" s="950" t="s">
        <v>780</v>
      </c>
      <c r="B200" s="74">
        <v>109100</v>
      </c>
      <c r="C200" s="74" t="s">
        <v>648</v>
      </c>
      <c r="D200" s="74">
        <v>634833</v>
      </c>
      <c r="E200" s="74" t="s">
        <v>648</v>
      </c>
      <c r="F200" s="74">
        <v>634833</v>
      </c>
      <c r="G200" s="74">
        <v>112053</v>
      </c>
      <c r="H200" s="74">
        <v>470751</v>
      </c>
      <c r="I200" s="74">
        <v>52029</v>
      </c>
      <c r="J200" s="74" t="s">
        <v>648</v>
      </c>
      <c r="K200" s="74">
        <v>163092</v>
      </c>
      <c r="L200" s="74" t="s">
        <v>648</v>
      </c>
      <c r="M200" s="74">
        <v>163092</v>
      </c>
      <c r="N200" s="74" t="s">
        <v>648</v>
      </c>
      <c r="O200" s="74" t="s">
        <v>648</v>
      </c>
      <c r="P200" s="74" t="s">
        <v>648</v>
      </c>
      <c r="Q200" s="74">
        <v>163092</v>
      </c>
      <c r="R200" s="76" t="s">
        <v>81</v>
      </c>
      <c r="S200" s="73"/>
      <c r="T200" s="73"/>
      <c r="U200" s="73"/>
      <c r="V200" s="73"/>
      <c r="W200" s="73"/>
      <c r="X200" s="73"/>
      <c r="Y200" s="73"/>
    </row>
    <row r="201" spans="1:25" s="74" customFormat="1" ht="10.5" customHeight="1" x14ac:dyDescent="0.15">
      <c r="A201" s="950" t="s">
        <v>848</v>
      </c>
      <c r="B201" s="74">
        <v>12957</v>
      </c>
      <c r="C201" s="74" t="s">
        <v>648</v>
      </c>
      <c r="D201" s="74">
        <v>406721</v>
      </c>
      <c r="E201" s="74" t="s">
        <v>648</v>
      </c>
      <c r="F201" s="74">
        <v>406721</v>
      </c>
      <c r="G201" s="74">
        <v>224801</v>
      </c>
      <c r="H201" s="74">
        <v>117614</v>
      </c>
      <c r="I201" s="74">
        <v>64306</v>
      </c>
      <c r="J201" s="74" t="s">
        <v>648</v>
      </c>
      <c r="K201" s="74">
        <v>112614</v>
      </c>
      <c r="L201" s="74" t="s">
        <v>648</v>
      </c>
      <c r="M201" s="74">
        <v>112614</v>
      </c>
      <c r="N201" s="74" t="s">
        <v>648</v>
      </c>
      <c r="O201" s="74">
        <v>112614</v>
      </c>
      <c r="P201" s="74" t="s">
        <v>648</v>
      </c>
      <c r="Q201" s="74" t="s">
        <v>648</v>
      </c>
      <c r="R201" s="76" t="s">
        <v>82</v>
      </c>
      <c r="S201" s="73"/>
      <c r="T201" s="73"/>
      <c r="U201" s="73"/>
      <c r="V201" s="73"/>
      <c r="W201" s="73"/>
      <c r="X201" s="73"/>
      <c r="Y201" s="73"/>
    </row>
    <row r="202" spans="1:25" s="74" customFormat="1" ht="10.5" customHeight="1" x14ac:dyDescent="0.15">
      <c r="A202" s="950" t="s">
        <v>782</v>
      </c>
      <c r="B202" s="74">
        <v>78162</v>
      </c>
      <c r="C202" s="74" t="s">
        <v>648</v>
      </c>
      <c r="D202" s="74">
        <v>696531</v>
      </c>
      <c r="E202" s="74" t="s">
        <v>648</v>
      </c>
      <c r="F202" s="74">
        <v>696531</v>
      </c>
      <c r="G202" s="74">
        <v>226108</v>
      </c>
      <c r="H202" s="74">
        <v>470423</v>
      </c>
      <c r="I202" s="74" t="s">
        <v>648</v>
      </c>
      <c r="J202" s="74" t="s">
        <v>648</v>
      </c>
      <c r="K202" s="74" t="s">
        <v>648</v>
      </c>
      <c r="L202" s="74" t="s">
        <v>648</v>
      </c>
      <c r="M202" s="74" t="s">
        <v>648</v>
      </c>
      <c r="N202" s="74" t="s">
        <v>648</v>
      </c>
      <c r="O202" s="74" t="s">
        <v>648</v>
      </c>
      <c r="P202" s="74" t="s">
        <v>648</v>
      </c>
      <c r="Q202" s="74" t="s">
        <v>648</v>
      </c>
      <c r="R202" s="77" t="s">
        <v>95</v>
      </c>
      <c r="S202" s="73"/>
      <c r="T202" s="73"/>
      <c r="U202" s="73"/>
      <c r="V202" s="73"/>
      <c r="W202" s="73"/>
      <c r="X202" s="73"/>
      <c r="Y202" s="73"/>
    </row>
    <row r="203" spans="1:25" s="74" customFormat="1" ht="10.5" customHeight="1" x14ac:dyDescent="0.15">
      <c r="A203" s="950" t="s">
        <v>849</v>
      </c>
      <c r="B203" s="74">
        <v>67949</v>
      </c>
      <c r="C203" s="74" t="s">
        <v>648</v>
      </c>
      <c r="D203" s="74">
        <v>334031</v>
      </c>
      <c r="E203" s="74" t="s">
        <v>648</v>
      </c>
      <c r="F203" s="74">
        <v>334031</v>
      </c>
      <c r="G203" s="74">
        <v>113032</v>
      </c>
      <c r="H203" s="74">
        <v>117465</v>
      </c>
      <c r="I203" s="74">
        <v>103534</v>
      </c>
      <c r="J203" s="74" t="s">
        <v>648</v>
      </c>
      <c r="K203" s="74" t="s">
        <v>648</v>
      </c>
      <c r="L203" s="74" t="s">
        <v>648</v>
      </c>
      <c r="M203" s="74" t="s">
        <v>648</v>
      </c>
      <c r="N203" s="74" t="s">
        <v>648</v>
      </c>
      <c r="O203" s="74" t="s">
        <v>648</v>
      </c>
      <c r="P203" s="74" t="s">
        <v>648</v>
      </c>
      <c r="Q203" s="74" t="s">
        <v>648</v>
      </c>
      <c r="R203" s="76" t="s">
        <v>96</v>
      </c>
      <c r="S203" s="73"/>
      <c r="T203" s="73"/>
      <c r="U203" s="73"/>
      <c r="V203" s="73"/>
      <c r="W203" s="73"/>
      <c r="X203" s="73"/>
      <c r="Y203" s="73"/>
    </row>
    <row r="204" spans="1:25" s="74" customFormat="1" ht="10.5" customHeight="1" x14ac:dyDescent="0.15">
      <c r="A204" s="950" t="s">
        <v>850</v>
      </c>
      <c r="B204" s="74">
        <v>78463</v>
      </c>
      <c r="C204" s="74" t="s">
        <v>648</v>
      </c>
      <c r="D204" s="74">
        <v>70514</v>
      </c>
      <c r="E204" s="74" t="s">
        <v>648</v>
      </c>
      <c r="F204" s="74">
        <v>70514</v>
      </c>
      <c r="G204" s="74" t="s">
        <v>648</v>
      </c>
      <c r="H204" s="74">
        <v>70514</v>
      </c>
      <c r="I204" s="74" t="s">
        <v>648</v>
      </c>
      <c r="J204" s="74" t="s">
        <v>648</v>
      </c>
      <c r="K204" s="74" t="s">
        <v>648</v>
      </c>
      <c r="L204" s="74" t="s">
        <v>648</v>
      </c>
      <c r="M204" s="74" t="s">
        <v>648</v>
      </c>
      <c r="N204" s="74" t="s">
        <v>648</v>
      </c>
      <c r="O204" s="74" t="s">
        <v>648</v>
      </c>
      <c r="P204" s="74" t="s">
        <v>648</v>
      </c>
      <c r="Q204" s="74" t="s">
        <v>648</v>
      </c>
      <c r="R204" s="76" t="s">
        <v>97</v>
      </c>
      <c r="S204" s="73"/>
      <c r="T204" s="73"/>
      <c r="U204" s="73"/>
      <c r="V204" s="73"/>
      <c r="W204" s="73"/>
      <c r="X204" s="73"/>
      <c r="Y204" s="73"/>
    </row>
    <row r="205" spans="1:25" s="74" customFormat="1" ht="10.5" customHeight="1" x14ac:dyDescent="0.15">
      <c r="A205" s="950" t="s">
        <v>806</v>
      </c>
      <c r="B205" s="74">
        <v>251366</v>
      </c>
      <c r="C205" s="74" t="s">
        <v>648</v>
      </c>
      <c r="D205" s="74">
        <v>389696</v>
      </c>
      <c r="E205" s="74" t="s">
        <v>648</v>
      </c>
      <c r="F205" s="74">
        <v>389696</v>
      </c>
      <c r="G205" s="74">
        <v>112732</v>
      </c>
      <c r="H205" s="74">
        <v>276964</v>
      </c>
      <c r="I205" s="74" t="s">
        <v>648</v>
      </c>
      <c r="J205" s="74" t="s">
        <v>648</v>
      </c>
      <c r="K205" s="74">
        <v>111267</v>
      </c>
      <c r="L205" s="74" t="s">
        <v>648</v>
      </c>
      <c r="M205" s="74">
        <v>111267</v>
      </c>
      <c r="N205" s="74" t="s">
        <v>648</v>
      </c>
      <c r="O205" s="74">
        <v>111267</v>
      </c>
      <c r="P205" s="74" t="s">
        <v>648</v>
      </c>
      <c r="Q205" s="74" t="s">
        <v>648</v>
      </c>
      <c r="R205" s="76" t="s">
        <v>98</v>
      </c>
      <c r="S205" s="73"/>
      <c r="T205" s="73"/>
      <c r="U205" s="73"/>
      <c r="V205" s="73"/>
      <c r="W205" s="73"/>
      <c r="X205" s="73"/>
      <c r="Y205" s="73"/>
    </row>
    <row r="206" spans="1:25" s="74" customFormat="1" ht="10.5" customHeight="1" x14ac:dyDescent="0.15">
      <c r="A206" s="950" t="s">
        <v>786</v>
      </c>
      <c r="B206" s="74">
        <v>79104</v>
      </c>
      <c r="C206" s="74" t="s">
        <v>648</v>
      </c>
      <c r="D206" s="74">
        <v>112868</v>
      </c>
      <c r="E206" s="74" t="s">
        <v>648</v>
      </c>
      <c r="F206" s="74">
        <v>112868</v>
      </c>
      <c r="G206" s="74">
        <v>112868</v>
      </c>
      <c r="H206" s="74" t="s">
        <v>648</v>
      </c>
      <c r="I206" s="74" t="s">
        <v>648</v>
      </c>
      <c r="J206" s="74" t="s">
        <v>648</v>
      </c>
      <c r="K206" s="74" t="s">
        <v>648</v>
      </c>
      <c r="L206" s="74" t="s">
        <v>648</v>
      </c>
      <c r="M206" s="74" t="s">
        <v>648</v>
      </c>
      <c r="N206" s="74" t="s">
        <v>648</v>
      </c>
      <c r="O206" s="74" t="s">
        <v>648</v>
      </c>
      <c r="P206" s="74" t="s">
        <v>648</v>
      </c>
      <c r="Q206" s="74" t="s">
        <v>648</v>
      </c>
      <c r="R206" s="76" t="s">
        <v>99</v>
      </c>
      <c r="S206" s="73"/>
      <c r="T206" s="73"/>
      <c r="U206" s="73"/>
      <c r="V206" s="73"/>
      <c r="W206" s="73"/>
      <c r="X206" s="73"/>
      <c r="Y206" s="73"/>
    </row>
    <row r="207" spans="1:25" s="74" customFormat="1" ht="10.5" customHeight="1" x14ac:dyDescent="0.15">
      <c r="A207" s="950" t="s">
        <v>851</v>
      </c>
      <c r="B207" s="74">
        <v>103520</v>
      </c>
      <c r="C207" s="74" t="s">
        <v>648</v>
      </c>
      <c r="D207" s="74">
        <v>817477</v>
      </c>
      <c r="E207" s="74" t="s">
        <v>648</v>
      </c>
      <c r="F207" s="74">
        <v>817477</v>
      </c>
      <c r="G207" s="74">
        <v>112429</v>
      </c>
      <c r="H207" s="74">
        <v>705048</v>
      </c>
      <c r="I207" s="74" t="s">
        <v>648</v>
      </c>
      <c r="J207" s="74" t="s">
        <v>648</v>
      </c>
      <c r="K207" s="74" t="s">
        <v>648</v>
      </c>
      <c r="L207" s="74" t="s">
        <v>648</v>
      </c>
      <c r="M207" s="74" t="s">
        <v>648</v>
      </c>
      <c r="N207" s="74" t="s">
        <v>648</v>
      </c>
      <c r="O207" s="74" t="s">
        <v>648</v>
      </c>
      <c r="P207" s="74" t="s">
        <v>648</v>
      </c>
      <c r="Q207" s="74" t="s">
        <v>648</v>
      </c>
      <c r="R207" s="76" t="s">
        <v>83</v>
      </c>
      <c r="S207" s="73"/>
      <c r="T207" s="73"/>
      <c r="U207" s="73"/>
      <c r="V207" s="73"/>
      <c r="W207" s="73"/>
      <c r="X207" s="73"/>
      <c r="Y207" s="73"/>
    </row>
    <row r="208" spans="1:25" s="74" customFormat="1" ht="10.5" customHeight="1" x14ac:dyDescent="0.15">
      <c r="A208" s="950" t="s">
        <v>788</v>
      </c>
      <c r="B208" s="74">
        <v>334277</v>
      </c>
      <c r="C208" s="74" t="s">
        <v>648</v>
      </c>
      <c r="D208" s="74">
        <v>580720</v>
      </c>
      <c r="E208" s="74">
        <v>10</v>
      </c>
      <c r="F208" s="74">
        <v>580710</v>
      </c>
      <c r="G208" s="74">
        <v>111391</v>
      </c>
      <c r="H208" s="74">
        <v>469319</v>
      </c>
      <c r="I208" s="74" t="s">
        <v>648</v>
      </c>
      <c r="J208" s="74" t="s">
        <v>648</v>
      </c>
      <c r="K208" s="74">
        <v>60</v>
      </c>
      <c r="L208" s="74" t="s">
        <v>648</v>
      </c>
      <c r="M208" s="74">
        <v>60</v>
      </c>
      <c r="N208" s="74" t="s">
        <v>648</v>
      </c>
      <c r="O208" s="74" t="s">
        <v>648</v>
      </c>
      <c r="P208" s="74" t="s">
        <v>648</v>
      </c>
      <c r="Q208" s="74" t="s">
        <v>648</v>
      </c>
      <c r="R208" s="76" t="s">
        <v>84</v>
      </c>
      <c r="S208" s="73"/>
      <c r="T208" s="73"/>
      <c r="U208" s="73"/>
      <c r="V208" s="73"/>
      <c r="W208" s="73"/>
      <c r="X208" s="73"/>
      <c r="Y208" s="73"/>
    </row>
    <row r="209" spans="1:25" s="74" customFormat="1" ht="10.5" customHeight="1" x14ac:dyDescent="0.15">
      <c r="A209" s="950" t="s">
        <v>852</v>
      </c>
      <c r="B209" s="74">
        <v>30978</v>
      </c>
      <c r="C209" s="74" t="s">
        <v>648</v>
      </c>
      <c r="D209" s="74">
        <v>457714</v>
      </c>
      <c r="E209" s="74" t="s">
        <v>648</v>
      </c>
      <c r="F209" s="74">
        <v>457714</v>
      </c>
      <c r="G209" s="74">
        <v>224243</v>
      </c>
      <c r="H209" s="74">
        <v>117105</v>
      </c>
      <c r="I209" s="74">
        <v>116366</v>
      </c>
      <c r="J209" s="74" t="s">
        <v>648</v>
      </c>
      <c r="K209" s="74" t="s">
        <v>648</v>
      </c>
      <c r="L209" s="74" t="s">
        <v>648</v>
      </c>
      <c r="M209" s="74" t="s">
        <v>648</v>
      </c>
      <c r="N209" s="74" t="s">
        <v>648</v>
      </c>
      <c r="O209" s="74" t="s">
        <v>648</v>
      </c>
      <c r="P209" s="74" t="s">
        <v>648</v>
      </c>
      <c r="Q209" s="74" t="s">
        <v>648</v>
      </c>
      <c r="R209" s="76" t="s">
        <v>85</v>
      </c>
      <c r="S209" s="73"/>
      <c r="T209" s="73"/>
      <c r="U209" s="73"/>
      <c r="V209" s="73"/>
      <c r="W209" s="73"/>
      <c r="X209" s="73"/>
      <c r="Y209" s="73"/>
    </row>
    <row r="210" spans="1:25" s="74" customFormat="1" ht="10.5" customHeight="1" x14ac:dyDescent="0.15">
      <c r="A210" s="950" t="s">
        <v>790</v>
      </c>
      <c r="B210" s="74">
        <v>36250</v>
      </c>
      <c r="C210" s="74" t="s">
        <v>648</v>
      </c>
      <c r="D210" s="74">
        <v>578962</v>
      </c>
      <c r="E210" s="74" t="s">
        <v>648</v>
      </c>
      <c r="F210" s="74">
        <v>578962</v>
      </c>
      <c r="G210" s="74">
        <v>223919</v>
      </c>
      <c r="H210" s="74">
        <v>234175</v>
      </c>
      <c r="I210" s="74">
        <v>120868</v>
      </c>
      <c r="J210" s="74" t="s">
        <v>648</v>
      </c>
      <c r="K210" s="74" t="s">
        <v>648</v>
      </c>
      <c r="L210" s="74" t="s">
        <v>648</v>
      </c>
      <c r="M210" s="74" t="s">
        <v>648</v>
      </c>
      <c r="N210" s="74" t="s">
        <v>648</v>
      </c>
      <c r="O210" s="74" t="s">
        <v>648</v>
      </c>
      <c r="P210" s="74" t="s">
        <v>648</v>
      </c>
      <c r="Q210" s="74" t="s">
        <v>648</v>
      </c>
      <c r="R210" s="76" t="s">
        <v>791</v>
      </c>
      <c r="S210" s="73"/>
      <c r="T210" s="73"/>
      <c r="U210" s="73"/>
      <c r="V210" s="73"/>
      <c r="W210" s="73"/>
      <c r="X210" s="73"/>
      <c r="Y210" s="73"/>
    </row>
    <row r="211" spans="1:25" s="74" customFormat="1" ht="10.5" customHeight="1" x14ac:dyDescent="0.15">
      <c r="A211" s="950" t="s">
        <v>792</v>
      </c>
      <c r="B211" s="74">
        <v>31534</v>
      </c>
      <c r="C211" s="74" t="s">
        <v>648</v>
      </c>
      <c r="D211" s="74">
        <v>464346</v>
      </c>
      <c r="E211" s="74" t="s">
        <v>648</v>
      </c>
      <c r="F211" s="74">
        <v>464346</v>
      </c>
      <c r="G211" s="74">
        <v>112363</v>
      </c>
      <c r="H211" s="74">
        <v>351983</v>
      </c>
      <c r="I211" s="74" t="s">
        <v>648</v>
      </c>
      <c r="J211" s="74" t="s">
        <v>648</v>
      </c>
      <c r="K211" s="74" t="s">
        <v>648</v>
      </c>
      <c r="L211" s="74" t="s">
        <v>648</v>
      </c>
      <c r="M211" s="74" t="s">
        <v>648</v>
      </c>
      <c r="N211" s="74" t="s">
        <v>648</v>
      </c>
      <c r="O211" s="74" t="s">
        <v>648</v>
      </c>
      <c r="P211" s="74" t="s">
        <v>648</v>
      </c>
      <c r="Q211" s="74" t="s">
        <v>648</v>
      </c>
      <c r="R211" s="76" t="s">
        <v>80</v>
      </c>
      <c r="S211" s="73"/>
      <c r="T211" s="73"/>
      <c r="U211" s="73"/>
      <c r="V211" s="73"/>
      <c r="W211" s="73"/>
      <c r="X211" s="73"/>
      <c r="Y211" s="73"/>
    </row>
    <row r="212" spans="1:25" s="74" customFormat="1" ht="10.5" customHeight="1" x14ac:dyDescent="0.15">
      <c r="A212" s="951" t="s">
        <v>793</v>
      </c>
      <c r="B212" s="78">
        <v>254983</v>
      </c>
      <c r="C212" s="79" t="s">
        <v>648</v>
      </c>
      <c r="D212" s="79">
        <v>514026</v>
      </c>
      <c r="E212" s="79" t="s">
        <v>648</v>
      </c>
      <c r="F212" s="79">
        <v>514026</v>
      </c>
      <c r="G212" s="79">
        <v>112007</v>
      </c>
      <c r="H212" s="79">
        <v>352001</v>
      </c>
      <c r="I212" s="79">
        <v>50018</v>
      </c>
      <c r="J212" s="79" t="s">
        <v>648</v>
      </c>
      <c r="K212" s="79" t="s">
        <v>648</v>
      </c>
      <c r="L212" s="79" t="s">
        <v>648</v>
      </c>
      <c r="M212" s="79" t="s">
        <v>648</v>
      </c>
      <c r="N212" s="79" t="s">
        <v>648</v>
      </c>
      <c r="O212" s="79" t="s">
        <v>648</v>
      </c>
      <c r="P212" s="79" t="s">
        <v>648</v>
      </c>
      <c r="Q212" s="79" t="s">
        <v>648</v>
      </c>
      <c r="R212" s="80" t="s">
        <v>81</v>
      </c>
      <c r="S212" s="73"/>
      <c r="T212" s="73"/>
      <c r="U212" s="73"/>
      <c r="V212" s="73"/>
      <c r="W212" s="73"/>
      <c r="X212" s="73"/>
      <c r="Y212" s="73"/>
    </row>
    <row r="213" spans="1:25" ht="23.25" customHeight="1" x14ac:dyDescent="0.35">
      <c r="I213" s="81" t="s">
        <v>100</v>
      </c>
      <c r="Q213" s="83" t="s">
        <v>79</v>
      </c>
    </row>
    <row r="214" spans="1:25" s="21" customFormat="1" ht="11.25" customHeight="1" x14ac:dyDescent="0.15">
      <c r="A214" s="66"/>
      <c r="B214" s="82" t="s">
        <v>853</v>
      </c>
      <c r="C214" s="68"/>
      <c r="D214" s="68"/>
      <c r="E214" s="68"/>
      <c r="F214" s="66"/>
      <c r="G214" s="37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1063" t="s">
        <v>86</v>
      </c>
      <c r="S214" s="19"/>
      <c r="T214" s="19"/>
      <c r="U214" s="19"/>
      <c r="V214" s="19"/>
      <c r="W214" s="19"/>
      <c r="X214" s="19"/>
      <c r="Y214" s="19"/>
    </row>
    <row r="215" spans="1:25" s="69" customFormat="1" ht="28.5" customHeight="1" x14ac:dyDescent="0.2">
      <c r="A215" s="35" t="s">
        <v>194</v>
      </c>
      <c r="B215" s="41" t="s">
        <v>854</v>
      </c>
      <c r="C215" s="20"/>
      <c r="D215" s="20"/>
      <c r="E215" s="20"/>
      <c r="F215" s="84"/>
      <c r="G215" s="16" t="s">
        <v>106</v>
      </c>
      <c r="H215" s="904" t="s">
        <v>169</v>
      </c>
      <c r="I215" s="20"/>
      <c r="J215" s="84"/>
      <c r="K215" s="904" t="s">
        <v>473</v>
      </c>
      <c r="L215" s="20"/>
      <c r="M215" s="84"/>
      <c r="N215" s="14" t="s">
        <v>681</v>
      </c>
      <c r="O215" s="904" t="s">
        <v>175</v>
      </c>
      <c r="P215" s="20"/>
      <c r="Q215" s="20"/>
      <c r="R215" s="1064"/>
      <c r="S215" s="15"/>
      <c r="T215" s="15"/>
      <c r="U215" s="15"/>
      <c r="V215" s="15"/>
      <c r="W215" s="15"/>
      <c r="X215" s="15"/>
      <c r="Y215" s="15"/>
    </row>
    <row r="216" spans="1:25" s="69" customFormat="1" ht="28.5" customHeight="1" x14ac:dyDescent="0.2">
      <c r="A216" s="35"/>
      <c r="B216" s="766" t="s">
        <v>855</v>
      </c>
      <c r="C216" s="14" t="s">
        <v>475</v>
      </c>
      <c r="D216" s="14" t="s">
        <v>496</v>
      </c>
      <c r="E216" s="766" t="s">
        <v>856</v>
      </c>
      <c r="F216" s="14" t="s">
        <v>857</v>
      </c>
      <c r="G216" s="16" t="s">
        <v>112</v>
      </c>
      <c r="H216" s="16" t="s">
        <v>72</v>
      </c>
      <c r="I216" s="14" t="s">
        <v>174</v>
      </c>
      <c r="J216" s="14" t="s">
        <v>178</v>
      </c>
      <c r="K216" s="16" t="s">
        <v>74</v>
      </c>
      <c r="L216" s="14" t="s">
        <v>179</v>
      </c>
      <c r="M216" s="14" t="s">
        <v>476</v>
      </c>
      <c r="N216" s="14" t="s">
        <v>180</v>
      </c>
      <c r="O216" s="16" t="s">
        <v>24</v>
      </c>
      <c r="P216" s="14" t="s">
        <v>181</v>
      </c>
      <c r="Q216" s="904" t="s">
        <v>182</v>
      </c>
      <c r="R216" s="1064"/>
      <c r="S216" s="15"/>
      <c r="T216" s="15"/>
      <c r="U216" s="15"/>
      <c r="V216" s="15"/>
      <c r="W216" s="15"/>
      <c r="X216" s="15"/>
      <c r="Y216" s="15"/>
    </row>
    <row r="217" spans="1:25" s="69" customFormat="1" ht="12" customHeight="1" x14ac:dyDescent="0.2">
      <c r="A217" s="36"/>
      <c r="B217" s="18" t="str">
        <f>PROPER("WTI-DSW")</f>
        <v>Wti-Dsw</v>
      </c>
      <c r="C217" s="18" t="str">
        <f>PROPER("BAKKEN")</f>
        <v>Bakken</v>
      </c>
      <c r="D217" s="18" t="str">
        <f>PROPER("WH-CLIFF")</f>
        <v>Wh-Cliff</v>
      </c>
      <c r="E217" s="18" t="str">
        <f>PROPER("WTL")</f>
        <v>Wtl</v>
      </c>
      <c r="F217" s="18" t="str">
        <f>PROPER("UTICA-C")</f>
        <v>Utica-C</v>
      </c>
      <c r="G217" s="18"/>
      <c r="H217" s="18"/>
      <c r="I217" s="18" t="str">
        <f>PROPER("ISTHMUS")</f>
        <v>Isthmus</v>
      </c>
      <c r="J217" s="18" t="str">
        <f>PROPER("MAYA")</f>
        <v>Maya</v>
      </c>
      <c r="K217" s="18"/>
      <c r="L217" s="18" t="str">
        <f>PROPER("CASTLA-B")</f>
        <v>Castla-B</v>
      </c>
      <c r="M217" s="18" t="str">
        <f>PROPER("SOUTH-B")</f>
        <v>South-B</v>
      </c>
      <c r="N217" s="18" t="str">
        <f>PROPER("SANT-BAR")</f>
        <v>Sant-Bar</v>
      </c>
      <c r="O217" s="18"/>
      <c r="P217" s="18" t="str">
        <f>PROPER("ORIENTE")</f>
        <v>Oriente</v>
      </c>
      <c r="Q217" s="17" t="str">
        <f>PROPER("NAPO")</f>
        <v>Napo</v>
      </c>
      <c r="R217" s="1065"/>
      <c r="S217" s="15"/>
      <c r="T217" s="15"/>
      <c r="U217" s="15"/>
      <c r="V217" s="15"/>
      <c r="W217" s="15"/>
      <c r="X217" s="15"/>
      <c r="Y217" s="15"/>
    </row>
    <row r="218" spans="1:25" s="74" customFormat="1" ht="10.5" customHeight="1" x14ac:dyDescent="0.15">
      <c r="A218" s="949" t="s">
        <v>840</v>
      </c>
      <c r="B218" s="70">
        <v>16598</v>
      </c>
      <c r="C218" s="71" t="s">
        <v>648</v>
      </c>
      <c r="D218" s="71" t="s">
        <v>648</v>
      </c>
      <c r="E218" s="71" t="s">
        <v>648</v>
      </c>
      <c r="F218" s="71" t="s">
        <v>648</v>
      </c>
      <c r="G218" s="71">
        <v>5005894</v>
      </c>
      <c r="H218" s="71">
        <v>2532351</v>
      </c>
      <c r="I218" s="71">
        <v>1730620</v>
      </c>
      <c r="J218" s="71">
        <v>801731</v>
      </c>
      <c r="K218" s="71">
        <v>443929</v>
      </c>
      <c r="L218" s="71">
        <v>380110</v>
      </c>
      <c r="M218" s="71">
        <v>63819</v>
      </c>
      <c r="N218" s="71">
        <v>475238</v>
      </c>
      <c r="O218" s="71">
        <v>1554376</v>
      </c>
      <c r="P218" s="71" t="s">
        <v>648</v>
      </c>
      <c r="Q218" s="71">
        <v>1554376</v>
      </c>
      <c r="R218" s="72" t="s">
        <v>464</v>
      </c>
      <c r="S218" s="73"/>
      <c r="T218" s="73"/>
      <c r="U218" s="73"/>
      <c r="V218" s="73"/>
      <c r="W218" s="73"/>
      <c r="X218" s="73"/>
      <c r="Y218" s="73"/>
    </row>
    <row r="219" spans="1:25" s="74" customFormat="1" ht="10.5" customHeight="1" x14ac:dyDescent="0.15">
      <c r="A219" s="950" t="s">
        <v>841</v>
      </c>
      <c r="B219" s="74">
        <v>77802</v>
      </c>
      <c r="C219" s="74">
        <v>78271</v>
      </c>
      <c r="D219" s="74">
        <v>79114</v>
      </c>
      <c r="E219" s="74" t="s">
        <v>648</v>
      </c>
      <c r="F219" s="74" t="s">
        <v>648</v>
      </c>
      <c r="G219" s="74">
        <v>3792241</v>
      </c>
      <c r="H219" s="74">
        <v>1908649</v>
      </c>
      <c r="I219" s="74">
        <v>592946</v>
      </c>
      <c r="J219" s="74">
        <v>1315703</v>
      </c>
      <c r="K219" s="74">
        <v>185818</v>
      </c>
      <c r="L219" s="74">
        <v>185818</v>
      </c>
      <c r="M219" s="74" t="s">
        <v>648</v>
      </c>
      <c r="N219" s="74" t="s">
        <v>648</v>
      </c>
      <c r="O219" s="74">
        <v>1697774</v>
      </c>
      <c r="P219" s="74" t="s">
        <v>648</v>
      </c>
      <c r="Q219" s="74">
        <v>1697774</v>
      </c>
      <c r="R219" s="76" t="s">
        <v>489</v>
      </c>
      <c r="S219" s="73"/>
      <c r="T219" s="73"/>
      <c r="U219" s="73"/>
      <c r="V219" s="73"/>
      <c r="W219" s="73"/>
      <c r="X219" s="73"/>
      <c r="Y219" s="73"/>
    </row>
    <row r="220" spans="1:25" s="74" customFormat="1" ht="10.5" customHeight="1" x14ac:dyDescent="0.15">
      <c r="A220" s="950" t="s">
        <v>765</v>
      </c>
      <c r="B220" s="74" t="s">
        <v>648</v>
      </c>
      <c r="C220" s="74" t="s">
        <v>648</v>
      </c>
      <c r="D220" s="74" t="s">
        <v>648</v>
      </c>
      <c r="E220" s="74">
        <v>102601</v>
      </c>
      <c r="F220" s="74" t="s">
        <v>648</v>
      </c>
      <c r="G220" s="74">
        <v>2678816</v>
      </c>
      <c r="H220" s="74">
        <v>319147</v>
      </c>
      <c r="I220" s="74" t="s">
        <v>648</v>
      </c>
      <c r="J220" s="74">
        <v>319147</v>
      </c>
      <c r="K220" s="74">
        <v>158877</v>
      </c>
      <c r="L220" s="74">
        <v>158877</v>
      </c>
      <c r="M220" s="74" t="s">
        <v>648</v>
      </c>
      <c r="N220" s="74" t="s">
        <v>648</v>
      </c>
      <c r="O220" s="74">
        <v>2200792</v>
      </c>
      <c r="P220" s="74">
        <v>119843</v>
      </c>
      <c r="Q220" s="74">
        <v>2080949</v>
      </c>
      <c r="R220" s="76" t="s">
        <v>549</v>
      </c>
      <c r="S220" s="73"/>
      <c r="T220" s="73"/>
      <c r="U220" s="73"/>
      <c r="V220" s="73"/>
      <c r="W220" s="73"/>
      <c r="X220" s="73"/>
      <c r="Y220" s="73"/>
    </row>
    <row r="221" spans="1:25" s="74" customFormat="1" ht="10.5" customHeight="1" x14ac:dyDescent="0.15">
      <c r="A221" s="950" t="s">
        <v>858</v>
      </c>
      <c r="B221" s="74" t="s">
        <v>648</v>
      </c>
      <c r="C221" s="74" t="s">
        <v>648</v>
      </c>
      <c r="D221" s="74" t="s">
        <v>648</v>
      </c>
      <c r="E221" s="74" t="s">
        <v>648</v>
      </c>
      <c r="F221" s="74">
        <v>142026</v>
      </c>
      <c r="G221" s="74">
        <v>2530556</v>
      </c>
      <c r="H221" s="74">
        <v>81102</v>
      </c>
      <c r="I221" s="74" t="s">
        <v>648</v>
      </c>
      <c r="J221" s="74">
        <v>81102</v>
      </c>
      <c r="K221" s="74" t="s">
        <v>648</v>
      </c>
      <c r="L221" s="74" t="s">
        <v>648</v>
      </c>
      <c r="M221" s="74" t="s">
        <v>648</v>
      </c>
      <c r="N221" s="74" t="s">
        <v>648</v>
      </c>
      <c r="O221" s="74">
        <v>2449454</v>
      </c>
      <c r="P221" s="74">
        <v>58385</v>
      </c>
      <c r="Q221" s="74">
        <v>2391069</v>
      </c>
      <c r="R221" s="76" t="s">
        <v>672</v>
      </c>
      <c r="S221" s="73"/>
      <c r="T221" s="73"/>
      <c r="U221" s="73"/>
      <c r="V221" s="73"/>
      <c r="W221" s="73"/>
      <c r="X221" s="73"/>
      <c r="Y221" s="73"/>
    </row>
    <row r="222" spans="1:25" s="74" customFormat="1" ht="10.5" customHeight="1" x14ac:dyDescent="0.15">
      <c r="A222" s="950" t="s">
        <v>859</v>
      </c>
      <c r="B222" s="74" t="s">
        <v>648</v>
      </c>
      <c r="C222" s="74" t="s">
        <v>648</v>
      </c>
      <c r="D222" s="74" t="s">
        <v>648</v>
      </c>
      <c r="E222" s="74">
        <v>60</v>
      </c>
      <c r="F222" s="74" t="s">
        <v>648</v>
      </c>
      <c r="G222" s="74">
        <v>2444840</v>
      </c>
      <c r="H222" s="74">
        <v>114870</v>
      </c>
      <c r="I222" s="74">
        <v>114870</v>
      </c>
      <c r="J222" s="74" t="s">
        <v>648</v>
      </c>
      <c r="K222" s="74" t="s">
        <v>648</v>
      </c>
      <c r="L222" s="74" t="s">
        <v>648</v>
      </c>
      <c r="M222" s="74" t="s">
        <v>648</v>
      </c>
      <c r="N222" s="74" t="s">
        <v>648</v>
      </c>
      <c r="O222" s="74">
        <v>2329652</v>
      </c>
      <c r="P222" s="74">
        <v>189111</v>
      </c>
      <c r="Q222" s="74">
        <v>2140541</v>
      </c>
      <c r="R222" s="76" t="s">
        <v>768</v>
      </c>
      <c r="S222" s="73"/>
      <c r="T222" s="73"/>
      <c r="U222" s="73"/>
      <c r="V222" s="73"/>
      <c r="W222" s="73"/>
      <c r="X222" s="73"/>
      <c r="Y222" s="73"/>
    </row>
    <row r="223" spans="1:25" s="74" customFormat="1" ht="10.5" customHeight="1" x14ac:dyDescent="0.15">
      <c r="A223" s="950"/>
      <c r="R223" s="76"/>
      <c r="S223" s="73"/>
      <c r="T223" s="73"/>
      <c r="U223" s="73"/>
      <c r="V223" s="73"/>
      <c r="W223" s="73"/>
      <c r="X223" s="73"/>
      <c r="Y223" s="73"/>
    </row>
    <row r="224" spans="1:25" s="74" customFormat="1" ht="10.5" customHeight="1" x14ac:dyDescent="0.15">
      <c r="A224" s="950" t="s">
        <v>860</v>
      </c>
      <c r="B224" s="74" t="s">
        <v>648</v>
      </c>
      <c r="C224" s="74" t="s">
        <v>648</v>
      </c>
      <c r="D224" s="74" t="s">
        <v>648</v>
      </c>
      <c r="E224" s="74" t="s">
        <v>648</v>
      </c>
      <c r="F224" s="74">
        <v>70979</v>
      </c>
      <c r="G224" s="74">
        <v>2610461</v>
      </c>
      <c r="H224" s="74" t="s">
        <v>648</v>
      </c>
      <c r="I224" s="74" t="s">
        <v>648</v>
      </c>
      <c r="J224" s="74" t="s">
        <v>648</v>
      </c>
      <c r="K224" s="74" t="s">
        <v>648</v>
      </c>
      <c r="L224" s="74" t="s">
        <v>648</v>
      </c>
      <c r="M224" s="74" t="s">
        <v>648</v>
      </c>
      <c r="N224" s="74" t="s">
        <v>648</v>
      </c>
      <c r="O224" s="74">
        <v>2610461</v>
      </c>
      <c r="P224" s="74">
        <v>135540</v>
      </c>
      <c r="Q224" s="74">
        <v>2474921</v>
      </c>
      <c r="R224" s="76" t="s">
        <v>673</v>
      </c>
      <c r="S224" s="73"/>
      <c r="T224" s="73"/>
      <c r="U224" s="73"/>
      <c r="V224" s="73"/>
      <c r="W224" s="73"/>
      <c r="X224" s="73"/>
      <c r="Y224" s="73"/>
    </row>
    <row r="225" spans="1:25" s="74" customFormat="1" ht="10.5" customHeight="1" x14ac:dyDescent="0.15">
      <c r="A225" s="950" t="s">
        <v>861</v>
      </c>
      <c r="B225" s="74" t="s">
        <v>648</v>
      </c>
      <c r="C225" s="74" t="s">
        <v>648</v>
      </c>
      <c r="D225" s="74" t="s">
        <v>648</v>
      </c>
      <c r="E225" s="74">
        <v>60</v>
      </c>
      <c r="F225" s="74" t="s">
        <v>648</v>
      </c>
      <c r="G225" s="74">
        <v>2754558</v>
      </c>
      <c r="H225" s="74">
        <v>361032</v>
      </c>
      <c r="I225" s="74">
        <v>361032</v>
      </c>
      <c r="J225" s="74" t="s">
        <v>648</v>
      </c>
      <c r="K225" s="74" t="s">
        <v>648</v>
      </c>
      <c r="L225" s="74" t="s">
        <v>648</v>
      </c>
      <c r="M225" s="74" t="s">
        <v>648</v>
      </c>
      <c r="N225" s="74" t="s">
        <v>648</v>
      </c>
      <c r="O225" s="74">
        <v>2393208</v>
      </c>
      <c r="P225" s="74">
        <v>268558</v>
      </c>
      <c r="Q225" s="74">
        <v>2124650</v>
      </c>
      <c r="R225" s="76" t="s">
        <v>771</v>
      </c>
      <c r="S225" s="73"/>
      <c r="T225" s="73"/>
      <c r="U225" s="73"/>
      <c r="V225" s="73"/>
      <c r="W225" s="73"/>
      <c r="X225" s="73"/>
      <c r="Y225" s="73"/>
    </row>
    <row r="226" spans="1:25" s="74" customFormat="1" ht="10.5" customHeight="1" x14ac:dyDescent="0.15">
      <c r="A226" s="950"/>
      <c r="R226" s="76"/>
      <c r="S226" s="73"/>
      <c r="T226" s="73"/>
      <c r="U226" s="73"/>
      <c r="V226" s="73"/>
      <c r="W226" s="73"/>
      <c r="X226" s="73"/>
      <c r="Y226" s="73"/>
    </row>
    <row r="227" spans="1:25" s="74" customFormat="1" ht="10.5" customHeight="1" x14ac:dyDescent="0.15">
      <c r="A227" s="950" t="s">
        <v>772</v>
      </c>
      <c r="B227" s="74" t="s">
        <v>648</v>
      </c>
      <c r="C227" s="74" t="s">
        <v>648</v>
      </c>
      <c r="D227" s="74" t="s">
        <v>648</v>
      </c>
      <c r="E227" s="74" t="s">
        <v>648</v>
      </c>
      <c r="F227" s="74" t="s">
        <v>648</v>
      </c>
      <c r="G227" s="74">
        <v>608921</v>
      </c>
      <c r="H227" s="74" t="s">
        <v>648</v>
      </c>
      <c r="I227" s="74" t="s">
        <v>648</v>
      </c>
      <c r="J227" s="74" t="s">
        <v>648</v>
      </c>
      <c r="K227" s="74" t="s">
        <v>648</v>
      </c>
      <c r="L227" s="74" t="s">
        <v>648</v>
      </c>
      <c r="M227" s="74" t="s">
        <v>648</v>
      </c>
      <c r="N227" s="74" t="s">
        <v>648</v>
      </c>
      <c r="O227" s="74">
        <v>608921</v>
      </c>
      <c r="P227" s="74">
        <v>77155</v>
      </c>
      <c r="Q227" s="74">
        <v>531766</v>
      </c>
      <c r="R227" s="76" t="s">
        <v>674</v>
      </c>
      <c r="S227" s="73"/>
      <c r="T227" s="73"/>
      <c r="U227" s="73"/>
      <c r="V227" s="73"/>
      <c r="W227" s="73"/>
      <c r="X227" s="73"/>
      <c r="Y227" s="73"/>
    </row>
    <row r="228" spans="1:25" s="74" customFormat="1" ht="10.5" customHeight="1" x14ac:dyDescent="0.15">
      <c r="A228" s="950" t="s">
        <v>844</v>
      </c>
      <c r="B228" s="74" t="s">
        <v>648</v>
      </c>
      <c r="C228" s="74" t="s">
        <v>648</v>
      </c>
      <c r="D228" s="74" t="s">
        <v>648</v>
      </c>
      <c r="E228" s="74" t="s">
        <v>648</v>
      </c>
      <c r="F228" s="74" t="s">
        <v>648</v>
      </c>
      <c r="G228" s="74">
        <v>541506</v>
      </c>
      <c r="H228" s="74" t="s">
        <v>648</v>
      </c>
      <c r="I228" s="74" t="s">
        <v>648</v>
      </c>
      <c r="J228" s="74" t="s">
        <v>648</v>
      </c>
      <c r="K228" s="74" t="s">
        <v>648</v>
      </c>
      <c r="L228" s="74" t="s">
        <v>648</v>
      </c>
      <c r="M228" s="74" t="s">
        <v>648</v>
      </c>
      <c r="N228" s="74" t="s">
        <v>648</v>
      </c>
      <c r="O228" s="74">
        <v>541506</v>
      </c>
      <c r="P228" s="74" t="s">
        <v>648</v>
      </c>
      <c r="Q228" s="74">
        <v>541506</v>
      </c>
      <c r="R228" s="76" t="s">
        <v>92</v>
      </c>
      <c r="S228" s="73"/>
      <c r="T228" s="73"/>
      <c r="U228" s="73"/>
      <c r="V228" s="73"/>
      <c r="W228" s="73"/>
      <c r="X228" s="73"/>
      <c r="Y228" s="73"/>
    </row>
    <row r="229" spans="1:25" s="74" customFormat="1" ht="10.5" customHeight="1" x14ac:dyDescent="0.15">
      <c r="A229" s="950" t="s">
        <v>862</v>
      </c>
      <c r="B229" s="74" t="s">
        <v>648</v>
      </c>
      <c r="C229" s="74" t="s">
        <v>648</v>
      </c>
      <c r="D229" s="74" t="s">
        <v>648</v>
      </c>
      <c r="E229" s="74" t="s">
        <v>648</v>
      </c>
      <c r="F229" s="74" t="s">
        <v>648</v>
      </c>
      <c r="G229" s="74">
        <v>564659</v>
      </c>
      <c r="H229" s="74" t="s">
        <v>648</v>
      </c>
      <c r="I229" s="74" t="s">
        <v>648</v>
      </c>
      <c r="J229" s="74" t="s">
        <v>648</v>
      </c>
      <c r="K229" s="74" t="s">
        <v>648</v>
      </c>
      <c r="L229" s="74" t="s">
        <v>648</v>
      </c>
      <c r="M229" s="74" t="s">
        <v>648</v>
      </c>
      <c r="N229" s="74" t="s">
        <v>648</v>
      </c>
      <c r="O229" s="74">
        <v>564659</v>
      </c>
      <c r="P229" s="74" t="s">
        <v>648</v>
      </c>
      <c r="Q229" s="74">
        <v>564659</v>
      </c>
      <c r="R229" s="76" t="s">
        <v>93</v>
      </c>
      <c r="S229" s="73"/>
      <c r="T229" s="73"/>
      <c r="U229" s="73"/>
      <c r="V229" s="73"/>
      <c r="W229" s="73"/>
      <c r="X229" s="73"/>
      <c r="Y229" s="73"/>
    </row>
    <row r="230" spans="1:25" s="74" customFormat="1" ht="10.5" customHeight="1" x14ac:dyDescent="0.15">
      <c r="A230" s="950" t="s">
        <v>863</v>
      </c>
      <c r="B230" s="74" t="s">
        <v>648</v>
      </c>
      <c r="C230" s="74" t="s">
        <v>648</v>
      </c>
      <c r="D230" s="74" t="s">
        <v>648</v>
      </c>
      <c r="E230" s="74">
        <v>60</v>
      </c>
      <c r="F230" s="74" t="s">
        <v>648</v>
      </c>
      <c r="G230" s="74">
        <v>729754</v>
      </c>
      <c r="H230" s="74">
        <v>114870</v>
      </c>
      <c r="I230" s="74">
        <v>114870</v>
      </c>
      <c r="J230" s="74" t="s">
        <v>648</v>
      </c>
      <c r="K230" s="74" t="s">
        <v>648</v>
      </c>
      <c r="L230" s="74" t="s">
        <v>648</v>
      </c>
      <c r="M230" s="74" t="s">
        <v>648</v>
      </c>
      <c r="N230" s="74" t="s">
        <v>648</v>
      </c>
      <c r="O230" s="74">
        <v>614566</v>
      </c>
      <c r="P230" s="74">
        <v>111956</v>
      </c>
      <c r="Q230" s="74">
        <v>502610</v>
      </c>
      <c r="R230" s="76" t="s">
        <v>94</v>
      </c>
      <c r="S230" s="73"/>
      <c r="T230" s="73"/>
      <c r="U230" s="73"/>
      <c r="V230" s="73"/>
      <c r="W230" s="73"/>
      <c r="X230" s="73"/>
      <c r="Y230" s="73"/>
    </row>
    <row r="231" spans="1:25" s="74" customFormat="1" ht="10.5" customHeight="1" x14ac:dyDescent="0.15">
      <c r="A231" s="950" t="s">
        <v>864</v>
      </c>
      <c r="B231" s="74" t="s">
        <v>648</v>
      </c>
      <c r="C231" s="74" t="s">
        <v>648</v>
      </c>
      <c r="D231" s="74" t="s">
        <v>648</v>
      </c>
      <c r="E231" s="74" t="s">
        <v>648</v>
      </c>
      <c r="F231" s="74" t="s">
        <v>648</v>
      </c>
      <c r="G231" s="74">
        <v>918639</v>
      </c>
      <c r="H231" s="74">
        <v>246162</v>
      </c>
      <c r="I231" s="74">
        <v>246162</v>
      </c>
      <c r="J231" s="74" t="s">
        <v>648</v>
      </c>
      <c r="K231" s="74" t="s">
        <v>648</v>
      </c>
      <c r="L231" s="74" t="s">
        <v>648</v>
      </c>
      <c r="M231" s="74" t="s">
        <v>648</v>
      </c>
      <c r="N231" s="74" t="s">
        <v>648</v>
      </c>
      <c r="O231" s="74">
        <v>672477</v>
      </c>
      <c r="P231" s="74">
        <v>156602</v>
      </c>
      <c r="Q231" s="74">
        <v>515875</v>
      </c>
      <c r="R231" s="76" t="s">
        <v>777</v>
      </c>
      <c r="S231" s="73"/>
      <c r="T231" s="73"/>
      <c r="U231" s="73"/>
      <c r="V231" s="73"/>
      <c r="W231" s="73"/>
      <c r="X231" s="73"/>
      <c r="Y231" s="73"/>
    </row>
    <row r="232" spans="1:25" s="74" customFormat="1" ht="10.5" customHeight="1" x14ac:dyDescent="0.15">
      <c r="A232" s="950"/>
      <c r="R232" s="76"/>
      <c r="S232" s="73"/>
      <c r="T232" s="73"/>
      <c r="U232" s="73"/>
      <c r="V232" s="73"/>
      <c r="W232" s="73"/>
      <c r="X232" s="73"/>
      <c r="Y232" s="73"/>
    </row>
    <row r="233" spans="1:25" s="74" customFormat="1" ht="10.5" customHeight="1" x14ac:dyDescent="0.15">
      <c r="A233" s="950" t="s">
        <v>846</v>
      </c>
      <c r="B233" s="74" t="s">
        <v>648</v>
      </c>
      <c r="C233" s="74" t="s">
        <v>648</v>
      </c>
      <c r="D233" s="74" t="s">
        <v>648</v>
      </c>
      <c r="E233" s="74" t="s">
        <v>648</v>
      </c>
      <c r="F233" s="74" t="s">
        <v>648</v>
      </c>
      <c r="G233" s="74">
        <v>117494</v>
      </c>
      <c r="H233" s="74" t="s">
        <v>648</v>
      </c>
      <c r="I233" s="74" t="s">
        <v>648</v>
      </c>
      <c r="J233" s="74" t="s">
        <v>648</v>
      </c>
      <c r="K233" s="74" t="s">
        <v>648</v>
      </c>
      <c r="L233" s="74" t="s">
        <v>648</v>
      </c>
      <c r="M233" s="74" t="s">
        <v>648</v>
      </c>
      <c r="N233" s="74" t="s">
        <v>648</v>
      </c>
      <c r="O233" s="74">
        <v>117494</v>
      </c>
      <c r="P233" s="74" t="s">
        <v>648</v>
      </c>
      <c r="Q233" s="74">
        <v>117494</v>
      </c>
      <c r="R233" s="76" t="s">
        <v>675</v>
      </c>
      <c r="S233" s="73"/>
      <c r="T233" s="73"/>
      <c r="U233" s="73"/>
      <c r="V233" s="73"/>
      <c r="W233" s="73"/>
      <c r="X233" s="73"/>
      <c r="Y233" s="73"/>
    </row>
    <row r="234" spans="1:25" s="74" customFormat="1" ht="10.5" customHeight="1" x14ac:dyDescent="0.15">
      <c r="A234" s="950" t="s">
        <v>847</v>
      </c>
      <c r="B234" s="74" t="s">
        <v>648</v>
      </c>
      <c r="C234" s="74" t="s">
        <v>648</v>
      </c>
      <c r="D234" s="74" t="s">
        <v>648</v>
      </c>
      <c r="E234" s="74" t="s">
        <v>648</v>
      </c>
      <c r="F234" s="74" t="s">
        <v>648</v>
      </c>
      <c r="G234" s="74">
        <v>293768</v>
      </c>
      <c r="H234" s="74" t="s">
        <v>648</v>
      </c>
      <c r="I234" s="74" t="s">
        <v>648</v>
      </c>
      <c r="J234" s="74" t="s">
        <v>648</v>
      </c>
      <c r="K234" s="74" t="s">
        <v>648</v>
      </c>
      <c r="L234" s="74" t="s">
        <v>648</v>
      </c>
      <c r="M234" s="74" t="s">
        <v>648</v>
      </c>
      <c r="N234" s="74" t="s">
        <v>648</v>
      </c>
      <c r="O234" s="74">
        <v>293768</v>
      </c>
      <c r="P234" s="74" t="s">
        <v>648</v>
      </c>
      <c r="Q234" s="74">
        <v>293768</v>
      </c>
      <c r="R234" s="76" t="s">
        <v>80</v>
      </c>
      <c r="S234" s="73"/>
      <c r="T234" s="73"/>
      <c r="U234" s="73"/>
      <c r="V234" s="73"/>
      <c r="W234" s="73"/>
      <c r="X234" s="73"/>
      <c r="Y234" s="73"/>
    </row>
    <row r="235" spans="1:25" s="74" customFormat="1" ht="10.5" customHeight="1" x14ac:dyDescent="0.15">
      <c r="A235" s="950" t="s">
        <v>865</v>
      </c>
      <c r="B235" s="74" t="s">
        <v>648</v>
      </c>
      <c r="C235" s="74" t="s">
        <v>648</v>
      </c>
      <c r="D235" s="74" t="s">
        <v>648</v>
      </c>
      <c r="E235" s="74" t="s">
        <v>648</v>
      </c>
      <c r="F235" s="74" t="s">
        <v>648</v>
      </c>
      <c r="G235" s="74">
        <v>197659</v>
      </c>
      <c r="H235" s="74" t="s">
        <v>648</v>
      </c>
      <c r="I235" s="74" t="s">
        <v>648</v>
      </c>
      <c r="J235" s="74" t="s">
        <v>648</v>
      </c>
      <c r="K235" s="74" t="s">
        <v>648</v>
      </c>
      <c r="L235" s="74" t="s">
        <v>648</v>
      </c>
      <c r="M235" s="74" t="s">
        <v>648</v>
      </c>
      <c r="N235" s="74" t="s">
        <v>648</v>
      </c>
      <c r="O235" s="74">
        <v>197659</v>
      </c>
      <c r="P235" s="74">
        <v>77155</v>
      </c>
      <c r="Q235" s="74">
        <v>120504</v>
      </c>
      <c r="R235" s="76" t="s">
        <v>81</v>
      </c>
      <c r="S235" s="73"/>
      <c r="T235" s="73"/>
      <c r="U235" s="73"/>
      <c r="V235" s="73"/>
      <c r="W235" s="73"/>
      <c r="X235" s="73"/>
      <c r="Y235" s="73"/>
    </row>
    <row r="236" spans="1:25" s="74" customFormat="1" ht="10.5" customHeight="1" x14ac:dyDescent="0.15">
      <c r="A236" s="950" t="s">
        <v>866</v>
      </c>
      <c r="B236" s="74" t="s">
        <v>648</v>
      </c>
      <c r="C236" s="74" t="s">
        <v>648</v>
      </c>
      <c r="D236" s="74" t="s">
        <v>648</v>
      </c>
      <c r="E236" s="74" t="s">
        <v>648</v>
      </c>
      <c r="F236" s="74" t="s">
        <v>648</v>
      </c>
      <c r="G236" s="74">
        <v>301004</v>
      </c>
      <c r="H236" s="74" t="s">
        <v>648</v>
      </c>
      <c r="I236" s="74" t="s">
        <v>648</v>
      </c>
      <c r="J236" s="74" t="s">
        <v>648</v>
      </c>
      <c r="K236" s="74" t="s">
        <v>648</v>
      </c>
      <c r="L236" s="74" t="s">
        <v>648</v>
      </c>
      <c r="M236" s="74" t="s">
        <v>648</v>
      </c>
      <c r="N236" s="74" t="s">
        <v>648</v>
      </c>
      <c r="O236" s="74">
        <v>301004</v>
      </c>
      <c r="P236" s="74" t="s">
        <v>648</v>
      </c>
      <c r="Q236" s="74">
        <v>301004</v>
      </c>
      <c r="R236" s="76" t="s">
        <v>82</v>
      </c>
      <c r="S236" s="73"/>
      <c r="T236" s="73"/>
      <c r="U236" s="73"/>
      <c r="V236" s="73"/>
      <c r="W236" s="73"/>
      <c r="X236" s="73"/>
      <c r="Y236" s="73"/>
    </row>
    <row r="237" spans="1:25" s="74" customFormat="1" ht="10.5" customHeight="1" x14ac:dyDescent="0.15">
      <c r="A237" s="950" t="s">
        <v>867</v>
      </c>
      <c r="B237" s="74" t="s">
        <v>648</v>
      </c>
      <c r="C237" s="74" t="s">
        <v>648</v>
      </c>
      <c r="D237" s="74" t="s">
        <v>648</v>
      </c>
      <c r="E237" s="74" t="s">
        <v>648</v>
      </c>
      <c r="F237" s="74" t="s">
        <v>648</v>
      </c>
      <c r="G237" s="74">
        <v>37837</v>
      </c>
      <c r="H237" s="74" t="s">
        <v>648</v>
      </c>
      <c r="I237" s="74" t="s">
        <v>648</v>
      </c>
      <c r="J237" s="74" t="s">
        <v>648</v>
      </c>
      <c r="K237" s="74" t="s">
        <v>648</v>
      </c>
      <c r="L237" s="74" t="s">
        <v>648</v>
      </c>
      <c r="M237" s="74" t="s">
        <v>648</v>
      </c>
      <c r="N237" s="74" t="s">
        <v>648</v>
      </c>
      <c r="O237" s="74">
        <v>37837</v>
      </c>
      <c r="P237" s="74" t="s">
        <v>648</v>
      </c>
      <c r="Q237" s="74">
        <v>37837</v>
      </c>
      <c r="R237" s="77" t="s">
        <v>95</v>
      </c>
      <c r="S237" s="73"/>
      <c r="T237" s="73"/>
      <c r="U237" s="73"/>
      <c r="V237" s="73"/>
      <c r="W237" s="73"/>
      <c r="X237" s="73"/>
      <c r="Y237" s="73"/>
    </row>
    <row r="238" spans="1:25" s="74" customFormat="1" ht="10.5" customHeight="1" x14ac:dyDescent="0.15">
      <c r="A238" s="950" t="s">
        <v>868</v>
      </c>
      <c r="B238" s="74" t="s">
        <v>648</v>
      </c>
      <c r="C238" s="74" t="s">
        <v>648</v>
      </c>
      <c r="D238" s="74" t="s">
        <v>648</v>
      </c>
      <c r="E238" s="74" t="s">
        <v>648</v>
      </c>
      <c r="F238" s="74" t="s">
        <v>648</v>
      </c>
      <c r="G238" s="74">
        <v>202665</v>
      </c>
      <c r="H238" s="74" t="s">
        <v>648</v>
      </c>
      <c r="I238" s="74" t="s">
        <v>648</v>
      </c>
      <c r="J238" s="74" t="s">
        <v>648</v>
      </c>
      <c r="K238" s="74" t="s">
        <v>648</v>
      </c>
      <c r="L238" s="74" t="s">
        <v>648</v>
      </c>
      <c r="M238" s="74" t="s">
        <v>648</v>
      </c>
      <c r="N238" s="74" t="s">
        <v>648</v>
      </c>
      <c r="O238" s="74">
        <v>202665</v>
      </c>
      <c r="P238" s="74" t="s">
        <v>648</v>
      </c>
      <c r="Q238" s="74">
        <v>202665</v>
      </c>
      <c r="R238" s="76" t="s">
        <v>96</v>
      </c>
      <c r="S238" s="73"/>
      <c r="T238" s="73"/>
      <c r="U238" s="73"/>
      <c r="V238" s="73"/>
      <c r="W238" s="73"/>
      <c r="X238" s="73"/>
      <c r="Y238" s="73"/>
    </row>
    <row r="239" spans="1:25" s="74" customFormat="1" ht="10.5" customHeight="1" x14ac:dyDescent="0.15">
      <c r="A239" s="950" t="s">
        <v>784</v>
      </c>
      <c r="B239" s="74" t="s">
        <v>648</v>
      </c>
      <c r="C239" s="74" t="s">
        <v>648</v>
      </c>
      <c r="D239" s="74" t="s">
        <v>648</v>
      </c>
      <c r="E239" s="74" t="s">
        <v>648</v>
      </c>
      <c r="F239" s="74" t="s">
        <v>648</v>
      </c>
      <c r="G239" s="74">
        <v>114194</v>
      </c>
      <c r="H239" s="74" t="s">
        <v>648</v>
      </c>
      <c r="I239" s="74" t="s">
        <v>648</v>
      </c>
      <c r="J239" s="74" t="s">
        <v>648</v>
      </c>
      <c r="K239" s="74" t="s">
        <v>648</v>
      </c>
      <c r="L239" s="74" t="s">
        <v>648</v>
      </c>
      <c r="M239" s="74" t="s">
        <v>648</v>
      </c>
      <c r="N239" s="74" t="s">
        <v>648</v>
      </c>
      <c r="O239" s="74">
        <v>114194</v>
      </c>
      <c r="P239" s="74" t="s">
        <v>648</v>
      </c>
      <c r="Q239" s="74">
        <v>114194</v>
      </c>
      <c r="R239" s="76" t="s">
        <v>97</v>
      </c>
      <c r="S239" s="73"/>
      <c r="T239" s="73"/>
      <c r="U239" s="73"/>
      <c r="V239" s="73"/>
      <c r="W239" s="73"/>
      <c r="X239" s="73"/>
      <c r="Y239" s="73"/>
    </row>
    <row r="240" spans="1:25" s="74" customFormat="1" ht="10.5" customHeight="1" x14ac:dyDescent="0.15">
      <c r="A240" s="950" t="s">
        <v>869</v>
      </c>
      <c r="B240" s="74" t="s">
        <v>648</v>
      </c>
      <c r="C240" s="74" t="s">
        <v>648</v>
      </c>
      <c r="D240" s="74" t="s">
        <v>648</v>
      </c>
      <c r="E240" s="74" t="s">
        <v>648</v>
      </c>
      <c r="F240" s="74" t="s">
        <v>648</v>
      </c>
      <c r="G240" s="74">
        <v>231255</v>
      </c>
      <c r="H240" s="74" t="s">
        <v>648</v>
      </c>
      <c r="I240" s="74" t="s">
        <v>648</v>
      </c>
      <c r="J240" s="74" t="s">
        <v>648</v>
      </c>
      <c r="K240" s="74" t="s">
        <v>648</v>
      </c>
      <c r="L240" s="74" t="s">
        <v>648</v>
      </c>
      <c r="M240" s="74" t="s">
        <v>648</v>
      </c>
      <c r="N240" s="74" t="s">
        <v>648</v>
      </c>
      <c r="O240" s="74">
        <v>231255</v>
      </c>
      <c r="P240" s="74" t="s">
        <v>648</v>
      </c>
      <c r="Q240" s="74">
        <v>231255</v>
      </c>
      <c r="R240" s="76" t="s">
        <v>98</v>
      </c>
      <c r="S240" s="73"/>
      <c r="T240" s="73"/>
      <c r="U240" s="73"/>
      <c r="V240" s="73"/>
      <c r="W240" s="73"/>
      <c r="X240" s="73"/>
      <c r="Y240" s="73"/>
    </row>
    <row r="241" spans="1:25" s="74" customFormat="1" ht="10.5" customHeight="1" x14ac:dyDescent="0.15">
      <c r="A241" s="950" t="s">
        <v>870</v>
      </c>
      <c r="B241" s="74" t="s">
        <v>648</v>
      </c>
      <c r="C241" s="74" t="s">
        <v>648</v>
      </c>
      <c r="D241" s="74" t="s">
        <v>648</v>
      </c>
      <c r="E241" s="74" t="s">
        <v>648</v>
      </c>
      <c r="F241" s="74" t="s">
        <v>648</v>
      </c>
      <c r="G241" s="74">
        <v>219210</v>
      </c>
      <c r="H241" s="74" t="s">
        <v>648</v>
      </c>
      <c r="I241" s="74" t="s">
        <v>648</v>
      </c>
      <c r="J241" s="74" t="s">
        <v>648</v>
      </c>
      <c r="K241" s="74" t="s">
        <v>648</v>
      </c>
      <c r="L241" s="74" t="s">
        <v>648</v>
      </c>
      <c r="M241" s="74" t="s">
        <v>648</v>
      </c>
      <c r="N241" s="74" t="s">
        <v>648</v>
      </c>
      <c r="O241" s="74">
        <v>219210</v>
      </c>
      <c r="P241" s="74" t="s">
        <v>648</v>
      </c>
      <c r="Q241" s="74">
        <v>219210</v>
      </c>
      <c r="R241" s="76" t="s">
        <v>99</v>
      </c>
      <c r="S241" s="73"/>
      <c r="T241" s="73"/>
      <c r="U241" s="73"/>
      <c r="V241" s="73"/>
      <c r="W241" s="73"/>
      <c r="X241" s="73"/>
      <c r="Y241" s="73"/>
    </row>
    <row r="242" spans="1:25" s="74" customFormat="1" ht="10.5" customHeight="1" x14ac:dyDescent="0.15">
      <c r="A242" s="950" t="s">
        <v>851</v>
      </c>
      <c r="B242" s="74" t="s">
        <v>648</v>
      </c>
      <c r="C242" s="74" t="s">
        <v>648</v>
      </c>
      <c r="D242" s="74" t="s">
        <v>648</v>
      </c>
      <c r="E242" s="74" t="s">
        <v>648</v>
      </c>
      <c r="F242" s="74" t="s">
        <v>648</v>
      </c>
      <c r="G242" s="74">
        <v>256889</v>
      </c>
      <c r="H242" s="74">
        <v>114870</v>
      </c>
      <c r="I242" s="74">
        <v>114870</v>
      </c>
      <c r="J242" s="74" t="s">
        <v>648</v>
      </c>
      <c r="K242" s="74" t="s">
        <v>648</v>
      </c>
      <c r="L242" s="74" t="s">
        <v>648</v>
      </c>
      <c r="M242" s="74" t="s">
        <v>648</v>
      </c>
      <c r="N242" s="74" t="s">
        <v>648</v>
      </c>
      <c r="O242" s="74">
        <v>142019</v>
      </c>
      <c r="P242" s="74">
        <v>50273</v>
      </c>
      <c r="Q242" s="74">
        <v>91746</v>
      </c>
      <c r="R242" s="76" t="s">
        <v>83</v>
      </c>
      <c r="S242" s="73"/>
      <c r="T242" s="73"/>
      <c r="U242" s="73"/>
      <c r="V242" s="73"/>
      <c r="W242" s="73"/>
      <c r="X242" s="73"/>
      <c r="Y242" s="73"/>
    </row>
    <row r="243" spans="1:25" s="74" customFormat="1" ht="10.5" customHeight="1" x14ac:dyDescent="0.15">
      <c r="A243" s="950" t="s">
        <v>871</v>
      </c>
      <c r="B243" s="74" t="s">
        <v>648</v>
      </c>
      <c r="C243" s="74" t="s">
        <v>648</v>
      </c>
      <c r="D243" s="74" t="s">
        <v>648</v>
      </c>
      <c r="E243" s="74">
        <v>60</v>
      </c>
      <c r="F243" s="74" t="s">
        <v>648</v>
      </c>
      <c r="G243" s="74">
        <v>338630</v>
      </c>
      <c r="H243" s="74" t="s">
        <v>648</v>
      </c>
      <c r="I243" s="74" t="s">
        <v>648</v>
      </c>
      <c r="J243" s="74" t="s">
        <v>648</v>
      </c>
      <c r="K243" s="74" t="s">
        <v>648</v>
      </c>
      <c r="L243" s="74" t="s">
        <v>648</v>
      </c>
      <c r="M243" s="74" t="s">
        <v>648</v>
      </c>
      <c r="N243" s="74" t="s">
        <v>648</v>
      </c>
      <c r="O243" s="74">
        <v>338312</v>
      </c>
      <c r="P243" s="74">
        <v>31573</v>
      </c>
      <c r="Q243" s="74">
        <v>306739</v>
      </c>
      <c r="R243" s="76" t="s">
        <v>84</v>
      </c>
      <c r="S243" s="73"/>
      <c r="T243" s="73"/>
      <c r="U243" s="73"/>
      <c r="V243" s="73"/>
      <c r="W243" s="73"/>
      <c r="X243" s="73"/>
      <c r="Y243" s="73"/>
    </row>
    <row r="244" spans="1:25" s="74" customFormat="1" ht="10.5" customHeight="1" x14ac:dyDescent="0.15">
      <c r="A244" s="950" t="s">
        <v>852</v>
      </c>
      <c r="B244" s="74" t="s">
        <v>648</v>
      </c>
      <c r="C244" s="74" t="s">
        <v>648</v>
      </c>
      <c r="D244" s="74" t="s">
        <v>648</v>
      </c>
      <c r="E244" s="74" t="s">
        <v>648</v>
      </c>
      <c r="F244" s="74" t="s">
        <v>648</v>
      </c>
      <c r="G244" s="74">
        <v>134235</v>
      </c>
      <c r="H244" s="74" t="s">
        <v>648</v>
      </c>
      <c r="I244" s="74" t="s">
        <v>648</v>
      </c>
      <c r="J244" s="74" t="s">
        <v>648</v>
      </c>
      <c r="K244" s="74" t="s">
        <v>648</v>
      </c>
      <c r="L244" s="74" t="s">
        <v>648</v>
      </c>
      <c r="M244" s="74" t="s">
        <v>648</v>
      </c>
      <c r="N244" s="74" t="s">
        <v>648</v>
      </c>
      <c r="O244" s="74">
        <v>134235</v>
      </c>
      <c r="P244" s="74">
        <v>30110</v>
      </c>
      <c r="Q244" s="74">
        <v>104125</v>
      </c>
      <c r="R244" s="76" t="s">
        <v>85</v>
      </c>
      <c r="S244" s="73"/>
      <c r="T244" s="73"/>
      <c r="U244" s="73"/>
      <c r="V244" s="73"/>
      <c r="W244" s="73"/>
      <c r="X244" s="73"/>
      <c r="Y244" s="73"/>
    </row>
    <row r="245" spans="1:25" s="74" customFormat="1" ht="10.5" customHeight="1" x14ac:dyDescent="0.15">
      <c r="A245" s="950" t="s">
        <v>872</v>
      </c>
      <c r="B245" s="74" t="s">
        <v>648</v>
      </c>
      <c r="C245" s="74" t="s">
        <v>648</v>
      </c>
      <c r="D245" s="74" t="s">
        <v>648</v>
      </c>
      <c r="E245" s="74" t="s">
        <v>648</v>
      </c>
      <c r="F245" s="74" t="s">
        <v>648</v>
      </c>
      <c r="G245" s="74">
        <v>232733</v>
      </c>
      <c r="H245" s="74" t="s">
        <v>648</v>
      </c>
      <c r="I245" s="74" t="s">
        <v>648</v>
      </c>
      <c r="J245" s="74" t="s">
        <v>648</v>
      </c>
      <c r="K245" s="74" t="s">
        <v>648</v>
      </c>
      <c r="L245" s="74" t="s">
        <v>648</v>
      </c>
      <c r="M245" s="74" t="s">
        <v>648</v>
      </c>
      <c r="N245" s="74" t="s">
        <v>648</v>
      </c>
      <c r="O245" s="74">
        <v>232733</v>
      </c>
      <c r="P245" s="74">
        <v>52849</v>
      </c>
      <c r="Q245" s="74">
        <v>179884</v>
      </c>
      <c r="R245" s="76" t="s">
        <v>791</v>
      </c>
      <c r="S245" s="73"/>
      <c r="T245" s="73"/>
      <c r="U245" s="73"/>
      <c r="V245" s="73"/>
      <c r="W245" s="73"/>
      <c r="X245" s="73"/>
      <c r="Y245" s="73"/>
    </row>
    <row r="246" spans="1:25" s="74" customFormat="1" ht="10.5" customHeight="1" x14ac:dyDescent="0.15">
      <c r="A246" s="950" t="s">
        <v>792</v>
      </c>
      <c r="B246" s="74" t="s">
        <v>648</v>
      </c>
      <c r="C246" s="74" t="s">
        <v>648</v>
      </c>
      <c r="D246" s="74" t="s">
        <v>648</v>
      </c>
      <c r="E246" s="74" t="s">
        <v>648</v>
      </c>
      <c r="F246" s="74" t="s">
        <v>648</v>
      </c>
      <c r="G246" s="74">
        <v>386712</v>
      </c>
      <c r="H246" s="74">
        <v>167580</v>
      </c>
      <c r="I246" s="74">
        <v>167580</v>
      </c>
      <c r="J246" s="74" t="s">
        <v>648</v>
      </c>
      <c r="K246" s="74" t="s">
        <v>648</v>
      </c>
      <c r="L246" s="74" t="s">
        <v>648</v>
      </c>
      <c r="M246" s="74" t="s">
        <v>648</v>
      </c>
      <c r="N246" s="74" t="s">
        <v>648</v>
      </c>
      <c r="O246" s="74">
        <v>219132</v>
      </c>
      <c r="P246" s="74">
        <v>44204</v>
      </c>
      <c r="Q246" s="74">
        <v>174928</v>
      </c>
      <c r="R246" s="76" t="s">
        <v>80</v>
      </c>
      <c r="S246" s="73"/>
      <c r="T246" s="73"/>
      <c r="U246" s="73"/>
      <c r="V246" s="73"/>
      <c r="W246" s="73"/>
      <c r="X246" s="73"/>
      <c r="Y246" s="73"/>
    </row>
    <row r="247" spans="1:25" s="74" customFormat="1" ht="10.5" customHeight="1" x14ac:dyDescent="0.15">
      <c r="A247" s="951" t="s">
        <v>793</v>
      </c>
      <c r="B247" s="78" t="s">
        <v>648</v>
      </c>
      <c r="C247" s="79" t="s">
        <v>648</v>
      </c>
      <c r="D247" s="79" t="s">
        <v>648</v>
      </c>
      <c r="E247" s="79" t="s">
        <v>648</v>
      </c>
      <c r="F247" s="79" t="s">
        <v>648</v>
      </c>
      <c r="G247" s="79">
        <v>299194</v>
      </c>
      <c r="H247" s="79">
        <v>78582</v>
      </c>
      <c r="I247" s="79">
        <v>78582</v>
      </c>
      <c r="J247" s="79" t="s">
        <v>648</v>
      </c>
      <c r="K247" s="79" t="s">
        <v>648</v>
      </c>
      <c r="L247" s="79" t="s">
        <v>648</v>
      </c>
      <c r="M247" s="79" t="s">
        <v>648</v>
      </c>
      <c r="N247" s="79" t="s">
        <v>648</v>
      </c>
      <c r="O247" s="79">
        <v>220612</v>
      </c>
      <c r="P247" s="79">
        <v>59549</v>
      </c>
      <c r="Q247" s="79">
        <v>161063</v>
      </c>
      <c r="R247" s="80" t="s">
        <v>81</v>
      </c>
      <c r="S247" s="73"/>
      <c r="T247" s="73"/>
      <c r="U247" s="73"/>
      <c r="V247" s="73"/>
      <c r="W247" s="73"/>
      <c r="X247" s="73"/>
      <c r="Y247" s="73"/>
    </row>
    <row r="248" spans="1:25" ht="23.25" customHeight="1" x14ac:dyDescent="0.35">
      <c r="I248" s="81" t="s">
        <v>100</v>
      </c>
    </row>
    <row r="249" spans="1:25" s="21" customFormat="1" ht="11.25" customHeight="1" x14ac:dyDescent="0.15">
      <c r="A249" s="66"/>
      <c r="B249" s="82" t="s">
        <v>873</v>
      </c>
      <c r="C249" s="68"/>
      <c r="D249" s="66"/>
      <c r="E249" s="37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1063" t="s">
        <v>86</v>
      </c>
      <c r="S249" s="19"/>
      <c r="T249" s="19"/>
      <c r="U249" s="19"/>
      <c r="V249" s="19"/>
      <c r="W249" s="19"/>
      <c r="X249" s="19"/>
      <c r="Y249" s="19"/>
    </row>
    <row r="250" spans="1:25" s="69" customFormat="1" ht="28.5" customHeight="1" x14ac:dyDescent="0.2">
      <c r="A250" s="35" t="s">
        <v>194</v>
      </c>
      <c r="B250" s="904" t="s">
        <v>874</v>
      </c>
      <c r="C250" s="20"/>
      <c r="D250" s="84"/>
      <c r="E250" s="16" t="s">
        <v>176</v>
      </c>
      <c r="F250" s="14" t="s">
        <v>177</v>
      </c>
      <c r="G250" s="904" t="s">
        <v>557</v>
      </c>
      <c r="H250" s="20"/>
      <c r="I250" s="84"/>
      <c r="J250" s="14" t="s">
        <v>682</v>
      </c>
      <c r="K250" s="14" t="s">
        <v>477</v>
      </c>
      <c r="L250" s="14" t="s">
        <v>558</v>
      </c>
      <c r="M250" s="14" t="s">
        <v>683</v>
      </c>
      <c r="N250" s="904" t="s">
        <v>187</v>
      </c>
      <c r="O250" s="20"/>
      <c r="P250" s="20"/>
      <c r="Q250" s="20"/>
      <c r="R250" s="1064"/>
      <c r="S250" s="15"/>
      <c r="T250" s="15"/>
      <c r="U250" s="15"/>
      <c r="V250" s="15"/>
      <c r="W250" s="15"/>
      <c r="X250" s="15"/>
      <c r="Y250" s="15"/>
    </row>
    <row r="251" spans="1:25" s="69" customFormat="1" ht="28.5" customHeight="1" x14ac:dyDescent="0.2">
      <c r="A251" s="35"/>
      <c r="B251" s="16" t="s">
        <v>797</v>
      </c>
      <c r="C251" s="14" t="s">
        <v>875</v>
      </c>
      <c r="D251" s="14" t="s">
        <v>876</v>
      </c>
      <c r="E251" s="16" t="s">
        <v>25</v>
      </c>
      <c r="F251" s="14" t="s">
        <v>183</v>
      </c>
      <c r="G251" s="16" t="s">
        <v>118</v>
      </c>
      <c r="H251" s="14" t="s">
        <v>559</v>
      </c>
      <c r="I251" s="14" t="s">
        <v>560</v>
      </c>
      <c r="J251" s="14" t="s">
        <v>56</v>
      </c>
      <c r="K251" s="14" t="s">
        <v>478</v>
      </c>
      <c r="L251" s="14" t="s">
        <v>561</v>
      </c>
      <c r="M251" s="14" t="s">
        <v>562</v>
      </c>
      <c r="N251" s="16" t="s">
        <v>28</v>
      </c>
      <c r="O251" s="14" t="s">
        <v>189</v>
      </c>
      <c r="P251" s="14" t="s">
        <v>190</v>
      </c>
      <c r="Q251" s="904" t="s">
        <v>55</v>
      </c>
      <c r="R251" s="1064"/>
      <c r="S251" s="15"/>
      <c r="T251" s="15"/>
      <c r="U251" s="15"/>
      <c r="V251" s="15"/>
      <c r="W251" s="15"/>
      <c r="X251" s="15"/>
      <c r="Y251" s="15"/>
    </row>
    <row r="252" spans="1:25" s="69" customFormat="1" ht="12" customHeight="1" x14ac:dyDescent="0.2">
      <c r="A252" s="36"/>
      <c r="B252" s="18"/>
      <c r="C252" s="18" t="str">
        <f>PROPER("BUZIOS")</f>
        <v>Buzios</v>
      </c>
      <c r="D252" s="18" t="str">
        <f>PROPER("TUPI")</f>
        <v>Tupi</v>
      </c>
      <c r="E252" s="18"/>
      <c r="F252" s="18" t="str">
        <f>PROPER("SAHARA-B")</f>
        <v>Sahara-B</v>
      </c>
      <c r="G252" s="18"/>
      <c r="H252" s="18" t="str">
        <f>PROPER("AMNA")</f>
        <v>Amna</v>
      </c>
      <c r="I252" s="18" t="str">
        <f>PROPER("BU-ATTFL")</f>
        <v>Bu-Attfl</v>
      </c>
      <c r="J252" s="18" t="str">
        <f>PROPER("NILE")</f>
        <v>Nile</v>
      </c>
      <c r="K252" s="18" t="str">
        <f>PROPER("TEN-B")</f>
        <v>Ten-B</v>
      </c>
      <c r="L252" s="18" t="str">
        <f>PROPER("EBOME")</f>
        <v>Ebome</v>
      </c>
      <c r="M252" s="18" t="str">
        <f>PROPER("OGUENDJO")</f>
        <v>Oguendjo</v>
      </c>
      <c r="N252" s="18"/>
      <c r="O252" s="18" t="str">
        <f>PROPER("NEMBA")</f>
        <v>Nemba</v>
      </c>
      <c r="P252" s="18" t="str">
        <f>PROPER("GIRASSOL")</f>
        <v>Girassol</v>
      </c>
      <c r="Q252" s="17" t="str">
        <f>PROPER("KISSANJE")</f>
        <v>Kissanje</v>
      </c>
      <c r="R252" s="1065"/>
      <c r="S252" s="15"/>
      <c r="T252" s="15"/>
      <c r="U252" s="15"/>
      <c r="V252" s="15"/>
      <c r="W252" s="15"/>
      <c r="X252" s="15"/>
      <c r="Y252" s="15"/>
    </row>
    <row r="253" spans="1:25" s="74" customFormat="1" ht="10.5" customHeight="1" x14ac:dyDescent="0.15">
      <c r="A253" s="949" t="s">
        <v>763</v>
      </c>
      <c r="B253" s="70" t="s">
        <v>648</v>
      </c>
      <c r="C253" s="71" t="s">
        <v>648</v>
      </c>
      <c r="D253" s="71" t="s">
        <v>648</v>
      </c>
      <c r="E253" s="71">
        <v>795611</v>
      </c>
      <c r="F253" s="71">
        <v>26917</v>
      </c>
      <c r="G253" s="71" t="s">
        <v>648</v>
      </c>
      <c r="H253" s="71" t="s">
        <v>648</v>
      </c>
      <c r="I253" s="71" t="s">
        <v>648</v>
      </c>
      <c r="J253" s="71" t="s">
        <v>648</v>
      </c>
      <c r="K253" s="71">
        <v>157618</v>
      </c>
      <c r="L253" s="71" t="s">
        <v>648</v>
      </c>
      <c r="M253" s="71" t="s">
        <v>648</v>
      </c>
      <c r="N253" s="71">
        <v>611076</v>
      </c>
      <c r="O253" s="71">
        <v>301364</v>
      </c>
      <c r="P253" s="71">
        <v>158691</v>
      </c>
      <c r="Q253" s="71">
        <v>151021</v>
      </c>
      <c r="R253" s="72" t="s">
        <v>464</v>
      </c>
      <c r="S253" s="73"/>
      <c r="T253" s="73"/>
      <c r="U253" s="73"/>
      <c r="V253" s="73"/>
      <c r="W253" s="73"/>
      <c r="X253" s="73"/>
      <c r="Y253" s="73"/>
    </row>
    <row r="254" spans="1:25" s="74" customFormat="1" ht="10.5" customHeight="1" x14ac:dyDescent="0.15">
      <c r="A254" s="950" t="s">
        <v>764</v>
      </c>
      <c r="B254" s="74" t="s">
        <v>648</v>
      </c>
      <c r="C254" s="74" t="s">
        <v>648</v>
      </c>
      <c r="D254" s="74" t="s">
        <v>648</v>
      </c>
      <c r="E254" s="74">
        <v>619926</v>
      </c>
      <c r="F254" s="74">
        <v>202159</v>
      </c>
      <c r="G254" s="74" t="s">
        <v>648</v>
      </c>
      <c r="H254" s="74" t="s">
        <v>648</v>
      </c>
      <c r="I254" s="74" t="s">
        <v>648</v>
      </c>
      <c r="J254" s="74" t="s">
        <v>648</v>
      </c>
      <c r="K254" s="74" t="s">
        <v>648</v>
      </c>
      <c r="L254" s="74" t="s">
        <v>648</v>
      </c>
      <c r="M254" s="74" t="s">
        <v>648</v>
      </c>
      <c r="N254" s="74">
        <v>387291</v>
      </c>
      <c r="O254" s="74" t="s">
        <v>648</v>
      </c>
      <c r="P254" s="74" t="s">
        <v>648</v>
      </c>
      <c r="Q254" s="74" t="s">
        <v>648</v>
      </c>
      <c r="R254" s="76" t="s">
        <v>489</v>
      </c>
      <c r="S254" s="73"/>
      <c r="T254" s="73"/>
      <c r="U254" s="73"/>
      <c r="V254" s="73"/>
      <c r="W254" s="73"/>
      <c r="X254" s="73"/>
      <c r="Y254" s="73"/>
    </row>
    <row r="255" spans="1:25" s="74" customFormat="1" ht="10.5" customHeight="1" x14ac:dyDescent="0.15">
      <c r="A255" s="950" t="s">
        <v>765</v>
      </c>
      <c r="B255" s="74" t="s">
        <v>648</v>
      </c>
      <c r="C255" s="74" t="s">
        <v>648</v>
      </c>
      <c r="D255" s="74" t="s">
        <v>648</v>
      </c>
      <c r="E255" s="74">
        <v>742099</v>
      </c>
      <c r="F255" s="74">
        <v>498520</v>
      </c>
      <c r="G255" s="74" t="s">
        <v>648</v>
      </c>
      <c r="H255" s="74" t="s">
        <v>648</v>
      </c>
      <c r="I255" s="74" t="s">
        <v>648</v>
      </c>
      <c r="J255" s="74" t="s">
        <v>648</v>
      </c>
      <c r="K255" s="74" t="s">
        <v>648</v>
      </c>
      <c r="L255" s="74">
        <v>58730</v>
      </c>
      <c r="M255" s="74">
        <v>41986</v>
      </c>
      <c r="N255" s="74">
        <v>142863</v>
      </c>
      <c r="O255" s="74" t="s">
        <v>648</v>
      </c>
      <c r="P255" s="74" t="s">
        <v>648</v>
      </c>
      <c r="Q255" s="74" t="s">
        <v>648</v>
      </c>
      <c r="R255" s="76" t="s">
        <v>549</v>
      </c>
      <c r="S255" s="73"/>
      <c r="T255" s="73"/>
      <c r="U255" s="73"/>
      <c r="V255" s="73"/>
      <c r="W255" s="73"/>
      <c r="X255" s="73"/>
      <c r="Y255" s="73"/>
    </row>
    <row r="256" spans="1:25" s="74" customFormat="1" ht="10.5" customHeight="1" x14ac:dyDescent="0.15">
      <c r="A256" s="950" t="s">
        <v>766</v>
      </c>
      <c r="B256" s="74" t="s">
        <v>648</v>
      </c>
      <c r="C256" s="74" t="s">
        <v>648</v>
      </c>
      <c r="D256" s="74" t="s">
        <v>648</v>
      </c>
      <c r="E256" s="74">
        <v>421459</v>
      </c>
      <c r="F256" s="74">
        <v>369843</v>
      </c>
      <c r="G256" s="74">
        <v>51616</v>
      </c>
      <c r="H256" s="74">
        <v>26414</v>
      </c>
      <c r="I256" s="74">
        <v>25202</v>
      </c>
      <c r="J256" s="74" t="s">
        <v>648</v>
      </c>
      <c r="K256" s="74" t="s">
        <v>648</v>
      </c>
      <c r="L256" s="74" t="s">
        <v>648</v>
      </c>
      <c r="M256" s="74" t="s">
        <v>648</v>
      </c>
      <c r="N256" s="74" t="s">
        <v>648</v>
      </c>
      <c r="O256" s="74" t="s">
        <v>648</v>
      </c>
      <c r="P256" s="74" t="s">
        <v>648</v>
      </c>
      <c r="Q256" s="74" t="s">
        <v>648</v>
      </c>
      <c r="R256" s="76" t="s">
        <v>672</v>
      </c>
      <c r="S256" s="73"/>
      <c r="T256" s="73"/>
      <c r="U256" s="73"/>
      <c r="V256" s="73"/>
      <c r="W256" s="73"/>
      <c r="X256" s="73"/>
      <c r="Y256" s="73"/>
    </row>
    <row r="257" spans="1:25" s="74" customFormat="1" ht="10.5" customHeight="1" x14ac:dyDescent="0.15">
      <c r="A257" s="950" t="s">
        <v>767</v>
      </c>
      <c r="B257" s="74">
        <v>318</v>
      </c>
      <c r="C257" s="74">
        <v>157</v>
      </c>
      <c r="D257" s="74">
        <v>161</v>
      </c>
      <c r="E257" s="74">
        <v>752667</v>
      </c>
      <c r="F257" s="74">
        <v>498527</v>
      </c>
      <c r="G257" s="74">
        <v>67609</v>
      </c>
      <c r="H257" s="74" t="s">
        <v>648</v>
      </c>
      <c r="I257" s="74">
        <v>67609</v>
      </c>
      <c r="J257" s="74">
        <v>151524</v>
      </c>
      <c r="K257" s="74" t="s">
        <v>648</v>
      </c>
      <c r="L257" s="74" t="s">
        <v>648</v>
      </c>
      <c r="M257" s="74" t="s">
        <v>648</v>
      </c>
      <c r="N257" s="74" t="s">
        <v>648</v>
      </c>
      <c r="O257" s="74" t="s">
        <v>648</v>
      </c>
      <c r="P257" s="74" t="s">
        <v>648</v>
      </c>
      <c r="Q257" s="74" t="s">
        <v>648</v>
      </c>
      <c r="R257" s="76" t="s">
        <v>768</v>
      </c>
      <c r="S257" s="73"/>
      <c r="T257" s="73"/>
      <c r="U257" s="73"/>
      <c r="V257" s="73"/>
      <c r="W257" s="73"/>
      <c r="X257" s="73"/>
      <c r="Y257" s="73"/>
    </row>
    <row r="258" spans="1:25" s="74" customFormat="1" ht="10.5" customHeight="1" x14ac:dyDescent="0.15">
      <c r="A258" s="950"/>
      <c r="R258" s="76"/>
      <c r="S258" s="73"/>
      <c r="T258" s="73"/>
      <c r="U258" s="73"/>
      <c r="V258" s="73"/>
      <c r="W258" s="73"/>
      <c r="X258" s="73"/>
      <c r="Y258" s="73"/>
    </row>
    <row r="259" spans="1:25" s="74" customFormat="1" ht="10.5" customHeight="1" x14ac:dyDescent="0.15">
      <c r="A259" s="950" t="s">
        <v>799</v>
      </c>
      <c r="B259" s="74" t="s">
        <v>648</v>
      </c>
      <c r="C259" s="74" t="s">
        <v>648</v>
      </c>
      <c r="D259" s="74" t="s">
        <v>648</v>
      </c>
      <c r="E259" s="74">
        <v>281132</v>
      </c>
      <c r="F259" s="74">
        <v>281132</v>
      </c>
      <c r="G259" s="74" t="s">
        <v>648</v>
      </c>
      <c r="H259" s="74" t="s">
        <v>648</v>
      </c>
      <c r="I259" s="74" t="s">
        <v>648</v>
      </c>
      <c r="J259" s="74" t="s">
        <v>648</v>
      </c>
      <c r="K259" s="74" t="s">
        <v>648</v>
      </c>
      <c r="L259" s="74" t="s">
        <v>648</v>
      </c>
      <c r="M259" s="74" t="s">
        <v>648</v>
      </c>
      <c r="N259" s="74" t="s">
        <v>648</v>
      </c>
      <c r="O259" s="74" t="s">
        <v>648</v>
      </c>
      <c r="P259" s="74" t="s">
        <v>648</v>
      </c>
      <c r="Q259" s="74" t="s">
        <v>648</v>
      </c>
      <c r="R259" s="76" t="s">
        <v>673</v>
      </c>
      <c r="S259" s="73"/>
      <c r="T259" s="73"/>
      <c r="U259" s="73"/>
      <c r="V259" s="73"/>
      <c r="W259" s="73"/>
      <c r="X259" s="73"/>
      <c r="Y259" s="73"/>
    </row>
    <row r="260" spans="1:25" s="74" customFormat="1" ht="10.5" customHeight="1" x14ac:dyDescent="0.15">
      <c r="A260" s="950" t="s">
        <v>800</v>
      </c>
      <c r="B260" s="74">
        <v>318</v>
      </c>
      <c r="C260" s="74">
        <v>157</v>
      </c>
      <c r="D260" s="74">
        <v>161</v>
      </c>
      <c r="E260" s="74">
        <v>848745</v>
      </c>
      <c r="F260" s="74">
        <v>497405</v>
      </c>
      <c r="G260" s="74">
        <v>67609</v>
      </c>
      <c r="H260" s="74" t="s">
        <v>648</v>
      </c>
      <c r="I260" s="74">
        <v>67609</v>
      </c>
      <c r="J260" s="74">
        <v>248724</v>
      </c>
      <c r="K260" s="74" t="s">
        <v>648</v>
      </c>
      <c r="L260" s="74" t="s">
        <v>648</v>
      </c>
      <c r="M260" s="74" t="s">
        <v>648</v>
      </c>
      <c r="N260" s="74" t="s">
        <v>648</v>
      </c>
      <c r="O260" s="74" t="s">
        <v>648</v>
      </c>
      <c r="P260" s="74" t="s">
        <v>648</v>
      </c>
      <c r="Q260" s="74" t="s">
        <v>648</v>
      </c>
      <c r="R260" s="76" t="s">
        <v>771</v>
      </c>
      <c r="S260" s="73"/>
      <c r="T260" s="73"/>
      <c r="U260" s="73"/>
      <c r="V260" s="73"/>
      <c r="W260" s="73"/>
      <c r="X260" s="73"/>
      <c r="Y260" s="73"/>
    </row>
    <row r="261" spans="1:25" s="74" customFormat="1" ht="10.5" customHeight="1" x14ac:dyDescent="0.15">
      <c r="A261" s="950"/>
      <c r="R261" s="76"/>
      <c r="S261" s="73"/>
      <c r="T261" s="73"/>
      <c r="U261" s="73"/>
      <c r="V261" s="73"/>
      <c r="W261" s="73"/>
      <c r="X261" s="73"/>
      <c r="Y261" s="73"/>
    </row>
    <row r="262" spans="1:25" s="74" customFormat="1" ht="10.5" customHeight="1" x14ac:dyDescent="0.15">
      <c r="A262" s="950" t="s">
        <v>772</v>
      </c>
      <c r="B262" s="74" t="s">
        <v>648</v>
      </c>
      <c r="C262" s="74" t="s">
        <v>648</v>
      </c>
      <c r="D262" s="74" t="s">
        <v>648</v>
      </c>
      <c r="E262" s="74">
        <v>72395</v>
      </c>
      <c r="F262" s="74">
        <v>72395</v>
      </c>
      <c r="G262" s="74" t="s">
        <v>648</v>
      </c>
      <c r="H262" s="74" t="s">
        <v>648</v>
      </c>
      <c r="I262" s="74" t="s">
        <v>648</v>
      </c>
      <c r="J262" s="74" t="s">
        <v>648</v>
      </c>
      <c r="K262" s="74" t="s">
        <v>648</v>
      </c>
      <c r="L262" s="74" t="s">
        <v>648</v>
      </c>
      <c r="M262" s="74" t="s">
        <v>648</v>
      </c>
      <c r="N262" s="74" t="s">
        <v>648</v>
      </c>
      <c r="O262" s="74" t="s">
        <v>648</v>
      </c>
      <c r="P262" s="74" t="s">
        <v>648</v>
      </c>
      <c r="Q262" s="74" t="s">
        <v>648</v>
      </c>
      <c r="R262" s="76" t="s">
        <v>674</v>
      </c>
      <c r="S262" s="73"/>
      <c r="T262" s="73"/>
      <c r="U262" s="73"/>
      <c r="V262" s="73"/>
      <c r="W262" s="73"/>
      <c r="X262" s="73"/>
      <c r="Y262" s="73"/>
    </row>
    <row r="263" spans="1:25" s="74" customFormat="1" ht="10.5" customHeight="1" x14ac:dyDescent="0.15">
      <c r="A263" s="950" t="s">
        <v>773</v>
      </c>
      <c r="B263" s="74" t="s">
        <v>648</v>
      </c>
      <c r="C263" s="74" t="s">
        <v>648</v>
      </c>
      <c r="D263" s="74" t="s">
        <v>648</v>
      </c>
      <c r="E263" s="74">
        <v>145264</v>
      </c>
      <c r="F263" s="74">
        <v>54762</v>
      </c>
      <c r="G263" s="74">
        <v>31636</v>
      </c>
      <c r="H263" s="74" t="s">
        <v>648</v>
      </c>
      <c r="I263" s="74">
        <v>31636</v>
      </c>
      <c r="J263" s="74">
        <v>58866</v>
      </c>
      <c r="K263" s="74" t="s">
        <v>648</v>
      </c>
      <c r="L263" s="74" t="s">
        <v>648</v>
      </c>
      <c r="M263" s="74" t="s">
        <v>648</v>
      </c>
      <c r="N263" s="74" t="s">
        <v>648</v>
      </c>
      <c r="O263" s="74" t="s">
        <v>648</v>
      </c>
      <c r="P263" s="74" t="s">
        <v>648</v>
      </c>
      <c r="Q263" s="74" t="s">
        <v>648</v>
      </c>
      <c r="R263" s="76" t="s">
        <v>92</v>
      </c>
      <c r="S263" s="73"/>
      <c r="T263" s="73"/>
      <c r="U263" s="73"/>
      <c r="V263" s="73"/>
      <c r="W263" s="73"/>
      <c r="X263" s="73"/>
      <c r="Y263" s="73"/>
    </row>
    <row r="264" spans="1:25" s="74" customFormat="1" ht="10.5" customHeight="1" x14ac:dyDescent="0.15">
      <c r="A264" s="950" t="s">
        <v>774</v>
      </c>
      <c r="B264" s="74" t="s">
        <v>648</v>
      </c>
      <c r="C264" s="74" t="s">
        <v>648</v>
      </c>
      <c r="D264" s="74" t="s">
        <v>648</v>
      </c>
      <c r="E264" s="74">
        <v>423256</v>
      </c>
      <c r="F264" s="74">
        <v>355463</v>
      </c>
      <c r="G264" s="74">
        <v>35973</v>
      </c>
      <c r="H264" s="74" t="s">
        <v>648</v>
      </c>
      <c r="I264" s="74">
        <v>35973</v>
      </c>
      <c r="J264" s="74">
        <v>31820</v>
      </c>
      <c r="K264" s="74" t="s">
        <v>648</v>
      </c>
      <c r="L264" s="74" t="s">
        <v>648</v>
      </c>
      <c r="M264" s="74" t="s">
        <v>648</v>
      </c>
      <c r="N264" s="74" t="s">
        <v>648</v>
      </c>
      <c r="O264" s="74" t="s">
        <v>648</v>
      </c>
      <c r="P264" s="74" t="s">
        <v>648</v>
      </c>
      <c r="Q264" s="74" t="s">
        <v>648</v>
      </c>
      <c r="R264" s="76" t="s">
        <v>93</v>
      </c>
      <c r="S264" s="73"/>
      <c r="T264" s="73"/>
      <c r="U264" s="73"/>
      <c r="V264" s="73"/>
      <c r="W264" s="73"/>
      <c r="X264" s="73"/>
      <c r="Y264" s="73"/>
    </row>
    <row r="265" spans="1:25" s="74" customFormat="1" ht="10.5" customHeight="1" x14ac:dyDescent="0.15">
      <c r="A265" s="950" t="s">
        <v>801</v>
      </c>
      <c r="B265" s="74">
        <v>318</v>
      </c>
      <c r="C265" s="74">
        <v>157</v>
      </c>
      <c r="D265" s="74">
        <v>161</v>
      </c>
      <c r="E265" s="74">
        <v>111752</v>
      </c>
      <c r="F265" s="74">
        <v>15907</v>
      </c>
      <c r="G265" s="74" t="s">
        <v>648</v>
      </c>
      <c r="H265" s="74" t="s">
        <v>648</v>
      </c>
      <c r="I265" s="74" t="s">
        <v>648</v>
      </c>
      <c r="J265" s="74">
        <v>60838</v>
      </c>
      <c r="K265" s="74" t="s">
        <v>648</v>
      </c>
      <c r="L265" s="74" t="s">
        <v>648</v>
      </c>
      <c r="M265" s="74" t="s">
        <v>648</v>
      </c>
      <c r="N265" s="74" t="s">
        <v>648</v>
      </c>
      <c r="O265" s="74" t="s">
        <v>648</v>
      </c>
      <c r="P265" s="74" t="s">
        <v>648</v>
      </c>
      <c r="Q265" s="74" t="s">
        <v>648</v>
      </c>
      <c r="R265" s="76" t="s">
        <v>94</v>
      </c>
      <c r="S265" s="73"/>
      <c r="T265" s="73"/>
      <c r="U265" s="73"/>
      <c r="V265" s="73"/>
      <c r="W265" s="73"/>
      <c r="X265" s="73"/>
      <c r="Y265" s="73"/>
    </row>
    <row r="266" spans="1:25" s="74" customFormat="1" ht="10.5" customHeight="1" x14ac:dyDescent="0.15">
      <c r="A266" s="950" t="s">
        <v>809</v>
      </c>
      <c r="B266" s="74" t="s">
        <v>648</v>
      </c>
      <c r="C266" s="74" t="s">
        <v>648</v>
      </c>
      <c r="D266" s="74" t="s">
        <v>648</v>
      </c>
      <c r="E266" s="74">
        <v>168473</v>
      </c>
      <c r="F266" s="74">
        <v>71273</v>
      </c>
      <c r="G266" s="74" t="s">
        <v>648</v>
      </c>
      <c r="H266" s="74" t="s">
        <v>648</v>
      </c>
      <c r="I266" s="74" t="s">
        <v>648</v>
      </c>
      <c r="J266" s="74">
        <v>97200</v>
      </c>
      <c r="K266" s="74" t="s">
        <v>648</v>
      </c>
      <c r="L266" s="74" t="s">
        <v>648</v>
      </c>
      <c r="M266" s="74" t="s">
        <v>648</v>
      </c>
      <c r="N266" s="74" t="s">
        <v>648</v>
      </c>
      <c r="O266" s="74" t="s">
        <v>648</v>
      </c>
      <c r="P266" s="74" t="s">
        <v>648</v>
      </c>
      <c r="Q266" s="74" t="s">
        <v>648</v>
      </c>
      <c r="R266" s="76" t="s">
        <v>777</v>
      </c>
      <c r="S266" s="73"/>
      <c r="T266" s="73"/>
      <c r="U266" s="73"/>
      <c r="V266" s="73"/>
      <c r="W266" s="73"/>
      <c r="X266" s="73"/>
      <c r="Y266" s="73"/>
    </row>
    <row r="267" spans="1:25" s="74" customFormat="1" ht="10.5" customHeight="1" x14ac:dyDescent="0.15">
      <c r="A267" s="950"/>
      <c r="R267" s="76"/>
      <c r="S267" s="73"/>
      <c r="T267" s="73"/>
      <c r="U267" s="73"/>
      <c r="V267" s="73"/>
      <c r="W267" s="73"/>
      <c r="X267" s="73"/>
      <c r="Y267" s="73"/>
    </row>
    <row r="268" spans="1:25" s="74" customFormat="1" ht="10.5" customHeight="1" x14ac:dyDescent="0.15">
      <c r="A268" s="950" t="s">
        <v>778</v>
      </c>
      <c r="B268" s="74" t="s">
        <v>648</v>
      </c>
      <c r="C268" s="74" t="s">
        <v>648</v>
      </c>
      <c r="D268" s="74" t="s">
        <v>648</v>
      </c>
      <c r="E268" s="74">
        <v>41272</v>
      </c>
      <c r="F268" s="74">
        <v>41272</v>
      </c>
      <c r="G268" s="74" t="s">
        <v>648</v>
      </c>
      <c r="H268" s="74" t="s">
        <v>648</v>
      </c>
      <c r="I268" s="74" t="s">
        <v>648</v>
      </c>
      <c r="J268" s="74" t="s">
        <v>648</v>
      </c>
      <c r="K268" s="74" t="s">
        <v>648</v>
      </c>
      <c r="L268" s="74" t="s">
        <v>648</v>
      </c>
      <c r="M268" s="74" t="s">
        <v>648</v>
      </c>
      <c r="N268" s="74" t="s">
        <v>648</v>
      </c>
      <c r="O268" s="74" t="s">
        <v>648</v>
      </c>
      <c r="P268" s="74" t="s">
        <v>648</v>
      </c>
      <c r="Q268" s="74" t="s">
        <v>648</v>
      </c>
      <c r="R268" s="76" t="s">
        <v>675</v>
      </c>
      <c r="S268" s="73"/>
      <c r="T268" s="73"/>
      <c r="U268" s="73"/>
      <c r="V268" s="73"/>
      <c r="W268" s="73"/>
      <c r="X268" s="73"/>
      <c r="Y268" s="73"/>
    </row>
    <row r="269" spans="1:25" s="74" customFormat="1" ht="10.5" customHeight="1" x14ac:dyDescent="0.15">
      <c r="A269" s="950" t="s">
        <v>779</v>
      </c>
      <c r="B269" s="74" t="s">
        <v>648</v>
      </c>
      <c r="C269" s="74" t="s">
        <v>648</v>
      </c>
      <c r="D269" s="74" t="s">
        <v>648</v>
      </c>
      <c r="E269" s="74">
        <v>31123</v>
      </c>
      <c r="F269" s="74">
        <v>31123</v>
      </c>
      <c r="G269" s="74" t="s">
        <v>648</v>
      </c>
      <c r="H269" s="74" t="s">
        <v>648</v>
      </c>
      <c r="I269" s="74" t="s">
        <v>648</v>
      </c>
      <c r="J269" s="74" t="s">
        <v>648</v>
      </c>
      <c r="K269" s="74" t="s">
        <v>648</v>
      </c>
      <c r="L269" s="74" t="s">
        <v>648</v>
      </c>
      <c r="M269" s="74" t="s">
        <v>648</v>
      </c>
      <c r="N269" s="74" t="s">
        <v>648</v>
      </c>
      <c r="O269" s="74" t="s">
        <v>648</v>
      </c>
      <c r="P269" s="74" t="s">
        <v>648</v>
      </c>
      <c r="Q269" s="74" t="s">
        <v>648</v>
      </c>
      <c r="R269" s="76" t="s">
        <v>80</v>
      </c>
      <c r="S269" s="73"/>
      <c r="T269" s="73"/>
      <c r="U269" s="73"/>
      <c r="V269" s="73"/>
      <c r="W269" s="73"/>
      <c r="X269" s="73"/>
      <c r="Y269" s="73"/>
    </row>
    <row r="270" spans="1:25" s="74" customFormat="1" ht="10.5" customHeight="1" x14ac:dyDescent="0.15">
      <c r="A270" s="950" t="s">
        <v>780</v>
      </c>
      <c r="B270" s="74" t="s">
        <v>648</v>
      </c>
      <c r="C270" s="74" t="s">
        <v>648</v>
      </c>
      <c r="D270" s="74" t="s">
        <v>648</v>
      </c>
      <c r="E270" s="74" t="s">
        <v>648</v>
      </c>
      <c r="F270" s="74" t="s">
        <v>648</v>
      </c>
      <c r="G270" s="74" t="s">
        <v>648</v>
      </c>
      <c r="H270" s="74" t="s">
        <v>648</v>
      </c>
      <c r="I270" s="74" t="s">
        <v>648</v>
      </c>
      <c r="J270" s="74" t="s">
        <v>648</v>
      </c>
      <c r="K270" s="74" t="s">
        <v>648</v>
      </c>
      <c r="L270" s="74" t="s">
        <v>648</v>
      </c>
      <c r="M270" s="74" t="s">
        <v>648</v>
      </c>
      <c r="N270" s="74" t="s">
        <v>648</v>
      </c>
      <c r="O270" s="74" t="s">
        <v>648</v>
      </c>
      <c r="P270" s="74" t="s">
        <v>648</v>
      </c>
      <c r="Q270" s="74" t="s">
        <v>648</v>
      </c>
      <c r="R270" s="76" t="s">
        <v>81</v>
      </c>
      <c r="S270" s="73"/>
      <c r="T270" s="73"/>
      <c r="U270" s="73"/>
      <c r="V270" s="73"/>
      <c r="W270" s="73"/>
      <c r="X270" s="73"/>
      <c r="Y270" s="73"/>
    </row>
    <row r="271" spans="1:25" s="74" customFormat="1" ht="10.5" customHeight="1" x14ac:dyDescent="0.15">
      <c r="A271" s="950" t="s">
        <v>781</v>
      </c>
      <c r="B271" s="74" t="s">
        <v>648</v>
      </c>
      <c r="C271" s="74" t="s">
        <v>648</v>
      </c>
      <c r="D271" s="74" t="s">
        <v>648</v>
      </c>
      <c r="E271" s="74">
        <v>113628</v>
      </c>
      <c r="F271" s="74">
        <v>54762</v>
      </c>
      <c r="G271" s="74" t="s">
        <v>648</v>
      </c>
      <c r="H271" s="74" t="s">
        <v>648</v>
      </c>
      <c r="I271" s="74" t="s">
        <v>648</v>
      </c>
      <c r="J271" s="74">
        <v>58866</v>
      </c>
      <c r="K271" s="74" t="s">
        <v>648</v>
      </c>
      <c r="L271" s="74" t="s">
        <v>648</v>
      </c>
      <c r="M271" s="74" t="s">
        <v>648</v>
      </c>
      <c r="N271" s="74" t="s">
        <v>648</v>
      </c>
      <c r="O271" s="74" t="s">
        <v>648</v>
      </c>
      <c r="P271" s="74" t="s">
        <v>648</v>
      </c>
      <c r="Q271" s="74" t="s">
        <v>648</v>
      </c>
      <c r="R271" s="76" t="s">
        <v>82</v>
      </c>
      <c r="S271" s="73"/>
      <c r="T271" s="73"/>
      <c r="U271" s="73"/>
      <c r="V271" s="73"/>
      <c r="W271" s="73"/>
      <c r="X271" s="73"/>
      <c r="Y271" s="73"/>
    </row>
    <row r="272" spans="1:25" s="74" customFormat="1" ht="10.5" customHeight="1" x14ac:dyDescent="0.15">
      <c r="A272" s="950" t="s">
        <v>782</v>
      </c>
      <c r="B272" s="74" t="s">
        <v>648</v>
      </c>
      <c r="C272" s="74" t="s">
        <v>648</v>
      </c>
      <c r="D272" s="74" t="s">
        <v>648</v>
      </c>
      <c r="E272" s="74">
        <v>31636</v>
      </c>
      <c r="F272" s="74" t="s">
        <v>648</v>
      </c>
      <c r="G272" s="74">
        <v>31636</v>
      </c>
      <c r="H272" s="74" t="s">
        <v>648</v>
      </c>
      <c r="I272" s="74">
        <v>31636</v>
      </c>
      <c r="J272" s="74" t="s">
        <v>648</v>
      </c>
      <c r="K272" s="74" t="s">
        <v>648</v>
      </c>
      <c r="L272" s="74" t="s">
        <v>648</v>
      </c>
      <c r="M272" s="74" t="s">
        <v>648</v>
      </c>
      <c r="N272" s="74" t="s">
        <v>648</v>
      </c>
      <c r="O272" s="74" t="s">
        <v>648</v>
      </c>
      <c r="P272" s="74" t="s">
        <v>648</v>
      </c>
      <c r="Q272" s="74" t="s">
        <v>648</v>
      </c>
      <c r="R272" s="77" t="s">
        <v>95</v>
      </c>
      <c r="S272" s="73"/>
      <c r="T272" s="73"/>
      <c r="U272" s="73"/>
      <c r="V272" s="73"/>
      <c r="W272" s="73"/>
      <c r="X272" s="73"/>
      <c r="Y272" s="73"/>
    </row>
    <row r="273" spans="1:25" s="74" customFormat="1" ht="10.5" customHeight="1" x14ac:dyDescent="0.15">
      <c r="A273" s="950" t="s">
        <v>783</v>
      </c>
      <c r="B273" s="74" t="s">
        <v>648</v>
      </c>
      <c r="C273" s="74" t="s">
        <v>648</v>
      </c>
      <c r="D273" s="74" t="s">
        <v>648</v>
      </c>
      <c r="E273" s="74" t="s">
        <v>648</v>
      </c>
      <c r="F273" s="74" t="s">
        <v>648</v>
      </c>
      <c r="G273" s="74" t="s">
        <v>648</v>
      </c>
      <c r="H273" s="74" t="s">
        <v>648</v>
      </c>
      <c r="I273" s="74" t="s">
        <v>648</v>
      </c>
      <c r="J273" s="74" t="s">
        <v>648</v>
      </c>
      <c r="K273" s="74" t="s">
        <v>648</v>
      </c>
      <c r="L273" s="74" t="s">
        <v>648</v>
      </c>
      <c r="M273" s="74" t="s">
        <v>648</v>
      </c>
      <c r="N273" s="74" t="s">
        <v>648</v>
      </c>
      <c r="O273" s="74" t="s">
        <v>648</v>
      </c>
      <c r="P273" s="74" t="s">
        <v>648</v>
      </c>
      <c r="Q273" s="74" t="s">
        <v>648</v>
      </c>
      <c r="R273" s="76" t="s">
        <v>96</v>
      </c>
      <c r="S273" s="73"/>
      <c r="T273" s="73"/>
      <c r="U273" s="73"/>
      <c r="V273" s="73"/>
      <c r="W273" s="73"/>
      <c r="X273" s="73"/>
      <c r="Y273" s="73"/>
    </row>
    <row r="274" spans="1:25" s="74" customFormat="1" ht="10.5" customHeight="1" x14ac:dyDescent="0.15">
      <c r="A274" s="950" t="s">
        <v>784</v>
      </c>
      <c r="B274" s="74" t="s">
        <v>648</v>
      </c>
      <c r="C274" s="74" t="s">
        <v>648</v>
      </c>
      <c r="D274" s="74" t="s">
        <v>648</v>
      </c>
      <c r="E274" s="74">
        <v>152197</v>
      </c>
      <c r="F274" s="74">
        <v>84404</v>
      </c>
      <c r="G274" s="74">
        <v>35973</v>
      </c>
      <c r="H274" s="74" t="s">
        <v>648</v>
      </c>
      <c r="I274" s="74">
        <v>35973</v>
      </c>
      <c r="J274" s="74">
        <v>31820</v>
      </c>
      <c r="K274" s="74" t="s">
        <v>648</v>
      </c>
      <c r="L274" s="74" t="s">
        <v>648</v>
      </c>
      <c r="M274" s="74" t="s">
        <v>648</v>
      </c>
      <c r="N274" s="74" t="s">
        <v>648</v>
      </c>
      <c r="O274" s="74" t="s">
        <v>648</v>
      </c>
      <c r="P274" s="74" t="s">
        <v>648</v>
      </c>
      <c r="Q274" s="74" t="s">
        <v>648</v>
      </c>
      <c r="R274" s="76" t="s">
        <v>97</v>
      </c>
      <c r="S274" s="73"/>
      <c r="T274" s="73"/>
      <c r="U274" s="73"/>
      <c r="V274" s="73"/>
      <c r="W274" s="73"/>
      <c r="X274" s="73"/>
      <c r="Y274" s="73"/>
    </row>
    <row r="275" spans="1:25" s="74" customFormat="1" ht="10.5" customHeight="1" x14ac:dyDescent="0.15">
      <c r="A275" s="950" t="s">
        <v>806</v>
      </c>
      <c r="B275" s="74" t="s">
        <v>648</v>
      </c>
      <c r="C275" s="74" t="s">
        <v>648</v>
      </c>
      <c r="D275" s="74" t="s">
        <v>648</v>
      </c>
      <c r="E275" s="74">
        <v>149999</v>
      </c>
      <c r="F275" s="74">
        <v>149999</v>
      </c>
      <c r="G275" s="74" t="s">
        <v>648</v>
      </c>
      <c r="H275" s="74" t="s">
        <v>648</v>
      </c>
      <c r="I275" s="74" t="s">
        <v>648</v>
      </c>
      <c r="J275" s="74" t="s">
        <v>648</v>
      </c>
      <c r="K275" s="74" t="s">
        <v>648</v>
      </c>
      <c r="L275" s="74" t="s">
        <v>648</v>
      </c>
      <c r="M275" s="74" t="s">
        <v>648</v>
      </c>
      <c r="N275" s="74" t="s">
        <v>648</v>
      </c>
      <c r="O275" s="74" t="s">
        <v>648</v>
      </c>
      <c r="P275" s="74" t="s">
        <v>648</v>
      </c>
      <c r="Q275" s="74" t="s">
        <v>648</v>
      </c>
      <c r="R275" s="76" t="s">
        <v>98</v>
      </c>
      <c r="S275" s="73"/>
      <c r="T275" s="73"/>
      <c r="U275" s="73"/>
      <c r="V275" s="73"/>
      <c r="W275" s="73"/>
      <c r="X275" s="73"/>
      <c r="Y275" s="73"/>
    </row>
    <row r="276" spans="1:25" s="74" customFormat="1" ht="10.5" customHeight="1" x14ac:dyDescent="0.15">
      <c r="A276" s="950" t="s">
        <v>786</v>
      </c>
      <c r="B276" s="74" t="s">
        <v>648</v>
      </c>
      <c r="C276" s="74" t="s">
        <v>648</v>
      </c>
      <c r="D276" s="74" t="s">
        <v>648</v>
      </c>
      <c r="E276" s="74">
        <v>121060</v>
      </c>
      <c r="F276" s="74">
        <v>121060</v>
      </c>
      <c r="G276" s="74" t="s">
        <v>648</v>
      </c>
      <c r="H276" s="74" t="s">
        <v>648</v>
      </c>
      <c r="I276" s="74" t="s">
        <v>648</v>
      </c>
      <c r="J276" s="74" t="s">
        <v>648</v>
      </c>
      <c r="K276" s="74" t="s">
        <v>648</v>
      </c>
      <c r="L276" s="74" t="s">
        <v>648</v>
      </c>
      <c r="M276" s="74" t="s">
        <v>648</v>
      </c>
      <c r="N276" s="74" t="s">
        <v>648</v>
      </c>
      <c r="O276" s="74" t="s">
        <v>648</v>
      </c>
      <c r="P276" s="74" t="s">
        <v>648</v>
      </c>
      <c r="Q276" s="74" t="s">
        <v>648</v>
      </c>
      <c r="R276" s="76" t="s">
        <v>99</v>
      </c>
      <c r="S276" s="73"/>
      <c r="T276" s="73"/>
      <c r="U276" s="73"/>
      <c r="V276" s="73"/>
      <c r="W276" s="73"/>
      <c r="X276" s="73"/>
      <c r="Y276" s="73"/>
    </row>
    <row r="277" spans="1:25" s="74" customFormat="1" ht="10.5" customHeight="1" x14ac:dyDescent="0.15">
      <c r="A277" s="950" t="s">
        <v>807</v>
      </c>
      <c r="B277" s="74" t="s">
        <v>648</v>
      </c>
      <c r="C277" s="74" t="s">
        <v>648</v>
      </c>
      <c r="D277" s="74" t="s">
        <v>648</v>
      </c>
      <c r="E277" s="74">
        <v>39156</v>
      </c>
      <c r="F277" s="74">
        <v>7487</v>
      </c>
      <c r="G277" s="74" t="s">
        <v>648</v>
      </c>
      <c r="H277" s="74" t="s">
        <v>648</v>
      </c>
      <c r="I277" s="74" t="s">
        <v>648</v>
      </c>
      <c r="J277" s="74">
        <v>31669</v>
      </c>
      <c r="K277" s="74" t="s">
        <v>648</v>
      </c>
      <c r="L277" s="74" t="s">
        <v>648</v>
      </c>
      <c r="M277" s="74" t="s">
        <v>648</v>
      </c>
      <c r="N277" s="74" t="s">
        <v>648</v>
      </c>
      <c r="O277" s="74" t="s">
        <v>648</v>
      </c>
      <c r="P277" s="74" t="s">
        <v>648</v>
      </c>
      <c r="Q277" s="74" t="s">
        <v>648</v>
      </c>
      <c r="R277" s="76" t="s">
        <v>83</v>
      </c>
      <c r="S277" s="73"/>
      <c r="T277" s="73"/>
      <c r="U277" s="73"/>
      <c r="V277" s="73"/>
      <c r="W277" s="73"/>
      <c r="X277" s="73"/>
      <c r="Y277" s="73"/>
    </row>
    <row r="278" spans="1:25" s="74" customFormat="1" ht="10.5" customHeight="1" x14ac:dyDescent="0.15">
      <c r="A278" s="950" t="s">
        <v>788</v>
      </c>
      <c r="B278" s="74">
        <v>318</v>
      </c>
      <c r="C278" s="74">
        <v>157</v>
      </c>
      <c r="D278" s="74">
        <v>161</v>
      </c>
      <c r="E278" s="74">
        <v>72596</v>
      </c>
      <c r="F278" s="74">
        <v>8420</v>
      </c>
      <c r="G278" s="74" t="s">
        <v>648</v>
      </c>
      <c r="H278" s="74" t="s">
        <v>648</v>
      </c>
      <c r="I278" s="74" t="s">
        <v>648</v>
      </c>
      <c r="J278" s="74">
        <v>29169</v>
      </c>
      <c r="K278" s="74" t="s">
        <v>648</v>
      </c>
      <c r="L278" s="74" t="s">
        <v>648</v>
      </c>
      <c r="M278" s="74" t="s">
        <v>648</v>
      </c>
      <c r="N278" s="74" t="s">
        <v>648</v>
      </c>
      <c r="O278" s="74" t="s">
        <v>648</v>
      </c>
      <c r="P278" s="74" t="s">
        <v>648</v>
      </c>
      <c r="Q278" s="74" t="s">
        <v>648</v>
      </c>
      <c r="R278" s="76" t="s">
        <v>84</v>
      </c>
      <c r="S278" s="73"/>
      <c r="T278" s="73"/>
      <c r="U278" s="73"/>
      <c r="V278" s="73"/>
      <c r="W278" s="73"/>
      <c r="X278" s="73"/>
      <c r="Y278" s="73"/>
    </row>
    <row r="279" spans="1:25" s="74" customFormat="1" ht="10.5" customHeight="1" x14ac:dyDescent="0.15">
      <c r="A279" s="950" t="s">
        <v>789</v>
      </c>
      <c r="B279" s="74" t="s">
        <v>648</v>
      </c>
      <c r="C279" s="74" t="s">
        <v>648</v>
      </c>
      <c r="D279" s="74" t="s">
        <v>648</v>
      </c>
      <c r="E279" s="74" t="s">
        <v>648</v>
      </c>
      <c r="F279" s="74" t="s">
        <v>648</v>
      </c>
      <c r="G279" s="74" t="s">
        <v>648</v>
      </c>
      <c r="H279" s="74" t="s">
        <v>648</v>
      </c>
      <c r="I279" s="74" t="s">
        <v>648</v>
      </c>
      <c r="J279" s="74" t="s">
        <v>648</v>
      </c>
      <c r="K279" s="74" t="s">
        <v>648</v>
      </c>
      <c r="L279" s="74" t="s">
        <v>648</v>
      </c>
      <c r="M279" s="74" t="s">
        <v>648</v>
      </c>
      <c r="N279" s="74" t="s">
        <v>648</v>
      </c>
      <c r="O279" s="74" t="s">
        <v>648</v>
      </c>
      <c r="P279" s="74" t="s">
        <v>648</v>
      </c>
      <c r="Q279" s="74" t="s">
        <v>648</v>
      </c>
      <c r="R279" s="76" t="s">
        <v>85</v>
      </c>
      <c r="S279" s="73"/>
      <c r="T279" s="73"/>
      <c r="U279" s="73"/>
      <c r="V279" s="73"/>
      <c r="W279" s="73"/>
      <c r="X279" s="73"/>
      <c r="Y279" s="73"/>
    </row>
    <row r="280" spans="1:25" s="74" customFormat="1" ht="10.5" customHeight="1" x14ac:dyDescent="0.15">
      <c r="A280" s="950" t="s">
        <v>790</v>
      </c>
      <c r="B280" s="74" t="s">
        <v>648</v>
      </c>
      <c r="C280" s="74" t="s">
        <v>648</v>
      </c>
      <c r="D280" s="74" t="s">
        <v>648</v>
      </c>
      <c r="E280" s="74">
        <v>44046</v>
      </c>
      <c r="F280" s="74" t="s">
        <v>648</v>
      </c>
      <c r="G280" s="74" t="s">
        <v>648</v>
      </c>
      <c r="H280" s="74" t="s">
        <v>648</v>
      </c>
      <c r="I280" s="74" t="s">
        <v>648</v>
      </c>
      <c r="J280" s="74">
        <v>44046</v>
      </c>
      <c r="K280" s="74" t="s">
        <v>648</v>
      </c>
      <c r="L280" s="74" t="s">
        <v>648</v>
      </c>
      <c r="M280" s="74" t="s">
        <v>648</v>
      </c>
      <c r="N280" s="74" t="s">
        <v>648</v>
      </c>
      <c r="O280" s="74" t="s">
        <v>648</v>
      </c>
      <c r="P280" s="74" t="s">
        <v>648</v>
      </c>
      <c r="Q280" s="74" t="s">
        <v>648</v>
      </c>
      <c r="R280" s="76" t="s">
        <v>791</v>
      </c>
      <c r="S280" s="73"/>
      <c r="T280" s="73"/>
      <c r="U280" s="73"/>
      <c r="V280" s="73"/>
      <c r="W280" s="73"/>
      <c r="X280" s="73"/>
      <c r="Y280" s="73"/>
    </row>
    <row r="281" spans="1:25" s="74" customFormat="1" ht="10.5" customHeight="1" x14ac:dyDescent="0.15">
      <c r="A281" s="950" t="s">
        <v>792</v>
      </c>
      <c r="B281" s="74" t="s">
        <v>648</v>
      </c>
      <c r="C281" s="74" t="s">
        <v>648</v>
      </c>
      <c r="D281" s="74" t="s">
        <v>648</v>
      </c>
      <c r="E281" s="74">
        <v>15839</v>
      </c>
      <c r="F281" s="74" t="s">
        <v>648</v>
      </c>
      <c r="G281" s="74" t="s">
        <v>648</v>
      </c>
      <c r="H281" s="74" t="s">
        <v>648</v>
      </c>
      <c r="I281" s="74" t="s">
        <v>648</v>
      </c>
      <c r="J281" s="74">
        <v>15839</v>
      </c>
      <c r="K281" s="74" t="s">
        <v>648</v>
      </c>
      <c r="L281" s="74" t="s">
        <v>648</v>
      </c>
      <c r="M281" s="74" t="s">
        <v>648</v>
      </c>
      <c r="N281" s="74" t="s">
        <v>648</v>
      </c>
      <c r="O281" s="74" t="s">
        <v>648</v>
      </c>
      <c r="P281" s="74" t="s">
        <v>648</v>
      </c>
      <c r="Q281" s="74" t="s">
        <v>648</v>
      </c>
      <c r="R281" s="76" t="s">
        <v>80</v>
      </c>
      <c r="S281" s="73"/>
      <c r="T281" s="73"/>
      <c r="U281" s="73"/>
      <c r="V281" s="73"/>
      <c r="W281" s="73"/>
      <c r="X281" s="73"/>
      <c r="Y281" s="73"/>
    </row>
    <row r="282" spans="1:25" s="74" customFormat="1" ht="10.5" customHeight="1" x14ac:dyDescent="0.15">
      <c r="A282" s="951" t="s">
        <v>793</v>
      </c>
      <c r="B282" s="78" t="s">
        <v>648</v>
      </c>
      <c r="C282" s="79" t="s">
        <v>648</v>
      </c>
      <c r="D282" s="79" t="s">
        <v>648</v>
      </c>
      <c r="E282" s="79">
        <v>108588</v>
      </c>
      <c r="F282" s="79">
        <v>71273</v>
      </c>
      <c r="G282" s="79" t="s">
        <v>648</v>
      </c>
      <c r="H282" s="79" t="s">
        <v>648</v>
      </c>
      <c r="I282" s="79" t="s">
        <v>648</v>
      </c>
      <c r="J282" s="79">
        <v>37315</v>
      </c>
      <c r="K282" s="79" t="s">
        <v>648</v>
      </c>
      <c r="L282" s="79" t="s">
        <v>648</v>
      </c>
      <c r="M282" s="79" t="s">
        <v>648</v>
      </c>
      <c r="N282" s="79" t="s">
        <v>648</v>
      </c>
      <c r="O282" s="79" t="s">
        <v>648</v>
      </c>
      <c r="P282" s="79" t="s">
        <v>648</v>
      </c>
      <c r="Q282" s="79" t="s">
        <v>648</v>
      </c>
      <c r="R282" s="80" t="s">
        <v>81</v>
      </c>
      <c r="S282" s="73"/>
      <c r="T282" s="73"/>
      <c r="U282" s="73"/>
      <c r="V282" s="73"/>
      <c r="W282" s="73"/>
      <c r="X282" s="73"/>
      <c r="Y282" s="73"/>
    </row>
    <row r="283" spans="1:25" ht="23.25" customHeight="1" x14ac:dyDescent="0.35">
      <c r="I283" s="81" t="s">
        <v>100</v>
      </c>
      <c r="Q283" s="83" t="s">
        <v>79</v>
      </c>
    </row>
    <row r="284" spans="1:25" s="21" customFormat="1" ht="11.25" customHeight="1" x14ac:dyDescent="0.15">
      <c r="A284" s="66"/>
      <c r="B284" s="82" t="s">
        <v>184</v>
      </c>
      <c r="C284" s="68"/>
      <c r="D284" s="68"/>
      <c r="E284" s="66"/>
      <c r="F284" s="37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1063" t="s">
        <v>86</v>
      </c>
      <c r="S284" s="19"/>
      <c r="T284" s="19"/>
      <c r="U284" s="19"/>
      <c r="V284" s="19"/>
      <c r="W284" s="19"/>
      <c r="X284" s="19"/>
      <c r="Y284" s="19"/>
    </row>
    <row r="285" spans="1:25" s="69" customFormat="1" ht="28.5" customHeight="1" x14ac:dyDescent="0.2">
      <c r="A285" s="35" t="s">
        <v>194</v>
      </c>
      <c r="B285" s="41" t="s">
        <v>877</v>
      </c>
      <c r="C285" s="84"/>
      <c r="D285" s="14" t="s">
        <v>497</v>
      </c>
      <c r="E285" s="14" t="s">
        <v>479</v>
      </c>
      <c r="F285" s="16" t="s">
        <v>116</v>
      </c>
      <c r="G285" s="904" t="s">
        <v>188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1064"/>
      <c r="S285" s="15"/>
      <c r="T285" s="15"/>
      <c r="U285" s="15"/>
      <c r="V285" s="15"/>
      <c r="W285" s="15"/>
      <c r="X285" s="15"/>
      <c r="Y285" s="15"/>
    </row>
    <row r="286" spans="1:25" s="69" customFormat="1" ht="28.5" customHeight="1" x14ac:dyDescent="0.2">
      <c r="A286" s="35"/>
      <c r="B286" s="14" t="s">
        <v>498</v>
      </c>
      <c r="C286" s="14" t="s">
        <v>499</v>
      </c>
      <c r="D286" s="14" t="s">
        <v>878</v>
      </c>
      <c r="E286" s="14" t="s">
        <v>565</v>
      </c>
      <c r="F286" s="16" t="s">
        <v>57</v>
      </c>
      <c r="G286" s="16" t="s">
        <v>58</v>
      </c>
      <c r="H286" s="797" t="s">
        <v>879</v>
      </c>
      <c r="I286" s="14" t="s">
        <v>191</v>
      </c>
      <c r="J286" s="14" t="s">
        <v>192</v>
      </c>
      <c r="K286" s="14" t="s">
        <v>880</v>
      </c>
      <c r="L286" s="14" t="s">
        <v>193</v>
      </c>
      <c r="M286" s="14" t="s">
        <v>881</v>
      </c>
      <c r="N286" s="14" t="s">
        <v>882</v>
      </c>
      <c r="O286" s="14" t="s">
        <v>725</v>
      </c>
      <c r="P286" s="14" t="s">
        <v>726</v>
      </c>
      <c r="Q286" s="904" t="s">
        <v>883</v>
      </c>
      <c r="R286" s="1064"/>
      <c r="S286" s="15"/>
      <c r="T286" s="15"/>
      <c r="U286" s="15"/>
      <c r="V286" s="15"/>
      <c r="W286" s="15"/>
      <c r="X286" s="15"/>
      <c r="Y286" s="15"/>
    </row>
    <row r="287" spans="1:25" s="69" customFormat="1" ht="12" customHeight="1" x14ac:dyDescent="0.2">
      <c r="A287" s="36"/>
      <c r="B287" s="18" t="str">
        <f>PROPER("CLOV")</f>
        <v>Clov</v>
      </c>
      <c r="C287" s="18" t="str">
        <f>PROPER("OLOMBEND")</f>
        <v>Olombend</v>
      </c>
      <c r="D287" s="18" t="str">
        <f>PROPER("SONGO-C")</f>
        <v>Songo-C</v>
      </c>
      <c r="E287" s="18" t="str">
        <f>PROPER("TEMANE-C")</f>
        <v>Temane-C</v>
      </c>
      <c r="F287" s="18"/>
      <c r="G287" s="18"/>
      <c r="H287" s="18" t="str">
        <f>PROPER("N･W･S-C")</f>
        <v>N･W･S-C</v>
      </c>
      <c r="I287" s="18" t="str">
        <f>PROPER("WANDOO")</f>
        <v>Wandoo</v>
      </c>
      <c r="J287" s="18" t="str">
        <f>PROPER("STAG")</f>
        <v>Stag</v>
      </c>
      <c r="K287" s="18" t="str">
        <f>PROPER("BAYU-U-C")</f>
        <v>Bayu-U-C</v>
      </c>
      <c r="L287" s="18" t="str">
        <f>PROPER("ENFIELD")</f>
        <v>Enfield</v>
      </c>
      <c r="M287" s="18" t="str">
        <f>PROPER("VANGOG-B")</f>
        <v>Vangog-B</v>
      </c>
      <c r="N287" s="18" t="str">
        <f>PROPER("PYRENEES")</f>
        <v>Pyrenees</v>
      </c>
      <c r="O287" s="18" t="str">
        <f>PROPER("PLUTO-C")</f>
        <v>Pluto-C</v>
      </c>
      <c r="P287" s="18" t="str">
        <f>PROPER("WHTSTN-C")</f>
        <v>Whtstn-C</v>
      </c>
      <c r="Q287" s="17" t="str">
        <f>PROPER("ICHTHY-C")</f>
        <v>Ichthy-C</v>
      </c>
      <c r="R287" s="1065"/>
      <c r="S287" s="15"/>
      <c r="T287" s="15"/>
      <c r="U287" s="15"/>
      <c r="V287" s="15"/>
      <c r="W287" s="15"/>
      <c r="X287" s="15"/>
      <c r="Y287" s="15"/>
    </row>
    <row r="288" spans="1:25" s="74" customFormat="1" ht="10.5" customHeight="1" x14ac:dyDescent="0.15">
      <c r="A288" s="949" t="s">
        <v>763</v>
      </c>
      <c r="B288" s="70" t="s">
        <v>648</v>
      </c>
      <c r="C288" s="71" t="s">
        <v>648</v>
      </c>
      <c r="D288" s="71" t="s">
        <v>648</v>
      </c>
      <c r="E288" s="71" t="s">
        <v>648</v>
      </c>
      <c r="F288" s="71">
        <v>440884</v>
      </c>
      <c r="G288" s="71">
        <v>410946</v>
      </c>
      <c r="H288" s="71">
        <v>48236</v>
      </c>
      <c r="I288" s="71">
        <v>256598</v>
      </c>
      <c r="J288" s="71" t="s">
        <v>648</v>
      </c>
      <c r="K288" s="71" t="s">
        <v>648</v>
      </c>
      <c r="L288" s="71">
        <v>53007</v>
      </c>
      <c r="M288" s="71" t="s">
        <v>648</v>
      </c>
      <c r="N288" s="71" t="s">
        <v>648</v>
      </c>
      <c r="O288" s="71">
        <v>53105</v>
      </c>
      <c r="P288" s="71" t="s">
        <v>648</v>
      </c>
      <c r="Q288" s="71" t="s">
        <v>648</v>
      </c>
      <c r="R288" s="72" t="s">
        <v>464</v>
      </c>
      <c r="S288" s="73"/>
      <c r="T288" s="73"/>
      <c r="U288" s="73"/>
      <c r="V288" s="73"/>
      <c r="W288" s="73"/>
      <c r="X288" s="73"/>
      <c r="Y288" s="73"/>
    </row>
    <row r="289" spans="1:25" s="74" customFormat="1" ht="10.5" customHeight="1" x14ac:dyDescent="0.15">
      <c r="A289" s="950" t="s">
        <v>764</v>
      </c>
      <c r="B289" s="74">
        <v>310129</v>
      </c>
      <c r="C289" s="74">
        <v>77162</v>
      </c>
      <c r="D289" s="74">
        <v>11619</v>
      </c>
      <c r="E289" s="74">
        <v>18857</v>
      </c>
      <c r="F289" s="74">
        <v>608085</v>
      </c>
      <c r="G289" s="74">
        <v>579012</v>
      </c>
      <c r="H289" s="74">
        <v>94981</v>
      </c>
      <c r="I289" s="74">
        <v>283716</v>
      </c>
      <c r="J289" s="74">
        <v>15872</v>
      </c>
      <c r="K289" s="74">
        <v>49334</v>
      </c>
      <c r="L289" s="74">
        <v>26814</v>
      </c>
      <c r="M289" s="74" t="s">
        <v>648</v>
      </c>
      <c r="N289" s="74" t="s">
        <v>648</v>
      </c>
      <c r="O289" s="74">
        <v>108295</v>
      </c>
      <c r="P289" s="74" t="s">
        <v>648</v>
      </c>
      <c r="Q289" s="74" t="s">
        <v>648</v>
      </c>
      <c r="R289" s="76" t="s">
        <v>489</v>
      </c>
      <c r="S289" s="73"/>
      <c r="T289" s="73"/>
      <c r="U289" s="73"/>
      <c r="V289" s="73"/>
      <c r="W289" s="73"/>
      <c r="X289" s="73"/>
      <c r="Y289" s="73"/>
    </row>
    <row r="290" spans="1:25" s="74" customFormat="1" ht="10.5" customHeight="1" x14ac:dyDescent="0.15">
      <c r="A290" s="950" t="s">
        <v>765</v>
      </c>
      <c r="B290" s="74" t="s">
        <v>648</v>
      </c>
      <c r="C290" s="74">
        <v>142863</v>
      </c>
      <c r="D290" s="74" t="s">
        <v>648</v>
      </c>
      <c r="E290" s="74" t="s">
        <v>648</v>
      </c>
      <c r="F290" s="74">
        <v>450273</v>
      </c>
      <c r="G290" s="74">
        <v>416430</v>
      </c>
      <c r="H290" s="74" t="s">
        <v>648</v>
      </c>
      <c r="I290" s="74">
        <v>259512</v>
      </c>
      <c r="J290" s="74" t="s">
        <v>648</v>
      </c>
      <c r="K290" s="74" t="s">
        <v>648</v>
      </c>
      <c r="L290" s="74" t="s">
        <v>648</v>
      </c>
      <c r="M290" s="74" t="s">
        <v>648</v>
      </c>
      <c r="N290" s="74" t="s">
        <v>648</v>
      </c>
      <c r="O290" s="74" t="s">
        <v>648</v>
      </c>
      <c r="P290" s="74">
        <v>54012</v>
      </c>
      <c r="Q290" s="74">
        <v>102906</v>
      </c>
      <c r="R290" s="76" t="s">
        <v>549</v>
      </c>
      <c r="S290" s="73"/>
      <c r="T290" s="73"/>
      <c r="U290" s="73"/>
      <c r="V290" s="73"/>
      <c r="W290" s="73"/>
      <c r="X290" s="73"/>
      <c r="Y290" s="73"/>
    </row>
    <row r="291" spans="1:25" s="74" customFormat="1" ht="10.5" customHeight="1" x14ac:dyDescent="0.15">
      <c r="A291" s="950" t="s">
        <v>766</v>
      </c>
      <c r="B291" s="74" t="s">
        <v>648</v>
      </c>
      <c r="C291" s="74" t="s">
        <v>648</v>
      </c>
      <c r="D291" s="74" t="s">
        <v>648</v>
      </c>
      <c r="E291" s="74" t="s">
        <v>648</v>
      </c>
      <c r="F291" s="74">
        <v>359911</v>
      </c>
      <c r="G291" s="74">
        <v>313145</v>
      </c>
      <c r="H291" s="74" t="s">
        <v>648</v>
      </c>
      <c r="I291" s="74">
        <v>210750</v>
      </c>
      <c r="J291" s="74" t="s">
        <v>648</v>
      </c>
      <c r="K291" s="74" t="s">
        <v>648</v>
      </c>
      <c r="L291" s="74" t="s">
        <v>648</v>
      </c>
      <c r="M291" s="74" t="s">
        <v>648</v>
      </c>
      <c r="N291" s="74" t="s">
        <v>648</v>
      </c>
      <c r="O291" s="74" t="s">
        <v>648</v>
      </c>
      <c r="P291" s="74" t="s">
        <v>648</v>
      </c>
      <c r="Q291" s="74">
        <v>102395</v>
      </c>
      <c r="R291" s="76" t="s">
        <v>672</v>
      </c>
      <c r="S291" s="73"/>
      <c r="T291" s="73"/>
      <c r="U291" s="73"/>
      <c r="V291" s="73"/>
      <c r="W291" s="73"/>
      <c r="X291" s="73"/>
      <c r="Y291" s="73"/>
    </row>
    <row r="292" spans="1:25" s="74" customFormat="1" ht="10.5" customHeight="1" x14ac:dyDescent="0.15">
      <c r="A292" s="950" t="s">
        <v>767</v>
      </c>
      <c r="B292" s="74" t="s">
        <v>648</v>
      </c>
      <c r="C292" s="74" t="s">
        <v>648</v>
      </c>
      <c r="D292" s="74" t="s">
        <v>648</v>
      </c>
      <c r="E292" s="74">
        <v>35007</v>
      </c>
      <c r="F292" s="74">
        <v>333763</v>
      </c>
      <c r="G292" s="74">
        <v>259648</v>
      </c>
      <c r="H292" s="74" t="s">
        <v>648</v>
      </c>
      <c r="I292" s="74">
        <v>208293</v>
      </c>
      <c r="J292" s="74" t="s">
        <v>648</v>
      </c>
      <c r="K292" s="74" t="s">
        <v>648</v>
      </c>
      <c r="L292" s="74" t="s">
        <v>648</v>
      </c>
      <c r="M292" s="74" t="s">
        <v>648</v>
      </c>
      <c r="N292" s="74" t="s">
        <v>648</v>
      </c>
      <c r="O292" s="74">
        <v>51355</v>
      </c>
      <c r="P292" s="74" t="s">
        <v>648</v>
      </c>
      <c r="Q292" s="74" t="s">
        <v>648</v>
      </c>
      <c r="R292" s="76" t="s">
        <v>768</v>
      </c>
      <c r="S292" s="73"/>
      <c r="T292" s="73"/>
      <c r="U292" s="73"/>
      <c r="V292" s="73"/>
      <c r="W292" s="73"/>
      <c r="X292" s="73"/>
      <c r="Y292" s="73"/>
    </row>
    <row r="293" spans="1:25" s="74" customFormat="1" ht="10.5" customHeight="1" x14ac:dyDescent="0.15">
      <c r="A293" s="950"/>
      <c r="R293" s="76"/>
      <c r="S293" s="73"/>
      <c r="T293" s="73"/>
      <c r="U293" s="73"/>
      <c r="V293" s="73"/>
      <c r="W293" s="73"/>
      <c r="X293" s="73"/>
      <c r="Y293" s="73"/>
    </row>
    <row r="294" spans="1:25" s="74" customFormat="1" ht="10.5" customHeight="1" x14ac:dyDescent="0.15">
      <c r="A294" s="950" t="s">
        <v>799</v>
      </c>
      <c r="B294" s="74" t="s">
        <v>648</v>
      </c>
      <c r="C294" s="74" t="s">
        <v>648</v>
      </c>
      <c r="D294" s="74" t="s">
        <v>648</v>
      </c>
      <c r="E294" s="74" t="s">
        <v>648</v>
      </c>
      <c r="F294" s="74">
        <v>378409</v>
      </c>
      <c r="G294" s="74">
        <v>316323</v>
      </c>
      <c r="H294" s="74" t="s">
        <v>648</v>
      </c>
      <c r="I294" s="74">
        <v>213928</v>
      </c>
      <c r="J294" s="74" t="s">
        <v>648</v>
      </c>
      <c r="K294" s="74" t="s">
        <v>648</v>
      </c>
      <c r="L294" s="74" t="s">
        <v>648</v>
      </c>
      <c r="M294" s="74" t="s">
        <v>648</v>
      </c>
      <c r="N294" s="74" t="s">
        <v>648</v>
      </c>
      <c r="O294" s="74" t="s">
        <v>648</v>
      </c>
      <c r="P294" s="74" t="s">
        <v>648</v>
      </c>
      <c r="Q294" s="74">
        <v>102395</v>
      </c>
      <c r="R294" s="76" t="s">
        <v>673</v>
      </c>
      <c r="S294" s="73"/>
      <c r="T294" s="73"/>
      <c r="U294" s="73"/>
      <c r="V294" s="73"/>
      <c r="W294" s="73"/>
      <c r="X294" s="73"/>
      <c r="Y294" s="73"/>
    </row>
    <row r="295" spans="1:25" s="74" customFormat="1" ht="10.5" customHeight="1" x14ac:dyDescent="0.15">
      <c r="A295" s="950" t="s">
        <v>800</v>
      </c>
      <c r="B295" s="74" t="s">
        <v>648</v>
      </c>
      <c r="C295" s="74" t="s">
        <v>648</v>
      </c>
      <c r="D295" s="74" t="s">
        <v>648</v>
      </c>
      <c r="E295" s="74">
        <v>35007</v>
      </c>
      <c r="F295" s="74">
        <v>402503</v>
      </c>
      <c r="G295" s="74">
        <v>331954</v>
      </c>
      <c r="H295" s="74" t="s">
        <v>648</v>
      </c>
      <c r="I295" s="74">
        <v>220789</v>
      </c>
      <c r="J295" s="74" t="s">
        <v>648</v>
      </c>
      <c r="K295" s="74" t="s">
        <v>648</v>
      </c>
      <c r="L295" s="74" t="s">
        <v>648</v>
      </c>
      <c r="M295" s="74">
        <v>55880</v>
      </c>
      <c r="N295" s="74">
        <v>3930</v>
      </c>
      <c r="O295" s="74">
        <v>51355</v>
      </c>
      <c r="P295" s="74" t="s">
        <v>648</v>
      </c>
      <c r="Q295" s="74" t="s">
        <v>648</v>
      </c>
      <c r="R295" s="76" t="s">
        <v>771</v>
      </c>
      <c r="S295" s="73"/>
      <c r="T295" s="73"/>
      <c r="U295" s="73"/>
      <c r="V295" s="73"/>
      <c r="W295" s="73"/>
      <c r="X295" s="73"/>
      <c r="Y295" s="73"/>
    </row>
    <row r="296" spans="1:25" s="74" customFormat="1" ht="10.5" customHeight="1" x14ac:dyDescent="0.15">
      <c r="A296" s="950"/>
      <c r="R296" s="76"/>
      <c r="S296" s="73"/>
      <c r="T296" s="73"/>
      <c r="U296" s="73"/>
      <c r="V296" s="73"/>
      <c r="W296" s="73"/>
      <c r="X296" s="73"/>
      <c r="Y296" s="73"/>
    </row>
    <row r="297" spans="1:25" s="74" customFormat="1" ht="10.5" customHeight="1" x14ac:dyDescent="0.15">
      <c r="A297" s="950" t="s">
        <v>772</v>
      </c>
      <c r="B297" s="74" t="s">
        <v>648</v>
      </c>
      <c r="C297" s="74" t="s">
        <v>648</v>
      </c>
      <c r="D297" s="74" t="s">
        <v>648</v>
      </c>
      <c r="E297" s="74" t="s">
        <v>648</v>
      </c>
      <c r="F297" s="74">
        <v>67616</v>
      </c>
      <c r="G297" s="74">
        <v>52296</v>
      </c>
      <c r="H297" s="74" t="s">
        <v>648</v>
      </c>
      <c r="I297" s="74">
        <v>52296</v>
      </c>
      <c r="J297" s="74" t="s">
        <v>648</v>
      </c>
      <c r="K297" s="74" t="s">
        <v>648</v>
      </c>
      <c r="L297" s="74" t="s">
        <v>648</v>
      </c>
      <c r="M297" s="74" t="s">
        <v>648</v>
      </c>
      <c r="N297" s="74" t="s">
        <v>648</v>
      </c>
      <c r="O297" s="74" t="s">
        <v>648</v>
      </c>
      <c r="P297" s="74" t="s">
        <v>648</v>
      </c>
      <c r="Q297" s="74" t="s">
        <v>648</v>
      </c>
      <c r="R297" s="76" t="s">
        <v>674</v>
      </c>
      <c r="S297" s="73"/>
      <c r="T297" s="73"/>
      <c r="U297" s="73"/>
      <c r="V297" s="73"/>
      <c r="W297" s="73"/>
      <c r="X297" s="73"/>
      <c r="Y297" s="73"/>
    </row>
    <row r="298" spans="1:25" s="74" customFormat="1" ht="10.5" customHeight="1" x14ac:dyDescent="0.15">
      <c r="A298" s="950" t="s">
        <v>773</v>
      </c>
      <c r="B298" s="74" t="s">
        <v>648</v>
      </c>
      <c r="C298" s="74" t="s">
        <v>648</v>
      </c>
      <c r="D298" s="74" t="s">
        <v>648</v>
      </c>
      <c r="E298" s="74" t="s">
        <v>648</v>
      </c>
      <c r="F298" s="74">
        <v>102529</v>
      </c>
      <c r="G298" s="74">
        <v>59676</v>
      </c>
      <c r="H298" s="74" t="s">
        <v>648</v>
      </c>
      <c r="I298" s="74">
        <v>59676</v>
      </c>
      <c r="J298" s="74" t="s">
        <v>648</v>
      </c>
      <c r="K298" s="74" t="s">
        <v>648</v>
      </c>
      <c r="L298" s="74" t="s">
        <v>648</v>
      </c>
      <c r="M298" s="74" t="s">
        <v>648</v>
      </c>
      <c r="N298" s="74" t="s">
        <v>648</v>
      </c>
      <c r="O298" s="74" t="s">
        <v>648</v>
      </c>
      <c r="P298" s="74" t="s">
        <v>648</v>
      </c>
      <c r="Q298" s="74" t="s">
        <v>648</v>
      </c>
      <c r="R298" s="76" t="s">
        <v>92</v>
      </c>
      <c r="S298" s="73"/>
      <c r="T298" s="73"/>
      <c r="U298" s="73"/>
      <c r="V298" s="73"/>
      <c r="W298" s="73"/>
      <c r="X298" s="73"/>
      <c r="Y298" s="73"/>
    </row>
    <row r="299" spans="1:25" s="74" customFormat="1" ht="10.5" customHeight="1" x14ac:dyDescent="0.15">
      <c r="A299" s="950" t="s">
        <v>774</v>
      </c>
      <c r="B299" s="74" t="s">
        <v>648</v>
      </c>
      <c r="C299" s="74" t="s">
        <v>648</v>
      </c>
      <c r="D299" s="74" t="s">
        <v>648</v>
      </c>
      <c r="E299" s="74" t="s">
        <v>648</v>
      </c>
      <c r="F299" s="74">
        <v>66213</v>
      </c>
      <c r="G299" s="74">
        <v>66213</v>
      </c>
      <c r="H299" s="74" t="s">
        <v>648</v>
      </c>
      <c r="I299" s="74">
        <v>66213</v>
      </c>
      <c r="J299" s="74" t="s">
        <v>648</v>
      </c>
      <c r="K299" s="74" t="s">
        <v>648</v>
      </c>
      <c r="L299" s="74" t="s">
        <v>648</v>
      </c>
      <c r="M299" s="74" t="s">
        <v>648</v>
      </c>
      <c r="N299" s="74" t="s">
        <v>648</v>
      </c>
      <c r="O299" s="74" t="s">
        <v>648</v>
      </c>
      <c r="P299" s="74" t="s">
        <v>648</v>
      </c>
      <c r="Q299" s="74" t="s">
        <v>648</v>
      </c>
      <c r="R299" s="76" t="s">
        <v>93</v>
      </c>
      <c r="S299" s="73"/>
      <c r="T299" s="73"/>
      <c r="U299" s="73"/>
      <c r="V299" s="73"/>
      <c r="W299" s="73"/>
      <c r="X299" s="73"/>
      <c r="Y299" s="73"/>
    </row>
    <row r="300" spans="1:25" s="74" customFormat="1" ht="10.5" customHeight="1" x14ac:dyDescent="0.15">
      <c r="A300" s="950" t="s">
        <v>801</v>
      </c>
      <c r="B300" s="74" t="s">
        <v>648</v>
      </c>
      <c r="C300" s="74" t="s">
        <v>648</v>
      </c>
      <c r="D300" s="74" t="s">
        <v>648</v>
      </c>
      <c r="E300" s="74">
        <v>35007</v>
      </c>
      <c r="F300" s="74">
        <v>97405</v>
      </c>
      <c r="G300" s="74">
        <v>81463</v>
      </c>
      <c r="H300" s="74" t="s">
        <v>648</v>
      </c>
      <c r="I300" s="74">
        <v>30108</v>
      </c>
      <c r="J300" s="74" t="s">
        <v>648</v>
      </c>
      <c r="K300" s="74" t="s">
        <v>648</v>
      </c>
      <c r="L300" s="74" t="s">
        <v>648</v>
      </c>
      <c r="M300" s="74" t="s">
        <v>648</v>
      </c>
      <c r="N300" s="74" t="s">
        <v>648</v>
      </c>
      <c r="O300" s="74">
        <v>51355</v>
      </c>
      <c r="P300" s="74" t="s">
        <v>648</v>
      </c>
      <c r="Q300" s="74" t="s">
        <v>648</v>
      </c>
      <c r="R300" s="76" t="s">
        <v>94</v>
      </c>
      <c r="S300" s="73"/>
      <c r="T300" s="73"/>
      <c r="U300" s="73"/>
      <c r="V300" s="73"/>
      <c r="W300" s="73"/>
      <c r="X300" s="73"/>
      <c r="Y300" s="73"/>
    </row>
    <row r="301" spans="1:25" s="74" customFormat="1" ht="10.5" customHeight="1" x14ac:dyDescent="0.15">
      <c r="A301" s="950" t="s">
        <v>809</v>
      </c>
      <c r="B301" s="74" t="s">
        <v>648</v>
      </c>
      <c r="C301" s="74" t="s">
        <v>648</v>
      </c>
      <c r="D301" s="74" t="s">
        <v>648</v>
      </c>
      <c r="E301" s="74" t="s">
        <v>648</v>
      </c>
      <c r="F301" s="74">
        <v>136356</v>
      </c>
      <c r="G301" s="74">
        <v>124602</v>
      </c>
      <c r="H301" s="74" t="s">
        <v>648</v>
      </c>
      <c r="I301" s="74">
        <v>64792</v>
      </c>
      <c r="J301" s="74" t="s">
        <v>648</v>
      </c>
      <c r="K301" s="74" t="s">
        <v>648</v>
      </c>
      <c r="L301" s="74" t="s">
        <v>648</v>
      </c>
      <c r="M301" s="74">
        <v>55880</v>
      </c>
      <c r="N301" s="74">
        <v>3930</v>
      </c>
      <c r="O301" s="74" t="s">
        <v>648</v>
      </c>
      <c r="P301" s="74" t="s">
        <v>648</v>
      </c>
      <c r="Q301" s="74" t="s">
        <v>648</v>
      </c>
      <c r="R301" s="76" t="s">
        <v>777</v>
      </c>
      <c r="S301" s="73"/>
      <c r="T301" s="73"/>
      <c r="U301" s="73"/>
      <c r="V301" s="73"/>
      <c r="W301" s="73"/>
      <c r="X301" s="73"/>
      <c r="Y301" s="73"/>
    </row>
    <row r="302" spans="1:25" s="74" customFormat="1" ht="10.5" customHeight="1" x14ac:dyDescent="0.15">
      <c r="A302" s="950"/>
      <c r="R302" s="76"/>
      <c r="S302" s="73"/>
      <c r="T302" s="73"/>
      <c r="U302" s="73"/>
      <c r="V302" s="73"/>
      <c r="W302" s="73"/>
      <c r="X302" s="73"/>
      <c r="Y302" s="73"/>
    </row>
    <row r="303" spans="1:25" s="74" customFormat="1" ht="10.5" customHeight="1" x14ac:dyDescent="0.15">
      <c r="A303" s="950" t="s">
        <v>778</v>
      </c>
      <c r="B303" s="74" t="s">
        <v>648</v>
      </c>
      <c r="C303" s="74" t="s">
        <v>648</v>
      </c>
      <c r="D303" s="74" t="s">
        <v>648</v>
      </c>
      <c r="E303" s="74" t="s">
        <v>648</v>
      </c>
      <c r="F303" s="74">
        <v>30639</v>
      </c>
      <c r="G303" s="74">
        <v>15319</v>
      </c>
      <c r="H303" s="74" t="s">
        <v>648</v>
      </c>
      <c r="I303" s="74">
        <v>15319</v>
      </c>
      <c r="J303" s="74" t="s">
        <v>648</v>
      </c>
      <c r="K303" s="74" t="s">
        <v>648</v>
      </c>
      <c r="L303" s="74" t="s">
        <v>648</v>
      </c>
      <c r="M303" s="74" t="s">
        <v>648</v>
      </c>
      <c r="N303" s="74" t="s">
        <v>648</v>
      </c>
      <c r="O303" s="74" t="s">
        <v>648</v>
      </c>
      <c r="P303" s="74" t="s">
        <v>648</v>
      </c>
      <c r="Q303" s="74" t="s">
        <v>648</v>
      </c>
      <c r="R303" s="76" t="s">
        <v>675</v>
      </c>
      <c r="S303" s="73"/>
      <c r="T303" s="73"/>
      <c r="U303" s="73"/>
      <c r="V303" s="73"/>
      <c r="W303" s="73"/>
      <c r="X303" s="73"/>
      <c r="Y303" s="73"/>
    </row>
    <row r="304" spans="1:25" s="74" customFormat="1" ht="10.5" customHeight="1" x14ac:dyDescent="0.15">
      <c r="A304" s="950" t="s">
        <v>779</v>
      </c>
      <c r="B304" s="74" t="s">
        <v>648</v>
      </c>
      <c r="C304" s="74" t="s">
        <v>648</v>
      </c>
      <c r="D304" s="74" t="s">
        <v>648</v>
      </c>
      <c r="E304" s="74" t="s">
        <v>648</v>
      </c>
      <c r="F304" s="74">
        <v>16139</v>
      </c>
      <c r="G304" s="74">
        <v>16139</v>
      </c>
      <c r="H304" s="74" t="s">
        <v>648</v>
      </c>
      <c r="I304" s="74">
        <v>16139</v>
      </c>
      <c r="J304" s="74" t="s">
        <v>648</v>
      </c>
      <c r="K304" s="74" t="s">
        <v>648</v>
      </c>
      <c r="L304" s="74" t="s">
        <v>648</v>
      </c>
      <c r="M304" s="74" t="s">
        <v>648</v>
      </c>
      <c r="N304" s="74" t="s">
        <v>648</v>
      </c>
      <c r="O304" s="74" t="s">
        <v>648</v>
      </c>
      <c r="P304" s="74" t="s">
        <v>648</v>
      </c>
      <c r="Q304" s="74" t="s">
        <v>648</v>
      </c>
      <c r="R304" s="76" t="s">
        <v>80</v>
      </c>
      <c r="S304" s="73"/>
      <c r="T304" s="73"/>
      <c r="U304" s="73"/>
      <c r="V304" s="73"/>
      <c r="W304" s="73"/>
      <c r="X304" s="73"/>
      <c r="Y304" s="73"/>
    </row>
    <row r="305" spans="1:25" s="74" customFormat="1" ht="10.5" customHeight="1" x14ac:dyDescent="0.15">
      <c r="A305" s="950" t="s">
        <v>780</v>
      </c>
      <c r="B305" s="74" t="s">
        <v>648</v>
      </c>
      <c r="C305" s="74" t="s">
        <v>648</v>
      </c>
      <c r="D305" s="74" t="s">
        <v>648</v>
      </c>
      <c r="E305" s="74" t="s">
        <v>648</v>
      </c>
      <c r="F305" s="74">
        <v>20838</v>
      </c>
      <c r="G305" s="74">
        <v>20838</v>
      </c>
      <c r="H305" s="74" t="s">
        <v>648</v>
      </c>
      <c r="I305" s="74">
        <v>20838</v>
      </c>
      <c r="J305" s="74" t="s">
        <v>648</v>
      </c>
      <c r="K305" s="74" t="s">
        <v>648</v>
      </c>
      <c r="L305" s="74" t="s">
        <v>648</v>
      </c>
      <c r="M305" s="74" t="s">
        <v>648</v>
      </c>
      <c r="N305" s="74" t="s">
        <v>648</v>
      </c>
      <c r="O305" s="74" t="s">
        <v>648</v>
      </c>
      <c r="P305" s="74" t="s">
        <v>648</v>
      </c>
      <c r="Q305" s="74" t="s">
        <v>648</v>
      </c>
      <c r="R305" s="76" t="s">
        <v>81</v>
      </c>
      <c r="S305" s="73"/>
      <c r="T305" s="73"/>
      <c r="U305" s="73"/>
      <c r="V305" s="73"/>
      <c r="W305" s="73"/>
      <c r="X305" s="73"/>
      <c r="Y305" s="73"/>
    </row>
    <row r="306" spans="1:25" s="74" customFormat="1" ht="10.5" customHeight="1" x14ac:dyDescent="0.15">
      <c r="A306" s="950" t="s">
        <v>781</v>
      </c>
      <c r="B306" s="74" t="s">
        <v>648</v>
      </c>
      <c r="C306" s="74" t="s">
        <v>648</v>
      </c>
      <c r="D306" s="74" t="s">
        <v>648</v>
      </c>
      <c r="E306" s="74" t="s">
        <v>648</v>
      </c>
      <c r="F306" s="74">
        <v>27403</v>
      </c>
      <c r="G306" s="74">
        <v>8927</v>
      </c>
      <c r="H306" s="74" t="s">
        <v>648</v>
      </c>
      <c r="I306" s="74">
        <v>8927</v>
      </c>
      <c r="J306" s="74" t="s">
        <v>648</v>
      </c>
      <c r="K306" s="74" t="s">
        <v>648</v>
      </c>
      <c r="L306" s="74" t="s">
        <v>648</v>
      </c>
      <c r="M306" s="74" t="s">
        <v>648</v>
      </c>
      <c r="N306" s="74" t="s">
        <v>648</v>
      </c>
      <c r="O306" s="74" t="s">
        <v>648</v>
      </c>
      <c r="P306" s="74" t="s">
        <v>648</v>
      </c>
      <c r="Q306" s="74" t="s">
        <v>648</v>
      </c>
      <c r="R306" s="76" t="s">
        <v>82</v>
      </c>
      <c r="S306" s="73"/>
      <c r="T306" s="73"/>
      <c r="U306" s="73"/>
      <c r="V306" s="73"/>
      <c r="W306" s="73"/>
      <c r="X306" s="73"/>
      <c r="Y306" s="73"/>
    </row>
    <row r="307" spans="1:25" s="74" customFormat="1" ht="10.5" customHeight="1" x14ac:dyDescent="0.15">
      <c r="A307" s="950" t="s">
        <v>782</v>
      </c>
      <c r="B307" s="74" t="s">
        <v>648</v>
      </c>
      <c r="C307" s="74" t="s">
        <v>648</v>
      </c>
      <c r="D307" s="74" t="s">
        <v>648</v>
      </c>
      <c r="E307" s="74" t="s">
        <v>648</v>
      </c>
      <c r="F307" s="74">
        <v>19774</v>
      </c>
      <c r="G307" s="74">
        <v>19774</v>
      </c>
      <c r="H307" s="74" t="s">
        <v>648</v>
      </c>
      <c r="I307" s="74">
        <v>19774</v>
      </c>
      <c r="J307" s="74" t="s">
        <v>648</v>
      </c>
      <c r="K307" s="74" t="s">
        <v>648</v>
      </c>
      <c r="L307" s="74" t="s">
        <v>648</v>
      </c>
      <c r="M307" s="74" t="s">
        <v>648</v>
      </c>
      <c r="N307" s="74" t="s">
        <v>648</v>
      </c>
      <c r="O307" s="74" t="s">
        <v>648</v>
      </c>
      <c r="P307" s="74" t="s">
        <v>648</v>
      </c>
      <c r="Q307" s="74" t="s">
        <v>648</v>
      </c>
      <c r="R307" s="77" t="s">
        <v>95</v>
      </c>
      <c r="S307" s="73"/>
      <c r="T307" s="73"/>
      <c r="U307" s="73"/>
      <c r="V307" s="73"/>
      <c r="W307" s="73"/>
      <c r="X307" s="73"/>
      <c r="Y307" s="73"/>
    </row>
    <row r="308" spans="1:25" s="74" customFormat="1" ht="10.5" customHeight="1" x14ac:dyDescent="0.15">
      <c r="A308" s="950" t="s">
        <v>783</v>
      </c>
      <c r="B308" s="74" t="s">
        <v>648</v>
      </c>
      <c r="C308" s="74" t="s">
        <v>648</v>
      </c>
      <c r="D308" s="74" t="s">
        <v>648</v>
      </c>
      <c r="E308" s="74" t="s">
        <v>648</v>
      </c>
      <c r="F308" s="74">
        <v>55352</v>
      </c>
      <c r="G308" s="74">
        <v>30975</v>
      </c>
      <c r="H308" s="74" t="s">
        <v>648</v>
      </c>
      <c r="I308" s="74">
        <v>30975</v>
      </c>
      <c r="J308" s="74" t="s">
        <v>648</v>
      </c>
      <c r="K308" s="74" t="s">
        <v>648</v>
      </c>
      <c r="L308" s="74" t="s">
        <v>648</v>
      </c>
      <c r="M308" s="74" t="s">
        <v>648</v>
      </c>
      <c r="N308" s="74" t="s">
        <v>648</v>
      </c>
      <c r="O308" s="74" t="s">
        <v>648</v>
      </c>
      <c r="P308" s="74" t="s">
        <v>648</v>
      </c>
      <c r="Q308" s="74" t="s">
        <v>648</v>
      </c>
      <c r="R308" s="76" t="s">
        <v>96</v>
      </c>
      <c r="S308" s="73"/>
      <c r="T308" s="73"/>
      <c r="U308" s="73"/>
      <c r="V308" s="73"/>
      <c r="W308" s="73"/>
      <c r="X308" s="73"/>
      <c r="Y308" s="73"/>
    </row>
    <row r="309" spans="1:25" s="74" customFormat="1" ht="10.5" customHeight="1" x14ac:dyDescent="0.15">
      <c r="A309" s="950" t="s">
        <v>784</v>
      </c>
      <c r="B309" s="74" t="s">
        <v>648</v>
      </c>
      <c r="C309" s="74" t="s">
        <v>648</v>
      </c>
      <c r="D309" s="74" t="s">
        <v>648</v>
      </c>
      <c r="E309" s="74" t="s">
        <v>648</v>
      </c>
      <c r="F309" s="74">
        <v>33217</v>
      </c>
      <c r="G309" s="74">
        <v>33217</v>
      </c>
      <c r="H309" s="74" t="s">
        <v>648</v>
      </c>
      <c r="I309" s="74">
        <v>33217</v>
      </c>
      <c r="J309" s="74" t="s">
        <v>648</v>
      </c>
      <c r="K309" s="74" t="s">
        <v>648</v>
      </c>
      <c r="L309" s="74" t="s">
        <v>648</v>
      </c>
      <c r="M309" s="74" t="s">
        <v>648</v>
      </c>
      <c r="N309" s="74" t="s">
        <v>648</v>
      </c>
      <c r="O309" s="74" t="s">
        <v>648</v>
      </c>
      <c r="P309" s="74" t="s">
        <v>648</v>
      </c>
      <c r="Q309" s="74" t="s">
        <v>648</v>
      </c>
      <c r="R309" s="76" t="s">
        <v>97</v>
      </c>
      <c r="S309" s="73"/>
      <c r="T309" s="73"/>
      <c r="U309" s="73"/>
      <c r="V309" s="73"/>
      <c r="W309" s="73"/>
      <c r="X309" s="73"/>
      <c r="Y309" s="73"/>
    </row>
    <row r="310" spans="1:25" s="74" customFormat="1" ht="10.5" customHeight="1" x14ac:dyDescent="0.15">
      <c r="A310" s="950" t="s">
        <v>806</v>
      </c>
      <c r="B310" s="74" t="s">
        <v>648</v>
      </c>
      <c r="C310" s="74" t="s">
        <v>648</v>
      </c>
      <c r="D310" s="74" t="s">
        <v>648</v>
      </c>
      <c r="E310" s="74" t="s">
        <v>648</v>
      </c>
      <c r="F310" s="74" t="s">
        <v>648</v>
      </c>
      <c r="G310" s="74" t="s">
        <v>648</v>
      </c>
      <c r="H310" s="74" t="s">
        <v>648</v>
      </c>
      <c r="I310" s="74" t="s">
        <v>648</v>
      </c>
      <c r="J310" s="74" t="s">
        <v>648</v>
      </c>
      <c r="K310" s="74" t="s">
        <v>648</v>
      </c>
      <c r="L310" s="74" t="s">
        <v>648</v>
      </c>
      <c r="M310" s="74" t="s">
        <v>648</v>
      </c>
      <c r="N310" s="74" t="s">
        <v>648</v>
      </c>
      <c r="O310" s="74" t="s">
        <v>648</v>
      </c>
      <c r="P310" s="74" t="s">
        <v>648</v>
      </c>
      <c r="Q310" s="74" t="s">
        <v>648</v>
      </c>
      <c r="R310" s="76" t="s">
        <v>98</v>
      </c>
      <c r="S310" s="73"/>
      <c r="T310" s="73"/>
      <c r="U310" s="73"/>
      <c r="V310" s="73"/>
      <c r="W310" s="73"/>
      <c r="X310" s="73"/>
      <c r="Y310" s="73"/>
    </row>
    <row r="311" spans="1:25" s="74" customFormat="1" ht="10.5" customHeight="1" x14ac:dyDescent="0.15">
      <c r="A311" s="950" t="s">
        <v>786</v>
      </c>
      <c r="B311" s="74" t="s">
        <v>648</v>
      </c>
      <c r="C311" s="74" t="s">
        <v>648</v>
      </c>
      <c r="D311" s="74" t="s">
        <v>648</v>
      </c>
      <c r="E311" s="74" t="s">
        <v>648</v>
      </c>
      <c r="F311" s="74">
        <v>32996</v>
      </c>
      <c r="G311" s="74">
        <v>32996</v>
      </c>
      <c r="H311" s="74" t="s">
        <v>648</v>
      </c>
      <c r="I311" s="74">
        <v>32996</v>
      </c>
      <c r="J311" s="74" t="s">
        <v>648</v>
      </c>
      <c r="K311" s="74" t="s">
        <v>648</v>
      </c>
      <c r="L311" s="74" t="s">
        <v>648</v>
      </c>
      <c r="M311" s="74" t="s">
        <v>648</v>
      </c>
      <c r="N311" s="74" t="s">
        <v>648</v>
      </c>
      <c r="O311" s="74" t="s">
        <v>648</v>
      </c>
      <c r="P311" s="74" t="s">
        <v>648</v>
      </c>
      <c r="Q311" s="74" t="s">
        <v>648</v>
      </c>
      <c r="R311" s="76" t="s">
        <v>99</v>
      </c>
      <c r="S311" s="73"/>
      <c r="T311" s="73"/>
      <c r="U311" s="73"/>
      <c r="V311" s="73"/>
      <c r="W311" s="73"/>
      <c r="X311" s="73"/>
      <c r="Y311" s="73"/>
    </row>
    <row r="312" spans="1:25" s="74" customFormat="1" ht="10.5" customHeight="1" x14ac:dyDescent="0.15">
      <c r="A312" s="950" t="s">
        <v>807</v>
      </c>
      <c r="B312" s="74" t="s">
        <v>648</v>
      </c>
      <c r="C312" s="74" t="s">
        <v>648</v>
      </c>
      <c r="D312" s="74" t="s">
        <v>648</v>
      </c>
      <c r="E312" s="74" t="s">
        <v>648</v>
      </c>
      <c r="F312" s="74">
        <v>84684</v>
      </c>
      <c r="G312" s="74">
        <v>68742</v>
      </c>
      <c r="H312" s="74" t="s">
        <v>648</v>
      </c>
      <c r="I312" s="74">
        <v>17387</v>
      </c>
      <c r="J312" s="74" t="s">
        <v>648</v>
      </c>
      <c r="K312" s="74" t="s">
        <v>648</v>
      </c>
      <c r="L312" s="74" t="s">
        <v>648</v>
      </c>
      <c r="M312" s="74" t="s">
        <v>648</v>
      </c>
      <c r="N312" s="74" t="s">
        <v>648</v>
      </c>
      <c r="O312" s="74">
        <v>51355</v>
      </c>
      <c r="P312" s="74" t="s">
        <v>648</v>
      </c>
      <c r="Q312" s="74" t="s">
        <v>648</v>
      </c>
      <c r="R312" s="76" t="s">
        <v>83</v>
      </c>
      <c r="S312" s="73"/>
      <c r="T312" s="73"/>
      <c r="U312" s="73"/>
      <c r="V312" s="73"/>
      <c r="W312" s="73"/>
      <c r="X312" s="73"/>
      <c r="Y312" s="73"/>
    </row>
    <row r="313" spans="1:25" s="74" customFormat="1" ht="10.5" customHeight="1" x14ac:dyDescent="0.15">
      <c r="A313" s="950" t="s">
        <v>788</v>
      </c>
      <c r="B313" s="74" t="s">
        <v>648</v>
      </c>
      <c r="C313" s="74" t="s">
        <v>648</v>
      </c>
      <c r="D313" s="74" t="s">
        <v>648</v>
      </c>
      <c r="E313" s="74">
        <v>35007</v>
      </c>
      <c r="F313" s="74">
        <v>12721</v>
      </c>
      <c r="G313" s="74">
        <v>12721</v>
      </c>
      <c r="H313" s="74" t="s">
        <v>648</v>
      </c>
      <c r="I313" s="74">
        <v>12721</v>
      </c>
      <c r="J313" s="74" t="s">
        <v>648</v>
      </c>
      <c r="K313" s="74" t="s">
        <v>648</v>
      </c>
      <c r="L313" s="74" t="s">
        <v>648</v>
      </c>
      <c r="M313" s="74" t="s">
        <v>648</v>
      </c>
      <c r="N313" s="74" t="s">
        <v>648</v>
      </c>
      <c r="O313" s="74" t="s">
        <v>648</v>
      </c>
      <c r="P313" s="74" t="s">
        <v>648</v>
      </c>
      <c r="Q313" s="74" t="s">
        <v>648</v>
      </c>
      <c r="R313" s="76" t="s">
        <v>84</v>
      </c>
      <c r="S313" s="73"/>
      <c r="T313" s="73"/>
      <c r="U313" s="73"/>
      <c r="V313" s="73"/>
      <c r="W313" s="73"/>
      <c r="X313" s="73"/>
      <c r="Y313" s="73"/>
    </row>
    <row r="314" spans="1:25" s="74" customFormat="1" ht="10.5" customHeight="1" x14ac:dyDescent="0.15">
      <c r="A314" s="950" t="s">
        <v>789</v>
      </c>
      <c r="B314" s="74" t="s">
        <v>648</v>
      </c>
      <c r="C314" s="74" t="s">
        <v>648</v>
      </c>
      <c r="D314" s="74" t="s">
        <v>648</v>
      </c>
      <c r="E314" s="74" t="s">
        <v>648</v>
      </c>
      <c r="F314" s="74" t="s">
        <v>648</v>
      </c>
      <c r="G314" s="74" t="s">
        <v>648</v>
      </c>
      <c r="H314" s="74" t="s">
        <v>648</v>
      </c>
      <c r="I314" s="74" t="s">
        <v>648</v>
      </c>
      <c r="J314" s="74" t="s">
        <v>648</v>
      </c>
      <c r="K314" s="74" t="s">
        <v>648</v>
      </c>
      <c r="L314" s="74" t="s">
        <v>648</v>
      </c>
      <c r="M314" s="74" t="s">
        <v>648</v>
      </c>
      <c r="N314" s="74" t="s">
        <v>648</v>
      </c>
      <c r="O314" s="74" t="s">
        <v>648</v>
      </c>
      <c r="P314" s="74" t="s">
        <v>648</v>
      </c>
      <c r="Q314" s="74" t="s">
        <v>648</v>
      </c>
      <c r="R314" s="76" t="s">
        <v>85</v>
      </c>
      <c r="S314" s="73"/>
      <c r="T314" s="73"/>
      <c r="U314" s="73"/>
      <c r="V314" s="73"/>
      <c r="W314" s="73"/>
      <c r="X314" s="73"/>
      <c r="Y314" s="73"/>
    </row>
    <row r="315" spans="1:25" s="74" customFormat="1" ht="10.5" customHeight="1" x14ac:dyDescent="0.15">
      <c r="A315" s="950" t="s">
        <v>790</v>
      </c>
      <c r="B315" s="74" t="s">
        <v>648</v>
      </c>
      <c r="C315" s="74" t="s">
        <v>648</v>
      </c>
      <c r="D315" s="74" t="s">
        <v>648</v>
      </c>
      <c r="E315" s="74" t="s">
        <v>648</v>
      </c>
      <c r="F315" s="74">
        <v>98714</v>
      </c>
      <c r="G315" s="74">
        <v>86960</v>
      </c>
      <c r="H315" s="74" t="s">
        <v>648</v>
      </c>
      <c r="I315" s="74">
        <v>27150</v>
      </c>
      <c r="J315" s="74" t="s">
        <v>648</v>
      </c>
      <c r="K315" s="74" t="s">
        <v>648</v>
      </c>
      <c r="L315" s="74" t="s">
        <v>648</v>
      </c>
      <c r="M315" s="74">
        <v>55880</v>
      </c>
      <c r="N315" s="74">
        <v>3930</v>
      </c>
      <c r="O315" s="74" t="s">
        <v>648</v>
      </c>
      <c r="P315" s="74" t="s">
        <v>648</v>
      </c>
      <c r="Q315" s="74" t="s">
        <v>648</v>
      </c>
      <c r="R315" s="76" t="s">
        <v>791</v>
      </c>
      <c r="S315" s="73"/>
      <c r="T315" s="73"/>
      <c r="U315" s="73"/>
      <c r="V315" s="73"/>
      <c r="W315" s="73"/>
      <c r="X315" s="73"/>
      <c r="Y315" s="73"/>
    </row>
    <row r="316" spans="1:25" s="74" customFormat="1" ht="10.5" customHeight="1" x14ac:dyDescent="0.15">
      <c r="A316" s="950" t="s">
        <v>792</v>
      </c>
      <c r="B316" s="74" t="s">
        <v>648</v>
      </c>
      <c r="C316" s="74" t="s">
        <v>648</v>
      </c>
      <c r="D316" s="74" t="s">
        <v>648</v>
      </c>
      <c r="E316" s="74" t="s">
        <v>648</v>
      </c>
      <c r="F316" s="74">
        <v>20203</v>
      </c>
      <c r="G316" s="74">
        <v>20203</v>
      </c>
      <c r="H316" s="74" t="s">
        <v>648</v>
      </c>
      <c r="I316" s="74">
        <v>20203</v>
      </c>
      <c r="J316" s="74" t="s">
        <v>648</v>
      </c>
      <c r="K316" s="74" t="s">
        <v>648</v>
      </c>
      <c r="L316" s="74" t="s">
        <v>648</v>
      </c>
      <c r="M316" s="74" t="s">
        <v>648</v>
      </c>
      <c r="N316" s="74" t="s">
        <v>648</v>
      </c>
      <c r="O316" s="74" t="s">
        <v>648</v>
      </c>
      <c r="P316" s="74" t="s">
        <v>648</v>
      </c>
      <c r="Q316" s="74" t="s">
        <v>648</v>
      </c>
      <c r="R316" s="76" t="s">
        <v>80</v>
      </c>
      <c r="S316" s="73"/>
      <c r="T316" s="73"/>
      <c r="U316" s="73"/>
      <c r="V316" s="73"/>
      <c r="W316" s="73"/>
      <c r="X316" s="73"/>
      <c r="Y316" s="73"/>
    </row>
    <row r="317" spans="1:25" s="74" customFormat="1" ht="10.5" customHeight="1" x14ac:dyDescent="0.15">
      <c r="A317" s="951" t="s">
        <v>793</v>
      </c>
      <c r="B317" s="78" t="s">
        <v>648</v>
      </c>
      <c r="C317" s="79" t="s">
        <v>648</v>
      </c>
      <c r="D317" s="79" t="s">
        <v>648</v>
      </c>
      <c r="E317" s="79" t="s">
        <v>648</v>
      </c>
      <c r="F317" s="79">
        <v>17439</v>
      </c>
      <c r="G317" s="79">
        <v>17439</v>
      </c>
      <c r="H317" s="79" t="s">
        <v>648</v>
      </c>
      <c r="I317" s="79">
        <v>17439</v>
      </c>
      <c r="J317" s="79" t="s">
        <v>648</v>
      </c>
      <c r="K317" s="79" t="s">
        <v>648</v>
      </c>
      <c r="L317" s="79" t="s">
        <v>648</v>
      </c>
      <c r="M317" s="79" t="s">
        <v>648</v>
      </c>
      <c r="N317" s="79" t="s">
        <v>648</v>
      </c>
      <c r="O317" s="79" t="s">
        <v>648</v>
      </c>
      <c r="P317" s="79" t="s">
        <v>648</v>
      </c>
      <c r="Q317" s="79" t="s">
        <v>648</v>
      </c>
      <c r="R317" s="80" t="s">
        <v>81</v>
      </c>
      <c r="S317" s="73"/>
      <c r="T317" s="73"/>
      <c r="U317" s="73"/>
      <c r="V317" s="73"/>
      <c r="W317" s="73"/>
      <c r="X317" s="73"/>
      <c r="Y317" s="73"/>
    </row>
    <row r="318" spans="1:25" ht="23.25" customHeight="1" x14ac:dyDescent="0.35"/>
    <row r="319" spans="1:25" s="21" customFormat="1" ht="11.25" customHeight="1" x14ac:dyDescent="0.15">
      <c r="A319" s="66"/>
      <c r="B319" s="954" t="s">
        <v>119</v>
      </c>
      <c r="C319" s="1063" t="s">
        <v>86</v>
      </c>
      <c r="S319" s="19"/>
      <c r="T319" s="19"/>
      <c r="U319" s="19"/>
      <c r="V319" s="19"/>
      <c r="W319" s="19"/>
      <c r="X319" s="19"/>
      <c r="Y319" s="19"/>
    </row>
    <row r="320" spans="1:25" s="69" customFormat="1" ht="28.5" customHeight="1" x14ac:dyDescent="0.2">
      <c r="A320" s="35" t="s">
        <v>194</v>
      </c>
      <c r="B320" s="766" t="s">
        <v>684</v>
      </c>
      <c r="C320" s="1064"/>
      <c r="S320" s="15"/>
      <c r="T320" s="15"/>
      <c r="U320" s="15"/>
      <c r="V320" s="15"/>
      <c r="W320" s="15"/>
      <c r="X320" s="15"/>
      <c r="Y320" s="15"/>
    </row>
    <row r="321" spans="1:25" s="69" customFormat="1" ht="28.5" customHeight="1" x14ac:dyDescent="0.2">
      <c r="A321" s="35"/>
      <c r="B321" s="766" t="s">
        <v>884</v>
      </c>
      <c r="C321" s="1064"/>
      <c r="S321" s="15"/>
      <c r="T321" s="15"/>
      <c r="U321" s="15"/>
      <c r="V321" s="15"/>
      <c r="W321" s="15"/>
      <c r="X321" s="15"/>
      <c r="Y321" s="15"/>
    </row>
    <row r="322" spans="1:25" s="69" customFormat="1" ht="12" customHeight="1" x14ac:dyDescent="0.2">
      <c r="A322" s="36"/>
      <c r="B322" s="18" t="str">
        <f>PROPER("PAPUA-FO")</f>
        <v>Papua-Fo</v>
      </c>
      <c r="C322" s="1065"/>
      <c r="S322" s="15"/>
      <c r="T322" s="15"/>
      <c r="U322" s="15"/>
      <c r="V322" s="15"/>
      <c r="W322" s="15"/>
      <c r="X322" s="15"/>
      <c r="Y322" s="15"/>
    </row>
    <row r="323" spans="1:25" s="74" customFormat="1" ht="10.5" customHeight="1" x14ac:dyDescent="0.15">
      <c r="A323" s="949" t="s">
        <v>763</v>
      </c>
      <c r="B323" s="955">
        <v>29938</v>
      </c>
      <c r="C323" s="72" t="s">
        <v>464</v>
      </c>
      <c r="S323" s="73"/>
      <c r="T323" s="73"/>
      <c r="U323" s="73"/>
      <c r="V323" s="73"/>
      <c r="W323" s="73"/>
      <c r="X323" s="73"/>
      <c r="Y323" s="73"/>
    </row>
    <row r="324" spans="1:25" s="74" customFormat="1" ht="10.5" customHeight="1" x14ac:dyDescent="0.15">
      <c r="A324" s="950" t="s">
        <v>764</v>
      </c>
      <c r="B324" s="956">
        <v>29073</v>
      </c>
      <c r="C324" s="76" t="s">
        <v>489</v>
      </c>
      <c r="S324" s="73"/>
      <c r="T324" s="73"/>
      <c r="U324" s="73"/>
      <c r="V324" s="73"/>
      <c r="W324" s="73"/>
      <c r="X324" s="73"/>
      <c r="Y324" s="73"/>
    </row>
    <row r="325" spans="1:25" s="74" customFormat="1" ht="10.5" customHeight="1" x14ac:dyDescent="0.15">
      <c r="A325" s="950" t="s">
        <v>765</v>
      </c>
      <c r="B325" s="956">
        <v>33843</v>
      </c>
      <c r="C325" s="76" t="s">
        <v>549</v>
      </c>
      <c r="S325" s="73"/>
      <c r="T325" s="73"/>
      <c r="U325" s="73"/>
      <c r="V325" s="73"/>
      <c r="W325" s="73"/>
      <c r="X325" s="73"/>
      <c r="Y325" s="73"/>
    </row>
    <row r="326" spans="1:25" s="74" customFormat="1" ht="10.5" customHeight="1" x14ac:dyDescent="0.15">
      <c r="A326" s="950" t="s">
        <v>766</v>
      </c>
      <c r="B326" s="956">
        <v>46766</v>
      </c>
      <c r="C326" s="76" t="s">
        <v>672</v>
      </c>
      <c r="S326" s="73"/>
      <c r="T326" s="73"/>
      <c r="U326" s="73"/>
      <c r="V326" s="73"/>
      <c r="W326" s="73"/>
      <c r="X326" s="73"/>
      <c r="Y326" s="73"/>
    </row>
    <row r="327" spans="1:25" s="74" customFormat="1" ht="10.5" customHeight="1" x14ac:dyDescent="0.15">
      <c r="A327" s="950" t="s">
        <v>767</v>
      </c>
      <c r="B327" s="956">
        <v>74115</v>
      </c>
      <c r="C327" s="76" t="s">
        <v>768</v>
      </c>
      <c r="S327" s="73"/>
      <c r="T327" s="73"/>
      <c r="U327" s="73"/>
      <c r="V327" s="73"/>
      <c r="W327" s="73"/>
      <c r="X327" s="73"/>
      <c r="Y327" s="73"/>
    </row>
    <row r="328" spans="1:25" s="74" customFormat="1" ht="10.5" customHeight="1" x14ac:dyDescent="0.15">
      <c r="A328" s="950"/>
      <c r="B328" s="956"/>
      <c r="C328" s="76"/>
      <c r="S328" s="73"/>
      <c r="T328" s="73"/>
      <c r="U328" s="73"/>
      <c r="V328" s="73"/>
      <c r="W328" s="73"/>
      <c r="X328" s="73"/>
      <c r="Y328" s="73"/>
    </row>
    <row r="329" spans="1:25" s="74" customFormat="1" ht="10.5" customHeight="1" x14ac:dyDescent="0.15">
      <c r="A329" s="950" t="s">
        <v>799</v>
      </c>
      <c r="B329" s="956">
        <v>62086</v>
      </c>
      <c r="C329" s="76" t="s">
        <v>673</v>
      </c>
      <c r="S329" s="73"/>
      <c r="T329" s="73"/>
      <c r="U329" s="73"/>
      <c r="V329" s="73"/>
      <c r="W329" s="73"/>
      <c r="X329" s="73"/>
      <c r="Y329" s="73"/>
    </row>
    <row r="330" spans="1:25" s="74" customFormat="1" ht="10.5" customHeight="1" x14ac:dyDescent="0.15">
      <c r="A330" s="950" t="s">
        <v>800</v>
      </c>
      <c r="B330" s="956">
        <v>70549</v>
      </c>
      <c r="C330" s="76" t="s">
        <v>771</v>
      </c>
      <c r="S330" s="73"/>
      <c r="T330" s="73"/>
      <c r="U330" s="73"/>
      <c r="V330" s="73"/>
      <c r="W330" s="73"/>
      <c r="X330" s="73"/>
      <c r="Y330" s="73"/>
    </row>
    <row r="331" spans="1:25" s="74" customFormat="1" ht="10.5" customHeight="1" x14ac:dyDescent="0.15">
      <c r="A331" s="950"/>
      <c r="B331" s="956"/>
      <c r="C331" s="76"/>
      <c r="S331" s="73"/>
      <c r="T331" s="73"/>
      <c r="U331" s="73"/>
      <c r="V331" s="73"/>
      <c r="W331" s="73"/>
      <c r="X331" s="73"/>
      <c r="Y331" s="73"/>
    </row>
    <row r="332" spans="1:25" s="74" customFormat="1" ht="10.5" customHeight="1" x14ac:dyDescent="0.15">
      <c r="A332" s="950" t="s">
        <v>772</v>
      </c>
      <c r="B332" s="956">
        <v>15320</v>
      </c>
      <c r="C332" s="76" t="s">
        <v>674</v>
      </c>
      <c r="S332" s="73"/>
      <c r="T332" s="73"/>
      <c r="U332" s="73"/>
      <c r="V332" s="73"/>
      <c r="W332" s="73"/>
      <c r="X332" s="73"/>
      <c r="Y332" s="73"/>
    </row>
    <row r="333" spans="1:25" s="74" customFormat="1" ht="10.5" customHeight="1" x14ac:dyDescent="0.15">
      <c r="A333" s="950" t="s">
        <v>773</v>
      </c>
      <c r="B333" s="956">
        <v>42853</v>
      </c>
      <c r="C333" s="76" t="s">
        <v>92</v>
      </c>
      <c r="S333" s="73"/>
      <c r="T333" s="73"/>
      <c r="U333" s="73"/>
      <c r="V333" s="73"/>
      <c r="W333" s="73"/>
      <c r="X333" s="73"/>
      <c r="Y333" s="73"/>
    </row>
    <row r="334" spans="1:25" s="74" customFormat="1" ht="10.5" customHeight="1" x14ac:dyDescent="0.15">
      <c r="A334" s="950" t="s">
        <v>774</v>
      </c>
      <c r="B334" s="956" t="s">
        <v>648</v>
      </c>
      <c r="C334" s="76" t="s">
        <v>93</v>
      </c>
      <c r="S334" s="73"/>
      <c r="T334" s="73"/>
      <c r="U334" s="73"/>
      <c r="V334" s="73"/>
      <c r="W334" s="73"/>
      <c r="X334" s="73"/>
      <c r="Y334" s="73"/>
    </row>
    <row r="335" spans="1:25" s="74" customFormat="1" ht="10.5" customHeight="1" x14ac:dyDescent="0.15">
      <c r="A335" s="950" t="s">
        <v>801</v>
      </c>
      <c r="B335" s="956">
        <v>15942</v>
      </c>
      <c r="C335" s="76" t="s">
        <v>94</v>
      </c>
      <c r="S335" s="73"/>
      <c r="T335" s="73"/>
      <c r="U335" s="73"/>
      <c r="V335" s="73"/>
      <c r="W335" s="73"/>
      <c r="X335" s="73"/>
      <c r="Y335" s="73"/>
    </row>
    <row r="336" spans="1:25" s="74" customFormat="1" ht="10.5" customHeight="1" x14ac:dyDescent="0.15">
      <c r="A336" s="950" t="s">
        <v>809</v>
      </c>
      <c r="B336" s="956">
        <v>11754</v>
      </c>
      <c r="C336" s="76" t="s">
        <v>777</v>
      </c>
      <c r="S336" s="73"/>
      <c r="T336" s="73"/>
      <c r="U336" s="73"/>
      <c r="V336" s="73"/>
      <c r="W336" s="73"/>
      <c r="X336" s="73"/>
      <c r="Y336" s="73"/>
    </row>
    <row r="337" spans="1:25" s="74" customFormat="1" ht="10.5" customHeight="1" x14ac:dyDescent="0.15">
      <c r="A337" s="950"/>
      <c r="B337" s="956"/>
      <c r="C337" s="76"/>
      <c r="S337" s="73"/>
      <c r="T337" s="73"/>
      <c r="U337" s="73"/>
      <c r="V337" s="73"/>
      <c r="W337" s="73"/>
      <c r="X337" s="73"/>
      <c r="Y337" s="73"/>
    </row>
    <row r="338" spans="1:25" s="74" customFormat="1" ht="10.5" customHeight="1" x14ac:dyDescent="0.15">
      <c r="A338" s="950" t="s">
        <v>778</v>
      </c>
      <c r="B338" s="956">
        <v>15320</v>
      </c>
      <c r="C338" s="76" t="s">
        <v>675</v>
      </c>
      <c r="S338" s="73"/>
      <c r="T338" s="73"/>
      <c r="U338" s="73"/>
      <c r="V338" s="73"/>
      <c r="W338" s="73"/>
      <c r="X338" s="73"/>
      <c r="Y338" s="73"/>
    </row>
    <row r="339" spans="1:25" s="74" customFormat="1" ht="10.5" customHeight="1" x14ac:dyDescent="0.15">
      <c r="A339" s="950" t="s">
        <v>779</v>
      </c>
      <c r="B339" s="956" t="s">
        <v>648</v>
      </c>
      <c r="C339" s="76" t="s">
        <v>80</v>
      </c>
      <c r="S339" s="73"/>
      <c r="T339" s="73"/>
      <c r="U339" s="73"/>
      <c r="V339" s="73"/>
      <c r="W339" s="73"/>
      <c r="X339" s="73"/>
      <c r="Y339" s="73"/>
    </row>
    <row r="340" spans="1:25" s="74" customFormat="1" ht="10.5" customHeight="1" x14ac:dyDescent="0.15">
      <c r="A340" s="950" t="s">
        <v>780</v>
      </c>
      <c r="B340" s="956" t="s">
        <v>648</v>
      </c>
      <c r="C340" s="76" t="s">
        <v>81</v>
      </c>
      <c r="S340" s="73"/>
      <c r="T340" s="73"/>
      <c r="U340" s="73"/>
      <c r="V340" s="73"/>
      <c r="W340" s="73"/>
      <c r="X340" s="73"/>
      <c r="Y340" s="73"/>
    </row>
    <row r="341" spans="1:25" s="74" customFormat="1" ht="10.5" customHeight="1" x14ac:dyDescent="0.15">
      <c r="A341" s="950" t="s">
        <v>781</v>
      </c>
      <c r="B341" s="956">
        <v>18476</v>
      </c>
      <c r="C341" s="76" t="s">
        <v>82</v>
      </c>
      <c r="S341" s="73"/>
      <c r="T341" s="73"/>
      <c r="U341" s="73"/>
      <c r="V341" s="73"/>
      <c r="W341" s="73"/>
      <c r="X341" s="73"/>
      <c r="Y341" s="73"/>
    </row>
    <row r="342" spans="1:25" s="74" customFormat="1" ht="10.5" customHeight="1" x14ac:dyDescent="0.15">
      <c r="A342" s="950" t="s">
        <v>782</v>
      </c>
      <c r="B342" s="956" t="s">
        <v>648</v>
      </c>
      <c r="C342" s="77" t="s">
        <v>95</v>
      </c>
      <c r="S342" s="73"/>
      <c r="T342" s="73"/>
      <c r="U342" s="73"/>
      <c r="V342" s="73"/>
      <c r="W342" s="73"/>
      <c r="X342" s="73"/>
      <c r="Y342" s="73"/>
    </row>
    <row r="343" spans="1:25" s="74" customFormat="1" ht="10.5" customHeight="1" x14ac:dyDescent="0.15">
      <c r="A343" s="950" t="s">
        <v>783</v>
      </c>
      <c r="B343" s="956">
        <v>24377</v>
      </c>
      <c r="C343" s="76" t="s">
        <v>96</v>
      </c>
      <c r="S343" s="73"/>
      <c r="T343" s="73"/>
      <c r="U343" s="73"/>
      <c r="V343" s="73"/>
      <c r="W343" s="73"/>
      <c r="X343" s="73"/>
      <c r="Y343" s="73"/>
    </row>
    <row r="344" spans="1:25" s="74" customFormat="1" ht="10.5" customHeight="1" x14ac:dyDescent="0.15">
      <c r="A344" s="950" t="s">
        <v>784</v>
      </c>
      <c r="B344" s="956" t="s">
        <v>648</v>
      </c>
      <c r="C344" s="76" t="s">
        <v>97</v>
      </c>
      <c r="S344" s="73"/>
      <c r="T344" s="73"/>
      <c r="U344" s="73"/>
      <c r="V344" s="73"/>
      <c r="W344" s="73"/>
      <c r="X344" s="73"/>
      <c r="Y344" s="73"/>
    </row>
    <row r="345" spans="1:25" s="74" customFormat="1" ht="10.5" customHeight="1" x14ac:dyDescent="0.15">
      <c r="A345" s="950" t="s">
        <v>806</v>
      </c>
      <c r="B345" s="956" t="s">
        <v>648</v>
      </c>
      <c r="C345" s="76" t="s">
        <v>98</v>
      </c>
      <c r="S345" s="73"/>
      <c r="T345" s="73"/>
      <c r="U345" s="73"/>
      <c r="V345" s="73"/>
      <c r="W345" s="73"/>
      <c r="X345" s="73"/>
      <c r="Y345" s="73"/>
    </row>
    <row r="346" spans="1:25" s="74" customFormat="1" ht="10.5" customHeight="1" x14ac:dyDescent="0.15">
      <c r="A346" s="950" t="s">
        <v>786</v>
      </c>
      <c r="B346" s="956" t="s">
        <v>648</v>
      </c>
      <c r="C346" s="76" t="s">
        <v>99</v>
      </c>
      <c r="S346" s="73"/>
      <c r="T346" s="73"/>
      <c r="U346" s="73"/>
      <c r="V346" s="73"/>
      <c r="W346" s="73"/>
      <c r="X346" s="73"/>
      <c r="Y346" s="73"/>
    </row>
    <row r="347" spans="1:25" s="74" customFormat="1" ht="10.5" customHeight="1" x14ac:dyDescent="0.15">
      <c r="A347" s="950" t="s">
        <v>807</v>
      </c>
      <c r="B347" s="956">
        <v>15942</v>
      </c>
      <c r="C347" s="76" t="s">
        <v>83</v>
      </c>
      <c r="S347" s="73"/>
      <c r="T347" s="73"/>
      <c r="U347" s="73"/>
      <c r="V347" s="73"/>
      <c r="W347" s="73"/>
      <c r="X347" s="73"/>
      <c r="Y347" s="73"/>
    </row>
    <row r="348" spans="1:25" s="74" customFormat="1" ht="10.5" customHeight="1" x14ac:dyDescent="0.15">
      <c r="A348" s="950" t="s">
        <v>788</v>
      </c>
      <c r="B348" s="956" t="s">
        <v>648</v>
      </c>
      <c r="C348" s="76" t="s">
        <v>84</v>
      </c>
      <c r="S348" s="73"/>
      <c r="T348" s="73"/>
      <c r="U348" s="73"/>
      <c r="V348" s="73"/>
      <c r="W348" s="73"/>
      <c r="X348" s="73"/>
      <c r="Y348" s="73"/>
    </row>
    <row r="349" spans="1:25" s="74" customFormat="1" ht="10.5" customHeight="1" x14ac:dyDescent="0.15">
      <c r="A349" s="950" t="s">
        <v>789</v>
      </c>
      <c r="B349" s="956" t="s">
        <v>648</v>
      </c>
      <c r="C349" s="76" t="s">
        <v>85</v>
      </c>
      <c r="S349" s="73"/>
      <c r="T349" s="73"/>
      <c r="U349" s="73"/>
      <c r="V349" s="73"/>
      <c r="W349" s="73"/>
      <c r="X349" s="73"/>
      <c r="Y349" s="73"/>
    </row>
    <row r="350" spans="1:25" s="74" customFormat="1" ht="10.5" customHeight="1" x14ac:dyDescent="0.15">
      <c r="A350" s="950" t="s">
        <v>790</v>
      </c>
      <c r="B350" s="956">
        <v>11754</v>
      </c>
      <c r="C350" s="76" t="s">
        <v>791</v>
      </c>
      <c r="S350" s="73"/>
      <c r="T350" s="73"/>
      <c r="U350" s="73"/>
      <c r="V350" s="73"/>
      <c r="W350" s="73"/>
      <c r="X350" s="73"/>
      <c r="Y350" s="73"/>
    </row>
    <row r="351" spans="1:25" s="74" customFormat="1" ht="10.5" customHeight="1" x14ac:dyDescent="0.15">
      <c r="A351" s="950" t="s">
        <v>792</v>
      </c>
      <c r="B351" s="956" t="s">
        <v>648</v>
      </c>
      <c r="C351" s="76" t="s">
        <v>80</v>
      </c>
      <c r="S351" s="73"/>
      <c r="T351" s="73"/>
      <c r="U351" s="73"/>
      <c r="V351" s="73"/>
      <c r="W351" s="73"/>
      <c r="X351" s="73"/>
      <c r="Y351" s="73"/>
    </row>
    <row r="352" spans="1:25" s="74" customFormat="1" ht="10.5" customHeight="1" x14ac:dyDescent="0.15">
      <c r="A352" s="951" t="s">
        <v>793</v>
      </c>
      <c r="B352" s="957" t="s">
        <v>648</v>
      </c>
      <c r="C352" s="80" t="s">
        <v>81</v>
      </c>
      <c r="S352" s="73"/>
      <c r="T352" s="73"/>
      <c r="U352" s="73"/>
      <c r="V352" s="73"/>
      <c r="W352" s="73"/>
      <c r="X352" s="73"/>
      <c r="Y352" s="73"/>
    </row>
    <row r="353" ht="23.25" customHeight="1" x14ac:dyDescent="0.35"/>
  </sheetData>
  <mergeCells count="11">
    <mergeCell ref="R179:R182"/>
    <mergeCell ref="R214:R217"/>
    <mergeCell ref="R249:R252"/>
    <mergeCell ref="R284:R287"/>
    <mergeCell ref="C319:C322"/>
    <mergeCell ref="R144:R147"/>
    <mergeCell ref="A3:E3"/>
    <mergeCell ref="R4:R7"/>
    <mergeCell ref="R39:R42"/>
    <mergeCell ref="R74:R77"/>
    <mergeCell ref="R109:R112"/>
  </mergeCells>
  <phoneticPr fontId="30"/>
  <pageMargins left="0.59055118110236227" right="0.59055118110236227" top="0.59055118110236227" bottom="0.59055118110236227" header="0.19685039370078741" footer="0.31496062992125984"/>
  <pageSetup paperSize="9" scale="89" pageOrder="overThenDown" orientation="portrait" r:id="rId1"/>
  <headerFooter alignWithMargins="0"/>
  <rowBreaks count="4" manualBreakCount="4">
    <brk id="72" max="17" man="1"/>
    <brk id="142" max="17" man="1"/>
    <brk id="212" max="17" man="1"/>
    <brk id="282" max="17" man="1"/>
  </rowBreaks>
  <colBreaks count="1" manualBreakCount="1">
    <brk id="9" max="35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1"/>
  <sheetViews>
    <sheetView view="pageBreakPreview" zoomScaleNormal="100" zoomScaleSheetLayoutView="100" workbookViewId="0">
      <pane xSplit="1" topLeftCell="B1" activePane="topRight" state="frozen"/>
      <selection pane="topRight" activeCell="A3" sqref="A3"/>
    </sheetView>
  </sheetViews>
  <sheetFormatPr defaultColWidth="9" defaultRowHeight="23.5" x14ac:dyDescent="0.2"/>
  <cols>
    <col min="1" max="1" width="14.08984375" style="87" customWidth="1"/>
    <col min="2" max="5" width="9.7265625" style="87" customWidth="1"/>
    <col min="6" max="6" width="10.1796875" style="87" customWidth="1"/>
    <col min="7" max="17" width="9.7265625" style="87" customWidth="1"/>
    <col min="18" max="18" width="10.7265625" style="87" customWidth="1"/>
    <col min="19" max="19" width="10.26953125" style="108" customWidth="1"/>
    <col min="20" max="20" width="22.36328125" style="87" customWidth="1"/>
    <col min="21" max="16384" width="9" style="87"/>
  </cols>
  <sheetData>
    <row r="1" spans="1:20" ht="3" customHeight="1" x14ac:dyDescent="0.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6"/>
      <c r="T1" s="86"/>
    </row>
    <row r="2" spans="1:20" ht="5.2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</row>
    <row r="3" spans="1:20" ht="18.75" customHeight="1" x14ac:dyDescent="0.15">
      <c r="A3" s="958" t="s">
        <v>201</v>
      </c>
      <c r="B3" s="959"/>
      <c r="C3" s="959"/>
      <c r="D3" s="85"/>
      <c r="E3" s="85"/>
      <c r="F3" s="85"/>
      <c r="G3" s="85"/>
      <c r="H3" s="85"/>
      <c r="I3" s="34" t="s">
        <v>885</v>
      </c>
      <c r="J3" s="86"/>
      <c r="K3" s="85"/>
      <c r="L3" s="85"/>
      <c r="M3" s="85"/>
      <c r="N3" s="85"/>
      <c r="O3" s="85"/>
      <c r="P3" s="85"/>
      <c r="Q3" s="32" t="s">
        <v>886</v>
      </c>
      <c r="R3" s="32"/>
      <c r="S3" s="88"/>
    </row>
    <row r="4" spans="1:20" s="93" customFormat="1" ht="12" customHeight="1" x14ac:dyDescent="0.2">
      <c r="A4" s="89"/>
      <c r="B4" s="90"/>
      <c r="C4" s="91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1060" t="s">
        <v>86</v>
      </c>
    </row>
    <row r="5" spans="1:20" s="49" customFormat="1" ht="13.5" customHeight="1" x14ac:dyDescent="0.2">
      <c r="A5" s="47"/>
      <c r="B5" s="40" t="s">
        <v>61</v>
      </c>
      <c r="C5" s="40" t="s">
        <v>202</v>
      </c>
      <c r="D5" s="903"/>
      <c r="E5" s="96"/>
      <c r="F5" s="903"/>
      <c r="G5" s="94"/>
      <c r="H5" s="94"/>
      <c r="I5" s="94"/>
      <c r="J5" s="94"/>
      <c r="K5" s="94"/>
      <c r="L5" s="94"/>
      <c r="M5" s="94"/>
      <c r="N5" s="94"/>
      <c r="O5" s="96"/>
      <c r="P5" s="903"/>
      <c r="Q5" s="94"/>
      <c r="R5" s="1061"/>
      <c r="S5" s="95"/>
    </row>
    <row r="6" spans="1:20" s="49" customFormat="1" ht="33.75" customHeight="1" x14ac:dyDescent="0.2">
      <c r="A6" s="47" t="s">
        <v>194</v>
      </c>
      <c r="B6" s="40" t="s">
        <v>60</v>
      </c>
      <c r="C6" s="40" t="s">
        <v>203</v>
      </c>
      <c r="D6" s="40" t="s">
        <v>122</v>
      </c>
      <c r="E6" s="38" t="s">
        <v>722</v>
      </c>
      <c r="F6" s="40" t="s">
        <v>88</v>
      </c>
      <c r="G6" s="903" t="s">
        <v>123</v>
      </c>
      <c r="H6" s="94"/>
      <c r="I6" s="96"/>
      <c r="J6" s="903" t="s">
        <v>41</v>
      </c>
      <c r="K6" s="94"/>
      <c r="L6" s="94"/>
      <c r="M6" s="94"/>
      <c r="N6" s="94"/>
      <c r="O6" s="96"/>
      <c r="P6" s="40" t="s">
        <v>89</v>
      </c>
      <c r="Q6" s="960" t="s">
        <v>208</v>
      </c>
      <c r="R6" s="1061"/>
      <c r="S6" s="95"/>
    </row>
    <row r="7" spans="1:20" s="49" customFormat="1" ht="22.5" customHeight="1" x14ac:dyDescent="0.2">
      <c r="A7" s="47"/>
      <c r="B7" s="40"/>
      <c r="C7" s="40"/>
      <c r="D7" s="40" t="s">
        <v>90</v>
      </c>
      <c r="E7" s="38" t="s">
        <v>723</v>
      </c>
      <c r="F7" s="40" t="s">
        <v>91</v>
      </c>
      <c r="G7" s="40" t="s">
        <v>40</v>
      </c>
      <c r="H7" s="38" t="s">
        <v>127</v>
      </c>
      <c r="I7" s="38" t="s">
        <v>128</v>
      </c>
      <c r="J7" s="40" t="s">
        <v>21</v>
      </c>
      <c r="K7" s="38" t="s">
        <v>42</v>
      </c>
      <c r="L7" s="38" t="s">
        <v>43</v>
      </c>
      <c r="M7" s="38" t="s">
        <v>44</v>
      </c>
      <c r="N7" s="38" t="s">
        <v>46</v>
      </c>
      <c r="O7" s="38" t="s">
        <v>47</v>
      </c>
      <c r="P7" s="40" t="s">
        <v>48</v>
      </c>
      <c r="Q7" s="903" t="s">
        <v>160</v>
      </c>
      <c r="R7" s="1061"/>
      <c r="S7" s="95"/>
    </row>
    <row r="8" spans="1:20" s="49" customFormat="1" ht="13.5" customHeight="1" x14ac:dyDescent="0.2">
      <c r="A8" s="47"/>
      <c r="B8" s="33"/>
      <c r="C8" s="33"/>
      <c r="D8" s="33"/>
      <c r="E8" s="33" t="s">
        <v>724</v>
      </c>
      <c r="F8" s="33"/>
      <c r="G8" s="33"/>
      <c r="H8" s="33" t="str">
        <f>PROPER("SUTUDEN")</f>
        <v>Sutuden</v>
      </c>
      <c r="I8" s="33" t="str">
        <f>PROPER("CHIM-SAO")</f>
        <v>Chim-Sao</v>
      </c>
      <c r="J8" s="33"/>
      <c r="K8" s="33" t="str">
        <f>PROPER("CINTA")</f>
        <v>Cinta</v>
      </c>
      <c r="L8" s="33" t="str">
        <f>PROPER("DURI")</f>
        <v>Duri</v>
      </c>
      <c r="M8" s="33" t="str">
        <f>PROPER("SUMATR-L")</f>
        <v>Sumatr-L</v>
      </c>
      <c r="N8" s="33" t="str">
        <f>PROPER("WIDURI")</f>
        <v>Widuri</v>
      </c>
      <c r="O8" s="33" t="str">
        <f>PROPER("KAJISEMO")</f>
        <v>Kajisemo</v>
      </c>
      <c r="P8" s="33"/>
      <c r="Q8" s="906" t="str">
        <f>PROPER("U-SHAIF")</f>
        <v>U-Shaif</v>
      </c>
      <c r="R8" s="1062"/>
      <c r="S8" s="95"/>
    </row>
    <row r="9" spans="1:20" s="101" customFormat="1" ht="9.75" customHeight="1" x14ac:dyDescent="0.15">
      <c r="A9" s="949" t="s">
        <v>887</v>
      </c>
      <c r="B9" s="97">
        <v>1797724</v>
      </c>
      <c r="C9" s="98">
        <v>1388722</v>
      </c>
      <c r="D9" s="98" t="s">
        <v>648</v>
      </c>
      <c r="E9" s="98" t="s">
        <v>648</v>
      </c>
      <c r="F9" s="98">
        <v>1284636</v>
      </c>
      <c r="G9" s="98">
        <v>24941</v>
      </c>
      <c r="H9" s="98">
        <v>24941</v>
      </c>
      <c r="I9" s="98" t="s">
        <v>648</v>
      </c>
      <c r="J9" s="98">
        <v>1259695</v>
      </c>
      <c r="K9" s="98">
        <v>14742</v>
      </c>
      <c r="L9" s="98">
        <v>442794</v>
      </c>
      <c r="M9" s="98">
        <v>765433</v>
      </c>
      <c r="N9" s="98">
        <v>30194</v>
      </c>
      <c r="O9" s="98">
        <v>6532</v>
      </c>
      <c r="P9" s="98" t="s">
        <v>648</v>
      </c>
      <c r="Q9" s="98" t="s">
        <v>648</v>
      </c>
      <c r="R9" s="99" t="s">
        <v>464</v>
      </c>
      <c r="S9" s="100"/>
    </row>
    <row r="10" spans="1:20" s="101" customFormat="1" ht="9.75" customHeight="1" x14ac:dyDescent="0.15">
      <c r="A10" s="950" t="s">
        <v>841</v>
      </c>
      <c r="B10" s="102">
        <v>1245136</v>
      </c>
      <c r="C10" s="101">
        <v>868696</v>
      </c>
      <c r="D10" s="101" t="s">
        <v>648</v>
      </c>
      <c r="E10" s="101" t="s">
        <v>648</v>
      </c>
      <c r="F10" s="101">
        <v>826010</v>
      </c>
      <c r="G10" s="101">
        <v>49549</v>
      </c>
      <c r="H10" s="101">
        <v>44536</v>
      </c>
      <c r="I10" s="101">
        <v>5013</v>
      </c>
      <c r="J10" s="101">
        <v>776461</v>
      </c>
      <c r="K10" s="101">
        <v>140</v>
      </c>
      <c r="L10" s="101">
        <v>328415</v>
      </c>
      <c r="M10" s="101">
        <v>447775</v>
      </c>
      <c r="N10" s="101">
        <v>131</v>
      </c>
      <c r="O10" s="101" t="s">
        <v>648</v>
      </c>
      <c r="P10" s="101" t="s">
        <v>648</v>
      </c>
      <c r="Q10" s="101" t="s">
        <v>648</v>
      </c>
      <c r="R10" s="103" t="s">
        <v>489</v>
      </c>
      <c r="S10" s="100"/>
    </row>
    <row r="11" spans="1:20" s="101" customFormat="1" ht="9.75" customHeight="1" x14ac:dyDescent="0.15">
      <c r="A11" s="950" t="s">
        <v>765</v>
      </c>
      <c r="B11" s="102">
        <v>236193</v>
      </c>
      <c r="C11" s="101">
        <v>46004</v>
      </c>
      <c r="D11" s="101" t="s">
        <v>648</v>
      </c>
      <c r="E11" s="101" t="s">
        <v>648</v>
      </c>
      <c r="F11" s="101">
        <v>45617</v>
      </c>
      <c r="G11" s="101">
        <v>1373</v>
      </c>
      <c r="H11" s="101">
        <v>1373</v>
      </c>
      <c r="I11" s="101" t="s">
        <v>648</v>
      </c>
      <c r="J11" s="101">
        <v>44244</v>
      </c>
      <c r="K11" s="101" t="s">
        <v>648</v>
      </c>
      <c r="L11" s="101">
        <v>5002</v>
      </c>
      <c r="M11" s="101">
        <v>39242</v>
      </c>
      <c r="N11" s="101" t="s">
        <v>648</v>
      </c>
      <c r="O11" s="101" t="s">
        <v>648</v>
      </c>
      <c r="P11" s="101">
        <v>48</v>
      </c>
      <c r="Q11" s="101">
        <v>48</v>
      </c>
      <c r="R11" s="103" t="s">
        <v>549</v>
      </c>
      <c r="S11" s="100"/>
    </row>
    <row r="12" spans="1:20" s="101" customFormat="1" ht="9.75" customHeight="1" x14ac:dyDescent="0.15">
      <c r="A12" s="950" t="s">
        <v>888</v>
      </c>
      <c r="B12" s="102">
        <v>172468</v>
      </c>
      <c r="C12" s="101">
        <v>68257</v>
      </c>
      <c r="D12" s="101" t="s">
        <v>648</v>
      </c>
      <c r="E12" s="101" t="s">
        <v>648</v>
      </c>
      <c r="F12" s="101">
        <v>68257</v>
      </c>
      <c r="G12" s="101" t="s">
        <v>648</v>
      </c>
      <c r="H12" s="101" t="s">
        <v>648</v>
      </c>
      <c r="I12" s="101" t="s">
        <v>648</v>
      </c>
      <c r="J12" s="101">
        <v>68257</v>
      </c>
      <c r="K12" s="101" t="s">
        <v>648</v>
      </c>
      <c r="L12" s="101">
        <v>58255</v>
      </c>
      <c r="M12" s="101">
        <v>10002</v>
      </c>
      <c r="N12" s="101" t="s">
        <v>648</v>
      </c>
      <c r="O12" s="101" t="s">
        <v>648</v>
      </c>
      <c r="P12" s="101" t="s">
        <v>648</v>
      </c>
      <c r="Q12" s="101" t="s">
        <v>648</v>
      </c>
      <c r="R12" s="103" t="s">
        <v>672</v>
      </c>
      <c r="S12" s="100"/>
    </row>
    <row r="13" spans="1:20" s="101" customFormat="1" ht="9.75" customHeight="1" x14ac:dyDescent="0.15">
      <c r="A13" s="950" t="s">
        <v>889</v>
      </c>
      <c r="B13" s="102">
        <v>507367</v>
      </c>
      <c r="C13" s="101">
        <v>254198</v>
      </c>
      <c r="D13" s="101">
        <v>34948</v>
      </c>
      <c r="E13" s="101">
        <v>34948</v>
      </c>
      <c r="F13" s="101">
        <v>219250</v>
      </c>
      <c r="G13" s="101" t="s">
        <v>648</v>
      </c>
      <c r="H13" s="101" t="s">
        <v>648</v>
      </c>
      <c r="I13" s="101" t="s">
        <v>648</v>
      </c>
      <c r="J13" s="101">
        <v>219250</v>
      </c>
      <c r="K13" s="101" t="s">
        <v>648</v>
      </c>
      <c r="L13" s="101">
        <v>135931</v>
      </c>
      <c r="M13" s="101">
        <v>83319</v>
      </c>
      <c r="N13" s="101" t="s">
        <v>648</v>
      </c>
      <c r="O13" s="101" t="s">
        <v>648</v>
      </c>
      <c r="P13" s="101" t="s">
        <v>648</v>
      </c>
      <c r="Q13" s="101" t="s">
        <v>648</v>
      </c>
      <c r="R13" s="103" t="s">
        <v>768</v>
      </c>
      <c r="S13" s="100"/>
    </row>
    <row r="14" spans="1:20" s="101" customFormat="1" ht="9.75" customHeight="1" x14ac:dyDescent="0.15">
      <c r="A14" s="950"/>
      <c r="B14" s="102"/>
      <c r="R14" s="103"/>
      <c r="S14" s="100"/>
    </row>
    <row r="15" spans="1:20" s="101" customFormat="1" ht="9.75" customHeight="1" x14ac:dyDescent="0.15">
      <c r="A15" s="950" t="s">
        <v>860</v>
      </c>
      <c r="B15" s="102">
        <v>322942</v>
      </c>
      <c r="C15" s="101">
        <v>215583</v>
      </c>
      <c r="D15" s="101">
        <v>18948</v>
      </c>
      <c r="E15" s="101">
        <v>18948</v>
      </c>
      <c r="F15" s="101">
        <v>196635</v>
      </c>
      <c r="G15" s="101" t="s">
        <v>648</v>
      </c>
      <c r="H15" s="101" t="s">
        <v>648</v>
      </c>
      <c r="I15" s="101" t="s">
        <v>648</v>
      </c>
      <c r="J15" s="101">
        <v>196635</v>
      </c>
      <c r="K15" s="101" t="s">
        <v>648</v>
      </c>
      <c r="L15" s="101">
        <v>150033</v>
      </c>
      <c r="M15" s="101">
        <v>46602</v>
      </c>
      <c r="N15" s="101" t="s">
        <v>648</v>
      </c>
      <c r="O15" s="101" t="s">
        <v>648</v>
      </c>
      <c r="P15" s="101" t="s">
        <v>648</v>
      </c>
      <c r="Q15" s="101" t="s">
        <v>648</v>
      </c>
      <c r="R15" s="103" t="s">
        <v>673</v>
      </c>
      <c r="S15" s="100"/>
    </row>
    <row r="16" spans="1:20" s="101" customFormat="1" ht="9.75" customHeight="1" x14ac:dyDescent="0.15">
      <c r="A16" s="950" t="s">
        <v>890</v>
      </c>
      <c r="B16" s="102">
        <v>389373</v>
      </c>
      <c r="C16" s="101">
        <v>143731</v>
      </c>
      <c r="D16" s="101">
        <v>16000</v>
      </c>
      <c r="E16" s="101">
        <v>16000</v>
      </c>
      <c r="F16" s="101">
        <v>109255</v>
      </c>
      <c r="G16" s="101" t="s">
        <v>648</v>
      </c>
      <c r="H16" s="101" t="s">
        <v>648</v>
      </c>
      <c r="I16" s="101" t="s">
        <v>648</v>
      </c>
      <c r="J16" s="101">
        <v>109255</v>
      </c>
      <c r="K16" s="101" t="s">
        <v>648</v>
      </c>
      <c r="L16" s="101">
        <v>55148</v>
      </c>
      <c r="M16" s="101">
        <v>54107</v>
      </c>
      <c r="N16" s="101" t="s">
        <v>648</v>
      </c>
      <c r="O16" s="101" t="s">
        <v>648</v>
      </c>
      <c r="P16" s="101" t="s">
        <v>648</v>
      </c>
      <c r="Q16" s="101" t="s">
        <v>648</v>
      </c>
      <c r="R16" s="103" t="s">
        <v>771</v>
      </c>
      <c r="S16" s="100"/>
    </row>
    <row r="17" spans="1:19" s="101" customFormat="1" ht="9.75" customHeight="1" x14ac:dyDescent="0.15">
      <c r="A17" s="950"/>
      <c r="B17" s="102"/>
      <c r="R17" s="103"/>
      <c r="S17" s="100"/>
    </row>
    <row r="18" spans="1:19" s="101" customFormat="1" ht="9.75" customHeight="1" x14ac:dyDescent="0.15">
      <c r="A18" s="950" t="s">
        <v>772</v>
      </c>
      <c r="B18" s="102">
        <v>181713</v>
      </c>
      <c r="C18" s="101">
        <v>147326</v>
      </c>
      <c r="D18" s="101">
        <v>18948</v>
      </c>
      <c r="E18" s="101">
        <v>18948</v>
      </c>
      <c r="F18" s="101">
        <v>128378</v>
      </c>
      <c r="G18" s="101" t="s">
        <v>648</v>
      </c>
      <c r="H18" s="101" t="s">
        <v>648</v>
      </c>
      <c r="I18" s="101" t="s">
        <v>648</v>
      </c>
      <c r="J18" s="101">
        <v>128378</v>
      </c>
      <c r="K18" s="101" t="s">
        <v>648</v>
      </c>
      <c r="L18" s="101">
        <v>91778</v>
      </c>
      <c r="M18" s="101">
        <v>36600</v>
      </c>
      <c r="N18" s="101" t="s">
        <v>648</v>
      </c>
      <c r="O18" s="101" t="s">
        <v>648</v>
      </c>
      <c r="P18" s="101" t="s">
        <v>648</v>
      </c>
      <c r="Q18" s="101" t="s">
        <v>648</v>
      </c>
      <c r="R18" s="103" t="s">
        <v>674</v>
      </c>
      <c r="S18" s="100"/>
    </row>
    <row r="19" spans="1:19" s="101" customFormat="1" ht="9.75" customHeight="1" x14ac:dyDescent="0.15">
      <c r="A19" s="950" t="s">
        <v>891</v>
      </c>
      <c r="B19" s="102">
        <v>89393</v>
      </c>
      <c r="C19" s="101">
        <v>49863</v>
      </c>
      <c r="D19" s="101" t="s">
        <v>648</v>
      </c>
      <c r="E19" s="101" t="s">
        <v>648</v>
      </c>
      <c r="F19" s="101">
        <v>49863</v>
      </c>
      <c r="G19" s="101" t="s">
        <v>648</v>
      </c>
      <c r="H19" s="101" t="s">
        <v>648</v>
      </c>
      <c r="I19" s="101" t="s">
        <v>648</v>
      </c>
      <c r="J19" s="101">
        <v>49863</v>
      </c>
      <c r="K19" s="101" t="s">
        <v>648</v>
      </c>
      <c r="L19" s="101">
        <v>28081</v>
      </c>
      <c r="M19" s="101">
        <v>21782</v>
      </c>
      <c r="N19" s="101" t="s">
        <v>648</v>
      </c>
      <c r="O19" s="101" t="s">
        <v>648</v>
      </c>
      <c r="P19" s="101" t="s">
        <v>648</v>
      </c>
      <c r="Q19" s="101" t="s">
        <v>648</v>
      </c>
      <c r="R19" s="103" t="s">
        <v>92</v>
      </c>
      <c r="S19" s="100"/>
    </row>
    <row r="20" spans="1:19" s="101" customFormat="1" ht="9.75" customHeight="1" x14ac:dyDescent="0.15">
      <c r="A20" s="950" t="s">
        <v>892</v>
      </c>
      <c r="B20" s="102">
        <v>59622</v>
      </c>
      <c r="C20" s="101">
        <v>2200</v>
      </c>
      <c r="D20" s="101" t="s">
        <v>648</v>
      </c>
      <c r="E20" s="101" t="s">
        <v>648</v>
      </c>
      <c r="F20" s="101">
        <v>2200</v>
      </c>
      <c r="G20" s="101" t="s">
        <v>648</v>
      </c>
      <c r="H20" s="101" t="s">
        <v>648</v>
      </c>
      <c r="I20" s="101" t="s">
        <v>648</v>
      </c>
      <c r="J20" s="101">
        <v>2200</v>
      </c>
      <c r="K20" s="101" t="s">
        <v>648</v>
      </c>
      <c r="L20" s="101">
        <v>2200</v>
      </c>
      <c r="M20" s="101" t="s">
        <v>648</v>
      </c>
      <c r="N20" s="101" t="s">
        <v>648</v>
      </c>
      <c r="O20" s="101" t="s">
        <v>648</v>
      </c>
      <c r="P20" s="101" t="s">
        <v>648</v>
      </c>
      <c r="Q20" s="101" t="s">
        <v>648</v>
      </c>
      <c r="R20" s="103" t="s">
        <v>93</v>
      </c>
      <c r="S20" s="100"/>
    </row>
    <row r="21" spans="1:19" s="101" customFormat="1" ht="9.75" customHeight="1" x14ac:dyDescent="0.15">
      <c r="A21" s="950" t="s">
        <v>893</v>
      </c>
      <c r="B21" s="102">
        <v>176639</v>
      </c>
      <c r="C21" s="101">
        <v>54809</v>
      </c>
      <c r="D21" s="101">
        <v>16000</v>
      </c>
      <c r="E21" s="101">
        <v>16000</v>
      </c>
      <c r="F21" s="101">
        <v>38809</v>
      </c>
      <c r="G21" s="101" t="s">
        <v>648</v>
      </c>
      <c r="H21" s="101" t="s">
        <v>648</v>
      </c>
      <c r="I21" s="101" t="s">
        <v>648</v>
      </c>
      <c r="J21" s="101">
        <v>38809</v>
      </c>
      <c r="K21" s="101" t="s">
        <v>648</v>
      </c>
      <c r="L21" s="101">
        <v>13872</v>
      </c>
      <c r="M21" s="101">
        <v>24937</v>
      </c>
      <c r="N21" s="101" t="s">
        <v>648</v>
      </c>
      <c r="O21" s="101" t="s">
        <v>648</v>
      </c>
      <c r="P21" s="101" t="s">
        <v>648</v>
      </c>
      <c r="Q21" s="101" t="s">
        <v>648</v>
      </c>
      <c r="R21" s="103" t="s">
        <v>94</v>
      </c>
      <c r="S21" s="100"/>
    </row>
    <row r="22" spans="1:19" s="101" customFormat="1" ht="9.75" customHeight="1" x14ac:dyDescent="0.15">
      <c r="A22" s="950" t="s">
        <v>894</v>
      </c>
      <c r="B22" s="102">
        <v>63719</v>
      </c>
      <c r="C22" s="101">
        <v>36859</v>
      </c>
      <c r="D22" s="101" t="s">
        <v>648</v>
      </c>
      <c r="E22" s="101" t="s">
        <v>648</v>
      </c>
      <c r="F22" s="101">
        <v>18383</v>
      </c>
      <c r="G22" s="101" t="s">
        <v>648</v>
      </c>
      <c r="H22" s="101" t="s">
        <v>648</v>
      </c>
      <c r="I22" s="101" t="s">
        <v>648</v>
      </c>
      <c r="J22" s="101">
        <v>18383</v>
      </c>
      <c r="K22" s="101" t="s">
        <v>648</v>
      </c>
      <c r="L22" s="101">
        <v>10995</v>
      </c>
      <c r="M22" s="101">
        <v>7388</v>
      </c>
      <c r="N22" s="101" t="s">
        <v>648</v>
      </c>
      <c r="O22" s="101" t="s">
        <v>648</v>
      </c>
      <c r="P22" s="101" t="s">
        <v>648</v>
      </c>
      <c r="Q22" s="101" t="s">
        <v>648</v>
      </c>
      <c r="R22" s="103" t="s">
        <v>777</v>
      </c>
      <c r="S22" s="100"/>
    </row>
    <row r="23" spans="1:19" s="101" customFormat="1" ht="9.75" customHeight="1" x14ac:dyDescent="0.15">
      <c r="A23" s="950"/>
      <c r="B23" s="102"/>
      <c r="R23" s="103"/>
      <c r="S23" s="100"/>
    </row>
    <row r="24" spans="1:19" s="101" customFormat="1" ht="9.75" customHeight="1" x14ac:dyDescent="0.15">
      <c r="A24" s="950" t="s">
        <v>895</v>
      </c>
      <c r="B24" s="102">
        <v>131714</v>
      </c>
      <c r="C24" s="101">
        <v>119417</v>
      </c>
      <c r="D24" s="101">
        <v>12851</v>
      </c>
      <c r="E24" s="101">
        <v>12851</v>
      </c>
      <c r="F24" s="101">
        <v>106566</v>
      </c>
      <c r="G24" s="101" t="s">
        <v>648</v>
      </c>
      <c r="H24" s="101" t="s">
        <v>648</v>
      </c>
      <c r="I24" s="101" t="s">
        <v>648</v>
      </c>
      <c r="J24" s="101">
        <v>106566</v>
      </c>
      <c r="K24" s="101" t="s">
        <v>648</v>
      </c>
      <c r="L24" s="101">
        <v>81709</v>
      </c>
      <c r="M24" s="101">
        <v>24857</v>
      </c>
      <c r="N24" s="101" t="s">
        <v>648</v>
      </c>
      <c r="O24" s="101" t="s">
        <v>648</v>
      </c>
      <c r="P24" s="101" t="s">
        <v>648</v>
      </c>
      <c r="Q24" s="101" t="s">
        <v>648</v>
      </c>
      <c r="R24" s="103" t="s">
        <v>675</v>
      </c>
      <c r="S24" s="100"/>
    </row>
    <row r="25" spans="1:19" s="101" customFormat="1" ht="9.75" customHeight="1" x14ac:dyDescent="0.15">
      <c r="A25" s="950" t="s">
        <v>896</v>
      </c>
      <c r="B25" s="102">
        <v>27884</v>
      </c>
      <c r="C25" s="101">
        <v>17904</v>
      </c>
      <c r="D25" s="101">
        <v>6097</v>
      </c>
      <c r="E25" s="101">
        <v>6097</v>
      </c>
      <c r="F25" s="101">
        <v>11807</v>
      </c>
      <c r="G25" s="101" t="s">
        <v>648</v>
      </c>
      <c r="H25" s="101" t="s">
        <v>648</v>
      </c>
      <c r="I25" s="101" t="s">
        <v>648</v>
      </c>
      <c r="J25" s="101">
        <v>11807</v>
      </c>
      <c r="K25" s="101" t="s">
        <v>648</v>
      </c>
      <c r="L25" s="101">
        <v>3405</v>
      </c>
      <c r="M25" s="101">
        <v>8402</v>
      </c>
      <c r="N25" s="101" t="s">
        <v>648</v>
      </c>
      <c r="O25" s="101" t="s">
        <v>648</v>
      </c>
      <c r="P25" s="101" t="s">
        <v>648</v>
      </c>
      <c r="Q25" s="101" t="s">
        <v>648</v>
      </c>
      <c r="R25" s="103" t="s">
        <v>80</v>
      </c>
      <c r="S25" s="100"/>
    </row>
    <row r="26" spans="1:19" s="101" customFormat="1" ht="9.75" customHeight="1" x14ac:dyDescent="0.15">
      <c r="A26" s="950" t="s">
        <v>897</v>
      </c>
      <c r="B26" s="102">
        <v>22115</v>
      </c>
      <c r="C26" s="101">
        <v>10005</v>
      </c>
      <c r="D26" s="101" t="s">
        <v>648</v>
      </c>
      <c r="E26" s="101" t="s">
        <v>648</v>
      </c>
      <c r="F26" s="101">
        <v>10005</v>
      </c>
      <c r="G26" s="101" t="s">
        <v>648</v>
      </c>
      <c r="H26" s="101" t="s">
        <v>648</v>
      </c>
      <c r="I26" s="101" t="s">
        <v>648</v>
      </c>
      <c r="J26" s="101">
        <v>10005</v>
      </c>
      <c r="K26" s="101" t="s">
        <v>648</v>
      </c>
      <c r="L26" s="101">
        <v>6664</v>
      </c>
      <c r="M26" s="101">
        <v>3341</v>
      </c>
      <c r="N26" s="101" t="s">
        <v>648</v>
      </c>
      <c r="O26" s="101" t="s">
        <v>648</v>
      </c>
      <c r="P26" s="101" t="s">
        <v>648</v>
      </c>
      <c r="Q26" s="101" t="s">
        <v>648</v>
      </c>
      <c r="R26" s="103" t="s">
        <v>81</v>
      </c>
      <c r="S26" s="100"/>
    </row>
    <row r="27" spans="1:19" s="101" customFormat="1" ht="9.75" customHeight="1" x14ac:dyDescent="0.15">
      <c r="A27" s="950" t="s">
        <v>898</v>
      </c>
      <c r="B27" s="102">
        <v>33287</v>
      </c>
      <c r="C27" s="101">
        <v>15005</v>
      </c>
      <c r="D27" s="101" t="s">
        <v>648</v>
      </c>
      <c r="E27" s="101" t="s">
        <v>648</v>
      </c>
      <c r="F27" s="101">
        <v>15005</v>
      </c>
      <c r="G27" s="101" t="s">
        <v>648</v>
      </c>
      <c r="H27" s="101" t="s">
        <v>648</v>
      </c>
      <c r="I27" s="101" t="s">
        <v>648</v>
      </c>
      <c r="J27" s="101">
        <v>15005</v>
      </c>
      <c r="K27" s="101" t="s">
        <v>648</v>
      </c>
      <c r="L27" s="101">
        <v>8325</v>
      </c>
      <c r="M27" s="101">
        <v>6680</v>
      </c>
      <c r="N27" s="101" t="s">
        <v>648</v>
      </c>
      <c r="O27" s="101" t="s">
        <v>648</v>
      </c>
      <c r="P27" s="101" t="s">
        <v>648</v>
      </c>
      <c r="Q27" s="101" t="s">
        <v>648</v>
      </c>
      <c r="R27" s="103" t="s">
        <v>82</v>
      </c>
      <c r="S27" s="100"/>
    </row>
    <row r="28" spans="1:19" s="101" customFormat="1" ht="9.75" customHeight="1" x14ac:dyDescent="0.15">
      <c r="A28" s="950" t="s">
        <v>899</v>
      </c>
      <c r="B28" s="102">
        <v>17096</v>
      </c>
      <c r="C28" s="101">
        <v>9853</v>
      </c>
      <c r="D28" s="101" t="s">
        <v>648</v>
      </c>
      <c r="E28" s="101" t="s">
        <v>648</v>
      </c>
      <c r="F28" s="101">
        <v>9853</v>
      </c>
      <c r="G28" s="101" t="s">
        <v>648</v>
      </c>
      <c r="H28" s="101" t="s">
        <v>648</v>
      </c>
      <c r="I28" s="101" t="s">
        <v>648</v>
      </c>
      <c r="J28" s="101">
        <v>9853</v>
      </c>
      <c r="K28" s="101" t="s">
        <v>648</v>
      </c>
      <c r="L28" s="101">
        <v>9853</v>
      </c>
      <c r="M28" s="101" t="s">
        <v>648</v>
      </c>
      <c r="N28" s="101" t="s">
        <v>648</v>
      </c>
      <c r="O28" s="101" t="s">
        <v>648</v>
      </c>
      <c r="P28" s="101" t="s">
        <v>648</v>
      </c>
      <c r="Q28" s="101" t="s">
        <v>648</v>
      </c>
      <c r="R28" s="104" t="s">
        <v>95</v>
      </c>
      <c r="S28" s="100"/>
    </row>
    <row r="29" spans="1:19" s="101" customFormat="1" ht="9.75" customHeight="1" x14ac:dyDescent="0.15">
      <c r="A29" s="950" t="s">
        <v>900</v>
      </c>
      <c r="B29" s="102">
        <v>39010</v>
      </c>
      <c r="C29" s="101">
        <v>25005</v>
      </c>
      <c r="D29" s="101" t="s">
        <v>648</v>
      </c>
      <c r="E29" s="101" t="s">
        <v>648</v>
      </c>
      <c r="F29" s="101">
        <v>25005</v>
      </c>
      <c r="G29" s="101" t="s">
        <v>648</v>
      </c>
      <c r="H29" s="101" t="s">
        <v>648</v>
      </c>
      <c r="I29" s="101" t="s">
        <v>648</v>
      </c>
      <c r="J29" s="101">
        <v>25005</v>
      </c>
      <c r="K29" s="101" t="s">
        <v>648</v>
      </c>
      <c r="L29" s="101">
        <v>9903</v>
      </c>
      <c r="M29" s="101">
        <v>15102</v>
      </c>
      <c r="N29" s="101" t="s">
        <v>648</v>
      </c>
      <c r="O29" s="101" t="s">
        <v>648</v>
      </c>
      <c r="P29" s="101" t="s">
        <v>648</v>
      </c>
      <c r="Q29" s="101" t="s">
        <v>648</v>
      </c>
      <c r="R29" s="103" t="s">
        <v>96</v>
      </c>
      <c r="S29" s="100"/>
    </row>
    <row r="30" spans="1:19" s="101" customFormat="1" ht="9.75" customHeight="1" x14ac:dyDescent="0.15">
      <c r="A30" s="950" t="s">
        <v>901</v>
      </c>
      <c r="B30" s="102">
        <v>8842</v>
      </c>
      <c r="C30" s="101">
        <v>2200</v>
      </c>
      <c r="D30" s="101" t="s">
        <v>648</v>
      </c>
      <c r="E30" s="101" t="s">
        <v>648</v>
      </c>
      <c r="F30" s="101">
        <v>2200</v>
      </c>
      <c r="G30" s="101" t="s">
        <v>648</v>
      </c>
      <c r="H30" s="101" t="s">
        <v>648</v>
      </c>
      <c r="I30" s="101" t="s">
        <v>648</v>
      </c>
      <c r="J30" s="101">
        <v>2200</v>
      </c>
      <c r="K30" s="101" t="s">
        <v>648</v>
      </c>
      <c r="L30" s="101">
        <v>2200</v>
      </c>
      <c r="M30" s="101" t="s">
        <v>648</v>
      </c>
      <c r="N30" s="101" t="s">
        <v>648</v>
      </c>
      <c r="O30" s="101" t="s">
        <v>648</v>
      </c>
      <c r="P30" s="101" t="s">
        <v>648</v>
      </c>
      <c r="Q30" s="101" t="s">
        <v>648</v>
      </c>
      <c r="R30" s="103" t="s">
        <v>97</v>
      </c>
      <c r="S30" s="100"/>
    </row>
    <row r="31" spans="1:19" s="101" customFormat="1" ht="9.75" customHeight="1" x14ac:dyDescent="0.15">
      <c r="A31" s="950" t="s">
        <v>902</v>
      </c>
      <c r="B31" s="102">
        <v>11059</v>
      </c>
      <c r="C31" s="101" t="s">
        <v>648</v>
      </c>
      <c r="D31" s="101" t="s">
        <v>648</v>
      </c>
      <c r="E31" s="101" t="s">
        <v>648</v>
      </c>
      <c r="F31" s="101" t="s">
        <v>648</v>
      </c>
      <c r="G31" s="101" t="s">
        <v>648</v>
      </c>
      <c r="H31" s="101" t="s">
        <v>648</v>
      </c>
      <c r="I31" s="101" t="s">
        <v>648</v>
      </c>
      <c r="J31" s="101" t="s">
        <v>648</v>
      </c>
      <c r="K31" s="101" t="s">
        <v>648</v>
      </c>
      <c r="L31" s="101" t="s">
        <v>648</v>
      </c>
      <c r="M31" s="101" t="s">
        <v>648</v>
      </c>
      <c r="N31" s="101" t="s">
        <v>648</v>
      </c>
      <c r="O31" s="101" t="s">
        <v>648</v>
      </c>
      <c r="P31" s="101" t="s">
        <v>648</v>
      </c>
      <c r="Q31" s="101" t="s">
        <v>648</v>
      </c>
      <c r="R31" s="103" t="s">
        <v>98</v>
      </c>
      <c r="S31" s="100"/>
    </row>
    <row r="32" spans="1:19" s="101" customFormat="1" ht="9.75" customHeight="1" x14ac:dyDescent="0.15">
      <c r="A32" s="950" t="s">
        <v>903</v>
      </c>
      <c r="B32" s="102">
        <v>39721</v>
      </c>
      <c r="C32" s="101" t="s">
        <v>648</v>
      </c>
      <c r="D32" s="101" t="s">
        <v>648</v>
      </c>
      <c r="E32" s="101" t="s">
        <v>648</v>
      </c>
      <c r="F32" s="101" t="s">
        <v>648</v>
      </c>
      <c r="G32" s="101" t="s">
        <v>648</v>
      </c>
      <c r="H32" s="101" t="s">
        <v>648</v>
      </c>
      <c r="I32" s="101" t="s">
        <v>648</v>
      </c>
      <c r="J32" s="101" t="s">
        <v>648</v>
      </c>
      <c r="K32" s="101" t="s">
        <v>648</v>
      </c>
      <c r="L32" s="101" t="s">
        <v>648</v>
      </c>
      <c r="M32" s="101" t="s">
        <v>648</v>
      </c>
      <c r="N32" s="101" t="s">
        <v>648</v>
      </c>
      <c r="O32" s="101" t="s">
        <v>648</v>
      </c>
      <c r="P32" s="101" t="s">
        <v>648</v>
      </c>
      <c r="Q32" s="101" t="s">
        <v>648</v>
      </c>
      <c r="R32" s="103" t="s">
        <v>99</v>
      </c>
      <c r="S32" s="100"/>
    </row>
    <row r="33" spans="1:19" s="101" customFormat="1" ht="9.75" customHeight="1" x14ac:dyDescent="0.15">
      <c r="A33" s="950" t="s">
        <v>904</v>
      </c>
      <c r="B33" s="102">
        <v>68121</v>
      </c>
      <c r="C33" s="101" t="s">
        <v>648</v>
      </c>
      <c r="D33" s="101" t="s">
        <v>648</v>
      </c>
      <c r="E33" s="101" t="s">
        <v>648</v>
      </c>
      <c r="F33" s="101" t="s">
        <v>648</v>
      </c>
      <c r="G33" s="101" t="s">
        <v>648</v>
      </c>
      <c r="H33" s="101" t="s">
        <v>648</v>
      </c>
      <c r="I33" s="101" t="s">
        <v>648</v>
      </c>
      <c r="J33" s="101" t="s">
        <v>648</v>
      </c>
      <c r="K33" s="101" t="s">
        <v>648</v>
      </c>
      <c r="L33" s="101" t="s">
        <v>648</v>
      </c>
      <c r="M33" s="101" t="s">
        <v>648</v>
      </c>
      <c r="N33" s="101" t="s">
        <v>648</v>
      </c>
      <c r="O33" s="101" t="s">
        <v>648</v>
      </c>
      <c r="P33" s="101" t="s">
        <v>648</v>
      </c>
      <c r="Q33" s="101" t="s">
        <v>648</v>
      </c>
      <c r="R33" s="103" t="s">
        <v>83</v>
      </c>
      <c r="S33" s="100"/>
    </row>
    <row r="34" spans="1:19" s="101" customFormat="1" ht="9.75" customHeight="1" x14ac:dyDescent="0.15">
      <c r="A34" s="950" t="s">
        <v>905</v>
      </c>
      <c r="B34" s="102">
        <v>71653</v>
      </c>
      <c r="C34" s="101">
        <v>26647</v>
      </c>
      <c r="D34" s="101">
        <v>11683</v>
      </c>
      <c r="E34" s="101">
        <v>11683</v>
      </c>
      <c r="F34" s="101">
        <v>14964</v>
      </c>
      <c r="G34" s="101" t="s">
        <v>648</v>
      </c>
      <c r="H34" s="101" t="s">
        <v>648</v>
      </c>
      <c r="I34" s="101" t="s">
        <v>648</v>
      </c>
      <c r="J34" s="101">
        <v>14964</v>
      </c>
      <c r="K34" s="101" t="s">
        <v>648</v>
      </c>
      <c r="L34" s="101" t="s">
        <v>648</v>
      </c>
      <c r="M34" s="101">
        <v>14964</v>
      </c>
      <c r="N34" s="101" t="s">
        <v>648</v>
      </c>
      <c r="O34" s="101" t="s">
        <v>648</v>
      </c>
      <c r="P34" s="101" t="s">
        <v>648</v>
      </c>
      <c r="Q34" s="101" t="s">
        <v>648</v>
      </c>
      <c r="R34" s="103" t="s">
        <v>84</v>
      </c>
      <c r="S34" s="100"/>
    </row>
    <row r="35" spans="1:19" s="101" customFormat="1" ht="9.75" customHeight="1" x14ac:dyDescent="0.15">
      <c r="A35" s="950" t="s">
        <v>852</v>
      </c>
      <c r="B35" s="102">
        <v>36865</v>
      </c>
      <c r="C35" s="101">
        <v>28162</v>
      </c>
      <c r="D35" s="101">
        <v>4317</v>
      </c>
      <c r="E35" s="101">
        <v>4317</v>
      </c>
      <c r="F35" s="101">
        <v>23845</v>
      </c>
      <c r="G35" s="101" t="s">
        <v>648</v>
      </c>
      <c r="H35" s="101" t="s">
        <v>648</v>
      </c>
      <c r="I35" s="101" t="s">
        <v>648</v>
      </c>
      <c r="J35" s="101">
        <v>23845</v>
      </c>
      <c r="K35" s="101" t="s">
        <v>648</v>
      </c>
      <c r="L35" s="101">
        <v>13872</v>
      </c>
      <c r="M35" s="101">
        <v>9973</v>
      </c>
      <c r="N35" s="101" t="s">
        <v>648</v>
      </c>
      <c r="O35" s="101" t="s">
        <v>648</v>
      </c>
      <c r="P35" s="101" t="s">
        <v>648</v>
      </c>
      <c r="Q35" s="101" t="s">
        <v>648</v>
      </c>
      <c r="R35" s="103" t="s">
        <v>85</v>
      </c>
      <c r="S35" s="100"/>
    </row>
    <row r="36" spans="1:19" s="101" customFormat="1" ht="9.75" customHeight="1" x14ac:dyDescent="0.15">
      <c r="A36" s="950" t="s">
        <v>906</v>
      </c>
      <c r="B36" s="102">
        <v>12554</v>
      </c>
      <c r="C36" s="101">
        <v>5001</v>
      </c>
      <c r="D36" s="101" t="s">
        <v>648</v>
      </c>
      <c r="E36" s="101" t="s">
        <v>648</v>
      </c>
      <c r="F36" s="101">
        <v>5001</v>
      </c>
      <c r="G36" s="101" t="s">
        <v>648</v>
      </c>
      <c r="H36" s="101" t="s">
        <v>648</v>
      </c>
      <c r="I36" s="101" t="s">
        <v>648</v>
      </c>
      <c r="J36" s="101">
        <v>5001</v>
      </c>
      <c r="K36" s="101" t="s">
        <v>648</v>
      </c>
      <c r="L36" s="101" t="s">
        <v>648</v>
      </c>
      <c r="M36" s="101">
        <v>5001</v>
      </c>
      <c r="N36" s="101" t="s">
        <v>648</v>
      </c>
      <c r="O36" s="101" t="s">
        <v>648</v>
      </c>
      <c r="P36" s="101" t="s">
        <v>648</v>
      </c>
      <c r="Q36" s="101" t="s">
        <v>648</v>
      </c>
      <c r="R36" s="103" t="s">
        <v>791</v>
      </c>
      <c r="S36" s="100"/>
    </row>
    <row r="37" spans="1:19" s="101" customFormat="1" ht="9.75" customHeight="1" x14ac:dyDescent="0.15">
      <c r="A37" s="950" t="s">
        <v>792</v>
      </c>
      <c r="B37" s="102">
        <v>32865</v>
      </c>
      <c r="C37" s="101">
        <v>25004</v>
      </c>
      <c r="D37" s="101" t="s">
        <v>648</v>
      </c>
      <c r="E37" s="101" t="s">
        <v>648</v>
      </c>
      <c r="F37" s="101">
        <v>6528</v>
      </c>
      <c r="G37" s="101" t="s">
        <v>648</v>
      </c>
      <c r="H37" s="101" t="s">
        <v>648</v>
      </c>
      <c r="I37" s="101" t="s">
        <v>648</v>
      </c>
      <c r="J37" s="101">
        <v>6528</v>
      </c>
      <c r="K37" s="101" t="s">
        <v>648</v>
      </c>
      <c r="L37" s="101">
        <v>4141</v>
      </c>
      <c r="M37" s="101">
        <v>2387</v>
      </c>
      <c r="N37" s="101" t="s">
        <v>648</v>
      </c>
      <c r="O37" s="101" t="s">
        <v>648</v>
      </c>
      <c r="P37" s="101" t="s">
        <v>648</v>
      </c>
      <c r="Q37" s="101" t="s">
        <v>648</v>
      </c>
      <c r="R37" s="103" t="s">
        <v>80</v>
      </c>
      <c r="S37" s="100"/>
    </row>
    <row r="38" spans="1:19" s="101" customFormat="1" ht="9.75" customHeight="1" x14ac:dyDescent="0.15">
      <c r="A38" s="951" t="s">
        <v>793</v>
      </c>
      <c r="B38" s="105">
        <v>18300</v>
      </c>
      <c r="C38" s="106">
        <v>6854</v>
      </c>
      <c r="D38" s="106" t="s">
        <v>648</v>
      </c>
      <c r="E38" s="106" t="s">
        <v>648</v>
      </c>
      <c r="F38" s="106">
        <v>6854</v>
      </c>
      <c r="G38" s="106" t="s">
        <v>648</v>
      </c>
      <c r="H38" s="106" t="s">
        <v>648</v>
      </c>
      <c r="I38" s="106" t="s">
        <v>648</v>
      </c>
      <c r="J38" s="106">
        <v>6854</v>
      </c>
      <c r="K38" s="106" t="s">
        <v>648</v>
      </c>
      <c r="L38" s="106">
        <v>6854</v>
      </c>
      <c r="M38" s="106" t="s">
        <v>648</v>
      </c>
      <c r="N38" s="106" t="s">
        <v>648</v>
      </c>
      <c r="O38" s="106" t="s">
        <v>648</v>
      </c>
      <c r="P38" s="106" t="s">
        <v>648</v>
      </c>
      <c r="Q38" s="106" t="s">
        <v>648</v>
      </c>
      <c r="R38" s="107" t="s">
        <v>81</v>
      </c>
      <c r="S38" s="100"/>
    </row>
    <row r="39" spans="1:19" ht="21.75" customHeight="1" x14ac:dyDescent="0.2">
      <c r="I39" s="60" t="s">
        <v>100</v>
      </c>
    </row>
    <row r="40" spans="1:19" s="110" customFormat="1" ht="12" customHeight="1" x14ac:dyDescent="0.2">
      <c r="A40" s="89"/>
      <c r="B40" s="109" t="s">
        <v>204</v>
      </c>
      <c r="C40" s="92"/>
      <c r="D40" s="92"/>
      <c r="E40" s="92"/>
      <c r="F40" s="92"/>
      <c r="G40" s="92"/>
      <c r="H40" s="92"/>
      <c r="I40" s="92"/>
      <c r="J40" s="89"/>
      <c r="K40" s="91"/>
      <c r="L40" s="92"/>
      <c r="M40" s="92"/>
      <c r="N40" s="92"/>
      <c r="O40" s="92"/>
      <c r="P40" s="92"/>
      <c r="Q40" s="92"/>
      <c r="R40" s="1060" t="s">
        <v>86</v>
      </c>
      <c r="S40" s="93"/>
    </row>
    <row r="41" spans="1:19" s="49" customFormat="1" ht="13.5" customHeight="1" x14ac:dyDescent="0.2">
      <c r="A41" s="47"/>
      <c r="B41" s="903"/>
      <c r="C41" s="94"/>
      <c r="D41" s="94"/>
      <c r="E41" s="94"/>
      <c r="F41" s="96"/>
      <c r="G41" s="903"/>
      <c r="H41" s="94"/>
      <c r="I41" s="94"/>
      <c r="J41" s="96"/>
      <c r="K41" s="40" t="s">
        <v>205</v>
      </c>
      <c r="L41" s="903"/>
      <c r="M41" s="94"/>
      <c r="N41" s="96"/>
      <c r="O41" s="903"/>
      <c r="P41" s="96"/>
      <c r="Q41" s="903"/>
      <c r="R41" s="1061"/>
      <c r="S41" s="95"/>
    </row>
    <row r="42" spans="1:19" s="49" customFormat="1" ht="33.75" customHeight="1" x14ac:dyDescent="0.2">
      <c r="A42" s="47" t="s">
        <v>194</v>
      </c>
      <c r="B42" s="40" t="s">
        <v>176</v>
      </c>
      <c r="C42" s="38" t="s">
        <v>682</v>
      </c>
      <c r="D42" s="903" t="s">
        <v>185</v>
      </c>
      <c r="E42" s="94"/>
      <c r="F42" s="96"/>
      <c r="G42" s="40" t="s">
        <v>116</v>
      </c>
      <c r="H42" s="903" t="s">
        <v>188</v>
      </c>
      <c r="I42" s="94"/>
      <c r="J42" s="96"/>
      <c r="K42" s="40" t="s">
        <v>206</v>
      </c>
      <c r="L42" s="40" t="s">
        <v>89</v>
      </c>
      <c r="M42" s="38" t="s">
        <v>211</v>
      </c>
      <c r="N42" s="111" t="s">
        <v>208</v>
      </c>
      <c r="O42" s="40" t="s">
        <v>176</v>
      </c>
      <c r="P42" s="38" t="s">
        <v>479</v>
      </c>
      <c r="Q42" s="905" t="s">
        <v>116</v>
      </c>
      <c r="R42" s="1061"/>
      <c r="S42" s="95"/>
    </row>
    <row r="43" spans="1:19" s="49" customFormat="1" ht="22.5" customHeight="1" x14ac:dyDescent="0.2">
      <c r="A43" s="47"/>
      <c r="B43" s="40" t="s">
        <v>25</v>
      </c>
      <c r="C43" s="38" t="s">
        <v>56</v>
      </c>
      <c r="D43" s="40" t="s">
        <v>27</v>
      </c>
      <c r="E43" s="38" t="s">
        <v>186</v>
      </c>
      <c r="F43" s="38" t="s">
        <v>907</v>
      </c>
      <c r="G43" s="40" t="s">
        <v>57</v>
      </c>
      <c r="H43" s="40" t="s">
        <v>58</v>
      </c>
      <c r="I43" s="38" t="s">
        <v>192</v>
      </c>
      <c r="J43" s="38" t="s">
        <v>193</v>
      </c>
      <c r="K43" s="40"/>
      <c r="L43" s="40" t="s">
        <v>48</v>
      </c>
      <c r="M43" s="38" t="s">
        <v>908</v>
      </c>
      <c r="N43" s="38" t="s">
        <v>909</v>
      </c>
      <c r="O43" s="40" t="s">
        <v>25</v>
      </c>
      <c r="P43" s="38" t="s">
        <v>910</v>
      </c>
      <c r="Q43" s="905" t="s">
        <v>57</v>
      </c>
      <c r="R43" s="1061"/>
      <c r="S43" s="95"/>
    </row>
    <row r="44" spans="1:19" s="49" customFormat="1" ht="13.5" customHeight="1" x14ac:dyDescent="0.2">
      <c r="A44" s="39"/>
      <c r="B44" s="33"/>
      <c r="C44" s="33" t="str">
        <f>PROPER("NILE")</f>
        <v>Nile</v>
      </c>
      <c r="D44" s="33"/>
      <c r="E44" s="33" t="str">
        <f>PROPER("RABI-L")</f>
        <v>Rabi-L</v>
      </c>
      <c r="F44" s="33" t="str">
        <f>PROPER("RABI-BLD")</f>
        <v>Rabi-Bld</v>
      </c>
      <c r="G44" s="33"/>
      <c r="H44" s="33"/>
      <c r="I44" s="33" t="str">
        <f>PROPER("STAG")</f>
        <v>Stag</v>
      </c>
      <c r="J44" s="33" t="str">
        <f>PROPER("ENFIELD")</f>
        <v>Enfield</v>
      </c>
      <c r="K44" s="33"/>
      <c r="L44" s="33"/>
      <c r="M44" s="33" t="str">
        <f>PROPER("LOWSUL-C")</f>
        <v>Lowsul-C</v>
      </c>
      <c r="N44" s="33" t="str">
        <f>PROPER("SHARJA-C")</f>
        <v>Sharja-C</v>
      </c>
      <c r="O44" s="33"/>
      <c r="P44" s="33" t="str">
        <f>PROPER("TEMANE-C")</f>
        <v>Temane-C</v>
      </c>
      <c r="Q44" s="906"/>
      <c r="R44" s="1062"/>
      <c r="S44" s="95"/>
    </row>
    <row r="45" spans="1:19" s="101" customFormat="1" ht="9.75" customHeight="1" x14ac:dyDescent="0.15">
      <c r="A45" s="949" t="s">
        <v>840</v>
      </c>
      <c r="B45" s="97">
        <v>51079</v>
      </c>
      <c r="C45" s="98" t="s">
        <v>648</v>
      </c>
      <c r="D45" s="98">
        <v>51079</v>
      </c>
      <c r="E45" s="98" t="s">
        <v>648</v>
      </c>
      <c r="F45" s="98">
        <v>51079</v>
      </c>
      <c r="G45" s="98">
        <v>53007</v>
      </c>
      <c r="H45" s="98">
        <v>53007</v>
      </c>
      <c r="I45" s="98" t="s">
        <v>648</v>
      </c>
      <c r="J45" s="98">
        <v>53007</v>
      </c>
      <c r="K45" s="98">
        <v>252575</v>
      </c>
      <c r="L45" s="98">
        <v>151234</v>
      </c>
      <c r="M45" s="98">
        <v>113505</v>
      </c>
      <c r="N45" s="98">
        <v>37729</v>
      </c>
      <c r="O45" s="98" t="s">
        <v>648</v>
      </c>
      <c r="P45" s="98" t="s">
        <v>648</v>
      </c>
      <c r="Q45" s="98">
        <v>101341</v>
      </c>
      <c r="R45" s="99" t="s">
        <v>464</v>
      </c>
      <c r="S45" s="100"/>
    </row>
    <row r="46" spans="1:19" s="101" customFormat="1" ht="9.75" customHeight="1" x14ac:dyDescent="0.15">
      <c r="A46" s="950" t="s">
        <v>911</v>
      </c>
      <c r="B46" s="101" t="s">
        <v>648</v>
      </c>
      <c r="C46" s="101" t="s">
        <v>648</v>
      </c>
      <c r="D46" s="101" t="s">
        <v>648</v>
      </c>
      <c r="E46" s="101" t="s">
        <v>648</v>
      </c>
      <c r="F46" s="101" t="s">
        <v>648</v>
      </c>
      <c r="G46" s="101">
        <v>42686</v>
      </c>
      <c r="H46" s="101">
        <v>42686</v>
      </c>
      <c r="I46" s="101">
        <v>15872</v>
      </c>
      <c r="J46" s="101">
        <v>26814</v>
      </c>
      <c r="K46" s="101">
        <v>222133</v>
      </c>
      <c r="L46" s="101" t="s">
        <v>648</v>
      </c>
      <c r="M46" s="101" t="s">
        <v>648</v>
      </c>
      <c r="N46" s="101" t="s">
        <v>648</v>
      </c>
      <c r="O46" s="101">
        <v>18857</v>
      </c>
      <c r="P46" s="101">
        <v>18857</v>
      </c>
      <c r="Q46" s="101">
        <v>203276</v>
      </c>
      <c r="R46" s="103" t="s">
        <v>489</v>
      </c>
      <c r="S46" s="100"/>
    </row>
    <row r="47" spans="1:19" s="101" customFormat="1" ht="9.75" customHeight="1" x14ac:dyDescent="0.15">
      <c r="A47" s="950" t="s">
        <v>765</v>
      </c>
      <c r="B47" s="101">
        <v>339</v>
      </c>
      <c r="C47" s="101" t="s">
        <v>648</v>
      </c>
      <c r="D47" s="101">
        <v>339</v>
      </c>
      <c r="E47" s="101">
        <v>1</v>
      </c>
      <c r="F47" s="101">
        <v>338</v>
      </c>
      <c r="G47" s="101" t="s">
        <v>648</v>
      </c>
      <c r="H47" s="101" t="s">
        <v>648</v>
      </c>
      <c r="I47" s="101" t="s">
        <v>648</v>
      </c>
      <c r="J47" s="101" t="s">
        <v>648</v>
      </c>
      <c r="K47" s="101">
        <v>54012</v>
      </c>
      <c r="L47" s="101" t="s">
        <v>648</v>
      </c>
      <c r="M47" s="101" t="s">
        <v>648</v>
      </c>
      <c r="N47" s="101" t="s">
        <v>648</v>
      </c>
      <c r="O47" s="101" t="s">
        <v>648</v>
      </c>
      <c r="P47" s="101" t="s">
        <v>648</v>
      </c>
      <c r="Q47" s="101">
        <v>54012</v>
      </c>
      <c r="R47" s="103" t="s">
        <v>549</v>
      </c>
      <c r="S47" s="100"/>
    </row>
    <row r="48" spans="1:19" s="101" customFormat="1" ht="9.75" customHeight="1" x14ac:dyDescent="0.15">
      <c r="A48" s="950" t="s">
        <v>842</v>
      </c>
      <c r="B48" s="101" t="s">
        <v>648</v>
      </c>
      <c r="C48" s="101" t="s">
        <v>648</v>
      </c>
      <c r="D48" s="101" t="s">
        <v>648</v>
      </c>
      <c r="E48" s="101" t="s">
        <v>648</v>
      </c>
      <c r="F48" s="101" t="s">
        <v>648</v>
      </c>
      <c r="G48" s="101" t="s">
        <v>648</v>
      </c>
      <c r="H48" s="101" t="s">
        <v>648</v>
      </c>
      <c r="I48" s="101" t="s">
        <v>648</v>
      </c>
      <c r="J48" s="101" t="s">
        <v>648</v>
      </c>
      <c r="K48" s="101" t="s">
        <v>648</v>
      </c>
      <c r="L48" s="101" t="s">
        <v>648</v>
      </c>
      <c r="M48" s="101" t="s">
        <v>648</v>
      </c>
      <c r="N48" s="101" t="s">
        <v>648</v>
      </c>
      <c r="O48" s="101" t="s">
        <v>648</v>
      </c>
      <c r="P48" s="101" t="s">
        <v>648</v>
      </c>
      <c r="Q48" s="101" t="s">
        <v>648</v>
      </c>
      <c r="R48" s="103" t="s">
        <v>672</v>
      </c>
      <c r="S48" s="100"/>
    </row>
    <row r="49" spans="1:19" s="101" customFormat="1" ht="9.75" customHeight="1" x14ac:dyDescent="0.15">
      <c r="A49" s="950" t="s">
        <v>912</v>
      </c>
      <c r="B49" s="101" t="s">
        <v>648</v>
      </c>
      <c r="C49" s="101" t="s">
        <v>648</v>
      </c>
      <c r="D49" s="101" t="s">
        <v>648</v>
      </c>
      <c r="E49" s="101" t="s">
        <v>648</v>
      </c>
      <c r="F49" s="101" t="s">
        <v>648</v>
      </c>
      <c r="G49" s="101" t="s">
        <v>648</v>
      </c>
      <c r="H49" s="101" t="s">
        <v>648</v>
      </c>
      <c r="I49" s="101" t="s">
        <v>648</v>
      </c>
      <c r="J49" s="101" t="s">
        <v>648</v>
      </c>
      <c r="K49" s="101">
        <v>123388</v>
      </c>
      <c r="L49" s="101">
        <v>37026</v>
      </c>
      <c r="M49" s="101" t="s">
        <v>648</v>
      </c>
      <c r="N49" s="101">
        <v>37026</v>
      </c>
      <c r="O49" s="101">
        <v>35007</v>
      </c>
      <c r="P49" s="101">
        <v>35007</v>
      </c>
      <c r="Q49" s="101">
        <v>51355</v>
      </c>
      <c r="R49" s="103" t="s">
        <v>768</v>
      </c>
      <c r="S49" s="100"/>
    </row>
    <row r="50" spans="1:19" s="101" customFormat="1" ht="9.75" customHeight="1" x14ac:dyDescent="0.15">
      <c r="A50" s="950"/>
      <c r="R50" s="103"/>
      <c r="S50" s="100"/>
    </row>
    <row r="51" spans="1:19" s="101" customFormat="1" ht="9.75" customHeight="1" x14ac:dyDescent="0.15">
      <c r="A51" s="950" t="s">
        <v>913</v>
      </c>
      <c r="B51" s="101" t="s">
        <v>648</v>
      </c>
      <c r="C51" s="101" t="s">
        <v>648</v>
      </c>
      <c r="D51" s="101" t="s">
        <v>648</v>
      </c>
      <c r="E51" s="101" t="s">
        <v>648</v>
      </c>
      <c r="F51" s="101" t="s">
        <v>648</v>
      </c>
      <c r="G51" s="101" t="s">
        <v>648</v>
      </c>
      <c r="H51" s="101" t="s">
        <v>648</v>
      </c>
      <c r="I51" s="101" t="s">
        <v>648</v>
      </c>
      <c r="J51" s="101" t="s">
        <v>648</v>
      </c>
      <c r="K51" s="101" t="s">
        <v>648</v>
      </c>
      <c r="L51" s="101" t="s">
        <v>648</v>
      </c>
      <c r="M51" s="101" t="s">
        <v>648</v>
      </c>
      <c r="N51" s="101" t="s">
        <v>648</v>
      </c>
      <c r="O51" s="101" t="s">
        <v>648</v>
      </c>
      <c r="P51" s="101" t="s">
        <v>648</v>
      </c>
      <c r="Q51" s="101" t="s">
        <v>648</v>
      </c>
      <c r="R51" s="103" t="s">
        <v>673</v>
      </c>
      <c r="S51" s="100"/>
    </row>
    <row r="52" spans="1:19" s="101" customFormat="1" ht="9.75" customHeight="1" x14ac:dyDescent="0.15">
      <c r="A52" s="950" t="s">
        <v>914</v>
      </c>
      <c r="B52" s="101">
        <v>18476</v>
      </c>
      <c r="C52" s="101">
        <v>18476</v>
      </c>
      <c r="D52" s="101" t="s">
        <v>648</v>
      </c>
      <c r="E52" s="101" t="s">
        <v>648</v>
      </c>
      <c r="F52" s="101" t="s">
        <v>648</v>
      </c>
      <c r="G52" s="101" t="s">
        <v>648</v>
      </c>
      <c r="H52" s="101" t="s">
        <v>648</v>
      </c>
      <c r="I52" s="101" t="s">
        <v>648</v>
      </c>
      <c r="J52" s="101" t="s">
        <v>648</v>
      </c>
      <c r="K52" s="101">
        <v>123388</v>
      </c>
      <c r="L52" s="101">
        <v>37026</v>
      </c>
      <c r="M52" s="101" t="s">
        <v>648</v>
      </c>
      <c r="N52" s="101">
        <v>37026</v>
      </c>
      <c r="O52" s="101">
        <v>35007</v>
      </c>
      <c r="P52" s="101">
        <v>35007</v>
      </c>
      <c r="Q52" s="101">
        <v>51355</v>
      </c>
      <c r="R52" s="103" t="s">
        <v>771</v>
      </c>
      <c r="S52" s="100"/>
    </row>
    <row r="53" spans="1:19" s="101" customFormat="1" ht="9.75" customHeight="1" x14ac:dyDescent="0.15">
      <c r="A53" s="950"/>
      <c r="R53" s="103"/>
      <c r="S53" s="100"/>
    </row>
    <row r="54" spans="1:19" s="101" customFormat="1" ht="9.75" customHeight="1" x14ac:dyDescent="0.15">
      <c r="A54" s="950" t="s">
        <v>772</v>
      </c>
      <c r="B54" s="101" t="s">
        <v>648</v>
      </c>
      <c r="C54" s="101" t="s">
        <v>648</v>
      </c>
      <c r="D54" s="101" t="s">
        <v>648</v>
      </c>
      <c r="E54" s="101" t="s">
        <v>648</v>
      </c>
      <c r="F54" s="101" t="s">
        <v>648</v>
      </c>
      <c r="G54" s="101" t="s">
        <v>648</v>
      </c>
      <c r="H54" s="101" t="s">
        <v>648</v>
      </c>
      <c r="I54" s="101" t="s">
        <v>648</v>
      </c>
      <c r="J54" s="101" t="s">
        <v>648</v>
      </c>
      <c r="K54" s="101" t="s">
        <v>648</v>
      </c>
      <c r="L54" s="101" t="s">
        <v>648</v>
      </c>
      <c r="M54" s="101" t="s">
        <v>648</v>
      </c>
      <c r="N54" s="101" t="s">
        <v>648</v>
      </c>
      <c r="O54" s="101" t="s">
        <v>648</v>
      </c>
      <c r="P54" s="101" t="s">
        <v>648</v>
      </c>
      <c r="Q54" s="101" t="s">
        <v>648</v>
      </c>
      <c r="R54" s="103" t="s">
        <v>674</v>
      </c>
      <c r="S54" s="100"/>
    </row>
    <row r="55" spans="1:19" s="101" customFormat="1" ht="9.75" customHeight="1" x14ac:dyDescent="0.15">
      <c r="A55" s="950" t="s">
        <v>891</v>
      </c>
      <c r="B55" s="101" t="s">
        <v>648</v>
      </c>
      <c r="C55" s="101" t="s">
        <v>648</v>
      </c>
      <c r="D55" s="101" t="s">
        <v>648</v>
      </c>
      <c r="E55" s="101" t="s">
        <v>648</v>
      </c>
      <c r="F55" s="101" t="s">
        <v>648</v>
      </c>
      <c r="G55" s="101" t="s">
        <v>648</v>
      </c>
      <c r="H55" s="101" t="s">
        <v>648</v>
      </c>
      <c r="I55" s="101" t="s">
        <v>648</v>
      </c>
      <c r="J55" s="101" t="s">
        <v>648</v>
      </c>
      <c r="K55" s="101" t="s">
        <v>648</v>
      </c>
      <c r="L55" s="101" t="s">
        <v>648</v>
      </c>
      <c r="M55" s="101" t="s">
        <v>648</v>
      </c>
      <c r="N55" s="101" t="s">
        <v>648</v>
      </c>
      <c r="O55" s="101" t="s">
        <v>648</v>
      </c>
      <c r="P55" s="101" t="s">
        <v>648</v>
      </c>
      <c r="Q55" s="101" t="s">
        <v>648</v>
      </c>
      <c r="R55" s="103" t="s">
        <v>92</v>
      </c>
      <c r="S55" s="100"/>
    </row>
    <row r="56" spans="1:19" s="101" customFormat="1" ht="9.75" customHeight="1" x14ac:dyDescent="0.15">
      <c r="A56" s="950" t="s">
        <v>862</v>
      </c>
      <c r="B56" s="101" t="s">
        <v>648</v>
      </c>
      <c r="C56" s="101" t="s">
        <v>648</v>
      </c>
      <c r="D56" s="101" t="s">
        <v>648</v>
      </c>
      <c r="E56" s="101" t="s">
        <v>648</v>
      </c>
      <c r="F56" s="101" t="s">
        <v>648</v>
      </c>
      <c r="G56" s="101" t="s">
        <v>648</v>
      </c>
      <c r="H56" s="101" t="s">
        <v>648</v>
      </c>
      <c r="I56" s="101" t="s">
        <v>648</v>
      </c>
      <c r="J56" s="101" t="s">
        <v>648</v>
      </c>
      <c r="K56" s="101">
        <v>37026</v>
      </c>
      <c r="L56" s="101">
        <v>37026</v>
      </c>
      <c r="M56" s="101" t="s">
        <v>648</v>
      </c>
      <c r="N56" s="101">
        <v>37026</v>
      </c>
      <c r="O56" s="101" t="s">
        <v>648</v>
      </c>
      <c r="P56" s="101" t="s">
        <v>648</v>
      </c>
      <c r="Q56" s="101" t="s">
        <v>648</v>
      </c>
      <c r="R56" s="103" t="s">
        <v>93</v>
      </c>
      <c r="S56" s="100"/>
    </row>
    <row r="57" spans="1:19" s="101" customFormat="1" ht="9.75" customHeight="1" x14ac:dyDescent="0.15">
      <c r="A57" s="950" t="s">
        <v>863</v>
      </c>
      <c r="B57" s="101" t="s">
        <v>648</v>
      </c>
      <c r="C57" s="101" t="s">
        <v>648</v>
      </c>
      <c r="D57" s="101" t="s">
        <v>648</v>
      </c>
      <c r="E57" s="101" t="s">
        <v>648</v>
      </c>
      <c r="F57" s="101" t="s">
        <v>648</v>
      </c>
      <c r="G57" s="101" t="s">
        <v>648</v>
      </c>
      <c r="H57" s="101" t="s">
        <v>648</v>
      </c>
      <c r="I57" s="101" t="s">
        <v>648</v>
      </c>
      <c r="J57" s="101" t="s">
        <v>648</v>
      </c>
      <c r="K57" s="101">
        <v>86362</v>
      </c>
      <c r="L57" s="101" t="s">
        <v>648</v>
      </c>
      <c r="M57" s="101" t="s">
        <v>648</v>
      </c>
      <c r="N57" s="101" t="s">
        <v>648</v>
      </c>
      <c r="O57" s="101">
        <v>35007</v>
      </c>
      <c r="P57" s="101">
        <v>35007</v>
      </c>
      <c r="Q57" s="101">
        <v>51355</v>
      </c>
      <c r="R57" s="103" t="s">
        <v>94</v>
      </c>
      <c r="S57" s="100"/>
    </row>
    <row r="58" spans="1:19" s="101" customFormat="1" ht="9.75" customHeight="1" x14ac:dyDescent="0.15">
      <c r="A58" s="950" t="s">
        <v>894</v>
      </c>
      <c r="B58" s="101">
        <v>18476</v>
      </c>
      <c r="C58" s="101">
        <v>18476</v>
      </c>
      <c r="D58" s="101" t="s">
        <v>648</v>
      </c>
      <c r="E58" s="101" t="s">
        <v>648</v>
      </c>
      <c r="F58" s="101" t="s">
        <v>648</v>
      </c>
      <c r="G58" s="101" t="s">
        <v>648</v>
      </c>
      <c r="H58" s="101" t="s">
        <v>648</v>
      </c>
      <c r="I58" s="101" t="s">
        <v>648</v>
      </c>
      <c r="J58" s="101" t="s">
        <v>648</v>
      </c>
      <c r="K58" s="101" t="s">
        <v>648</v>
      </c>
      <c r="L58" s="101" t="s">
        <v>648</v>
      </c>
      <c r="M58" s="101" t="s">
        <v>648</v>
      </c>
      <c r="N58" s="101" t="s">
        <v>648</v>
      </c>
      <c r="O58" s="101" t="s">
        <v>648</v>
      </c>
      <c r="P58" s="101" t="s">
        <v>648</v>
      </c>
      <c r="Q58" s="101" t="s">
        <v>648</v>
      </c>
      <c r="R58" s="103" t="s">
        <v>777</v>
      </c>
      <c r="S58" s="100"/>
    </row>
    <row r="59" spans="1:19" s="101" customFormat="1" ht="9.75" customHeight="1" x14ac:dyDescent="0.15">
      <c r="A59" s="950"/>
      <c r="R59" s="103"/>
      <c r="S59" s="100"/>
    </row>
    <row r="60" spans="1:19" s="101" customFormat="1" ht="9.75" customHeight="1" x14ac:dyDescent="0.15">
      <c r="A60" s="950" t="s">
        <v>895</v>
      </c>
      <c r="B60" s="101" t="s">
        <v>648</v>
      </c>
      <c r="C60" s="101" t="s">
        <v>648</v>
      </c>
      <c r="D60" s="101" t="s">
        <v>648</v>
      </c>
      <c r="E60" s="101" t="s">
        <v>648</v>
      </c>
      <c r="F60" s="101" t="s">
        <v>648</v>
      </c>
      <c r="G60" s="101" t="s">
        <v>648</v>
      </c>
      <c r="H60" s="101" t="s">
        <v>648</v>
      </c>
      <c r="I60" s="101" t="s">
        <v>648</v>
      </c>
      <c r="J60" s="101" t="s">
        <v>648</v>
      </c>
      <c r="K60" s="101" t="s">
        <v>648</v>
      </c>
      <c r="L60" s="101" t="s">
        <v>648</v>
      </c>
      <c r="M60" s="101" t="s">
        <v>648</v>
      </c>
      <c r="N60" s="101" t="s">
        <v>648</v>
      </c>
      <c r="O60" s="101" t="s">
        <v>648</v>
      </c>
      <c r="P60" s="101" t="s">
        <v>648</v>
      </c>
      <c r="Q60" s="101" t="s">
        <v>648</v>
      </c>
      <c r="R60" s="103" t="s">
        <v>675</v>
      </c>
      <c r="S60" s="100"/>
    </row>
    <row r="61" spans="1:19" s="101" customFormat="1" ht="9.75" customHeight="1" x14ac:dyDescent="0.15">
      <c r="A61" s="950" t="s">
        <v>896</v>
      </c>
      <c r="B61" s="101" t="s">
        <v>648</v>
      </c>
      <c r="C61" s="101" t="s">
        <v>648</v>
      </c>
      <c r="D61" s="101" t="s">
        <v>648</v>
      </c>
      <c r="E61" s="101" t="s">
        <v>648</v>
      </c>
      <c r="F61" s="101" t="s">
        <v>648</v>
      </c>
      <c r="G61" s="101" t="s">
        <v>648</v>
      </c>
      <c r="H61" s="101" t="s">
        <v>648</v>
      </c>
      <c r="I61" s="101" t="s">
        <v>648</v>
      </c>
      <c r="J61" s="101" t="s">
        <v>648</v>
      </c>
      <c r="K61" s="101" t="s">
        <v>648</v>
      </c>
      <c r="L61" s="101" t="s">
        <v>648</v>
      </c>
      <c r="M61" s="101" t="s">
        <v>648</v>
      </c>
      <c r="N61" s="101" t="s">
        <v>648</v>
      </c>
      <c r="O61" s="101" t="s">
        <v>648</v>
      </c>
      <c r="P61" s="101" t="s">
        <v>648</v>
      </c>
      <c r="Q61" s="101" t="s">
        <v>648</v>
      </c>
      <c r="R61" s="103" t="s">
        <v>80</v>
      </c>
      <c r="S61" s="100"/>
    </row>
    <row r="62" spans="1:19" s="101" customFormat="1" ht="9.75" customHeight="1" x14ac:dyDescent="0.15">
      <c r="A62" s="950" t="s">
        <v>915</v>
      </c>
      <c r="B62" s="101" t="s">
        <v>648</v>
      </c>
      <c r="C62" s="101" t="s">
        <v>648</v>
      </c>
      <c r="D62" s="101" t="s">
        <v>648</v>
      </c>
      <c r="E62" s="101" t="s">
        <v>648</v>
      </c>
      <c r="F62" s="101" t="s">
        <v>648</v>
      </c>
      <c r="G62" s="101" t="s">
        <v>648</v>
      </c>
      <c r="H62" s="101" t="s">
        <v>648</v>
      </c>
      <c r="I62" s="101" t="s">
        <v>648</v>
      </c>
      <c r="J62" s="101" t="s">
        <v>648</v>
      </c>
      <c r="K62" s="101" t="s">
        <v>648</v>
      </c>
      <c r="L62" s="101" t="s">
        <v>648</v>
      </c>
      <c r="M62" s="101" t="s">
        <v>648</v>
      </c>
      <c r="N62" s="101" t="s">
        <v>648</v>
      </c>
      <c r="O62" s="101" t="s">
        <v>648</v>
      </c>
      <c r="P62" s="101" t="s">
        <v>648</v>
      </c>
      <c r="Q62" s="101" t="s">
        <v>648</v>
      </c>
      <c r="R62" s="103" t="s">
        <v>81</v>
      </c>
      <c r="S62" s="100"/>
    </row>
    <row r="63" spans="1:19" s="101" customFormat="1" ht="9.75" customHeight="1" x14ac:dyDescent="0.15">
      <c r="A63" s="950" t="s">
        <v>848</v>
      </c>
      <c r="B63" s="101" t="s">
        <v>648</v>
      </c>
      <c r="C63" s="101" t="s">
        <v>648</v>
      </c>
      <c r="D63" s="101" t="s">
        <v>648</v>
      </c>
      <c r="E63" s="101" t="s">
        <v>648</v>
      </c>
      <c r="F63" s="101" t="s">
        <v>648</v>
      </c>
      <c r="G63" s="101" t="s">
        <v>648</v>
      </c>
      <c r="H63" s="101" t="s">
        <v>648</v>
      </c>
      <c r="I63" s="101" t="s">
        <v>648</v>
      </c>
      <c r="J63" s="101" t="s">
        <v>648</v>
      </c>
      <c r="K63" s="101" t="s">
        <v>648</v>
      </c>
      <c r="L63" s="101" t="s">
        <v>648</v>
      </c>
      <c r="M63" s="101" t="s">
        <v>648</v>
      </c>
      <c r="N63" s="101" t="s">
        <v>648</v>
      </c>
      <c r="O63" s="101" t="s">
        <v>648</v>
      </c>
      <c r="P63" s="101" t="s">
        <v>648</v>
      </c>
      <c r="Q63" s="101" t="s">
        <v>648</v>
      </c>
      <c r="R63" s="103" t="s">
        <v>82</v>
      </c>
      <c r="S63" s="100"/>
    </row>
    <row r="64" spans="1:19" s="101" customFormat="1" ht="9.75" customHeight="1" x14ac:dyDescent="0.15">
      <c r="A64" s="950" t="s">
        <v>867</v>
      </c>
      <c r="B64" s="101" t="s">
        <v>648</v>
      </c>
      <c r="C64" s="101" t="s">
        <v>648</v>
      </c>
      <c r="D64" s="101" t="s">
        <v>648</v>
      </c>
      <c r="E64" s="101" t="s">
        <v>648</v>
      </c>
      <c r="F64" s="101" t="s">
        <v>648</v>
      </c>
      <c r="G64" s="101" t="s">
        <v>648</v>
      </c>
      <c r="H64" s="101" t="s">
        <v>648</v>
      </c>
      <c r="I64" s="101" t="s">
        <v>648</v>
      </c>
      <c r="J64" s="101" t="s">
        <v>648</v>
      </c>
      <c r="K64" s="101" t="s">
        <v>648</v>
      </c>
      <c r="L64" s="101" t="s">
        <v>648</v>
      </c>
      <c r="M64" s="101" t="s">
        <v>648</v>
      </c>
      <c r="N64" s="101" t="s">
        <v>648</v>
      </c>
      <c r="O64" s="101" t="s">
        <v>648</v>
      </c>
      <c r="P64" s="101" t="s">
        <v>648</v>
      </c>
      <c r="Q64" s="101" t="s">
        <v>648</v>
      </c>
      <c r="R64" s="104" t="s">
        <v>95</v>
      </c>
      <c r="S64" s="100"/>
    </row>
    <row r="65" spans="1:19" s="101" customFormat="1" ht="9.75" customHeight="1" x14ac:dyDescent="0.15">
      <c r="A65" s="950" t="s">
        <v>868</v>
      </c>
      <c r="B65" s="101" t="s">
        <v>648</v>
      </c>
      <c r="C65" s="101" t="s">
        <v>648</v>
      </c>
      <c r="D65" s="101" t="s">
        <v>648</v>
      </c>
      <c r="E65" s="101" t="s">
        <v>648</v>
      </c>
      <c r="F65" s="101" t="s">
        <v>648</v>
      </c>
      <c r="G65" s="101" t="s">
        <v>648</v>
      </c>
      <c r="H65" s="101" t="s">
        <v>648</v>
      </c>
      <c r="I65" s="101" t="s">
        <v>648</v>
      </c>
      <c r="J65" s="101" t="s">
        <v>648</v>
      </c>
      <c r="K65" s="101" t="s">
        <v>648</v>
      </c>
      <c r="L65" s="101" t="s">
        <v>648</v>
      </c>
      <c r="M65" s="101" t="s">
        <v>648</v>
      </c>
      <c r="N65" s="101" t="s">
        <v>648</v>
      </c>
      <c r="O65" s="101" t="s">
        <v>648</v>
      </c>
      <c r="P65" s="101" t="s">
        <v>648</v>
      </c>
      <c r="Q65" s="101" t="s">
        <v>648</v>
      </c>
      <c r="R65" s="103" t="s">
        <v>96</v>
      </c>
      <c r="S65" s="100"/>
    </row>
    <row r="66" spans="1:19" s="101" customFormat="1" ht="9.75" customHeight="1" x14ac:dyDescent="0.15">
      <c r="A66" s="950" t="s">
        <v>916</v>
      </c>
      <c r="B66" s="101" t="s">
        <v>648</v>
      </c>
      <c r="C66" s="101" t="s">
        <v>648</v>
      </c>
      <c r="D66" s="101" t="s">
        <v>648</v>
      </c>
      <c r="E66" s="101" t="s">
        <v>648</v>
      </c>
      <c r="F66" s="101" t="s">
        <v>648</v>
      </c>
      <c r="G66" s="101" t="s">
        <v>648</v>
      </c>
      <c r="H66" s="101" t="s">
        <v>648</v>
      </c>
      <c r="I66" s="101" t="s">
        <v>648</v>
      </c>
      <c r="J66" s="101" t="s">
        <v>648</v>
      </c>
      <c r="K66" s="101" t="s">
        <v>648</v>
      </c>
      <c r="L66" s="101" t="s">
        <v>648</v>
      </c>
      <c r="M66" s="101" t="s">
        <v>648</v>
      </c>
      <c r="N66" s="101" t="s">
        <v>648</v>
      </c>
      <c r="O66" s="101" t="s">
        <v>648</v>
      </c>
      <c r="P66" s="101" t="s">
        <v>648</v>
      </c>
      <c r="Q66" s="101" t="s">
        <v>648</v>
      </c>
      <c r="R66" s="103" t="s">
        <v>97</v>
      </c>
      <c r="S66" s="100"/>
    </row>
    <row r="67" spans="1:19" s="101" customFormat="1" ht="9.75" customHeight="1" x14ac:dyDescent="0.15">
      <c r="A67" s="950" t="s">
        <v>902</v>
      </c>
      <c r="B67" s="101" t="s">
        <v>648</v>
      </c>
      <c r="C67" s="101" t="s">
        <v>648</v>
      </c>
      <c r="D67" s="101" t="s">
        <v>648</v>
      </c>
      <c r="E67" s="101" t="s">
        <v>648</v>
      </c>
      <c r="F67" s="101" t="s">
        <v>648</v>
      </c>
      <c r="G67" s="101" t="s">
        <v>648</v>
      </c>
      <c r="H67" s="101" t="s">
        <v>648</v>
      </c>
      <c r="I67" s="101" t="s">
        <v>648</v>
      </c>
      <c r="J67" s="101" t="s">
        <v>648</v>
      </c>
      <c r="K67" s="101" t="s">
        <v>648</v>
      </c>
      <c r="L67" s="101" t="s">
        <v>648</v>
      </c>
      <c r="M67" s="101" t="s">
        <v>648</v>
      </c>
      <c r="N67" s="101" t="s">
        <v>648</v>
      </c>
      <c r="O67" s="101" t="s">
        <v>648</v>
      </c>
      <c r="P67" s="101" t="s">
        <v>648</v>
      </c>
      <c r="Q67" s="101" t="s">
        <v>648</v>
      </c>
      <c r="R67" s="103" t="s">
        <v>98</v>
      </c>
      <c r="S67" s="100"/>
    </row>
    <row r="68" spans="1:19" s="101" customFormat="1" ht="9.75" customHeight="1" x14ac:dyDescent="0.15">
      <c r="A68" s="950" t="s">
        <v>917</v>
      </c>
      <c r="B68" s="101" t="s">
        <v>648</v>
      </c>
      <c r="C68" s="101" t="s">
        <v>648</v>
      </c>
      <c r="D68" s="101" t="s">
        <v>648</v>
      </c>
      <c r="E68" s="101" t="s">
        <v>648</v>
      </c>
      <c r="F68" s="101" t="s">
        <v>648</v>
      </c>
      <c r="G68" s="101" t="s">
        <v>648</v>
      </c>
      <c r="H68" s="101" t="s">
        <v>648</v>
      </c>
      <c r="I68" s="101" t="s">
        <v>648</v>
      </c>
      <c r="J68" s="101" t="s">
        <v>648</v>
      </c>
      <c r="K68" s="101">
        <v>37026</v>
      </c>
      <c r="L68" s="101">
        <v>37026</v>
      </c>
      <c r="M68" s="101" t="s">
        <v>648</v>
      </c>
      <c r="N68" s="101">
        <v>37026</v>
      </c>
      <c r="O68" s="101" t="s">
        <v>648</v>
      </c>
      <c r="P68" s="101" t="s">
        <v>648</v>
      </c>
      <c r="Q68" s="101" t="s">
        <v>648</v>
      </c>
      <c r="R68" s="103" t="s">
        <v>99</v>
      </c>
      <c r="S68" s="100"/>
    </row>
    <row r="69" spans="1:19" s="101" customFormat="1" ht="9.75" customHeight="1" x14ac:dyDescent="0.15">
      <c r="A69" s="950" t="s">
        <v>904</v>
      </c>
      <c r="B69" s="101" t="s">
        <v>648</v>
      </c>
      <c r="C69" s="101" t="s">
        <v>648</v>
      </c>
      <c r="D69" s="101" t="s">
        <v>648</v>
      </c>
      <c r="E69" s="101" t="s">
        <v>648</v>
      </c>
      <c r="F69" s="101" t="s">
        <v>648</v>
      </c>
      <c r="G69" s="101" t="s">
        <v>648</v>
      </c>
      <c r="H69" s="101" t="s">
        <v>648</v>
      </c>
      <c r="I69" s="101" t="s">
        <v>648</v>
      </c>
      <c r="J69" s="101" t="s">
        <v>648</v>
      </c>
      <c r="K69" s="101">
        <v>51355</v>
      </c>
      <c r="L69" s="101" t="s">
        <v>648</v>
      </c>
      <c r="M69" s="101" t="s">
        <v>648</v>
      </c>
      <c r="N69" s="101" t="s">
        <v>648</v>
      </c>
      <c r="O69" s="101" t="s">
        <v>648</v>
      </c>
      <c r="P69" s="101" t="s">
        <v>648</v>
      </c>
      <c r="Q69" s="101">
        <v>51355</v>
      </c>
      <c r="R69" s="103" t="s">
        <v>83</v>
      </c>
      <c r="S69" s="100"/>
    </row>
    <row r="70" spans="1:19" s="101" customFormat="1" ht="9.75" customHeight="1" x14ac:dyDescent="0.15">
      <c r="A70" s="950" t="s">
        <v>905</v>
      </c>
      <c r="B70" s="101" t="s">
        <v>648</v>
      </c>
      <c r="C70" s="101" t="s">
        <v>648</v>
      </c>
      <c r="D70" s="101" t="s">
        <v>648</v>
      </c>
      <c r="E70" s="101" t="s">
        <v>648</v>
      </c>
      <c r="F70" s="101" t="s">
        <v>648</v>
      </c>
      <c r="G70" s="101" t="s">
        <v>648</v>
      </c>
      <c r="H70" s="101" t="s">
        <v>648</v>
      </c>
      <c r="I70" s="101" t="s">
        <v>648</v>
      </c>
      <c r="J70" s="101" t="s">
        <v>648</v>
      </c>
      <c r="K70" s="101">
        <v>35007</v>
      </c>
      <c r="L70" s="101" t="s">
        <v>648</v>
      </c>
      <c r="M70" s="101" t="s">
        <v>648</v>
      </c>
      <c r="N70" s="101" t="s">
        <v>648</v>
      </c>
      <c r="O70" s="101">
        <v>35007</v>
      </c>
      <c r="P70" s="101">
        <v>35007</v>
      </c>
      <c r="Q70" s="101" t="s">
        <v>648</v>
      </c>
      <c r="R70" s="103" t="s">
        <v>84</v>
      </c>
      <c r="S70" s="100"/>
    </row>
    <row r="71" spans="1:19" s="101" customFormat="1" ht="9.75" customHeight="1" x14ac:dyDescent="0.15">
      <c r="A71" s="950" t="s">
        <v>852</v>
      </c>
      <c r="B71" s="101" t="s">
        <v>648</v>
      </c>
      <c r="C71" s="101" t="s">
        <v>648</v>
      </c>
      <c r="D71" s="101" t="s">
        <v>648</v>
      </c>
      <c r="E71" s="101" t="s">
        <v>648</v>
      </c>
      <c r="F71" s="101" t="s">
        <v>648</v>
      </c>
      <c r="G71" s="101" t="s">
        <v>648</v>
      </c>
      <c r="H71" s="101" t="s">
        <v>648</v>
      </c>
      <c r="I71" s="101" t="s">
        <v>648</v>
      </c>
      <c r="J71" s="101" t="s">
        <v>648</v>
      </c>
      <c r="K71" s="101" t="s">
        <v>648</v>
      </c>
      <c r="L71" s="101" t="s">
        <v>648</v>
      </c>
      <c r="M71" s="101" t="s">
        <v>648</v>
      </c>
      <c r="N71" s="101" t="s">
        <v>648</v>
      </c>
      <c r="O71" s="101" t="s">
        <v>648</v>
      </c>
      <c r="P71" s="101" t="s">
        <v>648</v>
      </c>
      <c r="Q71" s="101" t="s">
        <v>648</v>
      </c>
      <c r="R71" s="103" t="s">
        <v>85</v>
      </c>
      <c r="S71" s="100"/>
    </row>
    <row r="72" spans="1:19" s="101" customFormat="1" ht="9.75" customHeight="1" x14ac:dyDescent="0.15">
      <c r="A72" s="950" t="s">
        <v>918</v>
      </c>
      <c r="B72" s="101" t="s">
        <v>648</v>
      </c>
      <c r="C72" s="101" t="s">
        <v>648</v>
      </c>
      <c r="D72" s="101" t="s">
        <v>648</v>
      </c>
      <c r="E72" s="101" t="s">
        <v>648</v>
      </c>
      <c r="F72" s="101" t="s">
        <v>648</v>
      </c>
      <c r="G72" s="101" t="s">
        <v>648</v>
      </c>
      <c r="H72" s="101" t="s">
        <v>648</v>
      </c>
      <c r="I72" s="101" t="s">
        <v>648</v>
      </c>
      <c r="J72" s="101" t="s">
        <v>648</v>
      </c>
      <c r="K72" s="101" t="s">
        <v>648</v>
      </c>
      <c r="L72" s="101" t="s">
        <v>648</v>
      </c>
      <c r="M72" s="101" t="s">
        <v>648</v>
      </c>
      <c r="N72" s="101" t="s">
        <v>648</v>
      </c>
      <c r="O72" s="101" t="s">
        <v>648</v>
      </c>
      <c r="P72" s="101" t="s">
        <v>648</v>
      </c>
      <c r="Q72" s="101" t="s">
        <v>648</v>
      </c>
      <c r="R72" s="103" t="s">
        <v>791</v>
      </c>
      <c r="S72" s="100"/>
    </row>
    <row r="73" spans="1:19" s="101" customFormat="1" ht="9.75" customHeight="1" x14ac:dyDescent="0.15">
      <c r="A73" s="950" t="s">
        <v>792</v>
      </c>
      <c r="B73" s="101">
        <v>18476</v>
      </c>
      <c r="C73" s="101">
        <v>18476</v>
      </c>
      <c r="D73" s="101" t="s">
        <v>648</v>
      </c>
      <c r="E73" s="101" t="s">
        <v>648</v>
      </c>
      <c r="F73" s="101" t="s">
        <v>648</v>
      </c>
      <c r="G73" s="101" t="s">
        <v>648</v>
      </c>
      <c r="H73" s="101" t="s">
        <v>648</v>
      </c>
      <c r="I73" s="101" t="s">
        <v>648</v>
      </c>
      <c r="J73" s="101" t="s">
        <v>648</v>
      </c>
      <c r="K73" s="101" t="s">
        <v>648</v>
      </c>
      <c r="L73" s="101" t="s">
        <v>648</v>
      </c>
      <c r="M73" s="101" t="s">
        <v>648</v>
      </c>
      <c r="N73" s="101" t="s">
        <v>648</v>
      </c>
      <c r="O73" s="101" t="s">
        <v>648</v>
      </c>
      <c r="P73" s="101" t="s">
        <v>648</v>
      </c>
      <c r="Q73" s="101" t="s">
        <v>648</v>
      </c>
      <c r="R73" s="103" t="s">
        <v>80</v>
      </c>
      <c r="S73" s="100"/>
    </row>
    <row r="74" spans="1:19" s="101" customFormat="1" ht="9.75" customHeight="1" x14ac:dyDescent="0.15">
      <c r="A74" s="951" t="s">
        <v>793</v>
      </c>
      <c r="B74" s="105" t="s">
        <v>648</v>
      </c>
      <c r="C74" s="106" t="s">
        <v>648</v>
      </c>
      <c r="D74" s="106" t="s">
        <v>648</v>
      </c>
      <c r="E74" s="106" t="s">
        <v>648</v>
      </c>
      <c r="F74" s="106" t="s">
        <v>648</v>
      </c>
      <c r="G74" s="106" t="s">
        <v>648</v>
      </c>
      <c r="H74" s="106" t="s">
        <v>648</v>
      </c>
      <c r="I74" s="106" t="s">
        <v>648</v>
      </c>
      <c r="J74" s="106" t="s">
        <v>648</v>
      </c>
      <c r="K74" s="106" t="s">
        <v>648</v>
      </c>
      <c r="L74" s="106" t="s">
        <v>648</v>
      </c>
      <c r="M74" s="106" t="s">
        <v>648</v>
      </c>
      <c r="N74" s="106" t="s">
        <v>648</v>
      </c>
      <c r="O74" s="106" t="s">
        <v>648</v>
      </c>
      <c r="P74" s="106" t="s">
        <v>648</v>
      </c>
      <c r="Q74" s="106" t="s">
        <v>648</v>
      </c>
      <c r="R74" s="107" t="s">
        <v>81</v>
      </c>
      <c r="S74" s="100"/>
    </row>
    <row r="75" spans="1:19" ht="21.75" customHeight="1" x14ac:dyDescent="0.15">
      <c r="I75" s="60" t="s">
        <v>100</v>
      </c>
      <c r="L75" s="62" t="s">
        <v>79</v>
      </c>
      <c r="M75" s="62"/>
    </row>
    <row r="76" spans="1:19" s="110" customFormat="1" ht="12" customHeight="1" x14ac:dyDescent="0.2">
      <c r="A76" s="89"/>
      <c r="B76" s="109" t="s">
        <v>563</v>
      </c>
      <c r="C76" s="92"/>
      <c r="D76" s="92"/>
      <c r="E76" s="89"/>
      <c r="F76" s="91"/>
      <c r="G76" s="92"/>
      <c r="H76" s="92"/>
      <c r="I76" s="92"/>
      <c r="J76" s="92"/>
      <c r="K76" s="92"/>
      <c r="L76" s="89"/>
      <c r="M76" s="1060" t="s">
        <v>86</v>
      </c>
      <c r="S76" s="93"/>
    </row>
    <row r="77" spans="1:19" s="49" customFormat="1" ht="13.5" customHeight="1" x14ac:dyDescent="0.2">
      <c r="A77" s="47"/>
      <c r="B77" s="109" t="s">
        <v>119</v>
      </c>
      <c r="C77" s="94"/>
      <c r="D77" s="94"/>
      <c r="E77" s="96"/>
      <c r="F77" s="40" t="s">
        <v>207</v>
      </c>
      <c r="G77" s="903"/>
      <c r="H77" s="96"/>
      <c r="I77" s="903"/>
      <c r="J77" s="96"/>
      <c r="K77" s="903"/>
      <c r="L77" s="96"/>
      <c r="M77" s="1061"/>
      <c r="S77" s="95"/>
    </row>
    <row r="78" spans="1:19" s="49" customFormat="1" ht="33.75" customHeight="1" x14ac:dyDescent="0.2">
      <c r="A78" s="47" t="s">
        <v>194</v>
      </c>
      <c r="B78" s="903" t="s">
        <v>188</v>
      </c>
      <c r="C78" s="94"/>
      <c r="D78" s="94"/>
      <c r="E78" s="96"/>
      <c r="F78" s="40" t="s">
        <v>209</v>
      </c>
      <c r="G78" s="40" t="s">
        <v>88</v>
      </c>
      <c r="H78" s="38" t="s">
        <v>210</v>
      </c>
      <c r="I78" s="40" t="s">
        <v>89</v>
      </c>
      <c r="J78" s="38" t="s">
        <v>919</v>
      </c>
      <c r="K78" s="40" t="s">
        <v>116</v>
      </c>
      <c r="L78" s="38" t="s">
        <v>727</v>
      </c>
      <c r="M78" s="1061"/>
      <c r="S78" s="95"/>
    </row>
    <row r="79" spans="1:19" s="49" customFormat="1" ht="22.5" customHeight="1" x14ac:dyDescent="0.2">
      <c r="A79" s="47"/>
      <c r="B79" s="40" t="s">
        <v>58</v>
      </c>
      <c r="C79" s="961" t="s">
        <v>920</v>
      </c>
      <c r="D79" s="38" t="s">
        <v>921</v>
      </c>
      <c r="E79" s="38" t="s">
        <v>922</v>
      </c>
      <c r="F79" s="40"/>
      <c r="G79" s="40" t="s">
        <v>91</v>
      </c>
      <c r="H79" s="38" t="s">
        <v>43</v>
      </c>
      <c r="I79" s="40" t="s">
        <v>48</v>
      </c>
      <c r="J79" s="38" t="s">
        <v>52</v>
      </c>
      <c r="K79" s="40" t="s">
        <v>57</v>
      </c>
      <c r="L79" s="38" t="s">
        <v>191</v>
      </c>
      <c r="M79" s="1061"/>
      <c r="S79" s="95"/>
    </row>
    <row r="80" spans="1:19" s="49" customFormat="1" ht="13.5" customHeight="1" x14ac:dyDescent="0.2">
      <c r="A80" s="39"/>
      <c r="B80" s="33"/>
      <c r="C80" s="33" t="str">
        <f>PROPER("N･W･S-C")</f>
        <v>N･W･S-C</v>
      </c>
      <c r="D80" s="33" t="str">
        <f>PROPER("PLUTO-C")</f>
        <v>Pluto-C</v>
      </c>
      <c r="E80" s="33" t="str">
        <f>PROPER("WHTSTN-C")</f>
        <v>Whtstn-C</v>
      </c>
      <c r="F80" s="33"/>
      <c r="G80" s="33"/>
      <c r="H80" s="33" t="str">
        <f>PROPER("DURI")</f>
        <v>Duri</v>
      </c>
      <c r="I80" s="33"/>
      <c r="J80" s="33" t="str">
        <f>PROPER("ARAB-L")</f>
        <v>Arab-L</v>
      </c>
      <c r="K80" s="33"/>
      <c r="L80" s="33" t="str">
        <f>PROPER("WANDOO")</f>
        <v>Wandoo</v>
      </c>
      <c r="M80" s="1062"/>
      <c r="S80" s="95"/>
    </row>
    <row r="81" spans="1:19" s="101" customFormat="1" ht="9.75" customHeight="1" x14ac:dyDescent="0.15">
      <c r="A81" s="949" t="s">
        <v>763</v>
      </c>
      <c r="B81" s="97">
        <v>101341</v>
      </c>
      <c r="C81" s="98">
        <v>48236</v>
      </c>
      <c r="D81" s="98">
        <v>53105</v>
      </c>
      <c r="E81" s="98" t="s">
        <v>648</v>
      </c>
      <c r="F81" s="98">
        <v>156427</v>
      </c>
      <c r="G81" s="98">
        <v>21104</v>
      </c>
      <c r="H81" s="98">
        <v>21104</v>
      </c>
      <c r="I81" s="98">
        <v>8244</v>
      </c>
      <c r="J81" s="98">
        <v>8244</v>
      </c>
      <c r="K81" s="98">
        <v>127079</v>
      </c>
      <c r="L81" s="112">
        <v>127079</v>
      </c>
      <c r="M81" s="99" t="s">
        <v>464</v>
      </c>
      <c r="S81" s="100"/>
    </row>
    <row r="82" spans="1:19" s="101" customFormat="1" ht="9.75" customHeight="1" x14ac:dyDescent="0.15">
      <c r="A82" s="950" t="s">
        <v>923</v>
      </c>
      <c r="B82" s="101">
        <v>203276</v>
      </c>
      <c r="C82" s="101">
        <v>94981</v>
      </c>
      <c r="D82" s="101">
        <v>108295</v>
      </c>
      <c r="E82" s="101" t="s">
        <v>648</v>
      </c>
      <c r="F82" s="101">
        <v>154307</v>
      </c>
      <c r="G82" s="101">
        <v>24376</v>
      </c>
      <c r="H82" s="101">
        <v>24376</v>
      </c>
      <c r="I82" s="101">
        <v>5202</v>
      </c>
      <c r="J82" s="101">
        <v>5202</v>
      </c>
      <c r="K82" s="101">
        <v>124729</v>
      </c>
      <c r="L82" s="113">
        <v>124729</v>
      </c>
      <c r="M82" s="103" t="s">
        <v>489</v>
      </c>
      <c r="S82" s="100"/>
    </row>
    <row r="83" spans="1:19" s="101" customFormat="1" ht="9.75" customHeight="1" x14ac:dyDescent="0.15">
      <c r="A83" s="950" t="s">
        <v>765</v>
      </c>
      <c r="B83" s="101">
        <v>54012</v>
      </c>
      <c r="C83" s="101" t="s">
        <v>648</v>
      </c>
      <c r="D83" s="101" t="s">
        <v>648</v>
      </c>
      <c r="E83" s="101">
        <v>54012</v>
      </c>
      <c r="F83" s="101">
        <v>136177</v>
      </c>
      <c r="G83" s="101">
        <v>8554</v>
      </c>
      <c r="H83" s="101">
        <v>8554</v>
      </c>
      <c r="I83" s="101">
        <v>5037</v>
      </c>
      <c r="J83" s="101">
        <v>5037</v>
      </c>
      <c r="K83" s="101">
        <v>122586</v>
      </c>
      <c r="L83" s="113">
        <v>122586</v>
      </c>
      <c r="M83" s="103" t="s">
        <v>549</v>
      </c>
      <c r="S83" s="100"/>
    </row>
    <row r="84" spans="1:19" s="101" customFormat="1" ht="9.75" customHeight="1" x14ac:dyDescent="0.15">
      <c r="A84" s="950" t="s">
        <v>766</v>
      </c>
      <c r="B84" s="101" t="s">
        <v>648</v>
      </c>
      <c r="C84" s="101" t="s">
        <v>648</v>
      </c>
      <c r="D84" s="101" t="s">
        <v>648</v>
      </c>
      <c r="E84" s="101" t="s">
        <v>648</v>
      </c>
      <c r="F84" s="101">
        <v>104211</v>
      </c>
      <c r="G84" s="101" t="s">
        <v>648</v>
      </c>
      <c r="H84" s="101" t="s">
        <v>648</v>
      </c>
      <c r="I84" s="101">
        <v>5050</v>
      </c>
      <c r="J84" s="101">
        <v>5050</v>
      </c>
      <c r="K84" s="101">
        <v>99161</v>
      </c>
      <c r="L84" s="113">
        <v>99161</v>
      </c>
      <c r="M84" s="103" t="s">
        <v>672</v>
      </c>
      <c r="S84" s="100"/>
    </row>
    <row r="85" spans="1:19" s="101" customFormat="1" ht="9.75" customHeight="1" x14ac:dyDescent="0.15">
      <c r="A85" s="950" t="s">
        <v>767</v>
      </c>
      <c r="B85" s="101">
        <v>51355</v>
      </c>
      <c r="C85" s="101" t="s">
        <v>648</v>
      </c>
      <c r="D85" s="101">
        <v>51355</v>
      </c>
      <c r="E85" s="101" t="s">
        <v>648</v>
      </c>
      <c r="F85" s="101">
        <v>129781</v>
      </c>
      <c r="G85" s="101">
        <v>8947</v>
      </c>
      <c r="H85" s="101">
        <v>8947</v>
      </c>
      <c r="I85" s="101">
        <v>5334</v>
      </c>
      <c r="J85" s="101">
        <v>5334</v>
      </c>
      <c r="K85" s="101">
        <v>115500</v>
      </c>
      <c r="L85" s="113">
        <v>115500</v>
      </c>
      <c r="M85" s="103" t="s">
        <v>768</v>
      </c>
      <c r="S85" s="100"/>
    </row>
    <row r="86" spans="1:19" s="101" customFormat="1" ht="9.75" customHeight="1" x14ac:dyDescent="0.15">
      <c r="A86" s="950"/>
      <c r="L86" s="113"/>
      <c r="M86" s="103"/>
      <c r="S86" s="100"/>
    </row>
    <row r="87" spans="1:19" s="101" customFormat="1" ht="9.75" customHeight="1" x14ac:dyDescent="0.15">
      <c r="A87" s="950" t="s">
        <v>924</v>
      </c>
      <c r="B87" s="101" t="s">
        <v>648</v>
      </c>
      <c r="C87" s="101" t="s">
        <v>648</v>
      </c>
      <c r="D87" s="101" t="s">
        <v>648</v>
      </c>
      <c r="E87" s="101" t="s">
        <v>648</v>
      </c>
      <c r="F87" s="101">
        <v>107359</v>
      </c>
      <c r="G87" s="101" t="s">
        <v>648</v>
      </c>
      <c r="H87" s="101" t="s">
        <v>648</v>
      </c>
      <c r="I87" s="101">
        <v>4881</v>
      </c>
      <c r="J87" s="101">
        <v>4881</v>
      </c>
      <c r="K87" s="101">
        <v>102478</v>
      </c>
      <c r="L87" s="113">
        <v>102478</v>
      </c>
      <c r="M87" s="103" t="s">
        <v>673</v>
      </c>
      <c r="S87" s="100"/>
    </row>
    <row r="88" spans="1:19" s="101" customFormat="1" ht="9.75" customHeight="1" x14ac:dyDescent="0.15">
      <c r="A88" s="950" t="s">
        <v>800</v>
      </c>
      <c r="B88" s="101">
        <v>51355</v>
      </c>
      <c r="C88" s="101" t="s">
        <v>648</v>
      </c>
      <c r="D88" s="101">
        <v>51355</v>
      </c>
      <c r="E88" s="101" t="s">
        <v>648</v>
      </c>
      <c r="F88" s="101">
        <v>122254</v>
      </c>
      <c r="G88" s="101">
        <v>8947</v>
      </c>
      <c r="H88" s="101">
        <v>8947</v>
      </c>
      <c r="I88" s="101">
        <v>4503</v>
      </c>
      <c r="J88" s="101">
        <v>4503</v>
      </c>
      <c r="K88" s="101">
        <v>108804</v>
      </c>
      <c r="L88" s="113">
        <v>108804</v>
      </c>
      <c r="M88" s="103" t="s">
        <v>771</v>
      </c>
      <c r="S88" s="100"/>
    </row>
    <row r="89" spans="1:19" s="101" customFormat="1" ht="9.75" customHeight="1" x14ac:dyDescent="0.15">
      <c r="A89" s="950"/>
      <c r="L89" s="113"/>
      <c r="M89" s="103"/>
      <c r="S89" s="100"/>
    </row>
    <row r="90" spans="1:19" s="101" customFormat="1" ht="9.75" customHeight="1" x14ac:dyDescent="0.15">
      <c r="A90" s="950" t="s">
        <v>772</v>
      </c>
      <c r="B90" s="101" t="s">
        <v>648</v>
      </c>
      <c r="C90" s="101" t="s">
        <v>648</v>
      </c>
      <c r="D90" s="101" t="s">
        <v>648</v>
      </c>
      <c r="E90" s="101" t="s">
        <v>648</v>
      </c>
      <c r="F90" s="101">
        <v>34387</v>
      </c>
      <c r="G90" s="101" t="s">
        <v>648</v>
      </c>
      <c r="H90" s="101" t="s">
        <v>648</v>
      </c>
      <c r="I90" s="101">
        <v>1231</v>
      </c>
      <c r="J90" s="101">
        <v>1231</v>
      </c>
      <c r="K90" s="101">
        <v>33156</v>
      </c>
      <c r="L90" s="113">
        <v>33156</v>
      </c>
      <c r="M90" s="103" t="s">
        <v>674</v>
      </c>
      <c r="S90" s="100"/>
    </row>
    <row r="91" spans="1:19" s="101" customFormat="1" ht="9.75" customHeight="1" x14ac:dyDescent="0.15">
      <c r="A91" s="950" t="s">
        <v>925</v>
      </c>
      <c r="B91" s="101" t="s">
        <v>648</v>
      </c>
      <c r="C91" s="101" t="s">
        <v>648</v>
      </c>
      <c r="D91" s="101" t="s">
        <v>648</v>
      </c>
      <c r="E91" s="101" t="s">
        <v>648</v>
      </c>
      <c r="F91" s="101">
        <v>39530</v>
      </c>
      <c r="G91" s="101">
        <v>3581</v>
      </c>
      <c r="H91" s="101">
        <v>3581</v>
      </c>
      <c r="I91" s="101">
        <v>1400</v>
      </c>
      <c r="J91" s="101">
        <v>1400</v>
      </c>
      <c r="K91" s="101">
        <v>34549</v>
      </c>
      <c r="L91" s="113">
        <v>34549</v>
      </c>
      <c r="M91" s="103" t="s">
        <v>92</v>
      </c>
      <c r="S91" s="100"/>
    </row>
    <row r="92" spans="1:19" s="101" customFormat="1" ht="9.75" customHeight="1" x14ac:dyDescent="0.15">
      <c r="A92" s="950" t="s">
        <v>774</v>
      </c>
      <c r="B92" s="101" t="s">
        <v>648</v>
      </c>
      <c r="C92" s="101" t="s">
        <v>648</v>
      </c>
      <c r="D92" s="101" t="s">
        <v>648</v>
      </c>
      <c r="E92" s="101" t="s">
        <v>648</v>
      </c>
      <c r="F92" s="101">
        <v>20396</v>
      </c>
      <c r="G92" s="101" t="s">
        <v>648</v>
      </c>
      <c r="H92" s="101" t="s">
        <v>648</v>
      </c>
      <c r="I92" s="101">
        <v>1400</v>
      </c>
      <c r="J92" s="101">
        <v>1400</v>
      </c>
      <c r="K92" s="101">
        <v>18996</v>
      </c>
      <c r="L92" s="113">
        <v>18996</v>
      </c>
      <c r="M92" s="103" t="s">
        <v>93</v>
      </c>
      <c r="S92" s="100"/>
    </row>
    <row r="93" spans="1:19" s="101" customFormat="1" ht="9.75" customHeight="1" x14ac:dyDescent="0.15">
      <c r="A93" s="950" t="s">
        <v>801</v>
      </c>
      <c r="B93" s="101">
        <v>51355</v>
      </c>
      <c r="C93" s="101" t="s">
        <v>648</v>
      </c>
      <c r="D93" s="101">
        <v>51355</v>
      </c>
      <c r="E93" s="101" t="s">
        <v>648</v>
      </c>
      <c r="F93" s="101">
        <v>35468</v>
      </c>
      <c r="G93" s="101">
        <v>5366</v>
      </c>
      <c r="H93" s="101">
        <v>5366</v>
      </c>
      <c r="I93" s="101">
        <v>1303</v>
      </c>
      <c r="J93" s="101">
        <v>1303</v>
      </c>
      <c r="K93" s="101">
        <v>28799</v>
      </c>
      <c r="L93" s="113">
        <v>28799</v>
      </c>
      <c r="M93" s="103" t="s">
        <v>94</v>
      </c>
      <c r="S93" s="100"/>
    </row>
    <row r="94" spans="1:19" s="101" customFormat="1" ht="9.75" customHeight="1" x14ac:dyDescent="0.15">
      <c r="A94" s="950" t="s">
        <v>809</v>
      </c>
      <c r="B94" s="101" t="s">
        <v>648</v>
      </c>
      <c r="C94" s="101" t="s">
        <v>648</v>
      </c>
      <c r="D94" s="101" t="s">
        <v>648</v>
      </c>
      <c r="E94" s="101" t="s">
        <v>648</v>
      </c>
      <c r="F94" s="101">
        <v>26860</v>
      </c>
      <c r="G94" s="101" t="s">
        <v>648</v>
      </c>
      <c r="H94" s="101" t="s">
        <v>648</v>
      </c>
      <c r="I94" s="101">
        <v>400</v>
      </c>
      <c r="J94" s="101">
        <v>400</v>
      </c>
      <c r="K94" s="101">
        <v>26460</v>
      </c>
      <c r="L94" s="113">
        <v>26460</v>
      </c>
      <c r="M94" s="103" t="s">
        <v>777</v>
      </c>
      <c r="S94" s="100"/>
    </row>
    <row r="95" spans="1:19" s="101" customFormat="1" ht="9.75" customHeight="1" x14ac:dyDescent="0.15">
      <c r="A95" s="950"/>
      <c r="L95" s="113"/>
      <c r="M95" s="103"/>
      <c r="S95" s="100"/>
    </row>
    <row r="96" spans="1:19" s="101" customFormat="1" ht="9.75" customHeight="1" x14ac:dyDescent="0.15">
      <c r="A96" s="950" t="s">
        <v>778</v>
      </c>
      <c r="B96" s="101" t="s">
        <v>648</v>
      </c>
      <c r="C96" s="101" t="s">
        <v>648</v>
      </c>
      <c r="D96" s="101" t="s">
        <v>648</v>
      </c>
      <c r="E96" s="101" t="s">
        <v>648</v>
      </c>
      <c r="F96" s="101">
        <v>12297</v>
      </c>
      <c r="G96" s="101" t="s">
        <v>648</v>
      </c>
      <c r="H96" s="101" t="s">
        <v>648</v>
      </c>
      <c r="I96" s="101" t="s">
        <v>648</v>
      </c>
      <c r="J96" s="101" t="s">
        <v>648</v>
      </c>
      <c r="K96" s="101">
        <v>12297</v>
      </c>
      <c r="L96" s="113">
        <v>12297</v>
      </c>
      <c r="M96" s="103" t="s">
        <v>675</v>
      </c>
      <c r="S96" s="100"/>
    </row>
    <row r="97" spans="1:19" s="101" customFormat="1" ht="9.75" customHeight="1" x14ac:dyDescent="0.15">
      <c r="A97" s="950" t="s">
        <v>926</v>
      </c>
      <c r="B97" s="101" t="s">
        <v>648</v>
      </c>
      <c r="C97" s="101" t="s">
        <v>648</v>
      </c>
      <c r="D97" s="101" t="s">
        <v>648</v>
      </c>
      <c r="E97" s="101" t="s">
        <v>648</v>
      </c>
      <c r="F97" s="101">
        <v>9980</v>
      </c>
      <c r="G97" s="101" t="s">
        <v>648</v>
      </c>
      <c r="H97" s="101" t="s">
        <v>648</v>
      </c>
      <c r="I97" s="101">
        <v>1231</v>
      </c>
      <c r="J97" s="101">
        <v>1231</v>
      </c>
      <c r="K97" s="101">
        <v>8749</v>
      </c>
      <c r="L97" s="113">
        <v>8749</v>
      </c>
      <c r="M97" s="103" t="s">
        <v>80</v>
      </c>
      <c r="S97" s="100"/>
    </row>
    <row r="98" spans="1:19" s="101" customFormat="1" ht="9.75" customHeight="1" x14ac:dyDescent="0.15">
      <c r="A98" s="950" t="s">
        <v>927</v>
      </c>
      <c r="B98" s="101" t="s">
        <v>648</v>
      </c>
      <c r="C98" s="101" t="s">
        <v>648</v>
      </c>
      <c r="D98" s="101" t="s">
        <v>648</v>
      </c>
      <c r="E98" s="101" t="s">
        <v>648</v>
      </c>
      <c r="F98" s="101">
        <v>12110</v>
      </c>
      <c r="G98" s="101" t="s">
        <v>648</v>
      </c>
      <c r="H98" s="101" t="s">
        <v>648</v>
      </c>
      <c r="I98" s="101" t="s">
        <v>648</v>
      </c>
      <c r="J98" s="101" t="s">
        <v>648</v>
      </c>
      <c r="K98" s="101">
        <v>12110</v>
      </c>
      <c r="L98" s="113">
        <v>12110</v>
      </c>
      <c r="M98" s="103" t="s">
        <v>81</v>
      </c>
      <c r="S98" s="100"/>
    </row>
    <row r="99" spans="1:19" s="101" customFormat="1" ht="9.75" customHeight="1" x14ac:dyDescent="0.15">
      <c r="A99" s="950" t="s">
        <v>781</v>
      </c>
      <c r="B99" s="101" t="s">
        <v>648</v>
      </c>
      <c r="C99" s="101" t="s">
        <v>648</v>
      </c>
      <c r="D99" s="101" t="s">
        <v>648</v>
      </c>
      <c r="E99" s="101" t="s">
        <v>648</v>
      </c>
      <c r="F99" s="101">
        <v>18282</v>
      </c>
      <c r="G99" s="101">
        <v>3581</v>
      </c>
      <c r="H99" s="101">
        <v>3581</v>
      </c>
      <c r="I99" s="101">
        <v>1400</v>
      </c>
      <c r="J99" s="101">
        <v>1400</v>
      </c>
      <c r="K99" s="101">
        <v>13301</v>
      </c>
      <c r="L99" s="113">
        <v>13301</v>
      </c>
      <c r="M99" s="103" t="s">
        <v>82</v>
      </c>
      <c r="S99" s="100"/>
    </row>
    <row r="100" spans="1:19" s="101" customFormat="1" ht="9.75" customHeight="1" x14ac:dyDescent="0.15">
      <c r="A100" s="950" t="s">
        <v>782</v>
      </c>
      <c r="B100" s="101" t="s">
        <v>648</v>
      </c>
      <c r="C100" s="101" t="s">
        <v>648</v>
      </c>
      <c r="D100" s="101" t="s">
        <v>648</v>
      </c>
      <c r="E100" s="101" t="s">
        <v>648</v>
      </c>
      <c r="F100" s="101">
        <v>7243</v>
      </c>
      <c r="G100" s="101" t="s">
        <v>648</v>
      </c>
      <c r="H100" s="101" t="s">
        <v>648</v>
      </c>
      <c r="I100" s="101" t="s">
        <v>648</v>
      </c>
      <c r="J100" s="101" t="s">
        <v>648</v>
      </c>
      <c r="K100" s="101">
        <v>7243</v>
      </c>
      <c r="L100" s="113">
        <v>7243</v>
      </c>
      <c r="M100" s="104" t="s">
        <v>95</v>
      </c>
      <c r="S100" s="100"/>
    </row>
    <row r="101" spans="1:19" s="101" customFormat="1" ht="9.75" customHeight="1" x14ac:dyDescent="0.15">
      <c r="A101" s="950" t="s">
        <v>783</v>
      </c>
      <c r="B101" s="101" t="s">
        <v>648</v>
      </c>
      <c r="C101" s="101" t="s">
        <v>648</v>
      </c>
      <c r="D101" s="101" t="s">
        <v>648</v>
      </c>
      <c r="E101" s="101" t="s">
        <v>648</v>
      </c>
      <c r="F101" s="101">
        <v>14005</v>
      </c>
      <c r="G101" s="101" t="s">
        <v>648</v>
      </c>
      <c r="H101" s="101" t="s">
        <v>648</v>
      </c>
      <c r="I101" s="101" t="s">
        <v>648</v>
      </c>
      <c r="J101" s="101" t="s">
        <v>648</v>
      </c>
      <c r="K101" s="101">
        <v>14005</v>
      </c>
      <c r="L101" s="113">
        <v>14005</v>
      </c>
      <c r="M101" s="103" t="s">
        <v>96</v>
      </c>
      <c r="S101" s="100"/>
    </row>
    <row r="102" spans="1:19" s="101" customFormat="1" ht="9.75" customHeight="1" x14ac:dyDescent="0.15">
      <c r="A102" s="950" t="s">
        <v>784</v>
      </c>
      <c r="B102" s="101" t="s">
        <v>648</v>
      </c>
      <c r="C102" s="101" t="s">
        <v>648</v>
      </c>
      <c r="D102" s="101" t="s">
        <v>648</v>
      </c>
      <c r="E102" s="101" t="s">
        <v>648</v>
      </c>
      <c r="F102" s="101">
        <v>6642</v>
      </c>
      <c r="G102" s="101" t="s">
        <v>648</v>
      </c>
      <c r="H102" s="101" t="s">
        <v>648</v>
      </c>
      <c r="I102" s="101">
        <v>400</v>
      </c>
      <c r="J102" s="101">
        <v>400</v>
      </c>
      <c r="K102" s="101">
        <v>6242</v>
      </c>
      <c r="L102" s="113">
        <v>6242</v>
      </c>
      <c r="M102" s="103" t="s">
        <v>97</v>
      </c>
      <c r="S102" s="100"/>
    </row>
    <row r="103" spans="1:19" s="101" customFormat="1" ht="9.75" customHeight="1" x14ac:dyDescent="0.15">
      <c r="A103" s="950" t="s">
        <v>806</v>
      </c>
      <c r="B103" s="101" t="s">
        <v>648</v>
      </c>
      <c r="C103" s="101" t="s">
        <v>648</v>
      </c>
      <c r="D103" s="101" t="s">
        <v>648</v>
      </c>
      <c r="E103" s="101" t="s">
        <v>648</v>
      </c>
      <c r="F103" s="101">
        <v>11059</v>
      </c>
      <c r="G103" s="101" t="s">
        <v>648</v>
      </c>
      <c r="H103" s="101" t="s">
        <v>648</v>
      </c>
      <c r="I103" s="101">
        <v>1000</v>
      </c>
      <c r="J103" s="101">
        <v>1000</v>
      </c>
      <c r="K103" s="101">
        <v>10059</v>
      </c>
      <c r="L103" s="113">
        <v>10059</v>
      </c>
      <c r="M103" s="103" t="s">
        <v>98</v>
      </c>
      <c r="S103" s="100"/>
    </row>
    <row r="104" spans="1:19" s="101" customFormat="1" ht="9.75" customHeight="1" x14ac:dyDescent="0.15">
      <c r="A104" s="950" t="s">
        <v>786</v>
      </c>
      <c r="B104" s="101" t="s">
        <v>648</v>
      </c>
      <c r="C104" s="101" t="s">
        <v>648</v>
      </c>
      <c r="D104" s="101" t="s">
        <v>648</v>
      </c>
      <c r="E104" s="101" t="s">
        <v>648</v>
      </c>
      <c r="F104" s="101">
        <v>2695</v>
      </c>
      <c r="G104" s="101" t="s">
        <v>648</v>
      </c>
      <c r="H104" s="101" t="s">
        <v>648</v>
      </c>
      <c r="I104" s="101" t="s">
        <v>648</v>
      </c>
      <c r="J104" s="101" t="s">
        <v>648</v>
      </c>
      <c r="K104" s="101">
        <v>2695</v>
      </c>
      <c r="L104" s="113">
        <v>2695</v>
      </c>
      <c r="M104" s="103" t="s">
        <v>99</v>
      </c>
      <c r="S104" s="100"/>
    </row>
    <row r="105" spans="1:19" s="101" customFormat="1" ht="9.75" customHeight="1" x14ac:dyDescent="0.15">
      <c r="A105" s="950" t="s">
        <v>928</v>
      </c>
      <c r="B105" s="101">
        <v>51355</v>
      </c>
      <c r="C105" s="101" t="s">
        <v>648</v>
      </c>
      <c r="D105" s="101">
        <v>51355</v>
      </c>
      <c r="E105" s="101" t="s">
        <v>648</v>
      </c>
      <c r="F105" s="101">
        <v>16766</v>
      </c>
      <c r="G105" s="101">
        <v>5366</v>
      </c>
      <c r="H105" s="101">
        <v>5366</v>
      </c>
      <c r="I105" s="101" t="s">
        <v>648</v>
      </c>
      <c r="J105" s="101" t="s">
        <v>648</v>
      </c>
      <c r="K105" s="101">
        <v>11400</v>
      </c>
      <c r="L105" s="113">
        <v>11400</v>
      </c>
      <c r="M105" s="103" t="s">
        <v>83</v>
      </c>
      <c r="S105" s="100"/>
    </row>
    <row r="106" spans="1:19" s="101" customFormat="1" ht="9.75" customHeight="1" x14ac:dyDescent="0.15">
      <c r="A106" s="950" t="s">
        <v>788</v>
      </c>
      <c r="B106" s="101" t="s">
        <v>648</v>
      </c>
      <c r="C106" s="101" t="s">
        <v>648</v>
      </c>
      <c r="D106" s="101" t="s">
        <v>648</v>
      </c>
      <c r="E106" s="101" t="s">
        <v>648</v>
      </c>
      <c r="F106" s="101">
        <v>9999</v>
      </c>
      <c r="G106" s="101" t="s">
        <v>648</v>
      </c>
      <c r="H106" s="101" t="s">
        <v>648</v>
      </c>
      <c r="I106" s="101">
        <v>703</v>
      </c>
      <c r="J106" s="101">
        <v>703</v>
      </c>
      <c r="K106" s="101">
        <v>9296</v>
      </c>
      <c r="L106" s="113">
        <v>9296</v>
      </c>
      <c r="M106" s="103" t="s">
        <v>84</v>
      </c>
      <c r="S106" s="100"/>
    </row>
    <row r="107" spans="1:19" s="101" customFormat="1" ht="9.75" customHeight="1" x14ac:dyDescent="0.15">
      <c r="A107" s="950" t="s">
        <v>789</v>
      </c>
      <c r="B107" s="101" t="s">
        <v>648</v>
      </c>
      <c r="C107" s="101" t="s">
        <v>648</v>
      </c>
      <c r="D107" s="101" t="s">
        <v>648</v>
      </c>
      <c r="E107" s="101" t="s">
        <v>648</v>
      </c>
      <c r="F107" s="101">
        <v>8703</v>
      </c>
      <c r="G107" s="101" t="s">
        <v>648</v>
      </c>
      <c r="H107" s="101" t="s">
        <v>648</v>
      </c>
      <c r="I107" s="101">
        <v>600</v>
      </c>
      <c r="J107" s="101">
        <v>600</v>
      </c>
      <c r="K107" s="101">
        <v>8103</v>
      </c>
      <c r="L107" s="113">
        <v>8103</v>
      </c>
      <c r="M107" s="103" t="s">
        <v>85</v>
      </c>
      <c r="S107" s="100"/>
    </row>
    <row r="108" spans="1:19" s="101" customFormat="1" ht="9.75" customHeight="1" x14ac:dyDescent="0.15">
      <c r="A108" s="950" t="s">
        <v>929</v>
      </c>
      <c r="B108" s="101" t="s">
        <v>648</v>
      </c>
      <c r="C108" s="101" t="s">
        <v>648</v>
      </c>
      <c r="D108" s="101" t="s">
        <v>648</v>
      </c>
      <c r="E108" s="101" t="s">
        <v>648</v>
      </c>
      <c r="F108" s="101">
        <v>7553</v>
      </c>
      <c r="G108" s="101" t="s">
        <v>648</v>
      </c>
      <c r="H108" s="101" t="s">
        <v>648</v>
      </c>
      <c r="I108" s="101" t="s">
        <v>648</v>
      </c>
      <c r="J108" s="101" t="s">
        <v>648</v>
      </c>
      <c r="K108" s="101">
        <v>7553</v>
      </c>
      <c r="L108" s="113">
        <v>7553</v>
      </c>
      <c r="M108" s="103" t="s">
        <v>791</v>
      </c>
      <c r="S108" s="100"/>
    </row>
    <row r="109" spans="1:19" s="101" customFormat="1" ht="9.75" customHeight="1" x14ac:dyDescent="0.15">
      <c r="A109" s="950" t="s">
        <v>792</v>
      </c>
      <c r="B109" s="101" t="s">
        <v>648</v>
      </c>
      <c r="C109" s="101" t="s">
        <v>648</v>
      </c>
      <c r="D109" s="101" t="s">
        <v>648</v>
      </c>
      <c r="E109" s="101" t="s">
        <v>648</v>
      </c>
      <c r="F109" s="101">
        <v>7861</v>
      </c>
      <c r="G109" s="101" t="s">
        <v>648</v>
      </c>
      <c r="H109" s="101" t="s">
        <v>648</v>
      </c>
      <c r="I109" s="101">
        <v>400</v>
      </c>
      <c r="J109" s="101">
        <v>400</v>
      </c>
      <c r="K109" s="101">
        <v>7461</v>
      </c>
      <c r="L109" s="113">
        <v>7461</v>
      </c>
      <c r="M109" s="103" t="s">
        <v>80</v>
      </c>
      <c r="S109" s="100"/>
    </row>
    <row r="110" spans="1:19" s="101" customFormat="1" ht="9.75" customHeight="1" x14ac:dyDescent="0.15">
      <c r="A110" s="951" t="s">
        <v>793</v>
      </c>
      <c r="B110" s="105" t="s">
        <v>648</v>
      </c>
      <c r="C110" s="106" t="s">
        <v>648</v>
      </c>
      <c r="D110" s="106" t="s">
        <v>648</v>
      </c>
      <c r="E110" s="106" t="s">
        <v>648</v>
      </c>
      <c r="F110" s="106">
        <v>11446</v>
      </c>
      <c r="G110" s="106" t="s">
        <v>648</v>
      </c>
      <c r="H110" s="106" t="s">
        <v>648</v>
      </c>
      <c r="I110" s="106" t="s">
        <v>648</v>
      </c>
      <c r="J110" s="106" t="s">
        <v>648</v>
      </c>
      <c r="K110" s="106">
        <v>11446</v>
      </c>
      <c r="L110" s="114">
        <v>11446</v>
      </c>
      <c r="M110" s="107" t="s">
        <v>81</v>
      </c>
      <c r="S110" s="100"/>
    </row>
    <row r="111" spans="1:19" ht="21.75" customHeight="1" x14ac:dyDescent="0.2"/>
  </sheetData>
  <mergeCells count="3">
    <mergeCell ref="R4:R8"/>
    <mergeCell ref="R40:R44"/>
    <mergeCell ref="M76:M80"/>
  </mergeCells>
  <phoneticPr fontId="30"/>
  <pageMargins left="0.59055118110236227" right="0.59055118110236227" top="0.59055118110236227" bottom="0.59055118110236227" header="0.31496062992125984" footer="0.11811023622047245"/>
  <pageSetup paperSize="9" scale="90" pageOrder="overThenDown" orientation="portrait" r:id="rId1"/>
  <headerFooter alignWithMargins="0"/>
  <rowBreaks count="1" manualBreakCount="1">
    <brk id="74" max="17" man="1"/>
  </rowBreaks>
  <colBreaks count="1" manualBreakCount="1">
    <brk id="9" min="1" max="10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3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9" defaultRowHeight="13" x14ac:dyDescent="0.2"/>
  <cols>
    <col min="1" max="1" width="3.36328125" style="115" customWidth="1"/>
    <col min="2" max="2" width="3.26953125" style="115" customWidth="1"/>
    <col min="3" max="3" width="6.08984375" style="115" customWidth="1"/>
    <col min="4" max="4" width="0.90625" style="115" customWidth="1"/>
    <col min="5" max="11" width="10.6328125" style="115" customWidth="1"/>
    <col min="12" max="20" width="8.6328125" style="115" customWidth="1"/>
    <col min="21" max="21" width="8.36328125" style="115" customWidth="1"/>
    <col min="22" max="22" width="2.6328125" style="115" customWidth="1"/>
    <col min="23" max="23" width="21.6328125" style="115" customWidth="1"/>
    <col min="24" max="24" width="15.08984375" style="115" customWidth="1"/>
    <col min="25" max="16384" width="9" style="115"/>
  </cols>
  <sheetData>
    <row r="1" spans="1:22" ht="12.75" customHeight="1" x14ac:dyDescent="0.2"/>
    <row r="2" spans="1:22" s="162" customFormat="1" ht="12.75" customHeight="1" x14ac:dyDescent="0.2">
      <c r="A2" s="188" t="s">
        <v>225</v>
      </c>
      <c r="B2" s="188"/>
      <c r="C2" s="188"/>
      <c r="D2" s="188"/>
      <c r="E2" s="188"/>
      <c r="F2" s="962"/>
      <c r="G2" s="963"/>
      <c r="H2" s="963"/>
      <c r="I2" s="964"/>
      <c r="J2" s="964"/>
      <c r="K2" s="964"/>
      <c r="L2" s="964"/>
      <c r="M2" s="964"/>
      <c r="N2" s="964"/>
      <c r="O2" s="964"/>
      <c r="P2" s="964"/>
      <c r="Q2" s="964"/>
    </row>
    <row r="3" spans="1:22" s="162" customFormat="1" ht="12.75" customHeight="1" x14ac:dyDescent="0.2">
      <c r="A3" s="166" t="s">
        <v>224</v>
      </c>
      <c r="B3" s="350"/>
      <c r="C3" s="187"/>
      <c r="D3" s="187"/>
      <c r="E3" s="187"/>
      <c r="F3" s="762"/>
      <c r="G3" s="763"/>
      <c r="H3" s="763"/>
      <c r="I3" s="186"/>
      <c r="J3" s="186"/>
      <c r="K3" s="965" t="s">
        <v>100</v>
      </c>
      <c r="L3" s="186"/>
      <c r="M3" s="186"/>
      <c r="N3" s="186"/>
      <c r="O3" s="186"/>
      <c r="P3" s="165" t="s">
        <v>221</v>
      </c>
      <c r="Q3" s="165"/>
      <c r="R3" s="185"/>
    </row>
    <row r="4" spans="1:22" s="138" customFormat="1" ht="10.5" customHeight="1" x14ac:dyDescent="0.2">
      <c r="A4" s="1069" t="s">
        <v>652</v>
      </c>
      <c r="B4" s="1069"/>
      <c r="C4" s="1069"/>
      <c r="D4" s="1070"/>
      <c r="E4" s="184"/>
      <c r="F4" s="1075"/>
      <c r="G4" s="1075"/>
      <c r="H4" s="1075"/>
      <c r="I4" s="1075"/>
      <c r="J4" s="1075"/>
      <c r="K4" s="1075"/>
      <c r="L4" s="1075"/>
      <c r="M4" s="1075"/>
      <c r="N4" s="1075"/>
      <c r="O4" s="1075"/>
      <c r="P4" s="1077"/>
      <c r="Q4" s="1078" t="s">
        <v>685</v>
      </c>
      <c r="R4" s="909"/>
      <c r="S4" s="162"/>
      <c r="T4" s="162"/>
      <c r="U4" s="162"/>
      <c r="V4" s="162"/>
    </row>
    <row r="5" spans="1:22" s="138" customFormat="1" ht="11.5" customHeight="1" x14ac:dyDescent="0.2">
      <c r="A5" s="1071"/>
      <c r="B5" s="1071"/>
      <c r="C5" s="1071"/>
      <c r="D5" s="1072"/>
      <c r="E5" s="144" t="s">
        <v>220</v>
      </c>
      <c r="F5" s="159"/>
      <c r="G5" s="159"/>
      <c r="H5" s="155" t="s">
        <v>219</v>
      </c>
      <c r="I5" s="907"/>
      <c r="J5" s="158"/>
      <c r="K5" s="155" t="s">
        <v>218</v>
      </c>
      <c r="L5" s="907"/>
      <c r="M5" s="908"/>
      <c r="N5" s="155" t="s">
        <v>217</v>
      </c>
      <c r="O5" s="157"/>
      <c r="P5" s="156"/>
      <c r="Q5" s="1079"/>
      <c r="R5" s="909"/>
      <c r="S5" s="162"/>
      <c r="T5" s="162"/>
      <c r="U5" s="162"/>
      <c r="V5" s="162"/>
    </row>
    <row r="6" spans="1:22" s="138" customFormat="1" ht="11.5" customHeight="1" x14ac:dyDescent="0.2">
      <c r="A6" s="1071"/>
      <c r="B6" s="1071"/>
      <c r="C6" s="1071"/>
      <c r="D6" s="1072"/>
      <c r="E6" s="184"/>
      <c r="F6" s="152"/>
      <c r="G6" s="152"/>
      <c r="H6" s="144" t="s">
        <v>214</v>
      </c>
      <c r="I6" s="911"/>
      <c r="J6" s="151"/>
      <c r="K6" s="144" t="s">
        <v>215</v>
      </c>
      <c r="L6" s="183"/>
      <c r="M6" s="912"/>
      <c r="N6" s="144" t="s">
        <v>214</v>
      </c>
      <c r="O6" s="148"/>
      <c r="P6" s="910"/>
      <c r="Q6" s="1079"/>
      <c r="R6" s="909"/>
      <c r="S6" s="162"/>
      <c r="T6" s="162"/>
      <c r="U6" s="162"/>
      <c r="V6" s="162"/>
    </row>
    <row r="7" spans="1:22" s="138" customFormat="1" ht="11.5" customHeight="1" x14ac:dyDescent="0.2">
      <c r="A7" s="1071"/>
      <c r="B7" s="1071"/>
      <c r="C7" s="1071"/>
      <c r="D7" s="1072"/>
      <c r="E7" s="144" t="s">
        <v>930</v>
      </c>
      <c r="F7" s="145" t="s">
        <v>931</v>
      </c>
      <c r="G7" s="145" t="s">
        <v>932</v>
      </c>
      <c r="H7" s="145" t="s">
        <v>223</v>
      </c>
      <c r="I7" s="909" t="s">
        <v>931</v>
      </c>
      <c r="J7" s="143" t="s">
        <v>932</v>
      </c>
      <c r="K7" s="1067" t="s">
        <v>213</v>
      </c>
      <c r="L7" s="143" t="s">
        <v>931</v>
      </c>
      <c r="M7" s="143" t="s">
        <v>932</v>
      </c>
      <c r="N7" s="1067" t="s">
        <v>933</v>
      </c>
      <c r="O7" s="155" t="s">
        <v>931</v>
      </c>
      <c r="P7" s="143" t="s">
        <v>932</v>
      </c>
      <c r="Q7" s="1079"/>
      <c r="R7" s="909"/>
      <c r="S7" s="162"/>
      <c r="T7" s="162"/>
      <c r="U7" s="162"/>
      <c r="V7" s="162"/>
    </row>
    <row r="8" spans="1:22" s="138" customFormat="1" ht="11.5" customHeight="1" x14ac:dyDescent="0.2">
      <c r="A8" s="1071"/>
      <c r="B8" s="1071"/>
      <c r="C8" s="1071"/>
      <c r="D8" s="1072"/>
      <c r="E8" s="1067"/>
      <c r="F8" s="1067" t="s">
        <v>934</v>
      </c>
      <c r="G8" s="1067" t="s">
        <v>935</v>
      </c>
      <c r="H8" s="142" t="s">
        <v>60</v>
      </c>
      <c r="I8" s="1067" t="s">
        <v>934</v>
      </c>
      <c r="J8" s="1067" t="s">
        <v>935</v>
      </c>
      <c r="K8" s="1067"/>
      <c r="L8" s="1067" t="s">
        <v>934</v>
      </c>
      <c r="M8" s="1067" t="s">
        <v>935</v>
      </c>
      <c r="N8" s="1067"/>
      <c r="O8" s="1067" t="s">
        <v>934</v>
      </c>
      <c r="P8" s="1067" t="s">
        <v>935</v>
      </c>
      <c r="Q8" s="1079"/>
      <c r="R8" s="909"/>
      <c r="S8" s="162"/>
      <c r="T8" s="162"/>
      <c r="U8" s="162"/>
      <c r="V8" s="162"/>
    </row>
    <row r="9" spans="1:22" s="138" customFormat="1" ht="11.5" customHeight="1" x14ac:dyDescent="0.2">
      <c r="A9" s="1073"/>
      <c r="B9" s="1073"/>
      <c r="C9" s="1073"/>
      <c r="D9" s="1074"/>
      <c r="E9" s="1080"/>
      <c r="F9" s="1068"/>
      <c r="G9" s="1068"/>
      <c r="H9" s="913"/>
      <c r="I9" s="1068"/>
      <c r="J9" s="1068"/>
      <c r="K9" s="913" t="s">
        <v>930</v>
      </c>
      <c r="L9" s="1068"/>
      <c r="M9" s="1068"/>
      <c r="N9" s="141" t="s">
        <v>930</v>
      </c>
      <c r="O9" s="1068"/>
      <c r="P9" s="1068"/>
      <c r="Q9" s="140"/>
      <c r="R9" s="139"/>
      <c r="S9" s="162"/>
      <c r="T9" s="162"/>
      <c r="U9" s="162"/>
      <c r="V9" s="162"/>
    </row>
    <row r="10" spans="1:22" s="117" customFormat="1" ht="9.75" customHeight="1" x14ac:dyDescent="0.2">
      <c r="A10" s="966" t="s">
        <v>261</v>
      </c>
      <c r="B10" s="772" t="s">
        <v>936</v>
      </c>
      <c r="C10" s="772"/>
      <c r="D10" s="967"/>
      <c r="E10" s="177">
        <v>186785831</v>
      </c>
      <c r="F10" s="176">
        <v>186237686</v>
      </c>
      <c r="G10" s="176">
        <v>548145</v>
      </c>
      <c r="H10" s="176">
        <v>186534133</v>
      </c>
      <c r="I10" s="176">
        <v>185985988</v>
      </c>
      <c r="J10" s="176">
        <v>548145</v>
      </c>
      <c r="K10" s="176">
        <v>251698</v>
      </c>
      <c r="L10" s="176">
        <v>251698</v>
      </c>
      <c r="M10" s="176" t="s">
        <v>648</v>
      </c>
      <c r="N10" s="176" t="s">
        <v>648</v>
      </c>
      <c r="O10" s="176" t="s">
        <v>648</v>
      </c>
      <c r="P10" s="176" t="s">
        <v>648</v>
      </c>
      <c r="Q10" s="137" t="s">
        <v>937</v>
      </c>
      <c r="R10" s="180"/>
      <c r="S10" s="162"/>
      <c r="T10" s="162"/>
      <c r="U10" s="162"/>
      <c r="V10" s="162"/>
    </row>
    <row r="11" spans="1:22" s="117" customFormat="1" ht="9.75" customHeight="1" x14ac:dyDescent="0.2">
      <c r="A11" s="772" t="s">
        <v>260</v>
      </c>
      <c r="B11" s="772">
        <v>30</v>
      </c>
      <c r="C11" s="772"/>
      <c r="D11" s="967"/>
      <c r="E11" s="177">
        <v>177770647</v>
      </c>
      <c r="F11" s="176">
        <v>177250238</v>
      </c>
      <c r="G11" s="176">
        <v>520409</v>
      </c>
      <c r="H11" s="176">
        <v>177502877</v>
      </c>
      <c r="I11" s="176">
        <v>176982468</v>
      </c>
      <c r="J11" s="176">
        <v>520409</v>
      </c>
      <c r="K11" s="176">
        <v>267770</v>
      </c>
      <c r="L11" s="176">
        <v>267770</v>
      </c>
      <c r="M11" s="176" t="s">
        <v>648</v>
      </c>
      <c r="N11" s="176" t="s">
        <v>648</v>
      </c>
      <c r="O11" s="176" t="s">
        <v>648</v>
      </c>
      <c r="P11" s="176" t="s">
        <v>648</v>
      </c>
      <c r="Q11" s="137" t="s">
        <v>938</v>
      </c>
      <c r="R11" s="180"/>
      <c r="S11" s="162"/>
      <c r="T11" s="162"/>
      <c r="U11" s="162"/>
      <c r="V11" s="162"/>
    </row>
    <row r="12" spans="1:22" s="117" customFormat="1" ht="9.75" customHeight="1" x14ac:dyDescent="0.2">
      <c r="A12" s="772" t="s">
        <v>566</v>
      </c>
      <c r="B12" s="772" t="s">
        <v>939</v>
      </c>
      <c r="C12" s="772"/>
      <c r="D12" s="967"/>
      <c r="E12" s="177">
        <v>177048024</v>
      </c>
      <c r="F12" s="176">
        <v>176540466</v>
      </c>
      <c r="G12" s="176">
        <v>507558</v>
      </c>
      <c r="H12" s="176">
        <v>176787722</v>
      </c>
      <c r="I12" s="176">
        <v>176280164</v>
      </c>
      <c r="J12" s="176">
        <v>507558</v>
      </c>
      <c r="K12" s="176">
        <v>260302</v>
      </c>
      <c r="L12" s="176">
        <v>260302</v>
      </c>
      <c r="M12" s="176" t="s">
        <v>648</v>
      </c>
      <c r="N12" s="176" t="s">
        <v>648</v>
      </c>
      <c r="O12" s="176" t="s">
        <v>648</v>
      </c>
      <c r="P12" s="176" t="s">
        <v>648</v>
      </c>
      <c r="Q12" s="137" t="s">
        <v>940</v>
      </c>
      <c r="R12" s="180"/>
      <c r="S12" s="162"/>
      <c r="T12" s="162"/>
      <c r="U12" s="162"/>
      <c r="V12" s="162"/>
    </row>
    <row r="13" spans="1:22" s="117" customFormat="1" ht="9.75" customHeight="1" x14ac:dyDescent="0.2">
      <c r="A13" s="772" t="s">
        <v>260</v>
      </c>
      <c r="B13" s="772" t="s">
        <v>941</v>
      </c>
      <c r="C13" s="772"/>
      <c r="D13" s="967"/>
      <c r="E13" s="177">
        <v>145229769</v>
      </c>
      <c r="F13" s="176">
        <v>144787326</v>
      </c>
      <c r="G13" s="176">
        <v>442443</v>
      </c>
      <c r="H13" s="176">
        <v>145016852</v>
      </c>
      <c r="I13" s="176">
        <v>144574409</v>
      </c>
      <c r="J13" s="176">
        <v>442443</v>
      </c>
      <c r="K13" s="176">
        <v>212917</v>
      </c>
      <c r="L13" s="176">
        <v>212917</v>
      </c>
      <c r="M13" s="176" t="s">
        <v>648</v>
      </c>
      <c r="N13" s="176" t="s">
        <v>648</v>
      </c>
      <c r="O13" s="176" t="s">
        <v>648</v>
      </c>
      <c r="P13" s="176" t="s">
        <v>648</v>
      </c>
      <c r="Q13" s="137" t="s">
        <v>942</v>
      </c>
      <c r="R13" s="180"/>
      <c r="S13" s="162"/>
      <c r="T13" s="162"/>
      <c r="U13" s="162"/>
      <c r="V13" s="162"/>
    </row>
    <row r="14" spans="1:22" s="117" customFormat="1" ht="9.75" customHeight="1" x14ac:dyDescent="0.2">
      <c r="A14" s="772" t="s">
        <v>260</v>
      </c>
      <c r="B14" s="772" t="s">
        <v>943</v>
      </c>
      <c r="C14" s="772"/>
      <c r="D14" s="967"/>
      <c r="E14" s="177">
        <v>144648208</v>
      </c>
      <c r="F14" s="176">
        <v>144149620</v>
      </c>
      <c r="G14" s="176">
        <v>498588</v>
      </c>
      <c r="H14" s="176">
        <v>144402535</v>
      </c>
      <c r="I14" s="176">
        <v>143903947</v>
      </c>
      <c r="J14" s="176">
        <v>498588</v>
      </c>
      <c r="K14" s="176">
        <v>245673</v>
      </c>
      <c r="L14" s="176">
        <v>245673</v>
      </c>
      <c r="M14" s="176" t="s">
        <v>648</v>
      </c>
      <c r="N14" s="176" t="s">
        <v>648</v>
      </c>
      <c r="O14" s="176" t="s">
        <v>648</v>
      </c>
      <c r="P14" s="176" t="s">
        <v>648</v>
      </c>
      <c r="Q14" s="137" t="s">
        <v>944</v>
      </c>
      <c r="R14" s="180"/>
      <c r="S14" s="162"/>
      <c r="T14" s="162"/>
      <c r="U14" s="162"/>
      <c r="V14" s="162"/>
    </row>
    <row r="15" spans="1:22" s="117" customFormat="1" ht="9.75" customHeight="1" x14ac:dyDescent="0.2">
      <c r="A15" s="772"/>
      <c r="B15" s="772"/>
      <c r="C15" s="772"/>
      <c r="D15" s="967"/>
      <c r="E15" s="177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31"/>
      <c r="R15" s="153"/>
      <c r="S15" s="162"/>
      <c r="T15" s="162"/>
      <c r="U15" s="162"/>
      <c r="V15" s="162"/>
    </row>
    <row r="16" spans="1:22" s="117" customFormat="1" ht="9.75" customHeight="1" x14ac:dyDescent="0.2">
      <c r="A16" s="772" t="s">
        <v>566</v>
      </c>
      <c r="B16" s="772" t="s">
        <v>945</v>
      </c>
      <c r="C16" s="772"/>
      <c r="D16" s="967"/>
      <c r="E16" s="177">
        <v>139267534</v>
      </c>
      <c r="F16" s="176">
        <v>138804519</v>
      </c>
      <c r="G16" s="176">
        <v>463015</v>
      </c>
      <c r="H16" s="176">
        <v>139050670</v>
      </c>
      <c r="I16" s="176">
        <v>138587655</v>
      </c>
      <c r="J16" s="176">
        <v>463015</v>
      </c>
      <c r="K16" s="176">
        <v>216864</v>
      </c>
      <c r="L16" s="176">
        <v>216864</v>
      </c>
      <c r="M16" s="176" t="s">
        <v>648</v>
      </c>
      <c r="N16" s="182" t="s">
        <v>648</v>
      </c>
      <c r="O16" s="176" t="s">
        <v>648</v>
      </c>
      <c r="P16" s="182" t="s">
        <v>648</v>
      </c>
      <c r="Q16" s="136" t="s">
        <v>946</v>
      </c>
      <c r="R16" s="180"/>
      <c r="S16" s="162"/>
      <c r="T16" s="162"/>
      <c r="U16" s="162"/>
      <c r="V16" s="162"/>
    </row>
    <row r="17" spans="1:22" s="117" customFormat="1" ht="9.75" customHeight="1" x14ac:dyDescent="0.2">
      <c r="A17" s="772" t="s">
        <v>260</v>
      </c>
      <c r="B17" s="772" t="s">
        <v>943</v>
      </c>
      <c r="C17" s="772"/>
      <c r="D17" s="967"/>
      <c r="E17" s="177">
        <v>147484584</v>
      </c>
      <c r="F17" s="176">
        <v>147008601</v>
      </c>
      <c r="G17" s="176">
        <v>475983</v>
      </c>
      <c r="H17" s="176">
        <v>147246342</v>
      </c>
      <c r="I17" s="176">
        <v>146770359</v>
      </c>
      <c r="J17" s="176">
        <v>475983</v>
      </c>
      <c r="K17" s="176">
        <v>238242</v>
      </c>
      <c r="L17" s="176">
        <v>238242</v>
      </c>
      <c r="M17" s="176" t="s">
        <v>648</v>
      </c>
      <c r="N17" s="182" t="s">
        <v>648</v>
      </c>
      <c r="O17" s="176" t="s">
        <v>648</v>
      </c>
      <c r="P17" s="182" t="s">
        <v>648</v>
      </c>
      <c r="Q17" s="136" t="s">
        <v>947</v>
      </c>
      <c r="R17" s="180"/>
      <c r="S17" s="162"/>
      <c r="T17" s="162"/>
      <c r="U17" s="162"/>
      <c r="V17" s="162"/>
    </row>
    <row r="18" spans="1:22" s="117" customFormat="1" ht="9.75" customHeight="1" x14ac:dyDescent="0.2">
      <c r="A18" s="772"/>
      <c r="B18" s="772"/>
      <c r="C18" s="772"/>
      <c r="D18" s="967"/>
      <c r="E18" s="177"/>
      <c r="F18" s="176"/>
      <c r="G18" s="176"/>
      <c r="H18" s="176"/>
      <c r="I18" s="176"/>
      <c r="J18" s="176"/>
      <c r="K18" s="176"/>
      <c r="L18" s="176"/>
      <c r="M18" s="176"/>
      <c r="N18" s="176"/>
      <c r="O18" s="181"/>
      <c r="P18" s="176"/>
      <c r="Q18" s="131"/>
      <c r="R18" s="153"/>
      <c r="S18" s="178"/>
      <c r="T18" s="162"/>
      <c r="U18" s="162"/>
      <c r="V18" s="162"/>
    </row>
    <row r="19" spans="1:22" s="117" customFormat="1" ht="9.75" customHeight="1" x14ac:dyDescent="0.2">
      <c r="A19" s="772" t="s">
        <v>566</v>
      </c>
      <c r="B19" s="772" t="s">
        <v>948</v>
      </c>
      <c r="C19" s="772" t="s">
        <v>949</v>
      </c>
      <c r="D19" s="967"/>
      <c r="E19" s="177">
        <v>36903952</v>
      </c>
      <c r="F19" s="176">
        <v>36771476</v>
      </c>
      <c r="G19" s="176">
        <v>132476</v>
      </c>
      <c r="H19" s="176">
        <v>36836726</v>
      </c>
      <c r="I19" s="176">
        <v>36704250</v>
      </c>
      <c r="J19" s="176">
        <v>132476</v>
      </c>
      <c r="K19" s="176">
        <v>67226</v>
      </c>
      <c r="L19" s="176">
        <v>67226</v>
      </c>
      <c r="M19" s="176" t="s">
        <v>648</v>
      </c>
      <c r="N19" s="176" t="s">
        <v>648</v>
      </c>
      <c r="O19" s="176" t="s">
        <v>648</v>
      </c>
      <c r="P19" s="176" t="s">
        <v>648</v>
      </c>
      <c r="Q19" s="132" t="s">
        <v>950</v>
      </c>
      <c r="R19" s="180"/>
      <c r="S19" s="178"/>
      <c r="T19" s="162"/>
      <c r="U19" s="162"/>
      <c r="V19" s="162"/>
    </row>
    <row r="20" spans="1:22" s="117" customFormat="1" ht="9.75" customHeight="1" x14ac:dyDescent="0.2">
      <c r="A20" s="772" t="s">
        <v>260</v>
      </c>
      <c r="B20" s="772" t="s">
        <v>260</v>
      </c>
      <c r="C20" s="772" t="s">
        <v>951</v>
      </c>
      <c r="D20" s="967"/>
      <c r="E20" s="177">
        <v>32156382</v>
      </c>
      <c r="F20" s="176">
        <v>32025303</v>
      </c>
      <c r="G20" s="176">
        <v>131079</v>
      </c>
      <c r="H20" s="176">
        <v>32092767</v>
      </c>
      <c r="I20" s="176">
        <v>31961688</v>
      </c>
      <c r="J20" s="176">
        <v>131079</v>
      </c>
      <c r="K20" s="176">
        <v>63615</v>
      </c>
      <c r="L20" s="176">
        <v>63615</v>
      </c>
      <c r="M20" s="176" t="s">
        <v>648</v>
      </c>
      <c r="N20" s="176" t="s">
        <v>648</v>
      </c>
      <c r="O20" s="176" t="s">
        <v>648</v>
      </c>
      <c r="P20" s="176" t="s">
        <v>648</v>
      </c>
      <c r="Q20" s="135" t="s">
        <v>952</v>
      </c>
      <c r="R20" s="180"/>
      <c r="S20" s="178"/>
      <c r="T20" s="162"/>
      <c r="U20" s="162"/>
      <c r="V20" s="162"/>
    </row>
    <row r="21" spans="1:22" s="117" customFormat="1" ht="9.75" customHeight="1" x14ac:dyDescent="0.2">
      <c r="A21" s="772" t="s">
        <v>260</v>
      </c>
      <c r="B21" s="772" t="s">
        <v>260</v>
      </c>
      <c r="C21" s="772" t="s">
        <v>953</v>
      </c>
      <c r="D21" s="967"/>
      <c r="E21" s="177">
        <v>36546877</v>
      </c>
      <c r="F21" s="176">
        <v>36418943</v>
      </c>
      <c r="G21" s="176">
        <v>127934</v>
      </c>
      <c r="H21" s="176">
        <v>36492757</v>
      </c>
      <c r="I21" s="176">
        <v>36364823</v>
      </c>
      <c r="J21" s="176">
        <v>127934</v>
      </c>
      <c r="K21" s="176">
        <v>54120</v>
      </c>
      <c r="L21" s="176">
        <v>54120</v>
      </c>
      <c r="M21" s="176" t="s">
        <v>648</v>
      </c>
      <c r="N21" s="176" t="s">
        <v>648</v>
      </c>
      <c r="O21" s="176" t="s">
        <v>648</v>
      </c>
      <c r="P21" s="176" t="s">
        <v>648</v>
      </c>
      <c r="Q21" s="134" t="s">
        <v>954</v>
      </c>
      <c r="R21" s="170"/>
      <c r="S21" s="178"/>
      <c r="T21" s="162"/>
      <c r="U21" s="162"/>
      <c r="V21" s="162"/>
    </row>
    <row r="22" spans="1:22" s="117" customFormat="1" ht="9.75" customHeight="1" x14ac:dyDescent="0.2">
      <c r="A22" s="772" t="s">
        <v>260</v>
      </c>
      <c r="B22" s="772" t="s">
        <v>260</v>
      </c>
      <c r="C22" s="772" t="s">
        <v>955</v>
      </c>
      <c r="D22" s="967"/>
      <c r="E22" s="177">
        <v>39040997</v>
      </c>
      <c r="F22" s="176">
        <v>38933898</v>
      </c>
      <c r="G22" s="176">
        <v>107099</v>
      </c>
      <c r="H22" s="176">
        <v>38980285</v>
      </c>
      <c r="I22" s="176">
        <v>38873186</v>
      </c>
      <c r="J22" s="176">
        <v>107099</v>
      </c>
      <c r="K22" s="176">
        <v>60712</v>
      </c>
      <c r="L22" s="176">
        <v>60712</v>
      </c>
      <c r="M22" s="176" t="s">
        <v>648</v>
      </c>
      <c r="N22" s="176" t="s">
        <v>648</v>
      </c>
      <c r="O22" s="176" t="s">
        <v>648</v>
      </c>
      <c r="P22" s="176" t="s">
        <v>648</v>
      </c>
      <c r="Q22" s="133" t="s">
        <v>956</v>
      </c>
      <c r="R22" s="170"/>
      <c r="S22" s="178"/>
      <c r="T22" s="162"/>
      <c r="U22" s="162"/>
      <c r="V22" s="162"/>
    </row>
    <row r="23" spans="1:22" s="117" customFormat="1" ht="9.75" customHeight="1" x14ac:dyDescent="0.2">
      <c r="A23" s="772" t="s">
        <v>566</v>
      </c>
      <c r="B23" s="772" t="s">
        <v>957</v>
      </c>
      <c r="C23" s="772" t="s">
        <v>958</v>
      </c>
      <c r="D23" s="967"/>
      <c r="E23" s="177">
        <v>39740328</v>
      </c>
      <c r="F23" s="176">
        <v>39630457</v>
      </c>
      <c r="G23" s="176">
        <v>109871</v>
      </c>
      <c r="H23" s="176">
        <v>39680533</v>
      </c>
      <c r="I23" s="176">
        <v>39570662</v>
      </c>
      <c r="J23" s="176">
        <v>109871</v>
      </c>
      <c r="K23" s="176">
        <v>59795</v>
      </c>
      <c r="L23" s="176">
        <v>59795</v>
      </c>
      <c r="M23" s="176" t="s">
        <v>648</v>
      </c>
      <c r="N23" s="176" t="s">
        <v>648</v>
      </c>
      <c r="O23" s="176" t="s">
        <v>648</v>
      </c>
      <c r="P23" s="176" t="s">
        <v>648</v>
      </c>
      <c r="Q23" s="132" t="s">
        <v>959</v>
      </c>
      <c r="R23" s="170"/>
      <c r="S23" s="178"/>
      <c r="T23" s="162"/>
      <c r="U23" s="162"/>
      <c r="V23" s="162"/>
    </row>
    <row r="24" spans="1:22" s="117" customFormat="1" ht="9.75" customHeight="1" x14ac:dyDescent="0.2">
      <c r="A24" s="772"/>
      <c r="B24" s="772"/>
      <c r="C24" s="772"/>
      <c r="D24" s="967"/>
      <c r="E24" s="177"/>
      <c r="F24" s="176"/>
      <c r="G24" s="176"/>
      <c r="H24" s="176"/>
      <c r="I24" s="176"/>
      <c r="J24" s="176"/>
      <c r="K24" s="176"/>
      <c r="L24" s="176"/>
      <c r="M24" s="176"/>
      <c r="N24" s="176"/>
      <c r="O24" s="181"/>
      <c r="P24" s="176"/>
      <c r="Q24" s="131"/>
      <c r="R24" s="180"/>
      <c r="S24" s="178"/>
      <c r="T24" s="162"/>
      <c r="U24" s="162"/>
      <c r="V24" s="162"/>
    </row>
    <row r="25" spans="1:22" s="117" customFormat="1" ht="9.75" customHeight="1" x14ac:dyDescent="0.2">
      <c r="A25" s="772" t="s">
        <v>566</v>
      </c>
      <c r="B25" s="772" t="s">
        <v>948</v>
      </c>
      <c r="C25" s="772" t="s">
        <v>960</v>
      </c>
      <c r="D25" s="967"/>
      <c r="E25" s="177">
        <v>13447394</v>
      </c>
      <c r="F25" s="176">
        <v>13409757</v>
      </c>
      <c r="G25" s="176">
        <v>37637</v>
      </c>
      <c r="H25" s="176">
        <v>13424764</v>
      </c>
      <c r="I25" s="176">
        <v>13387127</v>
      </c>
      <c r="J25" s="176">
        <v>37637</v>
      </c>
      <c r="K25" s="176">
        <v>22630</v>
      </c>
      <c r="L25" s="176">
        <v>22630</v>
      </c>
      <c r="M25" s="176" t="s">
        <v>648</v>
      </c>
      <c r="N25" s="176" t="s">
        <v>648</v>
      </c>
      <c r="O25" s="176" t="s">
        <v>648</v>
      </c>
      <c r="P25" s="176" t="s">
        <v>648</v>
      </c>
      <c r="Q25" s="130" t="s">
        <v>961</v>
      </c>
      <c r="R25" s="170"/>
      <c r="S25" s="178"/>
      <c r="T25" s="162"/>
      <c r="U25" s="162"/>
      <c r="V25" s="162"/>
    </row>
    <row r="26" spans="1:22" s="117" customFormat="1" ht="9.75" customHeight="1" x14ac:dyDescent="0.2">
      <c r="A26" s="772" t="s">
        <v>260</v>
      </c>
      <c r="B26" s="772" t="s">
        <v>260</v>
      </c>
      <c r="C26" s="772" t="s">
        <v>962</v>
      </c>
      <c r="D26" s="967"/>
      <c r="E26" s="177">
        <v>11321526</v>
      </c>
      <c r="F26" s="176">
        <v>11275706</v>
      </c>
      <c r="G26" s="176">
        <v>45820</v>
      </c>
      <c r="H26" s="176">
        <v>11301028</v>
      </c>
      <c r="I26" s="176">
        <v>11255208</v>
      </c>
      <c r="J26" s="176">
        <v>45820</v>
      </c>
      <c r="K26" s="176">
        <v>20498</v>
      </c>
      <c r="L26" s="176">
        <v>20498</v>
      </c>
      <c r="M26" s="176" t="s">
        <v>648</v>
      </c>
      <c r="N26" s="176" t="s">
        <v>648</v>
      </c>
      <c r="O26" s="176" t="s">
        <v>648</v>
      </c>
      <c r="P26" s="176" t="s">
        <v>648</v>
      </c>
      <c r="Q26" s="125" t="s">
        <v>963</v>
      </c>
      <c r="R26" s="170"/>
      <c r="S26" s="178"/>
      <c r="T26" s="162"/>
      <c r="U26" s="162"/>
      <c r="V26" s="162"/>
    </row>
    <row r="27" spans="1:22" s="117" customFormat="1" ht="9.75" customHeight="1" x14ac:dyDescent="0.2">
      <c r="A27" s="772" t="s">
        <v>260</v>
      </c>
      <c r="B27" s="772" t="s">
        <v>260</v>
      </c>
      <c r="C27" s="772" t="s">
        <v>964</v>
      </c>
      <c r="D27" s="967"/>
      <c r="E27" s="177">
        <v>12135032</v>
      </c>
      <c r="F27" s="176">
        <v>12086013</v>
      </c>
      <c r="G27" s="176">
        <v>49019</v>
      </c>
      <c r="H27" s="176">
        <v>12110934</v>
      </c>
      <c r="I27" s="176">
        <v>12061915</v>
      </c>
      <c r="J27" s="176">
        <v>49019</v>
      </c>
      <c r="K27" s="176">
        <v>24098</v>
      </c>
      <c r="L27" s="176">
        <v>24098</v>
      </c>
      <c r="M27" s="176" t="s">
        <v>648</v>
      </c>
      <c r="N27" s="176" t="s">
        <v>648</v>
      </c>
      <c r="O27" s="176" t="s">
        <v>648</v>
      </c>
      <c r="P27" s="179" t="s">
        <v>648</v>
      </c>
      <c r="Q27" s="125" t="s">
        <v>965</v>
      </c>
      <c r="R27" s="170"/>
      <c r="S27" s="178"/>
      <c r="T27" s="162"/>
      <c r="U27" s="162"/>
      <c r="V27" s="162"/>
    </row>
    <row r="28" spans="1:22" s="117" customFormat="1" ht="9.75" customHeight="1" x14ac:dyDescent="0.2">
      <c r="A28" s="772" t="s">
        <v>260</v>
      </c>
      <c r="B28" s="772" t="s">
        <v>260</v>
      </c>
      <c r="C28" s="772" t="s">
        <v>966</v>
      </c>
      <c r="D28" s="967"/>
      <c r="E28" s="177">
        <v>11577441</v>
      </c>
      <c r="F28" s="176">
        <v>11525918</v>
      </c>
      <c r="G28" s="176">
        <v>51523</v>
      </c>
      <c r="H28" s="176">
        <v>11556864</v>
      </c>
      <c r="I28" s="176">
        <v>11505341</v>
      </c>
      <c r="J28" s="176">
        <v>51523</v>
      </c>
      <c r="K28" s="176">
        <v>20577</v>
      </c>
      <c r="L28" s="176">
        <v>20577</v>
      </c>
      <c r="M28" s="176" t="s">
        <v>648</v>
      </c>
      <c r="N28" s="176" t="s">
        <v>648</v>
      </c>
      <c r="O28" s="176" t="s">
        <v>648</v>
      </c>
      <c r="P28" s="176" t="s">
        <v>648</v>
      </c>
      <c r="Q28" s="125" t="s">
        <v>967</v>
      </c>
      <c r="R28" s="170"/>
      <c r="S28" s="178"/>
      <c r="T28" s="162"/>
      <c r="U28" s="162"/>
      <c r="V28" s="162"/>
    </row>
    <row r="29" spans="1:22" s="117" customFormat="1" ht="9.75" customHeight="1" x14ac:dyDescent="0.2">
      <c r="A29" s="772" t="s">
        <v>260</v>
      </c>
      <c r="B29" s="772" t="s">
        <v>260</v>
      </c>
      <c r="C29" s="772" t="s">
        <v>968</v>
      </c>
      <c r="D29" s="967"/>
      <c r="E29" s="177">
        <v>10528055</v>
      </c>
      <c r="F29" s="176">
        <v>10490862</v>
      </c>
      <c r="G29" s="176">
        <v>37193</v>
      </c>
      <c r="H29" s="176">
        <v>10507599</v>
      </c>
      <c r="I29" s="176">
        <v>10470406</v>
      </c>
      <c r="J29" s="176">
        <v>37193</v>
      </c>
      <c r="K29" s="176">
        <v>20456</v>
      </c>
      <c r="L29" s="176">
        <v>20456</v>
      </c>
      <c r="M29" s="176" t="s">
        <v>648</v>
      </c>
      <c r="N29" s="176" t="s">
        <v>648</v>
      </c>
      <c r="O29" s="176" t="s">
        <v>648</v>
      </c>
      <c r="P29" s="176" t="s">
        <v>648</v>
      </c>
      <c r="Q29" s="125" t="s">
        <v>969</v>
      </c>
      <c r="R29" s="170"/>
      <c r="S29" s="178"/>
      <c r="T29" s="162"/>
      <c r="U29" s="162"/>
      <c r="V29" s="162"/>
    </row>
    <row r="30" spans="1:22" s="117" customFormat="1" ht="9.75" customHeight="1" x14ac:dyDescent="0.2">
      <c r="A30" s="772" t="s">
        <v>260</v>
      </c>
      <c r="B30" s="772" t="s">
        <v>260</v>
      </c>
      <c r="C30" s="772" t="s">
        <v>970</v>
      </c>
      <c r="D30" s="967"/>
      <c r="E30" s="177">
        <v>10050886</v>
      </c>
      <c r="F30" s="176">
        <v>10008523</v>
      </c>
      <c r="G30" s="176">
        <v>42363</v>
      </c>
      <c r="H30" s="176">
        <v>10028304</v>
      </c>
      <c r="I30" s="176">
        <v>9985941</v>
      </c>
      <c r="J30" s="176">
        <v>42363</v>
      </c>
      <c r="K30" s="176">
        <v>22582</v>
      </c>
      <c r="L30" s="176">
        <v>22582</v>
      </c>
      <c r="M30" s="176" t="s">
        <v>648</v>
      </c>
      <c r="N30" s="176" t="s">
        <v>648</v>
      </c>
      <c r="O30" s="176" t="s">
        <v>648</v>
      </c>
      <c r="P30" s="176" t="s">
        <v>648</v>
      </c>
      <c r="Q30" s="125" t="s">
        <v>971</v>
      </c>
      <c r="R30" s="170"/>
      <c r="S30" s="178"/>
      <c r="T30" s="162"/>
      <c r="U30" s="162"/>
      <c r="V30" s="162"/>
    </row>
    <row r="31" spans="1:22" s="117" customFormat="1" ht="9.75" customHeight="1" x14ac:dyDescent="0.2">
      <c r="A31" s="772" t="s">
        <v>260</v>
      </c>
      <c r="B31" s="772" t="s">
        <v>260</v>
      </c>
      <c r="C31" s="772" t="s">
        <v>972</v>
      </c>
      <c r="D31" s="967"/>
      <c r="E31" s="177">
        <v>11089511</v>
      </c>
      <c r="F31" s="176">
        <v>11046907</v>
      </c>
      <c r="G31" s="176">
        <v>42604</v>
      </c>
      <c r="H31" s="176">
        <v>11073037</v>
      </c>
      <c r="I31" s="176">
        <v>11030433</v>
      </c>
      <c r="J31" s="176">
        <v>42604</v>
      </c>
      <c r="K31" s="176">
        <v>16474</v>
      </c>
      <c r="L31" s="176">
        <v>16474</v>
      </c>
      <c r="M31" s="176" t="s">
        <v>648</v>
      </c>
      <c r="N31" s="176" t="s">
        <v>648</v>
      </c>
      <c r="O31" s="176" t="s">
        <v>648</v>
      </c>
      <c r="P31" s="176" t="s">
        <v>648</v>
      </c>
      <c r="Q31" s="125" t="s">
        <v>973</v>
      </c>
      <c r="R31" s="170"/>
      <c r="S31" s="162"/>
      <c r="T31" s="162"/>
      <c r="U31" s="162"/>
      <c r="V31" s="162"/>
    </row>
    <row r="32" spans="1:22" s="117" customFormat="1" ht="9.75" customHeight="1" x14ac:dyDescent="0.2">
      <c r="A32" s="772" t="s">
        <v>260</v>
      </c>
      <c r="B32" s="772" t="s">
        <v>260</v>
      </c>
      <c r="C32" s="772" t="s">
        <v>974</v>
      </c>
      <c r="D32" s="967"/>
      <c r="E32" s="177">
        <v>13052083</v>
      </c>
      <c r="F32" s="176">
        <v>13005165</v>
      </c>
      <c r="G32" s="176">
        <v>46918</v>
      </c>
      <c r="H32" s="176">
        <v>13029645</v>
      </c>
      <c r="I32" s="176">
        <v>12982727</v>
      </c>
      <c r="J32" s="176">
        <v>46918</v>
      </c>
      <c r="K32" s="176">
        <v>22438</v>
      </c>
      <c r="L32" s="176">
        <v>22438</v>
      </c>
      <c r="M32" s="176" t="s">
        <v>648</v>
      </c>
      <c r="N32" s="176" t="s">
        <v>648</v>
      </c>
      <c r="O32" s="176" t="s">
        <v>648</v>
      </c>
      <c r="P32" s="176" t="s">
        <v>648</v>
      </c>
      <c r="Q32" s="125" t="s">
        <v>975</v>
      </c>
      <c r="R32" s="170"/>
      <c r="S32" s="162"/>
      <c r="T32" s="162"/>
      <c r="U32" s="162"/>
      <c r="V32" s="162"/>
    </row>
    <row r="33" spans="1:25" s="117" customFormat="1" ht="9.75" customHeight="1" x14ac:dyDescent="0.2">
      <c r="A33" s="772" t="s">
        <v>260</v>
      </c>
      <c r="B33" s="772" t="s">
        <v>260</v>
      </c>
      <c r="C33" s="772" t="s">
        <v>976</v>
      </c>
      <c r="D33" s="967"/>
      <c r="E33" s="177">
        <v>12405283</v>
      </c>
      <c r="F33" s="176">
        <v>12366871</v>
      </c>
      <c r="G33" s="176">
        <v>38412</v>
      </c>
      <c r="H33" s="176">
        <v>12390075</v>
      </c>
      <c r="I33" s="176">
        <v>12351663</v>
      </c>
      <c r="J33" s="176">
        <v>38412</v>
      </c>
      <c r="K33" s="176">
        <v>15208</v>
      </c>
      <c r="L33" s="176">
        <v>15208</v>
      </c>
      <c r="M33" s="176" t="s">
        <v>648</v>
      </c>
      <c r="N33" s="176" t="s">
        <v>648</v>
      </c>
      <c r="O33" s="176" t="s">
        <v>648</v>
      </c>
      <c r="P33" s="176" t="s">
        <v>648</v>
      </c>
      <c r="Q33" s="125" t="s">
        <v>977</v>
      </c>
      <c r="R33" s="170"/>
      <c r="S33" s="162"/>
      <c r="T33" s="162"/>
      <c r="U33" s="162"/>
      <c r="V33" s="162"/>
    </row>
    <row r="34" spans="1:25" s="117" customFormat="1" ht="9.75" customHeight="1" x14ac:dyDescent="0.2">
      <c r="A34" s="772" t="s">
        <v>260</v>
      </c>
      <c r="B34" s="772" t="s">
        <v>260</v>
      </c>
      <c r="C34" s="775" t="s">
        <v>978</v>
      </c>
      <c r="D34" s="967"/>
      <c r="E34" s="177">
        <v>12247921</v>
      </c>
      <c r="F34" s="176">
        <v>12220031</v>
      </c>
      <c r="G34" s="176">
        <v>27890</v>
      </c>
      <c r="H34" s="176">
        <v>12220675</v>
      </c>
      <c r="I34" s="176">
        <v>12192785</v>
      </c>
      <c r="J34" s="176">
        <v>27890</v>
      </c>
      <c r="K34" s="176">
        <v>27246</v>
      </c>
      <c r="L34" s="176">
        <v>27246</v>
      </c>
      <c r="M34" s="176" t="s">
        <v>648</v>
      </c>
      <c r="N34" s="176" t="s">
        <v>648</v>
      </c>
      <c r="O34" s="176" t="s">
        <v>648</v>
      </c>
      <c r="P34" s="176" t="s">
        <v>648</v>
      </c>
      <c r="Q34" s="125" t="s">
        <v>979</v>
      </c>
      <c r="R34" s="170"/>
      <c r="S34" s="162"/>
      <c r="T34" s="162"/>
      <c r="U34" s="162"/>
      <c r="V34" s="162"/>
    </row>
    <row r="35" spans="1:25" s="117" customFormat="1" ht="9.75" customHeight="1" x14ac:dyDescent="0.2">
      <c r="A35" s="772" t="s">
        <v>260</v>
      </c>
      <c r="B35" s="772" t="s">
        <v>260</v>
      </c>
      <c r="C35" s="775" t="s">
        <v>980</v>
      </c>
      <c r="D35" s="967"/>
      <c r="E35" s="177">
        <v>12431766</v>
      </c>
      <c r="F35" s="176">
        <v>12399177</v>
      </c>
      <c r="G35" s="176">
        <v>32589</v>
      </c>
      <c r="H35" s="176">
        <v>12416734</v>
      </c>
      <c r="I35" s="176">
        <v>12384145</v>
      </c>
      <c r="J35" s="176">
        <v>32589</v>
      </c>
      <c r="K35" s="176">
        <v>15032</v>
      </c>
      <c r="L35" s="176">
        <v>15032</v>
      </c>
      <c r="M35" s="176" t="s">
        <v>648</v>
      </c>
      <c r="N35" s="176" t="s">
        <v>648</v>
      </c>
      <c r="O35" s="176" t="s">
        <v>648</v>
      </c>
      <c r="P35" s="176" t="s">
        <v>648</v>
      </c>
      <c r="Q35" s="125" t="s">
        <v>981</v>
      </c>
      <c r="R35" s="170"/>
      <c r="S35" s="162"/>
      <c r="T35" s="162"/>
      <c r="U35" s="162"/>
      <c r="V35" s="162"/>
    </row>
    <row r="36" spans="1:25" s="117" customFormat="1" ht="9.75" customHeight="1" x14ac:dyDescent="0.2">
      <c r="A36" s="772" t="s">
        <v>260</v>
      </c>
      <c r="B36" s="772" t="s">
        <v>260</v>
      </c>
      <c r="C36" s="775" t="s">
        <v>982</v>
      </c>
      <c r="D36" s="967"/>
      <c r="E36" s="177">
        <v>14361310</v>
      </c>
      <c r="F36" s="176">
        <v>14314690</v>
      </c>
      <c r="G36" s="176">
        <v>46620</v>
      </c>
      <c r="H36" s="176">
        <v>14342876</v>
      </c>
      <c r="I36" s="176">
        <v>14296256</v>
      </c>
      <c r="J36" s="176">
        <v>46620</v>
      </c>
      <c r="K36" s="176">
        <v>18434</v>
      </c>
      <c r="L36" s="176">
        <v>18434</v>
      </c>
      <c r="M36" s="176" t="s">
        <v>648</v>
      </c>
      <c r="N36" s="176" t="s">
        <v>648</v>
      </c>
      <c r="O36" s="176" t="s">
        <v>648</v>
      </c>
      <c r="P36" s="176" t="s">
        <v>648</v>
      </c>
      <c r="Q36" s="125" t="s">
        <v>983</v>
      </c>
      <c r="R36" s="170"/>
      <c r="S36" s="162"/>
      <c r="T36" s="162"/>
      <c r="U36" s="162"/>
      <c r="V36" s="162"/>
    </row>
    <row r="37" spans="1:25" s="117" customFormat="1" ht="9.75" customHeight="1" x14ac:dyDescent="0.2">
      <c r="A37" s="772" t="s">
        <v>566</v>
      </c>
      <c r="B37" s="772" t="s">
        <v>957</v>
      </c>
      <c r="C37" s="772" t="s">
        <v>984</v>
      </c>
      <c r="D37" s="967"/>
      <c r="E37" s="177">
        <v>13937122</v>
      </c>
      <c r="F37" s="176">
        <v>13901171</v>
      </c>
      <c r="G37" s="176">
        <v>35951</v>
      </c>
      <c r="H37" s="176">
        <v>13923377</v>
      </c>
      <c r="I37" s="176">
        <v>13887426</v>
      </c>
      <c r="J37" s="176">
        <v>35951</v>
      </c>
      <c r="K37" s="176">
        <v>13745</v>
      </c>
      <c r="L37" s="176">
        <v>13745</v>
      </c>
      <c r="M37" s="176" t="s">
        <v>648</v>
      </c>
      <c r="N37" s="176" t="s">
        <v>648</v>
      </c>
      <c r="O37" s="176" t="s">
        <v>648</v>
      </c>
      <c r="P37" s="176" t="s">
        <v>648</v>
      </c>
      <c r="Q37" s="130" t="s">
        <v>985</v>
      </c>
      <c r="R37" s="170"/>
      <c r="S37" s="162"/>
      <c r="T37" s="162"/>
      <c r="U37" s="162"/>
      <c r="V37" s="162"/>
    </row>
    <row r="38" spans="1:25" s="117" customFormat="1" ht="9.75" customHeight="1" x14ac:dyDescent="0.2">
      <c r="A38" s="772" t="s">
        <v>260</v>
      </c>
      <c r="B38" s="772" t="s">
        <v>260</v>
      </c>
      <c r="C38" s="772" t="s">
        <v>962</v>
      </c>
      <c r="D38" s="967"/>
      <c r="E38" s="177">
        <v>12470529</v>
      </c>
      <c r="F38" s="176">
        <v>12429293</v>
      </c>
      <c r="G38" s="176">
        <v>41236</v>
      </c>
      <c r="H38" s="176">
        <v>12450095</v>
      </c>
      <c r="I38" s="176">
        <v>12408859</v>
      </c>
      <c r="J38" s="176">
        <v>41236</v>
      </c>
      <c r="K38" s="176">
        <v>20434</v>
      </c>
      <c r="L38" s="176">
        <v>20434</v>
      </c>
      <c r="M38" s="176" t="s">
        <v>648</v>
      </c>
      <c r="N38" s="176" t="s">
        <v>648</v>
      </c>
      <c r="O38" s="176" t="s">
        <v>648</v>
      </c>
      <c r="P38" s="176" t="s">
        <v>648</v>
      </c>
      <c r="Q38" s="125" t="s">
        <v>963</v>
      </c>
      <c r="R38" s="170"/>
      <c r="S38" s="162"/>
      <c r="T38" s="162"/>
      <c r="U38" s="162"/>
      <c r="V38" s="162"/>
    </row>
    <row r="39" spans="1:25" s="117" customFormat="1" ht="9.75" customHeight="1" x14ac:dyDescent="0.2">
      <c r="A39" s="776" t="s">
        <v>260</v>
      </c>
      <c r="B39" s="776" t="s">
        <v>260</v>
      </c>
      <c r="C39" s="776" t="s">
        <v>986</v>
      </c>
      <c r="D39" s="968"/>
      <c r="E39" s="175">
        <v>13332677</v>
      </c>
      <c r="F39" s="174">
        <v>13299993</v>
      </c>
      <c r="G39" s="174">
        <v>32684</v>
      </c>
      <c r="H39" s="174">
        <v>13307061</v>
      </c>
      <c r="I39" s="174">
        <v>13274377</v>
      </c>
      <c r="J39" s="174">
        <v>32684</v>
      </c>
      <c r="K39" s="174">
        <v>25616</v>
      </c>
      <c r="L39" s="174">
        <v>25616</v>
      </c>
      <c r="M39" s="174" t="s">
        <v>648</v>
      </c>
      <c r="N39" s="174" t="s">
        <v>648</v>
      </c>
      <c r="O39" s="174" t="s">
        <v>648</v>
      </c>
      <c r="P39" s="174" t="s">
        <v>648</v>
      </c>
      <c r="Q39" s="121" t="s">
        <v>965</v>
      </c>
      <c r="R39" s="170"/>
      <c r="S39" s="162"/>
      <c r="T39" s="162"/>
      <c r="U39" s="162"/>
      <c r="V39" s="162"/>
    </row>
    <row r="40" spans="1:25" s="117" customFormat="1" ht="9.75" customHeight="1" x14ac:dyDescent="0.2">
      <c r="A40" s="173"/>
      <c r="B40" s="173"/>
      <c r="C40" s="180"/>
      <c r="D40" s="173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1"/>
      <c r="R40" s="170"/>
      <c r="S40" s="162"/>
      <c r="T40" s="162"/>
      <c r="U40" s="162"/>
      <c r="V40" s="162"/>
    </row>
    <row r="41" spans="1:25" s="167" customFormat="1" ht="9.75" customHeight="1" x14ac:dyDescent="0.2">
      <c r="A41" s="169"/>
      <c r="B41" s="169"/>
      <c r="C41" s="169"/>
      <c r="D41" s="169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2"/>
      <c r="T41" s="162"/>
      <c r="U41" s="162"/>
      <c r="V41" s="162"/>
    </row>
    <row r="42" spans="1:25" s="162" customFormat="1" ht="12.75" customHeight="1" x14ac:dyDescent="0.2">
      <c r="A42" s="166" t="s">
        <v>222</v>
      </c>
      <c r="B42" s="764"/>
      <c r="C42" s="164"/>
      <c r="D42" s="164"/>
      <c r="E42" s="164"/>
      <c r="F42" s="163"/>
      <c r="G42" s="163"/>
      <c r="H42" s="163"/>
      <c r="I42" s="163"/>
      <c r="J42" s="163"/>
      <c r="K42" s="965" t="s">
        <v>100</v>
      </c>
      <c r="L42" s="163"/>
      <c r="M42" s="163"/>
      <c r="N42" s="163"/>
      <c r="O42" s="163"/>
      <c r="P42" s="163"/>
      <c r="Q42" s="163"/>
      <c r="R42" s="163"/>
      <c r="S42" s="164"/>
      <c r="T42" s="165" t="s">
        <v>221</v>
      </c>
      <c r="U42" s="164"/>
      <c r="V42" s="163"/>
      <c r="W42" s="163"/>
      <c r="X42" s="163"/>
      <c r="Y42" s="163"/>
    </row>
    <row r="43" spans="1:25" s="138" customFormat="1" ht="10.5" customHeight="1" x14ac:dyDescent="0.2">
      <c r="A43" s="1069" t="s">
        <v>987</v>
      </c>
      <c r="B43" s="1069"/>
      <c r="C43" s="1069"/>
      <c r="D43" s="1070"/>
      <c r="E43" s="144"/>
      <c r="F43" s="1075"/>
      <c r="G43" s="1075"/>
      <c r="H43" s="1075"/>
      <c r="I43" s="1075"/>
      <c r="J43" s="1075"/>
      <c r="K43" s="1075"/>
      <c r="L43" s="1075"/>
      <c r="M43" s="1075"/>
      <c r="N43" s="1075"/>
      <c r="O43" s="1075"/>
      <c r="P43" s="1075"/>
      <c r="Q43" s="1075"/>
      <c r="R43" s="1075"/>
      <c r="S43" s="161"/>
      <c r="T43" s="160"/>
      <c r="U43" s="1078" t="s">
        <v>988</v>
      </c>
      <c r="V43" s="139"/>
      <c r="W43" s="139"/>
      <c r="X43" s="139"/>
      <c r="Y43" s="139"/>
    </row>
    <row r="44" spans="1:25" s="138" customFormat="1" ht="11.5" customHeight="1" x14ac:dyDescent="0.2">
      <c r="A44" s="1071"/>
      <c r="B44" s="1071"/>
      <c r="C44" s="1071"/>
      <c r="D44" s="1072"/>
      <c r="E44" s="144" t="s">
        <v>220</v>
      </c>
      <c r="F44" s="159"/>
      <c r="G44" s="908"/>
      <c r="H44" s="155" t="s">
        <v>219</v>
      </c>
      <c r="I44" s="907"/>
      <c r="J44" s="158"/>
      <c r="K44" s="155" t="s">
        <v>218</v>
      </c>
      <c r="L44" s="907"/>
      <c r="M44" s="908"/>
      <c r="N44" s="155" t="s">
        <v>217</v>
      </c>
      <c r="O44" s="157"/>
      <c r="P44" s="156"/>
      <c r="Q44" s="155" t="s">
        <v>989</v>
      </c>
      <c r="R44" s="907"/>
      <c r="S44" s="154"/>
      <c r="T44" s="143" t="s">
        <v>216</v>
      </c>
      <c r="U44" s="1082"/>
      <c r="V44" s="153"/>
      <c r="W44" s="139"/>
      <c r="X44" s="139"/>
      <c r="Y44" s="139"/>
    </row>
    <row r="45" spans="1:25" s="138" customFormat="1" ht="21" customHeight="1" x14ac:dyDescent="0.2">
      <c r="A45" s="1071"/>
      <c r="B45" s="1071"/>
      <c r="C45" s="1071"/>
      <c r="D45" s="1072"/>
      <c r="E45" s="144"/>
      <c r="F45" s="152"/>
      <c r="G45" s="910"/>
      <c r="H45" s="144" t="s">
        <v>215</v>
      </c>
      <c r="I45" s="911"/>
      <c r="J45" s="151"/>
      <c r="K45" s="144" t="s">
        <v>215</v>
      </c>
      <c r="L45" s="150"/>
      <c r="M45" s="149"/>
      <c r="N45" s="144" t="s">
        <v>214</v>
      </c>
      <c r="O45" s="148"/>
      <c r="P45" s="910"/>
      <c r="Q45" s="142" t="s">
        <v>214</v>
      </c>
      <c r="R45" s="147"/>
      <c r="S45" s="146"/>
      <c r="T45" s="913" t="s">
        <v>990</v>
      </c>
      <c r="U45" s="1082"/>
      <c r="V45" s="139"/>
      <c r="W45" s="139"/>
      <c r="X45" s="139"/>
      <c r="Y45" s="139"/>
    </row>
    <row r="46" spans="1:25" s="138" customFormat="1" ht="15" customHeight="1" x14ac:dyDescent="0.2">
      <c r="A46" s="1071"/>
      <c r="B46" s="1071"/>
      <c r="C46" s="1071"/>
      <c r="D46" s="1072"/>
      <c r="E46" s="144" t="s">
        <v>930</v>
      </c>
      <c r="F46" s="145" t="s">
        <v>931</v>
      </c>
      <c r="G46" s="145" t="s">
        <v>932</v>
      </c>
      <c r="H46" s="144" t="s">
        <v>991</v>
      </c>
      <c r="I46" s="143" t="s">
        <v>931</v>
      </c>
      <c r="J46" s="143" t="s">
        <v>932</v>
      </c>
      <c r="K46" s="1067" t="s">
        <v>213</v>
      </c>
      <c r="L46" s="143" t="s">
        <v>931</v>
      </c>
      <c r="M46" s="143" t="s">
        <v>932</v>
      </c>
      <c r="N46" s="1067" t="s">
        <v>933</v>
      </c>
      <c r="O46" s="143" t="s">
        <v>931</v>
      </c>
      <c r="P46" s="143" t="s">
        <v>932</v>
      </c>
      <c r="Q46" s="1067" t="s">
        <v>212</v>
      </c>
      <c r="R46" s="143" t="s">
        <v>931</v>
      </c>
      <c r="S46" s="143" t="s">
        <v>932</v>
      </c>
      <c r="T46" s="143" t="s">
        <v>932</v>
      </c>
      <c r="U46" s="1082"/>
      <c r="V46" s="139"/>
      <c r="W46" s="139"/>
      <c r="X46" s="139"/>
      <c r="Y46" s="139"/>
    </row>
    <row r="47" spans="1:25" s="138" customFormat="1" ht="14.25" customHeight="1" x14ac:dyDescent="0.2">
      <c r="A47" s="1071"/>
      <c r="B47" s="1071"/>
      <c r="C47" s="1071"/>
      <c r="D47" s="1072"/>
      <c r="E47" s="1067"/>
      <c r="F47" s="1067" t="s">
        <v>934</v>
      </c>
      <c r="G47" s="1067" t="s">
        <v>935</v>
      </c>
      <c r="H47" s="142" t="s">
        <v>60</v>
      </c>
      <c r="I47" s="1067" t="s">
        <v>934</v>
      </c>
      <c r="J47" s="1067" t="s">
        <v>935</v>
      </c>
      <c r="K47" s="1067"/>
      <c r="L47" s="1067" t="s">
        <v>934</v>
      </c>
      <c r="M47" s="1067" t="s">
        <v>935</v>
      </c>
      <c r="N47" s="1067"/>
      <c r="O47" s="1067" t="s">
        <v>934</v>
      </c>
      <c r="P47" s="1067" t="s">
        <v>935</v>
      </c>
      <c r="Q47" s="1067"/>
      <c r="R47" s="1067" t="s">
        <v>934</v>
      </c>
      <c r="S47" s="1067" t="s">
        <v>935</v>
      </c>
      <c r="T47" s="1067" t="s">
        <v>935</v>
      </c>
      <c r="U47" s="1082"/>
      <c r="V47" s="139"/>
      <c r="W47" s="139"/>
      <c r="X47" s="139"/>
    </row>
    <row r="48" spans="1:25" s="138" customFormat="1" ht="11.5" customHeight="1" x14ac:dyDescent="0.2">
      <c r="A48" s="1073"/>
      <c r="B48" s="1073"/>
      <c r="C48" s="1073"/>
      <c r="D48" s="1074"/>
      <c r="E48" s="1081"/>
      <c r="F48" s="1076"/>
      <c r="G48" s="1076"/>
      <c r="H48" s="913"/>
      <c r="I48" s="1076"/>
      <c r="J48" s="1076"/>
      <c r="K48" s="913" t="s">
        <v>930</v>
      </c>
      <c r="L48" s="1076"/>
      <c r="M48" s="1076"/>
      <c r="N48" s="141" t="s">
        <v>930</v>
      </c>
      <c r="O48" s="1076"/>
      <c r="P48" s="1076"/>
      <c r="Q48" s="913" t="s">
        <v>930</v>
      </c>
      <c r="R48" s="1076"/>
      <c r="S48" s="1076"/>
      <c r="T48" s="1076"/>
      <c r="U48" s="140"/>
      <c r="V48" s="139"/>
      <c r="W48" s="139"/>
      <c r="X48" s="139"/>
      <c r="Y48" s="139"/>
    </row>
    <row r="49" spans="1:26" s="117" customFormat="1" ht="9.75" customHeight="1" x14ac:dyDescent="0.2">
      <c r="A49" s="966" t="s">
        <v>261</v>
      </c>
      <c r="B49" s="772" t="s">
        <v>936</v>
      </c>
      <c r="C49" s="772"/>
      <c r="D49" s="967"/>
      <c r="E49" s="129">
        <v>13662704</v>
      </c>
      <c r="F49" s="127">
        <v>13554898</v>
      </c>
      <c r="G49" s="127">
        <v>107806</v>
      </c>
      <c r="H49" s="127">
        <v>10286517</v>
      </c>
      <c r="I49" s="127">
        <v>10229574</v>
      </c>
      <c r="J49" s="127">
        <v>56943</v>
      </c>
      <c r="K49" s="127">
        <v>9471</v>
      </c>
      <c r="L49" s="127">
        <v>9471</v>
      </c>
      <c r="M49" s="127" t="s">
        <v>648</v>
      </c>
      <c r="N49" s="127" t="s">
        <v>648</v>
      </c>
      <c r="O49" s="127" t="s">
        <v>648</v>
      </c>
      <c r="P49" s="127" t="s">
        <v>648</v>
      </c>
      <c r="Q49" s="127">
        <v>3330939</v>
      </c>
      <c r="R49" s="127">
        <v>3315853</v>
      </c>
      <c r="S49" s="127">
        <v>15086</v>
      </c>
      <c r="T49" s="126">
        <v>35777</v>
      </c>
      <c r="U49" s="137" t="s">
        <v>937</v>
      </c>
      <c r="V49" s="120"/>
      <c r="W49" s="969"/>
      <c r="X49" s="798"/>
      <c r="Y49" s="799"/>
      <c r="Z49" s="970"/>
    </row>
    <row r="50" spans="1:26" s="117" customFormat="1" ht="9.75" customHeight="1" x14ac:dyDescent="0.2">
      <c r="A50" s="772" t="s">
        <v>260</v>
      </c>
      <c r="B50" s="772">
        <v>30</v>
      </c>
      <c r="C50" s="772"/>
      <c r="D50" s="967"/>
      <c r="E50" s="129">
        <v>12659407</v>
      </c>
      <c r="F50" s="127">
        <v>12587807</v>
      </c>
      <c r="G50" s="127">
        <v>71600</v>
      </c>
      <c r="H50" s="127">
        <v>9365920</v>
      </c>
      <c r="I50" s="127">
        <v>9338176</v>
      </c>
      <c r="J50" s="127">
        <v>27744</v>
      </c>
      <c r="K50" s="127">
        <v>8692</v>
      </c>
      <c r="L50" s="127">
        <v>8692</v>
      </c>
      <c r="M50" s="127" t="s">
        <v>648</v>
      </c>
      <c r="N50" s="127" t="s">
        <v>648</v>
      </c>
      <c r="O50" s="127" t="s">
        <v>648</v>
      </c>
      <c r="P50" s="127" t="s">
        <v>648</v>
      </c>
      <c r="Q50" s="127">
        <v>3250976</v>
      </c>
      <c r="R50" s="127">
        <v>3240939</v>
      </c>
      <c r="S50" s="127">
        <v>10037</v>
      </c>
      <c r="T50" s="126">
        <v>33819</v>
      </c>
      <c r="U50" s="137" t="s">
        <v>938</v>
      </c>
      <c r="V50" s="120"/>
      <c r="W50" s="969"/>
      <c r="X50" s="798"/>
      <c r="Y50" s="799"/>
      <c r="Z50" s="970"/>
    </row>
    <row r="51" spans="1:26" s="117" customFormat="1" ht="9.75" customHeight="1" x14ac:dyDescent="0.2">
      <c r="A51" s="772" t="s">
        <v>566</v>
      </c>
      <c r="B51" s="772" t="s">
        <v>939</v>
      </c>
      <c r="C51" s="772"/>
      <c r="D51" s="967"/>
      <c r="E51" s="129">
        <v>11745857</v>
      </c>
      <c r="F51" s="127">
        <v>11672724</v>
      </c>
      <c r="G51" s="127">
        <v>73133</v>
      </c>
      <c r="H51" s="127">
        <v>9867893</v>
      </c>
      <c r="I51" s="127">
        <v>9830995</v>
      </c>
      <c r="J51" s="127">
        <v>36898</v>
      </c>
      <c r="K51" s="127">
        <v>12293</v>
      </c>
      <c r="L51" s="127">
        <v>12293</v>
      </c>
      <c r="M51" s="127" t="s">
        <v>648</v>
      </c>
      <c r="N51" s="127" t="s">
        <v>648</v>
      </c>
      <c r="O51" s="127" t="s">
        <v>648</v>
      </c>
      <c r="P51" s="127" t="s">
        <v>648</v>
      </c>
      <c r="Q51" s="127">
        <v>1838252</v>
      </c>
      <c r="R51" s="127">
        <v>1829436</v>
      </c>
      <c r="S51" s="127">
        <v>8816</v>
      </c>
      <c r="T51" s="126">
        <v>27419</v>
      </c>
      <c r="U51" s="137" t="s">
        <v>940</v>
      </c>
      <c r="V51" s="120"/>
      <c r="W51" s="969"/>
      <c r="X51" s="798"/>
      <c r="Y51" s="799"/>
      <c r="Z51" s="970"/>
    </row>
    <row r="52" spans="1:26" s="117" customFormat="1" ht="9.75" customHeight="1" x14ac:dyDescent="0.2">
      <c r="A52" s="772" t="s">
        <v>260</v>
      </c>
      <c r="B52" s="772" t="s">
        <v>941</v>
      </c>
      <c r="C52" s="772"/>
      <c r="D52" s="967"/>
      <c r="E52" s="129">
        <v>10603153</v>
      </c>
      <c r="F52" s="127">
        <v>10481207</v>
      </c>
      <c r="G52" s="127">
        <v>121946</v>
      </c>
      <c r="H52" s="127">
        <v>7998782</v>
      </c>
      <c r="I52" s="127">
        <v>7945265</v>
      </c>
      <c r="J52" s="127">
        <v>53517</v>
      </c>
      <c r="K52" s="127">
        <v>7834</v>
      </c>
      <c r="L52" s="127">
        <v>7834</v>
      </c>
      <c r="M52" s="127" t="s">
        <v>648</v>
      </c>
      <c r="N52" s="127" t="s">
        <v>648</v>
      </c>
      <c r="O52" s="127" t="s">
        <v>648</v>
      </c>
      <c r="P52" s="127" t="s">
        <v>648</v>
      </c>
      <c r="Q52" s="127">
        <v>2557914</v>
      </c>
      <c r="R52" s="127">
        <v>2528108</v>
      </c>
      <c r="S52" s="127">
        <v>29806</v>
      </c>
      <c r="T52" s="126">
        <v>38623</v>
      </c>
      <c r="U52" s="137" t="s">
        <v>942</v>
      </c>
      <c r="V52" s="120"/>
      <c r="W52" s="969"/>
      <c r="X52" s="798"/>
      <c r="Y52" s="799"/>
      <c r="Z52" s="970"/>
    </row>
    <row r="53" spans="1:26" s="117" customFormat="1" ht="9.75" customHeight="1" x14ac:dyDescent="0.2">
      <c r="A53" s="772" t="s">
        <v>260</v>
      </c>
      <c r="B53" s="772" t="s">
        <v>943</v>
      </c>
      <c r="C53" s="772"/>
      <c r="D53" s="967"/>
      <c r="E53" s="129">
        <v>9623233</v>
      </c>
      <c r="F53" s="127">
        <v>9556452</v>
      </c>
      <c r="G53" s="127">
        <v>66781</v>
      </c>
      <c r="H53" s="127">
        <v>8345118</v>
      </c>
      <c r="I53" s="127">
        <v>8328435</v>
      </c>
      <c r="J53" s="127">
        <v>16683</v>
      </c>
      <c r="K53" s="127">
        <v>5901</v>
      </c>
      <c r="L53" s="127">
        <v>5901</v>
      </c>
      <c r="M53" s="127" t="s">
        <v>648</v>
      </c>
      <c r="N53" s="127" t="s">
        <v>648</v>
      </c>
      <c r="O53" s="127" t="s">
        <v>648</v>
      </c>
      <c r="P53" s="127" t="s">
        <v>648</v>
      </c>
      <c r="Q53" s="127">
        <v>1237692</v>
      </c>
      <c r="R53" s="127">
        <v>1222116</v>
      </c>
      <c r="S53" s="127">
        <v>15576</v>
      </c>
      <c r="T53" s="126">
        <v>34522</v>
      </c>
      <c r="U53" s="137" t="s">
        <v>944</v>
      </c>
      <c r="V53" s="120"/>
      <c r="W53" s="969"/>
      <c r="X53" s="798"/>
      <c r="Y53" s="799"/>
      <c r="Z53" s="970"/>
    </row>
    <row r="54" spans="1:26" s="117" customFormat="1" ht="9.75" customHeight="1" x14ac:dyDescent="0.2">
      <c r="A54" s="772"/>
      <c r="B54" s="772"/>
      <c r="C54" s="772"/>
      <c r="D54" s="967"/>
      <c r="E54" s="129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6"/>
      <c r="U54" s="131"/>
      <c r="V54" s="120"/>
      <c r="W54" s="969"/>
      <c r="X54" s="798"/>
      <c r="Y54" s="799"/>
      <c r="Z54" s="970"/>
    </row>
    <row r="55" spans="1:26" s="117" customFormat="1" ht="9.75" customHeight="1" x14ac:dyDescent="0.2">
      <c r="A55" s="772" t="s">
        <v>566</v>
      </c>
      <c r="B55" s="772" t="s">
        <v>945</v>
      </c>
      <c r="C55" s="772"/>
      <c r="D55" s="967"/>
      <c r="E55" s="129">
        <v>9573279</v>
      </c>
      <c r="F55" s="127">
        <v>9470878</v>
      </c>
      <c r="G55" s="127">
        <v>102401</v>
      </c>
      <c r="H55" s="127">
        <v>7791139</v>
      </c>
      <c r="I55" s="127">
        <v>7739830</v>
      </c>
      <c r="J55" s="127">
        <v>51309</v>
      </c>
      <c r="K55" s="127">
        <v>7617</v>
      </c>
      <c r="L55" s="127">
        <v>7617</v>
      </c>
      <c r="M55" s="127" t="s">
        <v>648</v>
      </c>
      <c r="N55" s="127" t="s">
        <v>648</v>
      </c>
      <c r="O55" s="127" t="s">
        <v>648</v>
      </c>
      <c r="P55" s="127" t="s">
        <v>648</v>
      </c>
      <c r="Q55" s="127">
        <v>1735334</v>
      </c>
      <c r="R55" s="127">
        <v>1723431</v>
      </c>
      <c r="S55" s="127">
        <v>11903</v>
      </c>
      <c r="T55" s="126">
        <v>39189</v>
      </c>
      <c r="U55" s="136" t="s">
        <v>946</v>
      </c>
      <c r="V55" s="127"/>
      <c r="W55" s="127"/>
      <c r="X55" s="798"/>
      <c r="Y55" s="799"/>
      <c r="Z55" s="970"/>
    </row>
    <row r="56" spans="1:26" s="117" customFormat="1" ht="9.75" customHeight="1" x14ac:dyDescent="0.2">
      <c r="A56" s="772" t="s">
        <v>260</v>
      </c>
      <c r="B56" s="772" t="s">
        <v>943</v>
      </c>
      <c r="C56" s="772"/>
      <c r="D56" s="967"/>
      <c r="E56" s="129">
        <v>9658740</v>
      </c>
      <c r="F56" s="127">
        <v>9582268</v>
      </c>
      <c r="G56" s="127">
        <v>76472</v>
      </c>
      <c r="H56" s="127">
        <v>8063840</v>
      </c>
      <c r="I56" s="127">
        <v>8041030</v>
      </c>
      <c r="J56" s="127">
        <v>22810</v>
      </c>
      <c r="K56" s="127">
        <v>2650</v>
      </c>
      <c r="L56" s="127">
        <v>2650</v>
      </c>
      <c r="M56" s="127" t="s">
        <v>648</v>
      </c>
      <c r="N56" s="127" t="s">
        <v>648</v>
      </c>
      <c r="O56" s="127" t="s">
        <v>648</v>
      </c>
      <c r="P56" s="127" t="s">
        <v>648</v>
      </c>
      <c r="Q56" s="127">
        <v>1556538</v>
      </c>
      <c r="R56" s="127">
        <v>1538588</v>
      </c>
      <c r="S56" s="127">
        <v>17950</v>
      </c>
      <c r="T56" s="126">
        <v>35712</v>
      </c>
      <c r="U56" s="136" t="s">
        <v>947</v>
      </c>
      <c r="V56" s="120"/>
      <c r="W56" s="969"/>
      <c r="X56" s="798"/>
      <c r="Y56" s="799"/>
      <c r="Z56" s="970"/>
    </row>
    <row r="57" spans="1:26" s="117" customFormat="1" ht="9.75" customHeight="1" x14ac:dyDescent="0.2">
      <c r="A57" s="772"/>
      <c r="B57" s="772"/>
      <c r="C57" s="772"/>
      <c r="D57" s="967"/>
      <c r="E57" s="129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6"/>
      <c r="U57" s="131"/>
      <c r="V57" s="120"/>
      <c r="W57" s="969"/>
      <c r="X57" s="798"/>
      <c r="Y57" s="799"/>
      <c r="Z57" s="970"/>
    </row>
    <row r="58" spans="1:26" s="117" customFormat="1" ht="9.75" customHeight="1" x14ac:dyDescent="0.2">
      <c r="A58" s="772" t="s">
        <v>566</v>
      </c>
      <c r="B58" s="772" t="s">
        <v>948</v>
      </c>
      <c r="C58" s="772" t="s">
        <v>949</v>
      </c>
      <c r="D58" s="967"/>
      <c r="E58" s="129">
        <v>9573279</v>
      </c>
      <c r="F58" s="127">
        <v>9470878</v>
      </c>
      <c r="G58" s="127">
        <v>102401</v>
      </c>
      <c r="H58" s="127">
        <v>7791139</v>
      </c>
      <c r="I58" s="127">
        <v>7739830</v>
      </c>
      <c r="J58" s="127">
        <v>51309</v>
      </c>
      <c r="K58" s="127">
        <v>7617</v>
      </c>
      <c r="L58" s="127">
        <v>7617</v>
      </c>
      <c r="M58" s="127" t="s">
        <v>648</v>
      </c>
      <c r="N58" s="127" t="s">
        <v>648</v>
      </c>
      <c r="O58" s="127" t="s">
        <v>648</v>
      </c>
      <c r="P58" s="127" t="s">
        <v>648</v>
      </c>
      <c r="Q58" s="127">
        <v>1735334</v>
      </c>
      <c r="R58" s="127">
        <v>1723431</v>
      </c>
      <c r="S58" s="127">
        <v>11903</v>
      </c>
      <c r="T58" s="126">
        <v>39189</v>
      </c>
      <c r="U58" s="132" t="s">
        <v>950</v>
      </c>
      <c r="V58" s="120"/>
      <c r="W58" s="969"/>
      <c r="X58" s="798"/>
      <c r="Y58" s="799"/>
      <c r="Z58" s="970"/>
    </row>
    <row r="59" spans="1:26" s="117" customFormat="1" ht="9.75" customHeight="1" x14ac:dyDescent="0.2">
      <c r="A59" s="772" t="s">
        <v>260</v>
      </c>
      <c r="B59" s="772" t="s">
        <v>260</v>
      </c>
      <c r="C59" s="772" t="s">
        <v>951</v>
      </c>
      <c r="D59" s="967"/>
      <c r="E59" s="129">
        <v>11254914</v>
      </c>
      <c r="F59" s="127">
        <v>11167471</v>
      </c>
      <c r="G59" s="127">
        <v>87443</v>
      </c>
      <c r="H59" s="127">
        <v>8902421</v>
      </c>
      <c r="I59" s="127">
        <v>8865347</v>
      </c>
      <c r="J59" s="127">
        <v>37074</v>
      </c>
      <c r="K59" s="127">
        <v>9671</v>
      </c>
      <c r="L59" s="127">
        <v>9671</v>
      </c>
      <c r="M59" s="127" t="s">
        <v>648</v>
      </c>
      <c r="N59" s="127" t="s">
        <v>648</v>
      </c>
      <c r="O59" s="127" t="s">
        <v>648</v>
      </c>
      <c r="P59" s="127" t="s">
        <v>648</v>
      </c>
      <c r="Q59" s="127">
        <v>2312330</v>
      </c>
      <c r="R59" s="127">
        <v>2292453</v>
      </c>
      <c r="S59" s="127">
        <v>19877</v>
      </c>
      <c r="T59" s="126">
        <v>30492</v>
      </c>
      <c r="U59" s="135" t="s">
        <v>952</v>
      </c>
      <c r="V59" s="120"/>
      <c r="W59" s="969"/>
      <c r="X59" s="798"/>
      <c r="Y59" s="799"/>
      <c r="Z59" s="970"/>
    </row>
    <row r="60" spans="1:26" s="117" customFormat="1" ht="9.75" customHeight="1" x14ac:dyDescent="0.2">
      <c r="A60" s="772" t="s">
        <v>260</v>
      </c>
      <c r="B60" s="772" t="s">
        <v>260</v>
      </c>
      <c r="C60" s="772" t="s">
        <v>953</v>
      </c>
      <c r="D60" s="967"/>
      <c r="E60" s="129">
        <v>9884095</v>
      </c>
      <c r="F60" s="127">
        <v>9808572</v>
      </c>
      <c r="G60" s="127">
        <v>75523</v>
      </c>
      <c r="H60" s="127">
        <v>7731181</v>
      </c>
      <c r="I60" s="127">
        <v>7711380</v>
      </c>
      <c r="J60" s="127">
        <v>19801</v>
      </c>
      <c r="K60" s="127">
        <v>7577</v>
      </c>
      <c r="L60" s="127">
        <v>7577</v>
      </c>
      <c r="M60" s="127" t="s">
        <v>648</v>
      </c>
      <c r="N60" s="127" t="s">
        <v>648</v>
      </c>
      <c r="O60" s="127" t="s">
        <v>648</v>
      </c>
      <c r="P60" s="127" t="s">
        <v>648</v>
      </c>
      <c r="Q60" s="127">
        <v>2117445</v>
      </c>
      <c r="R60" s="127">
        <v>2089615</v>
      </c>
      <c r="S60" s="127">
        <v>27830</v>
      </c>
      <c r="T60" s="126">
        <v>27892</v>
      </c>
      <c r="U60" s="134" t="s">
        <v>954</v>
      </c>
      <c r="V60" s="120"/>
      <c r="W60" s="969"/>
      <c r="X60" s="798"/>
      <c r="Y60" s="799"/>
      <c r="Z60" s="970"/>
    </row>
    <row r="61" spans="1:26" s="117" customFormat="1" ht="9.75" customHeight="1" x14ac:dyDescent="0.2">
      <c r="A61" s="772" t="s">
        <v>260</v>
      </c>
      <c r="B61" s="772" t="s">
        <v>260</v>
      </c>
      <c r="C61" s="772" t="s">
        <v>955</v>
      </c>
      <c r="D61" s="967"/>
      <c r="E61" s="129">
        <v>9623233</v>
      </c>
      <c r="F61" s="127">
        <v>9556452</v>
      </c>
      <c r="G61" s="127">
        <v>66781</v>
      </c>
      <c r="H61" s="127">
        <v>8345118</v>
      </c>
      <c r="I61" s="127">
        <v>8328435</v>
      </c>
      <c r="J61" s="127">
        <v>16683</v>
      </c>
      <c r="K61" s="127">
        <v>5901</v>
      </c>
      <c r="L61" s="127">
        <v>5901</v>
      </c>
      <c r="M61" s="127" t="s">
        <v>648</v>
      </c>
      <c r="N61" s="127" t="s">
        <v>648</v>
      </c>
      <c r="O61" s="127" t="s">
        <v>648</v>
      </c>
      <c r="P61" s="127" t="s">
        <v>648</v>
      </c>
      <c r="Q61" s="127">
        <v>1237692</v>
      </c>
      <c r="R61" s="127">
        <v>1222116</v>
      </c>
      <c r="S61" s="127">
        <v>15576</v>
      </c>
      <c r="T61" s="126">
        <v>34522</v>
      </c>
      <c r="U61" s="133" t="s">
        <v>956</v>
      </c>
      <c r="V61" s="120"/>
      <c r="W61" s="969"/>
      <c r="X61" s="798"/>
      <c r="Y61" s="799"/>
      <c r="Z61" s="970"/>
    </row>
    <row r="62" spans="1:26" s="117" customFormat="1" ht="9.75" customHeight="1" x14ac:dyDescent="0.2">
      <c r="A62" s="772" t="s">
        <v>566</v>
      </c>
      <c r="B62" s="772" t="s">
        <v>957</v>
      </c>
      <c r="C62" s="772" t="s">
        <v>958</v>
      </c>
      <c r="D62" s="967"/>
      <c r="E62" s="129">
        <v>9658740</v>
      </c>
      <c r="F62" s="127">
        <v>9582268</v>
      </c>
      <c r="G62" s="127">
        <v>76472</v>
      </c>
      <c r="H62" s="127">
        <v>8063840</v>
      </c>
      <c r="I62" s="127">
        <v>8041030</v>
      </c>
      <c r="J62" s="127">
        <v>22810</v>
      </c>
      <c r="K62" s="127">
        <v>2650</v>
      </c>
      <c r="L62" s="127">
        <v>2650</v>
      </c>
      <c r="M62" s="127" t="s">
        <v>648</v>
      </c>
      <c r="N62" s="127" t="s">
        <v>648</v>
      </c>
      <c r="O62" s="127" t="s">
        <v>648</v>
      </c>
      <c r="P62" s="127" t="s">
        <v>648</v>
      </c>
      <c r="Q62" s="127">
        <v>1556538</v>
      </c>
      <c r="R62" s="127">
        <v>1538588</v>
      </c>
      <c r="S62" s="127">
        <v>17950</v>
      </c>
      <c r="T62" s="126">
        <v>35712</v>
      </c>
      <c r="U62" s="132" t="s">
        <v>959</v>
      </c>
      <c r="V62" s="120"/>
      <c r="W62" s="969"/>
      <c r="X62" s="798"/>
      <c r="Y62" s="799"/>
      <c r="Z62" s="970"/>
    </row>
    <row r="63" spans="1:26" s="117" customFormat="1" ht="9.75" customHeight="1" x14ac:dyDescent="0.2">
      <c r="A63" s="772"/>
      <c r="B63" s="772"/>
      <c r="C63" s="772"/>
      <c r="D63" s="967"/>
      <c r="E63" s="129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6"/>
      <c r="U63" s="131"/>
      <c r="V63" s="120"/>
      <c r="W63" s="969"/>
      <c r="X63" s="798"/>
      <c r="Y63" s="799"/>
      <c r="Z63" s="970"/>
    </row>
    <row r="64" spans="1:26" s="117" customFormat="1" ht="9.75" customHeight="1" x14ac:dyDescent="0.2">
      <c r="A64" s="772" t="s">
        <v>566</v>
      </c>
      <c r="B64" s="772" t="s">
        <v>948</v>
      </c>
      <c r="C64" s="772" t="s">
        <v>960</v>
      </c>
      <c r="D64" s="967"/>
      <c r="E64" s="129">
        <v>9939533</v>
      </c>
      <c r="F64" s="127">
        <v>9821856</v>
      </c>
      <c r="G64" s="127">
        <v>117677</v>
      </c>
      <c r="H64" s="127">
        <v>7682215</v>
      </c>
      <c r="I64" s="127">
        <v>7624780</v>
      </c>
      <c r="J64" s="127">
        <v>57435</v>
      </c>
      <c r="K64" s="127">
        <v>9595</v>
      </c>
      <c r="L64" s="127">
        <v>9595</v>
      </c>
      <c r="M64" s="127" t="s">
        <v>648</v>
      </c>
      <c r="N64" s="127" t="s">
        <v>648</v>
      </c>
      <c r="O64" s="127" t="s">
        <v>648</v>
      </c>
      <c r="P64" s="127" t="s">
        <v>648</v>
      </c>
      <c r="Q64" s="128">
        <v>2205462</v>
      </c>
      <c r="R64" s="128">
        <v>2187481</v>
      </c>
      <c r="S64" s="127">
        <v>17981</v>
      </c>
      <c r="T64" s="126">
        <v>42261</v>
      </c>
      <c r="U64" s="130" t="s">
        <v>961</v>
      </c>
      <c r="V64" s="120"/>
      <c r="W64" s="969"/>
      <c r="X64" s="798"/>
      <c r="Y64" s="799"/>
      <c r="Z64" s="970"/>
    </row>
    <row r="65" spans="1:26" s="117" customFormat="1" ht="9.75" customHeight="1" x14ac:dyDescent="0.2">
      <c r="A65" s="772" t="s">
        <v>260</v>
      </c>
      <c r="B65" s="772" t="s">
        <v>260</v>
      </c>
      <c r="C65" s="772" t="s">
        <v>962</v>
      </c>
      <c r="D65" s="967"/>
      <c r="E65" s="129">
        <v>10105854</v>
      </c>
      <c r="F65" s="127">
        <v>10005561</v>
      </c>
      <c r="G65" s="127">
        <v>100293</v>
      </c>
      <c r="H65" s="127">
        <v>7858756</v>
      </c>
      <c r="I65" s="127">
        <v>7807110</v>
      </c>
      <c r="J65" s="127">
        <v>51646</v>
      </c>
      <c r="K65" s="127">
        <v>7473</v>
      </c>
      <c r="L65" s="127">
        <v>7473</v>
      </c>
      <c r="M65" s="127" t="s">
        <v>648</v>
      </c>
      <c r="N65" s="127" t="s">
        <v>648</v>
      </c>
      <c r="O65" s="127" t="s">
        <v>648</v>
      </c>
      <c r="P65" s="127" t="s">
        <v>648</v>
      </c>
      <c r="Q65" s="128">
        <v>2199959</v>
      </c>
      <c r="R65" s="128">
        <v>2190978</v>
      </c>
      <c r="S65" s="127">
        <v>8981</v>
      </c>
      <c r="T65" s="126">
        <v>39666</v>
      </c>
      <c r="U65" s="125" t="s">
        <v>963</v>
      </c>
      <c r="V65" s="120"/>
      <c r="W65" s="969"/>
      <c r="X65" s="798"/>
      <c r="Y65" s="799"/>
      <c r="Z65" s="970"/>
    </row>
    <row r="66" spans="1:26" s="117" customFormat="1" ht="9.75" customHeight="1" x14ac:dyDescent="0.2">
      <c r="A66" s="772" t="s">
        <v>260</v>
      </c>
      <c r="B66" s="772" t="s">
        <v>260</v>
      </c>
      <c r="C66" s="772" t="s">
        <v>964</v>
      </c>
      <c r="D66" s="967"/>
      <c r="E66" s="129">
        <v>9573279</v>
      </c>
      <c r="F66" s="127">
        <v>9470878</v>
      </c>
      <c r="G66" s="127">
        <v>102401</v>
      </c>
      <c r="H66" s="127">
        <v>7791139</v>
      </c>
      <c r="I66" s="127">
        <v>7739830</v>
      </c>
      <c r="J66" s="127">
        <v>51309</v>
      </c>
      <c r="K66" s="127">
        <v>7617</v>
      </c>
      <c r="L66" s="127">
        <v>7617</v>
      </c>
      <c r="M66" s="127" t="s">
        <v>648</v>
      </c>
      <c r="N66" s="127" t="s">
        <v>648</v>
      </c>
      <c r="O66" s="127" t="s">
        <v>648</v>
      </c>
      <c r="P66" s="127" t="s">
        <v>648</v>
      </c>
      <c r="Q66" s="128">
        <v>1735334</v>
      </c>
      <c r="R66" s="128">
        <v>1723431</v>
      </c>
      <c r="S66" s="127">
        <v>11903</v>
      </c>
      <c r="T66" s="126">
        <v>39189</v>
      </c>
      <c r="U66" s="125" t="s">
        <v>965</v>
      </c>
      <c r="V66" s="120"/>
      <c r="W66" s="969"/>
      <c r="X66" s="798"/>
      <c r="Y66" s="799"/>
      <c r="Z66" s="970"/>
    </row>
    <row r="67" spans="1:26" s="117" customFormat="1" ht="9.75" customHeight="1" x14ac:dyDescent="0.2">
      <c r="A67" s="772" t="s">
        <v>260</v>
      </c>
      <c r="B67" s="772" t="s">
        <v>260</v>
      </c>
      <c r="C67" s="772" t="s">
        <v>966</v>
      </c>
      <c r="D67" s="967"/>
      <c r="E67" s="129">
        <v>10626124</v>
      </c>
      <c r="F67" s="127">
        <v>10539413</v>
      </c>
      <c r="G67" s="127">
        <v>86711</v>
      </c>
      <c r="H67" s="127">
        <v>8410177</v>
      </c>
      <c r="I67" s="127">
        <v>8372762</v>
      </c>
      <c r="J67" s="127">
        <v>37415</v>
      </c>
      <c r="K67" s="127">
        <v>10611</v>
      </c>
      <c r="L67" s="127">
        <v>10611</v>
      </c>
      <c r="M67" s="127" t="s">
        <v>648</v>
      </c>
      <c r="N67" s="127" t="s">
        <v>648</v>
      </c>
      <c r="O67" s="127" t="s">
        <v>648</v>
      </c>
      <c r="P67" s="127" t="s">
        <v>648</v>
      </c>
      <c r="Q67" s="128">
        <v>2170514</v>
      </c>
      <c r="R67" s="128">
        <v>2156040</v>
      </c>
      <c r="S67" s="127">
        <v>14474</v>
      </c>
      <c r="T67" s="126">
        <v>34822</v>
      </c>
      <c r="U67" s="125" t="s">
        <v>967</v>
      </c>
      <c r="V67" s="120"/>
      <c r="W67" s="969"/>
      <c r="X67" s="798"/>
      <c r="Y67" s="799"/>
      <c r="Z67" s="970"/>
    </row>
    <row r="68" spans="1:26" s="117" customFormat="1" ht="9.75" customHeight="1" x14ac:dyDescent="0.2">
      <c r="A68" s="772" t="s">
        <v>260</v>
      </c>
      <c r="B68" s="772" t="s">
        <v>260</v>
      </c>
      <c r="C68" s="772" t="s">
        <v>968</v>
      </c>
      <c r="D68" s="967"/>
      <c r="E68" s="129">
        <v>12050381</v>
      </c>
      <c r="F68" s="127">
        <v>11963285</v>
      </c>
      <c r="G68" s="127">
        <v>87096</v>
      </c>
      <c r="H68" s="127">
        <v>9235751</v>
      </c>
      <c r="I68" s="127">
        <v>9198330</v>
      </c>
      <c r="J68" s="127">
        <v>37421</v>
      </c>
      <c r="K68" s="127">
        <v>7346</v>
      </c>
      <c r="L68" s="127">
        <v>7346</v>
      </c>
      <c r="M68" s="127" t="s">
        <v>648</v>
      </c>
      <c r="N68" s="127" t="s">
        <v>648</v>
      </c>
      <c r="O68" s="127" t="s">
        <v>648</v>
      </c>
      <c r="P68" s="127" t="s">
        <v>648</v>
      </c>
      <c r="Q68" s="128">
        <v>2774536</v>
      </c>
      <c r="R68" s="128">
        <v>2757609</v>
      </c>
      <c r="S68" s="127">
        <v>16927</v>
      </c>
      <c r="T68" s="126">
        <v>32748</v>
      </c>
      <c r="U68" s="125" t="s">
        <v>969</v>
      </c>
      <c r="V68" s="120"/>
      <c r="W68" s="969"/>
      <c r="X68" s="798"/>
      <c r="Y68" s="799"/>
      <c r="Z68" s="970"/>
    </row>
    <row r="69" spans="1:26" s="117" customFormat="1" ht="9.75" customHeight="1" x14ac:dyDescent="0.2">
      <c r="A69" s="772" t="s">
        <v>260</v>
      </c>
      <c r="B69" s="772" t="s">
        <v>260</v>
      </c>
      <c r="C69" s="772" t="s">
        <v>970</v>
      </c>
      <c r="D69" s="967"/>
      <c r="E69" s="129">
        <v>11254914</v>
      </c>
      <c r="F69" s="127">
        <v>11167471</v>
      </c>
      <c r="G69" s="127">
        <v>87443</v>
      </c>
      <c r="H69" s="127">
        <v>8902421</v>
      </c>
      <c r="I69" s="127">
        <v>8865347</v>
      </c>
      <c r="J69" s="127">
        <v>37074</v>
      </c>
      <c r="K69" s="127">
        <v>9671</v>
      </c>
      <c r="L69" s="127">
        <v>9671</v>
      </c>
      <c r="M69" s="127" t="s">
        <v>648</v>
      </c>
      <c r="N69" s="127" t="s">
        <v>648</v>
      </c>
      <c r="O69" s="127" t="s">
        <v>648</v>
      </c>
      <c r="P69" s="127" t="s">
        <v>648</v>
      </c>
      <c r="Q69" s="128">
        <v>2312330</v>
      </c>
      <c r="R69" s="128">
        <v>2292453</v>
      </c>
      <c r="S69" s="127">
        <v>19877</v>
      </c>
      <c r="T69" s="126">
        <v>30492</v>
      </c>
      <c r="U69" s="125" t="s">
        <v>971</v>
      </c>
      <c r="V69" s="120"/>
      <c r="W69" s="969"/>
      <c r="X69" s="798"/>
      <c r="Y69" s="799"/>
      <c r="Z69" s="970"/>
    </row>
    <row r="70" spans="1:26" s="117" customFormat="1" ht="9.75" customHeight="1" x14ac:dyDescent="0.2">
      <c r="A70" s="772" t="s">
        <v>260</v>
      </c>
      <c r="B70" s="772" t="s">
        <v>260</v>
      </c>
      <c r="C70" s="772" t="s">
        <v>972</v>
      </c>
      <c r="D70" s="967"/>
      <c r="E70" s="129">
        <v>10450065</v>
      </c>
      <c r="F70" s="127">
        <v>10367602</v>
      </c>
      <c r="G70" s="127">
        <v>82463</v>
      </c>
      <c r="H70" s="127">
        <v>8005947</v>
      </c>
      <c r="I70" s="127">
        <v>7974148</v>
      </c>
      <c r="J70" s="127">
        <v>31799</v>
      </c>
      <c r="K70" s="127">
        <v>11140</v>
      </c>
      <c r="L70" s="127">
        <v>11140</v>
      </c>
      <c r="M70" s="127" t="s">
        <v>648</v>
      </c>
      <c r="N70" s="127" t="s">
        <v>648</v>
      </c>
      <c r="O70" s="127" t="s">
        <v>648</v>
      </c>
      <c r="P70" s="127" t="s">
        <v>648</v>
      </c>
      <c r="Q70" s="128">
        <v>2405613</v>
      </c>
      <c r="R70" s="128">
        <v>2382314</v>
      </c>
      <c r="S70" s="127">
        <v>23299</v>
      </c>
      <c r="T70" s="126">
        <v>27365</v>
      </c>
      <c r="U70" s="125" t="s">
        <v>973</v>
      </c>
      <c r="V70" s="120"/>
      <c r="W70" s="969"/>
      <c r="X70" s="798"/>
      <c r="Y70" s="799"/>
      <c r="Z70" s="970"/>
    </row>
    <row r="71" spans="1:26" s="117" customFormat="1" ht="9.75" customHeight="1" x14ac:dyDescent="0.2">
      <c r="A71" s="772" t="s">
        <v>260</v>
      </c>
      <c r="B71" s="772" t="s">
        <v>260</v>
      </c>
      <c r="C71" s="772" t="s">
        <v>974</v>
      </c>
      <c r="D71" s="967"/>
      <c r="E71" s="129">
        <v>10694567</v>
      </c>
      <c r="F71" s="127">
        <v>10621352</v>
      </c>
      <c r="G71" s="127">
        <v>73215</v>
      </c>
      <c r="H71" s="127">
        <v>8533615</v>
      </c>
      <c r="I71" s="127">
        <v>8513040</v>
      </c>
      <c r="J71" s="127">
        <v>20575</v>
      </c>
      <c r="K71" s="127">
        <v>11568</v>
      </c>
      <c r="L71" s="127">
        <v>11568</v>
      </c>
      <c r="M71" s="127" t="s">
        <v>648</v>
      </c>
      <c r="N71" s="127" t="s">
        <v>648</v>
      </c>
      <c r="O71" s="127" t="s">
        <v>648</v>
      </c>
      <c r="P71" s="127" t="s">
        <v>648</v>
      </c>
      <c r="Q71" s="128">
        <v>2123816</v>
      </c>
      <c r="R71" s="128">
        <v>2096744</v>
      </c>
      <c r="S71" s="127">
        <v>27072</v>
      </c>
      <c r="T71" s="126">
        <v>25568</v>
      </c>
      <c r="U71" s="125" t="s">
        <v>975</v>
      </c>
      <c r="V71" s="120"/>
      <c r="W71" s="969"/>
      <c r="X71" s="798"/>
      <c r="Y71" s="799"/>
      <c r="Z71" s="970"/>
    </row>
    <row r="72" spans="1:26" s="117" customFormat="1" ht="9.75" customHeight="1" x14ac:dyDescent="0.2">
      <c r="A72" s="772" t="s">
        <v>260</v>
      </c>
      <c r="B72" s="772" t="s">
        <v>260</v>
      </c>
      <c r="C72" s="772" t="s">
        <v>976</v>
      </c>
      <c r="D72" s="967"/>
      <c r="E72" s="129">
        <v>9884095</v>
      </c>
      <c r="F72" s="127">
        <v>9808572</v>
      </c>
      <c r="G72" s="127">
        <v>75523</v>
      </c>
      <c r="H72" s="127">
        <v>7731181</v>
      </c>
      <c r="I72" s="127">
        <v>7711380</v>
      </c>
      <c r="J72" s="127">
        <v>19801</v>
      </c>
      <c r="K72" s="127">
        <v>7577</v>
      </c>
      <c r="L72" s="127">
        <v>7577</v>
      </c>
      <c r="M72" s="127" t="s">
        <v>648</v>
      </c>
      <c r="N72" s="127" t="s">
        <v>648</v>
      </c>
      <c r="O72" s="127" t="s">
        <v>648</v>
      </c>
      <c r="P72" s="127" t="s">
        <v>648</v>
      </c>
      <c r="Q72" s="128">
        <v>2117445</v>
      </c>
      <c r="R72" s="128">
        <v>2089615</v>
      </c>
      <c r="S72" s="127">
        <v>27830</v>
      </c>
      <c r="T72" s="126">
        <v>27892</v>
      </c>
      <c r="U72" s="125" t="s">
        <v>977</v>
      </c>
      <c r="V72" s="120"/>
      <c r="W72" s="969"/>
      <c r="X72" s="798"/>
      <c r="Y72" s="799"/>
      <c r="Z72" s="970"/>
    </row>
    <row r="73" spans="1:26" s="117" customFormat="1" ht="9.75" customHeight="1" x14ac:dyDescent="0.2">
      <c r="A73" s="772" t="s">
        <v>260</v>
      </c>
      <c r="B73" s="772" t="s">
        <v>260</v>
      </c>
      <c r="C73" s="775" t="s">
        <v>978</v>
      </c>
      <c r="D73" s="967"/>
      <c r="E73" s="129">
        <v>8915200</v>
      </c>
      <c r="F73" s="127">
        <v>8832099</v>
      </c>
      <c r="G73" s="127">
        <v>83101</v>
      </c>
      <c r="H73" s="127">
        <v>7265978</v>
      </c>
      <c r="I73" s="127">
        <v>7236885</v>
      </c>
      <c r="J73" s="127">
        <v>29093</v>
      </c>
      <c r="K73" s="127">
        <v>8889</v>
      </c>
      <c r="L73" s="127">
        <v>8889</v>
      </c>
      <c r="M73" s="127" t="s">
        <v>648</v>
      </c>
      <c r="N73" s="127" t="s">
        <v>648</v>
      </c>
      <c r="O73" s="127" t="s">
        <v>648</v>
      </c>
      <c r="P73" s="127" t="s">
        <v>648</v>
      </c>
      <c r="Q73" s="128">
        <v>1612964</v>
      </c>
      <c r="R73" s="128">
        <v>1586325</v>
      </c>
      <c r="S73" s="127">
        <v>26639</v>
      </c>
      <c r="T73" s="126">
        <v>27369</v>
      </c>
      <c r="U73" s="125" t="s">
        <v>979</v>
      </c>
      <c r="V73" s="120"/>
      <c r="W73" s="969"/>
      <c r="X73" s="798"/>
      <c r="Y73" s="799"/>
      <c r="Z73" s="970"/>
    </row>
    <row r="74" spans="1:26" s="117" customFormat="1" ht="9.75" customHeight="1" x14ac:dyDescent="0.2">
      <c r="A74" s="772" t="s">
        <v>260</v>
      </c>
      <c r="B74" s="772" t="s">
        <v>260</v>
      </c>
      <c r="C74" s="775" t="s">
        <v>980</v>
      </c>
      <c r="D74" s="967"/>
      <c r="E74" s="129">
        <v>9360716</v>
      </c>
      <c r="F74" s="127">
        <v>9288234</v>
      </c>
      <c r="G74" s="127">
        <v>72482</v>
      </c>
      <c r="H74" s="127">
        <v>7904479</v>
      </c>
      <c r="I74" s="127">
        <v>7881080</v>
      </c>
      <c r="J74" s="127">
        <v>23399</v>
      </c>
      <c r="K74" s="127">
        <v>6750</v>
      </c>
      <c r="L74" s="127">
        <v>6750</v>
      </c>
      <c r="M74" s="127" t="s">
        <v>648</v>
      </c>
      <c r="N74" s="127" t="s">
        <v>648</v>
      </c>
      <c r="O74" s="127" t="s">
        <v>648</v>
      </c>
      <c r="P74" s="127" t="s">
        <v>648</v>
      </c>
      <c r="Q74" s="128">
        <v>1421497</v>
      </c>
      <c r="R74" s="128">
        <v>1400404</v>
      </c>
      <c r="S74" s="127">
        <v>21093</v>
      </c>
      <c r="T74" s="126">
        <v>27990</v>
      </c>
      <c r="U74" s="125" t="s">
        <v>981</v>
      </c>
      <c r="V74" s="120"/>
      <c r="W74" s="969"/>
      <c r="X74" s="798"/>
      <c r="Y74" s="799"/>
      <c r="Z74" s="970"/>
    </row>
    <row r="75" spans="1:26" s="117" customFormat="1" ht="9.75" customHeight="1" x14ac:dyDescent="0.2">
      <c r="A75" s="772" t="s">
        <v>260</v>
      </c>
      <c r="B75" s="772" t="s">
        <v>260</v>
      </c>
      <c r="C75" s="775" t="s">
        <v>982</v>
      </c>
      <c r="D75" s="967"/>
      <c r="E75" s="129">
        <v>9623233</v>
      </c>
      <c r="F75" s="127">
        <v>9556452</v>
      </c>
      <c r="G75" s="127">
        <v>66781</v>
      </c>
      <c r="H75" s="127">
        <v>8345118</v>
      </c>
      <c r="I75" s="127">
        <v>8328435</v>
      </c>
      <c r="J75" s="127">
        <v>16683</v>
      </c>
      <c r="K75" s="127">
        <v>5901</v>
      </c>
      <c r="L75" s="127">
        <v>5901</v>
      </c>
      <c r="M75" s="127" t="s">
        <v>648</v>
      </c>
      <c r="N75" s="127" t="s">
        <v>648</v>
      </c>
      <c r="O75" s="127" t="s">
        <v>648</v>
      </c>
      <c r="P75" s="127" t="s">
        <v>648</v>
      </c>
      <c r="Q75" s="128">
        <v>1237692</v>
      </c>
      <c r="R75" s="128">
        <v>1222116</v>
      </c>
      <c r="S75" s="127">
        <v>15576</v>
      </c>
      <c r="T75" s="126">
        <v>34522</v>
      </c>
      <c r="U75" s="125" t="s">
        <v>983</v>
      </c>
      <c r="V75" s="120"/>
      <c r="W75" s="969"/>
      <c r="X75" s="798"/>
      <c r="Y75" s="799"/>
      <c r="Z75" s="970"/>
    </row>
    <row r="76" spans="1:26" s="117" customFormat="1" ht="9.75" customHeight="1" x14ac:dyDescent="0.2">
      <c r="A76" s="772" t="s">
        <v>566</v>
      </c>
      <c r="B76" s="772" t="s">
        <v>957</v>
      </c>
      <c r="C76" s="772" t="s">
        <v>984</v>
      </c>
      <c r="D76" s="967"/>
      <c r="E76" s="129">
        <v>8925055</v>
      </c>
      <c r="F76" s="127">
        <v>8860031</v>
      </c>
      <c r="G76" s="127">
        <v>65024</v>
      </c>
      <c r="H76" s="127">
        <v>7983191</v>
      </c>
      <c r="I76" s="127">
        <v>7964418</v>
      </c>
      <c r="J76" s="127">
        <v>18773</v>
      </c>
      <c r="K76" s="127">
        <v>9652</v>
      </c>
      <c r="L76" s="127">
        <v>9652</v>
      </c>
      <c r="M76" s="127" t="s">
        <v>648</v>
      </c>
      <c r="N76" s="127" t="s">
        <v>648</v>
      </c>
      <c r="O76" s="127" t="s">
        <v>648</v>
      </c>
      <c r="P76" s="127" t="s">
        <v>648</v>
      </c>
      <c r="Q76" s="128">
        <v>901380</v>
      </c>
      <c r="R76" s="128">
        <v>885961</v>
      </c>
      <c r="S76" s="127">
        <v>15419</v>
      </c>
      <c r="T76" s="126">
        <v>30832</v>
      </c>
      <c r="U76" s="130" t="s">
        <v>985</v>
      </c>
      <c r="V76" s="120"/>
      <c r="W76" s="969"/>
      <c r="X76" s="798"/>
      <c r="Y76" s="799"/>
      <c r="Z76" s="970"/>
    </row>
    <row r="77" spans="1:26" s="117" customFormat="1" ht="9.75" customHeight="1" x14ac:dyDescent="0.2">
      <c r="A77" s="772" t="s">
        <v>260</v>
      </c>
      <c r="B77" s="772" t="s">
        <v>260</v>
      </c>
      <c r="C77" s="772" t="s">
        <v>962</v>
      </c>
      <c r="D77" s="967"/>
      <c r="E77" s="129">
        <v>8936051</v>
      </c>
      <c r="F77" s="127">
        <v>8867492</v>
      </c>
      <c r="G77" s="127">
        <v>68559</v>
      </c>
      <c r="H77" s="127">
        <v>7637739</v>
      </c>
      <c r="I77" s="127">
        <v>7619922</v>
      </c>
      <c r="J77" s="127">
        <v>17817</v>
      </c>
      <c r="K77" s="127">
        <v>2884</v>
      </c>
      <c r="L77" s="127">
        <v>2884</v>
      </c>
      <c r="M77" s="127" t="s">
        <v>648</v>
      </c>
      <c r="N77" s="127" t="s">
        <v>648</v>
      </c>
      <c r="O77" s="127" t="s">
        <v>648</v>
      </c>
      <c r="P77" s="127" t="s">
        <v>648</v>
      </c>
      <c r="Q77" s="128">
        <v>1264157</v>
      </c>
      <c r="R77" s="128">
        <v>1244686</v>
      </c>
      <c r="S77" s="127">
        <v>19471</v>
      </c>
      <c r="T77" s="126">
        <v>31271</v>
      </c>
      <c r="U77" s="125" t="s">
        <v>963</v>
      </c>
      <c r="V77" s="120"/>
      <c r="W77" s="969"/>
      <c r="X77" s="798"/>
      <c r="Y77" s="799"/>
      <c r="Z77" s="970"/>
    </row>
    <row r="78" spans="1:26" s="117" customFormat="1" ht="9.75" customHeight="1" x14ac:dyDescent="0.2">
      <c r="A78" s="776" t="s">
        <v>260</v>
      </c>
      <c r="B78" s="776" t="s">
        <v>260</v>
      </c>
      <c r="C78" s="776" t="s">
        <v>986</v>
      </c>
      <c r="D78" s="968"/>
      <c r="E78" s="124">
        <v>9658740</v>
      </c>
      <c r="F78" s="123">
        <v>9582268</v>
      </c>
      <c r="G78" s="123">
        <v>76472</v>
      </c>
      <c r="H78" s="123">
        <v>8063840</v>
      </c>
      <c r="I78" s="123">
        <v>8041030</v>
      </c>
      <c r="J78" s="123">
        <v>22810</v>
      </c>
      <c r="K78" s="123">
        <v>2650</v>
      </c>
      <c r="L78" s="123">
        <v>2650</v>
      </c>
      <c r="M78" s="123" t="s">
        <v>648</v>
      </c>
      <c r="N78" s="123" t="s">
        <v>648</v>
      </c>
      <c r="O78" s="123" t="s">
        <v>648</v>
      </c>
      <c r="P78" s="123" t="s">
        <v>648</v>
      </c>
      <c r="Q78" s="123">
        <v>1556538</v>
      </c>
      <c r="R78" s="123">
        <v>1538588</v>
      </c>
      <c r="S78" s="123">
        <v>17950</v>
      </c>
      <c r="T78" s="122">
        <v>35712</v>
      </c>
      <c r="U78" s="121" t="s">
        <v>965</v>
      </c>
      <c r="V78" s="120"/>
      <c r="W78" s="969"/>
      <c r="X78" s="798"/>
      <c r="Y78" s="799"/>
      <c r="Z78" s="970"/>
    </row>
    <row r="79" spans="1:26" s="117" customFormat="1" ht="10" customHeight="1" x14ac:dyDescent="0.2">
      <c r="A79" s="119"/>
      <c r="B79" s="119"/>
      <c r="C79" s="119"/>
      <c r="D79" s="119"/>
      <c r="N79" s="118"/>
      <c r="O79" s="118"/>
      <c r="P79" s="118"/>
    </row>
    <row r="80" spans="1:26" s="116" customFormat="1" ht="11.5" customHeight="1" x14ac:dyDescent="0.2"/>
    <row r="81" s="116" customFormat="1" ht="11.5" customHeight="1" x14ac:dyDescent="0.2"/>
    <row r="82" s="116" customFormat="1" ht="11.5" customHeight="1" x14ac:dyDescent="0.2"/>
    <row r="83" s="116" customFormat="1" ht="11.5" customHeight="1" x14ac:dyDescent="0.2"/>
    <row r="84" s="116" customFormat="1" ht="11.5" customHeight="1" x14ac:dyDescent="0.2"/>
    <row r="85" s="116" customFormat="1" ht="11.5" customHeight="1" x14ac:dyDescent="0.2"/>
    <row r="86" s="116" customFormat="1" ht="11.5" customHeight="1" x14ac:dyDescent="0.2"/>
    <row r="87" s="116" customFormat="1" ht="11.5" customHeight="1" x14ac:dyDescent="0.2"/>
    <row r="88" s="116" customFormat="1" ht="11.5" customHeight="1" x14ac:dyDescent="0.2"/>
    <row r="89" s="116" customFormat="1" ht="11.5" customHeight="1" x14ac:dyDescent="0.2"/>
    <row r="90" s="116" customFormat="1" ht="11.5" customHeight="1" x14ac:dyDescent="0.2"/>
    <row r="91" s="116" customFormat="1" ht="11.5" customHeight="1" x14ac:dyDescent="0.2"/>
    <row r="92" ht="11.5" customHeight="1" x14ac:dyDescent="0.2"/>
    <row r="93" ht="11.5" customHeight="1" x14ac:dyDescent="0.2"/>
    <row r="94" ht="11.5" customHeight="1" x14ac:dyDescent="0.2"/>
    <row r="95" ht="11.5" customHeight="1" x14ac:dyDescent="0.2"/>
    <row r="96" ht="11.5" customHeight="1" x14ac:dyDescent="0.2"/>
    <row r="97" ht="11.5" customHeight="1" x14ac:dyDescent="0.2"/>
    <row r="98" ht="11.5" customHeight="1" x14ac:dyDescent="0.2"/>
    <row r="99" ht="11.5" customHeight="1" x14ac:dyDescent="0.2"/>
    <row r="100" ht="11.5" customHeight="1" x14ac:dyDescent="0.2"/>
    <row r="101" ht="11.5" customHeight="1" x14ac:dyDescent="0.2"/>
    <row r="102" ht="11.5" customHeight="1" x14ac:dyDescent="0.2"/>
    <row r="103" ht="11.5" customHeight="1" x14ac:dyDescent="0.2"/>
    <row r="104" ht="11.5" customHeight="1" x14ac:dyDescent="0.2"/>
    <row r="105" ht="11.5" customHeight="1" x14ac:dyDescent="0.2"/>
    <row r="106" ht="11.5" customHeight="1" x14ac:dyDescent="0.2"/>
    <row r="107" ht="11.5" customHeight="1" x14ac:dyDescent="0.2"/>
    <row r="108" ht="11.5" customHeight="1" x14ac:dyDescent="0.2"/>
    <row r="109" ht="11.5" customHeight="1" x14ac:dyDescent="0.2"/>
    <row r="110" ht="13" customHeight="1" x14ac:dyDescent="0.2"/>
    <row r="111" ht="13" customHeight="1" x14ac:dyDescent="0.2"/>
    <row r="112" ht="13" customHeight="1" x14ac:dyDescent="0.2"/>
    <row r="113" ht="13" customHeight="1" x14ac:dyDescent="0.2"/>
    <row r="114" ht="13" customHeight="1" x14ac:dyDescent="0.2"/>
    <row r="115" ht="13" customHeight="1" x14ac:dyDescent="0.2"/>
    <row r="116" ht="13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</sheetData>
  <mergeCells count="32">
    <mergeCell ref="T47:T48"/>
    <mergeCell ref="U43:U47"/>
    <mergeCell ref="K46:K47"/>
    <mergeCell ref="N46:N47"/>
    <mergeCell ref="Q46:Q47"/>
    <mergeCell ref="L47:L48"/>
    <mergeCell ref="F47:F48"/>
    <mergeCell ref="G47:G48"/>
    <mergeCell ref="I47:I48"/>
    <mergeCell ref="J47:J48"/>
    <mergeCell ref="S47:S48"/>
    <mergeCell ref="M8:M9"/>
    <mergeCell ref="O8:O9"/>
    <mergeCell ref="P8:P9"/>
    <mergeCell ref="A43:D48"/>
    <mergeCell ref="F43:R43"/>
    <mergeCell ref="M47:M48"/>
    <mergeCell ref="O47:O48"/>
    <mergeCell ref="P47:P48"/>
    <mergeCell ref="R47:R48"/>
    <mergeCell ref="A4:D9"/>
    <mergeCell ref="F4:P4"/>
    <mergeCell ref="Q4:Q8"/>
    <mergeCell ref="K7:K8"/>
    <mergeCell ref="N7:N8"/>
    <mergeCell ref="E8:E9"/>
    <mergeCell ref="E47:E48"/>
    <mergeCell ref="F8:F9"/>
    <mergeCell ref="G8:G9"/>
    <mergeCell ref="I8:I9"/>
    <mergeCell ref="J8:J9"/>
    <mergeCell ref="L8:L9"/>
  </mergeCells>
  <phoneticPr fontId="30"/>
  <pageMargins left="0.59055118110236227" right="0.59055118110236227" top="0.59055118110236227" bottom="0.59055118110236227" header="0.59055118110236227" footer="0.15748031496062992"/>
  <pageSetup paperSize="9" scale="94" fitToHeight="0" orientation="portrait" r:id="rId1"/>
  <headerFooter alignWithMargins="0"/>
  <colBreaks count="1" manualBreakCount="1">
    <brk id="11" max="7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8"/>
  <sheetViews>
    <sheetView view="pageBreakPreview" zoomScaleNormal="50" zoomScaleSheetLayoutView="100" workbookViewId="0"/>
  </sheetViews>
  <sheetFormatPr defaultColWidth="9" defaultRowHeight="16.5" x14ac:dyDescent="0.25"/>
  <cols>
    <col min="1" max="1" width="1.6328125" style="189" customWidth="1"/>
    <col min="2" max="2" width="13.36328125" style="189" customWidth="1"/>
    <col min="3" max="3" width="10.7265625" style="189" customWidth="1"/>
    <col min="4" max="19" width="9.453125" style="189" customWidth="1"/>
    <col min="20" max="20" width="18.6328125" style="847" customWidth="1"/>
    <col min="21" max="21" width="2.6328125" style="190" customWidth="1"/>
    <col min="22" max="16384" width="9" style="189"/>
  </cols>
  <sheetData>
    <row r="1" spans="1:21" s="802" customFormat="1" ht="17.25" customHeight="1" x14ac:dyDescent="0.2">
      <c r="A1" s="800"/>
      <c r="B1" s="800" t="s">
        <v>253</v>
      </c>
      <c r="C1" s="801"/>
      <c r="D1" s="188"/>
      <c r="E1" s="188"/>
      <c r="F1" s="188"/>
      <c r="G1" s="188"/>
      <c r="H1" s="188"/>
      <c r="I1" s="800"/>
      <c r="J1" s="800"/>
      <c r="K1" s="188"/>
      <c r="L1" s="971"/>
      <c r="M1" s="971"/>
      <c r="N1" s="971"/>
      <c r="O1" s="971"/>
      <c r="P1" s="971"/>
      <c r="Q1" s="971"/>
      <c r="U1" s="971"/>
    </row>
    <row r="2" spans="1:21" s="804" customFormat="1" ht="17.25" customHeight="1" x14ac:dyDescent="0.2">
      <c r="A2" s="188"/>
      <c r="B2" s="800" t="s">
        <v>570</v>
      </c>
      <c r="C2" s="801"/>
      <c r="D2" s="188"/>
      <c r="E2" s="188"/>
      <c r="F2" s="188"/>
      <c r="G2" s="800"/>
      <c r="H2" s="800"/>
      <c r="I2" s="800"/>
      <c r="J2" s="800"/>
      <c r="K2" s="188"/>
      <c r="L2" s="803"/>
      <c r="M2" s="803"/>
      <c r="N2" s="803"/>
      <c r="O2" s="803"/>
      <c r="U2" s="803"/>
    </row>
    <row r="3" spans="1:21" s="115" customFormat="1" ht="17.25" customHeight="1" x14ac:dyDescent="0.2">
      <c r="A3" s="805"/>
      <c r="B3" s="231" t="s">
        <v>992</v>
      </c>
      <c r="C3" s="230"/>
      <c r="D3" s="187"/>
      <c r="E3" s="187"/>
      <c r="F3" s="187"/>
      <c r="G3" s="187"/>
      <c r="H3" s="187"/>
      <c r="I3" s="187"/>
      <c r="J3" s="187"/>
      <c r="K3" s="187"/>
      <c r="L3" s="806"/>
      <c r="M3" s="806"/>
      <c r="N3" s="806"/>
      <c r="O3" s="806"/>
      <c r="P3" s="806"/>
      <c r="Q3" s="150"/>
      <c r="R3" s="806"/>
      <c r="S3" s="165" t="s">
        <v>993</v>
      </c>
      <c r="T3" s="165"/>
      <c r="U3" s="807"/>
    </row>
    <row r="4" spans="1:21" s="812" customFormat="1" ht="16.5" customHeight="1" x14ac:dyDescent="0.2">
      <c r="A4" s="808"/>
      <c r="B4" s="809"/>
      <c r="C4" s="810"/>
      <c r="D4" s="229"/>
      <c r="E4" s="229"/>
      <c r="F4" s="229"/>
      <c r="G4" s="229"/>
      <c r="H4" s="229"/>
      <c r="I4" s="229"/>
      <c r="J4" s="229"/>
      <c r="K4" s="228"/>
      <c r="L4" s="227"/>
      <c r="M4" s="226"/>
      <c r="N4" s="226"/>
      <c r="O4" s="226"/>
      <c r="P4" s="226"/>
      <c r="Q4" s="225"/>
      <c r="R4" s="224"/>
      <c r="S4" s="223"/>
      <c r="T4" s="811"/>
      <c r="U4" s="153"/>
    </row>
    <row r="5" spans="1:21" s="812" customFormat="1" ht="16.5" customHeight="1" x14ac:dyDescent="0.2">
      <c r="A5" s="813"/>
      <c r="B5" s="814" t="s">
        <v>994</v>
      </c>
      <c r="C5" s="217" t="s">
        <v>252</v>
      </c>
      <c r="D5" s="212" t="s">
        <v>572</v>
      </c>
      <c r="E5" s="212" t="s">
        <v>573</v>
      </c>
      <c r="F5" s="212" t="s">
        <v>995</v>
      </c>
      <c r="G5" s="212" t="s">
        <v>575</v>
      </c>
      <c r="H5" s="212" t="s">
        <v>996</v>
      </c>
      <c r="I5" s="212" t="s">
        <v>997</v>
      </c>
      <c r="J5" s="222"/>
      <c r="K5" s="221"/>
      <c r="L5" s="214" t="s">
        <v>998</v>
      </c>
      <c r="M5" s="215" t="s">
        <v>999</v>
      </c>
      <c r="N5" s="215" t="s">
        <v>580</v>
      </c>
      <c r="O5" s="215" t="s">
        <v>1000</v>
      </c>
      <c r="P5" s="220" t="s">
        <v>1001</v>
      </c>
      <c r="Q5" s="219"/>
      <c r="R5" s="218"/>
      <c r="S5" s="213" t="s">
        <v>1002</v>
      </c>
      <c r="T5" s="212" t="s">
        <v>251</v>
      </c>
      <c r="U5" s="153"/>
    </row>
    <row r="6" spans="1:21" s="812" customFormat="1" ht="16.5" customHeight="1" x14ac:dyDescent="0.2">
      <c r="A6" s="813"/>
      <c r="B6" s="814"/>
      <c r="C6" s="217"/>
      <c r="D6" s="212" t="s">
        <v>249</v>
      </c>
      <c r="E6" s="212" t="s">
        <v>249</v>
      </c>
      <c r="F6" s="212" t="s">
        <v>250</v>
      </c>
      <c r="G6" s="212"/>
      <c r="H6" s="212"/>
      <c r="I6" s="212" t="s">
        <v>249</v>
      </c>
      <c r="J6" s="212" t="s">
        <v>248</v>
      </c>
      <c r="K6" s="216" t="s">
        <v>247</v>
      </c>
      <c r="L6" s="214"/>
      <c r="M6" s="215"/>
      <c r="N6" s="215"/>
      <c r="O6" s="215"/>
      <c r="P6" s="215"/>
      <c r="Q6" s="215" t="s">
        <v>1003</v>
      </c>
      <c r="R6" s="214" t="s">
        <v>585</v>
      </c>
      <c r="S6" s="213"/>
      <c r="T6" s="212"/>
      <c r="U6" s="153"/>
    </row>
    <row r="7" spans="1:21" s="812" customFormat="1" ht="33.75" customHeight="1" x14ac:dyDescent="0.2">
      <c r="A7" s="813"/>
      <c r="B7" s="815"/>
      <c r="C7" s="211" t="s">
        <v>695</v>
      </c>
      <c r="D7" s="211" t="s">
        <v>246</v>
      </c>
      <c r="E7" s="211" t="s">
        <v>596</v>
      </c>
      <c r="F7" s="211" t="s">
        <v>597</v>
      </c>
      <c r="G7" s="211" t="s">
        <v>245</v>
      </c>
      <c r="H7" s="211" t="s">
        <v>1004</v>
      </c>
      <c r="I7" s="211" t="s">
        <v>587</v>
      </c>
      <c r="J7" s="211" t="s">
        <v>598</v>
      </c>
      <c r="K7" s="210" t="s">
        <v>1005</v>
      </c>
      <c r="L7" s="209" t="s">
        <v>588</v>
      </c>
      <c r="M7" s="209" t="s">
        <v>244</v>
      </c>
      <c r="N7" s="209" t="s">
        <v>243</v>
      </c>
      <c r="O7" s="208" t="s">
        <v>242</v>
      </c>
      <c r="P7" s="914" t="s">
        <v>1006</v>
      </c>
      <c r="Q7" s="207"/>
      <c r="R7" s="207"/>
      <c r="S7" s="912" t="s">
        <v>1007</v>
      </c>
      <c r="T7" s="816"/>
      <c r="U7" s="153"/>
    </row>
    <row r="8" spans="1:21" s="138" customFormat="1" ht="15.65" customHeight="1" x14ac:dyDescent="0.2">
      <c r="A8" s="817"/>
      <c r="B8" s="809"/>
      <c r="C8" s="818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  <c r="S8" s="820"/>
      <c r="T8" s="821"/>
      <c r="U8" s="185"/>
    </row>
    <row r="9" spans="1:21" s="824" customFormat="1" ht="17" customHeight="1" x14ac:dyDescent="0.2">
      <c r="A9" s="817"/>
      <c r="B9" s="822" t="s">
        <v>241</v>
      </c>
      <c r="C9" s="202">
        <v>9633951</v>
      </c>
      <c r="D9" s="201">
        <v>1594784</v>
      </c>
      <c r="E9" s="201">
        <v>1652141</v>
      </c>
      <c r="F9" s="201">
        <v>783663</v>
      </c>
      <c r="G9" s="201">
        <v>2313488</v>
      </c>
      <c r="H9" s="201">
        <v>1425831</v>
      </c>
      <c r="I9" s="201">
        <v>1864044</v>
      </c>
      <c r="J9" s="201">
        <v>767536</v>
      </c>
      <c r="K9" s="201">
        <v>1096508</v>
      </c>
      <c r="L9" s="201">
        <v>468262</v>
      </c>
      <c r="M9" s="201">
        <v>173199</v>
      </c>
      <c r="N9" s="201">
        <v>7925</v>
      </c>
      <c r="O9" s="201">
        <v>17327</v>
      </c>
      <c r="P9" s="201">
        <v>1455614</v>
      </c>
      <c r="Q9" s="201">
        <v>880725</v>
      </c>
      <c r="R9" s="201">
        <v>574889</v>
      </c>
      <c r="S9" s="200">
        <v>121774</v>
      </c>
      <c r="T9" s="823" t="s">
        <v>240</v>
      </c>
      <c r="U9" s="817"/>
    </row>
    <row r="10" spans="1:21" s="138" customFormat="1" ht="15.65" customHeight="1" x14ac:dyDescent="0.2">
      <c r="A10" s="817"/>
      <c r="B10" s="809" t="s">
        <v>239</v>
      </c>
      <c r="C10" s="199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204"/>
      <c r="Q10" s="204"/>
      <c r="R10" s="204"/>
      <c r="S10" s="203"/>
      <c r="T10" s="825"/>
      <c r="U10" s="817"/>
    </row>
    <row r="11" spans="1:21" s="138" customFormat="1" ht="15.65" customHeight="1" x14ac:dyDescent="0.2">
      <c r="A11" s="817"/>
      <c r="B11" s="826" t="s">
        <v>601</v>
      </c>
      <c r="C11" s="199">
        <v>5138107</v>
      </c>
      <c r="D11" s="198">
        <v>765604</v>
      </c>
      <c r="E11" s="206">
        <v>1223320</v>
      </c>
      <c r="F11" s="206">
        <v>473706</v>
      </c>
      <c r="G11" s="206">
        <v>854066</v>
      </c>
      <c r="H11" s="206">
        <v>743189</v>
      </c>
      <c r="I11" s="198">
        <v>1078222</v>
      </c>
      <c r="J11" s="206">
        <v>300592</v>
      </c>
      <c r="K11" s="206">
        <v>777630</v>
      </c>
      <c r="L11" s="206">
        <v>182964</v>
      </c>
      <c r="M11" s="206">
        <v>125035</v>
      </c>
      <c r="N11" s="206" t="s">
        <v>648</v>
      </c>
      <c r="O11" s="206">
        <v>5795</v>
      </c>
      <c r="P11" s="198">
        <v>201728</v>
      </c>
      <c r="Q11" s="198">
        <v>72613</v>
      </c>
      <c r="R11" s="198">
        <v>129115</v>
      </c>
      <c r="S11" s="197" t="s">
        <v>648</v>
      </c>
      <c r="T11" s="821" t="s">
        <v>223</v>
      </c>
      <c r="U11" s="817"/>
    </row>
    <row r="12" spans="1:21" s="138" customFormat="1" ht="15.65" customHeight="1" x14ac:dyDescent="0.2">
      <c r="A12" s="817"/>
      <c r="B12" s="826"/>
      <c r="C12" s="199"/>
      <c r="D12" s="198"/>
      <c r="E12" s="206"/>
      <c r="F12" s="206"/>
      <c r="G12" s="206"/>
      <c r="H12" s="206"/>
      <c r="I12" s="198"/>
      <c r="J12" s="206"/>
      <c r="K12" s="206"/>
      <c r="L12" s="206"/>
      <c r="M12" s="206"/>
      <c r="N12" s="206"/>
      <c r="O12" s="206"/>
      <c r="P12" s="206"/>
      <c r="Q12" s="206"/>
      <c r="R12" s="206"/>
      <c r="S12" s="205"/>
      <c r="T12" s="821"/>
      <c r="U12" s="817"/>
    </row>
    <row r="13" spans="1:21" s="138" customFormat="1" ht="23.25" customHeight="1" x14ac:dyDescent="0.2">
      <c r="A13" s="817"/>
      <c r="B13" s="826" t="s">
        <v>1008</v>
      </c>
      <c r="C13" s="199">
        <v>4495844</v>
      </c>
      <c r="D13" s="198">
        <v>829180</v>
      </c>
      <c r="E13" s="198">
        <v>428821</v>
      </c>
      <c r="F13" s="198">
        <v>309957</v>
      </c>
      <c r="G13" s="198">
        <v>1459422</v>
      </c>
      <c r="H13" s="198">
        <v>682642</v>
      </c>
      <c r="I13" s="198">
        <v>785822</v>
      </c>
      <c r="J13" s="198">
        <v>466944</v>
      </c>
      <c r="K13" s="198">
        <v>318878</v>
      </c>
      <c r="L13" s="198">
        <v>285298</v>
      </c>
      <c r="M13" s="198">
        <v>48164</v>
      </c>
      <c r="N13" s="198">
        <v>7925</v>
      </c>
      <c r="O13" s="198">
        <v>11532</v>
      </c>
      <c r="P13" s="206">
        <v>1253886</v>
      </c>
      <c r="Q13" s="206">
        <v>808112</v>
      </c>
      <c r="R13" s="206">
        <v>445774</v>
      </c>
      <c r="S13" s="205">
        <v>121774</v>
      </c>
      <c r="T13" s="821" t="s">
        <v>227</v>
      </c>
      <c r="U13" s="817"/>
    </row>
    <row r="14" spans="1:21" s="138" customFormat="1" ht="15.65" customHeight="1" x14ac:dyDescent="0.2">
      <c r="A14" s="817"/>
      <c r="B14" s="809" t="s">
        <v>239</v>
      </c>
      <c r="C14" s="199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204"/>
      <c r="Q14" s="204"/>
      <c r="R14" s="204"/>
      <c r="S14" s="203"/>
      <c r="T14" s="825"/>
      <c r="U14" s="817"/>
    </row>
    <row r="15" spans="1:21" s="138" customFormat="1" ht="15.65" customHeight="1" x14ac:dyDescent="0.2">
      <c r="A15" s="817"/>
      <c r="B15" s="827" t="s">
        <v>238</v>
      </c>
      <c r="C15" s="202">
        <v>180984341</v>
      </c>
      <c r="D15" s="201">
        <v>48665962</v>
      </c>
      <c r="E15" s="201">
        <v>43814662</v>
      </c>
      <c r="F15" s="201">
        <v>8740929</v>
      </c>
      <c r="G15" s="201">
        <v>14463623</v>
      </c>
      <c r="H15" s="201">
        <v>37283572</v>
      </c>
      <c r="I15" s="201">
        <v>28015593</v>
      </c>
      <c r="J15" s="201">
        <v>11009897</v>
      </c>
      <c r="K15" s="201">
        <v>17005696</v>
      </c>
      <c r="L15" s="201">
        <v>2352301</v>
      </c>
      <c r="M15" s="201">
        <v>2285204</v>
      </c>
      <c r="N15" s="201">
        <v>73239</v>
      </c>
      <c r="O15" s="201">
        <v>88967</v>
      </c>
      <c r="P15" s="201">
        <v>13569769</v>
      </c>
      <c r="Q15" s="201">
        <v>10604017</v>
      </c>
      <c r="R15" s="201">
        <v>2965752</v>
      </c>
      <c r="S15" s="200">
        <v>65926808</v>
      </c>
      <c r="T15" s="828" t="s">
        <v>602</v>
      </c>
      <c r="U15" s="817"/>
    </row>
    <row r="16" spans="1:21" s="138" customFormat="1" ht="15.65" customHeight="1" x14ac:dyDescent="0.2">
      <c r="A16" s="817"/>
      <c r="B16" s="809"/>
      <c r="C16" s="199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204"/>
      <c r="Q16" s="204"/>
      <c r="R16" s="204"/>
      <c r="S16" s="203"/>
      <c r="T16" s="821"/>
      <c r="U16" s="817"/>
    </row>
    <row r="17" spans="1:21" s="138" customFormat="1" ht="15.65" customHeight="1" x14ac:dyDescent="0.2">
      <c r="A17" s="817"/>
      <c r="B17" s="826" t="s">
        <v>589</v>
      </c>
      <c r="C17" s="199">
        <v>138431781</v>
      </c>
      <c r="D17" s="198">
        <v>44812894</v>
      </c>
      <c r="E17" s="198">
        <v>12914819</v>
      </c>
      <c r="F17" s="198">
        <v>8083533</v>
      </c>
      <c r="G17" s="198">
        <v>11685250</v>
      </c>
      <c r="H17" s="198">
        <v>34802388</v>
      </c>
      <c r="I17" s="198">
        <v>26132897</v>
      </c>
      <c r="J17" s="198">
        <v>10710150</v>
      </c>
      <c r="K17" s="198">
        <v>15422747</v>
      </c>
      <c r="L17" s="198">
        <v>2008464</v>
      </c>
      <c r="M17" s="198">
        <v>2257863</v>
      </c>
      <c r="N17" s="198">
        <v>62843</v>
      </c>
      <c r="O17" s="198">
        <v>76924</v>
      </c>
      <c r="P17" s="198">
        <v>3147926</v>
      </c>
      <c r="Q17" s="198">
        <v>1725169</v>
      </c>
      <c r="R17" s="198">
        <v>1422757</v>
      </c>
      <c r="S17" s="197" t="s">
        <v>648</v>
      </c>
      <c r="T17" s="821" t="s">
        <v>237</v>
      </c>
      <c r="U17" s="817"/>
    </row>
    <row r="18" spans="1:21" s="138" customFormat="1" ht="15.65" customHeight="1" x14ac:dyDescent="0.2">
      <c r="A18" s="817"/>
      <c r="B18" s="826"/>
      <c r="C18" s="199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7"/>
      <c r="T18" s="821"/>
      <c r="U18" s="817"/>
    </row>
    <row r="19" spans="1:21" s="138" customFormat="1" ht="15.65" customHeight="1" x14ac:dyDescent="0.2">
      <c r="A19" s="817"/>
      <c r="B19" s="826" t="s">
        <v>603</v>
      </c>
      <c r="C19" s="199">
        <v>39136664</v>
      </c>
      <c r="D19" s="198">
        <v>2926721</v>
      </c>
      <c r="E19" s="198">
        <v>30646454</v>
      </c>
      <c r="F19" s="198">
        <v>167858</v>
      </c>
      <c r="G19" s="198">
        <v>2232720</v>
      </c>
      <c r="H19" s="198">
        <v>1980952</v>
      </c>
      <c r="I19" s="198">
        <v>1181959</v>
      </c>
      <c r="J19" s="198">
        <v>153230</v>
      </c>
      <c r="K19" s="198">
        <v>1028729</v>
      </c>
      <c r="L19" s="198">
        <v>270105</v>
      </c>
      <c r="M19" s="198">
        <v>19051</v>
      </c>
      <c r="N19" s="198">
        <v>1804</v>
      </c>
      <c r="O19" s="198">
        <v>12043</v>
      </c>
      <c r="P19" s="198">
        <v>10382862</v>
      </c>
      <c r="Q19" s="198">
        <v>8878848</v>
      </c>
      <c r="R19" s="198">
        <v>1504014</v>
      </c>
      <c r="S19" s="197">
        <v>65369046</v>
      </c>
      <c r="T19" s="829" t="s">
        <v>236</v>
      </c>
      <c r="U19" s="817"/>
    </row>
    <row r="20" spans="1:21" s="138" customFormat="1" ht="15.65" customHeight="1" x14ac:dyDescent="0.2">
      <c r="A20" s="817"/>
      <c r="B20" s="826"/>
      <c r="C20" s="199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204"/>
      <c r="Q20" s="204"/>
      <c r="R20" s="204"/>
      <c r="S20" s="203"/>
      <c r="T20" s="829"/>
      <c r="U20" s="817"/>
    </row>
    <row r="21" spans="1:21" s="138" customFormat="1" ht="30.75" customHeight="1" x14ac:dyDescent="0.2">
      <c r="A21" s="817"/>
      <c r="B21" s="826" t="s">
        <v>1009</v>
      </c>
      <c r="C21" s="199">
        <v>273827</v>
      </c>
      <c r="D21" s="198">
        <v>2170</v>
      </c>
      <c r="E21" s="198">
        <v>10001</v>
      </c>
      <c r="F21" s="198">
        <v>74696</v>
      </c>
      <c r="G21" s="198">
        <v>47946</v>
      </c>
      <c r="H21" s="198">
        <v>13442</v>
      </c>
      <c r="I21" s="198">
        <v>125572</v>
      </c>
      <c r="J21" s="198">
        <v>105489</v>
      </c>
      <c r="K21" s="198">
        <v>20083</v>
      </c>
      <c r="L21" s="198" t="s">
        <v>648</v>
      </c>
      <c r="M21" s="198" t="s">
        <v>648</v>
      </c>
      <c r="N21" s="198">
        <v>8592</v>
      </c>
      <c r="O21" s="198" t="s">
        <v>648</v>
      </c>
      <c r="P21" s="198">
        <v>38981</v>
      </c>
      <c r="Q21" s="198" t="s">
        <v>648</v>
      </c>
      <c r="R21" s="198">
        <v>38981</v>
      </c>
      <c r="S21" s="197">
        <v>1868</v>
      </c>
      <c r="T21" s="829" t="s">
        <v>590</v>
      </c>
      <c r="U21" s="817"/>
    </row>
    <row r="22" spans="1:21" s="138" customFormat="1" ht="15.65" customHeight="1" x14ac:dyDescent="0.2">
      <c r="A22" s="817"/>
      <c r="B22" s="826"/>
      <c r="C22" s="199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204"/>
      <c r="Q22" s="204"/>
      <c r="R22" s="204"/>
      <c r="S22" s="203"/>
      <c r="T22" s="829"/>
      <c r="U22" s="817"/>
    </row>
    <row r="23" spans="1:21" s="138" customFormat="1" ht="22.5" customHeight="1" x14ac:dyDescent="0.2">
      <c r="A23" s="817"/>
      <c r="B23" s="826" t="s">
        <v>1010</v>
      </c>
      <c r="C23" s="199" t="s">
        <v>648</v>
      </c>
      <c r="D23" s="198" t="s">
        <v>648</v>
      </c>
      <c r="E23" s="198" t="s">
        <v>648</v>
      </c>
      <c r="F23" s="198" t="s">
        <v>648</v>
      </c>
      <c r="G23" s="198" t="s">
        <v>648</v>
      </c>
      <c r="H23" s="198" t="s">
        <v>648</v>
      </c>
      <c r="I23" s="198" t="s">
        <v>648</v>
      </c>
      <c r="J23" s="198" t="s">
        <v>648</v>
      </c>
      <c r="K23" s="198" t="s">
        <v>648</v>
      </c>
      <c r="L23" s="198" t="s">
        <v>648</v>
      </c>
      <c r="M23" s="198" t="s">
        <v>648</v>
      </c>
      <c r="N23" s="198" t="s">
        <v>648</v>
      </c>
      <c r="O23" s="198" t="s">
        <v>648</v>
      </c>
      <c r="P23" s="198" t="s">
        <v>648</v>
      </c>
      <c r="Q23" s="198" t="s">
        <v>648</v>
      </c>
      <c r="R23" s="198" t="s">
        <v>648</v>
      </c>
      <c r="S23" s="197" t="s">
        <v>648</v>
      </c>
      <c r="T23" s="829" t="s">
        <v>591</v>
      </c>
      <c r="U23" s="817"/>
    </row>
    <row r="24" spans="1:21" s="138" customFormat="1" ht="15.65" customHeight="1" x14ac:dyDescent="0.2">
      <c r="A24" s="817"/>
      <c r="B24" s="826"/>
      <c r="C24" s="199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204"/>
      <c r="Q24" s="204"/>
      <c r="R24" s="204"/>
      <c r="S24" s="203"/>
      <c r="T24" s="829"/>
      <c r="U24" s="817"/>
    </row>
    <row r="25" spans="1:21" s="138" customFormat="1" ht="15.65" customHeight="1" x14ac:dyDescent="0.2">
      <c r="A25" s="817"/>
      <c r="B25" s="830" t="s">
        <v>592</v>
      </c>
      <c r="C25" s="199">
        <v>3142069</v>
      </c>
      <c r="D25" s="198">
        <v>924177</v>
      </c>
      <c r="E25" s="198">
        <v>243388</v>
      </c>
      <c r="F25" s="198">
        <v>414842</v>
      </c>
      <c r="G25" s="198">
        <v>497707</v>
      </c>
      <c r="H25" s="198">
        <v>486790</v>
      </c>
      <c r="I25" s="198">
        <v>575165</v>
      </c>
      <c r="J25" s="198">
        <v>41028</v>
      </c>
      <c r="K25" s="198">
        <v>534137</v>
      </c>
      <c r="L25" s="198">
        <v>73732</v>
      </c>
      <c r="M25" s="198">
        <v>8290</v>
      </c>
      <c r="N25" s="198" t="s">
        <v>648</v>
      </c>
      <c r="O25" s="198" t="s">
        <v>648</v>
      </c>
      <c r="P25" s="198" t="s">
        <v>648</v>
      </c>
      <c r="Q25" s="198" t="s">
        <v>648</v>
      </c>
      <c r="R25" s="198" t="s">
        <v>648</v>
      </c>
      <c r="S25" s="197">
        <v>555894</v>
      </c>
      <c r="T25" s="829" t="s">
        <v>235</v>
      </c>
      <c r="U25" s="817"/>
    </row>
    <row r="26" spans="1:21" s="138" customFormat="1" ht="15.65" customHeight="1" x14ac:dyDescent="0.2">
      <c r="A26" s="817"/>
      <c r="B26" s="831"/>
      <c r="C26" s="199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7"/>
      <c r="T26" s="829"/>
      <c r="U26" s="817"/>
    </row>
    <row r="27" spans="1:21" s="138" customFormat="1" ht="15.65" customHeight="1" x14ac:dyDescent="0.2">
      <c r="A27" s="817"/>
      <c r="B27" s="827" t="s">
        <v>234</v>
      </c>
      <c r="C27" s="202">
        <v>181201552</v>
      </c>
      <c r="D27" s="201">
        <v>48586477</v>
      </c>
      <c r="E27" s="201">
        <v>44186092</v>
      </c>
      <c r="F27" s="201">
        <v>8666921</v>
      </c>
      <c r="G27" s="201">
        <v>14583052</v>
      </c>
      <c r="H27" s="201">
        <v>37268095</v>
      </c>
      <c r="I27" s="201">
        <v>27910915</v>
      </c>
      <c r="J27" s="201">
        <v>11020118</v>
      </c>
      <c r="K27" s="201">
        <v>16890797</v>
      </c>
      <c r="L27" s="201">
        <v>2369647</v>
      </c>
      <c r="M27" s="201">
        <v>2241037</v>
      </c>
      <c r="N27" s="201">
        <v>72180</v>
      </c>
      <c r="O27" s="201">
        <v>90279</v>
      </c>
      <c r="P27" s="201">
        <v>13352981</v>
      </c>
      <c r="Q27" s="201">
        <v>10368554</v>
      </c>
      <c r="R27" s="201">
        <v>2984427</v>
      </c>
      <c r="S27" s="200">
        <v>65932732</v>
      </c>
      <c r="T27" s="823" t="s">
        <v>1011</v>
      </c>
      <c r="U27" s="817"/>
    </row>
    <row r="28" spans="1:21" s="138" customFormat="1" ht="15.65" customHeight="1" x14ac:dyDescent="0.2">
      <c r="A28" s="817"/>
      <c r="B28" s="809"/>
      <c r="C28" s="199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204"/>
      <c r="Q28" s="204"/>
      <c r="R28" s="204"/>
      <c r="S28" s="203"/>
      <c r="T28" s="829"/>
      <c r="U28" s="817"/>
    </row>
    <row r="29" spans="1:21" s="138" customFormat="1" ht="15.65" customHeight="1" x14ac:dyDescent="0.2">
      <c r="A29" s="185"/>
      <c r="B29" s="826" t="s">
        <v>233</v>
      </c>
      <c r="C29" s="199">
        <v>154214620</v>
      </c>
      <c r="D29" s="198">
        <v>44767547</v>
      </c>
      <c r="E29" s="198">
        <v>42790793</v>
      </c>
      <c r="F29" s="198">
        <v>3174862</v>
      </c>
      <c r="G29" s="198">
        <v>13508544</v>
      </c>
      <c r="H29" s="198">
        <v>32139599</v>
      </c>
      <c r="I29" s="198">
        <v>17833275</v>
      </c>
      <c r="J29" s="198">
        <v>10000213</v>
      </c>
      <c r="K29" s="198">
        <v>7833062</v>
      </c>
      <c r="L29" s="198">
        <v>1469039</v>
      </c>
      <c r="M29" s="198">
        <v>1797846</v>
      </c>
      <c r="N29" s="198">
        <v>50335</v>
      </c>
      <c r="O29" s="198">
        <v>44366</v>
      </c>
      <c r="P29" s="198">
        <v>10491586</v>
      </c>
      <c r="Q29" s="198">
        <v>9229323</v>
      </c>
      <c r="R29" s="198">
        <v>1262263</v>
      </c>
      <c r="S29" s="197">
        <v>65926430</v>
      </c>
      <c r="T29" s="829" t="s">
        <v>232</v>
      </c>
      <c r="U29" s="185"/>
    </row>
    <row r="30" spans="1:21" s="138" customFormat="1" ht="15.65" customHeight="1" x14ac:dyDescent="0.2">
      <c r="A30" s="185"/>
      <c r="B30" s="826"/>
      <c r="C30" s="199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7"/>
      <c r="T30" s="829"/>
      <c r="U30" s="185"/>
    </row>
    <row r="31" spans="1:21" s="138" customFormat="1" ht="15.65" customHeight="1" x14ac:dyDescent="0.2">
      <c r="A31" s="817"/>
      <c r="B31" s="826" t="s">
        <v>605</v>
      </c>
      <c r="C31" s="199">
        <v>22230511</v>
      </c>
      <c r="D31" s="198">
        <v>3344951</v>
      </c>
      <c r="E31" s="198" t="s">
        <v>648</v>
      </c>
      <c r="F31" s="198">
        <v>5327622</v>
      </c>
      <c r="G31" s="198">
        <v>511923</v>
      </c>
      <c r="H31" s="198">
        <v>4886875</v>
      </c>
      <c r="I31" s="198">
        <v>8159140</v>
      </c>
      <c r="J31" s="198">
        <v>775956</v>
      </c>
      <c r="K31" s="198">
        <v>7383184</v>
      </c>
      <c r="L31" s="198">
        <v>766211</v>
      </c>
      <c r="M31" s="198">
        <v>14830</v>
      </c>
      <c r="N31" s="198">
        <v>831</v>
      </c>
      <c r="O31" s="198">
        <v>44158</v>
      </c>
      <c r="P31" s="198">
        <v>147278</v>
      </c>
      <c r="Q31" s="198">
        <v>133767</v>
      </c>
      <c r="R31" s="198">
        <v>13511</v>
      </c>
      <c r="S31" s="197" t="s">
        <v>648</v>
      </c>
      <c r="T31" s="829" t="s">
        <v>231</v>
      </c>
      <c r="U31" s="817"/>
    </row>
    <row r="32" spans="1:21" s="138" customFormat="1" ht="15.65" customHeight="1" x14ac:dyDescent="0.2">
      <c r="A32" s="817"/>
      <c r="B32" s="826"/>
      <c r="C32" s="199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7"/>
      <c r="T32" s="829"/>
      <c r="U32" s="817"/>
    </row>
    <row r="33" spans="1:21" s="138" customFormat="1" ht="31.5" customHeight="1" x14ac:dyDescent="0.2">
      <c r="A33" s="817"/>
      <c r="B33" s="826" t="s">
        <v>1012</v>
      </c>
      <c r="C33" s="199">
        <v>2100891</v>
      </c>
      <c r="D33" s="198">
        <v>1440</v>
      </c>
      <c r="E33" s="198">
        <v>1241443</v>
      </c>
      <c r="F33" s="198">
        <v>164437</v>
      </c>
      <c r="G33" s="198">
        <v>431220</v>
      </c>
      <c r="H33" s="198">
        <v>136388</v>
      </c>
      <c r="I33" s="198">
        <v>125963</v>
      </c>
      <c r="J33" s="198">
        <v>56</v>
      </c>
      <c r="K33" s="198">
        <v>125907</v>
      </c>
      <c r="L33" s="198">
        <v>20196</v>
      </c>
      <c r="M33" s="198">
        <v>4105</v>
      </c>
      <c r="N33" s="198" t="s">
        <v>648</v>
      </c>
      <c r="O33" s="198" t="s">
        <v>648</v>
      </c>
      <c r="P33" s="198">
        <v>528865</v>
      </c>
      <c r="Q33" s="198">
        <v>52927</v>
      </c>
      <c r="R33" s="198">
        <v>475938</v>
      </c>
      <c r="S33" s="197" t="s">
        <v>648</v>
      </c>
      <c r="T33" s="829" t="s">
        <v>593</v>
      </c>
      <c r="U33" s="817"/>
    </row>
    <row r="34" spans="1:21" s="138" customFormat="1" ht="15.65" customHeight="1" x14ac:dyDescent="0.2">
      <c r="A34" s="817"/>
      <c r="B34" s="826"/>
      <c r="C34" s="199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7"/>
      <c r="T34" s="829"/>
      <c r="U34" s="817"/>
    </row>
    <row r="35" spans="1:21" s="138" customFormat="1" ht="15.65" customHeight="1" x14ac:dyDescent="0.2">
      <c r="A35" s="817"/>
      <c r="B35" s="826" t="s">
        <v>606</v>
      </c>
      <c r="C35" s="199">
        <v>1784210</v>
      </c>
      <c r="D35" s="198">
        <v>294</v>
      </c>
      <c r="E35" s="198">
        <v>30320</v>
      </c>
      <c r="F35" s="198" t="s">
        <v>648</v>
      </c>
      <c r="G35" s="198">
        <v>111846</v>
      </c>
      <c r="H35" s="198">
        <v>1370</v>
      </c>
      <c r="I35" s="198">
        <v>1640380</v>
      </c>
      <c r="J35" s="198">
        <v>164132</v>
      </c>
      <c r="K35" s="198">
        <v>1476248</v>
      </c>
      <c r="L35" s="198">
        <v>76677</v>
      </c>
      <c r="M35" s="198">
        <v>350735</v>
      </c>
      <c r="N35" s="198" t="s">
        <v>648</v>
      </c>
      <c r="O35" s="198" t="s">
        <v>648</v>
      </c>
      <c r="P35" s="198">
        <v>193895</v>
      </c>
      <c r="Q35" s="198">
        <v>14990</v>
      </c>
      <c r="R35" s="198">
        <v>178905</v>
      </c>
      <c r="S35" s="197">
        <v>353</v>
      </c>
      <c r="T35" s="829" t="s">
        <v>230</v>
      </c>
      <c r="U35" s="817"/>
    </row>
    <row r="36" spans="1:21" s="138" customFormat="1" ht="15.65" customHeight="1" x14ac:dyDescent="0.2">
      <c r="A36" s="817"/>
      <c r="B36" s="826"/>
      <c r="C36" s="199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7"/>
      <c r="T36" s="829"/>
      <c r="U36" s="817"/>
    </row>
    <row r="37" spans="1:21" s="138" customFormat="1" ht="15.65" customHeight="1" x14ac:dyDescent="0.2">
      <c r="A37" s="817"/>
      <c r="B37" s="826" t="s">
        <v>607</v>
      </c>
      <c r="C37" s="199">
        <v>871320</v>
      </c>
      <c r="D37" s="198">
        <v>472245</v>
      </c>
      <c r="E37" s="198">
        <v>123536</v>
      </c>
      <c r="F37" s="198" t="s">
        <v>648</v>
      </c>
      <c r="G37" s="198">
        <v>19519</v>
      </c>
      <c r="H37" s="198">
        <v>103863</v>
      </c>
      <c r="I37" s="198">
        <v>152157</v>
      </c>
      <c r="J37" s="198">
        <v>79761</v>
      </c>
      <c r="K37" s="198">
        <v>72396</v>
      </c>
      <c r="L37" s="198">
        <v>37524</v>
      </c>
      <c r="M37" s="198">
        <v>73521</v>
      </c>
      <c r="N37" s="198">
        <v>21014</v>
      </c>
      <c r="O37" s="198">
        <v>1755</v>
      </c>
      <c r="P37" s="198">
        <v>1991357</v>
      </c>
      <c r="Q37" s="198">
        <v>937547</v>
      </c>
      <c r="R37" s="198">
        <v>1053810</v>
      </c>
      <c r="S37" s="197">
        <v>5949</v>
      </c>
      <c r="T37" s="829" t="s">
        <v>229</v>
      </c>
      <c r="U37" s="817"/>
    </row>
    <row r="38" spans="1:21" s="138" customFormat="1" ht="15.65" customHeight="1" x14ac:dyDescent="0.2">
      <c r="A38" s="817"/>
      <c r="B38" s="809"/>
      <c r="C38" s="199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7"/>
      <c r="T38" s="829"/>
      <c r="U38" s="817"/>
    </row>
    <row r="39" spans="1:21" s="138" customFormat="1" ht="15.65" customHeight="1" x14ac:dyDescent="0.2">
      <c r="A39" s="817"/>
      <c r="B39" s="827" t="s">
        <v>228</v>
      </c>
      <c r="C39" s="202">
        <v>9416740</v>
      </c>
      <c r="D39" s="201">
        <v>1674269</v>
      </c>
      <c r="E39" s="201">
        <v>1280711</v>
      </c>
      <c r="F39" s="201">
        <v>857671</v>
      </c>
      <c r="G39" s="201">
        <v>2194059</v>
      </c>
      <c r="H39" s="201">
        <v>1441308</v>
      </c>
      <c r="I39" s="201">
        <v>1968722</v>
      </c>
      <c r="J39" s="201">
        <v>757315</v>
      </c>
      <c r="K39" s="201">
        <v>1211407</v>
      </c>
      <c r="L39" s="201">
        <v>450916</v>
      </c>
      <c r="M39" s="201">
        <v>217366</v>
      </c>
      <c r="N39" s="201">
        <v>8984</v>
      </c>
      <c r="O39" s="201">
        <v>16015</v>
      </c>
      <c r="P39" s="201">
        <v>1672402</v>
      </c>
      <c r="Q39" s="201">
        <v>1116188</v>
      </c>
      <c r="R39" s="201">
        <v>556214</v>
      </c>
      <c r="S39" s="200">
        <v>115850</v>
      </c>
      <c r="T39" s="823" t="s">
        <v>608</v>
      </c>
      <c r="U39" s="817"/>
    </row>
    <row r="40" spans="1:21" s="138" customFormat="1" ht="15.65" customHeight="1" x14ac:dyDescent="0.2">
      <c r="A40" s="817"/>
      <c r="B40" s="809"/>
      <c r="C40" s="199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7"/>
      <c r="T40" s="829"/>
      <c r="U40" s="817"/>
    </row>
    <row r="41" spans="1:21" s="138" customFormat="1" ht="15.65" customHeight="1" x14ac:dyDescent="0.2">
      <c r="A41" s="817"/>
      <c r="B41" s="826" t="s">
        <v>601</v>
      </c>
      <c r="C41" s="199">
        <v>5055813</v>
      </c>
      <c r="D41" s="198">
        <v>903941</v>
      </c>
      <c r="E41" s="198">
        <v>988663</v>
      </c>
      <c r="F41" s="198">
        <v>513465</v>
      </c>
      <c r="G41" s="198">
        <v>775865</v>
      </c>
      <c r="H41" s="198">
        <v>759428</v>
      </c>
      <c r="I41" s="198">
        <v>1114451</v>
      </c>
      <c r="J41" s="198">
        <v>304433</v>
      </c>
      <c r="K41" s="198">
        <v>810018</v>
      </c>
      <c r="L41" s="198">
        <v>168202</v>
      </c>
      <c r="M41" s="198">
        <v>162164</v>
      </c>
      <c r="N41" s="198" t="s">
        <v>648</v>
      </c>
      <c r="O41" s="198">
        <v>4418</v>
      </c>
      <c r="P41" s="198">
        <v>212437</v>
      </c>
      <c r="Q41" s="198">
        <v>69766</v>
      </c>
      <c r="R41" s="198">
        <v>142671</v>
      </c>
      <c r="S41" s="197" t="s">
        <v>648</v>
      </c>
      <c r="T41" s="821" t="s">
        <v>223</v>
      </c>
      <c r="U41" s="817"/>
    </row>
    <row r="42" spans="1:21" s="138" customFormat="1" ht="15.65" customHeight="1" x14ac:dyDescent="0.2">
      <c r="A42" s="817"/>
      <c r="B42" s="826"/>
      <c r="C42" s="199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7"/>
      <c r="T42" s="821"/>
      <c r="U42" s="817"/>
    </row>
    <row r="43" spans="1:21" s="138" customFormat="1" ht="21" customHeight="1" x14ac:dyDescent="0.2">
      <c r="A43" s="817"/>
      <c r="B43" s="826" t="s">
        <v>1008</v>
      </c>
      <c r="C43" s="199">
        <v>4360927</v>
      </c>
      <c r="D43" s="198">
        <v>770328</v>
      </c>
      <c r="E43" s="198">
        <v>292048</v>
      </c>
      <c r="F43" s="198">
        <v>344206</v>
      </c>
      <c r="G43" s="198">
        <v>1418194</v>
      </c>
      <c r="H43" s="198">
        <v>681880</v>
      </c>
      <c r="I43" s="198">
        <v>854271</v>
      </c>
      <c r="J43" s="198">
        <v>452882</v>
      </c>
      <c r="K43" s="198">
        <v>401389</v>
      </c>
      <c r="L43" s="198">
        <v>282714</v>
      </c>
      <c r="M43" s="198">
        <v>55202</v>
      </c>
      <c r="N43" s="198">
        <v>8984</v>
      </c>
      <c r="O43" s="198">
        <v>11597</v>
      </c>
      <c r="P43" s="198">
        <v>1459965</v>
      </c>
      <c r="Q43" s="198">
        <v>1046422</v>
      </c>
      <c r="R43" s="198">
        <v>413543</v>
      </c>
      <c r="S43" s="197">
        <v>115850</v>
      </c>
      <c r="T43" s="821" t="s">
        <v>227</v>
      </c>
      <c r="U43" s="817"/>
    </row>
    <row r="44" spans="1:21" s="138" customFormat="1" ht="15.65" customHeight="1" x14ac:dyDescent="0.2">
      <c r="A44" s="817"/>
      <c r="B44" s="832"/>
      <c r="C44" s="196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4"/>
      <c r="T44" s="833"/>
      <c r="U44" s="185"/>
    </row>
    <row r="45" spans="1:21" s="191" customFormat="1" ht="15.65" customHeight="1" x14ac:dyDescent="0.15">
      <c r="A45" s="834"/>
      <c r="B45" s="835" t="s">
        <v>226</v>
      </c>
      <c r="C45" s="836"/>
      <c r="D45" s="836"/>
      <c r="E45" s="837"/>
      <c r="F45" s="837"/>
      <c r="G45" s="837"/>
      <c r="H45" s="836"/>
      <c r="I45" s="836"/>
      <c r="L45" s="838" t="s">
        <v>594</v>
      </c>
      <c r="M45" s="839"/>
      <c r="N45" s="838"/>
      <c r="O45" s="836"/>
      <c r="P45" s="836"/>
      <c r="Q45" s="836"/>
      <c r="R45" s="836"/>
      <c r="S45" s="836"/>
      <c r="T45" s="836"/>
      <c r="U45" s="840"/>
    </row>
    <row r="46" spans="1:21" s="191" customFormat="1" ht="15.65" customHeight="1" x14ac:dyDescent="0.15">
      <c r="A46" s="841"/>
      <c r="B46" s="192" t="s">
        <v>609</v>
      </c>
      <c r="C46" s="842"/>
      <c r="D46" s="842"/>
      <c r="E46" s="839"/>
      <c r="F46" s="843"/>
      <c r="L46" s="193" t="s">
        <v>595</v>
      </c>
      <c r="M46" s="842"/>
      <c r="N46" s="842"/>
      <c r="O46" s="842"/>
      <c r="P46" s="842"/>
      <c r="Q46" s="842"/>
      <c r="R46" s="842"/>
      <c r="S46" s="842"/>
      <c r="T46" s="842"/>
      <c r="U46" s="844"/>
    </row>
    <row r="47" spans="1:21" s="191" customFormat="1" ht="15.65" customHeight="1" x14ac:dyDescent="0.15">
      <c r="A47" s="841"/>
      <c r="B47" s="192" t="s">
        <v>610</v>
      </c>
      <c r="C47" s="842"/>
      <c r="D47" s="842"/>
      <c r="E47" s="842"/>
      <c r="F47" s="842"/>
      <c r="G47" s="842"/>
      <c r="H47" s="842"/>
      <c r="I47" s="842"/>
      <c r="J47" s="842"/>
      <c r="K47" s="842"/>
      <c r="L47" s="842"/>
      <c r="M47" s="842"/>
      <c r="N47" s="842"/>
      <c r="O47" s="842"/>
      <c r="P47" s="842"/>
      <c r="Q47" s="842"/>
      <c r="R47" s="842"/>
      <c r="S47" s="842"/>
      <c r="T47" s="842"/>
      <c r="U47" s="844"/>
    </row>
    <row r="48" spans="1:21" s="191" customFormat="1" ht="17.149999999999999" customHeight="1" x14ac:dyDescent="0.15">
      <c r="A48" s="843"/>
      <c r="B48" s="842"/>
      <c r="C48" s="845"/>
      <c r="D48" s="842"/>
      <c r="E48" s="842"/>
      <c r="F48" s="842"/>
      <c r="G48" s="842"/>
      <c r="H48" s="842"/>
      <c r="I48" s="842"/>
      <c r="J48" s="842"/>
      <c r="K48" s="839"/>
      <c r="L48" s="842"/>
      <c r="M48" s="842"/>
      <c r="N48" s="842"/>
      <c r="O48" s="842"/>
      <c r="P48" s="842"/>
      <c r="Q48" s="842"/>
      <c r="R48" s="842"/>
      <c r="S48" s="842"/>
      <c r="T48" s="842"/>
      <c r="U48" s="846"/>
    </row>
  </sheetData>
  <phoneticPr fontId="30"/>
  <pageMargins left="0.59055118110236227" right="0.55118110236220474" top="0.59055118110236227" bottom="0.59055118110236227" header="0.59055118110236227" footer="0.59055118110236227"/>
  <pageSetup paperSize="9" scale="90" orientation="portrait" horizontalDpi="400" r:id="rId1"/>
  <headerFooter alignWithMargins="0">
    <oddHeader xml:space="preserve">&amp;R
</oddHeader>
  </headerFooter>
  <colBreaks count="1" manualBreakCount="1">
    <brk id="11" max="4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9"/>
  <sheetViews>
    <sheetView view="pageBreakPreview" zoomScaleNormal="55" zoomScaleSheetLayoutView="100" workbookViewId="0">
      <selection activeCell="B1" sqref="B1"/>
    </sheetView>
  </sheetViews>
  <sheetFormatPr defaultColWidth="9" defaultRowHeight="16.5" x14ac:dyDescent="0.25"/>
  <cols>
    <col min="1" max="1" width="1.6328125" style="189" customWidth="1"/>
    <col min="2" max="2" width="13.36328125" style="189" customWidth="1"/>
    <col min="3" max="3" width="11.26953125" style="189" customWidth="1"/>
    <col min="4" max="4" width="10" style="189" customWidth="1"/>
    <col min="5" max="5" width="9.81640625" style="189" customWidth="1"/>
    <col min="6" max="6" width="8.81640625" style="189" customWidth="1"/>
    <col min="7" max="8" width="9.81640625" style="189" customWidth="1"/>
    <col min="9" max="11" width="9.90625" style="189" customWidth="1"/>
    <col min="12" max="13" width="8.81640625" style="189" customWidth="1"/>
    <col min="14" max="15" width="8.36328125" style="189" customWidth="1"/>
    <col min="16" max="16" width="10.1796875" style="189" customWidth="1"/>
    <col min="17" max="17" width="9.36328125" style="189" customWidth="1"/>
    <col min="18" max="18" width="9.08984375" style="189" customWidth="1"/>
    <col min="19" max="19" width="9.36328125" style="189" customWidth="1"/>
    <col min="20" max="20" width="18.6328125" style="847" customWidth="1"/>
    <col min="21" max="21" width="2.6328125" style="190" customWidth="1"/>
    <col min="22" max="16384" width="9" style="189"/>
  </cols>
  <sheetData>
    <row r="1" spans="1:21" s="802" customFormat="1" ht="17.25" customHeight="1" x14ac:dyDescent="0.15">
      <c r="A1" s="239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848"/>
      <c r="M1" s="848"/>
      <c r="N1" s="848"/>
      <c r="O1" s="848"/>
      <c r="P1" s="848"/>
      <c r="Q1" s="848"/>
      <c r="R1" s="824"/>
      <c r="S1" s="824"/>
      <c r="T1" s="824"/>
      <c r="U1" s="848"/>
    </row>
    <row r="2" spans="1:21" s="804" customFormat="1" ht="17.25" customHeight="1" x14ac:dyDescent="0.15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848"/>
      <c r="M2" s="848"/>
      <c r="N2" s="848"/>
      <c r="O2" s="848"/>
      <c r="P2" s="824"/>
      <c r="Q2" s="824"/>
      <c r="R2" s="824"/>
      <c r="S2" s="824"/>
      <c r="T2" s="824"/>
      <c r="U2" s="848"/>
    </row>
    <row r="3" spans="1:21" s="115" customFormat="1" ht="17.25" customHeight="1" x14ac:dyDescent="0.2">
      <c r="A3" s="139"/>
      <c r="B3" s="231" t="s">
        <v>1013</v>
      </c>
      <c r="C3" s="972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65" t="s">
        <v>993</v>
      </c>
      <c r="T3" s="165"/>
      <c r="U3" s="153"/>
    </row>
    <row r="4" spans="1:21" s="138" customFormat="1" ht="17.25" customHeight="1" x14ac:dyDescent="0.2">
      <c r="A4" s="808"/>
      <c r="B4" s="809"/>
      <c r="C4" s="810"/>
      <c r="D4" s="229"/>
      <c r="E4" s="229"/>
      <c r="F4" s="229"/>
      <c r="G4" s="229"/>
      <c r="H4" s="229"/>
      <c r="I4" s="229"/>
      <c r="J4" s="229"/>
      <c r="K4" s="228"/>
      <c r="L4" s="227"/>
      <c r="M4" s="226"/>
      <c r="N4" s="226"/>
      <c r="O4" s="226"/>
      <c r="P4" s="226"/>
      <c r="Q4" s="225"/>
      <c r="R4" s="224"/>
      <c r="S4" s="223"/>
      <c r="T4" s="811"/>
      <c r="U4" s="153"/>
    </row>
    <row r="5" spans="1:21" s="138" customFormat="1" ht="17.25" customHeight="1" x14ac:dyDescent="0.2">
      <c r="A5" s="813"/>
      <c r="B5" s="814" t="s">
        <v>571</v>
      </c>
      <c r="C5" s="217" t="s">
        <v>252</v>
      </c>
      <c r="D5" s="212" t="s">
        <v>572</v>
      </c>
      <c r="E5" s="212" t="s">
        <v>573</v>
      </c>
      <c r="F5" s="212" t="s">
        <v>574</v>
      </c>
      <c r="G5" s="212" t="s">
        <v>575</v>
      </c>
      <c r="H5" s="212" t="s">
        <v>576</v>
      </c>
      <c r="I5" s="212" t="s">
        <v>577</v>
      </c>
      <c r="J5" s="222"/>
      <c r="K5" s="221"/>
      <c r="L5" s="214" t="s">
        <v>578</v>
      </c>
      <c r="M5" s="215" t="s">
        <v>579</v>
      </c>
      <c r="N5" s="215" t="s">
        <v>580</v>
      </c>
      <c r="O5" s="215" t="s">
        <v>581</v>
      </c>
      <c r="P5" s="220" t="s">
        <v>582</v>
      </c>
      <c r="Q5" s="219"/>
      <c r="R5" s="218"/>
      <c r="S5" s="213" t="s">
        <v>583</v>
      </c>
      <c r="T5" s="212" t="s">
        <v>251</v>
      </c>
      <c r="U5" s="153"/>
    </row>
    <row r="6" spans="1:21" s="138" customFormat="1" ht="17.25" customHeight="1" x14ac:dyDescent="0.2">
      <c r="A6" s="813"/>
      <c r="B6" s="814"/>
      <c r="C6" s="217"/>
      <c r="D6" s="212" t="s">
        <v>249</v>
      </c>
      <c r="E6" s="212" t="s">
        <v>249</v>
      </c>
      <c r="F6" s="212" t="s">
        <v>250</v>
      </c>
      <c r="G6" s="212"/>
      <c r="H6" s="212"/>
      <c r="I6" s="212" t="s">
        <v>249</v>
      </c>
      <c r="J6" s="212" t="s">
        <v>248</v>
      </c>
      <c r="K6" s="216" t="s">
        <v>247</v>
      </c>
      <c r="L6" s="214"/>
      <c r="M6" s="215"/>
      <c r="N6" s="215"/>
      <c r="O6" s="215"/>
      <c r="P6" s="215"/>
      <c r="Q6" s="215" t="s">
        <v>584</v>
      </c>
      <c r="R6" s="214" t="s">
        <v>585</v>
      </c>
      <c r="S6" s="213"/>
      <c r="T6" s="212"/>
      <c r="U6" s="153"/>
    </row>
    <row r="7" spans="1:21" s="138" customFormat="1" ht="34.5" customHeight="1" x14ac:dyDescent="0.2">
      <c r="A7" s="813"/>
      <c r="B7" s="815"/>
      <c r="C7" s="211" t="s">
        <v>695</v>
      </c>
      <c r="D7" s="211" t="s">
        <v>246</v>
      </c>
      <c r="E7" s="211" t="s">
        <v>596</v>
      </c>
      <c r="F7" s="211" t="s">
        <v>597</v>
      </c>
      <c r="G7" s="211" t="s">
        <v>245</v>
      </c>
      <c r="H7" s="211" t="s">
        <v>586</v>
      </c>
      <c r="I7" s="211" t="s">
        <v>628</v>
      </c>
      <c r="J7" s="211" t="s">
        <v>598</v>
      </c>
      <c r="K7" s="210" t="s">
        <v>599</v>
      </c>
      <c r="L7" s="209" t="s">
        <v>254</v>
      </c>
      <c r="M7" s="209" t="s">
        <v>244</v>
      </c>
      <c r="N7" s="209" t="s">
        <v>243</v>
      </c>
      <c r="O7" s="208" t="s">
        <v>242</v>
      </c>
      <c r="P7" s="914" t="s">
        <v>600</v>
      </c>
      <c r="Q7" s="207"/>
      <c r="R7" s="207"/>
      <c r="S7" s="912" t="s">
        <v>1014</v>
      </c>
      <c r="T7" s="816"/>
      <c r="U7" s="153"/>
    </row>
    <row r="8" spans="1:21" s="138" customFormat="1" ht="15.25" customHeight="1" x14ac:dyDescent="0.2">
      <c r="A8" s="817"/>
      <c r="B8" s="809"/>
      <c r="C8" s="238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197"/>
      <c r="T8" s="821"/>
      <c r="U8" s="185"/>
    </row>
    <row r="9" spans="1:21" s="138" customFormat="1" ht="15.25" customHeight="1" x14ac:dyDescent="0.2">
      <c r="A9" s="817"/>
      <c r="B9" s="822" t="s">
        <v>241</v>
      </c>
      <c r="C9" s="202">
        <v>8048447</v>
      </c>
      <c r="D9" s="201">
        <v>1502588</v>
      </c>
      <c r="E9" s="201">
        <v>1361053</v>
      </c>
      <c r="F9" s="201">
        <v>687157</v>
      </c>
      <c r="G9" s="201">
        <v>1484349</v>
      </c>
      <c r="H9" s="201">
        <v>1224137</v>
      </c>
      <c r="I9" s="201">
        <v>1789163</v>
      </c>
      <c r="J9" s="201">
        <v>712333</v>
      </c>
      <c r="K9" s="201">
        <v>1076830</v>
      </c>
      <c r="L9" s="201">
        <v>450597</v>
      </c>
      <c r="M9" s="201">
        <v>161698</v>
      </c>
      <c r="N9" s="201">
        <v>8765</v>
      </c>
      <c r="O9" s="201">
        <v>16965</v>
      </c>
      <c r="P9" s="201">
        <v>1566112</v>
      </c>
      <c r="Q9" s="201">
        <v>948327</v>
      </c>
      <c r="R9" s="201">
        <v>617785</v>
      </c>
      <c r="S9" s="200">
        <v>72159</v>
      </c>
      <c r="T9" s="823" t="s">
        <v>240</v>
      </c>
      <c r="U9" s="817"/>
    </row>
    <row r="10" spans="1:21" s="138" customFormat="1" ht="15.25" customHeight="1" x14ac:dyDescent="0.2">
      <c r="A10" s="817"/>
      <c r="B10" s="809" t="s">
        <v>239</v>
      </c>
      <c r="C10" s="199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204"/>
      <c r="Q10" s="204"/>
      <c r="R10" s="204"/>
      <c r="S10" s="203"/>
      <c r="T10" s="825"/>
      <c r="U10" s="817"/>
    </row>
    <row r="11" spans="1:21" s="138" customFormat="1" ht="15.25" customHeight="1" x14ac:dyDescent="0.2">
      <c r="A11" s="817"/>
      <c r="B11" s="826" t="s">
        <v>601</v>
      </c>
      <c r="C11" s="199">
        <v>4398952</v>
      </c>
      <c r="D11" s="198">
        <v>708226</v>
      </c>
      <c r="E11" s="206">
        <v>1035663</v>
      </c>
      <c r="F11" s="206">
        <v>396546</v>
      </c>
      <c r="G11" s="206">
        <v>664580</v>
      </c>
      <c r="H11" s="206">
        <v>571374</v>
      </c>
      <c r="I11" s="198">
        <v>1022563</v>
      </c>
      <c r="J11" s="206">
        <v>290919</v>
      </c>
      <c r="K11" s="206">
        <v>731644</v>
      </c>
      <c r="L11" s="206">
        <v>177166</v>
      </c>
      <c r="M11" s="206">
        <v>118465</v>
      </c>
      <c r="N11" s="206" t="s">
        <v>648</v>
      </c>
      <c r="O11" s="206">
        <v>5021</v>
      </c>
      <c r="P11" s="198">
        <v>207791</v>
      </c>
      <c r="Q11" s="198">
        <v>81736</v>
      </c>
      <c r="R11" s="198">
        <v>126055</v>
      </c>
      <c r="S11" s="197" t="s">
        <v>648</v>
      </c>
      <c r="T11" s="821" t="s">
        <v>223</v>
      </c>
      <c r="U11" s="817"/>
    </row>
    <row r="12" spans="1:21" s="138" customFormat="1" ht="15.25" customHeight="1" x14ac:dyDescent="0.2">
      <c r="A12" s="817"/>
      <c r="B12" s="826"/>
      <c r="C12" s="199"/>
      <c r="D12" s="198"/>
      <c r="E12" s="206"/>
      <c r="F12" s="206"/>
      <c r="G12" s="206"/>
      <c r="H12" s="206"/>
      <c r="I12" s="198"/>
      <c r="J12" s="206"/>
      <c r="K12" s="206"/>
      <c r="L12" s="206"/>
      <c r="M12" s="206"/>
      <c r="N12" s="206"/>
      <c r="O12" s="206"/>
      <c r="P12" s="206"/>
      <c r="Q12" s="206"/>
      <c r="R12" s="206"/>
      <c r="S12" s="205"/>
      <c r="T12" s="821"/>
      <c r="U12" s="817"/>
    </row>
    <row r="13" spans="1:21" s="138" customFormat="1" ht="21" customHeight="1" x14ac:dyDescent="0.2">
      <c r="A13" s="817"/>
      <c r="B13" s="826" t="s">
        <v>1008</v>
      </c>
      <c r="C13" s="199">
        <v>3649495</v>
      </c>
      <c r="D13" s="198">
        <v>794362</v>
      </c>
      <c r="E13" s="198">
        <v>325390</v>
      </c>
      <c r="F13" s="198">
        <v>290611</v>
      </c>
      <c r="G13" s="198">
        <v>819769</v>
      </c>
      <c r="H13" s="198">
        <v>652763</v>
      </c>
      <c r="I13" s="198">
        <v>766600</v>
      </c>
      <c r="J13" s="198">
        <v>421414</v>
      </c>
      <c r="K13" s="198">
        <v>345186</v>
      </c>
      <c r="L13" s="198">
        <v>273431</v>
      </c>
      <c r="M13" s="198">
        <v>43233</v>
      </c>
      <c r="N13" s="198">
        <v>8765</v>
      </c>
      <c r="O13" s="198">
        <v>11944</v>
      </c>
      <c r="P13" s="206">
        <v>1358321</v>
      </c>
      <c r="Q13" s="206">
        <v>866591</v>
      </c>
      <c r="R13" s="206">
        <v>491730</v>
      </c>
      <c r="S13" s="205">
        <v>72159</v>
      </c>
      <c r="T13" s="821" t="s">
        <v>227</v>
      </c>
      <c r="U13" s="817"/>
    </row>
    <row r="14" spans="1:21" s="138" customFormat="1" ht="15.25" customHeight="1" x14ac:dyDescent="0.2">
      <c r="A14" s="817"/>
      <c r="B14" s="809" t="s">
        <v>239</v>
      </c>
      <c r="C14" s="199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204"/>
      <c r="Q14" s="204"/>
      <c r="R14" s="204"/>
      <c r="S14" s="203"/>
      <c r="T14" s="825"/>
      <c r="U14" s="817"/>
    </row>
    <row r="15" spans="1:21" s="138" customFormat="1" ht="15.25" customHeight="1" x14ac:dyDescent="0.2">
      <c r="A15" s="817"/>
      <c r="B15" s="827" t="s">
        <v>238</v>
      </c>
      <c r="C15" s="202">
        <v>181872353</v>
      </c>
      <c r="D15" s="201">
        <v>49032021</v>
      </c>
      <c r="E15" s="201">
        <v>43132443</v>
      </c>
      <c r="F15" s="201">
        <v>9231271</v>
      </c>
      <c r="G15" s="201">
        <v>14044135</v>
      </c>
      <c r="H15" s="201">
        <v>38227490</v>
      </c>
      <c r="I15" s="201">
        <v>28204993</v>
      </c>
      <c r="J15" s="201">
        <v>10757243</v>
      </c>
      <c r="K15" s="201">
        <v>17447750</v>
      </c>
      <c r="L15" s="201">
        <v>2318344</v>
      </c>
      <c r="M15" s="201">
        <v>2276762</v>
      </c>
      <c r="N15" s="201">
        <v>71546</v>
      </c>
      <c r="O15" s="201">
        <v>92294</v>
      </c>
      <c r="P15" s="201">
        <v>13471431</v>
      </c>
      <c r="Q15" s="201">
        <v>10515806</v>
      </c>
      <c r="R15" s="201">
        <v>2955625</v>
      </c>
      <c r="S15" s="200">
        <v>62701078</v>
      </c>
      <c r="T15" s="828" t="s">
        <v>602</v>
      </c>
      <c r="U15" s="817"/>
    </row>
    <row r="16" spans="1:21" s="138" customFormat="1" ht="15.25" customHeight="1" x14ac:dyDescent="0.2">
      <c r="A16" s="817"/>
      <c r="B16" s="809"/>
      <c r="C16" s="199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204"/>
      <c r="Q16" s="204"/>
      <c r="R16" s="204"/>
      <c r="S16" s="203"/>
      <c r="T16" s="821"/>
      <c r="U16" s="817"/>
    </row>
    <row r="17" spans="1:21" s="138" customFormat="1" ht="15.25" customHeight="1" x14ac:dyDescent="0.2">
      <c r="A17" s="817"/>
      <c r="B17" s="826" t="s">
        <v>589</v>
      </c>
      <c r="C17" s="199">
        <v>142044047</v>
      </c>
      <c r="D17" s="198">
        <v>45462205</v>
      </c>
      <c r="E17" s="198">
        <v>13545252</v>
      </c>
      <c r="F17" s="198">
        <v>8564515</v>
      </c>
      <c r="G17" s="198">
        <v>12084758</v>
      </c>
      <c r="H17" s="198">
        <v>36178980</v>
      </c>
      <c r="I17" s="198">
        <v>26208337</v>
      </c>
      <c r="J17" s="198">
        <v>10409603</v>
      </c>
      <c r="K17" s="198">
        <v>15798734</v>
      </c>
      <c r="L17" s="198">
        <v>1969259</v>
      </c>
      <c r="M17" s="198">
        <v>2246628</v>
      </c>
      <c r="N17" s="360">
        <v>61137</v>
      </c>
      <c r="O17" s="198">
        <v>80583</v>
      </c>
      <c r="P17" s="198">
        <v>3128413</v>
      </c>
      <c r="Q17" s="198">
        <v>1749983</v>
      </c>
      <c r="R17" s="198">
        <v>1378430</v>
      </c>
      <c r="S17" s="197" t="s">
        <v>648</v>
      </c>
      <c r="T17" s="821" t="s">
        <v>237</v>
      </c>
      <c r="U17" s="817"/>
    </row>
    <row r="18" spans="1:21" s="138" customFormat="1" ht="15.25" customHeight="1" x14ac:dyDescent="0.2">
      <c r="A18" s="817"/>
      <c r="B18" s="826"/>
      <c r="C18" s="199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7"/>
      <c r="T18" s="821"/>
      <c r="U18" s="817"/>
    </row>
    <row r="19" spans="1:21" s="138" customFormat="1" ht="15.25" customHeight="1" x14ac:dyDescent="0.2">
      <c r="A19" s="817"/>
      <c r="B19" s="826" t="s">
        <v>603</v>
      </c>
      <c r="C19" s="199">
        <v>36918645</v>
      </c>
      <c r="D19" s="198">
        <v>2800701</v>
      </c>
      <c r="E19" s="198">
        <v>29351002</v>
      </c>
      <c r="F19" s="198">
        <v>127101</v>
      </c>
      <c r="G19" s="198">
        <v>1522164</v>
      </c>
      <c r="H19" s="198">
        <v>1713115</v>
      </c>
      <c r="I19" s="198">
        <v>1404562</v>
      </c>
      <c r="J19" s="198">
        <v>143574</v>
      </c>
      <c r="K19" s="198">
        <v>1260988</v>
      </c>
      <c r="L19" s="198">
        <v>279529</v>
      </c>
      <c r="M19" s="198">
        <v>18092</v>
      </c>
      <c r="N19" s="198">
        <v>1890</v>
      </c>
      <c r="O19" s="198">
        <v>11711</v>
      </c>
      <c r="P19" s="198">
        <v>10305781</v>
      </c>
      <c r="Q19" s="198">
        <v>8765823</v>
      </c>
      <c r="R19" s="198">
        <v>1539958</v>
      </c>
      <c r="S19" s="197">
        <v>62030632</v>
      </c>
      <c r="T19" s="829" t="s">
        <v>236</v>
      </c>
      <c r="U19" s="817"/>
    </row>
    <row r="20" spans="1:21" s="138" customFormat="1" ht="15.25" customHeight="1" x14ac:dyDescent="0.2">
      <c r="A20" s="817"/>
      <c r="B20" s="826"/>
      <c r="C20" s="199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204"/>
      <c r="Q20" s="204"/>
      <c r="R20" s="204"/>
      <c r="S20" s="203"/>
      <c r="T20" s="829"/>
      <c r="U20" s="817"/>
    </row>
    <row r="21" spans="1:21" s="138" customFormat="1" ht="30.75" customHeight="1" x14ac:dyDescent="0.2">
      <c r="A21" s="817"/>
      <c r="B21" s="826" t="s">
        <v>1009</v>
      </c>
      <c r="C21" s="199">
        <v>296698</v>
      </c>
      <c r="D21" s="198">
        <v>439</v>
      </c>
      <c r="E21" s="198">
        <v>15001</v>
      </c>
      <c r="F21" s="198">
        <v>83927</v>
      </c>
      <c r="G21" s="198">
        <v>30908</v>
      </c>
      <c r="H21" s="198">
        <v>35406</v>
      </c>
      <c r="I21" s="198">
        <v>131017</v>
      </c>
      <c r="J21" s="198">
        <v>118271</v>
      </c>
      <c r="K21" s="198">
        <v>12746</v>
      </c>
      <c r="L21" s="198" t="s">
        <v>648</v>
      </c>
      <c r="M21" s="198" t="s">
        <v>648</v>
      </c>
      <c r="N21" s="198">
        <v>8519</v>
      </c>
      <c r="O21" s="198" t="s">
        <v>648</v>
      </c>
      <c r="P21" s="198">
        <v>37237</v>
      </c>
      <c r="Q21" s="198" t="s">
        <v>648</v>
      </c>
      <c r="R21" s="198">
        <v>37237</v>
      </c>
      <c r="S21" s="197">
        <v>1569</v>
      </c>
      <c r="T21" s="829" t="s">
        <v>590</v>
      </c>
      <c r="U21" s="817"/>
    </row>
    <row r="22" spans="1:21" s="138" customFormat="1" ht="15.25" customHeight="1" x14ac:dyDescent="0.2">
      <c r="A22" s="817"/>
      <c r="B22" s="826"/>
      <c r="C22" s="199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204"/>
      <c r="Q22" s="204"/>
      <c r="R22" s="204"/>
      <c r="S22" s="203"/>
      <c r="T22" s="829"/>
      <c r="U22" s="817"/>
    </row>
    <row r="23" spans="1:21" s="138" customFormat="1" ht="23.25" customHeight="1" x14ac:dyDescent="0.2">
      <c r="A23" s="817"/>
      <c r="B23" s="826" t="s">
        <v>1015</v>
      </c>
      <c r="C23" s="199" t="s">
        <v>648</v>
      </c>
      <c r="D23" s="198" t="s">
        <v>648</v>
      </c>
      <c r="E23" s="198" t="s">
        <v>648</v>
      </c>
      <c r="F23" s="198" t="s">
        <v>648</v>
      </c>
      <c r="G23" s="198" t="s">
        <v>648</v>
      </c>
      <c r="H23" s="198" t="s">
        <v>648</v>
      </c>
      <c r="I23" s="198" t="s">
        <v>648</v>
      </c>
      <c r="J23" s="198" t="s">
        <v>648</v>
      </c>
      <c r="K23" s="198" t="s">
        <v>648</v>
      </c>
      <c r="L23" s="198" t="s">
        <v>648</v>
      </c>
      <c r="M23" s="198" t="s">
        <v>648</v>
      </c>
      <c r="N23" s="198" t="s">
        <v>648</v>
      </c>
      <c r="O23" s="198" t="s">
        <v>648</v>
      </c>
      <c r="P23" s="198" t="s">
        <v>648</v>
      </c>
      <c r="Q23" s="198" t="s">
        <v>648</v>
      </c>
      <c r="R23" s="198" t="s">
        <v>648</v>
      </c>
      <c r="S23" s="197" t="s">
        <v>648</v>
      </c>
      <c r="T23" s="829" t="s">
        <v>591</v>
      </c>
      <c r="U23" s="817"/>
    </row>
    <row r="24" spans="1:21" s="138" customFormat="1" ht="15.25" customHeight="1" x14ac:dyDescent="0.2">
      <c r="A24" s="817"/>
      <c r="B24" s="826"/>
      <c r="C24" s="199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204"/>
      <c r="Q24" s="204"/>
      <c r="R24" s="204"/>
      <c r="S24" s="203"/>
      <c r="T24" s="829"/>
      <c r="U24" s="817"/>
    </row>
    <row r="25" spans="1:21" s="138" customFormat="1" ht="15.25" customHeight="1" x14ac:dyDescent="0.2">
      <c r="A25" s="817"/>
      <c r="B25" s="830" t="s">
        <v>592</v>
      </c>
      <c r="C25" s="199">
        <v>2612963</v>
      </c>
      <c r="D25" s="198">
        <v>768676</v>
      </c>
      <c r="E25" s="198">
        <v>221188</v>
      </c>
      <c r="F25" s="198">
        <v>455728</v>
      </c>
      <c r="G25" s="198">
        <v>406305</v>
      </c>
      <c r="H25" s="198">
        <v>299989</v>
      </c>
      <c r="I25" s="198">
        <v>461077</v>
      </c>
      <c r="J25" s="198">
        <v>85795</v>
      </c>
      <c r="K25" s="198">
        <v>375282</v>
      </c>
      <c r="L25" s="198">
        <v>69556</v>
      </c>
      <c r="M25" s="198">
        <v>12042</v>
      </c>
      <c r="N25" s="198" t="s">
        <v>648</v>
      </c>
      <c r="O25" s="198" t="s">
        <v>648</v>
      </c>
      <c r="P25" s="198" t="s">
        <v>648</v>
      </c>
      <c r="Q25" s="198" t="s">
        <v>648</v>
      </c>
      <c r="R25" s="198" t="s">
        <v>648</v>
      </c>
      <c r="S25" s="197">
        <v>668877</v>
      </c>
      <c r="T25" s="829" t="s">
        <v>235</v>
      </c>
      <c r="U25" s="817"/>
    </row>
    <row r="26" spans="1:21" s="138" customFormat="1" ht="15.25" customHeight="1" x14ac:dyDescent="0.2">
      <c r="A26" s="817"/>
      <c r="B26" s="831"/>
      <c r="C26" s="199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204"/>
      <c r="Q26" s="204"/>
      <c r="R26" s="204"/>
      <c r="S26" s="203"/>
      <c r="T26" s="829"/>
      <c r="U26" s="817"/>
    </row>
    <row r="27" spans="1:21" s="138" customFormat="1" ht="15.25" customHeight="1" x14ac:dyDescent="0.2">
      <c r="A27" s="817"/>
      <c r="B27" s="827" t="s">
        <v>234</v>
      </c>
      <c r="C27" s="202">
        <v>182346780</v>
      </c>
      <c r="D27" s="201">
        <v>48966516</v>
      </c>
      <c r="E27" s="201">
        <v>43151091</v>
      </c>
      <c r="F27" s="201">
        <v>9181801</v>
      </c>
      <c r="G27" s="201">
        <v>14390790</v>
      </c>
      <c r="H27" s="201">
        <v>38263163</v>
      </c>
      <c r="I27" s="201">
        <v>28393419</v>
      </c>
      <c r="J27" s="201">
        <v>10824472</v>
      </c>
      <c r="K27" s="201">
        <v>17568947</v>
      </c>
      <c r="L27" s="201">
        <v>2323176</v>
      </c>
      <c r="M27" s="201">
        <v>2241311</v>
      </c>
      <c r="N27" s="201">
        <v>70989</v>
      </c>
      <c r="O27" s="201">
        <v>94835</v>
      </c>
      <c r="P27" s="201">
        <v>13465569</v>
      </c>
      <c r="Q27" s="201">
        <v>10519239</v>
      </c>
      <c r="R27" s="201">
        <v>2946330</v>
      </c>
      <c r="S27" s="200">
        <v>62658369</v>
      </c>
      <c r="T27" s="823" t="s">
        <v>604</v>
      </c>
      <c r="U27" s="817"/>
    </row>
    <row r="28" spans="1:21" s="138" customFormat="1" ht="15.25" customHeight="1" x14ac:dyDescent="0.2">
      <c r="A28" s="817"/>
      <c r="B28" s="809"/>
      <c r="C28" s="199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204"/>
      <c r="Q28" s="204"/>
      <c r="R28" s="204"/>
      <c r="S28" s="203"/>
      <c r="T28" s="829"/>
      <c r="U28" s="817"/>
    </row>
    <row r="29" spans="1:21" s="138" customFormat="1" ht="15.25" customHeight="1" x14ac:dyDescent="0.2">
      <c r="A29" s="185"/>
      <c r="B29" s="826" t="s">
        <v>233</v>
      </c>
      <c r="C29" s="199">
        <v>153488750</v>
      </c>
      <c r="D29" s="198">
        <v>44508943</v>
      </c>
      <c r="E29" s="198">
        <v>41660421</v>
      </c>
      <c r="F29" s="198">
        <v>3312653</v>
      </c>
      <c r="G29" s="198">
        <v>13518452</v>
      </c>
      <c r="H29" s="198">
        <v>32074965</v>
      </c>
      <c r="I29" s="198">
        <v>18413316</v>
      </c>
      <c r="J29" s="198">
        <v>10134548</v>
      </c>
      <c r="K29" s="198">
        <v>8278768</v>
      </c>
      <c r="L29" s="198">
        <v>1444278</v>
      </c>
      <c r="M29" s="198">
        <v>1750602</v>
      </c>
      <c r="N29" s="198">
        <v>49911</v>
      </c>
      <c r="O29" s="198">
        <v>46759</v>
      </c>
      <c r="P29" s="198">
        <v>10608591</v>
      </c>
      <c r="Q29" s="198">
        <v>9315098</v>
      </c>
      <c r="R29" s="198">
        <v>1293493</v>
      </c>
      <c r="S29" s="197">
        <v>62652120</v>
      </c>
      <c r="T29" s="829" t="s">
        <v>232</v>
      </c>
      <c r="U29" s="185"/>
    </row>
    <row r="30" spans="1:21" s="138" customFormat="1" ht="15.25" customHeight="1" x14ac:dyDescent="0.2">
      <c r="A30" s="185"/>
      <c r="B30" s="826"/>
      <c r="C30" s="199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7"/>
      <c r="T30" s="829"/>
      <c r="U30" s="185"/>
    </row>
    <row r="31" spans="1:21" s="138" customFormat="1" ht="15.25" customHeight="1" x14ac:dyDescent="0.2">
      <c r="A31" s="817"/>
      <c r="B31" s="826" t="s">
        <v>605</v>
      </c>
      <c r="C31" s="199">
        <v>23940994</v>
      </c>
      <c r="D31" s="198">
        <v>3984149</v>
      </c>
      <c r="E31" s="198" t="s">
        <v>648</v>
      </c>
      <c r="F31" s="198">
        <v>5713857</v>
      </c>
      <c r="G31" s="198">
        <v>384819</v>
      </c>
      <c r="H31" s="198">
        <v>5938069</v>
      </c>
      <c r="I31" s="198">
        <v>7920100</v>
      </c>
      <c r="J31" s="198">
        <v>446974</v>
      </c>
      <c r="K31" s="198">
        <v>7473126</v>
      </c>
      <c r="L31" s="198">
        <v>723422</v>
      </c>
      <c r="M31" s="198">
        <v>14830</v>
      </c>
      <c r="N31" s="198">
        <v>807</v>
      </c>
      <c r="O31" s="198">
        <v>46346</v>
      </c>
      <c r="P31" s="198">
        <v>183639</v>
      </c>
      <c r="Q31" s="198">
        <v>168625</v>
      </c>
      <c r="R31" s="198">
        <v>15014</v>
      </c>
      <c r="S31" s="197" t="s">
        <v>648</v>
      </c>
      <c r="T31" s="829" t="s">
        <v>231</v>
      </c>
      <c r="U31" s="817"/>
    </row>
    <row r="32" spans="1:21" s="138" customFormat="1" ht="15.25" customHeight="1" x14ac:dyDescent="0.2">
      <c r="A32" s="817"/>
      <c r="B32" s="826"/>
      <c r="C32" s="199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7"/>
      <c r="T32" s="829"/>
      <c r="U32" s="817"/>
    </row>
    <row r="33" spans="1:21" s="138" customFormat="1" ht="32.25" customHeight="1" x14ac:dyDescent="0.2">
      <c r="A33" s="817"/>
      <c r="B33" s="826" t="s">
        <v>1012</v>
      </c>
      <c r="C33" s="199">
        <v>1894024</v>
      </c>
      <c r="D33" s="198">
        <v>908</v>
      </c>
      <c r="E33" s="198">
        <v>1149856</v>
      </c>
      <c r="F33" s="198">
        <v>126760</v>
      </c>
      <c r="G33" s="198">
        <v>356527</v>
      </c>
      <c r="H33" s="198">
        <v>116679</v>
      </c>
      <c r="I33" s="198">
        <v>143294</v>
      </c>
      <c r="J33" s="198">
        <v>56</v>
      </c>
      <c r="K33" s="198">
        <v>143238</v>
      </c>
      <c r="L33" s="198">
        <v>22135</v>
      </c>
      <c r="M33" s="198">
        <v>6718</v>
      </c>
      <c r="N33" s="198" t="s">
        <v>648</v>
      </c>
      <c r="O33" s="198" t="s">
        <v>648</v>
      </c>
      <c r="P33" s="198">
        <v>530016</v>
      </c>
      <c r="Q33" s="198">
        <v>52409</v>
      </c>
      <c r="R33" s="198">
        <v>477607</v>
      </c>
      <c r="S33" s="197" t="s">
        <v>648</v>
      </c>
      <c r="T33" s="829" t="s">
        <v>593</v>
      </c>
      <c r="U33" s="817"/>
    </row>
    <row r="34" spans="1:21" s="138" customFormat="1" ht="15.25" customHeight="1" x14ac:dyDescent="0.2">
      <c r="A34" s="817"/>
      <c r="B34" s="826"/>
      <c r="C34" s="199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7"/>
      <c r="T34" s="829"/>
      <c r="U34" s="817"/>
    </row>
    <row r="35" spans="1:21" s="138" customFormat="1" ht="15.25" customHeight="1" x14ac:dyDescent="0.2">
      <c r="A35" s="817"/>
      <c r="B35" s="826" t="s">
        <v>606</v>
      </c>
      <c r="C35" s="199">
        <v>1686093</v>
      </c>
      <c r="D35" s="198">
        <v>271</v>
      </c>
      <c r="E35" s="198">
        <v>32990</v>
      </c>
      <c r="F35" s="198" t="s">
        <v>648</v>
      </c>
      <c r="G35" s="198">
        <v>93310</v>
      </c>
      <c r="H35" s="198">
        <v>1472</v>
      </c>
      <c r="I35" s="198">
        <v>1558050</v>
      </c>
      <c r="J35" s="198">
        <v>183233</v>
      </c>
      <c r="K35" s="198">
        <v>1374817</v>
      </c>
      <c r="L35" s="198">
        <v>75158</v>
      </c>
      <c r="M35" s="198">
        <v>407419</v>
      </c>
      <c r="N35" s="198">
        <v>1</v>
      </c>
      <c r="O35" s="198" t="s">
        <v>648</v>
      </c>
      <c r="P35" s="198">
        <v>202395</v>
      </c>
      <c r="Q35" s="198">
        <v>14585</v>
      </c>
      <c r="R35" s="198">
        <v>187810</v>
      </c>
      <c r="S35" s="197">
        <v>300</v>
      </c>
      <c r="T35" s="829" t="s">
        <v>230</v>
      </c>
      <c r="U35" s="817"/>
    </row>
    <row r="36" spans="1:21" s="138" customFormat="1" ht="15.25" customHeight="1" x14ac:dyDescent="0.2">
      <c r="A36" s="817"/>
      <c r="B36" s="826"/>
      <c r="C36" s="199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7"/>
      <c r="T36" s="829"/>
      <c r="U36" s="817"/>
    </row>
    <row r="37" spans="1:21" s="138" customFormat="1" ht="15.25" customHeight="1" x14ac:dyDescent="0.2">
      <c r="A37" s="817"/>
      <c r="B37" s="830" t="s">
        <v>607</v>
      </c>
      <c r="C37" s="199">
        <v>1336919</v>
      </c>
      <c r="D37" s="198">
        <v>472245</v>
      </c>
      <c r="E37" s="198">
        <v>307824</v>
      </c>
      <c r="F37" s="198">
        <v>28531</v>
      </c>
      <c r="G37" s="198">
        <v>37682</v>
      </c>
      <c r="H37" s="198">
        <v>131978</v>
      </c>
      <c r="I37" s="198">
        <v>358659</v>
      </c>
      <c r="J37" s="198">
        <v>59661</v>
      </c>
      <c r="K37" s="198">
        <v>298998</v>
      </c>
      <c r="L37" s="198">
        <v>58183</v>
      </c>
      <c r="M37" s="198">
        <v>61742</v>
      </c>
      <c r="N37" s="198">
        <v>20270</v>
      </c>
      <c r="O37" s="198">
        <v>1730</v>
      </c>
      <c r="P37" s="198">
        <v>1940928</v>
      </c>
      <c r="Q37" s="198">
        <v>968522</v>
      </c>
      <c r="R37" s="198">
        <v>972406</v>
      </c>
      <c r="S37" s="197">
        <v>5949</v>
      </c>
      <c r="T37" s="829" t="s">
        <v>229</v>
      </c>
      <c r="U37" s="817"/>
    </row>
    <row r="38" spans="1:21" s="138" customFormat="1" ht="15.25" customHeight="1" x14ac:dyDescent="0.2">
      <c r="A38" s="817"/>
      <c r="B38" s="809"/>
      <c r="C38" s="199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7"/>
      <c r="T38" s="829"/>
      <c r="U38" s="817"/>
    </row>
    <row r="39" spans="1:21" s="138" customFormat="1" ht="15.25" customHeight="1" x14ac:dyDescent="0.2">
      <c r="A39" s="817"/>
      <c r="B39" s="827" t="s">
        <v>228</v>
      </c>
      <c r="C39" s="202">
        <v>7574020</v>
      </c>
      <c r="D39" s="201">
        <v>1568093</v>
      </c>
      <c r="E39" s="201">
        <v>1342405</v>
      </c>
      <c r="F39" s="201">
        <v>736627</v>
      </c>
      <c r="G39" s="201">
        <v>1137694</v>
      </c>
      <c r="H39" s="201">
        <v>1188464</v>
      </c>
      <c r="I39" s="201">
        <v>1600737</v>
      </c>
      <c r="J39" s="201">
        <v>645104</v>
      </c>
      <c r="K39" s="201">
        <v>955633</v>
      </c>
      <c r="L39" s="201">
        <v>445765</v>
      </c>
      <c r="M39" s="201">
        <v>197149</v>
      </c>
      <c r="N39" s="201">
        <v>9322</v>
      </c>
      <c r="O39" s="201">
        <v>14424</v>
      </c>
      <c r="P39" s="201">
        <v>1571974</v>
      </c>
      <c r="Q39" s="201">
        <v>944894</v>
      </c>
      <c r="R39" s="201">
        <v>627080</v>
      </c>
      <c r="S39" s="200">
        <v>114868</v>
      </c>
      <c r="T39" s="823" t="s">
        <v>608</v>
      </c>
      <c r="U39" s="817"/>
    </row>
    <row r="40" spans="1:21" s="138" customFormat="1" ht="15.25" customHeight="1" x14ac:dyDescent="0.2">
      <c r="A40" s="817"/>
      <c r="B40" s="809"/>
      <c r="C40" s="199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7"/>
      <c r="T40" s="829"/>
      <c r="U40" s="817"/>
    </row>
    <row r="41" spans="1:21" s="138" customFormat="1" ht="15.25" customHeight="1" x14ac:dyDescent="0.2">
      <c r="A41" s="817"/>
      <c r="B41" s="826" t="s">
        <v>601</v>
      </c>
      <c r="C41" s="199">
        <v>4100564</v>
      </c>
      <c r="D41" s="198">
        <v>731112</v>
      </c>
      <c r="E41" s="198">
        <v>979865</v>
      </c>
      <c r="F41" s="198">
        <v>438655</v>
      </c>
      <c r="G41" s="198">
        <v>443957</v>
      </c>
      <c r="H41" s="198">
        <v>571374</v>
      </c>
      <c r="I41" s="198">
        <v>935601</v>
      </c>
      <c r="J41" s="198">
        <v>247704</v>
      </c>
      <c r="K41" s="198">
        <v>687897</v>
      </c>
      <c r="L41" s="198">
        <v>162812</v>
      </c>
      <c r="M41" s="198">
        <v>138550</v>
      </c>
      <c r="N41" s="198" t="s">
        <v>648</v>
      </c>
      <c r="O41" s="198">
        <v>3710</v>
      </c>
      <c r="P41" s="198">
        <v>199965</v>
      </c>
      <c r="Q41" s="198">
        <v>72552</v>
      </c>
      <c r="R41" s="198">
        <v>127413</v>
      </c>
      <c r="S41" s="197" t="s">
        <v>648</v>
      </c>
      <c r="T41" s="821" t="s">
        <v>223</v>
      </c>
      <c r="U41" s="817"/>
    </row>
    <row r="42" spans="1:21" s="138" customFormat="1" ht="15.25" customHeight="1" x14ac:dyDescent="0.2">
      <c r="A42" s="817"/>
      <c r="B42" s="826"/>
      <c r="C42" s="199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7"/>
      <c r="T42" s="821"/>
      <c r="U42" s="817"/>
    </row>
    <row r="43" spans="1:21" s="138" customFormat="1" ht="21" customHeight="1" x14ac:dyDescent="0.2">
      <c r="A43" s="817"/>
      <c r="B43" s="826" t="s">
        <v>1008</v>
      </c>
      <c r="C43" s="235">
        <v>3473456</v>
      </c>
      <c r="D43" s="234">
        <v>836981</v>
      </c>
      <c r="E43" s="233">
        <v>362540</v>
      </c>
      <c r="F43" s="234">
        <v>297972</v>
      </c>
      <c r="G43" s="234">
        <v>693737</v>
      </c>
      <c r="H43" s="234">
        <v>617090</v>
      </c>
      <c r="I43" s="233">
        <v>665136</v>
      </c>
      <c r="J43" s="233">
        <v>397400</v>
      </c>
      <c r="K43" s="234">
        <v>267736</v>
      </c>
      <c r="L43" s="233">
        <v>282953</v>
      </c>
      <c r="M43" s="233">
        <v>58599</v>
      </c>
      <c r="N43" s="233">
        <v>9322</v>
      </c>
      <c r="O43" s="233">
        <v>10714</v>
      </c>
      <c r="P43" s="233">
        <v>1372009</v>
      </c>
      <c r="Q43" s="233">
        <v>872342</v>
      </c>
      <c r="R43" s="233">
        <v>499667</v>
      </c>
      <c r="S43" s="232">
        <v>114868</v>
      </c>
      <c r="T43" s="821" t="s">
        <v>227</v>
      </c>
      <c r="U43" s="817"/>
    </row>
    <row r="44" spans="1:21" s="138" customFormat="1" ht="15.25" customHeight="1" x14ac:dyDescent="0.2">
      <c r="A44" s="817"/>
      <c r="B44" s="832"/>
      <c r="C44" s="196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4"/>
      <c r="T44" s="833"/>
      <c r="U44" s="185"/>
    </row>
    <row r="45" spans="1:21" s="191" customFormat="1" ht="15.25" customHeight="1" x14ac:dyDescent="0.15">
      <c r="A45" s="834"/>
      <c r="B45" s="835" t="s">
        <v>226</v>
      </c>
      <c r="C45" s="836"/>
      <c r="D45" s="836"/>
      <c r="E45" s="837"/>
      <c r="F45" s="837"/>
      <c r="G45" s="837"/>
      <c r="H45" s="836"/>
      <c r="I45" s="836"/>
      <c r="L45" s="838" t="s">
        <v>594</v>
      </c>
      <c r="M45" s="839"/>
      <c r="N45" s="838"/>
      <c r="O45" s="836"/>
      <c r="P45" s="836"/>
      <c r="Q45" s="836"/>
      <c r="R45" s="836"/>
      <c r="S45" s="836"/>
      <c r="T45" s="836"/>
      <c r="U45" s="840"/>
    </row>
    <row r="46" spans="1:21" s="191" customFormat="1" ht="15.25" customHeight="1" x14ac:dyDescent="0.15">
      <c r="A46" s="841"/>
      <c r="B46" s="192" t="s">
        <v>609</v>
      </c>
      <c r="C46" s="842"/>
      <c r="D46" s="842"/>
      <c r="E46" s="839"/>
      <c r="F46" s="843"/>
      <c r="L46" s="193" t="s">
        <v>595</v>
      </c>
      <c r="M46" s="842"/>
      <c r="N46" s="842"/>
      <c r="O46" s="842"/>
      <c r="P46" s="842"/>
      <c r="Q46" s="842"/>
      <c r="R46" s="842"/>
      <c r="S46" s="842"/>
      <c r="T46" s="842"/>
      <c r="U46" s="844"/>
    </row>
    <row r="47" spans="1:21" s="191" customFormat="1" ht="15.25" customHeight="1" x14ac:dyDescent="0.15">
      <c r="A47" s="841"/>
      <c r="B47" s="192" t="s">
        <v>610</v>
      </c>
      <c r="C47" s="842"/>
      <c r="D47" s="842"/>
      <c r="E47" s="842"/>
      <c r="F47" s="843"/>
      <c r="G47" s="193"/>
      <c r="H47" s="842"/>
      <c r="I47" s="839"/>
      <c r="J47" s="842"/>
      <c r="K47" s="842"/>
      <c r="L47" s="842"/>
      <c r="M47" s="842"/>
      <c r="N47" s="842"/>
      <c r="O47" s="842"/>
      <c r="P47" s="842"/>
      <c r="Q47" s="842"/>
      <c r="R47" s="842"/>
      <c r="S47" s="842"/>
      <c r="T47" s="842"/>
      <c r="U47" s="844"/>
    </row>
    <row r="48" spans="1:21" s="191" customFormat="1" ht="15.25" customHeight="1" x14ac:dyDescent="0.15">
      <c r="A48" s="843"/>
      <c r="B48" s="842"/>
      <c r="C48" s="842"/>
      <c r="D48" s="842"/>
      <c r="E48" s="842"/>
      <c r="F48" s="842"/>
      <c r="G48" s="842"/>
      <c r="H48" s="842"/>
      <c r="I48" s="842"/>
      <c r="J48" s="842"/>
      <c r="K48" s="842"/>
      <c r="L48" s="842"/>
      <c r="M48" s="842"/>
      <c r="N48" s="842"/>
      <c r="O48" s="842"/>
      <c r="P48" s="842"/>
      <c r="Q48" s="842"/>
      <c r="R48" s="842"/>
      <c r="S48" s="842"/>
      <c r="T48" s="842"/>
      <c r="U48" s="846"/>
    </row>
    <row r="49" spans="21:21" s="191" customFormat="1" ht="15.25" customHeight="1" x14ac:dyDescent="0.15">
      <c r="U49" s="849"/>
    </row>
  </sheetData>
  <phoneticPr fontId="30"/>
  <pageMargins left="0.59055118110236227" right="0.59055118110236227" top="0.59055118110236227" bottom="0.59055118110236227" header="0.59055118110236227" footer="0.15748031496062992"/>
  <pageSetup paperSize="9" scale="88" fitToHeight="0" orientation="portrait" r:id="rId1"/>
  <headerFooter alignWithMargins="0">
    <oddHeader xml:space="preserve">&amp;R
</oddHeader>
  </headerFooter>
  <colBreaks count="1" manualBreakCount="1">
    <brk id="11" max="4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5"/>
  <sheetViews>
    <sheetView view="pageBreakPreview" zoomScaleNormal="50" zoomScaleSheetLayoutView="100" workbookViewId="0"/>
  </sheetViews>
  <sheetFormatPr defaultColWidth="9" defaultRowHeight="16.5" x14ac:dyDescent="0.25"/>
  <cols>
    <col min="1" max="1" width="1.6328125" style="240" customWidth="1"/>
    <col min="2" max="2" width="13.36328125" style="240" customWidth="1"/>
    <col min="3" max="3" width="10.7265625" style="240" customWidth="1"/>
    <col min="4" max="4" width="11.26953125" style="240" customWidth="1"/>
    <col min="5" max="19" width="9.453125" style="240" customWidth="1"/>
    <col min="20" max="20" width="18.6328125" style="242" customWidth="1"/>
    <col min="21" max="21" width="2.6328125" style="241" customWidth="1"/>
    <col min="22" max="22" width="6.453125" style="240" customWidth="1"/>
    <col min="23" max="16384" width="9" style="240"/>
  </cols>
  <sheetData>
    <row r="1" spans="1:21" s="300" customFormat="1" ht="17.25" customHeight="1" x14ac:dyDescent="0.25">
      <c r="A1" s="302"/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T1" s="301"/>
      <c r="U1" s="290"/>
    </row>
    <row r="2" spans="1:21" s="290" customFormat="1" ht="17.25" customHeight="1" x14ac:dyDescent="0.25">
      <c r="A2" s="297"/>
      <c r="B2" s="299" t="s">
        <v>696</v>
      </c>
      <c r="C2" s="296"/>
      <c r="D2" s="296"/>
      <c r="E2" s="291"/>
      <c r="F2" s="298"/>
      <c r="G2" s="297"/>
      <c r="H2" s="297"/>
      <c r="I2" s="234"/>
      <c r="J2" s="295"/>
      <c r="K2" s="291"/>
      <c r="L2" s="294"/>
      <c r="M2" s="291"/>
      <c r="N2" s="293"/>
      <c r="O2" s="293"/>
      <c r="P2" s="293"/>
      <c r="Q2" s="293"/>
      <c r="R2" s="293"/>
      <c r="S2" s="234"/>
      <c r="T2" s="292"/>
      <c r="U2" s="291"/>
    </row>
    <row r="3" spans="1:21" s="290" customFormat="1" ht="17.25" customHeight="1" x14ac:dyDescent="0.25">
      <c r="A3" s="297"/>
      <c r="B3" s="299" t="s">
        <v>611</v>
      </c>
      <c r="C3" s="296"/>
      <c r="D3" s="296"/>
      <c r="E3" s="291"/>
      <c r="F3" s="298"/>
      <c r="G3" s="297"/>
      <c r="H3" s="297"/>
      <c r="I3" s="296"/>
      <c r="J3" s="295"/>
      <c r="K3" s="291"/>
      <c r="L3" s="294"/>
      <c r="M3" s="291"/>
      <c r="N3" s="293"/>
      <c r="O3" s="293"/>
      <c r="P3" s="293"/>
      <c r="Q3" s="293"/>
      <c r="R3" s="293"/>
      <c r="S3" s="293"/>
      <c r="T3" s="292"/>
      <c r="U3" s="291"/>
    </row>
    <row r="4" spans="1:21" ht="17.25" customHeight="1" x14ac:dyDescent="0.25">
      <c r="A4" s="289"/>
      <c r="B4" s="231" t="s">
        <v>992</v>
      </c>
      <c r="C4" s="287"/>
      <c r="D4" s="287"/>
      <c r="E4" s="287"/>
      <c r="F4" s="288" t="s">
        <v>239</v>
      </c>
      <c r="G4" s="287" t="s">
        <v>239</v>
      </c>
      <c r="H4" s="287"/>
      <c r="I4" s="287"/>
      <c r="J4" s="287"/>
      <c r="K4" s="287"/>
      <c r="L4" s="286"/>
      <c r="M4" s="286"/>
      <c r="N4" s="285"/>
      <c r="O4" s="806"/>
      <c r="P4" s="806"/>
      <c r="Q4" s="150"/>
      <c r="R4" s="806"/>
      <c r="S4" s="165" t="s">
        <v>993</v>
      </c>
      <c r="T4" s="284"/>
      <c r="U4" s="283"/>
    </row>
    <row r="5" spans="1:21" s="245" customFormat="1" ht="17.25" customHeight="1" x14ac:dyDescent="0.2">
      <c r="A5" s="282"/>
      <c r="B5" s="281"/>
      <c r="C5" s="810"/>
      <c r="D5" s="229"/>
      <c r="E5" s="229"/>
      <c r="F5" s="229"/>
      <c r="G5" s="229"/>
      <c r="H5" s="229"/>
      <c r="I5" s="229"/>
      <c r="J5" s="229"/>
      <c r="K5" s="228"/>
      <c r="L5" s="227"/>
      <c r="M5" s="226"/>
      <c r="N5" s="226"/>
      <c r="O5" s="226"/>
      <c r="P5" s="226"/>
      <c r="Q5" s="225"/>
      <c r="R5" s="280"/>
      <c r="S5" s="223"/>
      <c r="T5" s="811"/>
      <c r="U5" s="225"/>
    </row>
    <row r="6" spans="1:21" s="245" customFormat="1" ht="17.25" customHeight="1" x14ac:dyDescent="0.2">
      <c r="A6" s="276"/>
      <c r="B6" s="277" t="s">
        <v>571</v>
      </c>
      <c r="C6" s="217" t="s">
        <v>252</v>
      </c>
      <c r="D6" s="212" t="s">
        <v>572</v>
      </c>
      <c r="E6" s="212" t="s">
        <v>573</v>
      </c>
      <c r="F6" s="212" t="s">
        <v>574</v>
      </c>
      <c r="G6" s="212" t="s">
        <v>575</v>
      </c>
      <c r="H6" s="212" t="s">
        <v>576</v>
      </c>
      <c r="I6" s="212" t="s">
        <v>577</v>
      </c>
      <c r="J6" s="222"/>
      <c r="K6" s="221"/>
      <c r="L6" s="214" t="s">
        <v>578</v>
      </c>
      <c r="M6" s="215" t="s">
        <v>579</v>
      </c>
      <c r="N6" s="215" t="s">
        <v>580</v>
      </c>
      <c r="O6" s="215" t="s">
        <v>581</v>
      </c>
      <c r="P6" s="220" t="s">
        <v>617</v>
      </c>
      <c r="Q6" s="279"/>
      <c r="R6" s="278"/>
      <c r="S6" s="213" t="s">
        <v>583</v>
      </c>
      <c r="T6" s="212" t="s">
        <v>251</v>
      </c>
      <c r="U6" s="225"/>
    </row>
    <row r="7" spans="1:21" s="245" customFormat="1" ht="17.25" customHeight="1" x14ac:dyDescent="0.2">
      <c r="A7" s="276"/>
      <c r="B7" s="277"/>
      <c r="C7" s="217"/>
      <c r="D7" s="212" t="s">
        <v>249</v>
      </c>
      <c r="E7" s="212" t="s">
        <v>249</v>
      </c>
      <c r="F7" s="212" t="s">
        <v>250</v>
      </c>
      <c r="G7" s="212"/>
      <c r="H7" s="212"/>
      <c r="I7" s="212" t="s">
        <v>249</v>
      </c>
      <c r="J7" s="212" t="s">
        <v>248</v>
      </c>
      <c r="K7" s="216" t="s">
        <v>247</v>
      </c>
      <c r="L7" s="214"/>
      <c r="M7" s="215"/>
      <c r="N7" s="215"/>
      <c r="O7" s="215"/>
      <c r="P7" s="215"/>
      <c r="Q7" s="215" t="s">
        <v>584</v>
      </c>
      <c r="R7" s="214" t="s">
        <v>585</v>
      </c>
      <c r="S7" s="213"/>
      <c r="T7" s="212"/>
      <c r="U7" s="225"/>
    </row>
    <row r="8" spans="1:21" s="245" customFormat="1" ht="34.5" customHeight="1" x14ac:dyDescent="0.2">
      <c r="A8" s="276"/>
      <c r="B8" s="275"/>
      <c r="C8" s="211" t="s">
        <v>695</v>
      </c>
      <c r="D8" s="211" t="s">
        <v>246</v>
      </c>
      <c r="E8" s="211" t="s">
        <v>596</v>
      </c>
      <c r="F8" s="211" t="s">
        <v>597</v>
      </c>
      <c r="G8" s="211" t="s">
        <v>245</v>
      </c>
      <c r="H8" s="211" t="s">
        <v>586</v>
      </c>
      <c r="I8" s="211" t="s">
        <v>587</v>
      </c>
      <c r="J8" s="211" t="s">
        <v>598</v>
      </c>
      <c r="K8" s="210" t="s">
        <v>618</v>
      </c>
      <c r="L8" s="209" t="s">
        <v>612</v>
      </c>
      <c r="M8" s="209" t="s">
        <v>244</v>
      </c>
      <c r="N8" s="209" t="s">
        <v>243</v>
      </c>
      <c r="O8" s="208" t="s">
        <v>242</v>
      </c>
      <c r="P8" s="914" t="s">
        <v>600</v>
      </c>
      <c r="Q8" s="207"/>
      <c r="R8" s="207"/>
      <c r="S8" s="912" t="s">
        <v>1014</v>
      </c>
      <c r="T8" s="816"/>
      <c r="U8" s="225"/>
    </row>
    <row r="9" spans="1:21" s="245" customFormat="1" ht="15" customHeight="1" x14ac:dyDescent="0.2">
      <c r="A9" s="233"/>
      <c r="B9" s="274"/>
      <c r="C9" s="273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1"/>
      <c r="Q9" s="271"/>
      <c r="R9" s="271"/>
      <c r="S9" s="271"/>
      <c r="T9" s="220"/>
      <c r="U9" s="233"/>
    </row>
    <row r="10" spans="1:21" s="245" customFormat="1" ht="15" customHeight="1" x14ac:dyDescent="0.2">
      <c r="A10" s="233"/>
      <c r="B10" s="263" t="s">
        <v>619</v>
      </c>
      <c r="C10" s="262">
        <v>4495844</v>
      </c>
      <c r="D10" s="234">
        <v>829180</v>
      </c>
      <c r="E10" s="234">
        <v>428821</v>
      </c>
      <c r="F10" s="234">
        <v>309957</v>
      </c>
      <c r="G10" s="234">
        <v>1459422</v>
      </c>
      <c r="H10" s="234">
        <v>682642</v>
      </c>
      <c r="I10" s="234">
        <v>785822</v>
      </c>
      <c r="J10" s="234">
        <v>466944</v>
      </c>
      <c r="K10" s="234">
        <v>318878</v>
      </c>
      <c r="L10" s="234">
        <v>285298</v>
      </c>
      <c r="M10" s="234">
        <v>48164</v>
      </c>
      <c r="N10" s="234">
        <v>7925</v>
      </c>
      <c r="O10" s="234">
        <v>11532</v>
      </c>
      <c r="P10" s="234">
        <v>1253886</v>
      </c>
      <c r="Q10" s="234">
        <v>808112</v>
      </c>
      <c r="R10" s="234">
        <v>445774</v>
      </c>
      <c r="S10" s="234">
        <v>121774</v>
      </c>
      <c r="T10" s="261" t="s">
        <v>240</v>
      </c>
      <c r="U10" s="233"/>
    </row>
    <row r="11" spans="1:21" s="245" customFormat="1" ht="15" customHeight="1" x14ac:dyDescent="0.2">
      <c r="A11" s="233"/>
      <c r="B11" s="263"/>
      <c r="C11" s="262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61"/>
      <c r="U11" s="233"/>
    </row>
    <row r="12" spans="1:21" s="245" customFormat="1" ht="15" customHeight="1" x14ac:dyDescent="0.2">
      <c r="A12" s="233"/>
      <c r="B12" s="268" t="s">
        <v>238</v>
      </c>
      <c r="C12" s="267">
        <v>397510612</v>
      </c>
      <c r="D12" s="266">
        <v>113978423</v>
      </c>
      <c r="E12" s="266">
        <v>79707500</v>
      </c>
      <c r="F12" s="266">
        <v>16304280</v>
      </c>
      <c r="G12" s="266">
        <v>38613699</v>
      </c>
      <c r="H12" s="266">
        <v>88525355</v>
      </c>
      <c r="I12" s="266">
        <v>60381355</v>
      </c>
      <c r="J12" s="266">
        <v>27080093</v>
      </c>
      <c r="K12" s="266">
        <v>33301262</v>
      </c>
      <c r="L12" s="266">
        <v>6227967</v>
      </c>
      <c r="M12" s="266">
        <v>4421478</v>
      </c>
      <c r="N12" s="266">
        <v>114399</v>
      </c>
      <c r="O12" s="266">
        <v>126689</v>
      </c>
      <c r="P12" s="266">
        <v>28626640</v>
      </c>
      <c r="Q12" s="266">
        <v>22206009</v>
      </c>
      <c r="R12" s="266">
        <v>6420631</v>
      </c>
      <c r="S12" s="266">
        <v>67472083</v>
      </c>
      <c r="T12" s="270" t="s">
        <v>602</v>
      </c>
      <c r="U12" s="233"/>
    </row>
    <row r="13" spans="1:21" s="245" customFormat="1" ht="15" customHeight="1" x14ac:dyDescent="0.2">
      <c r="A13" s="233"/>
      <c r="B13" s="263"/>
      <c r="C13" s="262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61"/>
      <c r="U13" s="233"/>
    </row>
    <row r="14" spans="1:21" s="245" customFormat="1" ht="21" customHeight="1" x14ac:dyDescent="0.2">
      <c r="A14" s="233"/>
      <c r="B14" s="264" t="s">
        <v>1016</v>
      </c>
      <c r="C14" s="262">
        <v>169368805</v>
      </c>
      <c r="D14" s="234">
        <v>47661177</v>
      </c>
      <c r="E14" s="234">
        <v>36304721</v>
      </c>
      <c r="F14" s="234">
        <v>8340982</v>
      </c>
      <c r="G14" s="234">
        <v>13253771</v>
      </c>
      <c r="H14" s="234">
        <v>36631614</v>
      </c>
      <c r="I14" s="234">
        <v>27176540</v>
      </c>
      <c r="J14" s="234">
        <v>11046608</v>
      </c>
      <c r="K14" s="234">
        <v>16129932</v>
      </c>
      <c r="L14" s="234">
        <v>2609900</v>
      </c>
      <c r="M14" s="234">
        <v>2028655</v>
      </c>
      <c r="N14" s="234">
        <v>62843</v>
      </c>
      <c r="O14" s="234">
        <v>87407</v>
      </c>
      <c r="P14" s="234">
        <v>4267883</v>
      </c>
      <c r="Q14" s="234">
        <v>2460125</v>
      </c>
      <c r="R14" s="234">
        <v>1807758</v>
      </c>
      <c r="S14" s="234" t="s">
        <v>648</v>
      </c>
      <c r="T14" s="261" t="s">
        <v>237</v>
      </c>
      <c r="U14" s="233"/>
    </row>
    <row r="15" spans="1:21" s="245" customFormat="1" ht="15" customHeight="1" x14ac:dyDescent="0.2">
      <c r="A15" s="233"/>
      <c r="B15" s="264"/>
      <c r="C15" s="262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61"/>
      <c r="U15" s="233"/>
    </row>
    <row r="16" spans="1:21" s="245" customFormat="1" ht="15" customHeight="1" x14ac:dyDescent="0.2">
      <c r="A16" s="233"/>
      <c r="B16" s="264" t="s">
        <v>697</v>
      </c>
      <c r="C16" s="262">
        <v>39136664</v>
      </c>
      <c r="D16" s="234">
        <v>2926721</v>
      </c>
      <c r="E16" s="234">
        <v>30646454</v>
      </c>
      <c r="F16" s="234">
        <v>167858</v>
      </c>
      <c r="G16" s="234">
        <v>2232720</v>
      </c>
      <c r="H16" s="234">
        <v>1980952</v>
      </c>
      <c r="I16" s="234">
        <v>1181959</v>
      </c>
      <c r="J16" s="234">
        <v>153230</v>
      </c>
      <c r="K16" s="234">
        <v>1028729</v>
      </c>
      <c r="L16" s="234">
        <v>270105</v>
      </c>
      <c r="M16" s="234">
        <v>19051</v>
      </c>
      <c r="N16" s="234">
        <v>1804</v>
      </c>
      <c r="O16" s="234">
        <v>12043</v>
      </c>
      <c r="P16" s="234">
        <v>10382862</v>
      </c>
      <c r="Q16" s="234">
        <v>8878848</v>
      </c>
      <c r="R16" s="234">
        <v>1504014</v>
      </c>
      <c r="S16" s="234">
        <v>65369046</v>
      </c>
      <c r="T16" s="261" t="s">
        <v>236</v>
      </c>
      <c r="U16" s="233"/>
    </row>
    <row r="17" spans="1:21" s="245" customFormat="1" ht="15" customHeight="1" x14ac:dyDescent="0.2">
      <c r="A17" s="233"/>
      <c r="B17" s="264"/>
      <c r="C17" s="262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61"/>
      <c r="U17" s="233"/>
    </row>
    <row r="18" spans="1:21" s="245" customFormat="1" ht="31.5" customHeight="1" x14ac:dyDescent="0.2">
      <c r="A18" s="233"/>
      <c r="B18" s="269" t="s">
        <v>259</v>
      </c>
      <c r="C18" s="262">
        <v>112577254</v>
      </c>
      <c r="D18" s="234">
        <v>34337749</v>
      </c>
      <c r="E18" s="234">
        <v>10490009</v>
      </c>
      <c r="F18" s="234">
        <v>4570188</v>
      </c>
      <c r="G18" s="234">
        <v>12611307</v>
      </c>
      <c r="H18" s="234">
        <v>29501799</v>
      </c>
      <c r="I18" s="234">
        <v>21066202</v>
      </c>
      <c r="J18" s="234">
        <v>8807376</v>
      </c>
      <c r="K18" s="234">
        <v>12258826</v>
      </c>
      <c r="L18" s="234">
        <v>1718345</v>
      </c>
      <c r="M18" s="234">
        <v>1737288</v>
      </c>
      <c r="N18" s="234">
        <v>19175</v>
      </c>
      <c r="O18" s="234">
        <v>10514</v>
      </c>
      <c r="P18" s="234">
        <v>9100030</v>
      </c>
      <c r="Q18" s="234">
        <v>6548602</v>
      </c>
      <c r="R18" s="234">
        <v>2551428</v>
      </c>
      <c r="S18" s="234">
        <v>205820</v>
      </c>
      <c r="T18" s="261" t="s">
        <v>698</v>
      </c>
      <c r="U18" s="233"/>
    </row>
    <row r="19" spans="1:21" s="245" customFormat="1" ht="15" customHeight="1" x14ac:dyDescent="0.2">
      <c r="A19" s="233"/>
      <c r="B19" s="264"/>
      <c r="C19" s="262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61"/>
      <c r="U19" s="233"/>
    </row>
    <row r="20" spans="1:21" s="245" customFormat="1" ht="25.5" customHeight="1" x14ac:dyDescent="0.2">
      <c r="A20" s="233"/>
      <c r="B20" s="264" t="s">
        <v>1017</v>
      </c>
      <c r="C20" s="262">
        <v>9245760</v>
      </c>
      <c r="D20" s="234">
        <v>3723296</v>
      </c>
      <c r="E20" s="234">
        <v>186515</v>
      </c>
      <c r="F20" s="234">
        <v>4882</v>
      </c>
      <c r="G20" s="234">
        <v>1545416</v>
      </c>
      <c r="H20" s="234">
        <v>1687035</v>
      </c>
      <c r="I20" s="234">
        <v>2098616</v>
      </c>
      <c r="J20" s="234">
        <v>1402202</v>
      </c>
      <c r="K20" s="234">
        <v>696414</v>
      </c>
      <c r="L20" s="234">
        <v>233976</v>
      </c>
      <c r="M20" s="234">
        <v>122557</v>
      </c>
      <c r="N20" s="234">
        <v>3249</v>
      </c>
      <c r="O20" s="234">
        <v>13984</v>
      </c>
      <c r="P20" s="234">
        <v>1629238</v>
      </c>
      <c r="Q20" s="234">
        <v>1445278</v>
      </c>
      <c r="R20" s="234">
        <v>183960</v>
      </c>
      <c r="S20" s="234">
        <v>1234969</v>
      </c>
      <c r="T20" s="261" t="s">
        <v>699</v>
      </c>
      <c r="U20" s="233"/>
    </row>
    <row r="21" spans="1:21" s="245" customFormat="1" ht="15" customHeight="1" x14ac:dyDescent="0.2">
      <c r="A21" s="233"/>
      <c r="B21" s="264"/>
      <c r="C21" s="262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61"/>
      <c r="U21" s="233"/>
    </row>
    <row r="22" spans="1:21" s="245" customFormat="1" ht="30.75" customHeight="1" x14ac:dyDescent="0.2">
      <c r="A22" s="233"/>
      <c r="B22" s="264" t="s">
        <v>1018</v>
      </c>
      <c r="C22" s="262">
        <v>262479</v>
      </c>
      <c r="D22" s="234" t="s">
        <v>648</v>
      </c>
      <c r="E22" s="234">
        <v>10001</v>
      </c>
      <c r="F22" s="234">
        <v>21794</v>
      </c>
      <c r="G22" s="234">
        <v>63726</v>
      </c>
      <c r="H22" s="234">
        <v>43646</v>
      </c>
      <c r="I22" s="234">
        <v>123312</v>
      </c>
      <c r="J22" s="234">
        <v>90833</v>
      </c>
      <c r="K22" s="234">
        <v>32479</v>
      </c>
      <c r="L22" s="234">
        <v>374</v>
      </c>
      <c r="M22" s="234" t="s">
        <v>648</v>
      </c>
      <c r="N22" s="234">
        <v>8592</v>
      </c>
      <c r="O22" s="234" t="s">
        <v>648</v>
      </c>
      <c r="P22" s="234">
        <v>38981</v>
      </c>
      <c r="Q22" s="234" t="s">
        <v>648</v>
      </c>
      <c r="R22" s="234">
        <v>38981</v>
      </c>
      <c r="S22" s="234">
        <v>1868</v>
      </c>
      <c r="T22" s="261" t="s">
        <v>620</v>
      </c>
      <c r="U22" s="233"/>
    </row>
    <row r="23" spans="1:21" s="245" customFormat="1" ht="15" customHeight="1" x14ac:dyDescent="0.2">
      <c r="A23" s="233"/>
      <c r="B23" s="264"/>
      <c r="C23" s="262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61"/>
      <c r="U23" s="233"/>
    </row>
    <row r="24" spans="1:21" s="245" customFormat="1" ht="21" customHeight="1" x14ac:dyDescent="0.2">
      <c r="A24" s="233"/>
      <c r="B24" s="826" t="s">
        <v>1010</v>
      </c>
      <c r="C24" s="262" t="s">
        <v>648</v>
      </c>
      <c r="D24" s="234" t="s">
        <v>648</v>
      </c>
      <c r="E24" s="234" t="s">
        <v>648</v>
      </c>
      <c r="F24" s="234" t="s">
        <v>648</v>
      </c>
      <c r="G24" s="234" t="s">
        <v>648</v>
      </c>
      <c r="H24" s="234" t="s">
        <v>648</v>
      </c>
      <c r="I24" s="234" t="s">
        <v>648</v>
      </c>
      <c r="J24" s="234" t="s">
        <v>648</v>
      </c>
      <c r="K24" s="234" t="s">
        <v>648</v>
      </c>
      <c r="L24" s="234" t="s">
        <v>648</v>
      </c>
      <c r="M24" s="234" t="s">
        <v>648</v>
      </c>
      <c r="N24" s="234" t="s">
        <v>648</v>
      </c>
      <c r="O24" s="234" t="s">
        <v>648</v>
      </c>
      <c r="P24" s="234" t="s">
        <v>648</v>
      </c>
      <c r="Q24" s="234" t="s">
        <v>648</v>
      </c>
      <c r="R24" s="234" t="s">
        <v>648</v>
      </c>
      <c r="S24" s="234" t="s">
        <v>648</v>
      </c>
      <c r="T24" s="261" t="s">
        <v>258</v>
      </c>
      <c r="U24" s="233"/>
    </row>
    <row r="25" spans="1:21" s="245" customFormat="1" ht="15" customHeight="1" x14ac:dyDescent="0.2">
      <c r="A25" s="233"/>
      <c r="B25" s="264"/>
      <c r="C25" s="262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61"/>
      <c r="U25" s="233"/>
    </row>
    <row r="26" spans="1:21" s="245" customFormat="1" ht="15" customHeight="1" x14ac:dyDescent="0.2">
      <c r="A26" s="233"/>
      <c r="B26" s="264" t="s">
        <v>700</v>
      </c>
      <c r="C26" s="262">
        <v>66919650</v>
      </c>
      <c r="D26" s="234">
        <v>25329480</v>
      </c>
      <c r="E26" s="234">
        <v>2069800</v>
      </c>
      <c r="F26" s="234">
        <v>3198576</v>
      </c>
      <c r="G26" s="234">
        <v>8906759</v>
      </c>
      <c r="H26" s="234">
        <v>18680309</v>
      </c>
      <c r="I26" s="234">
        <v>8734726</v>
      </c>
      <c r="J26" s="234">
        <v>5579844</v>
      </c>
      <c r="K26" s="234">
        <v>3154882</v>
      </c>
      <c r="L26" s="234">
        <v>1395267</v>
      </c>
      <c r="M26" s="234">
        <v>513927</v>
      </c>
      <c r="N26" s="234">
        <v>18736</v>
      </c>
      <c r="O26" s="234">
        <v>2741</v>
      </c>
      <c r="P26" s="234">
        <v>3207646</v>
      </c>
      <c r="Q26" s="234">
        <v>2873156</v>
      </c>
      <c r="R26" s="234">
        <v>334490</v>
      </c>
      <c r="S26" s="234">
        <v>660380</v>
      </c>
      <c r="T26" s="261" t="s">
        <v>621</v>
      </c>
      <c r="U26" s="233"/>
    </row>
    <row r="27" spans="1:21" s="245" customFormat="1" ht="15" customHeight="1" x14ac:dyDescent="0.2">
      <c r="A27" s="233"/>
      <c r="B27" s="263"/>
      <c r="C27" s="262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61"/>
      <c r="U27" s="233"/>
    </row>
    <row r="28" spans="1:21" s="245" customFormat="1" ht="15" customHeight="1" x14ac:dyDescent="0.2">
      <c r="A28" s="233"/>
      <c r="B28" s="268" t="s">
        <v>234</v>
      </c>
      <c r="C28" s="267">
        <v>397645529</v>
      </c>
      <c r="D28" s="266">
        <v>114037275</v>
      </c>
      <c r="E28" s="266">
        <v>79844273</v>
      </c>
      <c r="F28" s="266">
        <v>16270031</v>
      </c>
      <c r="G28" s="266">
        <v>38654927</v>
      </c>
      <c r="H28" s="266">
        <v>88526117</v>
      </c>
      <c r="I28" s="266">
        <v>60312906</v>
      </c>
      <c r="J28" s="266">
        <v>27094155</v>
      </c>
      <c r="K28" s="266">
        <v>33218751</v>
      </c>
      <c r="L28" s="266">
        <v>6230551</v>
      </c>
      <c r="M28" s="266">
        <v>4414440</v>
      </c>
      <c r="N28" s="266">
        <v>113340</v>
      </c>
      <c r="O28" s="266">
        <v>126624</v>
      </c>
      <c r="P28" s="266">
        <v>28420561</v>
      </c>
      <c r="Q28" s="266">
        <v>21967699</v>
      </c>
      <c r="R28" s="266">
        <v>6452862</v>
      </c>
      <c r="S28" s="266">
        <v>67478007</v>
      </c>
      <c r="T28" s="265" t="s">
        <v>604</v>
      </c>
      <c r="U28" s="233"/>
    </row>
    <row r="29" spans="1:21" s="245" customFormat="1" ht="15" customHeight="1" x14ac:dyDescent="0.2">
      <c r="A29" s="233"/>
      <c r="B29" s="263"/>
      <c r="C29" s="262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61"/>
      <c r="U29" s="233"/>
    </row>
    <row r="30" spans="1:21" s="245" customFormat="1" ht="21" customHeight="1" x14ac:dyDescent="0.2">
      <c r="A30" s="233"/>
      <c r="B30" s="264" t="s">
        <v>1019</v>
      </c>
      <c r="C30" s="262">
        <v>189626877</v>
      </c>
      <c r="D30" s="234">
        <v>54241273</v>
      </c>
      <c r="E30" s="234">
        <v>49673183</v>
      </c>
      <c r="F30" s="234">
        <v>3130857</v>
      </c>
      <c r="G30" s="234">
        <v>17889549</v>
      </c>
      <c r="H30" s="234">
        <v>40268758</v>
      </c>
      <c r="I30" s="234">
        <v>24423257</v>
      </c>
      <c r="J30" s="234">
        <v>13692553</v>
      </c>
      <c r="K30" s="234">
        <v>10730704</v>
      </c>
      <c r="L30" s="234">
        <v>2239322</v>
      </c>
      <c r="M30" s="234">
        <v>2644009</v>
      </c>
      <c r="N30" s="234">
        <v>58550</v>
      </c>
      <c r="O30" s="234">
        <v>51393</v>
      </c>
      <c r="P30" s="234">
        <v>13992175</v>
      </c>
      <c r="Q30" s="234">
        <v>10899758</v>
      </c>
      <c r="R30" s="234">
        <v>3092417</v>
      </c>
      <c r="S30" s="234">
        <v>66864116</v>
      </c>
      <c r="T30" s="261" t="s">
        <v>622</v>
      </c>
      <c r="U30" s="233"/>
    </row>
    <row r="31" spans="1:21" s="245" customFormat="1" ht="15" customHeight="1" x14ac:dyDescent="0.2">
      <c r="A31" s="233"/>
      <c r="B31" s="264"/>
      <c r="C31" s="262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61"/>
      <c r="U31" s="233"/>
    </row>
    <row r="32" spans="1:21" s="245" customFormat="1" ht="31.5" customHeight="1" x14ac:dyDescent="0.2">
      <c r="A32" s="233"/>
      <c r="B32" s="264" t="s">
        <v>256</v>
      </c>
      <c r="C32" s="262">
        <v>120835087</v>
      </c>
      <c r="D32" s="234">
        <v>31572540</v>
      </c>
      <c r="E32" s="234">
        <v>28221086</v>
      </c>
      <c r="F32" s="234">
        <v>4950450</v>
      </c>
      <c r="G32" s="234">
        <v>11761059</v>
      </c>
      <c r="H32" s="234">
        <v>24980299</v>
      </c>
      <c r="I32" s="234">
        <v>19349653</v>
      </c>
      <c r="J32" s="234">
        <v>6975333</v>
      </c>
      <c r="K32" s="234">
        <v>12374320</v>
      </c>
      <c r="L32" s="234">
        <v>1800949</v>
      </c>
      <c r="M32" s="234">
        <v>1176443</v>
      </c>
      <c r="N32" s="234">
        <v>14209</v>
      </c>
      <c r="O32" s="234">
        <v>26577</v>
      </c>
      <c r="P32" s="234">
        <v>9041256</v>
      </c>
      <c r="Q32" s="234">
        <v>7082622</v>
      </c>
      <c r="R32" s="234">
        <v>1958634</v>
      </c>
      <c r="S32" s="234">
        <v>503103</v>
      </c>
      <c r="T32" s="261" t="s">
        <v>623</v>
      </c>
      <c r="U32" s="233"/>
    </row>
    <row r="33" spans="1:22" s="245" customFormat="1" ht="15" customHeight="1" x14ac:dyDescent="0.2">
      <c r="A33" s="233"/>
      <c r="B33" s="264"/>
      <c r="C33" s="262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61"/>
      <c r="U33" s="233"/>
    </row>
    <row r="34" spans="1:22" s="245" customFormat="1" ht="15" customHeight="1" x14ac:dyDescent="0.2">
      <c r="A34" s="233"/>
      <c r="B34" s="264" t="s">
        <v>613</v>
      </c>
      <c r="C34" s="262">
        <v>22230511</v>
      </c>
      <c r="D34" s="234">
        <v>3344951</v>
      </c>
      <c r="E34" s="234" t="s">
        <v>648</v>
      </c>
      <c r="F34" s="234">
        <v>5327622</v>
      </c>
      <c r="G34" s="234">
        <v>511923</v>
      </c>
      <c r="H34" s="234">
        <v>4886875</v>
      </c>
      <c r="I34" s="234">
        <v>8159140</v>
      </c>
      <c r="J34" s="234">
        <v>775956</v>
      </c>
      <c r="K34" s="234">
        <v>7383184</v>
      </c>
      <c r="L34" s="234">
        <v>766211</v>
      </c>
      <c r="M34" s="234">
        <v>14830</v>
      </c>
      <c r="N34" s="234">
        <v>831</v>
      </c>
      <c r="O34" s="234">
        <v>44158</v>
      </c>
      <c r="P34" s="234">
        <v>147278</v>
      </c>
      <c r="Q34" s="234">
        <v>133767</v>
      </c>
      <c r="R34" s="234">
        <v>13511</v>
      </c>
      <c r="S34" s="234" t="s">
        <v>648</v>
      </c>
      <c r="T34" s="261" t="s">
        <v>231</v>
      </c>
      <c r="U34" s="233"/>
    </row>
    <row r="35" spans="1:22" s="245" customFormat="1" ht="15" customHeight="1" x14ac:dyDescent="0.2">
      <c r="A35" s="233"/>
      <c r="B35" s="264"/>
      <c r="C35" s="262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61"/>
      <c r="U35" s="233"/>
    </row>
    <row r="36" spans="1:22" s="245" customFormat="1" ht="31.5" customHeight="1" x14ac:dyDescent="0.2">
      <c r="A36" s="233"/>
      <c r="B36" s="264" t="s">
        <v>1020</v>
      </c>
      <c r="C36" s="262">
        <v>262853</v>
      </c>
      <c r="D36" s="234">
        <v>788</v>
      </c>
      <c r="E36" s="234" t="s">
        <v>648</v>
      </c>
      <c r="F36" s="234">
        <v>77368</v>
      </c>
      <c r="G36" s="234">
        <v>61560</v>
      </c>
      <c r="H36" s="234">
        <v>92211</v>
      </c>
      <c r="I36" s="234">
        <v>30926</v>
      </c>
      <c r="J36" s="234">
        <v>5008</v>
      </c>
      <c r="K36" s="234">
        <v>25918</v>
      </c>
      <c r="L36" s="234">
        <v>8592</v>
      </c>
      <c r="M36" s="234" t="s">
        <v>648</v>
      </c>
      <c r="N36" s="234" t="s">
        <v>648</v>
      </c>
      <c r="O36" s="234" t="s">
        <v>648</v>
      </c>
      <c r="P36" s="234">
        <v>40849</v>
      </c>
      <c r="Q36" s="234">
        <v>40849</v>
      </c>
      <c r="R36" s="234" t="s">
        <v>648</v>
      </c>
      <c r="S36" s="234" t="s">
        <v>648</v>
      </c>
      <c r="T36" s="261" t="s">
        <v>614</v>
      </c>
      <c r="U36" s="233"/>
    </row>
    <row r="37" spans="1:22" s="245" customFormat="1" ht="15" customHeight="1" x14ac:dyDescent="0.2">
      <c r="A37" s="233"/>
      <c r="B37" s="264"/>
      <c r="C37" s="262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61"/>
      <c r="U37" s="233"/>
    </row>
    <row r="38" spans="1:22" s="245" customFormat="1" ht="15" customHeight="1" x14ac:dyDescent="0.2">
      <c r="A38" s="233"/>
      <c r="B38" s="264" t="s">
        <v>615</v>
      </c>
      <c r="C38" s="262">
        <v>41300</v>
      </c>
      <c r="D38" s="234">
        <v>175</v>
      </c>
      <c r="E38" s="234">
        <v>56</v>
      </c>
      <c r="F38" s="234" t="s">
        <v>648</v>
      </c>
      <c r="G38" s="234">
        <v>2265</v>
      </c>
      <c r="H38" s="234">
        <v>592</v>
      </c>
      <c r="I38" s="234">
        <v>38212</v>
      </c>
      <c r="J38" s="234">
        <v>26728</v>
      </c>
      <c r="K38" s="234">
        <v>11484</v>
      </c>
      <c r="L38" s="234">
        <v>56418</v>
      </c>
      <c r="M38" s="234" t="s">
        <v>648</v>
      </c>
      <c r="N38" s="234" t="s">
        <v>648</v>
      </c>
      <c r="O38" s="234" t="s">
        <v>648</v>
      </c>
      <c r="P38" s="234" t="s">
        <v>648</v>
      </c>
      <c r="Q38" s="234" t="s">
        <v>648</v>
      </c>
      <c r="R38" s="234" t="s">
        <v>648</v>
      </c>
      <c r="S38" s="234">
        <v>353</v>
      </c>
      <c r="T38" s="261" t="s">
        <v>230</v>
      </c>
      <c r="U38" s="233"/>
    </row>
    <row r="39" spans="1:22" s="245" customFormat="1" ht="15" customHeight="1" x14ac:dyDescent="0.2">
      <c r="A39" s="233"/>
      <c r="B39" s="264"/>
      <c r="C39" s="262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61"/>
      <c r="U39" s="233"/>
    </row>
    <row r="40" spans="1:22" s="245" customFormat="1" ht="15" customHeight="1" x14ac:dyDescent="0.2">
      <c r="A40" s="233"/>
      <c r="B40" s="264" t="s">
        <v>701</v>
      </c>
      <c r="C40" s="262">
        <v>64648901</v>
      </c>
      <c r="D40" s="234">
        <v>24877548</v>
      </c>
      <c r="E40" s="234">
        <v>1949948</v>
      </c>
      <c r="F40" s="234">
        <v>2783734</v>
      </c>
      <c r="G40" s="234">
        <v>8428571</v>
      </c>
      <c r="H40" s="234">
        <v>18297382</v>
      </c>
      <c r="I40" s="234">
        <v>8311718</v>
      </c>
      <c r="J40" s="234">
        <v>5618577</v>
      </c>
      <c r="K40" s="234">
        <v>2693141</v>
      </c>
      <c r="L40" s="234">
        <v>1359059</v>
      </c>
      <c r="M40" s="234">
        <v>579158</v>
      </c>
      <c r="N40" s="234">
        <v>39750</v>
      </c>
      <c r="O40" s="234">
        <v>4496</v>
      </c>
      <c r="P40" s="234">
        <v>5199003</v>
      </c>
      <c r="Q40" s="234">
        <v>3810703</v>
      </c>
      <c r="R40" s="234">
        <v>1388300</v>
      </c>
      <c r="S40" s="234">
        <v>110435</v>
      </c>
      <c r="T40" s="261" t="s">
        <v>229</v>
      </c>
      <c r="U40" s="233"/>
    </row>
    <row r="41" spans="1:22" s="245" customFormat="1" ht="15" customHeight="1" x14ac:dyDescent="0.2">
      <c r="A41" s="233"/>
      <c r="B41" s="263"/>
      <c r="C41" s="262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61"/>
      <c r="U41" s="233"/>
    </row>
    <row r="42" spans="1:22" ht="15" customHeight="1" x14ac:dyDescent="0.2">
      <c r="A42" s="233"/>
      <c r="B42" s="260" t="s">
        <v>616</v>
      </c>
      <c r="C42" s="234">
        <v>4360927</v>
      </c>
      <c r="D42" s="234">
        <v>770328</v>
      </c>
      <c r="E42" s="234">
        <v>292048</v>
      </c>
      <c r="F42" s="234">
        <v>344206</v>
      </c>
      <c r="G42" s="234">
        <v>1418194</v>
      </c>
      <c r="H42" s="234">
        <v>681880</v>
      </c>
      <c r="I42" s="234">
        <v>854271</v>
      </c>
      <c r="J42" s="234">
        <v>452882</v>
      </c>
      <c r="K42" s="234">
        <v>401389</v>
      </c>
      <c r="L42" s="234">
        <v>282714</v>
      </c>
      <c r="M42" s="234">
        <v>55202</v>
      </c>
      <c r="N42" s="234">
        <v>8984</v>
      </c>
      <c r="O42" s="234">
        <v>11597</v>
      </c>
      <c r="P42" s="234">
        <v>1459965</v>
      </c>
      <c r="Q42" s="234">
        <v>1046422</v>
      </c>
      <c r="R42" s="234">
        <v>413543</v>
      </c>
      <c r="S42" s="259">
        <v>115850</v>
      </c>
      <c r="T42" s="258" t="s">
        <v>255</v>
      </c>
      <c r="U42" s="233"/>
    </row>
    <row r="43" spans="1:22" ht="15" customHeight="1" x14ac:dyDescent="0.25">
      <c r="A43" s="257"/>
      <c r="B43" s="256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4"/>
      <c r="T43" s="253"/>
      <c r="U43" s="252"/>
      <c r="V43" s="251"/>
    </row>
    <row r="44" spans="1:22" s="245" customFormat="1" ht="15" customHeight="1" x14ac:dyDescent="0.15">
      <c r="A44" s="250"/>
      <c r="B44" s="192" t="s">
        <v>624</v>
      </c>
      <c r="C44" s="249"/>
      <c r="D44" s="249"/>
      <c r="E44" s="249"/>
      <c r="F44" s="249"/>
      <c r="G44" s="249"/>
      <c r="H44" s="249"/>
      <c r="I44" s="249"/>
      <c r="J44" s="223"/>
      <c r="K44" s="249"/>
      <c r="L44" s="193" t="s">
        <v>625</v>
      </c>
      <c r="M44" s="249"/>
      <c r="N44" s="249"/>
      <c r="O44" s="249"/>
      <c r="P44" s="249"/>
      <c r="Q44" s="249"/>
      <c r="R44" s="249"/>
      <c r="S44" s="249"/>
      <c r="T44" s="248"/>
      <c r="U44" s="247"/>
      <c r="V44" s="246"/>
    </row>
    <row r="45" spans="1:22" x14ac:dyDescent="0.25">
      <c r="A45" s="244"/>
      <c r="B45" s="192" t="s">
        <v>629</v>
      </c>
      <c r="U45" s="243"/>
    </row>
  </sheetData>
  <phoneticPr fontId="30"/>
  <pageMargins left="0.59055118110236227" right="0.59055118110236227" top="0.59055118110236227" bottom="0.59055118110236227" header="0.59055118110236227" footer="0.11811023622047245"/>
  <pageSetup paperSize="9" scale="89" orientation="portrait" r:id="rId1"/>
  <headerFooter alignWithMargins="0"/>
  <colBreaks count="1" manualBreakCount="1">
    <brk id="11" max="4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4"/>
  <sheetViews>
    <sheetView view="pageBreakPreview" zoomScaleNormal="50" zoomScaleSheetLayoutView="100" workbookViewId="0">
      <selection activeCell="H17" sqref="H17"/>
    </sheetView>
  </sheetViews>
  <sheetFormatPr defaultColWidth="9" defaultRowHeight="16.5" x14ac:dyDescent="0.25"/>
  <cols>
    <col min="1" max="1" width="1.6328125" style="303" customWidth="1"/>
    <col min="2" max="2" width="13.36328125" style="303" customWidth="1"/>
    <col min="3" max="3" width="10.453125" style="303" customWidth="1"/>
    <col min="4" max="4" width="10.81640625" style="303" customWidth="1"/>
    <col min="5" max="19" width="9.453125" style="303" customWidth="1"/>
    <col min="20" max="20" width="18.6328125" style="305" customWidth="1"/>
    <col min="21" max="21" width="2.6328125" style="304" customWidth="1"/>
    <col min="22" max="22" width="6.453125" style="303" customWidth="1"/>
    <col min="23" max="16384" width="9" style="303"/>
  </cols>
  <sheetData>
    <row r="1" spans="1:22" s="315" customFormat="1" ht="17.25" customHeight="1" x14ac:dyDescent="0.25">
      <c r="A1" s="317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T1" s="316"/>
      <c r="U1" s="309"/>
    </row>
    <row r="2" spans="1:22" s="309" customFormat="1" ht="17.25" customHeight="1" x14ac:dyDescent="0.25">
      <c r="A2" s="297"/>
      <c r="B2" s="314"/>
      <c r="C2" s="311"/>
      <c r="D2" s="311"/>
      <c r="E2" s="291"/>
      <c r="F2" s="313"/>
      <c r="G2" s="312"/>
      <c r="H2" s="312"/>
      <c r="I2" s="311"/>
      <c r="J2" s="295"/>
      <c r="K2" s="291"/>
      <c r="L2" s="310"/>
      <c r="M2" s="291"/>
      <c r="N2" s="293"/>
      <c r="O2" s="293"/>
      <c r="P2" s="293"/>
      <c r="Q2" s="293"/>
      <c r="R2" s="293"/>
      <c r="S2" s="293"/>
      <c r="T2" s="292"/>
      <c r="U2" s="291"/>
      <c r="V2" s="290"/>
    </row>
    <row r="3" spans="1:22" ht="17.25" customHeight="1" x14ac:dyDescent="0.25">
      <c r="A3" s="289"/>
      <c r="B3" s="231" t="s">
        <v>1013</v>
      </c>
      <c r="C3" s="287"/>
      <c r="D3" s="287"/>
      <c r="E3" s="287"/>
      <c r="F3" s="973" t="s">
        <v>239</v>
      </c>
      <c r="G3" s="287" t="s">
        <v>239</v>
      </c>
      <c r="H3" s="287"/>
      <c r="I3" s="287"/>
      <c r="J3" s="287"/>
      <c r="K3" s="287"/>
      <c r="L3" s="974"/>
      <c r="M3" s="974"/>
      <c r="N3" s="975"/>
      <c r="O3" s="806"/>
      <c r="P3" s="806"/>
      <c r="Q3" s="150"/>
      <c r="R3" s="806"/>
      <c r="S3" s="165" t="s">
        <v>993</v>
      </c>
      <c r="T3" s="976"/>
      <c r="U3" s="283"/>
    </row>
    <row r="4" spans="1:22" s="308" customFormat="1" ht="17.25" customHeight="1" x14ac:dyDescent="0.2">
      <c r="A4" s="282"/>
      <c r="B4" s="281"/>
      <c r="C4" s="810"/>
      <c r="D4" s="229"/>
      <c r="E4" s="229"/>
      <c r="F4" s="229"/>
      <c r="G4" s="229"/>
      <c r="H4" s="229"/>
      <c r="I4" s="229"/>
      <c r="J4" s="229"/>
      <c r="K4" s="228"/>
      <c r="L4" s="227"/>
      <c r="M4" s="226"/>
      <c r="N4" s="226"/>
      <c r="O4" s="226"/>
      <c r="P4" s="226"/>
      <c r="Q4" s="225"/>
      <c r="R4" s="224"/>
      <c r="S4" s="223"/>
      <c r="T4" s="811"/>
      <c r="U4" s="225"/>
    </row>
    <row r="5" spans="1:22" s="308" customFormat="1" ht="17.25" customHeight="1" x14ac:dyDescent="0.2">
      <c r="A5" s="276"/>
      <c r="B5" s="277" t="s">
        <v>571</v>
      </c>
      <c r="C5" s="217" t="s">
        <v>252</v>
      </c>
      <c r="D5" s="212" t="s">
        <v>572</v>
      </c>
      <c r="E5" s="212" t="s">
        <v>573</v>
      </c>
      <c r="F5" s="212" t="s">
        <v>574</v>
      </c>
      <c r="G5" s="212" t="s">
        <v>575</v>
      </c>
      <c r="H5" s="212" t="s">
        <v>576</v>
      </c>
      <c r="I5" s="212" t="s">
        <v>577</v>
      </c>
      <c r="J5" s="222"/>
      <c r="K5" s="221"/>
      <c r="L5" s="214" t="s">
        <v>578</v>
      </c>
      <c r="M5" s="215" t="s">
        <v>579</v>
      </c>
      <c r="N5" s="215" t="s">
        <v>580</v>
      </c>
      <c r="O5" s="215" t="s">
        <v>1021</v>
      </c>
      <c r="P5" s="220" t="s">
        <v>617</v>
      </c>
      <c r="Q5" s="219"/>
      <c r="R5" s="218"/>
      <c r="S5" s="213" t="s">
        <v>583</v>
      </c>
      <c r="T5" s="212" t="s">
        <v>251</v>
      </c>
      <c r="U5" s="225"/>
    </row>
    <row r="6" spans="1:22" s="308" customFormat="1" ht="17.25" customHeight="1" x14ac:dyDescent="0.2">
      <c r="A6" s="276"/>
      <c r="B6" s="277"/>
      <c r="C6" s="217"/>
      <c r="D6" s="212" t="s">
        <v>249</v>
      </c>
      <c r="E6" s="212" t="s">
        <v>249</v>
      </c>
      <c r="F6" s="212" t="s">
        <v>250</v>
      </c>
      <c r="G6" s="212"/>
      <c r="H6" s="212"/>
      <c r="I6" s="212" t="s">
        <v>249</v>
      </c>
      <c r="J6" s="212" t="s">
        <v>248</v>
      </c>
      <c r="K6" s="216" t="s">
        <v>247</v>
      </c>
      <c r="L6" s="214"/>
      <c r="M6" s="215"/>
      <c r="N6" s="215"/>
      <c r="O6" s="215"/>
      <c r="P6" s="215"/>
      <c r="Q6" s="215" t="s">
        <v>584</v>
      </c>
      <c r="R6" s="214" t="s">
        <v>585</v>
      </c>
      <c r="S6" s="213"/>
      <c r="T6" s="212"/>
      <c r="U6" s="225"/>
    </row>
    <row r="7" spans="1:22" s="308" customFormat="1" ht="34.5" customHeight="1" x14ac:dyDescent="0.2">
      <c r="A7" s="276"/>
      <c r="B7" s="275"/>
      <c r="C7" s="211" t="s">
        <v>695</v>
      </c>
      <c r="D7" s="211" t="s">
        <v>246</v>
      </c>
      <c r="E7" s="211" t="s">
        <v>596</v>
      </c>
      <c r="F7" s="211" t="s">
        <v>597</v>
      </c>
      <c r="G7" s="211" t="s">
        <v>245</v>
      </c>
      <c r="H7" s="211" t="s">
        <v>586</v>
      </c>
      <c r="I7" s="211" t="s">
        <v>587</v>
      </c>
      <c r="J7" s="211" t="s">
        <v>598</v>
      </c>
      <c r="K7" s="210" t="s">
        <v>618</v>
      </c>
      <c r="L7" s="209" t="s">
        <v>1022</v>
      </c>
      <c r="M7" s="209" t="s">
        <v>244</v>
      </c>
      <c r="N7" s="209" t="s">
        <v>243</v>
      </c>
      <c r="O7" s="208" t="s">
        <v>242</v>
      </c>
      <c r="P7" s="914" t="s">
        <v>600</v>
      </c>
      <c r="Q7" s="207"/>
      <c r="R7" s="207"/>
      <c r="S7" s="912" t="s">
        <v>1014</v>
      </c>
      <c r="T7" s="816"/>
      <c r="U7" s="225"/>
    </row>
    <row r="8" spans="1:22" s="308" customFormat="1" ht="15" customHeight="1" x14ac:dyDescent="0.2">
      <c r="A8" s="276"/>
      <c r="B8" s="274"/>
      <c r="C8" s="273"/>
      <c r="D8" s="272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1"/>
      <c r="Q8" s="271"/>
      <c r="R8" s="271"/>
      <c r="S8" s="271"/>
      <c r="T8" s="220"/>
      <c r="U8" s="233"/>
    </row>
    <row r="9" spans="1:22" s="308" customFormat="1" ht="15" customHeight="1" x14ac:dyDescent="0.2">
      <c r="A9" s="233"/>
      <c r="B9" s="263" t="s">
        <v>619</v>
      </c>
      <c r="C9" s="262">
        <v>3649495</v>
      </c>
      <c r="D9" s="234">
        <v>794362</v>
      </c>
      <c r="E9" s="234">
        <v>325390</v>
      </c>
      <c r="F9" s="234">
        <v>290611</v>
      </c>
      <c r="G9" s="234">
        <v>819769</v>
      </c>
      <c r="H9" s="234">
        <v>652763</v>
      </c>
      <c r="I9" s="234">
        <v>766600</v>
      </c>
      <c r="J9" s="234">
        <v>421414</v>
      </c>
      <c r="K9" s="234">
        <v>345186</v>
      </c>
      <c r="L9" s="234">
        <v>273431</v>
      </c>
      <c r="M9" s="234">
        <v>43233</v>
      </c>
      <c r="N9" s="234">
        <v>8765</v>
      </c>
      <c r="O9" s="234">
        <v>11944</v>
      </c>
      <c r="P9" s="234">
        <v>1358321</v>
      </c>
      <c r="Q9" s="234">
        <v>866591</v>
      </c>
      <c r="R9" s="234">
        <v>491730</v>
      </c>
      <c r="S9" s="234">
        <v>72159</v>
      </c>
      <c r="T9" s="261" t="s">
        <v>240</v>
      </c>
      <c r="U9" s="233"/>
    </row>
    <row r="10" spans="1:22" s="308" customFormat="1" ht="15" customHeight="1" x14ac:dyDescent="0.2">
      <c r="A10" s="233"/>
      <c r="B10" s="263"/>
      <c r="C10" s="262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61"/>
      <c r="U10" s="233"/>
    </row>
    <row r="11" spans="1:22" s="308" customFormat="1" ht="15" customHeight="1" x14ac:dyDescent="0.2">
      <c r="A11" s="233"/>
      <c r="B11" s="268" t="s">
        <v>238</v>
      </c>
      <c r="C11" s="267">
        <v>385218696</v>
      </c>
      <c r="D11" s="266">
        <v>110684102</v>
      </c>
      <c r="E11" s="266">
        <v>75959135</v>
      </c>
      <c r="F11" s="266">
        <v>16641065</v>
      </c>
      <c r="G11" s="266">
        <v>35554541</v>
      </c>
      <c r="H11" s="266">
        <v>87043888</v>
      </c>
      <c r="I11" s="266">
        <v>59335965</v>
      </c>
      <c r="J11" s="266">
        <v>26001035</v>
      </c>
      <c r="K11" s="266">
        <v>33334930</v>
      </c>
      <c r="L11" s="266">
        <v>6109752</v>
      </c>
      <c r="M11" s="266">
        <v>4148154</v>
      </c>
      <c r="N11" s="266">
        <v>111627</v>
      </c>
      <c r="O11" s="266">
        <v>129254</v>
      </c>
      <c r="P11" s="266">
        <v>29233532</v>
      </c>
      <c r="Q11" s="266">
        <v>23058709</v>
      </c>
      <c r="R11" s="266">
        <v>6174823</v>
      </c>
      <c r="S11" s="266">
        <v>64226791</v>
      </c>
      <c r="T11" s="270" t="s">
        <v>602</v>
      </c>
      <c r="U11" s="233"/>
    </row>
    <row r="12" spans="1:22" s="308" customFormat="1" ht="15" customHeight="1" x14ac:dyDescent="0.2">
      <c r="A12" s="233"/>
      <c r="B12" s="263"/>
      <c r="C12" s="262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61"/>
      <c r="U12" s="233"/>
    </row>
    <row r="13" spans="1:22" s="308" customFormat="1" ht="21" customHeight="1" x14ac:dyDescent="0.2">
      <c r="A13" s="233"/>
      <c r="B13" s="264" t="s">
        <v>1023</v>
      </c>
      <c r="C13" s="262">
        <v>172267207</v>
      </c>
      <c r="D13" s="234">
        <v>48296214</v>
      </c>
      <c r="E13" s="234">
        <v>36456140</v>
      </c>
      <c r="F13" s="234">
        <v>8949624</v>
      </c>
      <c r="G13" s="234">
        <v>13402164</v>
      </c>
      <c r="H13" s="234">
        <v>38035071</v>
      </c>
      <c r="I13" s="234">
        <v>27127994</v>
      </c>
      <c r="J13" s="234">
        <v>10745626</v>
      </c>
      <c r="K13" s="234">
        <v>16382368</v>
      </c>
      <c r="L13" s="234">
        <v>2556958</v>
      </c>
      <c r="M13" s="234">
        <v>1951602</v>
      </c>
      <c r="N13" s="234">
        <v>61137</v>
      </c>
      <c r="O13" s="234">
        <v>90274</v>
      </c>
      <c r="P13" s="234">
        <v>4241968</v>
      </c>
      <c r="Q13" s="234">
        <v>2551331</v>
      </c>
      <c r="R13" s="234">
        <v>1690637</v>
      </c>
      <c r="S13" s="234" t="s">
        <v>648</v>
      </c>
      <c r="T13" s="261" t="s">
        <v>237</v>
      </c>
      <c r="U13" s="233"/>
    </row>
    <row r="14" spans="1:22" s="308" customFormat="1" ht="15" customHeight="1" x14ac:dyDescent="0.2">
      <c r="A14" s="233"/>
      <c r="B14" s="264"/>
      <c r="C14" s="262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61"/>
      <c r="U14" s="233"/>
    </row>
    <row r="15" spans="1:22" s="308" customFormat="1" ht="15" customHeight="1" x14ac:dyDescent="0.2">
      <c r="A15" s="233"/>
      <c r="B15" s="264" t="s">
        <v>1024</v>
      </c>
      <c r="C15" s="262">
        <v>36918645</v>
      </c>
      <c r="D15" s="234">
        <v>2800701</v>
      </c>
      <c r="E15" s="234">
        <v>29351002</v>
      </c>
      <c r="F15" s="234">
        <v>127101</v>
      </c>
      <c r="G15" s="234">
        <v>1522164</v>
      </c>
      <c r="H15" s="234">
        <v>1713115</v>
      </c>
      <c r="I15" s="234">
        <v>1404562</v>
      </c>
      <c r="J15" s="234">
        <v>143574</v>
      </c>
      <c r="K15" s="234">
        <v>1260988</v>
      </c>
      <c r="L15" s="234">
        <v>279529</v>
      </c>
      <c r="M15" s="234">
        <v>18092</v>
      </c>
      <c r="N15" s="234">
        <v>1890</v>
      </c>
      <c r="O15" s="234">
        <v>11711</v>
      </c>
      <c r="P15" s="234">
        <v>10305781</v>
      </c>
      <c r="Q15" s="234">
        <v>8765823</v>
      </c>
      <c r="R15" s="234">
        <v>1539958</v>
      </c>
      <c r="S15" s="234">
        <v>62030632</v>
      </c>
      <c r="T15" s="261" t="s">
        <v>236</v>
      </c>
      <c r="U15" s="233"/>
    </row>
    <row r="16" spans="1:22" s="308" customFormat="1" ht="15" customHeight="1" x14ac:dyDescent="0.2">
      <c r="A16" s="233"/>
      <c r="B16" s="264"/>
      <c r="C16" s="262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61"/>
      <c r="U16" s="233"/>
    </row>
    <row r="17" spans="1:21" s="308" customFormat="1" ht="31.5" customHeight="1" x14ac:dyDescent="0.2">
      <c r="A17" s="233"/>
      <c r="B17" s="269" t="s">
        <v>702</v>
      </c>
      <c r="C17" s="262">
        <v>104660830</v>
      </c>
      <c r="D17" s="234">
        <v>32087687</v>
      </c>
      <c r="E17" s="234">
        <v>8130212</v>
      </c>
      <c r="F17" s="234">
        <v>4327286</v>
      </c>
      <c r="G17" s="234">
        <v>11638063</v>
      </c>
      <c r="H17" s="234">
        <v>28209412</v>
      </c>
      <c r="I17" s="234">
        <v>20268170</v>
      </c>
      <c r="J17" s="234">
        <v>8298787</v>
      </c>
      <c r="K17" s="234">
        <v>11969383</v>
      </c>
      <c r="L17" s="234">
        <v>1576569</v>
      </c>
      <c r="M17" s="234">
        <v>1472187</v>
      </c>
      <c r="N17" s="234">
        <v>17093</v>
      </c>
      <c r="O17" s="234">
        <v>6962</v>
      </c>
      <c r="P17" s="234">
        <v>9437506</v>
      </c>
      <c r="Q17" s="234">
        <v>7027016</v>
      </c>
      <c r="R17" s="234">
        <v>2410490</v>
      </c>
      <c r="S17" s="234">
        <v>222433</v>
      </c>
      <c r="T17" s="261" t="s">
        <v>1025</v>
      </c>
      <c r="U17" s="233"/>
    </row>
    <row r="18" spans="1:21" s="308" customFormat="1" ht="15" customHeight="1" x14ac:dyDescent="0.2">
      <c r="A18" s="233"/>
      <c r="B18" s="264"/>
      <c r="C18" s="262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61"/>
      <c r="U18" s="233"/>
    </row>
    <row r="19" spans="1:21" s="308" customFormat="1" ht="25.5" customHeight="1" x14ac:dyDescent="0.2">
      <c r="A19" s="233"/>
      <c r="B19" s="264" t="s">
        <v>1017</v>
      </c>
      <c r="C19" s="262">
        <v>9838025</v>
      </c>
      <c r="D19" s="234">
        <v>3889662</v>
      </c>
      <c r="E19" s="234">
        <v>293033</v>
      </c>
      <c r="F19" s="234">
        <v>3927</v>
      </c>
      <c r="G19" s="234">
        <v>1534613</v>
      </c>
      <c r="H19" s="234">
        <v>1777063</v>
      </c>
      <c r="I19" s="234">
        <v>2339727</v>
      </c>
      <c r="J19" s="234">
        <v>1444998</v>
      </c>
      <c r="K19" s="234">
        <v>894729</v>
      </c>
      <c r="L19" s="234">
        <v>332897</v>
      </c>
      <c r="M19" s="234">
        <v>143584</v>
      </c>
      <c r="N19" s="234">
        <v>4612</v>
      </c>
      <c r="O19" s="234">
        <v>17705</v>
      </c>
      <c r="P19" s="234">
        <v>1774617</v>
      </c>
      <c r="Q19" s="234">
        <v>1594582</v>
      </c>
      <c r="R19" s="234">
        <v>180035</v>
      </c>
      <c r="S19" s="234">
        <v>1251973</v>
      </c>
      <c r="T19" s="261" t="s">
        <v>699</v>
      </c>
      <c r="U19" s="233"/>
    </row>
    <row r="20" spans="1:21" s="308" customFormat="1" ht="15" customHeight="1" x14ac:dyDescent="0.2">
      <c r="A20" s="233"/>
      <c r="B20" s="264"/>
      <c r="C20" s="262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61"/>
      <c r="U20" s="233"/>
    </row>
    <row r="21" spans="1:21" s="308" customFormat="1" ht="31.5" customHeight="1" x14ac:dyDescent="0.2">
      <c r="A21" s="233"/>
      <c r="B21" s="264" t="s">
        <v>1018</v>
      </c>
      <c r="C21" s="262">
        <v>283700</v>
      </c>
      <c r="D21" s="234" t="s">
        <v>648</v>
      </c>
      <c r="E21" s="234">
        <v>15001</v>
      </c>
      <c r="F21" s="234">
        <v>21794</v>
      </c>
      <c r="G21" s="234">
        <v>50903</v>
      </c>
      <c r="H21" s="234">
        <v>62076</v>
      </c>
      <c r="I21" s="234">
        <v>133926</v>
      </c>
      <c r="J21" s="234">
        <v>112825</v>
      </c>
      <c r="K21" s="234">
        <v>21101</v>
      </c>
      <c r="L21" s="234">
        <v>368</v>
      </c>
      <c r="M21" s="234" t="s">
        <v>648</v>
      </c>
      <c r="N21" s="234">
        <v>8520</v>
      </c>
      <c r="O21" s="234" t="s">
        <v>648</v>
      </c>
      <c r="P21" s="234">
        <v>37237</v>
      </c>
      <c r="Q21" s="234" t="s">
        <v>648</v>
      </c>
      <c r="R21" s="234">
        <v>37237</v>
      </c>
      <c r="S21" s="234">
        <v>1569</v>
      </c>
      <c r="T21" s="261" t="s">
        <v>620</v>
      </c>
      <c r="U21" s="233"/>
    </row>
    <row r="22" spans="1:21" s="308" customFormat="1" ht="15" customHeight="1" x14ac:dyDescent="0.2">
      <c r="A22" s="233"/>
      <c r="B22" s="264"/>
      <c r="C22" s="262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61"/>
      <c r="U22" s="233"/>
    </row>
    <row r="23" spans="1:21" s="308" customFormat="1" ht="21" customHeight="1" x14ac:dyDescent="0.2">
      <c r="A23" s="233"/>
      <c r="B23" s="826" t="s">
        <v>1010</v>
      </c>
      <c r="C23" s="262" t="s">
        <v>648</v>
      </c>
      <c r="D23" s="234" t="s">
        <v>648</v>
      </c>
      <c r="E23" s="234" t="s">
        <v>648</v>
      </c>
      <c r="F23" s="234" t="s">
        <v>648</v>
      </c>
      <c r="G23" s="234" t="s">
        <v>648</v>
      </c>
      <c r="H23" s="234" t="s">
        <v>648</v>
      </c>
      <c r="I23" s="234" t="s">
        <v>648</v>
      </c>
      <c r="J23" s="234" t="s">
        <v>648</v>
      </c>
      <c r="K23" s="234" t="s">
        <v>648</v>
      </c>
      <c r="L23" s="234" t="s">
        <v>648</v>
      </c>
      <c r="M23" s="234" t="s">
        <v>648</v>
      </c>
      <c r="N23" s="234" t="s">
        <v>648</v>
      </c>
      <c r="O23" s="234" t="s">
        <v>648</v>
      </c>
      <c r="P23" s="234" t="s">
        <v>648</v>
      </c>
      <c r="Q23" s="234" t="s">
        <v>648</v>
      </c>
      <c r="R23" s="234" t="s">
        <v>648</v>
      </c>
      <c r="S23" s="234" t="s">
        <v>648</v>
      </c>
      <c r="T23" s="261" t="s">
        <v>258</v>
      </c>
      <c r="U23" s="233"/>
    </row>
    <row r="24" spans="1:21" s="308" customFormat="1" ht="15" customHeight="1" x14ac:dyDescent="0.2">
      <c r="A24" s="233"/>
      <c r="B24" s="264"/>
      <c r="C24" s="262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61"/>
      <c r="U24" s="233"/>
    </row>
    <row r="25" spans="1:21" s="308" customFormat="1" ht="15" customHeight="1" x14ac:dyDescent="0.2">
      <c r="A25" s="233"/>
      <c r="B25" s="264" t="s">
        <v>700</v>
      </c>
      <c r="C25" s="262">
        <v>61250289</v>
      </c>
      <c r="D25" s="234">
        <v>23609838</v>
      </c>
      <c r="E25" s="234">
        <v>1713747</v>
      </c>
      <c r="F25" s="234">
        <v>3211333</v>
      </c>
      <c r="G25" s="234">
        <v>7406634</v>
      </c>
      <c r="H25" s="234">
        <v>17247151</v>
      </c>
      <c r="I25" s="234">
        <v>8061586</v>
      </c>
      <c r="J25" s="234">
        <v>5255225</v>
      </c>
      <c r="K25" s="234">
        <v>2806361</v>
      </c>
      <c r="L25" s="234">
        <v>1363431</v>
      </c>
      <c r="M25" s="234">
        <v>562689</v>
      </c>
      <c r="N25" s="234">
        <v>18375</v>
      </c>
      <c r="O25" s="234">
        <v>2602</v>
      </c>
      <c r="P25" s="234">
        <v>3436423</v>
      </c>
      <c r="Q25" s="234">
        <v>3119957</v>
      </c>
      <c r="R25" s="234">
        <v>316466</v>
      </c>
      <c r="S25" s="234">
        <v>720184</v>
      </c>
      <c r="T25" s="261" t="s">
        <v>621</v>
      </c>
      <c r="U25" s="233"/>
    </row>
    <row r="26" spans="1:21" s="308" customFormat="1" ht="15" customHeight="1" x14ac:dyDescent="0.2">
      <c r="A26" s="233"/>
      <c r="B26" s="263"/>
      <c r="C26" s="262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61"/>
      <c r="U26" s="233"/>
    </row>
    <row r="27" spans="1:21" s="308" customFormat="1" ht="15" customHeight="1" x14ac:dyDescent="0.2">
      <c r="A27" s="233"/>
      <c r="B27" s="268" t="s">
        <v>234</v>
      </c>
      <c r="C27" s="267">
        <v>385394735</v>
      </c>
      <c r="D27" s="266">
        <v>110641483</v>
      </c>
      <c r="E27" s="266">
        <v>75921985</v>
      </c>
      <c r="F27" s="266">
        <v>16633704</v>
      </c>
      <c r="G27" s="266">
        <v>35680573</v>
      </c>
      <c r="H27" s="266">
        <v>87079561</v>
      </c>
      <c r="I27" s="266">
        <v>59437429</v>
      </c>
      <c r="J27" s="266">
        <v>26025049</v>
      </c>
      <c r="K27" s="266">
        <v>33412380</v>
      </c>
      <c r="L27" s="266">
        <v>6100230</v>
      </c>
      <c r="M27" s="266">
        <v>4132788</v>
      </c>
      <c r="N27" s="266">
        <v>111070</v>
      </c>
      <c r="O27" s="266">
        <v>130484</v>
      </c>
      <c r="P27" s="266">
        <v>29219844</v>
      </c>
      <c r="Q27" s="266">
        <v>23052958</v>
      </c>
      <c r="R27" s="266">
        <v>6166886</v>
      </c>
      <c r="S27" s="266">
        <v>64184082</v>
      </c>
      <c r="T27" s="265" t="s">
        <v>604</v>
      </c>
      <c r="U27" s="233"/>
    </row>
    <row r="28" spans="1:21" s="308" customFormat="1" ht="15" customHeight="1" x14ac:dyDescent="0.2">
      <c r="A28" s="233"/>
      <c r="B28" s="263"/>
      <c r="C28" s="262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61"/>
      <c r="U28" s="233"/>
    </row>
    <row r="29" spans="1:21" s="308" customFormat="1" ht="21" customHeight="1" x14ac:dyDescent="0.2">
      <c r="A29" s="233"/>
      <c r="B29" s="264" t="s">
        <v>257</v>
      </c>
      <c r="C29" s="262">
        <v>191194400</v>
      </c>
      <c r="D29" s="234">
        <v>54720831</v>
      </c>
      <c r="E29" s="234">
        <v>47602060</v>
      </c>
      <c r="F29" s="234">
        <v>3389159</v>
      </c>
      <c r="G29" s="234">
        <v>18621406</v>
      </c>
      <c r="H29" s="234">
        <v>40803555</v>
      </c>
      <c r="I29" s="234">
        <v>26057389</v>
      </c>
      <c r="J29" s="234">
        <v>14408285</v>
      </c>
      <c r="K29" s="234">
        <v>11649104</v>
      </c>
      <c r="L29" s="234">
        <v>2234060</v>
      </c>
      <c r="M29" s="234">
        <v>2604180</v>
      </c>
      <c r="N29" s="234">
        <v>57988</v>
      </c>
      <c r="O29" s="234">
        <v>52384</v>
      </c>
      <c r="P29" s="234">
        <v>14688248</v>
      </c>
      <c r="Q29" s="234">
        <v>11751284</v>
      </c>
      <c r="R29" s="234">
        <v>2936964</v>
      </c>
      <c r="S29" s="234">
        <v>63628877</v>
      </c>
      <c r="T29" s="261" t="s">
        <v>622</v>
      </c>
      <c r="U29" s="233"/>
    </row>
    <row r="30" spans="1:21" s="308" customFormat="1" ht="15" customHeight="1" x14ac:dyDescent="0.2">
      <c r="A30" s="233"/>
      <c r="B30" s="264"/>
      <c r="C30" s="262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61"/>
      <c r="U30" s="233"/>
    </row>
    <row r="31" spans="1:21" s="308" customFormat="1" ht="31.5" customHeight="1" x14ac:dyDescent="0.2">
      <c r="A31" s="233"/>
      <c r="B31" s="264" t="s">
        <v>256</v>
      </c>
      <c r="C31" s="262">
        <v>109968341</v>
      </c>
      <c r="D31" s="234">
        <v>28622057</v>
      </c>
      <c r="E31" s="234">
        <v>26519488</v>
      </c>
      <c r="F31" s="234">
        <v>4670478</v>
      </c>
      <c r="G31" s="234">
        <v>9532606</v>
      </c>
      <c r="H31" s="234">
        <v>23182233</v>
      </c>
      <c r="I31" s="234">
        <v>17441479</v>
      </c>
      <c r="J31" s="234">
        <v>5917903</v>
      </c>
      <c r="K31" s="234">
        <v>11523576</v>
      </c>
      <c r="L31" s="234">
        <v>1727011</v>
      </c>
      <c r="M31" s="234">
        <v>901385</v>
      </c>
      <c r="N31" s="234">
        <v>13628</v>
      </c>
      <c r="O31" s="234">
        <v>27422</v>
      </c>
      <c r="P31" s="234">
        <v>8931800</v>
      </c>
      <c r="Q31" s="234">
        <v>7005764</v>
      </c>
      <c r="R31" s="234">
        <v>1926036</v>
      </c>
      <c r="S31" s="234">
        <v>497649</v>
      </c>
      <c r="T31" s="261" t="s">
        <v>623</v>
      </c>
      <c r="U31" s="233"/>
    </row>
    <row r="32" spans="1:21" s="308" customFormat="1" ht="15" customHeight="1" x14ac:dyDescent="0.2">
      <c r="A32" s="233"/>
      <c r="B32" s="264"/>
      <c r="C32" s="262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61"/>
      <c r="U32" s="233"/>
    </row>
    <row r="33" spans="1:22" s="308" customFormat="1" ht="15" customHeight="1" x14ac:dyDescent="0.2">
      <c r="A33" s="233"/>
      <c r="B33" s="264" t="s">
        <v>613</v>
      </c>
      <c r="C33" s="262">
        <v>23940994</v>
      </c>
      <c r="D33" s="234">
        <v>3984149</v>
      </c>
      <c r="E33" s="234" t="s">
        <v>648</v>
      </c>
      <c r="F33" s="234">
        <v>5713857</v>
      </c>
      <c r="G33" s="234">
        <v>384819</v>
      </c>
      <c r="H33" s="234">
        <v>5938069</v>
      </c>
      <c r="I33" s="234">
        <v>7920100</v>
      </c>
      <c r="J33" s="234">
        <v>446974</v>
      </c>
      <c r="K33" s="234">
        <v>7473126</v>
      </c>
      <c r="L33" s="234">
        <v>723422</v>
      </c>
      <c r="M33" s="234">
        <v>14830</v>
      </c>
      <c r="N33" s="234">
        <v>807</v>
      </c>
      <c r="O33" s="234">
        <v>46346</v>
      </c>
      <c r="P33" s="234">
        <v>183639</v>
      </c>
      <c r="Q33" s="234">
        <v>168625</v>
      </c>
      <c r="R33" s="234">
        <v>15014</v>
      </c>
      <c r="S33" s="234" t="s">
        <v>648</v>
      </c>
      <c r="T33" s="261" t="s">
        <v>231</v>
      </c>
      <c r="U33" s="233"/>
    </row>
    <row r="34" spans="1:22" s="308" customFormat="1" ht="15" customHeight="1" x14ac:dyDescent="0.2">
      <c r="A34" s="233"/>
      <c r="B34" s="264"/>
      <c r="C34" s="262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61"/>
      <c r="U34" s="233"/>
    </row>
    <row r="35" spans="1:22" s="308" customFormat="1" ht="31.5" customHeight="1" x14ac:dyDescent="0.2">
      <c r="A35" s="233"/>
      <c r="B35" s="264" t="s">
        <v>1020</v>
      </c>
      <c r="C35" s="262">
        <v>284067</v>
      </c>
      <c r="D35" s="234">
        <v>888</v>
      </c>
      <c r="E35" s="234" t="s">
        <v>648</v>
      </c>
      <c r="F35" s="234">
        <v>76074</v>
      </c>
      <c r="G35" s="234">
        <v>101112</v>
      </c>
      <c r="H35" s="234">
        <v>75964</v>
      </c>
      <c r="I35" s="234">
        <v>30029</v>
      </c>
      <c r="J35" s="234">
        <v>5069</v>
      </c>
      <c r="K35" s="234">
        <v>24960</v>
      </c>
      <c r="L35" s="234">
        <v>8520</v>
      </c>
      <c r="M35" s="234" t="s">
        <v>648</v>
      </c>
      <c r="N35" s="234">
        <v>1</v>
      </c>
      <c r="O35" s="234" t="s">
        <v>648</v>
      </c>
      <c r="P35" s="234">
        <v>38806</v>
      </c>
      <c r="Q35" s="234">
        <v>38806</v>
      </c>
      <c r="R35" s="234" t="s">
        <v>648</v>
      </c>
      <c r="S35" s="234" t="s">
        <v>648</v>
      </c>
      <c r="T35" s="261" t="s">
        <v>614</v>
      </c>
      <c r="U35" s="233"/>
    </row>
    <row r="36" spans="1:22" s="308" customFormat="1" ht="15" customHeight="1" x14ac:dyDescent="0.2">
      <c r="A36" s="233"/>
      <c r="B36" s="264"/>
      <c r="C36" s="262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61"/>
      <c r="U36" s="233"/>
    </row>
    <row r="37" spans="1:22" s="308" customFormat="1" ht="15" customHeight="1" x14ac:dyDescent="0.2">
      <c r="A37" s="233"/>
      <c r="B37" s="264" t="s">
        <v>615</v>
      </c>
      <c r="C37" s="262">
        <v>32688</v>
      </c>
      <c r="D37" s="234">
        <v>151</v>
      </c>
      <c r="E37" s="234">
        <v>54</v>
      </c>
      <c r="F37" s="234" t="s">
        <v>648</v>
      </c>
      <c r="G37" s="234">
        <v>2619</v>
      </c>
      <c r="H37" s="234">
        <v>600</v>
      </c>
      <c r="I37" s="234">
        <v>29264</v>
      </c>
      <c r="J37" s="234">
        <v>17727</v>
      </c>
      <c r="K37" s="234">
        <v>11537</v>
      </c>
      <c r="L37" s="234">
        <v>55159</v>
      </c>
      <c r="M37" s="234">
        <v>4</v>
      </c>
      <c r="N37" s="234">
        <v>1</v>
      </c>
      <c r="O37" s="234" t="s">
        <v>648</v>
      </c>
      <c r="P37" s="234" t="s">
        <v>648</v>
      </c>
      <c r="Q37" s="234" t="s">
        <v>648</v>
      </c>
      <c r="R37" s="234" t="s">
        <v>648</v>
      </c>
      <c r="S37" s="234">
        <v>300</v>
      </c>
      <c r="T37" s="261" t="s">
        <v>230</v>
      </c>
      <c r="U37" s="233"/>
    </row>
    <row r="38" spans="1:22" s="308" customFormat="1" ht="15" customHeight="1" x14ac:dyDescent="0.2">
      <c r="A38" s="233"/>
      <c r="B38" s="264"/>
      <c r="C38" s="262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61"/>
      <c r="U38" s="233"/>
    </row>
    <row r="39" spans="1:22" s="308" customFormat="1" ht="15" customHeight="1" x14ac:dyDescent="0.2">
      <c r="A39" s="233"/>
      <c r="B39" s="264" t="s">
        <v>701</v>
      </c>
      <c r="C39" s="262">
        <v>59974245</v>
      </c>
      <c r="D39" s="234">
        <v>23313407</v>
      </c>
      <c r="E39" s="234">
        <v>1800383</v>
      </c>
      <c r="F39" s="234">
        <v>2784136</v>
      </c>
      <c r="G39" s="234">
        <v>7038011</v>
      </c>
      <c r="H39" s="234">
        <v>17079140</v>
      </c>
      <c r="I39" s="234">
        <v>7959168</v>
      </c>
      <c r="J39" s="234">
        <v>5229091</v>
      </c>
      <c r="K39" s="234">
        <v>2730077</v>
      </c>
      <c r="L39" s="234">
        <v>1352058</v>
      </c>
      <c r="M39" s="234">
        <v>612389</v>
      </c>
      <c r="N39" s="234">
        <v>38645</v>
      </c>
      <c r="O39" s="234">
        <v>4332</v>
      </c>
      <c r="P39" s="234">
        <v>5377351</v>
      </c>
      <c r="Q39" s="234">
        <v>4088479</v>
      </c>
      <c r="R39" s="234">
        <v>1288872</v>
      </c>
      <c r="S39" s="234">
        <v>57256</v>
      </c>
      <c r="T39" s="261" t="s">
        <v>229</v>
      </c>
      <c r="U39" s="233"/>
    </row>
    <row r="40" spans="1:22" s="308" customFormat="1" ht="15" customHeight="1" x14ac:dyDescent="0.2">
      <c r="A40" s="233"/>
      <c r="B40" s="263"/>
      <c r="C40" s="262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61"/>
      <c r="U40" s="233"/>
    </row>
    <row r="41" spans="1:22" ht="15" customHeight="1" x14ac:dyDescent="0.2">
      <c r="A41" s="233"/>
      <c r="B41" s="260" t="s">
        <v>1026</v>
      </c>
      <c r="C41" s="234">
        <v>3473456</v>
      </c>
      <c r="D41" s="234">
        <v>836981</v>
      </c>
      <c r="E41" s="234">
        <v>362540</v>
      </c>
      <c r="F41" s="234">
        <v>297972</v>
      </c>
      <c r="G41" s="234">
        <v>693737</v>
      </c>
      <c r="H41" s="234">
        <v>617090</v>
      </c>
      <c r="I41" s="234">
        <v>665136</v>
      </c>
      <c r="J41" s="234">
        <v>397400</v>
      </c>
      <c r="K41" s="234">
        <v>267736</v>
      </c>
      <c r="L41" s="234">
        <v>282953</v>
      </c>
      <c r="M41" s="234">
        <v>58599</v>
      </c>
      <c r="N41" s="234">
        <v>9322</v>
      </c>
      <c r="O41" s="234">
        <v>10714</v>
      </c>
      <c r="P41" s="234">
        <v>1372009</v>
      </c>
      <c r="Q41" s="234">
        <v>872342</v>
      </c>
      <c r="R41" s="234">
        <v>499667</v>
      </c>
      <c r="S41" s="259">
        <v>114868</v>
      </c>
      <c r="T41" s="258" t="s">
        <v>255</v>
      </c>
      <c r="U41" s="233"/>
    </row>
    <row r="42" spans="1:22" ht="15" customHeight="1" x14ac:dyDescent="0.25">
      <c r="A42" s="257"/>
      <c r="B42" s="256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4"/>
      <c r="T42" s="253"/>
      <c r="U42" s="252"/>
      <c r="V42" s="251"/>
    </row>
    <row r="43" spans="1:22" s="308" customFormat="1" ht="15" customHeight="1" x14ac:dyDescent="0.15">
      <c r="A43" s="250"/>
      <c r="B43" s="192" t="s">
        <v>624</v>
      </c>
      <c r="C43" s="249"/>
      <c r="D43" s="249"/>
      <c r="E43" s="249"/>
      <c r="F43" s="249"/>
      <c r="G43" s="249"/>
      <c r="H43" s="249"/>
      <c r="I43" s="249"/>
      <c r="J43" s="223"/>
      <c r="K43" s="249"/>
      <c r="L43" s="193" t="s">
        <v>1027</v>
      </c>
      <c r="M43" s="249"/>
      <c r="N43" s="249"/>
      <c r="O43" s="249"/>
      <c r="P43" s="249"/>
      <c r="Q43" s="249"/>
      <c r="R43" s="249"/>
      <c r="S43" s="249"/>
      <c r="T43" s="248"/>
      <c r="U43" s="247"/>
      <c r="V43" s="246"/>
    </row>
    <row r="44" spans="1:22" x14ac:dyDescent="0.25">
      <c r="A44" s="307"/>
      <c r="B44" s="192" t="s">
        <v>629</v>
      </c>
      <c r="U44" s="306"/>
    </row>
  </sheetData>
  <phoneticPr fontId="30"/>
  <pageMargins left="0.59055118110236227" right="0.59055118110236227" top="0.59055118110236227" bottom="0.59055118110236227" header="0.59055118110236227" footer="0.11811023622047245"/>
  <pageSetup paperSize="9" scale="89" orientation="portrait" r:id="rId1"/>
  <headerFooter alignWithMargins="0"/>
  <colBreaks count="1" manualBreakCount="1">
    <brk id="11" max="4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1"/>
  <sheetViews>
    <sheetView view="pageBreakPreview" zoomScaleNormal="70" zoomScaleSheetLayoutView="100" workbookViewId="0">
      <selection activeCell="Y15" sqref="Y15"/>
    </sheetView>
  </sheetViews>
  <sheetFormatPr defaultColWidth="9" defaultRowHeight="13" x14ac:dyDescent="0.2"/>
  <cols>
    <col min="1" max="1" width="2.6328125" style="240" customWidth="1"/>
    <col min="2" max="2" width="3.36328125" style="240" customWidth="1"/>
    <col min="3" max="3" width="3.26953125" style="240" customWidth="1"/>
    <col min="4" max="4" width="6.08984375" style="240" customWidth="1"/>
    <col min="5" max="5" width="0.90625" style="240" customWidth="1"/>
    <col min="6" max="6" width="10.6328125" style="240" customWidth="1"/>
    <col min="7" max="7" width="9.90625" style="240" customWidth="1"/>
    <col min="8" max="10" width="8.36328125" style="240" customWidth="1"/>
    <col min="11" max="11" width="10.1796875" style="240" customWidth="1"/>
    <col min="12" max="12" width="8.36328125" style="240" customWidth="1"/>
    <col min="13" max="13" width="8.08984375" style="240" customWidth="1"/>
    <col min="14" max="21" width="8.36328125" style="240" customWidth="1"/>
    <col min="22" max="22" width="9.26953125" style="240" customWidth="1"/>
    <col min="23" max="23" width="8.26953125" style="240" customWidth="1"/>
    <col min="24" max="24" width="2.6328125" style="241" customWidth="1"/>
    <col min="25" max="25" width="6.90625" style="240" customWidth="1"/>
    <col min="26" max="16384" width="9" style="240"/>
  </cols>
  <sheetData>
    <row r="1" spans="1:25" ht="16.5" customHeight="1" x14ac:dyDescent="0.25">
      <c r="G1" s="358"/>
      <c r="I1" s="357"/>
      <c r="J1" s="356"/>
      <c r="K1" s="356"/>
      <c r="L1" s="356"/>
      <c r="M1" s="356"/>
      <c r="N1" s="356"/>
      <c r="O1" s="356"/>
      <c r="P1" s="356"/>
      <c r="Q1" s="356"/>
      <c r="R1" s="356"/>
      <c r="T1" s="850"/>
      <c r="X1" s="240"/>
    </row>
    <row r="2" spans="1:25" s="351" customFormat="1" ht="16.5" customHeight="1" x14ac:dyDescent="0.2">
      <c r="R2" s="355"/>
      <c r="T2" s="354"/>
      <c r="U2" s="354"/>
      <c r="X2" s="353"/>
      <c r="Y2" s="352"/>
    </row>
    <row r="3" spans="1:25" s="189" customFormat="1" ht="16.5" customHeight="1" x14ac:dyDescent="0.2">
      <c r="A3" s="865"/>
      <c r="B3" s="350" t="s">
        <v>1028</v>
      </c>
      <c r="C3" s="851"/>
      <c r="D3" s="851"/>
      <c r="E3" s="851"/>
      <c r="F3" s="349"/>
      <c r="G3" s="852"/>
      <c r="H3" s="349"/>
      <c r="I3" s="349"/>
      <c r="J3" s="853"/>
      <c r="K3" s="853"/>
      <c r="L3" s="349"/>
      <c r="M3" s="349"/>
      <c r="N3" s="349"/>
      <c r="O3" s="977"/>
      <c r="P3" s="349"/>
      <c r="Q3" s="349"/>
      <c r="R3" s="854"/>
      <c r="S3" s="855"/>
      <c r="T3" s="806"/>
      <c r="U3" s="806"/>
      <c r="V3" s="165" t="s">
        <v>510</v>
      </c>
      <c r="W3" s="349"/>
      <c r="X3" s="348"/>
    </row>
    <row r="4" spans="1:25" s="857" customFormat="1" ht="22" customHeight="1" x14ac:dyDescent="0.15">
      <c r="A4" s="346"/>
      <c r="B4" s="909"/>
      <c r="C4" s="909"/>
      <c r="D4" s="909"/>
      <c r="E4" s="910"/>
      <c r="F4" s="810"/>
      <c r="G4" s="229"/>
      <c r="H4" s="229"/>
      <c r="I4" s="229"/>
      <c r="J4" s="229"/>
      <c r="K4" s="229"/>
      <c r="L4" s="229"/>
      <c r="M4" s="229"/>
      <c r="N4" s="228"/>
      <c r="O4" s="227"/>
      <c r="P4" s="226"/>
      <c r="Q4" s="226"/>
      <c r="R4" s="226"/>
      <c r="S4" s="226"/>
      <c r="T4" s="225"/>
      <c r="U4" s="280"/>
      <c r="V4" s="347"/>
      <c r="W4" s="1083" t="s">
        <v>1029</v>
      </c>
      <c r="X4" s="320"/>
      <c r="Y4" s="856"/>
    </row>
    <row r="5" spans="1:25" s="857" customFormat="1" ht="22" customHeight="1" x14ac:dyDescent="0.15">
      <c r="A5" s="909"/>
      <c r="B5" s="1071" t="s">
        <v>1030</v>
      </c>
      <c r="C5" s="1071"/>
      <c r="D5" s="1071"/>
      <c r="E5" s="1072"/>
      <c r="F5" s="217" t="s">
        <v>252</v>
      </c>
      <c r="G5" s="212" t="s">
        <v>1031</v>
      </c>
      <c r="H5" s="212" t="s">
        <v>1032</v>
      </c>
      <c r="I5" s="212" t="s">
        <v>574</v>
      </c>
      <c r="J5" s="212" t="s">
        <v>1033</v>
      </c>
      <c r="K5" s="212" t="s">
        <v>1034</v>
      </c>
      <c r="L5" s="212" t="s">
        <v>1035</v>
      </c>
      <c r="M5" s="222"/>
      <c r="N5" s="221"/>
      <c r="O5" s="214" t="s">
        <v>1036</v>
      </c>
      <c r="P5" s="215" t="s">
        <v>1037</v>
      </c>
      <c r="Q5" s="215" t="s">
        <v>580</v>
      </c>
      <c r="R5" s="215" t="s">
        <v>1038</v>
      </c>
      <c r="S5" s="220" t="s">
        <v>1039</v>
      </c>
      <c r="T5" s="279"/>
      <c r="U5" s="278"/>
      <c r="V5" s="214" t="s">
        <v>1040</v>
      </c>
      <c r="W5" s="1084"/>
      <c r="X5" s="320"/>
      <c r="Y5" s="858" t="s">
        <v>249</v>
      </c>
    </row>
    <row r="6" spans="1:25" s="860" customFormat="1" ht="22" customHeight="1" x14ac:dyDescent="0.15">
      <c r="A6" s="909"/>
      <c r="B6" s="909"/>
      <c r="C6" s="909"/>
      <c r="D6" s="909"/>
      <c r="E6" s="910"/>
      <c r="F6" s="217"/>
      <c r="G6" s="212" t="s">
        <v>249</v>
      </c>
      <c r="H6" s="212" t="s">
        <v>249</v>
      </c>
      <c r="I6" s="859" t="s">
        <v>250</v>
      </c>
      <c r="J6" s="212"/>
      <c r="K6" s="212"/>
      <c r="L6" s="212" t="s">
        <v>249</v>
      </c>
      <c r="M6" s="212" t="s">
        <v>248</v>
      </c>
      <c r="N6" s="216" t="s">
        <v>247</v>
      </c>
      <c r="O6" s="214"/>
      <c r="P6" s="215"/>
      <c r="Q6" s="215"/>
      <c r="R6" s="215"/>
      <c r="S6" s="215"/>
      <c r="T6" s="215" t="s">
        <v>1041</v>
      </c>
      <c r="U6" s="214" t="s">
        <v>1042</v>
      </c>
      <c r="V6" s="213"/>
      <c r="W6" s="1084"/>
      <c r="X6" s="320"/>
      <c r="Y6" s="858" t="s">
        <v>249</v>
      </c>
    </row>
    <row r="7" spans="1:25" s="857" customFormat="1" ht="33.75" customHeight="1" x14ac:dyDescent="0.15">
      <c r="A7" s="346"/>
      <c r="B7" s="911"/>
      <c r="C7" s="911"/>
      <c r="D7" s="911"/>
      <c r="E7" s="912"/>
      <c r="F7" s="211" t="s">
        <v>1043</v>
      </c>
      <c r="G7" s="211" t="s">
        <v>1044</v>
      </c>
      <c r="H7" s="211" t="s">
        <v>1045</v>
      </c>
      <c r="I7" s="211" t="s">
        <v>1046</v>
      </c>
      <c r="J7" s="211" t="s">
        <v>245</v>
      </c>
      <c r="K7" s="211" t="s">
        <v>1047</v>
      </c>
      <c r="L7" s="211" t="s">
        <v>628</v>
      </c>
      <c r="M7" s="211" t="s">
        <v>598</v>
      </c>
      <c r="N7" s="210" t="s">
        <v>1048</v>
      </c>
      <c r="O7" s="209" t="s">
        <v>254</v>
      </c>
      <c r="P7" s="209" t="s">
        <v>244</v>
      </c>
      <c r="Q7" s="209" t="s">
        <v>243</v>
      </c>
      <c r="R7" s="208" t="s">
        <v>242</v>
      </c>
      <c r="S7" s="914" t="s">
        <v>1049</v>
      </c>
      <c r="T7" s="207"/>
      <c r="U7" s="207"/>
      <c r="V7" s="912" t="s">
        <v>1050</v>
      </c>
      <c r="W7" s="1085"/>
      <c r="X7" s="320"/>
      <c r="Y7" s="858" t="s">
        <v>249</v>
      </c>
    </row>
    <row r="8" spans="1:25" s="236" customFormat="1" ht="21" customHeight="1" x14ac:dyDescent="0.2">
      <c r="A8" s="978"/>
      <c r="B8" s="979" t="s">
        <v>261</v>
      </c>
      <c r="C8" s="979" t="s">
        <v>936</v>
      </c>
      <c r="D8" s="980"/>
      <c r="E8" s="981"/>
      <c r="F8" s="327">
        <v>175599497</v>
      </c>
      <c r="G8" s="327">
        <v>51903928</v>
      </c>
      <c r="H8" s="327">
        <v>45947615</v>
      </c>
      <c r="I8" s="327">
        <v>5243298</v>
      </c>
      <c r="J8" s="327">
        <v>16666384</v>
      </c>
      <c r="K8" s="327">
        <v>33664038</v>
      </c>
      <c r="L8" s="327">
        <v>22174234</v>
      </c>
      <c r="M8" s="327">
        <v>11516821</v>
      </c>
      <c r="N8" s="327">
        <v>10657413</v>
      </c>
      <c r="O8" s="327">
        <v>1407901</v>
      </c>
      <c r="P8" s="327">
        <v>1871905</v>
      </c>
      <c r="Q8" s="327">
        <v>55482</v>
      </c>
      <c r="R8" s="327">
        <v>38445</v>
      </c>
      <c r="S8" s="204">
        <v>12595523</v>
      </c>
      <c r="T8" s="204">
        <v>9820786</v>
      </c>
      <c r="U8" s="204">
        <v>2774737</v>
      </c>
      <c r="V8" s="203">
        <v>79921726</v>
      </c>
      <c r="W8" s="342" t="s">
        <v>568</v>
      </c>
      <c r="X8" s="120"/>
      <c r="Y8" s="915"/>
    </row>
    <row r="9" spans="1:25" s="236" customFormat="1" ht="21" customHeight="1" x14ac:dyDescent="0.2">
      <c r="A9" s="978"/>
      <c r="B9" s="982" t="s">
        <v>260</v>
      </c>
      <c r="C9" s="982" t="s">
        <v>1051</v>
      </c>
      <c r="D9" s="771"/>
      <c r="E9" s="983"/>
      <c r="F9" s="327">
        <v>169778881</v>
      </c>
      <c r="G9" s="327">
        <v>50999119</v>
      </c>
      <c r="H9" s="327">
        <v>43329516</v>
      </c>
      <c r="I9" s="327">
        <v>4848157</v>
      </c>
      <c r="J9" s="327">
        <v>15357622</v>
      </c>
      <c r="K9" s="327">
        <v>33851517</v>
      </c>
      <c r="L9" s="327">
        <v>21392950</v>
      </c>
      <c r="M9" s="327">
        <v>11364175</v>
      </c>
      <c r="N9" s="327">
        <v>10028775</v>
      </c>
      <c r="O9" s="327">
        <v>1562538</v>
      </c>
      <c r="P9" s="327">
        <v>1982356</v>
      </c>
      <c r="Q9" s="327">
        <v>54123</v>
      </c>
      <c r="R9" s="327">
        <v>43858</v>
      </c>
      <c r="S9" s="204">
        <v>11961198</v>
      </c>
      <c r="T9" s="204">
        <v>9723578</v>
      </c>
      <c r="U9" s="204">
        <v>2237620</v>
      </c>
      <c r="V9" s="203">
        <v>78479838</v>
      </c>
      <c r="W9" s="342" t="s">
        <v>1052</v>
      </c>
      <c r="X9" s="120"/>
      <c r="Y9" s="915"/>
    </row>
    <row r="10" spans="1:25" s="236" customFormat="1" ht="21" customHeight="1" x14ac:dyDescent="0.2">
      <c r="A10" s="978"/>
      <c r="B10" s="982" t="s">
        <v>566</v>
      </c>
      <c r="C10" s="982" t="s">
        <v>939</v>
      </c>
      <c r="D10" s="771"/>
      <c r="E10" s="983"/>
      <c r="F10" s="984">
        <v>165514014</v>
      </c>
      <c r="G10" s="984">
        <v>49784797</v>
      </c>
      <c r="H10" s="327">
        <v>43768988</v>
      </c>
      <c r="I10" s="327">
        <v>5198787</v>
      </c>
      <c r="J10" s="327">
        <v>14354693</v>
      </c>
      <c r="K10" s="984">
        <v>34041510</v>
      </c>
      <c r="L10" s="327">
        <v>18365239</v>
      </c>
      <c r="M10" s="327">
        <v>10620746</v>
      </c>
      <c r="N10" s="327">
        <v>7744493</v>
      </c>
      <c r="O10" s="327">
        <v>1578055</v>
      </c>
      <c r="P10" s="327">
        <v>1872588</v>
      </c>
      <c r="Q10" s="327">
        <v>48606</v>
      </c>
      <c r="R10" s="327">
        <v>43514</v>
      </c>
      <c r="S10" s="204">
        <v>10937270</v>
      </c>
      <c r="T10" s="204">
        <v>9351592</v>
      </c>
      <c r="U10" s="204">
        <v>1585678</v>
      </c>
      <c r="V10" s="203">
        <v>72762396</v>
      </c>
      <c r="W10" s="342" t="s">
        <v>940</v>
      </c>
      <c r="X10" s="120"/>
      <c r="Y10" s="915"/>
    </row>
    <row r="11" spans="1:25" s="236" customFormat="1" ht="21" customHeight="1" x14ac:dyDescent="0.2">
      <c r="A11" s="978"/>
      <c r="B11" s="982" t="s">
        <v>260</v>
      </c>
      <c r="C11" s="982" t="s">
        <v>1053</v>
      </c>
      <c r="D11" s="771"/>
      <c r="E11" s="983"/>
      <c r="F11" s="984">
        <v>151715317</v>
      </c>
      <c r="G11" s="984">
        <v>46051586</v>
      </c>
      <c r="H11" s="327">
        <v>40055286</v>
      </c>
      <c r="I11" s="327">
        <v>3244887</v>
      </c>
      <c r="J11" s="327">
        <v>14074518</v>
      </c>
      <c r="K11" s="984">
        <v>32036730</v>
      </c>
      <c r="L11" s="327">
        <v>16252310</v>
      </c>
      <c r="M11" s="327">
        <v>10028445</v>
      </c>
      <c r="N11" s="327">
        <v>6223865</v>
      </c>
      <c r="O11" s="327">
        <v>1419764</v>
      </c>
      <c r="P11" s="327">
        <v>1917093</v>
      </c>
      <c r="Q11" s="327">
        <v>45723</v>
      </c>
      <c r="R11" s="327">
        <v>39833</v>
      </c>
      <c r="S11" s="204">
        <v>10302518</v>
      </c>
      <c r="T11" s="204">
        <v>9164956</v>
      </c>
      <c r="U11" s="204">
        <v>1137562</v>
      </c>
      <c r="V11" s="203">
        <v>68501464</v>
      </c>
      <c r="W11" s="342" t="s">
        <v>942</v>
      </c>
      <c r="X11" s="120"/>
      <c r="Y11" s="915"/>
    </row>
    <row r="12" spans="1:25" s="236" customFormat="1" ht="21" customHeight="1" x14ac:dyDescent="0.2">
      <c r="A12" s="978"/>
      <c r="B12" s="982" t="s">
        <v>260</v>
      </c>
      <c r="C12" s="982" t="s">
        <v>943</v>
      </c>
      <c r="D12" s="771"/>
      <c r="E12" s="983"/>
      <c r="F12" s="327">
        <v>154214620</v>
      </c>
      <c r="G12" s="327">
        <v>44767547</v>
      </c>
      <c r="H12" s="327">
        <v>42790793</v>
      </c>
      <c r="I12" s="327">
        <v>3174862</v>
      </c>
      <c r="J12" s="327">
        <v>13508544</v>
      </c>
      <c r="K12" s="327">
        <v>32139599</v>
      </c>
      <c r="L12" s="327">
        <v>17833275</v>
      </c>
      <c r="M12" s="327">
        <v>10000213</v>
      </c>
      <c r="N12" s="327">
        <v>7833062</v>
      </c>
      <c r="O12" s="327">
        <v>1469039</v>
      </c>
      <c r="P12" s="327">
        <v>1797846</v>
      </c>
      <c r="Q12" s="327">
        <v>50335</v>
      </c>
      <c r="R12" s="327">
        <v>44366</v>
      </c>
      <c r="S12" s="204">
        <v>10491586</v>
      </c>
      <c r="T12" s="204">
        <v>9229323</v>
      </c>
      <c r="U12" s="204">
        <v>1262263</v>
      </c>
      <c r="V12" s="203">
        <v>65926430</v>
      </c>
      <c r="W12" s="342" t="s">
        <v>1054</v>
      </c>
      <c r="X12" s="120"/>
      <c r="Y12" s="120"/>
    </row>
    <row r="13" spans="1:25" s="236" customFormat="1" ht="21" customHeight="1" x14ac:dyDescent="0.2">
      <c r="A13" s="978"/>
      <c r="B13" s="772"/>
      <c r="C13" s="772"/>
      <c r="D13" s="773"/>
      <c r="E13" s="985"/>
      <c r="F13" s="327"/>
      <c r="G13" s="327"/>
      <c r="H13" s="327"/>
      <c r="I13" s="327"/>
      <c r="J13" s="327"/>
      <c r="K13" s="327"/>
      <c r="L13" s="327"/>
      <c r="M13" s="327"/>
      <c r="N13" s="327"/>
      <c r="O13" s="327"/>
      <c r="P13" s="327"/>
      <c r="Q13" s="327"/>
      <c r="R13" s="327"/>
      <c r="S13" s="327"/>
      <c r="T13" s="327"/>
      <c r="U13" s="327"/>
      <c r="V13" s="335"/>
      <c r="W13" s="341"/>
      <c r="X13" s="120"/>
      <c r="Y13" s="915"/>
    </row>
    <row r="14" spans="1:25" s="236" customFormat="1" ht="21" customHeight="1" x14ac:dyDescent="0.2">
      <c r="A14" s="978"/>
      <c r="B14" s="982" t="s">
        <v>566</v>
      </c>
      <c r="C14" s="982" t="s">
        <v>1055</v>
      </c>
      <c r="D14" s="774"/>
      <c r="E14" s="986"/>
      <c r="F14" s="327">
        <v>151953012</v>
      </c>
      <c r="G14" s="327">
        <v>45524376</v>
      </c>
      <c r="H14" s="327">
        <v>40322837</v>
      </c>
      <c r="I14" s="327">
        <v>2733058</v>
      </c>
      <c r="J14" s="327">
        <v>14497990</v>
      </c>
      <c r="K14" s="327">
        <v>32026546</v>
      </c>
      <c r="L14" s="327">
        <v>16848205</v>
      </c>
      <c r="M14" s="327">
        <v>10226050</v>
      </c>
      <c r="N14" s="327">
        <v>6622155</v>
      </c>
      <c r="O14" s="327">
        <v>1430267</v>
      </c>
      <c r="P14" s="327">
        <v>1964728</v>
      </c>
      <c r="Q14" s="327">
        <v>46511</v>
      </c>
      <c r="R14" s="327">
        <v>38073</v>
      </c>
      <c r="S14" s="327">
        <v>10334062</v>
      </c>
      <c r="T14" s="327">
        <v>9284041</v>
      </c>
      <c r="U14" s="327">
        <v>1050021</v>
      </c>
      <c r="V14" s="335">
        <v>69172824</v>
      </c>
      <c r="W14" s="340" t="s">
        <v>689</v>
      </c>
      <c r="X14" s="120"/>
      <c r="Y14" s="321" t="s">
        <v>249</v>
      </c>
    </row>
    <row r="15" spans="1:25" s="236" customFormat="1" ht="21" customHeight="1" x14ac:dyDescent="0.2">
      <c r="A15" s="978"/>
      <c r="B15" s="982" t="s">
        <v>260</v>
      </c>
      <c r="C15" s="982" t="s">
        <v>943</v>
      </c>
      <c r="D15" s="774"/>
      <c r="E15" s="986"/>
      <c r="F15" s="327">
        <v>153488750</v>
      </c>
      <c r="G15" s="327">
        <v>44508943</v>
      </c>
      <c r="H15" s="327">
        <v>41660421</v>
      </c>
      <c r="I15" s="327">
        <v>3312653</v>
      </c>
      <c r="J15" s="327">
        <v>13518452</v>
      </c>
      <c r="K15" s="327">
        <v>32074965</v>
      </c>
      <c r="L15" s="327">
        <v>18413316</v>
      </c>
      <c r="M15" s="327">
        <v>10134548</v>
      </c>
      <c r="N15" s="327">
        <v>8278768</v>
      </c>
      <c r="O15" s="327">
        <v>1444278</v>
      </c>
      <c r="P15" s="327">
        <v>1750602</v>
      </c>
      <c r="Q15" s="327">
        <v>49911</v>
      </c>
      <c r="R15" s="327">
        <v>46759</v>
      </c>
      <c r="S15" s="327">
        <v>10608591</v>
      </c>
      <c r="T15" s="327">
        <v>9315098</v>
      </c>
      <c r="U15" s="327">
        <v>1293493</v>
      </c>
      <c r="V15" s="335">
        <v>62652120</v>
      </c>
      <c r="W15" s="340" t="s">
        <v>1056</v>
      </c>
      <c r="X15" s="120"/>
      <c r="Y15" s="321"/>
    </row>
    <row r="16" spans="1:25" s="236" customFormat="1" ht="21" customHeight="1" x14ac:dyDescent="0.2">
      <c r="A16" s="978"/>
      <c r="B16" s="772"/>
      <c r="C16" s="772"/>
      <c r="D16" s="773"/>
      <c r="E16" s="985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35"/>
      <c r="W16" s="940"/>
      <c r="X16" s="120"/>
      <c r="Y16" s="321"/>
    </row>
    <row r="17" spans="1:25" s="236" customFormat="1" ht="21" customHeight="1" x14ac:dyDescent="0.2">
      <c r="A17" s="978"/>
      <c r="B17" s="982" t="s">
        <v>566</v>
      </c>
      <c r="C17" s="982" t="s">
        <v>948</v>
      </c>
      <c r="D17" s="987" t="s">
        <v>1057</v>
      </c>
      <c r="E17" s="986"/>
      <c r="F17" s="327">
        <v>41590182</v>
      </c>
      <c r="G17" s="327">
        <v>10814435</v>
      </c>
      <c r="H17" s="327">
        <v>10711102</v>
      </c>
      <c r="I17" s="327">
        <v>652245</v>
      </c>
      <c r="J17" s="327">
        <v>6114117</v>
      </c>
      <c r="K17" s="327">
        <v>8059450</v>
      </c>
      <c r="L17" s="327">
        <v>5238833</v>
      </c>
      <c r="M17" s="327">
        <v>3055161</v>
      </c>
      <c r="N17" s="327">
        <v>2183672</v>
      </c>
      <c r="O17" s="327">
        <v>383942</v>
      </c>
      <c r="P17" s="327">
        <v>545793</v>
      </c>
      <c r="Q17" s="327">
        <v>12587</v>
      </c>
      <c r="R17" s="327">
        <v>9749</v>
      </c>
      <c r="S17" s="327">
        <v>3136016</v>
      </c>
      <c r="T17" s="327">
        <v>2941712</v>
      </c>
      <c r="U17" s="327">
        <v>194304</v>
      </c>
      <c r="V17" s="335">
        <v>20760453</v>
      </c>
      <c r="W17" s="334" t="s">
        <v>1058</v>
      </c>
      <c r="X17" s="120"/>
      <c r="Y17" s="321"/>
    </row>
    <row r="18" spans="1:25" s="236" customFormat="1" ht="21" customHeight="1" x14ac:dyDescent="0.2">
      <c r="A18" s="978"/>
      <c r="B18" s="982" t="s">
        <v>260</v>
      </c>
      <c r="C18" s="982" t="s">
        <v>260</v>
      </c>
      <c r="D18" s="987" t="s">
        <v>1059</v>
      </c>
      <c r="E18" s="986"/>
      <c r="F18" s="327">
        <v>34827134</v>
      </c>
      <c r="G18" s="327">
        <v>10978363</v>
      </c>
      <c r="H18" s="327">
        <v>9925845</v>
      </c>
      <c r="I18" s="327">
        <v>750043</v>
      </c>
      <c r="J18" s="327">
        <v>1781882</v>
      </c>
      <c r="K18" s="327">
        <v>7769418</v>
      </c>
      <c r="L18" s="327">
        <v>3621583</v>
      </c>
      <c r="M18" s="327">
        <v>2156153</v>
      </c>
      <c r="N18" s="327">
        <v>1465430</v>
      </c>
      <c r="O18" s="327">
        <v>401040</v>
      </c>
      <c r="P18" s="327">
        <v>382064</v>
      </c>
      <c r="Q18" s="327">
        <v>13242</v>
      </c>
      <c r="R18" s="327">
        <v>10178</v>
      </c>
      <c r="S18" s="327">
        <v>2444417</v>
      </c>
      <c r="T18" s="327">
        <v>2126938</v>
      </c>
      <c r="U18" s="327">
        <v>317479</v>
      </c>
      <c r="V18" s="335">
        <v>13853494</v>
      </c>
      <c r="W18" s="339" t="s">
        <v>1060</v>
      </c>
      <c r="X18" s="120"/>
      <c r="Y18" s="321"/>
    </row>
    <row r="19" spans="1:25" s="236" customFormat="1" ht="21" customHeight="1" x14ac:dyDescent="0.2">
      <c r="A19" s="978"/>
      <c r="B19" s="982" t="s">
        <v>260</v>
      </c>
      <c r="C19" s="982" t="s">
        <v>260</v>
      </c>
      <c r="D19" s="987" t="s">
        <v>1061</v>
      </c>
      <c r="E19" s="986"/>
      <c r="F19" s="327">
        <v>36385218</v>
      </c>
      <c r="G19" s="327">
        <v>11942311</v>
      </c>
      <c r="H19" s="327">
        <v>10363517</v>
      </c>
      <c r="I19" s="327">
        <v>908373</v>
      </c>
      <c r="J19" s="327">
        <v>1317286</v>
      </c>
      <c r="K19" s="327">
        <v>7962535</v>
      </c>
      <c r="L19" s="327">
        <v>3891196</v>
      </c>
      <c r="M19" s="327">
        <v>2045188</v>
      </c>
      <c r="N19" s="327">
        <v>1846008</v>
      </c>
      <c r="O19" s="327">
        <v>356256</v>
      </c>
      <c r="P19" s="327">
        <v>429393</v>
      </c>
      <c r="Q19" s="327">
        <v>12056</v>
      </c>
      <c r="R19" s="327">
        <v>13479</v>
      </c>
      <c r="S19" s="327">
        <v>2203317</v>
      </c>
      <c r="T19" s="327">
        <v>1737347</v>
      </c>
      <c r="U19" s="327">
        <v>465970</v>
      </c>
      <c r="V19" s="335">
        <v>15647364</v>
      </c>
      <c r="W19" s="338" t="s">
        <v>1062</v>
      </c>
      <c r="X19" s="120"/>
      <c r="Y19" s="321" t="s">
        <v>249</v>
      </c>
    </row>
    <row r="20" spans="1:25" s="236" customFormat="1" ht="21" customHeight="1" x14ac:dyDescent="0.2">
      <c r="A20" s="978"/>
      <c r="B20" s="982" t="s">
        <v>260</v>
      </c>
      <c r="C20" s="982" t="s">
        <v>260</v>
      </c>
      <c r="D20" s="987" t="s">
        <v>1063</v>
      </c>
      <c r="E20" s="986"/>
      <c r="F20" s="327">
        <v>41412086</v>
      </c>
      <c r="G20" s="327">
        <v>11032438</v>
      </c>
      <c r="H20" s="327">
        <v>11790329</v>
      </c>
      <c r="I20" s="327">
        <v>864201</v>
      </c>
      <c r="J20" s="327">
        <v>4295259</v>
      </c>
      <c r="K20" s="327">
        <v>8348196</v>
      </c>
      <c r="L20" s="327">
        <v>5081663</v>
      </c>
      <c r="M20" s="327">
        <v>2743711</v>
      </c>
      <c r="N20" s="327">
        <v>2337952</v>
      </c>
      <c r="O20" s="327">
        <v>327801</v>
      </c>
      <c r="P20" s="327">
        <v>440596</v>
      </c>
      <c r="Q20" s="327">
        <v>12450</v>
      </c>
      <c r="R20" s="327">
        <v>10960</v>
      </c>
      <c r="S20" s="327">
        <v>2707836</v>
      </c>
      <c r="T20" s="327">
        <v>2423326</v>
      </c>
      <c r="U20" s="327">
        <v>284510</v>
      </c>
      <c r="V20" s="335">
        <v>15665119</v>
      </c>
      <c r="W20" s="337" t="s">
        <v>567</v>
      </c>
      <c r="X20" s="120"/>
      <c r="Y20" s="321" t="s">
        <v>249</v>
      </c>
    </row>
    <row r="21" spans="1:25" s="236" customFormat="1" ht="21" customHeight="1" x14ac:dyDescent="0.2">
      <c r="A21" s="978"/>
      <c r="B21" s="982" t="s">
        <v>566</v>
      </c>
      <c r="C21" s="982" t="s">
        <v>957</v>
      </c>
      <c r="D21" s="987" t="s">
        <v>1064</v>
      </c>
      <c r="E21" s="986"/>
      <c r="F21" s="327">
        <v>40864312</v>
      </c>
      <c r="G21" s="327">
        <v>10555831</v>
      </c>
      <c r="H21" s="327">
        <v>9580730</v>
      </c>
      <c r="I21" s="327">
        <v>790036</v>
      </c>
      <c r="J21" s="327">
        <v>6124025</v>
      </c>
      <c r="K21" s="327">
        <v>7994816</v>
      </c>
      <c r="L21" s="327">
        <v>5818874</v>
      </c>
      <c r="M21" s="327">
        <v>3189496</v>
      </c>
      <c r="N21" s="327">
        <v>2629378</v>
      </c>
      <c r="O21" s="327">
        <v>359181</v>
      </c>
      <c r="P21" s="327">
        <v>498549</v>
      </c>
      <c r="Q21" s="327">
        <v>12163</v>
      </c>
      <c r="R21" s="327">
        <v>12142</v>
      </c>
      <c r="S21" s="327">
        <v>3253021</v>
      </c>
      <c r="T21" s="327">
        <v>3027487</v>
      </c>
      <c r="U21" s="327">
        <v>225534</v>
      </c>
      <c r="V21" s="335">
        <v>17486143</v>
      </c>
      <c r="W21" s="334" t="s">
        <v>1065</v>
      </c>
      <c r="X21" s="120"/>
      <c r="Y21" s="321"/>
    </row>
    <row r="22" spans="1:25" s="236" customFormat="1" ht="21" customHeight="1" x14ac:dyDescent="0.2">
      <c r="A22" s="978"/>
      <c r="B22" s="982"/>
      <c r="C22" s="982"/>
      <c r="D22" s="988"/>
      <c r="E22" s="985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131"/>
      <c r="X22" s="120"/>
      <c r="Y22" s="321"/>
    </row>
    <row r="23" spans="1:25" s="236" customFormat="1" ht="21" customHeight="1" x14ac:dyDescent="0.2">
      <c r="A23" s="978"/>
      <c r="B23" s="982" t="s">
        <v>566</v>
      </c>
      <c r="C23" s="982" t="s">
        <v>948</v>
      </c>
      <c r="D23" s="982" t="s">
        <v>1066</v>
      </c>
      <c r="E23" s="989"/>
      <c r="F23" s="327">
        <v>14398827</v>
      </c>
      <c r="G23" s="327">
        <v>3493624</v>
      </c>
      <c r="H23" s="327">
        <v>3630902</v>
      </c>
      <c r="I23" s="327">
        <v>201215</v>
      </c>
      <c r="J23" s="327">
        <v>2629761</v>
      </c>
      <c r="K23" s="327">
        <v>2522420</v>
      </c>
      <c r="L23" s="327">
        <v>1920905</v>
      </c>
      <c r="M23" s="327">
        <v>1071818</v>
      </c>
      <c r="N23" s="327">
        <v>849087</v>
      </c>
      <c r="O23" s="327">
        <v>111525</v>
      </c>
      <c r="P23" s="327">
        <v>162031</v>
      </c>
      <c r="Q23" s="327">
        <v>4042</v>
      </c>
      <c r="R23" s="327">
        <v>2689</v>
      </c>
      <c r="S23" s="204">
        <v>1118188</v>
      </c>
      <c r="T23" s="204">
        <v>1047449</v>
      </c>
      <c r="U23" s="204">
        <v>70739</v>
      </c>
      <c r="V23" s="203">
        <v>7167791</v>
      </c>
      <c r="W23" s="130" t="s">
        <v>961</v>
      </c>
      <c r="X23" s="120"/>
      <c r="Y23" s="321" t="s">
        <v>249</v>
      </c>
    </row>
    <row r="24" spans="1:25" s="236" customFormat="1" ht="21" customHeight="1" x14ac:dyDescent="0.2">
      <c r="A24" s="978"/>
      <c r="B24" s="982" t="s">
        <v>260</v>
      </c>
      <c r="C24" s="982" t="s">
        <v>260</v>
      </c>
      <c r="D24" s="982" t="s">
        <v>962</v>
      </c>
      <c r="E24" s="989"/>
      <c r="F24" s="327">
        <v>13427053</v>
      </c>
      <c r="G24" s="327">
        <v>3491120</v>
      </c>
      <c r="H24" s="327">
        <v>3345733</v>
      </c>
      <c r="I24" s="327">
        <v>159897</v>
      </c>
      <c r="J24" s="327">
        <v>2089965</v>
      </c>
      <c r="K24" s="327">
        <v>2670501</v>
      </c>
      <c r="L24" s="327">
        <v>1669837</v>
      </c>
      <c r="M24" s="327">
        <v>1031602</v>
      </c>
      <c r="N24" s="327">
        <v>638235</v>
      </c>
      <c r="O24" s="327">
        <v>128987</v>
      </c>
      <c r="P24" s="327">
        <v>179893</v>
      </c>
      <c r="Q24" s="327">
        <v>4035</v>
      </c>
      <c r="R24" s="327">
        <v>2872</v>
      </c>
      <c r="S24" s="204">
        <v>992415</v>
      </c>
      <c r="T24" s="204">
        <v>945558</v>
      </c>
      <c r="U24" s="204">
        <v>46857</v>
      </c>
      <c r="V24" s="203">
        <v>7297657</v>
      </c>
      <c r="W24" s="125" t="s">
        <v>963</v>
      </c>
      <c r="X24" s="120"/>
      <c r="Y24" s="321"/>
    </row>
    <row r="25" spans="1:25" s="236" customFormat="1" ht="21" customHeight="1" x14ac:dyDescent="0.2">
      <c r="A25" s="978"/>
      <c r="B25" s="982" t="s">
        <v>260</v>
      </c>
      <c r="C25" s="982" t="s">
        <v>260</v>
      </c>
      <c r="D25" s="982" t="s">
        <v>964</v>
      </c>
      <c r="E25" s="989"/>
      <c r="F25" s="327">
        <v>13764302</v>
      </c>
      <c r="G25" s="327">
        <v>3829691</v>
      </c>
      <c r="H25" s="327">
        <v>3734467</v>
      </c>
      <c r="I25" s="327">
        <v>291133</v>
      </c>
      <c r="J25" s="327">
        <v>1394391</v>
      </c>
      <c r="K25" s="327">
        <v>2866529</v>
      </c>
      <c r="L25" s="327">
        <v>1648091</v>
      </c>
      <c r="M25" s="327">
        <v>951741</v>
      </c>
      <c r="N25" s="327">
        <v>696350</v>
      </c>
      <c r="O25" s="327">
        <v>143430</v>
      </c>
      <c r="P25" s="327">
        <v>203869</v>
      </c>
      <c r="Q25" s="327">
        <v>4510</v>
      </c>
      <c r="R25" s="327">
        <v>4188</v>
      </c>
      <c r="S25" s="204">
        <v>1025413</v>
      </c>
      <c r="T25" s="204">
        <v>948705</v>
      </c>
      <c r="U25" s="204">
        <v>76708</v>
      </c>
      <c r="V25" s="203">
        <v>6295005</v>
      </c>
      <c r="W25" s="125" t="s">
        <v>965</v>
      </c>
      <c r="X25" s="120"/>
      <c r="Y25" s="321" t="s">
        <v>249</v>
      </c>
    </row>
    <row r="26" spans="1:25" s="236" customFormat="1" ht="21" customHeight="1" x14ac:dyDescent="0.2">
      <c r="A26" s="978"/>
      <c r="B26" s="982" t="s">
        <v>260</v>
      </c>
      <c r="C26" s="982" t="s">
        <v>260</v>
      </c>
      <c r="D26" s="982" t="s">
        <v>966</v>
      </c>
      <c r="E26" s="989"/>
      <c r="F26" s="327">
        <v>12170598</v>
      </c>
      <c r="G26" s="327">
        <v>3738819</v>
      </c>
      <c r="H26" s="327">
        <v>3389585</v>
      </c>
      <c r="I26" s="327">
        <v>239076</v>
      </c>
      <c r="J26" s="327">
        <v>811163</v>
      </c>
      <c r="K26" s="327">
        <v>2724030</v>
      </c>
      <c r="L26" s="327">
        <v>1267925</v>
      </c>
      <c r="M26" s="327">
        <v>784266</v>
      </c>
      <c r="N26" s="327">
        <v>483659</v>
      </c>
      <c r="O26" s="327">
        <v>129563</v>
      </c>
      <c r="P26" s="327">
        <v>142434</v>
      </c>
      <c r="Q26" s="327">
        <v>4531</v>
      </c>
      <c r="R26" s="327">
        <v>3260</v>
      </c>
      <c r="S26" s="204">
        <v>911341</v>
      </c>
      <c r="T26" s="204">
        <v>801571</v>
      </c>
      <c r="U26" s="204">
        <v>109770</v>
      </c>
      <c r="V26" s="203">
        <v>4430834</v>
      </c>
      <c r="W26" s="125" t="s">
        <v>1067</v>
      </c>
      <c r="X26" s="120"/>
      <c r="Y26" s="321"/>
    </row>
    <row r="27" spans="1:25" s="236" customFormat="1" ht="21" customHeight="1" x14ac:dyDescent="0.2">
      <c r="A27" s="978"/>
      <c r="B27" s="982" t="s">
        <v>260</v>
      </c>
      <c r="C27" s="982" t="s">
        <v>260</v>
      </c>
      <c r="D27" s="982" t="s">
        <v>968</v>
      </c>
      <c r="E27" s="989"/>
      <c r="F27" s="327">
        <v>11258628</v>
      </c>
      <c r="G27" s="327">
        <v>3565739</v>
      </c>
      <c r="H27" s="327">
        <v>3416826</v>
      </c>
      <c r="I27" s="327">
        <v>254543</v>
      </c>
      <c r="J27" s="327">
        <v>520506</v>
      </c>
      <c r="K27" s="327">
        <v>2386765</v>
      </c>
      <c r="L27" s="327">
        <v>1114249</v>
      </c>
      <c r="M27" s="327">
        <v>679732</v>
      </c>
      <c r="N27" s="327">
        <v>434517</v>
      </c>
      <c r="O27" s="327">
        <v>129577</v>
      </c>
      <c r="P27" s="327">
        <v>113651</v>
      </c>
      <c r="Q27" s="327">
        <v>3960</v>
      </c>
      <c r="R27" s="327">
        <v>2803</v>
      </c>
      <c r="S27" s="204">
        <v>711022</v>
      </c>
      <c r="T27" s="204">
        <v>623190</v>
      </c>
      <c r="U27" s="204">
        <v>87832</v>
      </c>
      <c r="V27" s="203">
        <v>4416361</v>
      </c>
      <c r="W27" s="125" t="s">
        <v>1068</v>
      </c>
      <c r="X27" s="120"/>
      <c r="Y27" s="321" t="s">
        <v>249</v>
      </c>
    </row>
    <row r="28" spans="1:25" s="236" customFormat="1" ht="21" customHeight="1" x14ac:dyDescent="0.2">
      <c r="A28" s="978"/>
      <c r="B28" s="982" t="s">
        <v>260</v>
      </c>
      <c r="C28" s="982" t="s">
        <v>260</v>
      </c>
      <c r="D28" s="982" t="s">
        <v>970</v>
      </c>
      <c r="E28" s="989"/>
      <c r="F28" s="327">
        <v>11397908</v>
      </c>
      <c r="G28" s="327">
        <v>3673805</v>
      </c>
      <c r="H28" s="327">
        <v>3119434</v>
      </c>
      <c r="I28" s="327">
        <v>256424</v>
      </c>
      <c r="J28" s="327">
        <v>450213</v>
      </c>
      <c r="K28" s="327">
        <v>2658623</v>
      </c>
      <c r="L28" s="327">
        <v>1239409</v>
      </c>
      <c r="M28" s="327">
        <v>692155</v>
      </c>
      <c r="N28" s="327">
        <v>547254</v>
      </c>
      <c r="O28" s="327">
        <v>141900</v>
      </c>
      <c r="P28" s="327">
        <v>125979</v>
      </c>
      <c r="Q28" s="327">
        <v>4751</v>
      </c>
      <c r="R28" s="327">
        <v>4115</v>
      </c>
      <c r="S28" s="204">
        <v>822054</v>
      </c>
      <c r="T28" s="204">
        <v>702177</v>
      </c>
      <c r="U28" s="204">
        <v>119877</v>
      </c>
      <c r="V28" s="203">
        <v>5006299</v>
      </c>
      <c r="W28" s="125" t="s">
        <v>971</v>
      </c>
      <c r="X28" s="120"/>
      <c r="Y28" s="321"/>
    </row>
    <row r="29" spans="1:25" s="236" customFormat="1" ht="21" customHeight="1" x14ac:dyDescent="0.2">
      <c r="A29" s="978"/>
      <c r="B29" s="982" t="s">
        <v>260</v>
      </c>
      <c r="C29" s="982" t="s">
        <v>260</v>
      </c>
      <c r="D29" s="982" t="s">
        <v>972</v>
      </c>
      <c r="E29" s="989"/>
      <c r="F29" s="327">
        <v>11857811</v>
      </c>
      <c r="G29" s="327">
        <v>4014660</v>
      </c>
      <c r="H29" s="327">
        <v>3172910</v>
      </c>
      <c r="I29" s="327">
        <v>275980</v>
      </c>
      <c r="J29" s="327">
        <v>396420</v>
      </c>
      <c r="K29" s="327">
        <v>2671455</v>
      </c>
      <c r="L29" s="327">
        <v>1326386</v>
      </c>
      <c r="M29" s="327">
        <v>653691</v>
      </c>
      <c r="N29" s="327">
        <v>672695</v>
      </c>
      <c r="O29" s="327">
        <v>147253</v>
      </c>
      <c r="P29" s="327">
        <v>129951</v>
      </c>
      <c r="Q29" s="327">
        <v>4049</v>
      </c>
      <c r="R29" s="327">
        <v>5498</v>
      </c>
      <c r="S29" s="204">
        <v>762639</v>
      </c>
      <c r="T29" s="204">
        <v>619483</v>
      </c>
      <c r="U29" s="204">
        <v>143156</v>
      </c>
      <c r="V29" s="203">
        <v>5127445</v>
      </c>
      <c r="W29" s="125" t="s">
        <v>973</v>
      </c>
      <c r="X29" s="120"/>
      <c r="Y29" s="321" t="s">
        <v>249</v>
      </c>
    </row>
    <row r="30" spans="1:25" s="236" customFormat="1" ht="21" customHeight="1" x14ac:dyDescent="0.2">
      <c r="A30" s="978"/>
      <c r="B30" s="982" t="s">
        <v>260</v>
      </c>
      <c r="C30" s="982" t="s">
        <v>260</v>
      </c>
      <c r="D30" s="982" t="s">
        <v>974</v>
      </c>
      <c r="E30" s="989"/>
      <c r="F30" s="327">
        <v>12155409</v>
      </c>
      <c r="G30" s="327">
        <v>4102658</v>
      </c>
      <c r="H30" s="327">
        <v>3447358</v>
      </c>
      <c r="I30" s="327">
        <v>323566</v>
      </c>
      <c r="J30" s="327">
        <v>424048</v>
      </c>
      <c r="K30" s="327">
        <v>2564026</v>
      </c>
      <c r="L30" s="327">
        <v>1293753</v>
      </c>
      <c r="M30" s="327">
        <v>673651</v>
      </c>
      <c r="N30" s="327">
        <v>620102</v>
      </c>
      <c r="O30" s="327">
        <v>68939</v>
      </c>
      <c r="P30" s="327">
        <v>123779</v>
      </c>
      <c r="Q30" s="327">
        <v>3834</v>
      </c>
      <c r="R30" s="327">
        <v>4589</v>
      </c>
      <c r="S30" s="204">
        <v>651570</v>
      </c>
      <c r="T30" s="204">
        <v>532303</v>
      </c>
      <c r="U30" s="204">
        <v>119267</v>
      </c>
      <c r="V30" s="203">
        <v>5871166</v>
      </c>
      <c r="W30" s="125" t="s">
        <v>975</v>
      </c>
      <c r="X30" s="120"/>
      <c r="Y30" s="321"/>
    </row>
    <row r="31" spans="1:25" s="236" customFormat="1" ht="21" customHeight="1" x14ac:dyDescent="0.2">
      <c r="A31" s="978"/>
      <c r="B31" s="982" t="s">
        <v>260</v>
      </c>
      <c r="C31" s="982" t="s">
        <v>260</v>
      </c>
      <c r="D31" s="982" t="s">
        <v>976</v>
      </c>
      <c r="E31" s="989"/>
      <c r="F31" s="327">
        <v>12371998</v>
      </c>
      <c r="G31" s="327">
        <v>3824993</v>
      </c>
      <c r="H31" s="327">
        <v>3743249</v>
      </c>
      <c r="I31" s="327">
        <v>308827</v>
      </c>
      <c r="J31" s="327">
        <v>496818</v>
      </c>
      <c r="K31" s="327">
        <v>2727054</v>
      </c>
      <c r="L31" s="327">
        <v>1271057</v>
      </c>
      <c r="M31" s="327">
        <v>717846</v>
      </c>
      <c r="N31" s="327">
        <v>553211</v>
      </c>
      <c r="O31" s="327">
        <v>140064</v>
      </c>
      <c r="P31" s="327">
        <v>175663</v>
      </c>
      <c r="Q31" s="327">
        <v>4173</v>
      </c>
      <c r="R31" s="327">
        <v>3392</v>
      </c>
      <c r="S31" s="204">
        <v>789108</v>
      </c>
      <c r="T31" s="204">
        <v>585561</v>
      </c>
      <c r="U31" s="204">
        <v>203547</v>
      </c>
      <c r="V31" s="203">
        <v>4648753</v>
      </c>
      <c r="W31" s="125" t="s">
        <v>1069</v>
      </c>
      <c r="X31" s="120"/>
      <c r="Y31" s="321" t="s">
        <v>249</v>
      </c>
    </row>
    <row r="32" spans="1:25" s="236" customFormat="1" ht="21" customHeight="1" x14ac:dyDescent="0.2">
      <c r="A32" s="978"/>
      <c r="B32" s="982" t="s">
        <v>260</v>
      </c>
      <c r="C32" s="982" t="s">
        <v>260</v>
      </c>
      <c r="D32" s="990" t="s">
        <v>1070</v>
      </c>
      <c r="E32" s="989"/>
      <c r="F32" s="327">
        <v>12507256</v>
      </c>
      <c r="G32" s="327">
        <v>3369735</v>
      </c>
      <c r="H32" s="327">
        <v>3870572</v>
      </c>
      <c r="I32" s="327">
        <v>264283</v>
      </c>
      <c r="J32" s="327">
        <v>974767</v>
      </c>
      <c r="K32" s="327">
        <v>2655272</v>
      </c>
      <c r="L32" s="327">
        <v>1372627</v>
      </c>
      <c r="M32" s="327">
        <v>802863</v>
      </c>
      <c r="N32" s="327">
        <v>569764</v>
      </c>
      <c r="O32" s="327">
        <v>103731</v>
      </c>
      <c r="P32" s="327">
        <v>151555</v>
      </c>
      <c r="Q32" s="327">
        <v>4249</v>
      </c>
      <c r="R32" s="327">
        <v>4187</v>
      </c>
      <c r="S32" s="204">
        <v>719427</v>
      </c>
      <c r="T32" s="204">
        <v>616767</v>
      </c>
      <c r="U32" s="204">
        <v>102660</v>
      </c>
      <c r="V32" s="203">
        <v>4066890</v>
      </c>
      <c r="W32" s="125" t="s">
        <v>979</v>
      </c>
      <c r="X32" s="120"/>
      <c r="Y32" s="321"/>
    </row>
    <row r="33" spans="1:25" s="236" customFormat="1" ht="21" customHeight="1" x14ac:dyDescent="0.2">
      <c r="A33" s="978"/>
      <c r="B33" s="982" t="s">
        <v>260</v>
      </c>
      <c r="C33" s="982" t="s">
        <v>260</v>
      </c>
      <c r="D33" s="990" t="s">
        <v>1071</v>
      </c>
      <c r="E33" s="989"/>
      <c r="F33" s="327">
        <v>13060392</v>
      </c>
      <c r="G33" s="327">
        <v>3505692</v>
      </c>
      <c r="H33" s="327">
        <v>3773675</v>
      </c>
      <c r="I33" s="327">
        <v>282107</v>
      </c>
      <c r="J33" s="327">
        <v>1128856</v>
      </c>
      <c r="K33" s="327">
        <v>2720352</v>
      </c>
      <c r="L33" s="327">
        <v>1649710</v>
      </c>
      <c r="M33" s="327">
        <v>833894</v>
      </c>
      <c r="N33" s="327">
        <v>815816</v>
      </c>
      <c r="O33" s="327">
        <v>110602</v>
      </c>
      <c r="P33" s="327">
        <v>139339</v>
      </c>
      <c r="Q33" s="327">
        <v>4341</v>
      </c>
      <c r="R33" s="327">
        <v>3995</v>
      </c>
      <c r="S33" s="204">
        <v>851291</v>
      </c>
      <c r="T33" s="204">
        <v>775763</v>
      </c>
      <c r="U33" s="204">
        <v>75528</v>
      </c>
      <c r="V33" s="203">
        <v>5381069</v>
      </c>
      <c r="W33" s="125" t="s">
        <v>981</v>
      </c>
      <c r="X33" s="120"/>
      <c r="Y33" s="321"/>
    </row>
    <row r="34" spans="1:25" s="236" customFormat="1" ht="21" customHeight="1" x14ac:dyDescent="0.2">
      <c r="A34" s="978"/>
      <c r="B34" s="982" t="s">
        <v>260</v>
      </c>
      <c r="C34" s="982" t="s">
        <v>260</v>
      </c>
      <c r="D34" s="990" t="s">
        <v>1072</v>
      </c>
      <c r="E34" s="989"/>
      <c r="F34" s="327">
        <v>15844438</v>
      </c>
      <c r="G34" s="327">
        <v>4157011</v>
      </c>
      <c r="H34" s="327">
        <v>4146082</v>
      </c>
      <c r="I34" s="327">
        <v>317811</v>
      </c>
      <c r="J34" s="327">
        <v>2191636</v>
      </c>
      <c r="K34" s="327">
        <v>2972572</v>
      </c>
      <c r="L34" s="327">
        <v>2059326</v>
      </c>
      <c r="M34" s="327">
        <v>1106954</v>
      </c>
      <c r="N34" s="327">
        <v>952372</v>
      </c>
      <c r="O34" s="327">
        <v>113468</v>
      </c>
      <c r="P34" s="327">
        <v>149702</v>
      </c>
      <c r="Q34" s="327">
        <v>3860</v>
      </c>
      <c r="R34" s="327">
        <v>2778</v>
      </c>
      <c r="S34" s="204">
        <v>1137118</v>
      </c>
      <c r="T34" s="204">
        <v>1030796</v>
      </c>
      <c r="U34" s="204">
        <v>106322</v>
      </c>
      <c r="V34" s="203">
        <v>6217160</v>
      </c>
      <c r="W34" s="125" t="s">
        <v>1073</v>
      </c>
      <c r="X34" s="120"/>
      <c r="Y34" s="321" t="s">
        <v>249</v>
      </c>
    </row>
    <row r="35" spans="1:25" s="236" customFormat="1" ht="21" customHeight="1" x14ac:dyDescent="0.2">
      <c r="A35" s="978"/>
      <c r="B35" s="982"/>
      <c r="C35" s="982"/>
      <c r="D35" s="982"/>
      <c r="E35" s="989"/>
      <c r="F35" s="327"/>
      <c r="G35" s="331"/>
      <c r="H35" s="331"/>
      <c r="I35" s="331"/>
      <c r="J35" s="327"/>
      <c r="K35" s="327"/>
      <c r="L35" s="327"/>
      <c r="M35" s="327"/>
      <c r="N35" s="327"/>
      <c r="O35" s="327"/>
      <c r="P35" s="327"/>
      <c r="Q35" s="327"/>
      <c r="R35" s="327"/>
      <c r="S35" s="204"/>
      <c r="T35" s="204"/>
      <c r="U35" s="204"/>
      <c r="V35" s="203"/>
      <c r="W35" s="330"/>
      <c r="X35" s="120"/>
      <c r="Y35" s="321"/>
    </row>
    <row r="36" spans="1:25" s="236" customFormat="1" ht="21" customHeight="1" x14ac:dyDescent="0.2">
      <c r="A36" s="978"/>
      <c r="B36" s="982" t="s">
        <v>566</v>
      </c>
      <c r="C36" s="982" t="s">
        <v>1074</v>
      </c>
      <c r="D36" s="982" t="s">
        <v>1075</v>
      </c>
      <c r="E36" s="989"/>
      <c r="F36" s="327">
        <v>14493305</v>
      </c>
      <c r="G36" s="327">
        <v>3581350</v>
      </c>
      <c r="H36" s="327">
        <v>3581493</v>
      </c>
      <c r="I36" s="327">
        <v>277941</v>
      </c>
      <c r="J36" s="327">
        <v>2385168</v>
      </c>
      <c r="K36" s="327">
        <v>2574987</v>
      </c>
      <c r="L36" s="327">
        <v>2092366</v>
      </c>
      <c r="M36" s="327">
        <v>1091158</v>
      </c>
      <c r="N36" s="327">
        <v>1001208</v>
      </c>
      <c r="O36" s="327">
        <v>104243</v>
      </c>
      <c r="P36" s="327">
        <v>155884</v>
      </c>
      <c r="Q36" s="327">
        <v>3627</v>
      </c>
      <c r="R36" s="327">
        <v>3670</v>
      </c>
      <c r="S36" s="204">
        <v>1147161</v>
      </c>
      <c r="T36" s="204">
        <v>1079414</v>
      </c>
      <c r="U36" s="204">
        <v>67747</v>
      </c>
      <c r="V36" s="203">
        <v>5888454</v>
      </c>
      <c r="W36" s="130" t="s">
        <v>985</v>
      </c>
      <c r="X36" s="120"/>
      <c r="Y36" s="321" t="s">
        <v>249</v>
      </c>
    </row>
    <row r="37" spans="1:25" s="236" customFormat="1" ht="21" customHeight="1" x14ac:dyDescent="0.2">
      <c r="A37" s="978"/>
      <c r="B37" s="982" t="s">
        <v>260</v>
      </c>
      <c r="C37" s="982" t="s">
        <v>260</v>
      </c>
      <c r="D37" s="982" t="s">
        <v>962</v>
      </c>
      <c r="E37" s="989"/>
      <c r="F37" s="327">
        <v>13080354</v>
      </c>
      <c r="G37" s="327">
        <v>3246027</v>
      </c>
      <c r="H37" s="327">
        <v>3012418</v>
      </c>
      <c r="I37" s="327">
        <v>220725</v>
      </c>
      <c r="J37" s="327">
        <v>2233912</v>
      </c>
      <c r="K37" s="327">
        <v>2575141</v>
      </c>
      <c r="L37" s="327">
        <v>1792131</v>
      </c>
      <c r="M37" s="327">
        <v>1047585</v>
      </c>
      <c r="N37" s="327">
        <v>744546</v>
      </c>
      <c r="O37" s="327">
        <v>127473</v>
      </c>
      <c r="P37" s="327">
        <v>168919</v>
      </c>
      <c r="Q37" s="327">
        <v>3901</v>
      </c>
      <c r="R37" s="327">
        <v>3232</v>
      </c>
      <c r="S37" s="204">
        <v>1059052</v>
      </c>
      <c r="T37" s="204">
        <v>982838</v>
      </c>
      <c r="U37" s="204">
        <v>76214</v>
      </c>
      <c r="V37" s="203">
        <v>6088960</v>
      </c>
      <c r="W37" s="125" t="s">
        <v>963</v>
      </c>
      <c r="X37" s="120"/>
      <c r="Y37" s="321"/>
    </row>
    <row r="38" spans="1:25" s="236" customFormat="1" ht="21" customHeight="1" x14ac:dyDescent="0.2">
      <c r="A38" s="978"/>
      <c r="B38" s="991" t="s">
        <v>260</v>
      </c>
      <c r="C38" s="991" t="s">
        <v>260</v>
      </c>
      <c r="D38" s="992" t="s">
        <v>986</v>
      </c>
      <c r="E38" s="993"/>
      <c r="F38" s="325">
        <v>13290653</v>
      </c>
      <c r="G38" s="324">
        <v>3728454</v>
      </c>
      <c r="H38" s="324">
        <v>2986819</v>
      </c>
      <c r="I38" s="324">
        <v>291370</v>
      </c>
      <c r="J38" s="324">
        <v>1504945</v>
      </c>
      <c r="K38" s="324">
        <v>2844688</v>
      </c>
      <c r="L38" s="324">
        <v>1934377</v>
      </c>
      <c r="M38" s="324">
        <v>1050753</v>
      </c>
      <c r="N38" s="324">
        <v>883624</v>
      </c>
      <c r="O38" s="324">
        <v>127465</v>
      </c>
      <c r="P38" s="324">
        <v>173746</v>
      </c>
      <c r="Q38" s="324">
        <v>4635</v>
      </c>
      <c r="R38" s="324">
        <v>5240</v>
      </c>
      <c r="S38" s="323">
        <v>1046808</v>
      </c>
      <c r="T38" s="323">
        <v>965235</v>
      </c>
      <c r="U38" s="323">
        <v>81573</v>
      </c>
      <c r="V38" s="322">
        <v>5508729</v>
      </c>
      <c r="W38" s="121" t="s">
        <v>1076</v>
      </c>
      <c r="X38" s="120"/>
      <c r="Y38" s="321" t="s">
        <v>249</v>
      </c>
    </row>
    <row r="39" spans="1:25" s="861" customFormat="1" ht="0.75" customHeight="1" x14ac:dyDescent="0.15">
      <c r="A39" s="909"/>
      <c r="C39" s="180"/>
      <c r="D39" s="180"/>
      <c r="E39" s="180"/>
      <c r="F39" s="320"/>
      <c r="G39" s="320"/>
      <c r="H39" s="320"/>
      <c r="I39" s="191"/>
      <c r="J39" s="319"/>
      <c r="K39" s="191"/>
      <c r="L39" s="192"/>
      <c r="M39" s="192"/>
      <c r="N39" s="192"/>
      <c r="P39" s="862"/>
      <c r="Q39" s="192"/>
      <c r="R39" s="192"/>
      <c r="S39" s="191"/>
      <c r="T39" s="191"/>
      <c r="U39" s="191"/>
      <c r="V39" s="191"/>
      <c r="W39" s="318"/>
      <c r="X39" s="909"/>
    </row>
    <row r="40" spans="1:25" s="117" customFormat="1" ht="12" customHeight="1" x14ac:dyDescent="0.15">
      <c r="A40" s="139"/>
      <c r="B40" s="192" t="s">
        <v>624</v>
      </c>
      <c r="C40" s="139"/>
      <c r="D40" s="138"/>
      <c r="E40" s="138"/>
      <c r="F40" s="138"/>
      <c r="G40" s="138"/>
      <c r="H40" s="863"/>
      <c r="I40" s="138"/>
      <c r="J40" s="138"/>
      <c r="K40" s="138"/>
      <c r="L40" s="138"/>
      <c r="M40" s="138"/>
      <c r="N40" s="138"/>
      <c r="O40" s="193" t="s">
        <v>1077</v>
      </c>
      <c r="P40" s="138"/>
      <c r="Q40" s="138"/>
      <c r="R40" s="138"/>
      <c r="S40" s="138"/>
      <c r="T40" s="138"/>
      <c r="U40" s="138"/>
      <c r="V40" s="138"/>
      <c r="W40" s="318"/>
      <c r="X40" s="139"/>
    </row>
    <row r="41" spans="1:25" x14ac:dyDescent="0.2">
      <c r="A41" s="244"/>
      <c r="B41" s="192" t="s">
        <v>1078</v>
      </c>
      <c r="X41" s="243"/>
    </row>
  </sheetData>
  <mergeCells count="2">
    <mergeCell ref="W4:W7"/>
    <mergeCell ref="B5:E5"/>
  </mergeCells>
  <phoneticPr fontId="30"/>
  <pageMargins left="0.39370078740157483" right="0.39370078740157483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4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68"/>
  <sheetViews>
    <sheetView view="pageBreakPreview" zoomScale="106" zoomScaleNormal="75" zoomScaleSheetLayoutView="106" workbookViewId="0"/>
  </sheetViews>
  <sheetFormatPr defaultColWidth="9" defaultRowHeight="13" x14ac:dyDescent="0.2"/>
  <cols>
    <col min="1" max="1" width="2.6328125" style="240" customWidth="1"/>
    <col min="2" max="2" width="3.36328125" style="240" customWidth="1"/>
    <col min="3" max="3" width="3.26953125" style="240" customWidth="1"/>
    <col min="4" max="4" width="6.08984375" style="240" customWidth="1"/>
    <col min="5" max="5" width="0.90625" style="240" customWidth="1"/>
    <col min="6" max="6" width="9.08984375" style="240" customWidth="1"/>
    <col min="7" max="10" width="8.08984375" style="240" customWidth="1"/>
    <col min="11" max="12" width="8.36328125" style="240" customWidth="1"/>
    <col min="13" max="13" width="8.36328125" style="356" customWidth="1"/>
    <col min="14" max="21" width="8.36328125" style="240" customWidth="1"/>
    <col min="22" max="22" width="9.26953125" style="240" customWidth="1"/>
    <col min="23" max="23" width="8.26953125" style="240" customWidth="1"/>
    <col min="24" max="24" width="2.6328125" style="240" customWidth="1"/>
    <col min="25" max="16384" width="9" style="240"/>
  </cols>
  <sheetData>
    <row r="1" spans="1:24" ht="13.5" customHeight="1" x14ac:dyDescent="0.2">
      <c r="I1" s="440"/>
    </row>
    <row r="2" spans="1:24" ht="13.5" customHeight="1" x14ac:dyDescent="0.25">
      <c r="A2" s="994"/>
      <c r="B2" s="994" t="s">
        <v>703</v>
      </c>
      <c r="C2" s="25"/>
      <c r="D2" s="25"/>
      <c r="E2" s="25"/>
      <c r="F2" s="439"/>
      <c r="G2" s="357"/>
      <c r="J2" s="357"/>
      <c r="K2" s="385"/>
      <c r="L2" s="385"/>
      <c r="P2" s="995"/>
      <c r="S2" s="996"/>
      <c r="W2" s="351"/>
    </row>
    <row r="3" spans="1:24" s="245" customFormat="1" ht="12" customHeight="1" x14ac:dyDescent="0.2">
      <c r="A3" s="438"/>
      <c r="B3" s="437" t="s">
        <v>704</v>
      </c>
      <c r="C3" s="436"/>
      <c r="D3" s="436"/>
      <c r="E3" s="436"/>
      <c r="F3" s="231"/>
      <c r="G3" s="433"/>
      <c r="H3" s="433"/>
      <c r="I3" s="433"/>
      <c r="J3" s="433"/>
      <c r="K3" s="435" t="s">
        <v>249</v>
      </c>
      <c r="L3" s="433"/>
      <c r="M3" s="433" t="s">
        <v>249</v>
      </c>
      <c r="N3" s="433"/>
      <c r="O3" s="433"/>
      <c r="P3" s="433"/>
      <c r="Q3" s="433"/>
      <c r="R3" s="433"/>
      <c r="S3" s="434"/>
      <c r="T3" s="433"/>
      <c r="U3" s="433"/>
      <c r="V3" s="165" t="s">
        <v>1079</v>
      </c>
      <c r="W3" s="433"/>
      <c r="X3" s="432"/>
    </row>
    <row r="4" spans="1:24" s="362" customFormat="1" ht="11.25" customHeight="1" x14ac:dyDescent="0.15">
      <c r="A4" s="921"/>
      <c r="B4" s="915"/>
      <c r="C4" s="915"/>
      <c r="D4" s="915"/>
      <c r="E4" s="916"/>
      <c r="F4" s="431"/>
      <c r="G4" s="430"/>
      <c r="H4" s="430"/>
      <c r="I4" s="430"/>
      <c r="J4" s="430"/>
      <c r="K4" s="430"/>
      <c r="L4" s="430"/>
      <c r="M4" s="430"/>
      <c r="N4" s="429"/>
      <c r="O4" s="227"/>
      <c r="P4" s="226"/>
      <c r="Q4" s="226"/>
      <c r="R4" s="226"/>
      <c r="S4" s="226"/>
      <c r="T4" s="225"/>
      <c r="U4" s="280"/>
      <c r="V4" s="347"/>
      <c r="W4" s="1086" t="s">
        <v>626</v>
      </c>
      <c r="X4" s="365"/>
    </row>
    <row r="5" spans="1:24" s="362" customFormat="1" ht="11.25" customHeight="1" x14ac:dyDescent="0.15">
      <c r="A5" s="915"/>
      <c r="B5" s="1087" t="s">
        <v>627</v>
      </c>
      <c r="C5" s="1087"/>
      <c r="D5" s="1087"/>
      <c r="E5" s="1088"/>
      <c r="F5" s="213" t="s">
        <v>252</v>
      </c>
      <c r="G5" s="215" t="s">
        <v>572</v>
      </c>
      <c r="H5" s="215" t="s">
        <v>573</v>
      </c>
      <c r="I5" s="215" t="s">
        <v>574</v>
      </c>
      <c r="J5" s="215" t="s">
        <v>575</v>
      </c>
      <c r="K5" s="215" t="s">
        <v>576</v>
      </c>
      <c r="L5" s="215" t="s">
        <v>577</v>
      </c>
      <c r="M5" s="428"/>
      <c r="N5" s="275"/>
      <c r="O5" s="214" t="s">
        <v>578</v>
      </c>
      <c r="P5" s="215" t="s">
        <v>579</v>
      </c>
      <c r="Q5" s="215" t="s">
        <v>580</v>
      </c>
      <c r="R5" s="215" t="s">
        <v>581</v>
      </c>
      <c r="S5" s="220" t="s">
        <v>630</v>
      </c>
      <c r="T5" s="279"/>
      <c r="U5" s="278"/>
      <c r="V5" s="214" t="s">
        <v>583</v>
      </c>
      <c r="W5" s="1084"/>
      <c r="X5" s="365"/>
    </row>
    <row r="6" spans="1:24" s="362" customFormat="1" ht="11.25" customHeight="1" x14ac:dyDescent="0.15">
      <c r="A6" s="915"/>
      <c r="B6" s="915"/>
      <c r="C6" s="915"/>
      <c r="D6" s="915"/>
      <c r="E6" s="916"/>
      <c r="F6" s="213"/>
      <c r="G6" s="215" t="s">
        <v>249</v>
      </c>
      <c r="H6" s="215" t="s">
        <v>249</v>
      </c>
      <c r="I6" s="215" t="s">
        <v>250</v>
      </c>
      <c r="J6" s="215"/>
      <c r="K6" s="215"/>
      <c r="L6" s="215" t="s">
        <v>249</v>
      </c>
      <c r="M6" s="215" t="s">
        <v>248</v>
      </c>
      <c r="N6" s="427" t="s">
        <v>247</v>
      </c>
      <c r="O6" s="214"/>
      <c r="P6" s="215"/>
      <c r="Q6" s="215"/>
      <c r="R6" s="215"/>
      <c r="S6" s="215"/>
      <c r="T6" s="215" t="s">
        <v>584</v>
      </c>
      <c r="U6" s="214" t="s">
        <v>585</v>
      </c>
      <c r="V6" s="213"/>
      <c r="W6" s="1084"/>
      <c r="X6" s="365"/>
    </row>
    <row r="7" spans="1:24" s="362" customFormat="1" ht="33.75" customHeight="1" x14ac:dyDescent="0.15">
      <c r="A7" s="921"/>
      <c r="B7" s="938"/>
      <c r="C7" s="938"/>
      <c r="D7" s="938"/>
      <c r="E7" s="935"/>
      <c r="F7" s="426" t="s">
        <v>695</v>
      </c>
      <c r="G7" s="426" t="s">
        <v>246</v>
      </c>
      <c r="H7" s="426" t="s">
        <v>596</v>
      </c>
      <c r="I7" s="426" t="s">
        <v>597</v>
      </c>
      <c r="J7" s="426" t="s">
        <v>245</v>
      </c>
      <c r="K7" s="426" t="s">
        <v>586</v>
      </c>
      <c r="L7" s="426" t="s">
        <v>628</v>
      </c>
      <c r="M7" s="426" t="s">
        <v>598</v>
      </c>
      <c r="N7" s="425" t="s">
        <v>599</v>
      </c>
      <c r="O7" s="209" t="s">
        <v>254</v>
      </c>
      <c r="P7" s="209" t="s">
        <v>244</v>
      </c>
      <c r="Q7" s="209" t="s">
        <v>243</v>
      </c>
      <c r="R7" s="208" t="s">
        <v>242</v>
      </c>
      <c r="S7" s="424" t="s">
        <v>600</v>
      </c>
      <c r="T7" s="931"/>
      <c r="U7" s="931"/>
      <c r="V7" s="935" t="s">
        <v>1014</v>
      </c>
      <c r="W7" s="1085"/>
      <c r="X7" s="365" t="s">
        <v>705</v>
      </c>
    </row>
    <row r="8" spans="1:24" s="361" customFormat="1" ht="14.25" customHeight="1" x14ac:dyDescent="0.2">
      <c r="A8" s="997"/>
      <c r="B8" s="777"/>
      <c r="C8" s="777"/>
      <c r="D8" s="778"/>
      <c r="E8" s="998"/>
      <c r="F8" s="381">
        <v>1100596</v>
      </c>
      <c r="G8" s="380"/>
      <c r="H8" s="398"/>
      <c r="I8" s="380">
        <v>1054676</v>
      </c>
      <c r="J8" s="398"/>
      <c r="K8" s="398">
        <v>18422</v>
      </c>
      <c r="L8" s="380">
        <v>27498</v>
      </c>
      <c r="M8" s="380"/>
      <c r="N8" s="380">
        <v>27498</v>
      </c>
      <c r="O8" s="380">
        <v>17511</v>
      </c>
      <c r="P8" s="392"/>
      <c r="Q8" s="392"/>
      <c r="R8" s="389"/>
      <c r="S8" s="396"/>
      <c r="T8" s="396"/>
      <c r="U8" s="396"/>
      <c r="V8" s="395"/>
      <c r="W8" s="423"/>
      <c r="X8" s="120"/>
    </row>
    <row r="9" spans="1:24" s="419" customFormat="1" ht="10.5" customHeight="1" x14ac:dyDescent="0.2">
      <c r="A9" s="780"/>
      <c r="B9" s="779" t="s">
        <v>261</v>
      </c>
      <c r="C9" s="779" t="s">
        <v>936</v>
      </c>
      <c r="D9" s="780"/>
      <c r="E9" s="999"/>
      <c r="F9" s="387">
        <v>33510425</v>
      </c>
      <c r="G9" s="385">
        <v>983829</v>
      </c>
      <c r="H9" s="385">
        <v>28277414</v>
      </c>
      <c r="I9" s="385">
        <v>313850</v>
      </c>
      <c r="J9" s="385">
        <v>1418361</v>
      </c>
      <c r="K9" s="385">
        <v>322897</v>
      </c>
      <c r="L9" s="386">
        <v>2194074</v>
      </c>
      <c r="M9" s="385">
        <v>77316</v>
      </c>
      <c r="N9" s="385">
        <v>2116758</v>
      </c>
      <c r="O9" s="385">
        <v>173087</v>
      </c>
      <c r="P9" s="385">
        <v>91593</v>
      </c>
      <c r="Q9" s="385">
        <v>1226</v>
      </c>
      <c r="R9" s="385">
        <v>19068</v>
      </c>
      <c r="S9" s="384">
        <v>10663735</v>
      </c>
      <c r="T9" s="384">
        <v>8997515</v>
      </c>
      <c r="U9" s="384">
        <v>1666220</v>
      </c>
      <c r="V9" s="383">
        <v>79594758</v>
      </c>
      <c r="W9" s="420" t="s">
        <v>568</v>
      </c>
      <c r="X9" s="368"/>
    </row>
    <row r="10" spans="1:24" s="361" customFormat="1" ht="14.25" customHeight="1" x14ac:dyDescent="0.15">
      <c r="A10" s="771"/>
      <c r="B10" s="781"/>
      <c r="C10" s="782"/>
      <c r="D10" s="783"/>
      <c r="E10" s="1000"/>
      <c r="F10" s="381">
        <v>1461081</v>
      </c>
      <c r="G10" s="380">
        <v>137</v>
      </c>
      <c r="H10" s="380"/>
      <c r="I10" s="380">
        <v>1434046</v>
      </c>
      <c r="J10" s="380"/>
      <c r="K10" s="380">
        <v>10479</v>
      </c>
      <c r="L10" s="380">
        <v>16419</v>
      </c>
      <c r="M10" s="380">
        <v>200</v>
      </c>
      <c r="N10" s="380">
        <v>16219</v>
      </c>
      <c r="O10" s="380">
        <v>16182</v>
      </c>
      <c r="P10" s="392"/>
      <c r="Q10" s="392"/>
      <c r="R10" s="392"/>
      <c r="S10" s="378"/>
      <c r="T10" s="378"/>
      <c r="U10" s="378"/>
      <c r="V10" s="377"/>
      <c r="W10" s="421"/>
      <c r="X10" s="120"/>
    </row>
    <row r="11" spans="1:24" s="419" customFormat="1" ht="10.5" customHeight="1" x14ac:dyDescent="0.2">
      <c r="A11" s="780"/>
      <c r="B11" s="779" t="s">
        <v>260</v>
      </c>
      <c r="C11" s="779" t="s">
        <v>1051</v>
      </c>
      <c r="D11" s="780"/>
      <c r="E11" s="999"/>
      <c r="F11" s="327">
        <v>36211123</v>
      </c>
      <c r="G11" s="385">
        <v>2092508</v>
      </c>
      <c r="H11" s="385">
        <v>28329187</v>
      </c>
      <c r="I11" s="385">
        <v>335557</v>
      </c>
      <c r="J11" s="385">
        <v>2158301</v>
      </c>
      <c r="K11" s="385">
        <v>725308</v>
      </c>
      <c r="L11" s="327">
        <v>2570262</v>
      </c>
      <c r="M11" s="385">
        <v>71561</v>
      </c>
      <c r="N11" s="327">
        <v>2498701</v>
      </c>
      <c r="O11" s="385">
        <v>225524</v>
      </c>
      <c r="P11" s="385">
        <v>69534</v>
      </c>
      <c r="Q11" s="385">
        <v>1711</v>
      </c>
      <c r="R11" s="385">
        <v>15103</v>
      </c>
      <c r="S11" s="384">
        <v>10919571</v>
      </c>
      <c r="T11" s="384">
        <v>9103028</v>
      </c>
      <c r="U11" s="384">
        <v>1816543</v>
      </c>
      <c r="V11" s="383">
        <v>77892517</v>
      </c>
      <c r="W11" s="420" t="s">
        <v>639</v>
      </c>
      <c r="X11" s="368"/>
    </row>
    <row r="12" spans="1:24" s="361" customFormat="1" ht="14.25" customHeight="1" x14ac:dyDescent="0.15">
      <c r="A12" s="771"/>
      <c r="B12" s="781"/>
      <c r="C12" s="781"/>
      <c r="D12" s="783"/>
      <c r="E12" s="1000"/>
      <c r="F12" s="381">
        <v>1142896</v>
      </c>
      <c r="G12" s="380"/>
      <c r="H12" s="380"/>
      <c r="I12" s="380">
        <v>1058274</v>
      </c>
      <c r="J12" s="380"/>
      <c r="K12" s="380"/>
      <c r="L12" s="380">
        <v>84622</v>
      </c>
      <c r="M12" s="380">
        <v>2650</v>
      </c>
      <c r="N12" s="380">
        <v>81972</v>
      </c>
      <c r="O12" s="380">
        <v>18654</v>
      </c>
      <c r="P12" s="392"/>
      <c r="Q12" s="392"/>
      <c r="R12" s="392"/>
      <c r="S12" s="378"/>
      <c r="T12" s="378"/>
      <c r="U12" s="378"/>
      <c r="V12" s="377"/>
      <c r="W12" s="421"/>
      <c r="X12" s="120"/>
    </row>
    <row r="13" spans="1:24" s="419" customFormat="1" ht="10.5" customHeight="1" x14ac:dyDescent="0.2">
      <c r="A13" s="780"/>
      <c r="B13" s="779" t="s">
        <v>566</v>
      </c>
      <c r="C13" s="779" t="s">
        <v>939</v>
      </c>
      <c r="D13" s="780"/>
      <c r="E13" s="999"/>
      <c r="F13" s="327">
        <v>31720740</v>
      </c>
      <c r="G13" s="385">
        <v>2306235</v>
      </c>
      <c r="H13" s="385">
        <v>25968884</v>
      </c>
      <c r="I13" s="385">
        <v>240422</v>
      </c>
      <c r="J13" s="385">
        <v>1692406</v>
      </c>
      <c r="K13" s="385">
        <v>707459</v>
      </c>
      <c r="L13" s="327">
        <v>805334</v>
      </c>
      <c r="M13" s="385">
        <v>114834</v>
      </c>
      <c r="N13" s="327">
        <v>690500</v>
      </c>
      <c r="O13" s="385">
        <v>235247</v>
      </c>
      <c r="P13" s="385">
        <v>44425</v>
      </c>
      <c r="Q13" s="385">
        <v>1817</v>
      </c>
      <c r="R13" s="385">
        <v>11871</v>
      </c>
      <c r="S13" s="422">
        <v>10762268</v>
      </c>
      <c r="T13" s="384">
        <v>8831688</v>
      </c>
      <c r="U13" s="422">
        <v>1930580</v>
      </c>
      <c r="V13" s="383">
        <v>72221502</v>
      </c>
      <c r="W13" s="420" t="s">
        <v>940</v>
      </c>
      <c r="X13" s="368"/>
    </row>
    <row r="14" spans="1:24" s="361" customFormat="1" ht="14.25" customHeight="1" x14ac:dyDescent="0.15">
      <c r="A14" s="771"/>
      <c r="B14" s="781"/>
      <c r="C14" s="784"/>
      <c r="D14" s="783"/>
      <c r="E14" s="1000"/>
      <c r="F14" s="381">
        <v>827444</v>
      </c>
      <c r="G14" s="380"/>
      <c r="H14" s="380"/>
      <c r="I14" s="380">
        <v>819586</v>
      </c>
      <c r="J14" s="380"/>
      <c r="K14" s="380">
        <v>7858</v>
      </c>
      <c r="L14" s="380"/>
      <c r="M14" s="380"/>
      <c r="N14" s="380"/>
      <c r="O14" s="380">
        <v>14077</v>
      </c>
      <c r="P14" s="392"/>
      <c r="Q14" s="392"/>
      <c r="R14" s="392"/>
      <c r="S14" s="378"/>
      <c r="T14" s="378"/>
      <c r="U14" s="378"/>
      <c r="V14" s="377"/>
      <c r="W14" s="421"/>
      <c r="X14" s="120"/>
    </row>
    <row r="15" spans="1:24" s="419" customFormat="1" ht="10.5" customHeight="1" x14ac:dyDescent="0.2">
      <c r="A15" s="780"/>
      <c r="B15" s="779" t="s">
        <v>260</v>
      </c>
      <c r="C15" s="779" t="s">
        <v>941</v>
      </c>
      <c r="D15" s="780"/>
      <c r="E15" s="999"/>
      <c r="F15" s="387">
        <v>34955953</v>
      </c>
      <c r="G15" s="385">
        <v>3127198</v>
      </c>
      <c r="H15" s="385">
        <v>27977796</v>
      </c>
      <c r="I15" s="385">
        <v>92324</v>
      </c>
      <c r="J15" s="385">
        <v>2103609</v>
      </c>
      <c r="K15" s="385">
        <v>1217469</v>
      </c>
      <c r="L15" s="386">
        <v>437557</v>
      </c>
      <c r="M15" s="385">
        <v>123613</v>
      </c>
      <c r="N15" s="385">
        <v>313944</v>
      </c>
      <c r="O15" s="385">
        <v>195920</v>
      </c>
      <c r="P15" s="385">
        <v>8030</v>
      </c>
      <c r="Q15" s="385">
        <v>1735</v>
      </c>
      <c r="R15" s="385">
        <v>9153</v>
      </c>
      <c r="S15" s="422">
        <v>9885612</v>
      </c>
      <c r="T15" s="384">
        <v>8247619</v>
      </c>
      <c r="U15" s="422">
        <v>1637993</v>
      </c>
      <c r="V15" s="383">
        <v>67858212</v>
      </c>
      <c r="W15" s="420" t="s">
        <v>688</v>
      </c>
      <c r="X15" s="368"/>
    </row>
    <row r="16" spans="1:24" s="361" customFormat="1" ht="14.25" customHeight="1" x14ac:dyDescent="0.15">
      <c r="A16" s="771"/>
      <c r="B16" s="781"/>
      <c r="C16" s="784"/>
      <c r="D16" s="783"/>
      <c r="E16" s="1000"/>
      <c r="F16" s="381">
        <v>901449</v>
      </c>
      <c r="G16" s="380"/>
      <c r="H16" s="380"/>
      <c r="I16" s="380">
        <v>890924</v>
      </c>
      <c r="J16" s="380"/>
      <c r="K16" s="380">
        <v>9800</v>
      </c>
      <c r="L16" s="380">
        <v>725</v>
      </c>
      <c r="M16" s="380">
        <v>725</v>
      </c>
      <c r="N16" s="380"/>
      <c r="O16" s="380">
        <v>19738</v>
      </c>
      <c r="P16" s="392"/>
      <c r="Q16" s="392"/>
      <c r="R16" s="392"/>
      <c r="S16" s="378"/>
      <c r="T16" s="378"/>
      <c r="U16" s="378"/>
      <c r="V16" s="377"/>
      <c r="W16" s="421"/>
      <c r="X16" s="120"/>
    </row>
    <row r="17" spans="1:25" s="418" customFormat="1" ht="10.5" customHeight="1" x14ac:dyDescent="0.2">
      <c r="A17" s="780"/>
      <c r="B17" s="779" t="s">
        <v>260</v>
      </c>
      <c r="C17" s="779" t="s">
        <v>693</v>
      </c>
      <c r="D17" s="780"/>
      <c r="E17" s="999"/>
      <c r="F17" s="387">
        <v>39136664</v>
      </c>
      <c r="G17" s="385">
        <v>2926721</v>
      </c>
      <c r="H17" s="385">
        <v>30646454</v>
      </c>
      <c r="I17" s="385">
        <v>167858</v>
      </c>
      <c r="J17" s="385">
        <v>2232720</v>
      </c>
      <c r="K17" s="385">
        <v>1980952</v>
      </c>
      <c r="L17" s="386">
        <v>1181959</v>
      </c>
      <c r="M17" s="385">
        <v>153230</v>
      </c>
      <c r="N17" s="385">
        <v>1028729</v>
      </c>
      <c r="O17" s="385">
        <v>270105</v>
      </c>
      <c r="P17" s="385">
        <v>19051</v>
      </c>
      <c r="Q17" s="385">
        <v>1804</v>
      </c>
      <c r="R17" s="385">
        <v>12043</v>
      </c>
      <c r="S17" s="384">
        <v>10382862</v>
      </c>
      <c r="T17" s="384">
        <v>8878848</v>
      </c>
      <c r="U17" s="384">
        <v>1504014</v>
      </c>
      <c r="V17" s="383">
        <v>65369046</v>
      </c>
      <c r="W17" s="420" t="s">
        <v>944</v>
      </c>
      <c r="X17" s="368"/>
      <c r="Y17" s="419"/>
    </row>
    <row r="18" spans="1:25" s="361" customFormat="1" ht="6.75" customHeight="1" x14ac:dyDescent="0.15">
      <c r="A18" s="771"/>
      <c r="B18" s="781"/>
      <c r="C18" s="781"/>
      <c r="D18" s="785"/>
      <c r="E18" s="1001"/>
      <c r="F18" s="400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399"/>
      <c r="S18" s="378"/>
      <c r="T18" s="378"/>
      <c r="U18" s="378"/>
      <c r="V18" s="377"/>
      <c r="W18" s="399"/>
      <c r="X18" s="120"/>
      <c r="Y18" s="417"/>
    </row>
    <row r="19" spans="1:25" s="362" customFormat="1" ht="14.25" customHeight="1" x14ac:dyDescent="0.15">
      <c r="A19" s="771"/>
      <c r="B19" s="781"/>
      <c r="C19" s="781"/>
      <c r="D19" s="785"/>
      <c r="E19" s="1001"/>
      <c r="F19" s="381">
        <v>631457</v>
      </c>
      <c r="G19" s="380"/>
      <c r="H19" s="380"/>
      <c r="I19" s="380">
        <v>626457</v>
      </c>
      <c r="J19" s="380"/>
      <c r="K19" s="380">
        <v>5000</v>
      </c>
      <c r="L19" s="380"/>
      <c r="M19" s="380"/>
      <c r="N19" s="380"/>
      <c r="O19" s="380">
        <v>14731</v>
      </c>
      <c r="P19" s="392"/>
      <c r="Q19" s="378"/>
      <c r="R19" s="378"/>
      <c r="S19" s="396"/>
      <c r="T19" s="396"/>
      <c r="U19" s="396"/>
      <c r="V19" s="377"/>
      <c r="W19" s="416"/>
      <c r="X19" s="120"/>
    </row>
    <row r="20" spans="1:25" s="367" customFormat="1" ht="10.5" customHeight="1" x14ac:dyDescent="0.2">
      <c r="A20" s="780"/>
      <c r="B20" s="779" t="s">
        <v>566</v>
      </c>
      <c r="C20" s="779" t="s">
        <v>945</v>
      </c>
      <c r="D20" s="786"/>
      <c r="E20" s="1002"/>
      <c r="F20" s="404">
        <v>36833877</v>
      </c>
      <c r="G20" s="403">
        <v>3013692</v>
      </c>
      <c r="H20" s="403">
        <v>28852839</v>
      </c>
      <c r="I20" s="385">
        <v>78618</v>
      </c>
      <c r="J20" s="403">
        <v>2718329</v>
      </c>
      <c r="K20" s="403">
        <v>1448994</v>
      </c>
      <c r="L20" s="386">
        <v>721405</v>
      </c>
      <c r="M20" s="403">
        <v>115155</v>
      </c>
      <c r="N20" s="403">
        <v>606250</v>
      </c>
      <c r="O20" s="403">
        <v>192810</v>
      </c>
      <c r="P20" s="403">
        <v>7019</v>
      </c>
      <c r="Q20" s="403">
        <v>1670</v>
      </c>
      <c r="R20" s="403">
        <v>9033</v>
      </c>
      <c r="S20" s="384">
        <v>10234165</v>
      </c>
      <c r="T20" s="384">
        <v>8610201</v>
      </c>
      <c r="U20" s="384">
        <v>1623964</v>
      </c>
      <c r="V20" s="415">
        <v>68577881</v>
      </c>
      <c r="W20" s="414" t="s">
        <v>946</v>
      </c>
      <c r="X20" s="368"/>
    </row>
    <row r="21" spans="1:25" s="362" customFormat="1" ht="14.25" customHeight="1" x14ac:dyDescent="0.15">
      <c r="A21" s="771"/>
      <c r="B21" s="781"/>
      <c r="C21" s="782"/>
      <c r="D21" s="787"/>
      <c r="E21" s="1003"/>
      <c r="F21" s="381">
        <v>786475</v>
      </c>
      <c r="G21" s="380"/>
      <c r="H21" s="380"/>
      <c r="I21" s="380">
        <v>777650</v>
      </c>
      <c r="J21" s="380"/>
      <c r="K21" s="380">
        <v>8100</v>
      </c>
      <c r="L21" s="380">
        <v>725</v>
      </c>
      <c r="M21" s="380">
        <v>725</v>
      </c>
      <c r="N21" s="380"/>
      <c r="O21" s="380">
        <v>19426</v>
      </c>
      <c r="P21" s="392"/>
      <c r="Q21" s="378"/>
      <c r="R21" s="378"/>
      <c r="S21" s="396"/>
      <c r="T21" s="396"/>
      <c r="U21" s="396"/>
      <c r="V21" s="377"/>
      <c r="W21" s="416"/>
      <c r="X21" s="120"/>
    </row>
    <row r="22" spans="1:25" s="367" customFormat="1" ht="10.5" customHeight="1" x14ac:dyDescent="0.2">
      <c r="A22" s="780"/>
      <c r="B22" s="779" t="s">
        <v>260</v>
      </c>
      <c r="C22" s="779" t="s">
        <v>943</v>
      </c>
      <c r="D22" s="786"/>
      <c r="E22" s="1002"/>
      <c r="F22" s="404">
        <v>36918645</v>
      </c>
      <c r="G22" s="403">
        <v>2800701</v>
      </c>
      <c r="H22" s="403">
        <v>29351002</v>
      </c>
      <c r="I22" s="385">
        <v>127101</v>
      </c>
      <c r="J22" s="403">
        <v>1522164</v>
      </c>
      <c r="K22" s="403">
        <v>1713115</v>
      </c>
      <c r="L22" s="386">
        <v>1404562</v>
      </c>
      <c r="M22" s="403">
        <v>143574</v>
      </c>
      <c r="N22" s="403">
        <v>1260988</v>
      </c>
      <c r="O22" s="403">
        <v>279529</v>
      </c>
      <c r="P22" s="403">
        <v>18092</v>
      </c>
      <c r="Q22" s="403">
        <v>1890</v>
      </c>
      <c r="R22" s="403">
        <v>11711</v>
      </c>
      <c r="S22" s="384">
        <v>10305781</v>
      </c>
      <c r="T22" s="384">
        <v>8765823</v>
      </c>
      <c r="U22" s="384">
        <v>1539958</v>
      </c>
      <c r="V22" s="415">
        <v>62030632</v>
      </c>
      <c r="W22" s="414" t="s">
        <v>947</v>
      </c>
      <c r="X22" s="368"/>
    </row>
    <row r="23" spans="1:25" s="362" customFormat="1" ht="6.75" customHeight="1" x14ac:dyDescent="0.15">
      <c r="A23" s="771"/>
      <c r="B23" s="781"/>
      <c r="C23" s="781"/>
      <c r="D23" s="787"/>
      <c r="E23" s="1001"/>
      <c r="F23" s="413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78"/>
      <c r="R23" s="378"/>
      <c r="S23" s="396"/>
      <c r="T23" s="396"/>
      <c r="U23" s="396"/>
      <c r="V23" s="377"/>
      <c r="W23" s="397"/>
      <c r="X23" s="120"/>
    </row>
    <row r="24" spans="1:25" s="362" customFormat="1" ht="14.25" customHeight="1" x14ac:dyDescent="0.15">
      <c r="A24" s="771"/>
      <c r="B24" s="781"/>
      <c r="C24" s="781"/>
      <c r="D24" s="785"/>
      <c r="E24" s="1001"/>
      <c r="F24" s="381">
        <v>399657</v>
      </c>
      <c r="G24" s="380"/>
      <c r="H24" s="380"/>
      <c r="I24" s="380">
        <v>396657</v>
      </c>
      <c r="J24" s="380"/>
      <c r="K24" s="380">
        <v>3000</v>
      </c>
      <c r="L24" s="380"/>
      <c r="M24" s="380"/>
      <c r="N24" s="380"/>
      <c r="O24" s="380">
        <v>4599</v>
      </c>
      <c r="P24" s="380"/>
      <c r="Q24" s="380"/>
      <c r="R24" s="380"/>
      <c r="S24" s="380"/>
      <c r="T24" s="380"/>
      <c r="U24" s="380"/>
      <c r="V24" s="394"/>
      <c r="W24" s="397"/>
      <c r="X24" s="120"/>
    </row>
    <row r="25" spans="1:25" s="367" customFormat="1" ht="10.5" customHeight="1" x14ac:dyDescent="0.2">
      <c r="A25" s="780"/>
      <c r="B25" s="779" t="s">
        <v>566</v>
      </c>
      <c r="C25" s="779" t="s">
        <v>948</v>
      </c>
      <c r="D25" s="788" t="s">
        <v>949</v>
      </c>
      <c r="E25" s="1002"/>
      <c r="F25" s="387">
        <v>10179157</v>
      </c>
      <c r="G25" s="385">
        <v>433908</v>
      </c>
      <c r="H25" s="385">
        <v>7461745</v>
      </c>
      <c r="I25" s="385">
        <v>40757</v>
      </c>
      <c r="J25" s="385">
        <v>1374763</v>
      </c>
      <c r="K25" s="385">
        <v>492803</v>
      </c>
      <c r="L25" s="385">
        <v>375181</v>
      </c>
      <c r="M25" s="385">
        <v>22026</v>
      </c>
      <c r="N25" s="385">
        <v>353155</v>
      </c>
      <c r="O25" s="385">
        <v>53826</v>
      </c>
      <c r="P25" s="385">
        <v>3976</v>
      </c>
      <c r="Q25" s="385">
        <v>399</v>
      </c>
      <c r="R25" s="385">
        <v>2519</v>
      </c>
      <c r="S25" s="385">
        <v>3283960</v>
      </c>
      <c r="T25" s="385">
        <v>2885166</v>
      </c>
      <c r="U25" s="385">
        <v>398794</v>
      </c>
      <c r="V25" s="407">
        <v>20612808</v>
      </c>
      <c r="W25" s="401" t="s">
        <v>950</v>
      </c>
      <c r="X25" s="368"/>
    </row>
    <row r="26" spans="1:25" s="362" customFormat="1" ht="14.25" customHeight="1" x14ac:dyDescent="0.15">
      <c r="A26" s="771"/>
      <c r="B26" s="781"/>
      <c r="C26" s="782"/>
      <c r="D26" s="787"/>
      <c r="E26" s="1003"/>
      <c r="F26" s="381">
        <v>71413</v>
      </c>
      <c r="G26" s="380"/>
      <c r="H26" s="380"/>
      <c r="I26" s="380">
        <v>69913</v>
      </c>
      <c r="J26" s="380"/>
      <c r="K26" s="380">
        <v>1500</v>
      </c>
      <c r="L26" s="380"/>
      <c r="M26" s="380"/>
      <c r="N26" s="380"/>
      <c r="O26" s="380">
        <v>4075</v>
      </c>
      <c r="P26" s="380"/>
      <c r="Q26" s="380"/>
      <c r="R26" s="380"/>
      <c r="S26" s="380"/>
      <c r="T26" s="380"/>
      <c r="U26" s="380"/>
      <c r="V26" s="394"/>
      <c r="W26" s="412"/>
      <c r="X26" s="120"/>
    </row>
    <row r="27" spans="1:25" s="367" customFormat="1" ht="10.5" customHeight="1" x14ac:dyDescent="0.2">
      <c r="A27" s="780"/>
      <c r="B27" s="779" t="s">
        <v>260</v>
      </c>
      <c r="C27" s="779" t="s">
        <v>260</v>
      </c>
      <c r="D27" s="788" t="s">
        <v>951</v>
      </c>
      <c r="E27" s="1002"/>
      <c r="F27" s="387">
        <v>10026696</v>
      </c>
      <c r="G27" s="385">
        <v>1298968</v>
      </c>
      <c r="H27" s="385">
        <v>7659981</v>
      </c>
      <c r="I27" s="385">
        <v>29826</v>
      </c>
      <c r="J27" s="385">
        <v>209874</v>
      </c>
      <c r="K27" s="385">
        <v>678736</v>
      </c>
      <c r="L27" s="385">
        <v>149311</v>
      </c>
      <c r="M27" s="385">
        <v>40417</v>
      </c>
      <c r="N27" s="385">
        <v>108894</v>
      </c>
      <c r="O27" s="385">
        <v>64331</v>
      </c>
      <c r="P27" s="385">
        <v>4015</v>
      </c>
      <c r="Q27" s="385">
        <v>626</v>
      </c>
      <c r="R27" s="385">
        <v>2353</v>
      </c>
      <c r="S27" s="385">
        <v>2286069</v>
      </c>
      <c r="T27" s="385">
        <v>1960900</v>
      </c>
      <c r="U27" s="385">
        <v>325169</v>
      </c>
      <c r="V27" s="407">
        <v>13717158</v>
      </c>
      <c r="W27" s="411" t="s">
        <v>952</v>
      </c>
      <c r="X27" s="368"/>
    </row>
    <row r="28" spans="1:25" s="362" customFormat="1" ht="14.25" customHeight="1" x14ac:dyDescent="0.15">
      <c r="A28" s="771"/>
      <c r="B28" s="781"/>
      <c r="C28" s="781"/>
      <c r="D28" s="787"/>
      <c r="E28" s="1003"/>
      <c r="F28" s="381">
        <v>2500</v>
      </c>
      <c r="G28" s="380"/>
      <c r="H28" s="380"/>
      <c r="I28" s="380"/>
      <c r="J28" s="380"/>
      <c r="K28" s="380">
        <v>2500</v>
      </c>
      <c r="L28" s="380"/>
      <c r="M28" s="385"/>
      <c r="N28" s="380"/>
      <c r="O28" s="380">
        <v>5887</v>
      </c>
      <c r="P28" s="380"/>
      <c r="Q28" s="380"/>
      <c r="R28" s="380"/>
      <c r="S28" s="380"/>
      <c r="T28" s="380"/>
      <c r="U28" s="380"/>
      <c r="V28" s="394"/>
      <c r="W28" s="410"/>
      <c r="X28" s="120"/>
    </row>
    <row r="29" spans="1:25" s="367" customFormat="1" ht="10.5" customHeight="1" x14ac:dyDescent="0.2">
      <c r="A29" s="780"/>
      <c r="B29" s="779" t="s">
        <v>260</v>
      </c>
      <c r="C29" s="779" t="s">
        <v>260</v>
      </c>
      <c r="D29" s="788" t="s">
        <v>953</v>
      </c>
      <c r="E29" s="1002"/>
      <c r="F29" s="387">
        <v>9237921</v>
      </c>
      <c r="G29" s="385">
        <v>828062</v>
      </c>
      <c r="H29" s="385">
        <v>7665812</v>
      </c>
      <c r="I29" s="385">
        <v>6414</v>
      </c>
      <c r="J29" s="385">
        <v>135407</v>
      </c>
      <c r="K29" s="385">
        <v>421463</v>
      </c>
      <c r="L29" s="385">
        <v>180763</v>
      </c>
      <c r="M29" s="385">
        <v>52610</v>
      </c>
      <c r="N29" s="385">
        <v>128153</v>
      </c>
      <c r="O29" s="385">
        <v>72084</v>
      </c>
      <c r="P29" s="385">
        <v>6052</v>
      </c>
      <c r="Q29" s="385">
        <v>420</v>
      </c>
      <c r="R29" s="385">
        <v>3465</v>
      </c>
      <c r="S29" s="385">
        <v>2332203</v>
      </c>
      <c r="T29" s="385">
        <v>1874652</v>
      </c>
      <c r="U29" s="385">
        <v>457551</v>
      </c>
      <c r="V29" s="407">
        <v>15519999</v>
      </c>
      <c r="W29" s="409" t="s">
        <v>954</v>
      </c>
      <c r="X29" s="368"/>
    </row>
    <row r="30" spans="1:25" s="362" customFormat="1" ht="14.25" customHeight="1" x14ac:dyDescent="0.15">
      <c r="A30" s="771"/>
      <c r="B30" s="781"/>
      <c r="C30" s="781"/>
      <c r="D30" s="787"/>
      <c r="E30" s="1003"/>
      <c r="F30" s="381">
        <v>427879</v>
      </c>
      <c r="G30" s="380"/>
      <c r="H30" s="380"/>
      <c r="I30" s="380">
        <v>424354</v>
      </c>
      <c r="J30" s="380"/>
      <c r="K30" s="380">
        <v>2800</v>
      </c>
      <c r="L30" s="380">
        <v>725</v>
      </c>
      <c r="M30" s="385">
        <v>725</v>
      </c>
      <c r="N30" s="380"/>
      <c r="O30" s="380">
        <v>5177</v>
      </c>
      <c r="P30" s="380"/>
      <c r="Q30" s="380"/>
      <c r="R30" s="380"/>
      <c r="S30" s="380"/>
      <c r="T30" s="380"/>
      <c r="U30" s="380"/>
      <c r="V30" s="394"/>
      <c r="W30" s="408"/>
      <c r="X30" s="120"/>
    </row>
    <row r="31" spans="1:25" s="367" customFormat="1" ht="10.5" customHeight="1" x14ac:dyDescent="0.2">
      <c r="A31" s="780"/>
      <c r="B31" s="779" t="s">
        <v>260</v>
      </c>
      <c r="C31" s="779" t="s">
        <v>260</v>
      </c>
      <c r="D31" s="788" t="s">
        <v>955</v>
      </c>
      <c r="E31" s="1002"/>
      <c r="F31" s="387">
        <v>9692890</v>
      </c>
      <c r="G31" s="385">
        <v>365783</v>
      </c>
      <c r="H31" s="385">
        <v>7858916</v>
      </c>
      <c r="I31" s="385">
        <v>90861</v>
      </c>
      <c r="J31" s="385">
        <v>512676</v>
      </c>
      <c r="K31" s="385">
        <v>387950</v>
      </c>
      <c r="L31" s="385">
        <v>476704</v>
      </c>
      <c r="M31" s="385">
        <v>38177</v>
      </c>
      <c r="N31" s="385">
        <v>438527</v>
      </c>
      <c r="O31" s="385">
        <v>79864</v>
      </c>
      <c r="P31" s="385">
        <v>5008</v>
      </c>
      <c r="Q31" s="385">
        <v>359</v>
      </c>
      <c r="R31" s="385">
        <v>3706</v>
      </c>
      <c r="S31" s="385">
        <v>2480630</v>
      </c>
      <c r="T31" s="385">
        <v>2158130</v>
      </c>
      <c r="U31" s="385">
        <v>322500</v>
      </c>
      <c r="V31" s="407">
        <v>15519081</v>
      </c>
      <c r="W31" s="406" t="s">
        <v>956</v>
      </c>
      <c r="X31" s="368"/>
    </row>
    <row r="32" spans="1:25" s="362" customFormat="1" ht="14.25" customHeight="1" x14ac:dyDescent="0.15">
      <c r="A32" s="771"/>
      <c r="B32" s="781"/>
      <c r="C32" s="781"/>
      <c r="D32" s="787"/>
      <c r="E32" s="1003"/>
      <c r="F32" s="381">
        <v>284683</v>
      </c>
      <c r="G32" s="380"/>
      <c r="H32" s="380"/>
      <c r="I32" s="380">
        <v>283383</v>
      </c>
      <c r="J32" s="380"/>
      <c r="K32" s="380">
        <v>1300</v>
      </c>
      <c r="L32" s="380"/>
      <c r="M32" s="385"/>
      <c r="N32" s="380"/>
      <c r="O32" s="380">
        <v>4287</v>
      </c>
      <c r="P32" s="380"/>
      <c r="Q32" s="380"/>
      <c r="R32" s="380"/>
      <c r="S32" s="380"/>
      <c r="T32" s="380"/>
      <c r="U32" s="380"/>
      <c r="V32" s="394"/>
      <c r="W32" s="405"/>
      <c r="X32" s="120"/>
    </row>
    <row r="33" spans="1:24" s="367" customFormat="1" ht="10.5" customHeight="1" x14ac:dyDescent="0.2">
      <c r="A33" s="780"/>
      <c r="B33" s="779" t="s">
        <v>566</v>
      </c>
      <c r="C33" s="779" t="s">
        <v>957</v>
      </c>
      <c r="D33" s="788" t="s">
        <v>958</v>
      </c>
      <c r="E33" s="788"/>
      <c r="F33" s="404">
        <v>7961138</v>
      </c>
      <c r="G33" s="403">
        <v>307888</v>
      </c>
      <c r="H33" s="403">
        <v>6166293</v>
      </c>
      <c r="I33" s="403" t="s">
        <v>648</v>
      </c>
      <c r="J33" s="403">
        <v>664207</v>
      </c>
      <c r="K33" s="403">
        <v>224966</v>
      </c>
      <c r="L33" s="403">
        <v>597784</v>
      </c>
      <c r="M33" s="403">
        <v>12370</v>
      </c>
      <c r="N33" s="403">
        <v>585414</v>
      </c>
      <c r="O33" s="403">
        <v>63250</v>
      </c>
      <c r="P33" s="403">
        <v>3017</v>
      </c>
      <c r="Q33" s="403">
        <v>485</v>
      </c>
      <c r="R33" s="403">
        <v>2187</v>
      </c>
      <c r="S33" s="403">
        <v>3206879</v>
      </c>
      <c r="T33" s="403">
        <v>2772141</v>
      </c>
      <c r="U33" s="403">
        <v>434738</v>
      </c>
      <c r="V33" s="402">
        <v>17274394</v>
      </c>
      <c r="W33" s="401" t="s">
        <v>959</v>
      </c>
      <c r="X33" s="368"/>
    </row>
    <row r="34" spans="1:24" s="362" customFormat="1" ht="6.75" customHeight="1" x14ac:dyDescent="0.15">
      <c r="A34" s="771"/>
      <c r="B34" s="781"/>
      <c r="C34" s="781"/>
      <c r="D34" s="785"/>
      <c r="E34" s="1001"/>
      <c r="F34" s="400"/>
      <c r="G34" s="399"/>
      <c r="H34" s="399"/>
      <c r="I34" s="399"/>
      <c r="J34" s="399"/>
      <c r="K34" s="399"/>
      <c r="L34" s="392"/>
      <c r="M34" s="399"/>
      <c r="N34" s="399"/>
      <c r="O34" s="399"/>
      <c r="P34" s="399"/>
      <c r="Q34" s="399"/>
      <c r="R34" s="399"/>
      <c r="S34" s="378"/>
      <c r="T34" s="378"/>
      <c r="U34" s="378"/>
      <c r="V34" s="377"/>
      <c r="W34" s="397"/>
      <c r="X34" s="120"/>
    </row>
    <row r="35" spans="1:24" s="362" customFormat="1" ht="14.25" customHeight="1" x14ac:dyDescent="0.15">
      <c r="A35" s="771"/>
      <c r="B35" s="781"/>
      <c r="C35" s="781"/>
      <c r="D35" s="785"/>
      <c r="E35" s="1001"/>
      <c r="F35" s="381">
        <v>178936</v>
      </c>
      <c r="G35" s="380"/>
      <c r="H35" s="380"/>
      <c r="I35" s="380">
        <v>178936</v>
      </c>
      <c r="J35" s="380"/>
      <c r="K35" s="380"/>
      <c r="L35" s="380"/>
      <c r="M35" s="380"/>
      <c r="N35" s="380"/>
      <c r="O35" s="398">
        <v>1703</v>
      </c>
      <c r="P35" s="389"/>
      <c r="Q35" s="389"/>
      <c r="R35" s="389"/>
      <c r="S35" s="378"/>
      <c r="T35" s="378"/>
      <c r="U35" s="378"/>
      <c r="V35" s="377"/>
      <c r="W35" s="397"/>
      <c r="X35" s="120"/>
    </row>
    <row r="36" spans="1:24" s="367" customFormat="1" ht="10.5" customHeight="1" x14ac:dyDescent="0.2">
      <c r="A36" s="780"/>
      <c r="B36" s="779" t="s">
        <v>566</v>
      </c>
      <c r="C36" s="779" t="s">
        <v>948</v>
      </c>
      <c r="D36" s="779" t="s">
        <v>960</v>
      </c>
      <c r="E36" s="1004"/>
      <c r="F36" s="387">
        <v>3294826</v>
      </c>
      <c r="G36" s="385">
        <v>106852</v>
      </c>
      <c r="H36" s="385">
        <v>2277501</v>
      </c>
      <c r="I36" s="385">
        <v>20012</v>
      </c>
      <c r="J36" s="385">
        <v>618854</v>
      </c>
      <c r="K36" s="385">
        <v>140161</v>
      </c>
      <c r="L36" s="386">
        <v>131446</v>
      </c>
      <c r="M36" s="385">
        <v>4472</v>
      </c>
      <c r="N36" s="385">
        <v>126974</v>
      </c>
      <c r="O36" s="385">
        <v>14315</v>
      </c>
      <c r="P36" s="385" t="s">
        <v>648</v>
      </c>
      <c r="Q36" s="385">
        <v>160</v>
      </c>
      <c r="R36" s="385">
        <v>57</v>
      </c>
      <c r="S36" s="384">
        <v>1175717</v>
      </c>
      <c r="T36" s="384">
        <v>990605</v>
      </c>
      <c r="U36" s="384">
        <v>185112</v>
      </c>
      <c r="V36" s="383">
        <v>7110916</v>
      </c>
      <c r="W36" s="390" t="s">
        <v>961</v>
      </c>
      <c r="X36" s="368"/>
    </row>
    <row r="37" spans="1:24" s="362" customFormat="1" ht="14.25" customHeight="1" x14ac:dyDescent="0.15">
      <c r="A37" s="771"/>
      <c r="B37" s="781"/>
      <c r="C37" s="782"/>
      <c r="D37" s="789"/>
      <c r="E37" s="634"/>
      <c r="F37" s="381">
        <v>166281</v>
      </c>
      <c r="G37" s="380"/>
      <c r="H37" s="380"/>
      <c r="I37" s="380">
        <v>166281</v>
      </c>
      <c r="J37" s="380"/>
      <c r="K37" s="380"/>
      <c r="L37" s="380"/>
      <c r="M37" s="380"/>
      <c r="N37" s="380"/>
      <c r="O37" s="380">
        <v>1095</v>
      </c>
      <c r="P37" s="389"/>
      <c r="Q37" s="389"/>
      <c r="R37" s="389"/>
      <c r="S37" s="378"/>
      <c r="T37" s="378"/>
      <c r="U37" s="378"/>
      <c r="V37" s="377"/>
      <c r="W37" s="388"/>
      <c r="X37" s="120"/>
    </row>
    <row r="38" spans="1:24" s="367" customFormat="1" ht="10.5" customHeight="1" x14ac:dyDescent="0.2">
      <c r="A38" s="780"/>
      <c r="B38" s="779" t="s">
        <v>260</v>
      </c>
      <c r="C38" s="779" t="s">
        <v>260</v>
      </c>
      <c r="D38" s="779" t="s">
        <v>962</v>
      </c>
      <c r="E38" s="1004"/>
      <c r="F38" s="387">
        <v>3544808</v>
      </c>
      <c r="G38" s="385">
        <v>151103</v>
      </c>
      <c r="H38" s="385">
        <v>2473265</v>
      </c>
      <c r="I38" s="385">
        <v>5811</v>
      </c>
      <c r="J38" s="385">
        <v>516308</v>
      </c>
      <c r="K38" s="385">
        <v>189949</v>
      </c>
      <c r="L38" s="386">
        <v>208372</v>
      </c>
      <c r="M38" s="385">
        <v>6026</v>
      </c>
      <c r="N38" s="385">
        <v>202346</v>
      </c>
      <c r="O38" s="385">
        <v>17096</v>
      </c>
      <c r="P38" s="385" t="s">
        <v>648</v>
      </c>
      <c r="Q38" s="385">
        <v>85</v>
      </c>
      <c r="R38" s="385">
        <v>1226</v>
      </c>
      <c r="S38" s="384">
        <v>1126714</v>
      </c>
      <c r="T38" s="384">
        <v>999983</v>
      </c>
      <c r="U38" s="384">
        <v>126731</v>
      </c>
      <c r="V38" s="383">
        <v>7247909</v>
      </c>
      <c r="W38" s="382" t="s">
        <v>963</v>
      </c>
      <c r="X38" s="368"/>
    </row>
    <row r="39" spans="1:24" s="362" customFormat="1" ht="14.25" customHeight="1" x14ac:dyDescent="0.15">
      <c r="A39" s="771"/>
      <c r="B39" s="781"/>
      <c r="C39" s="781"/>
      <c r="D39" s="789"/>
      <c r="E39" s="1005"/>
      <c r="F39" s="381">
        <v>54440</v>
      </c>
      <c r="G39" s="380"/>
      <c r="H39" s="380"/>
      <c r="I39" s="380">
        <v>51440</v>
      </c>
      <c r="J39" s="380"/>
      <c r="K39" s="380">
        <v>3000</v>
      </c>
      <c r="L39" s="380"/>
      <c r="M39" s="380"/>
      <c r="N39" s="380"/>
      <c r="O39" s="380">
        <v>1801</v>
      </c>
      <c r="P39" s="389"/>
      <c r="Q39" s="389"/>
      <c r="R39" s="389"/>
      <c r="S39" s="396"/>
      <c r="T39" s="396"/>
      <c r="U39" s="396"/>
      <c r="V39" s="395"/>
      <c r="W39" s="376"/>
      <c r="X39" s="120"/>
    </row>
    <row r="40" spans="1:24" s="367" customFormat="1" ht="10.5" customHeight="1" x14ac:dyDescent="0.2">
      <c r="A40" s="780"/>
      <c r="B40" s="779" t="s">
        <v>260</v>
      </c>
      <c r="C40" s="779" t="s">
        <v>260</v>
      </c>
      <c r="D40" s="779" t="s">
        <v>964</v>
      </c>
      <c r="E40" s="1004"/>
      <c r="F40" s="387">
        <v>3339523</v>
      </c>
      <c r="G40" s="385">
        <v>175953</v>
      </c>
      <c r="H40" s="385">
        <v>2710979</v>
      </c>
      <c r="I40" s="385">
        <v>14934</v>
      </c>
      <c r="J40" s="385">
        <v>239601</v>
      </c>
      <c r="K40" s="385">
        <v>162693</v>
      </c>
      <c r="L40" s="386">
        <v>35363</v>
      </c>
      <c r="M40" s="385">
        <v>11528</v>
      </c>
      <c r="N40" s="385">
        <v>23835</v>
      </c>
      <c r="O40" s="385">
        <v>22415</v>
      </c>
      <c r="P40" s="385">
        <v>3976</v>
      </c>
      <c r="Q40" s="385">
        <v>154</v>
      </c>
      <c r="R40" s="385">
        <v>1236</v>
      </c>
      <c r="S40" s="384">
        <v>981529</v>
      </c>
      <c r="T40" s="384">
        <v>894578</v>
      </c>
      <c r="U40" s="384">
        <v>86951</v>
      </c>
      <c r="V40" s="383">
        <v>6253983</v>
      </c>
      <c r="W40" s="382" t="s">
        <v>965</v>
      </c>
      <c r="X40" s="368"/>
    </row>
    <row r="41" spans="1:24" s="362" customFormat="1" ht="14.25" customHeight="1" x14ac:dyDescent="0.15">
      <c r="A41" s="771"/>
      <c r="B41" s="781"/>
      <c r="C41" s="781"/>
      <c r="D41" s="789"/>
      <c r="E41" s="634"/>
      <c r="F41" s="381"/>
      <c r="G41" s="380"/>
      <c r="H41" s="380"/>
      <c r="I41" s="380"/>
      <c r="J41" s="380"/>
      <c r="K41" s="380"/>
      <c r="L41" s="380"/>
      <c r="M41" s="380"/>
      <c r="N41" s="380"/>
      <c r="O41" s="380">
        <v>1394</v>
      </c>
      <c r="P41" s="389"/>
      <c r="Q41" s="389"/>
      <c r="R41" s="389"/>
      <c r="S41" s="378"/>
      <c r="T41" s="378"/>
      <c r="U41" s="378"/>
      <c r="V41" s="377"/>
      <c r="W41" s="376"/>
      <c r="X41" s="120"/>
    </row>
    <row r="42" spans="1:24" s="367" customFormat="1" ht="10.5" customHeight="1" x14ac:dyDescent="0.2">
      <c r="A42" s="780"/>
      <c r="B42" s="779" t="s">
        <v>260</v>
      </c>
      <c r="C42" s="779" t="s">
        <v>260</v>
      </c>
      <c r="D42" s="779" t="s">
        <v>966</v>
      </c>
      <c r="E42" s="1004"/>
      <c r="F42" s="387">
        <v>3411339</v>
      </c>
      <c r="G42" s="385">
        <v>318267</v>
      </c>
      <c r="H42" s="385">
        <v>2716029</v>
      </c>
      <c r="I42" s="385" t="s">
        <v>648</v>
      </c>
      <c r="J42" s="385">
        <v>81221</v>
      </c>
      <c r="K42" s="385">
        <v>209661</v>
      </c>
      <c r="L42" s="386">
        <v>86161</v>
      </c>
      <c r="M42" s="385">
        <v>11017</v>
      </c>
      <c r="N42" s="385">
        <v>75144</v>
      </c>
      <c r="O42" s="385">
        <v>20941</v>
      </c>
      <c r="P42" s="385">
        <v>3001</v>
      </c>
      <c r="Q42" s="385">
        <v>196</v>
      </c>
      <c r="R42" s="385">
        <v>607</v>
      </c>
      <c r="S42" s="384">
        <v>787196</v>
      </c>
      <c r="T42" s="384">
        <v>680079</v>
      </c>
      <c r="U42" s="384">
        <v>107117</v>
      </c>
      <c r="V42" s="383">
        <v>4376791</v>
      </c>
      <c r="W42" s="382" t="s">
        <v>967</v>
      </c>
      <c r="X42" s="368"/>
    </row>
    <row r="43" spans="1:24" s="362" customFormat="1" ht="14.25" customHeight="1" x14ac:dyDescent="0.15">
      <c r="A43" s="771"/>
      <c r="B43" s="781"/>
      <c r="C43" s="781"/>
      <c r="D43" s="789"/>
      <c r="E43" s="634"/>
      <c r="F43" s="381">
        <v>21500</v>
      </c>
      <c r="G43" s="380"/>
      <c r="H43" s="380"/>
      <c r="I43" s="380">
        <v>20000</v>
      </c>
      <c r="J43" s="380"/>
      <c r="K43" s="380">
        <v>1500</v>
      </c>
      <c r="L43" s="380"/>
      <c r="M43" s="380"/>
      <c r="N43" s="380"/>
      <c r="O43" s="380">
        <v>1688</v>
      </c>
      <c r="P43" s="389"/>
      <c r="Q43" s="389"/>
      <c r="R43" s="389"/>
      <c r="S43" s="396"/>
      <c r="T43" s="396"/>
      <c r="U43" s="396"/>
      <c r="V43" s="395"/>
      <c r="W43" s="376"/>
      <c r="X43" s="120"/>
    </row>
    <row r="44" spans="1:24" s="367" customFormat="1" ht="10.5" customHeight="1" x14ac:dyDescent="0.2">
      <c r="A44" s="780"/>
      <c r="B44" s="779" t="s">
        <v>260</v>
      </c>
      <c r="C44" s="779" t="s">
        <v>260</v>
      </c>
      <c r="D44" s="779" t="s">
        <v>968</v>
      </c>
      <c r="E44" s="1004"/>
      <c r="F44" s="387">
        <v>3619325</v>
      </c>
      <c r="G44" s="385">
        <v>558739</v>
      </c>
      <c r="H44" s="385">
        <v>2642076</v>
      </c>
      <c r="I44" s="385">
        <v>29826</v>
      </c>
      <c r="J44" s="385">
        <v>79572</v>
      </c>
      <c r="K44" s="385">
        <v>284091</v>
      </c>
      <c r="L44" s="386">
        <v>25021</v>
      </c>
      <c r="M44" s="385">
        <v>12154</v>
      </c>
      <c r="N44" s="385">
        <v>12867</v>
      </c>
      <c r="O44" s="385">
        <v>20072</v>
      </c>
      <c r="P44" s="385">
        <v>1014</v>
      </c>
      <c r="Q44" s="385">
        <v>184</v>
      </c>
      <c r="R44" s="385">
        <v>401</v>
      </c>
      <c r="S44" s="384">
        <v>794732</v>
      </c>
      <c r="T44" s="384">
        <v>659448</v>
      </c>
      <c r="U44" s="384">
        <v>135284</v>
      </c>
      <c r="V44" s="383">
        <v>4381469</v>
      </c>
      <c r="W44" s="382" t="s">
        <v>1068</v>
      </c>
      <c r="X44" s="368"/>
    </row>
    <row r="45" spans="1:24" s="362" customFormat="1" ht="14.25" customHeight="1" x14ac:dyDescent="0.15">
      <c r="A45" s="771"/>
      <c r="B45" s="781"/>
      <c r="C45" s="781"/>
      <c r="D45" s="789"/>
      <c r="E45" s="634"/>
      <c r="F45" s="381">
        <v>49913</v>
      </c>
      <c r="G45" s="380"/>
      <c r="H45" s="380"/>
      <c r="I45" s="380">
        <v>49913</v>
      </c>
      <c r="J45" s="380"/>
      <c r="K45" s="380"/>
      <c r="L45" s="380"/>
      <c r="M45" s="380"/>
      <c r="N45" s="380"/>
      <c r="O45" s="380">
        <v>993</v>
      </c>
      <c r="P45" s="389"/>
      <c r="Q45" s="389"/>
      <c r="R45" s="389"/>
      <c r="S45" s="378"/>
      <c r="T45" s="378"/>
      <c r="U45" s="378"/>
      <c r="V45" s="377"/>
      <c r="W45" s="376"/>
      <c r="X45" s="120"/>
    </row>
    <row r="46" spans="1:24" s="367" customFormat="1" ht="10.5" customHeight="1" x14ac:dyDescent="0.2">
      <c r="A46" s="780"/>
      <c r="B46" s="779" t="s">
        <v>260</v>
      </c>
      <c r="C46" s="779" t="s">
        <v>260</v>
      </c>
      <c r="D46" s="779" t="s">
        <v>970</v>
      </c>
      <c r="E46" s="1004"/>
      <c r="F46" s="387">
        <v>2996032</v>
      </c>
      <c r="G46" s="385">
        <v>421962</v>
      </c>
      <c r="H46" s="385">
        <v>2301876</v>
      </c>
      <c r="I46" s="385" t="s">
        <v>648</v>
      </c>
      <c r="J46" s="385">
        <v>49081</v>
      </c>
      <c r="K46" s="385">
        <v>184984</v>
      </c>
      <c r="L46" s="386">
        <v>38129</v>
      </c>
      <c r="M46" s="385">
        <v>17246</v>
      </c>
      <c r="N46" s="385">
        <v>20883</v>
      </c>
      <c r="O46" s="385">
        <v>23318</v>
      </c>
      <c r="P46" s="385" t="s">
        <v>648</v>
      </c>
      <c r="Q46" s="385">
        <v>246</v>
      </c>
      <c r="R46" s="385">
        <v>1345</v>
      </c>
      <c r="S46" s="384">
        <v>704141</v>
      </c>
      <c r="T46" s="384">
        <v>621373</v>
      </c>
      <c r="U46" s="384">
        <v>82768</v>
      </c>
      <c r="V46" s="383">
        <v>4958898</v>
      </c>
      <c r="W46" s="382" t="s">
        <v>971</v>
      </c>
      <c r="X46" s="368"/>
    </row>
    <row r="47" spans="1:24" s="362" customFormat="1" ht="14.25" customHeight="1" x14ac:dyDescent="0.15">
      <c r="A47" s="771"/>
      <c r="B47" s="781"/>
      <c r="C47" s="781"/>
      <c r="D47" s="789"/>
      <c r="E47" s="634"/>
      <c r="F47" s="381">
        <v>1000</v>
      </c>
      <c r="G47" s="380"/>
      <c r="H47" s="380"/>
      <c r="I47" s="380"/>
      <c r="J47" s="380"/>
      <c r="K47" s="380">
        <v>1000</v>
      </c>
      <c r="L47" s="380"/>
      <c r="M47" s="380"/>
      <c r="N47" s="380"/>
      <c r="O47" s="380">
        <v>1836</v>
      </c>
      <c r="P47" s="389"/>
      <c r="Q47" s="389"/>
      <c r="R47" s="389"/>
      <c r="S47" s="378"/>
      <c r="T47" s="378"/>
      <c r="U47" s="378"/>
      <c r="V47" s="377"/>
      <c r="W47" s="376"/>
      <c r="X47" s="120"/>
    </row>
    <row r="48" spans="1:24" s="367" customFormat="1" ht="10.5" customHeight="1" x14ac:dyDescent="0.2">
      <c r="A48" s="780"/>
      <c r="B48" s="779" t="s">
        <v>260</v>
      </c>
      <c r="C48" s="779" t="s">
        <v>260</v>
      </c>
      <c r="D48" s="779" t="s">
        <v>972</v>
      </c>
      <c r="E48" s="1004"/>
      <c r="F48" s="387">
        <v>3040129</v>
      </c>
      <c r="G48" s="385">
        <v>352973</v>
      </c>
      <c r="H48" s="385">
        <v>2312070</v>
      </c>
      <c r="I48" s="385">
        <v>6414</v>
      </c>
      <c r="J48" s="385">
        <v>48068</v>
      </c>
      <c r="K48" s="385">
        <v>204363</v>
      </c>
      <c r="L48" s="386">
        <v>116241</v>
      </c>
      <c r="M48" s="385">
        <v>11798</v>
      </c>
      <c r="N48" s="385">
        <v>104443</v>
      </c>
      <c r="O48" s="385">
        <v>23585</v>
      </c>
      <c r="P48" s="385">
        <v>2017</v>
      </c>
      <c r="Q48" s="385">
        <v>122</v>
      </c>
      <c r="R48" s="385">
        <v>1338</v>
      </c>
      <c r="S48" s="384">
        <v>766904</v>
      </c>
      <c r="T48" s="384">
        <v>596734</v>
      </c>
      <c r="U48" s="384">
        <v>170170</v>
      </c>
      <c r="V48" s="383">
        <v>5087775</v>
      </c>
      <c r="W48" s="382" t="s">
        <v>973</v>
      </c>
      <c r="X48" s="368"/>
    </row>
    <row r="49" spans="1:24" s="362" customFormat="1" ht="14.25" customHeight="1" x14ac:dyDescent="0.15">
      <c r="A49" s="771"/>
      <c r="B49" s="781"/>
      <c r="C49" s="781"/>
      <c r="D49" s="789"/>
      <c r="E49" s="634"/>
      <c r="F49" s="381">
        <v>1500</v>
      </c>
      <c r="G49" s="380"/>
      <c r="H49" s="380"/>
      <c r="I49" s="380"/>
      <c r="J49" s="380"/>
      <c r="K49" s="380">
        <v>1500</v>
      </c>
      <c r="L49" s="380"/>
      <c r="M49" s="380"/>
      <c r="N49" s="380"/>
      <c r="O49" s="380">
        <v>2198</v>
      </c>
      <c r="P49" s="389"/>
      <c r="Q49" s="389"/>
      <c r="R49" s="389"/>
      <c r="S49" s="378"/>
      <c r="T49" s="378"/>
      <c r="U49" s="378"/>
      <c r="V49" s="377"/>
      <c r="W49" s="376"/>
      <c r="X49" s="120"/>
    </row>
    <row r="50" spans="1:24" s="367" customFormat="1" ht="10.5" customHeight="1" x14ac:dyDescent="0.2">
      <c r="A50" s="780"/>
      <c r="B50" s="779" t="s">
        <v>260</v>
      </c>
      <c r="C50" s="779" t="s">
        <v>260</v>
      </c>
      <c r="D50" s="779" t="s">
        <v>974</v>
      </c>
      <c r="E50" s="1004"/>
      <c r="F50" s="387">
        <v>3248616</v>
      </c>
      <c r="G50" s="385">
        <v>257693</v>
      </c>
      <c r="H50" s="385">
        <v>2761778</v>
      </c>
      <c r="I50" s="385" t="s">
        <v>648</v>
      </c>
      <c r="J50" s="385">
        <v>52888</v>
      </c>
      <c r="K50" s="385">
        <v>133967</v>
      </c>
      <c r="L50" s="386">
        <v>42290</v>
      </c>
      <c r="M50" s="385">
        <v>23068</v>
      </c>
      <c r="N50" s="385">
        <v>19222</v>
      </c>
      <c r="O50" s="385">
        <v>18949</v>
      </c>
      <c r="P50" s="385">
        <v>2013</v>
      </c>
      <c r="Q50" s="385">
        <v>140</v>
      </c>
      <c r="R50" s="385">
        <v>1552</v>
      </c>
      <c r="S50" s="384">
        <v>802147</v>
      </c>
      <c r="T50" s="384">
        <v>643478</v>
      </c>
      <c r="U50" s="384">
        <v>158669</v>
      </c>
      <c r="V50" s="383">
        <v>5817676</v>
      </c>
      <c r="W50" s="382" t="s">
        <v>975</v>
      </c>
      <c r="X50" s="368"/>
    </row>
    <row r="51" spans="1:24" s="362" customFormat="1" ht="14.25" customHeight="1" x14ac:dyDescent="0.15">
      <c r="A51" s="771"/>
      <c r="B51" s="781"/>
      <c r="C51" s="781"/>
      <c r="D51" s="789"/>
      <c r="E51" s="1005"/>
      <c r="F51" s="381"/>
      <c r="G51" s="380"/>
      <c r="H51" s="380"/>
      <c r="I51" s="380"/>
      <c r="J51" s="380"/>
      <c r="K51" s="380"/>
      <c r="L51" s="380"/>
      <c r="M51" s="380"/>
      <c r="N51" s="380"/>
      <c r="O51" s="380">
        <v>1853</v>
      </c>
      <c r="P51" s="389"/>
      <c r="Q51" s="389"/>
      <c r="R51" s="389"/>
      <c r="S51" s="378"/>
      <c r="T51" s="378"/>
      <c r="U51" s="378"/>
      <c r="V51" s="377"/>
      <c r="W51" s="376"/>
      <c r="X51" s="120"/>
    </row>
    <row r="52" spans="1:24" s="367" customFormat="1" ht="10.5" customHeight="1" x14ac:dyDescent="0.2">
      <c r="A52" s="780"/>
      <c r="B52" s="779" t="s">
        <v>260</v>
      </c>
      <c r="C52" s="779" t="s">
        <v>260</v>
      </c>
      <c r="D52" s="779" t="s">
        <v>976</v>
      </c>
      <c r="E52" s="1004"/>
      <c r="F52" s="387">
        <v>2949176</v>
      </c>
      <c r="G52" s="385">
        <v>217396</v>
      </c>
      <c r="H52" s="385">
        <v>2591964</v>
      </c>
      <c r="I52" s="385" t="s">
        <v>648</v>
      </c>
      <c r="J52" s="385">
        <v>34451</v>
      </c>
      <c r="K52" s="385">
        <v>83133</v>
      </c>
      <c r="L52" s="386">
        <v>22232</v>
      </c>
      <c r="M52" s="385">
        <v>17744</v>
      </c>
      <c r="N52" s="385">
        <v>4488</v>
      </c>
      <c r="O52" s="385">
        <v>29550</v>
      </c>
      <c r="P52" s="385">
        <v>2022</v>
      </c>
      <c r="Q52" s="385">
        <v>158</v>
      </c>
      <c r="R52" s="385">
        <v>575</v>
      </c>
      <c r="S52" s="384">
        <v>763152</v>
      </c>
      <c r="T52" s="384">
        <v>634440</v>
      </c>
      <c r="U52" s="384">
        <v>128712</v>
      </c>
      <c r="V52" s="383">
        <v>4614548</v>
      </c>
      <c r="W52" s="382" t="s">
        <v>977</v>
      </c>
      <c r="X52" s="368"/>
    </row>
    <row r="53" spans="1:24" s="362" customFormat="1" ht="14.25" customHeight="1" x14ac:dyDescent="0.15">
      <c r="A53" s="771"/>
      <c r="B53" s="781"/>
      <c r="C53" s="781"/>
      <c r="D53" s="789"/>
      <c r="E53" s="634"/>
      <c r="F53" s="381">
        <v>50784</v>
      </c>
      <c r="G53" s="380"/>
      <c r="H53" s="380"/>
      <c r="I53" s="380">
        <v>49784</v>
      </c>
      <c r="J53" s="380"/>
      <c r="K53" s="380">
        <v>1000</v>
      </c>
      <c r="L53" s="380"/>
      <c r="M53" s="380"/>
      <c r="N53" s="380"/>
      <c r="O53" s="380">
        <v>1537</v>
      </c>
      <c r="P53" s="389"/>
      <c r="Q53" s="389"/>
      <c r="R53" s="389"/>
      <c r="S53" s="378"/>
      <c r="T53" s="378"/>
      <c r="U53" s="378"/>
      <c r="V53" s="377"/>
      <c r="W53" s="376"/>
      <c r="X53" s="120"/>
    </row>
    <row r="54" spans="1:24" s="367" customFormat="1" ht="10.5" customHeight="1" x14ac:dyDescent="0.2">
      <c r="A54" s="780"/>
      <c r="B54" s="779" t="s">
        <v>260</v>
      </c>
      <c r="C54" s="779" t="s">
        <v>260</v>
      </c>
      <c r="D54" s="790" t="s">
        <v>978</v>
      </c>
      <c r="E54" s="1004"/>
      <c r="F54" s="387">
        <v>3057280</v>
      </c>
      <c r="G54" s="385">
        <v>173784</v>
      </c>
      <c r="H54" s="385">
        <v>2628571</v>
      </c>
      <c r="I54" s="385" t="s">
        <v>648</v>
      </c>
      <c r="J54" s="385">
        <v>110375</v>
      </c>
      <c r="K54" s="385">
        <v>127687</v>
      </c>
      <c r="L54" s="386">
        <v>16863</v>
      </c>
      <c r="M54" s="385">
        <v>12341</v>
      </c>
      <c r="N54" s="385">
        <v>4522</v>
      </c>
      <c r="O54" s="385">
        <v>28190</v>
      </c>
      <c r="P54" s="385">
        <v>2007</v>
      </c>
      <c r="Q54" s="385">
        <v>168</v>
      </c>
      <c r="R54" s="385">
        <v>1502</v>
      </c>
      <c r="S54" s="384">
        <v>825622</v>
      </c>
      <c r="T54" s="384">
        <v>762909</v>
      </c>
      <c r="U54" s="384">
        <v>62713</v>
      </c>
      <c r="V54" s="383">
        <v>4033652</v>
      </c>
      <c r="W54" s="382" t="s">
        <v>979</v>
      </c>
      <c r="X54" s="368"/>
    </row>
    <row r="55" spans="1:24" s="362" customFormat="1" ht="14.25" customHeight="1" x14ac:dyDescent="0.15">
      <c r="A55" s="771"/>
      <c r="B55" s="781"/>
      <c r="C55" s="781"/>
      <c r="D55" s="789"/>
      <c r="E55" s="634"/>
      <c r="F55" s="381">
        <v>169479</v>
      </c>
      <c r="G55" s="380"/>
      <c r="H55" s="380"/>
      <c r="I55" s="380">
        <v>168754</v>
      </c>
      <c r="J55" s="380"/>
      <c r="K55" s="380"/>
      <c r="L55" s="380">
        <v>725</v>
      </c>
      <c r="M55" s="380">
        <v>725</v>
      </c>
      <c r="N55" s="380"/>
      <c r="O55" s="380">
        <v>1694</v>
      </c>
      <c r="P55" s="389"/>
      <c r="Q55" s="389"/>
      <c r="R55" s="389"/>
      <c r="S55" s="378"/>
      <c r="T55" s="378"/>
      <c r="U55" s="378"/>
      <c r="V55" s="377"/>
      <c r="W55" s="376"/>
      <c r="X55" s="120"/>
    </row>
    <row r="56" spans="1:24" s="367" customFormat="1" ht="10.5" customHeight="1" x14ac:dyDescent="0.2">
      <c r="A56" s="780"/>
      <c r="B56" s="779" t="s">
        <v>260</v>
      </c>
      <c r="C56" s="779" t="s">
        <v>260</v>
      </c>
      <c r="D56" s="790" t="s">
        <v>980</v>
      </c>
      <c r="E56" s="1004"/>
      <c r="F56" s="387">
        <v>3153860</v>
      </c>
      <c r="G56" s="385">
        <v>73048</v>
      </c>
      <c r="H56" s="385">
        <v>2579468</v>
      </c>
      <c r="I56" s="385">
        <v>40863</v>
      </c>
      <c r="J56" s="385">
        <v>118731</v>
      </c>
      <c r="K56" s="385">
        <v>157244</v>
      </c>
      <c r="L56" s="386">
        <v>184506</v>
      </c>
      <c r="M56" s="385">
        <v>15177</v>
      </c>
      <c r="N56" s="385">
        <v>169329</v>
      </c>
      <c r="O56" s="385">
        <v>21704</v>
      </c>
      <c r="P56" s="385">
        <v>2019</v>
      </c>
      <c r="Q56" s="385">
        <v>126</v>
      </c>
      <c r="R56" s="385">
        <v>309</v>
      </c>
      <c r="S56" s="384">
        <v>768941</v>
      </c>
      <c r="T56" s="384">
        <v>634360</v>
      </c>
      <c r="U56" s="384">
        <v>134581</v>
      </c>
      <c r="V56" s="383">
        <v>5349423</v>
      </c>
      <c r="W56" s="382" t="s">
        <v>981</v>
      </c>
      <c r="X56" s="368"/>
    </row>
    <row r="57" spans="1:24" s="362" customFormat="1" ht="14.25" customHeight="1" x14ac:dyDescent="0.15">
      <c r="A57" s="771"/>
      <c r="B57" s="781"/>
      <c r="C57" s="781"/>
      <c r="D57" s="789"/>
      <c r="E57" s="634"/>
      <c r="F57" s="381">
        <v>207616</v>
      </c>
      <c r="G57" s="380"/>
      <c r="H57" s="380"/>
      <c r="I57" s="380">
        <v>205816</v>
      </c>
      <c r="J57" s="380"/>
      <c r="K57" s="380">
        <v>1800</v>
      </c>
      <c r="L57" s="380"/>
      <c r="M57" s="380"/>
      <c r="N57" s="380"/>
      <c r="O57" s="380">
        <v>1946</v>
      </c>
      <c r="P57" s="389"/>
      <c r="Q57" s="389"/>
      <c r="R57" s="389"/>
      <c r="S57" s="378"/>
      <c r="T57" s="378"/>
      <c r="U57" s="378"/>
      <c r="V57" s="377"/>
      <c r="W57" s="376"/>
      <c r="X57" s="120"/>
    </row>
    <row r="58" spans="1:24" s="367" customFormat="1" ht="10.5" customHeight="1" x14ac:dyDescent="0.2">
      <c r="A58" s="780"/>
      <c r="B58" s="779" t="s">
        <v>260</v>
      </c>
      <c r="C58" s="779" t="s">
        <v>260</v>
      </c>
      <c r="D58" s="790" t="s">
        <v>982</v>
      </c>
      <c r="E58" s="1004"/>
      <c r="F58" s="387">
        <v>3481750</v>
      </c>
      <c r="G58" s="385">
        <v>118951</v>
      </c>
      <c r="H58" s="385">
        <v>2650877</v>
      </c>
      <c r="I58" s="385">
        <v>49998</v>
      </c>
      <c r="J58" s="385">
        <v>283570</v>
      </c>
      <c r="K58" s="385">
        <v>103019</v>
      </c>
      <c r="L58" s="386">
        <v>275335</v>
      </c>
      <c r="M58" s="385">
        <v>10659</v>
      </c>
      <c r="N58" s="385">
        <v>264676</v>
      </c>
      <c r="O58" s="385">
        <v>29970</v>
      </c>
      <c r="P58" s="385">
        <v>982</v>
      </c>
      <c r="Q58" s="385">
        <v>65</v>
      </c>
      <c r="R58" s="385">
        <v>1895</v>
      </c>
      <c r="S58" s="384">
        <v>886067</v>
      </c>
      <c r="T58" s="384">
        <v>760861</v>
      </c>
      <c r="U58" s="384">
        <v>125206</v>
      </c>
      <c r="V58" s="383">
        <v>6136006</v>
      </c>
      <c r="W58" s="382" t="s">
        <v>983</v>
      </c>
      <c r="X58" s="368"/>
    </row>
    <row r="59" spans="1:24" s="362" customFormat="1" ht="6.75" customHeight="1" x14ac:dyDescent="0.15">
      <c r="A59" s="771"/>
      <c r="B59" s="781"/>
      <c r="C59" s="781"/>
      <c r="D59" s="789"/>
      <c r="E59" s="634"/>
      <c r="F59" s="393"/>
      <c r="G59" s="389"/>
      <c r="H59" s="389"/>
      <c r="I59" s="389"/>
      <c r="J59" s="389"/>
      <c r="K59" s="389"/>
      <c r="L59" s="392"/>
      <c r="M59" s="389"/>
      <c r="N59" s="389"/>
      <c r="O59" s="389"/>
      <c r="P59" s="389"/>
      <c r="Q59" s="389"/>
      <c r="R59" s="389"/>
      <c r="S59" s="378"/>
      <c r="T59" s="378"/>
      <c r="U59" s="378"/>
      <c r="V59" s="377"/>
      <c r="W59" s="391"/>
      <c r="X59" s="120"/>
    </row>
    <row r="60" spans="1:24" s="362" customFormat="1" ht="14.25" customHeight="1" x14ac:dyDescent="0.15">
      <c r="A60" s="771"/>
      <c r="B60" s="781"/>
      <c r="C60" s="781"/>
      <c r="D60" s="789"/>
      <c r="E60" s="634"/>
      <c r="F60" s="381">
        <v>122133</v>
      </c>
      <c r="G60" s="380"/>
      <c r="H60" s="380"/>
      <c r="I60" s="380">
        <v>122133</v>
      </c>
      <c r="J60" s="380"/>
      <c r="K60" s="380"/>
      <c r="L60" s="380"/>
      <c r="M60" s="380"/>
      <c r="N60" s="380"/>
      <c r="O60" s="380">
        <v>1652</v>
      </c>
      <c r="P60" s="389"/>
      <c r="Q60" s="389"/>
      <c r="R60" s="389"/>
      <c r="S60" s="378"/>
      <c r="T60" s="378"/>
      <c r="U60" s="378"/>
      <c r="V60" s="377"/>
      <c r="W60" s="391"/>
      <c r="X60" s="120"/>
    </row>
    <row r="61" spans="1:24" s="367" customFormat="1" ht="10.5" customHeight="1" x14ac:dyDescent="0.2">
      <c r="A61" s="780"/>
      <c r="B61" s="779" t="s">
        <v>566</v>
      </c>
      <c r="C61" s="779" t="s">
        <v>957</v>
      </c>
      <c r="D61" s="779" t="s">
        <v>984</v>
      </c>
      <c r="E61" s="1004"/>
      <c r="F61" s="387">
        <v>3346049</v>
      </c>
      <c r="G61" s="385">
        <v>120003</v>
      </c>
      <c r="H61" s="385">
        <v>2558776</v>
      </c>
      <c r="I61" s="385" t="s">
        <v>648</v>
      </c>
      <c r="J61" s="385">
        <v>319279</v>
      </c>
      <c r="K61" s="385">
        <v>101296</v>
      </c>
      <c r="L61" s="386">
        <v>246695</v>
      </c>
      <c r="M61" s="385">
        <v>6171</v>
      </c>
      <c r="N61" s="385">
        <v>240524</v>
      </c>
      <c r="O61" s="385">
        <v>14676</v>
      </c>
      <c r="P61" s="385">
        <v>1002</v>
      </c>
      <c r="Q61" s="385">
        <v>163</v>
      </c>
      <c r="R61" s="385">
        <v>225</v>
      </c>
      <c r="S61" s="384">
        <v>1159533</v>
      </c>
      <c r="T61" s="384">
        <v>989541</v>
      </c>
      <c r="U61" s="384">
        <v>169992</v>
      </c>
      <c r="V61" s="383">
        <v>5823804</v>
      </c>
      <c r="W61" s="390" t="s">
        <v>985</v>
      </c>
      <c r="X61" s="368"/>
    </row>
    <row r="62" spans="1:24" s="362" customFormat="1" ht="14.25" customHeight="1" x14ac:dyDescent="0.15">
      <c r="A62" s="771"/>
      <c r="B62" s="781"/>
      <c r="C62" s="782"/>
      <c r="D62" s="789"/>
      <c r="E62" s="634"/>
      <c r="F62" s="381">
        <v>112685</v>
      </c>
      <c r="G62" s="380"/>
      <c r="H62" s="380"/>
      <c r="I62" s="380">
        <v>111385</v>
      </c>
      <c r="J62" s="380"/>
      <c r="K62" s="380">
        <v>1300</v>
      </c>
      <c r="L62" s="380"/>
      <c r="M62" s="380"/>
      <c r="N62" s="380"/>
      <c r="O62" s="380">
        <v>1347</v>
      </c>
      <c r="P62" s="389"/>
      <c r="Q62" s="389"/>
      <c r="R62" s="389"/>
      <c r="S62" s="378"/>
      <c r="T62" s="378"/>
      <c r="U62" s="378"/>
      <c r="V62" s="377"/>
      <c r="W62" s="388"/>
      <c r="X62" s="120"/>
    </row>
    <row r="63" spans="1:24" s="367" customFormat="1" ht="10.5" customHeight="1" x14ac:dyDescent="0.2">
      <c r="A63" s="780"/>
      <c r="B63" s="779" t="s">
        <v>260</v>
      </c>
      <c r="C63" s="779" t="s">
        <v>260</v>
      </c>
      <c r="D63" s="779" t="s">
        <v>962</v>
      </c>
      <c r="E63" s="1004"/>
      <c r="F63" s="387">
        <v>2535595</v>
      </c>
      <c r="G63" s="385">
        <v>126904</v>
      </c>
      <c r="H63" s="385">
        <v>1866632</v>
      </c>
      <c r="I63" s="385" t="s">
        <v>648</v>
      </c>
      <c r="J63" s="385">
        <v>275958</v>
      </c>
      <c r="K63" s="385">
        <v>65460</v>
      </c>
      <c r="L63" s="386">
        <v>200641</v>
      </c>
      <c r="M63" s="385" t="s">
        <v>648</v>
      </c>
      <c r="N63" s="385">
        <v>200641</v>
      </c>
      <c r="O63" s="385">
        <v>29472</v>
      </c>
      <c r="P63" s="385">
        <v>1017</v>
      </c>
      <c r="Q63" s="385">
        <v>102</v>
      </c>
      <c r="R63" s="385">
        <v>1388</v>
      </c>
      <c r="S63" s="384">
        <v>913905</v>
      </c>
      <c r="T63" s="384">
        <v>769727</v>
      </c>
      <c r="U63" s="384">
        <v>144178</v>
      </c>
      <c r="V63" s="383">
        <v>6016418</v>
      </c>
      <c r="W63" s="382" t="s">
        <v>963</v>
      </c>
      <c r="X63" s="368"/>
    </row>
    <row r="64" spans="1:24" s="362" customFormat="1" ht="14.25" customHeight="1" x14ac:dyDescent="0.15">
      <c r="A64" s="771"/>
      <c r="B64" s="781"/>
      <c r="C64" s="781"/>
      <c r="D64" s="789"/>
      <c r="E64" s="634"/>
      <c r="F64" s="381">
        <v>49865</v>
      </c>
      <c r="G64" s="380"/>
      <c r="H64" s="380"/>
      <c r="I64" s="380">
        <v>49865</v>
      </c>
      <c r="J64" s="380"/>
      <c r="K64" s="380"/>
      <c r="L64" s="380"/>
      <c r="M64" s="380"/>
      <c r="N64" s="380"/>
      <c r="O64" s="380">
        <v>1288</v>
      </c>
      <c r="P64" s="379"/>
      <c r="Q64" s="379"/>
      <c r="R64" s="379"/>
      <c r="S64" s="378"/>
      <c r="T64" s="378"/>
      <c r="U64" s="378"/>
      <c r="V64" s="377"/>
      <c r="W64" s="376"/>
      <c r="X64" s="120"/>
    </row>
    <row r="65" spans="1:24" s="367" customFormat="1" ht="10.5" customHeight="1" x14ac:dyDescent="0.2">
      <c r="A65" s="780"/>
      <c r="B65" s="791" t="s">
        <v>260</v>
      </c>
      <c r="C65" s="791" t="s">
        <v>260</v>
      </c>
      <c r="D65" s="792" t="s">
        <v>986</v>
      </c>
      <c r="E65" s="1006"/>
      <c r="F65" s="375">
        <v>2079494</v>
      </c>
      <c r="G65" s="372">
        <v>60981</v>
      </c>
      <c r="H65" s="372">
        <v>1740885</v>
      </c>
      <c r="I65" s="373" t="s">
        <v>648</v>
      </c>
      <c r="J65" s="372">
        <v>68970</v>
      </c>
      <c r="K65" s="372">
        <v>58210</v>
      </c>
      <c r="L65" s="374">
        <v>150448</v>
      </c>
      <c r="M65" s="372">
        <v>6199</v>
      </c>
      <c r="N65" s="372">
        <v>144249</v>
      </c>
      <c r="O65" s="372">
        <v>19102</v>
      </c>
      <c r="P65" s="373">
        <v>998</v>
      </c>
      <c r="Q65" s="372">
        <v>220</v>
      </c>
      <c r="R65" s="372">
        <v>574</v>
      </c>
      <c r="S65" s="371">
        <v>1133441</v>
      </c>
      <c r="T65" s="371">
        <v>1012873</v>
      </c>
      <c r="U65" s="371">
        <v>120568</v>
      </c>
      <c r="V65" s="370">
        <v>5434172</v>
      </c>
      <c r="W65" s="369" t="s">
        <v>965</v>
      </c>
      <c r="X65" s="368"/>
    </row>
    <row r="66" spans="1:24" s="359" customFormat="1" ht="12" customHeight="1" x14ac:dyDescent="0.15">
      <c r="A66" s="333"/>
      <c r="B66" s="344" t="s">
        <v>1080</v>
      </c>
      <c r="C66" s="940"/>
      <c r="D66" s="344"/>
      <c r="E66" s="344"/>
      <c r="F66" s="344"/>
      <c r="G66" s="344"/>
      <c r="H66" s="344"/>
      <c r="I66" s="236"/>
      <c r="J66" s="236"/>
      <c r="K66" s="236"/>
      <c r="L66" s="236"/>
      <c r="M66" s="236"/>
      <c r="N66" s="236"/>
      <c r="O66" s="364" t="s">
        <v>1081</v>
      </c>
      <c r="P66" s="236"/>
      <c r="Q66" s="236"/>
      <c r="R66" s="236"/>
      <c r="S66" s="236"/>
      <c r="T66" s="236"/>
      <c r="U66" s="236"/>
      <c r="V66" s="236"/>
      <c r="W66" s="366"/>
      <c r="X66" s="333"/>
    </row>
    <row r="67" spans="1:24" s="361" customFormat="1" ht="12" customHeight="1" x14ac:dyDescent="0.15">
      <c r="A67" s="915"/>
      <c r="B67" s="192" t="s">
        <v>1082</v>
      </c>
      <c r="C67" s="139"/>
      <c r="D67" s="329"/>
      <c r="E67" s="329"/>
      <c r="F67" s="943"/>
      <c r="G67" s="943"/>
      <c r="H67" s="943"/>
      <c r="I67" s="362"/>
      <c r="J67" s="365"/>
      <c r="K67" s="362"/>
      <c r="L67" s="363"/>
      <c r="M67" s="363"/>
      <c r="N67" s="363"/>
      <c r="O67" s="193" t="s">
        <v>1083</v>
      </c>
      <c r="P67" s="364"/>
      <c r="Q67" s="363"/>
      <c r="R67" s="363"/>
      <c r="S67" s="362"/>
      <c r="T67" s="362"/>
      <c r="U67" s="362"/>
      <c r="V67" s="362"/>
      <c r="W67" s="236"/>
      <c r="X67" s="915"/>
    </row>
    <row r="68" spans="1:24" s="359" customFormat="1" ht="11.25" customHeight="1" x14ac:dyDescent="0.2">
      <c r="A68" s="333"/>
      <c r="B68" s="192" t="s">
        <v>1084</v>
      </c>
      <c r="C68" s="240"/>
      <c r="D68" s="236"/>
      <c r="E68" s="236"/>
      <c r="F68" s="236"/>
      <c r="G68" s="236"/>
      <c r="H68" s="360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333"/>
    </row>
  </sheetData>
  <mergeCells count="2">
    <mergeCell ref="W4:W7"/>
    <mergeCell ref="B5:E5"/>
  </mergeCells>
  <phoneticPr fontId="30"/>
  <pageMargins left="0.47244094488188981" right="0.47244094488188981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505"/>
  <sheetViews>
    <sheetView view="pageBreakPreview" zoomScale="92" zoomScaleNormal="100" zoomScaleSheetLayoutView="92" workbookViewId="0"/>
  </sheetViews>
  <sheetFormatPr defaultColWidth="7.6328125" defaultRowHeight="13" x14ac:dyDescent="0.2"/>
  <cols>
    <col min="1" max="1" width="14.36328125" style="441" customWidth="1"/>
    <col min="2" max="2" width="9.1796875" style="441" customWidth="1"/>
    <col min="3" max="3" width="8.36328125" style="441" customWidth="1"/>
    <col min="4" max="4" width="8.54296875" style="441" customWidth="1"/>
    <col min="5" max="5" width="8.81640625" style="441" customWidth="1"/>
    <col min="6" max="8" width="7.6328125" style="441" customWidth="1"/>
    <col min="9" max="9" width="8.81640625" style="441" customWidth="1"/>
    <col min="10" max="10" width="7.6328125" style="441" customWidth="1"/>
    <col min="11" max="11" width="8.08984375" style="441" customWidth="1"/>
    <col min="12" max="12" width="8.90625" style="441" customWidth="1"/>
    <col min="13" max="13" width="8.7265625" style="441" customWidth="1"/>
    <col min="14" max="14" width="8.6328125" style="441" customWidth="1"/>
    <col min="15" max="17" width="7.6328125" style="441" customWidth="1"/>
    <col min="18" max="18" width="8.7265625" style="441" customWidth="1"/>
    <col min="19" max="19" width="7.6328125" style="441" customWidth="1"/>
    <col min="20" max="20" width="9.08984375" style="441" customWidth="1"/>
    <col min="21" max="23" width="7.6328125" style="441" customWidth="1"/>
    <col min="24" max="16384" width="7.6328125" style="441"/>
  </cols>
  <sheetData>
    <row r="1" spans="1:23" ht="15" customHeight="1" x14ac:dyDescent="0.15">
      <c r="A1" s="1007" t="s">
        <v>350</v>
      </c>
      <c r="C1" s="1008"/>
      <c r="D1" s="1008"/>
      <c r="E1" s="1008"/>
      <c r="F1" s="1008"/>
      <c r="G1" s="1008"/>
      <c r="H1" s="1008"/>
      <c r="I1" s="1008"/>
      <c r="J1" s="1008"/>
      <c r="K1" s="1009" t="s">
        <v>483</v>
      </c>
      <c r="L1" s="1008"/>
      <c r="M1" s="1008"/>
      <c r="N1" s="1008"/>
      <c r="O1" s="1008"/>
      <c r="P1" s="1010"/>
      <c r="Q1" s="1011"/>
      <c r="R1" s="1011"/>
      <c r="S1" s="1011"/>
      <c r="T1" s="1011"/>
      <c r="U1" s="1012"/>
      <c r="V1" s="1013" t="s">
        <v>512</v>
      </c>
    </row>
    <row r="2" spans="1:23" s="453" customFormat="1" ht="21" customHeight="1" x14ac:dyDescent="0.2">
      <c r="A2" s="1089" t="s">
        <v>194</v>
      </c>
      <c r="B2" s="918" t="s">
        <v>349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1092" t="s">
        <v>86</v>
      </c>
    </row>
    <row r="3" spans="1:23" s="453" customFormat="1" ht="21" customHeight="1" x14ac:dyDescent="0.2">
      <c r="A3" s="1090"/>
      <c r="B3" s="1095" t="s">
        <v>695</v>
      </c>
      <c r="C3" s="918" t="s">
        <v>297</v>
      </c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1093"/>
    </row>
    <row r="4" spans="1:23" s="453" customFormat="1" ht="52.5" customHeight="1" x14ac:dyDescent="0.2">
      <c r="A4" s="1091"/>
      <c r="B4" s="1096"/>
      <c r="C4" s="920" t="s">
        <v>1085</v>
      </c>
      <c r="D4" s="454" t="s">
        <v>286</v>
      </c>
      <c r="E4" s="454" t="s">
        <v>1086</v>
      </c>
      <c r="F4" s="454" t="s">
        <v>307</v>
      </c>
      <c r="G4" s="454" t="s">
        <v>314</v>
      </c>
      <c r="H4" s="454" t="s">
        <v>313</v>
      </c>
      <c r="I4" s="454" t="s">
        <v>285</v>
      </c>
      <c r="J4" s="454" t="s">
        <v>284</v>
      </c>
      <c r="K4" s="454" t="s">
        <v>283</v>
      </c>
      <c r="L4" s="454" t="s">
        <v>342</v>
      </c>
      <c r="M4" s="454" t="s">
        <v>282</v>
      </c>
      <c r="N4" s="454" t="s">
        <v>318</v>
      </c>
      <c r="O4" s="454" t="s">
        <v>341</v>
      </c>
      <c r="P4" s="454" t="s">
        <v>340</v>
      </c>
      <c r="Q4" s="454" t="s">
        <v>295</v>
      </c>
      <c r="R4" s="454" t="s">
        <v>706</v>
      </c>
      <c r="S4" s="454" t="s">
        <v>294</v>
      </c>
      <c r="T4" s="454" t="s">
        <v>293</v>
      </c>
      <c r="U4" s="454" t="s">
        <v>292</v>
      </c>
      <c r="V4" s="458" t="s">
        <v>281</v>
      </c>
      <c r="W4" s="1094"/>
    </row>
    <row r="5" spans="1:23" s="442" customFormat="1" ht="9.75" customHeight="1" x14ac:dyDescent="0.15">
      <c r="A5" s="949" t="s">
        <v>763</v>
      </c>
      <c r="B5" s="452">
        <v>33510425</v>
      </c>
      <c r="C5" s="451">
        <v>28227428</v>
      </c>
      <c r="D5" s="451">
        <v>6208689</v>
      </c>
      <c r="E5" s="451">
        <v>66507</v>
      </c>
      <c r="F5" s="451" t="s">
        <v>648</v>
      </c>
      <c r="G5" s="451" t="s">
        <v>648</v>
      </c>
      <c r="H5" s="451">
        <v>272408</v>
      </c>
      <c r="I5" s="451">
        <v>990194</v>
      </c>
      <c r="J5" s="451">
        <v>824663</v>
      </c>
      <c r="K5" s="451" t="s">
        <v>648</v>
      </c>
      <c r="L5" s="451" t="s">
        <v>648</v>
      </c>
      <c r="M5" s="451">
        <v>153942</v>
      </c>
      <c r="N5" s="451">
        <v>3566930</v>
      </c>
      <c r="O5" s="451">
        <v>151822</v>
      </c>
      <c r="P5" s="451" t="s">
        <v>648</v>
      </c>
      <c r="Q5" s="451">
        <v>47297</v>
      </c>
      <c r="R5" s="451" t="s">
        <v>648</v>
      </c>
      <c r="S5" s="451">
        <v>922658</v>
      </c>
      <c r="T5" s="451">
        <v>2433902</v>
      </c>
      <c r="U5" s="451">
        <v>2981165</v>
      </c>
      <c r="V5" s="451">
        <v>4391097</v>
      </c>
      <c r="W5" s="449" t="s">
        <v>464</v>
      </c>
    </row>
    <row r="6" spans="1:23" s="442" customFormat="1" ht="9.75" customHeight="1" x14ac:dyDescent="0.15">
      <c r="A6" s="950" t="s">
        <v>764</v>
      </c>
      <c r="B6" s="442">
        <v>36211123</v>
      </c>
      <c r="C6" s="442">
        <v>30654347</v>
      </c>
      <c r="D6" s="442">
        <v>8903065</v>
      </c>
      <c r="E6" s="442">
        <v>368401</v>
      </c>
      <c r="F6" s="442" t="s">
        <v>648</v>
      </c>
      <c r="G6" s="442" t="s">
        <v>648</v>
      </c>
      <c r="H6" s="442">
        <v>275795</v>
      </c>
      <c r="I6" s="442">
        <v>994645</v>
      </c>
      <c r="J6" s="442">
        <v>1025541</v>
      </c>
      <c r="K6" s="442" t="s">
        <v>648</v>
      </c>
      <c r="L6" s="442" t="s">
        <v>648</v>
      </c>
      <c r="M6" s="442">
        <v>27528</v>
      </c>
      <c r="N6" s="442">
        <v>1877785</v>
      </c>
      <c r="O6" s="442">
        <v>75598</v>
      </c>
      <c r="P6" s="442" t="s">
        <v>648</v>
      </c>
      <c r="Q6" s="462" t="s">
        <v>648</v>
      </c>
      <c r="R6" s="462" t="s">
        <v>648</v>
      </c>
      <c r="S6" s="462">
        <v>1382832</v>
      </c>
      <c r="T6" s="462">
        <v>1904538</v>
      </c>
      <c r="U6" s="462">
        <v>1982056</v>
      </c>
      <c r="V6" s="462">
        <v>5729861</v>
      </c>
      <c r="W6" s="447" t="s">
        <v>489</v>
      </c>
    </row>
    <row r="7" spans="1:23" s="442" customFormat="1" ht="9.75" customHeight="1" x14ac:dyDescent="0.15">
      <c r="A7" s="950" t="s">
        <v>765</v>
      </c>
      <c r="B7" s="442">
        <v>31720740</v>
      </c>
      <c r="C7" s="442">
        <v>25775780</v>
      </c>
      <c r="D7" s="442">
        <v>7973868</v>
      </c>
      <c r="E7" s="442">
        <v>540025</v>
      </c>
      <c r="F7" s="442">
        <v>286590</v>
      </c>
      <c r="G7" s="442" t="s">
        <v>648</v>
      </c>
      <c r="H7" s="442">
        <v>195369</v>
      </c>
      <c r="I7" s="442">
        <v>336369</v>
      </c>
      <c r="J7" s="442">
        <v>473681</v>
      </c>
      <c r="K7" s="442" t="s">
        <v>648</v>
      </c>
      <c r="L7" s="442" t="s">
        <v>648</v>
      </c>
      <c r="M7" s="442">
        <v>15768</v>
      </c>
      <c r="N7" s="442">
        <v>1423988</v>
      </c>
      <c r="O7" s="442">
        <v>20107</v>
      </c>
      <c r="P7" s="442" t="s">
        <v>648</v>
      </c>
      <c r="Q7" s="442" t="s">
        <v>648</v>
      </c>
      <c r="R7" s="442" t="s">
        <v>648</v>
      </c>
      <c r="S7" s="442">
        <v>973185</v>
      </c>
      <c r="T7" s="442">
        <v>1759035</v>
      </c>
      <c r="U7" s="442">
        <v>1671365</v>
      </c>
      <c r="V7" s="442">
        <v>4840238</v>
      </c>
      <c r="W7" s="447" t="s">
        <v>549</v>
      </c>
    </row>
    <row r="8" spans="1:23" s="442" customFormat="1" ht="9.75" customHeight="1" x14ac:dyDescent="0.15">
      <c r="A8" s="950" t="s">
        <v>766</v>
      </c>
      <c r="B8" s="442">
        <v>34955953</v>
      </c>
      <c r="C8" s="442">
        <v>27207175</v>
      </c>
      <c r="D8" s="442">
        <v>8750545</v>
      </c>
      <c r="E8" s="442">
        <v>520309</v>
      </c>
      <c r="F8" s="442">
        <v>82439</v>
      </c>
      <c r="G8" s="442">
        <v>26763</v>
      </c>
      <c r="H8" s="442">
        <v>91836</v>
      </c>
      <c r="I8" s="442">
        <v>335606</v>
      </c>
      <c r="J8" s="442">
        <v>514310</v>
      </c>
      <c r="K8" s="442">
        <v>122549</v>
      </c>
      <c r="L8" s="442">
        <v>21661</v>
      </c>
      <c r="M8" s="442" t="s">
        <v>648</v>
      </c>
      <c r="N8" s="442">
        <v>1882304</v>
      </c>
      <c r="O8" s="442">
        <v>14825</v>
      </c>
      <c r="P8" s="442">
        <v>30593</v>
      </c>
      <c r="Q8" s="442" t="s">
        <v>648</v>
      </c>
      <c r="R8" s="442">
        <v>91803</v>
      </c>
      <c r="S8" s="442">
        <v>939424</v>
      </c>
      <c r="T8" s="442">
        <v>1222091</v>
      </c>
      <c r="U8" s="442">
        <v>2044535</v>
      </c>
      <c r="V8" s="442">
        <v>5859243</v>
      </c>
      <c r="W8" s="447" t="s">
        <v>672</v>
      </c>
    </row>
    <row r="9" spans="1:23" s="442" customFormat="1" ht="9.75" customHeight="1" x14ac:dyDescent="0.15">
      <c r="A9" s="950" t="s">
        <v>767</v>
      </c>
      <c r="B9" s="442">
        <v>39136664</v>
      </c>
      <c r="C9" s="442">
        <v>30987931</v>
      </c>
      <c r="D9" s="442">
        <v>9254242</v>
      </c>
      <c r="E9" s="442">
        <v>687661</v>
      </c>
      <c r="F9" s="442" t="s">
        <v>648</v>
      </c>
      <c r="G9" s="442" t="s">
        <v>648</v>
      </c>
      <c r="H9" s="442">
        <v>145148</v>
      </c>
      <c r="I9" s="442">
        <v>509738</v>
      </c>
      <c r="J9" s="442">
        <v>1169575</v>
      </c>
      <c r="K9" s="442">
        <v>235299</v>
      </c>
      <c r="L9" s="442" t="s">
        <v>648</v>
      </c>
      <c r="M9" s="442" t="s">
        <v>648</v>
      </c>
      <c r="N9" s="442">
        <v>1562807</v>
      </c>
      <c r="O9" s="442" t="s">
        <v>648</v>
      </c>
      <c r="P9" s="442">
        <v>11553</v>
      </c>
      <c r="Q9" s="442" t="s">
        <v>648</v>
      </c>
      <c r="R9" s="442">
        <v>103033</v>
      </c>
      <c r="S9" s="442">
        <v>1268082</v>
      </c>
      <c r="T9" s="442">
        <v>2325577</v>
      </c>
      <c r="U9" s="442">
        <v>2172238</v>
      </c>
      <c r="V9" s="442">
        <v>5185461</v>
      </c>
      <c r="W9" s="447" t="s">
        <v>768</v>
      </c>
    </row>
    <row r="10" spans="1:23" s="442" customFormat="1" ht="6.75" customHeight="1" x14ac:dyDescent="0.15">
      <c r="A10" s="950"/>
      <c r="W10" s="447"/>
    </row>
    <row r="11" spans="1:23" s="442" customFormat="1" ht="9.75" customHeight="1" x14ac:dyDescent="0.15">
      <c r="A11" s="950" t="s">
        <v>799</v>
      </c>
      <c r="B11" s="442">
        <v>36833877</v>
      </c>
      <c r="C11" s="442">
        <v>28655932</v>
      </c>
      <c r="D11" s="442">
        <v>9124099</v>
      </c>
      <c r="E11" s="442">
        <v>617936</v>
      </c>
      <c r="F11" s="442" t="s">
        <v>648</v>
      </c>
      <c r="G11" s="442" t="s">
        <v>648</v>
      </c>
      <c r="H11" s="442">
        <v>136608</v>
      </c>
      <c r="I11" s="442">
        <v>386632</v>
      </c>
      <c r="J11" s="442">
        <v>797489</v>
      </c>
      <c r="K11" s="442">
        <v>216879</v>
      </c>
      <c r="L11" s="442">
        <v>21661</v>
      </c>
      <c r="M11" s="442" t="s">
        <v>648</v>
      </c>
      <c r="N11" s="442">
        <v>1564394</v>
      </c>
      <c r="O11" s="442" t="s">
        <v>648</v>
      </c>
      <c r="P11" s="442">
        <v>21821</v>
      </c>
      <c r="Q11" s="442" t="s">
        <v>648</v>
      </c>
      <c r="R11" s="442">
        <v>91803</v>
      </c>
      <c r="S11" s="442">
        <v>1270160</v>
      </c>
      <c r="T11" s="442">
        <v>1456094</v>
      </c>
      <c r="U11" s="442">
        <v>2193662</v>
      </c>
      <c r="V11" s="442">
        <v>5938276</v>
      </c>
      <c r="W11" s="447" t="s">
        <v>673</v>
      </c>
    </row>
    <row r="12" spans="1:23" s="442" customFormat="1" ht="9.75" customHeight="1" x14ac:dyDescent="0.15">
      <c r="A12" s="950" t="s">
        <v>800</v>
      </c>
      <c r="B12" s="442">
        <v>36918645</v>
      </c>
      <c r="C12" s="442">
        <v>29281947</v>
      </c>
      <c r="D12" s="442">
        <v>8113074</v>
      </c>
      <c r="E12" s="442">
        <v>530111</v>
      </c>
      <c r="F12" s="442" t="s">
        <v>648</v>
      </c>
      <c r="G12" s="442" t="s">
        <v>648</v>
      </c>
      <c r="H12" s="442">
        <v>100376</v>
      </c>
      <c r="I12" s="442">
        <v>902880</v>
      </c>
      <c r="J12" s="442">
        <v>975216</v>
      </c>
      <c r="K12" s="442">
        <v>140969</v>
      </c>
      <c r="L12" s="442" t="s">
        <v>648</v>
      </c>
      <c r="M12" s="442" t="s">
        <v>648</v>
      </c>
      <c r="N12" s="442">
        <v>1339458</v>
      </c>
      <c r="O12" s="442">
        <v>47987</v>
      </c>
      <c r="P12" s="442">
        <v>11553</v>
      </c>
      <c r="Q12" s="442" t="s">
        <v>648</v>
      </c>
      <c r="R12" s="442">
        <v>103033</v>
      </c>
      <c r="S12" s="442">
        <v>967926</v>
      </c>
      <c r="T12" s="442">
        <v>2413087</v>
      </c>
      <c r="U12" s="442">
        <v>2198620</v>
      </c>
      <c r="V12" s="442">
        <v>4726673</v>
      </c>
      <c r="W12" s="447" t="s">
        <v>771</v>
      </c>
    </row>
    <row r="13" spans="1:23" s="442" customFormat="1" ht="6.75" customHeight="1" x14ac:dyDescent="0.15">
      <c r="A13" s="950"/>
      <c r="W13" s="447"/>
    </row>
    <row r="14" spans="1:23" s="442" customFormat="1" ht="9.75" customHeight="1" x14ac:dyDescent="0.15">
      <c r="A14" s="950" t="s">
        <v>772</v>
      </c>
      <c r="B14" s="442">
        <v>10179157</v>
      </c>
      <c r="C14" s="442">
        <v>7898207</v>
      </c>
      <c r="D14" s="442">
        <v>2689222</v>
      </c>
      <c r="E14" s="442">
        <v>240911</v>
      </c>
      <c r="F14" s="442" t="s">
        <v>648</v>
      </c>
      <c r="G14" s="442" t="s">
        <v>648</v>
      </c>
      <c r="H14" s="442">
        <v>44772</v>
      </c>
      <c r="I14" s="442">
        <v>98340</v>
      </c>
      <c r="J14" s="442">
        <v>395169</v>
      </c>
      <c r="K14" s="442">
        <v>94330</v>
      </c>
      <c r="L14" s="442" t="s">
        <v>648</v>
      </c>
      <c r="M14" s="442" t="s">
        <v>648</v>
      </c>
      <c r="N14" s="442">
        <v>449722</v>
      </c>
      <c r="O14" s="442" t="s">
        <v>648</v>
      </c>
      <c r="P14" s="442" t="s">
        <v>648</v>
      </c>
      <c r="Q14" s="442" t="s">
        <v>648</v>
      </c>
      <c r="R14" s="442" t="s">
        <v>648</v>
      </c>
      <c r="S14" s="442">
        <v>500709</v>
      </c>
      <c r="T14" s="442">
        <v>315532</v>
      </c>
      <c r="U14" s="442">
        <v>437062</v>
      </c>
      <c r="V14" s="442">
        <v>1500874</v>
      </c>
      <c r="W14" s="447" t="s">
        <v>674</v>
      </c>
    </row>
    <row r="15" spans="1:23" s="442" customFormat="1" ht="9.75" customHeight="1" x14ac:dyDescent="0.15">
      <c r="A15" s="950" t="s">
        <v>773</v>
      </c>
      <c r="B15" s="442">
        <v>10026696</v>
      </c>
      <c r="C15" s="442">
        <v>7955103</v>
      </c>
      <c r="D15" s="442">
        <v>2476564</v>
      </c>
      <c r="E15" s="442">
        <v>353431</v>
      </c>
      <c r="F15" s="442" t="s">
        <v>648</v>
      </c>
      <c r="G15" s="442" t="s">
        <v>648</v>
      </c>
      <c r="H15" s="442">
        <v>51244</v>
      </c>
      <c r="I15" s="442">
        <v>224895</v>
      </c>
      <c r="J15" s="442">
        <v>217267</v>
      </c>
      <c r="K15" s="442">
        <v>125635</v>
      </c>
      <c r="L15" s="442" t="s">
        <v>648</v>
      </c>
      <c r="M15" s="442" t="s">
        <v>648</v>
      </c>
      <c r="N15" s="442">
        <v>548385</v>
      </c>
      <c r="O15" s="442" t="s">
        <v>648</v>
      </c>
      <c r="P15" s="442">
        <v>11553</v>
      </c>
      <c r="Q15" s="442" t="s">
        <v>648</v>
      </c>
      <c r="R15" s="442">
        <v>36718</v>
      </c>
      <c r="S15" s="442">
        <v>238164</v>
      </c>
      <c r="T15" s="442">
        <v>566380</v>
      </c>
      <c r="U15" s="442">
        <v>597643</v>
      </c>
      <c r="V15" s="442">
        <v>1234228</v>
      </c>
      <c r="W15" s="447" t="s">
        <v>92</v>
      </c>
    </row>
    <row r="16" spans="1:23" s="442" customFormat="1" ht="9.75" customHeight="1" x14ac:dyDescent="0.15">
      <c r="A16" s="950" t="s">
        <v>774</v>
      </c>
      <c r="B16" s="442">
        <v>9237921</v>
      </c>
      <c r="C16" s="442">
        <v>7373109</v>
      </c>
      <c r="D16" s="442">
        <v>2106140</v>
      </c>
      <c r="E16" s="442">
        <v>58340</v>
      </c>
      <c r="F16" s="442" t="s">
        <v>648</v>
      </c>
      <c r="G16" s="442" t="s">
        <v>648</v>
      </c>
      <c r="H16" s="442">
        <v>49132</v>
      </c>
      <c r="I16" s="442">
        <v>109650</v>
      </c>
      <c r="J16" s="442">
        <v>151367</v>
      </c>
      <c r="K16" s="442">
        <v>15334</v>
      </c>
      <c r="L16" s="442" t="s">
        <v>648</v>
      </c>
      <c r="M16" s="442" t="s">
        <v>648</v>
      </c>
      <c r="N16" s="442">
        <v>231511</v>
      </c>
      <c r="O16" s="442" t="s">
        <v>648</v>
      </c>
      <c r="P16" s="442" t="s">
        <v>648</v>
      </c>
      <c r="Q16" s="442" t="s">
        <v>648</v>
      </c>
      <c r="R16" s="442">
        <v>44679</v>
      </c>
      <c r="S16" s="442">
        <v>258440</v>
      </c>
      <c r="T16" s="442">
        <v>583329</v>
      </c>
      <c r="U16" s="442">
        <v>504980</v>
      </c>
      <c r="V16" s="442">
        <v>1060388</v>
      </c>
      <c r="W16" s="447" t="s">
        <v>93</v>
      </c>
    </row>
    <row r="17" spans="1:23" s="442" customFormat="1" ht="9.75" customHeight="1" x14ac:dyDescent="0.15">
      <c r="A17" s="950" t="s">
        <v>801</v>
      </c>
      <c r="B17" s="442">
        <v>9692890</v>
      </c>
      <c r="C17" s="442">
        <v>7761512</v>
      </c>
      <c r="D17" s="442">
        <v>1982316</v>
      </c>
      <c r="E17" s="442">
        <v>34979</v>
      </c>
      <c r="F17" s="442" t="s">
        <v>648</v>
      </c>
      <c r="G17" s="442" t="s">
        <v>648</v>
      </c>
      <c r="H17" s="442" t="s">
        <v>648</v>
      </c>
      <c r="I17" s="442">
        <v>76853</v>
      </c>
      <c r="J17" s="442">
        <v>405772</v>
      </c>
      <c r="K17" s="442" t="s">
        <v>648</v>
      </c>
      <c r="L17" s="442" t="s">
        <v>648</v>
      </c>
      <c r="M17" s="442" t="s">
        <v>648</v>
      </c>
      <c r="N17" s="442">
        <v>333189</v>
      </c>
      <c r="O17" s="442" t="s">
        <v>648</v>
      </c>
      <c r="P17" s="442" t="s">
        <v>648</v>
      </c>
      <c r="Q17" s="442" t="s">
        <v>648</v>
      </c>
      <c r="R17" s="442">
        <v>21636</v>
      </c>
      <c r="S17" s="442">
        <v>270769</v>
      </c>
      <c r="T17" s="442">
        <v>860336</v>
      </c>
      <c r="U17" s="442">
        <v>632553</v>
      </c>
      <c r="V17" s="442">
        <v>1389971</v>
      </c>
      <c r="W17" s="447" t="s">
        <v>94</v>
      </c>
    </row>
    <row r="18" spans="1:23" s="442" customFormat="1" ht="9.75" customHeight="1" x14ac:dyDescent="0.15">
      <c r="A18" s="950" t="s">
        <v>809</v>
      </c>
      <c r="B18" s="442">
        <v>7961138</v>
      </c>
      <c r="C18" s="442">
        <v>6192223</v>
      </c>
      <c r="D18" s="442">
        <v>1548054</v>
      </c>
      <c r="E18" s="442">
        <v>83361</v>
      </c>
      <c r="F18" s="442" t="s">
        <v>648</v>
      </c>
      <c r="G18" s="442" t="s">
        <v>648</v>
      </c>
      <c r="H18" s="442" t="s">
        <v>648</v>
      </c>
      <c r="I18" s="442">
        <v>491482</v>
      </c>
      <c r="J18" s="442">
        <v>200810</v>
      </c>
      <c r="K18" s="442" t="s">
        <v>648</v>
      </c>
      <c r="L18" s="442" t="s">
        <v>648</v>
      </c>
      <c r="M18" s="442" t="s">
        <v>648</v>
      </c>
      <c r="N18" s="442">
        <v>226373</v>
      </c>
      <c r="O18" s="442">
        <v>47987</v>
      </c>
      <c r="P18" s="442" t="s">
        <v>648</v>
      </c>
      <c r="Q18" s="442" t="s">
        <v>648</v>
      </c>
      <c r="R18" s="442" t="s">
        <v>648</v>
      </c>
      <c r="S18" s="442">
        <v>200553</v>
      </c>
      <c r="T18" s="442">
        <v>403042</v>
      </c>
      <c r="U18" s="442">
        <v>463444</v>
      </c>
      <c r="V18" s="442">
        <v>1042086</v>
      </c>
      <c r="W18" s="447" t="s">
        <v>777</v>
      </c>
    </row>
    <row r="19" spans="1:23" s="442" customFormat="1" ht="6.75" customHeight="1" x14ac:dyDescent="0.15">
      <c r="A19" s="950"/>
      <c r="W19" s="447"/>
    </row>
    <row r="20" spans="1:23" s="442" customFormat="1" ht="9.75" customHeight="1" x14ac:dyDescent="0.15">
      <c r="A20" s="950" t="s">
        <v>778</v>
      </c>
      <c r="B20" s="442">
        <v>3294826</v>
      </c>
      <c r="C20" s="442">
        <v>2785859</v>
      </c>
      <c r="D20" s="442">
        <v>1043300</v>
      </c>
      <c r="E20" s="442">
        <v>43415</v>
      </c>
      <c r="F20" s="442" t="s">
        <v>648</v>
      </c>
      <c r="G20" s="442" t="s">
        <v>648</v>
      </c>
      <c r="H20" s="442" t="s">
        <v>648</v>
      </c>
      <c r="I20" s="442">
        <v>58013</v>
      </c>
      <c r="J20" s="442">
        <v>166308</v>
      </c>
      <c r="K20" s="442">
        <v>47777</v>
      </c>
      <c r="L20" s="442" t="s">
        <v>648</v>
      </c>
      <c r="M20" s="442" t="s">
        <v>648</v>
      </c>
      <c r="N20" s="442">
        <v>243361</v>
      </c>
      <c r="O20" s="442" t="s">
        <v>648</v>
      </c>
      <c r="P20" s="442" t="s">
        <v>648</v>
      </c>
      <c r="Q20" s="442" t="s">
        <v>648</v>
      </c>
      <c r="R20" s="442" t="s">
        <v>648</v>
      </c>
      <c r="S20" s="442">
        <v>202952</v>
      </c>
      <c r="T20" s="442" t="s">
        <v>648</v>
      </c>
      <c r="U20" s="442">
        <v>158957</v>
      </c>
      <c r="V20" s="442">
        <v>655349</v>
      </c>
      <c r="W20" s="447" t="s">
        <v>675</v>
      </c>
    </row>
    <row r="21" spans="1:23" s="442" customFormat="1" ht="9.75" customHeight="1" x14ac:dyDescent="0.15">
      <c r="A21" s="950" t="s">
        <v>779</v>
      </c>
      <c r="B21" s="442">
        <v>3544808</v>
      </c>
      <c r="C21" s="442">
        <v>2731945</v>
      </c>
      <c r="D21" s="442">
        <v>864355</v>
      </c>
      <c r="E21" s="442">
        <v>77956</v>
      </c>
      <c r="F21" s="442" t="s">
        <v>648</v>
      </c>
      <c r="G21" s="442" t="s">
        <v>648</v>
      </c>
      <c r="H21" s="442">
        <v>44772</v>
      </c>
      <c r="I21" s="442" t="s">
        <v>648</v>
      </c>
      <c r="J21" s="442">
        <v>203648</v>
      </c>
      <c r="K21" s="442">
        <v>46553</v>
      </c>
      <c r="L21" s="442" t="s">
        <v>648</v>
      </c>
      <c r="M21" s="442" t="s">
        <v>648</v>
      </c>
      <c r="N21" s="442">
        <v>18160</v>
      </c>
      <c r="O21" s="442" t="s">
        <v>648</v>
      </c>
      <c r="P21" s="442" t="s">
        <v>648</v>
      </c>
      <c r="Q21" s="442" t="s">
        <v>648</v>
      </c>
      <c r="R21" s="442" t="s">
        <v>648</v>
      </c>
      <c r="S21" s="442">
        <v>190746</v>
      </c>
      <c r="T21" s="442">
        <v>233192</v>
      </c>
      <c r="U21" s="442">
        <v>196159</v>
      </c>
      <c r="V21" s="442">
        <v>438686</v>
      </c>
      <c r="W21" s="447" t="s">
        <v>80</v>
      </c>
    </row>
    <row r="22" spans="1:23" s="442" customFormat="1" ht="9.75" customHeight="1" x14ac:dyDescent="0.15">
      <c r="A22" s="950" t="s">
        <v>780</v>
      </c>
      <c r="B22" s="442">
        <v>3339523</v>
      </c>
      <c r="C22" s="442">
        <v>2380403</v>
      </c>
      <c r="D22" s="442">
        <v>781567</v>
      </c>
      <c r="E22" s="442">
        <v>119540</v>
      </c>
      <c r="F22" s="442" t="s">
        <v>648</v>
      </c>
      <c r="G22" s="442" t="s">
        <v>648</v>
      </c>
      <c r="H22" s="442" t="s">
        <v>648</v>
      </c>
      <c r="I22" s="442">
        <v>40327</v>
      </c>
      <c r="J22" s="442">
        <v>25213</v>
      </c>
      <c r="K22" s="442" t="s">
        <v>648</v>
      </c>
      <c r="L22" s="442" t="s">
        <v>648</v>
      </c>
      <c r="M22" s="442" t="s">
        <v>648</v>
      </c>
      <c r="N22" s="442">
        <v>188201</v>
      </c>
      <c r="O22" s="442" t="s">
        <v>648</v>
      </c>
      <c r="P22" s="442" t="s">
        <v>648</v>
      </c>
      <c r="Q22" s="442" t="s">
        <v>648</v>
      </c>
      <c r="R22" s="442" t="s">
        <v>648</v>
      </c>
      <c r="S22" s="442">
        <v>107011</v>
      </c>
      <c r="T22" s="442">
        <v>82340</v>
      </c>
      <c r="U22" s="442">
        <v>81946</v>
      </c>
      <c r="V22" s="442">
        <v>406839</v>
      </c>
      <c r="W22" s="447" t="s">
        <v>81</v>
      </c>
    </row>
    <row r="23" spans="1:23" s="442" customFormat="1" ht="9.75" customHeight="1" x14ac:dyDescent="0.15">
      <c r="A23" s="950" t="s">
        <v>781</v>
      </c>
      <c r="B23" s="442">
        <v>3411339</v>
      </c>
      <c r="C23" s="442">
        <v>2706690</v>
      </c>
      <c r="D23" s="442">
        <v>859895</v>
      </c>
      <c r="E23" s="442">
        <v>113909</v>
      </c>
      <c r="F23" s="442" t="s">
        <v>648</v>
      </c>
      <c r="G23" s="442" t="s">
        <v>648</v>
      </c>
      <c r="H23" s="442" t="s">
        <v>648</v>
      </c>
      <c r="I23" s="442">
        <v>90340</v>
      </c>
      <c r="J23" s="442">
        <v>142132</v>
      </c>
      <c r="K23" s="442">
        <v>47004</v>
      </c>
      <c r="L23" s="442" t="s">
        <v>648</v>
      </c>
      <c r="M23" s="442" t="s">
        <v>648</v>
      </c>
      <c r="N23" s="442">
        <v>211432</v>
      </c>
      <c r="O23" s="442" t="s">
        <v>648</v>
      </c>
      <c r="P23" s="442">
        <v>11553</v>
      </c>
      <c r="Q23" s="442" t="s">
        <v>648</v>
      </c>
      <c r="R23" s="442">
        <v>36718</v>
      </c>
      <c r="S23" s="442">
        <v>103917</v>
      </c>
      <c r="T23" s="442">
        <v>206148</v>
      </c>
      <c r="U23" s="442">
        <v>82939</v>
      </c>
      <c r="V23" s="442">
        <v>276086</v>
      </c>
      <c r="W23" s="447" t="s">
        <v>82</v>
      </c>
    </row>
    <row r="24" spans="1:23" s="442" customFormat="1" ht="9.75" customHeight="1" x14ac:dyDescent="0.15">
      <c r="A24" s="950" t="s">
        <v>782</v>
      </c>
      <c r="B24" s="442">
        <v>3619325</v>
      </c>
      <c r="C24" s="442">
        <v>2839107</v>
      </c>
      <c r="D24" s="442">
        <v>886578</v>
      </c>
      <c r="E24" s="442">
        <v>169106</v>
      </c>
      <c r="F24" s="442" t="s">
        <v>648</v>
      </c>
      <c r="G24" s="442" t="s">
        <v>648</v>
      </c>
      <c r="H24" s="442">
        <v>51244</v>
      </c>
      <c r="I24" s="442">
        <v>75203</v>
      </c>
      <c r="J24" s="442" t="s">
        <v>648</v>
      </c>
      <c r="K24" s="442">
        <v>78631</v>
      </c>
      <c r="L24" s="442" t="s">
        <v>648</v>
      </c>
      <c r="M24" s="442" t="s">
        <v>648</v>
      </c>
      <c r="N24" s="442">
        <v>164518</v>
      </c>
      <c r="O24" s="442" t="s">
        <v>648</v>
      </c>
      <c r="P24" s="442" t="s">
        <v>648</v>
      </c>
      <c r="Q24" s="442" t="s">
        <v>648</v>
      </c>
      <c r="R24" s="442" t="s">
        <v>648</v>
      </c>
      <c r="S24" s="442">
        <v>89515</v>
      </c>
      <c r="T24" s="442">
        <v>262287</v>
      </c>
      <c r="U24" s="442">
        <v>194481</v>
      </c>
      <c r="V24" s="442">
        <v>418333</v>
      </c>
      <c r="W24" s="447" t="s">
        <v>95</v>
      </c>
    </row>
    <row r="25" spans="1:23" s="442" customFormat="1" ht="9.75" customHeight="1" x14ac:dyDescent="0.15">
      <c r="A25" s="950" t="s">
        <v>783</v>
      </c>
      <c r="B25" s="442">
        <v>2996032</v>
      </c>
      <c r="C25" s="442">
        <v>2409306</v>
      </c>
      <c r="D25" s="442">
        <v>730091</v>
      </c>
      <c r="E25" s="442">
        <v>70416</v>
      </c>
      <c r="F25" s="442" t="s">
        <v>648</v>
      </c>
      <c r="G25" s="442" t="s">
        <v>648</v>
      </c>
      <c r="H25" s="442" t="s">
        <v>648</v>
      </c>
      <c r="I25" s="442">
        <v>59352</v>
      </c>
      <c r="J25" s="442">
        <v>75135</v>
      </c>
      <c r="K25" s="442" t="s">
        <v>648</v>
      </c>
      <c r="L25" s="442" t="s">
        <v>648</v>
      </c>
      <c r="M25" s="442" t="s">
        <v>648</v>
      </c>
      <c r="N25" s="442">
        <v>172435</v>
      </c>
      <c r="O25" s="442" t="s">
        <v>648</v>
      </c>
      <c r="P25" s="442" t="s">
        <v>648</v>
      </c>
      <c r="Q25" s="442" t="s">
        <v>648</v>
      </c>
      <c r="R25" s="442" t="s">
        <v>648</v>
      </c>
      <c r="S25" s="442">
        <v>44732</v>
      </c>
      <c r="T25" s="442">
        <v>97945</v>
      </c>
      <c r="U25" s="442">
        <v>320223</v>
      </c>
      <c r="V25" s="442">
        <v>539809</v>
      </c>
      <c r="W25" s="447" t="s">
        <v>96</v>
      </c>
    </row>
    <row r="26" spans="1:23" s="442" customFormat="1" ht="9.75" customHeight="1" x14ac:dyDescent="0.15">
      <c r="A26" s="950" t="s">
        <v>784</v>
      </c>
      <c r="B26" s="442">
        <v>3040129</v>
      </c>
      <c r="C26" s="442">
        <v>2495922</v>
      </c>
      <c r="D26" s="442">
        <v>843865</v>
      </c>
      <c r="E26" s="442">
        <v>34973</v>
      </c>
      <c r="F26" s="442" t="s">
        <v>648</v>
      </c>
      <c r="G26" s="442" t="s">
        <v>648</v>
      </c>
      <c r="H26" s="442" t="s">
        <v>648</v>
      </c>
      <c r="I26" s="442">
        <v>36430</v>
      </c>
      <c r="J26" s="442">
        <v>151367</v>
      </c>
      <c r="K26" s="442">
        <v>15334</v>
      </c>
      <c r="L26" s="442" t="s">
        <v>648</v>
      </c>
      <c r="M26" s="442" t="s">
        <v>648</v>
      </c>
      <c r="N26" s="442">
        <v>74749</v>
      </c>
      <c r="O26" s="442" t="s">
        <v>648</v>
      </c>
      <c r="P26" s="442" t="s">
        <v>648</v>
      </c>
      <c r="Q26" s="442" t="s">
        <v>648</v>
      </c>
      <c r="R26" s="442" t="s">
        <v>648</v>
      </c>
      <c r="S26" s="442">
        <v>69387</v>
      </c>
      <c r="T26" s="442">
        <v>161607</v>
      </c>
      <c r="U26" s="442">
        <v>115947</v>
      </c>
      <c r="V26" s="442">
        <v>225873</v>
      </c>
      <c r="W26" s="447" t="s">
        <v>97</v>
      </c>
    </row>
    <row r="27" spans="1:23" s="442" customFormat="1" ht="9.75" customHeight="1" x14ac:dyDescent="0.15">
      <c r="A27" s="950" t="s">
        <v>806</v>
      </c>
      <c r="B27" s="442">
        <v>3248616</v>
      </c>
      <c r="C27" s="442">
        <v>2298681</v>
      </c>
      <c r="D27" s="442">
        <v>650916</v>
      </c>
      <c r="E27" s="442" t="s">
        <v>648</v>
      </c>
      <c r="F27" s="442" t="s">
        <v>648</v>
      </c>
      <c r="G27" s="442" t="s">
        <v>648</v>
      </c>
      <c r="H27" s="442">
        <v>49132</v>
      </c>
      <c r="I27" s="442">
        <v>52186</v>
      </c>
      <c r="J27" s="442" t="s">
        <v>648</v>
      </c>
      <c r="K27" s="442" t="s">
        <v>648</v>
      </c>
      <c r="L27" s="442" t="s">
        <v>648</v>
      </c>
      <c r="M27" s="442" t="s">
        <v>648</v>
      </c>
      <c r="N27" s="442">
        <v>63868</v>
      </c>
      <c r="O27" s="442" t="s">
        <v>648</v>
      </c>
      <c r="P27" s="442" t="s">
        <v>648</v>
      </c>
      <c r="Q27" s="442" t="s">
        <v>648</v>
      </c>
      <c r="R27" s="442" t="s">
        <v>648</v>
      </c>
      <c r="S27" s="442">
        <v>78988</v>
      </c>
      <c r="T27" s="442">
        <v>237733</v>
      </c>
      <c r="U27" s="442">
        <v>194291</v>
      </c>
      <c r="V27" s="442">
        <v>445850</v>
      </c>
      <c r="W27" s="447" t="s">
        <v>98</v>
      </c>
    </row>
    <row r="28" spans="1:23" s="442" customFormat="1" ht="9.75" customHeight="1" x14ac:dyDescent="0.15">
      <c r="A28" s="950" t="s">
        <v>786</v>
      </c>
      <c r="B28" s="442">
        <v>2949176</v>
      </c>
      <c r="C28" s="442">
        <v>2578506</v>
      </c>
      <c r="D28" s="442">
        <v>611359</v>
      </c>
      <c r="E28" s="442">
        <v>23367</v>
      </c>
      <c r="F28" s="442" t="s">
        <v>648</v>
      </c>
      <c r="G28" s="442" t="s">
        <v>648</v>
      </c>
      <c r="H28" s="442" t="s">
        <v>648</v>
      </c>
      <c r="I28" s="442">
        <v>21034</v>
      </c>
      <c r="J28" s="442" t="s">
        <v>648</v>
      </c>
      <c r="K28" s="442" t="s">
        <v>648</v>
      </c>
      <c r="L28" s="442" t="s">
        <v>648</v>
      </c>
      <c r="M28" s="442" t="s">
        <v>648</v>
      </c>
      <c r="N28" s="442">
        <v>92894</v>
      </c>
      <c r="O28" s="442" t="s">
        <v>648</v>
      </c>
      <c r="P28" s="442" t="s">
        <v>648</v>
      </c>
      <c r="Q28" s="442" t="s">
        <v>648</v>
      </c>
      <c r="R28" s="442">
        <v>44679</v>
      </c>
      <c r="S28" s="442">
        <v>110065</v>
      </c>
      <c r="T28" s="442">
        <v>183989</v>
      </c>
      <c r="U28" s="442">
        <v>194742</v>
      </c>
      <c r="V28" s="442">
        <v>388665</v>
      </c>
      <c r="W28" s="447" t="s">
        <v>99</v>
      </c>
    </row>
    <row r="29" spans="1:23" s="442" customFormat="1" ht="9.75" customHeight="1" x14ac:dyDescent="0.15">
      <c r="A29" s="950" t="s">
        <v>807</v>
      </c>
      <c r="B29" s="442">
        <v>3057280</v>
      </c>
      <c r="C29" s="442">
        <v>2496682</v>
      </c>
      <c r="D29" s="442">
        <v>659970</v>
      </c>
      <c r="E29" s="442" t="s">
        <v>648</v>
      </c>
      <c r="F29" s="442" t="s">
        <v>648</v>
      </c>
      <c r="G29" s="442" t="s">
        <v>648</v>
      </c>
      <c r="H29" s="442" t="s">
        <v>648</v>
      </c>
      <c r="I29" s="442" t="s">
        <v>648</v>
      </c>
      <c r="J29" s="442">
        <v>37159</v>
      </c>
      <c r="K29" s="442" t="s">
        <v>648</v>
      </c>
      <c r="L29" s="442" t="s">
        <v>648</v>
      </c>
      <c r="M29" s="442" t="s">
        <v>648</v>
      </c>
      <c r="N29" s="442">
        <v>79741</v>
      </c>
      <c r="O29" s="442" t="s">
        <v>648</v>
      </c>
      <c r="P29" s="442" t="s">
        <v>648</v>
      </c>
      <c r="Q29" s="442" t="s">
        <v>648</v>
      </c>
      <c r="R29" s="442" t="s">
        <v>648</v>
      </c>
      <c r="S29" s="442">
        <v>86842</v>
      </c>
      <c r="T29" s="442">
        <v>298228</v>
      </c>
      <c r="U29" s="442">
        <v>198559</v>
      </c>
      <c r="V29" s="442">
        <v>611396</v>
      </c>
      <c r="W29" s="447" t="s">
        <v>83</v>
      </c>
    </row>
    <row r="30" spans="1:23" s="442" customFormat="1" ht="9.75" customHeight="1" x14ac:dyDescent="0.15">
      <c r="A30" s="950" t="s">
        <v>788</v>
      </c>
      <c r="B30" s="442">
        <v>3153860</v>
      </c>
      <c r="C30" s="442">
        <v>2522012</v>
      </c>
      <c r="D30" s="442">
        <v>558542</v>
      </c>
      <c r="E30" s="442">
        <v>34979</v>
      </c>
      <c r="F30" s="442" t="s">
        <v>648</v>
      </c>
      <c r="G30" s="442" t="s">
        <v>648</v>
      </c>
      <c r="H30" s="442" t="s">
        <v>648</v>
      </c>
      <c r="I30" s="442">
        <v>31286</v>
      </c>
      <c r="J30" s="442">
        <v>141251</v>
      </c>
      <c r="K30" s="442" t="s">
        <v>648</v>
      </c>
      <c r="L30" s="442" t="s">
        <v>648</v>
      </c>
      <c r="M30" s="442" t="s">
        <v>648</v>
      </c>
      <c r="N30" s="442">
        <v>142123</v>
      </c>
      <c r="O30" s="442" t="s">
        <v>648</v>
      </c>
      <c r="P30" s="442" t="s">
        <v>648</v>
      </c>
      <c r="Q30" s="442" t="s">
        <v>648</v>
      </c>
      <c r="R30" s="442" t="s">
        <v>648</v>
      </c>
      <c r="S30" s="442">
        <v>66803</v>
      </c>
      <c r="T30" s="442">
        <v>260207</v>
      </c>
      <c r="U30" s="442">
        <v>275968</v>
      </c>
      <c r="V30" s="442">
        <v>315049</v>
      </c>
      <c r="W30" s="447" t="s">
        <v>84</v>
      </c>
    </row>
    <row r="31" spans="1:23" s="442" customFormat="1" ht="9.75" customHeight="1" x14ac:dyDescent="0.15">
      <c r="A31" s="950" t="s">
        <v>789</v>
      </c>
      <c r="B31" s="442">
        <v>3481750</v>
      </c>
      <c r="C31" s="442">
        <v>2742818</v>
      </c>
      <c r="D31" s="442">
        <v>763804</v>
      </c>
      <c r="E31" s="442" t="s">
        <v>648</v>
      </c>
      <c r="F31" s="442" t="s">
        <v>648</v>
      </c>
      <c r="G31" s="442" t="s">
        <v>648</v>
      </c>
      <c r="H31" s="442" t="s">
        <v>648</v>
      </c>
      <c r="I31" s="442">
        <v>45567</v>
      </c>
      <c r="J31" s="442">
        <v>227362</v>
      </c>
      <c r="K31" s="442" t="s">
        <v>648</v>
      </c>
      <c r="L31" s="442" t="s">
        <v>648</v>
      </c>
      <c r="M31" s="442" t="s">
        <v>648</v>
      </c>
      <c r="N31" s="442">
        <v>111325</v>
      </c>
      <c r="O31" s="442" t="s">
        <v>648</v>
      </c>
      <c r="P31" s="442" t="s">
        <v>648</v>
      </c>
      <c r="Q31" s="442" t="s">
        <v>648</v>
      </c>
      <c r="R31" s="442">
        <v>21636</v>
      </c>
      <c r="S31" s="442">
        <v>117124</v>
      </c>
      <c r="T31" s="442">
        <v>301901</v>
      </c>
      <c r="U31" s="442">
        <v>158026</v>
      </c>
      <c r="V31" s="442">
        <v>463526</v>
      </c>
      <c r="W31" s="447" t="s">
        <v>85</v>
      </c>
    </row>
    <row r="32" spans="1:23" s="442" customFormat="1" ht="9.75" customHeight="1" x14ac:dyDescent="0.15">
      <c r="A32" s="950" t="s">
        <v>790</v>
      </c>
      <c r="B32" s="442">
        <v>3346049</v>
      </c>
      <c r="C32" s="442">
        <v>2445302</v>
      </c>
      <c r="D32" s="442">
        <v>567440</v>
      </c>
      <c r="E32" s="442">
        <v>83361</v>
      </c>
      <c r="F32" s="442" t="s">
        <v>648</v>
      </c>
      <c r="G32" s="442" t="s">
        <v>648</v>
      </c>
      <c r="H32" s="442" t="s">
        <v>648</v>
      </c>
      <c r="I32" s="442">
        <v>151902</v>
      </c>
      <c r="J32" s="442">
        <v>67801</v>
      </c>
      <c r="K32" s="442" t="s">
        <v>648</v>
      </c>
      <c r="L32" s="442" t="s">
        <v>648</v>
      </c>
      <c r="M32" s="442" t="s">
        <v>648</v>
      </c>
      <c r="N32" s="442">
        <v>47503</v>
      </c>
      <c r="O32" s="442" t="s">
        <v>648</v>
      </c>
      <c r="P32" s="442" t="s">
        <v>648</v>
      </c>
      <c r="Q32" s="442" t="s">
        <v>648</v>
      </c>
      <c r="R32" s="442" t="s">
        <v>648</v>
      </c>
      <c r="S32" s="442">
        <v>52245</v>
      </c>
      <c r="T32" s="442">
        <v>354451</v>
      </c>
      <c r="U32" s="442">
        <v>311766</v>
      </c>
      <c r="V32" s="442">
        <v>292540</v>
      </c>
      <c r="W32" s="447" t="s">
        <v>791</v>
      </c>
    </row>
    <row r="33" spans="1:23" s="442" customFormat="1" ht="9.75" customHeight="1" x14ac:dyDescent="0.15">
      <c r="A33" s="950" t="s">
        <v>792</v>
      </c>
      <c r="B33" s="442">
        <v>2535595</v>
      </c>
      <c r="C33" s="442">
        <v>2101375</v>
      </c>
      <c r="D33" s="442">
        <v>625376</v>
      </c>
      <c r="E33" s="442" t="s">
        <v>648</v>
      </c>
      <c r="F33" s="442" t="s">
        <v>648</v>
      </c>
      <c r="G33" s="442" t="s">
        <v>648</v>
      </c>
      <c r="H33" s="442" t="s">
        <v>648</v>
      </c>
      <c r="I33" s="442">
        <v>149808</v>
      </c>
      <c r="J33" s="442">
        <v>105054</v>
      </c>
      <c r="K33" s="442" t="s">
        <v>648</v>
      </c>
      <c r="L33" s="442" t="s">
        <v>648</v>
      </c>
      <c r="M33" s="442" t="s">
        <v>648</v>
      </c>
      <c r="N33" s="442">
        <v>154759</v>
      </c>
      <c r="O33" s="442" t="s">
        <v>648</v>
      </c>
      <c r="P33" s="442" t="s">
        <v>648</v>
      </c>
      <c r="Q33" s="442" t="s">
        <v>648</v>
      </c>
      <c r="R33" s="442" t="s">
        <v>648</v>
      </c>
      <c r="S33" s="442">
        <v>38868</v>
      </c>
      <c r="T33" s="442" t="s">
        <v>648</v>
      </c>
      <c r="U33" s="442">
        <v>119815</v>
      </c>
      <c r="V33" s="442">
        <v>293824</v>
      </c>
      <c r="W33" s="447" t="s">
        <v>80</v>
      </c>
    </row>
    <row r="34" spans="1:23" s="442" customFormat="1" ht="9.75" customHeight="1" x14ac:dyDescent="0.15">
      <c r="A34" s="951" t="s">
        <v>793</v>
      </c>
      <c r="B34" s="446">
        <v>2079494</v>
      </c>
      <c r="C34" s="445">
        <v>1645546</v>
      </c>
      <c r="D34" s="445">
        <v>355238</v>
      </c>
      <c r="E34" s="445" t="s">
        <v>648</v>
      </c>
      <c r="F34" s="445" t="s">
        <v>648</v>
      </c>
      <c r="G34" s="445" t="s">
        <v>648</v>
      </c>
      <c r="H34" s="445" t="s">
        <v>648</v>
      </c>
      <c r="I34" s="445">
        <v>189772</v>
      </c>
      <c r="J34" s="445">
        <v>27955</v>
      </c>
      <c r="K34" s="445" t="s">
        <v>648</v>
      </c>
      <c r="L34" s="445" t="s">
        <v>648</v>
      </c>
      <c r="M34" s="445" t="s">
        <v>648</v>
      </c>
      <c r="N34" s="445">
        <v>24111</v>
      </c>
      <c r="O34" s="445">
        <v>47987</v>
      </c>
      <c r="P34" s="445" t="s">
        <v>648</v>
      </c>
      <c r="Q34" s="445" t="s">
        <v>648</v>
      </c>
      <c r="R34" s="445" t="s">
        <v>648</v>
      </c>
      <c r="S34" s="445">
        <v>109440</v>
      </c>
      <c r="T34" s="445">
        <v>48591</v>
      </c>
      <c r="U34" s="445">
        <v>31863</v>
      </c>
      <c r="V34" s="445">
        <v>455722</v>
      </c>
      <c r="W34" s="443" t="s">
        <v>81</v>
      </c>
    </row>
    <row r="35" spans="1:23" ht="12" customHeight="1" x14ac:dyDescent="0.2"/>
    <row r="36" spans="1:23" ht="12" customHeight="1" x14ac:dyDescent="0.2"/>
    <row r="37" spans="1:23" ht="12" customHeight="1" x14ac:dyDescent="0.2">
      <c r="K37" s="457" t="s">
        <v>100</v>
      </c>
    </row>
    <row r="38" spans="1:23" s="453" customFormat="1" ht="21" customHeight="1" x14ac:dyDescent="0.2">
      <c r="A38" s="1089" t="s">
        <v>194</v>
      </c>
      <c r="B38" s="456" t="s">
        <v>348</v>
      </c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1092" t="s">
        <v>86</v>
      </c>
    </row>
    <row r="39" spans="1:23" s="453" customFormat="1" ht="21" customHeight="1" x14ac:dyDescent="0.2">
      <c r="A39" s="1090"/>
      <c r="B39" s="456" t="s">
        <v>290</v>
      </c>
      <c r="C39" s="917"/>
      <c r="D39" s="918" t="s">
        <v>289</v>
      </c>
      <c r="E39" s="455"/>
      <c r="F39" s="455"/>
      <c r="G39" s="455"/>
      <c r="H39" s="455"/>
      <c r="I39" s="455"/>
      <c r="J39" s="455"/>
      <c r="K39" s="455"/>
      <c r="L39" s="455"/>
      <c r="M39" s="455"/>
      <c r="N39" s="455"/>
      <c r="O39" s="455"/>
      <c r="P39" s="455"/>
      <c r="Q39" s="917"/>
      <c r="R39" s="918" t="s">
        <v>288</v>
      </c>
      <c r="S39" s="455"/>
      <c r="T39" s="917"/>
      <c r="U39" s="918" t="s">
        <v>287</v>
      </c>
      <c r="V39" s="455"/>
      <c r="W39" s="1093"/>
    </row>
    <row r="40" spans="1:23" s="453" customFormat="1" ht="52.5" customHeight="1" x14ac:dyDescent="0.2">
      <c r="A40" s="1091"/>
      <c r="B40" s="454" t="s">
        <v>280</v>
      </c>
      <c r="C40" s="459" t="s">
        <v>1087</v>
      </c>
      <c r="D40" s="920" t="s">
        <v>109</v>
      </c>
      <c r="E40" s="454" t="s">
        <v>279</v>
      </c>
      <c r="F40" s="454" t="s">
        <v>338</v>
      </c>
      <c r="G40" s="459" t="s">
        <v>714</v>
      </c>
      <c r="H40" s="454" t="s">
        <v>278</v>
      </c>
      <c r="I40" s="454" t="s">
        <v>276</v>
      </c>
      <c r="J40" s="454" t="s">
        <v>317</v>
      </c>
      <c r="K40" s="454" t="s">
        <v>1088</v>
      </c>
      <c r="L40" s="454" t="s">
        <v>343</v>
      </c>
      <c r="M40" s="454" t="s">
        <v>275</v>
      </c>
      <c r="N40" s="454" t="s">
        <v>337</v>
      </c>
      <c r="O40" s="454" t="s">
        <v>707</v>
      </c>
      <c r="P40" s="454" t="s">
        <v>336</v>
      </c>
      <c r="Q40" s="454" t="s">
        <v>708</v>
      </c>
      <c r="R40" s="920" t="s">
        <v>1089</v>
      </c>
      <c r="S40" s="454" t="s">
        <v>274</v>
      </c>
      <c r="T40" s="454" t="s">
        <v>334</v>
      </c>
      <c r="U40" s="920" t="s">
        <v>1090</v>
      </c>
      <c r="V40" s="458" t="s">
        <v>273</v>
      </c>
      <c r="W40" s="1094"/>
    </row>
    <row r="41" spans="1:23" s="442" customFormat="1" ht="9.75" customHeight="1" x14ac:dyDescent="0.15">
      <c r="A41" s="949" t="s">
        <v>763</v>
      </c>
      <c r="B41" s="452" t="s">
        <v>648</v>
      </c>
      <c r="C41" s="451">
        <v>5216154</v>
      </c>
      <c r="D41" s="451">
        <v>3258585</v>
      </c>
      <c r="E41" s="451">
        <v>242010</v>
      </c>
      <c r="F41" s="451">
        <v>38887</v>
      </c>
      <c r="G41" s="451">
        <v>118421</v>
      </c>
      <c r="H41" s="451" t="s">
        <v>648</v>
      </c>
      <c r="I41" s="451">
        <v>125377</v>
      </c>
      <c r="J41" s="451" t="s">
        <v>648</v>
      </c>
      <c r="K41" s="451" t="s">
        <v>648</v>
      </c>
      <c r="L41" s="451" t="s">
        <v>648</v>
      </c>
      <c r="M41" s="451">
        <v>2625574</v>
      </c>
      <c r="N41" s="451">
        <v>31612</v>
      </c>
      <c r="O41" s="451" t="s">
        <v>648</v>
      </c>
      <c r="P41" s="451">
        <v>76704</v>
      </c>
      <c r="Q41" s="451" t="s">
        <v>648</v>
      </c>
      <c r="R41" s="451">
        <v>572051</v>
      </c>
      <c r="S41" s="451">
        <v>572051</v>
      </c>
      <c r="T41" s="451" t="s">
        <v>648</v>
      </c>
      <c r="U41" s="451">
        <v>193514</v>
      </c>
      <c r="V41" s="451">
        <v>193514</v>
      </c>
      <c r="W41" s="449" t="s">
        <v>464</v>
      </c>
    </row>
    <row r="42" spans="1:23" s="442" customFormat="1" ht="9.75" customHeight="1" x14ac:dyDescent="0.15">
      <c r="A42" s="950" t="s">
        <v>764</v>
      </c>
      <c r="B42" s="442" t="s">
        <v>648</v>
      </c>
      <c r="C42" s="442">
        <v>6106702</v>
      </c>
      <c r="D42" s="442">
        <v>2994489</v>
      </c>
      <c r="E42" s="442">
        <v>305491</v>
      </c>
      <c r="F42" s="442" t="s">
        <v>648</v>
      </c>
      <c r="G42" s="442">
        <v>279931</v>
      </c>
      <c r="H42" s="442" t="s">
        <v>648</v>
      </c>
      <c r="I42" s="442">
        <v>89484</v>
      </c>
      <c r="J42" s="442" t="s">
        <v>648</v>
      </c>
      <c r="K42" s="442" t="s">
        <v>648</v>
      </c>
      <c r="L42" s="442">
        <v>31</v>
      </c>
      <c r="M42" s="442">
        <v>2197537</v>
      </c>
      <c r="N42" s="442">
        <v>122015</v>
      </c>
      <c r="O42" s="442" t="s">
        <v>648</v>
      </c>
      <c r="P42" s="442" t="s">
        <v>648</v>
      </c>
      <c r="Q42" s="442" t="s">
        <v>648</v>
      </c>
      <c r="R42" s="442">
        <v>1236171</v>
      </c>
      <c r="S42" s="442">
        <v>1104165</v>
      </c>
      <c r="T42" s="442">
        <v>132006</v>
      </c>
      <c r="U42" s="442">
        <v>391362</v>
      </c>
      <c r="V42" s="442">
        <v>391362</v>
      </c>
      <c r="W42" s="447" t="s">
        <v>489</v>
      </c>
    </row>
    <row r="43" spans="1:23" s="442" customFormat="1" ht="9.75" customHeight="1" x14ac:dyDescent="0.15">
      <c r="A43" s="950" t="s">
        <v>765</v>
      </c>
      <c r="B43" s="442" t="s">
        <v>648</v>
      </c>
      <c r="C43" s="442">
        <v>5266192</v>
      </c>
      <c r="D43" s="442">
        <v>2301112</v>
      </c>
      <c r="E43" s="442">
        <v>421693</v>
      </c>
      <c r="F43" s="442" t="s">
        <v>648</v>
      </c>
      <c r="G43" s="442" t="s">
        <v>648</v>
      </c>
      <c r="H43" s="442" t="s">
        <v>648</v>
      </c>
      <c r="I43" s="442">
        <v>290240</v>
      </c>
      <c r="J43" s="442" t="s">
        <v>648</v>
      </c>
      <c r="K43" s="442" t="s">
        <v>648</v>
      </c>
      <c r="L43" s="442">
        <v>31</v>
      </c>
      <c r="M43" s="442">
        <v>1506894</v>
      </c>
      <c r="N43" s="442">
        <v>82254</v>
      </c>
      <c r="O43" s="442" t="s">
        <v>648</v>
      </c>
      <c r="P43" s="442" t="s">
        <v>648</v>
      </c>
      <c r="Q43" s="442" t="s">
        <v>648</v>
      </c>
      <c r="R43" s="442">
        <v>1804378</v>
      </c>
      <c r="S43" s="442">
        <v>1504576</v>
      </c>
      <c r="T43" s="442">
        <v>299802</v>
      </c>
      <c r="U43" s="442">
        <v>506857</v>
      </c>
      <c r="V43" s="442">
        <v>506857</v>
      </c>
      <c r="W43" s="447" t="s">
        <v>549</v>
      </c>
    </row>
    <row r="44" spans="1:23" s="442" customFormat="1" ht="9.75" customHeight="1" x14ac:dyDescent="0.15">
      <c r="A44" s="950" t="s">
        <v>766</v>
      </c>
      <c r="B44" s="442">
        <v>31678</v>
      </c>
      <c r="C44" s="442">
        <v>4624661</v>
      </c>
      <c r="D44" s="442">
        <v>2013760</v>
      </c>
      <c r="E44" s="442">
        <v>332435</v>
      </c>
      <c r="F44" s="442" t="s">
        <v>648</v>
      </c>
      <c r="G44" s="442" t="s">
        <v>648</v>
      </c>
      <c r="H44" s="442">
        <v>2</v>
      </c>
      <c r="I44" s="442">
        <v>153215</v>
      </c>
      <c r="J44" s="442" t="s">
        <v>648</v>
      </c>
      <c r="K44" s="442" t="s">
        <v>648</v>
      </c>
      <c r="L44" s="442" t="s">
        <v>648</v>
      </c>
      <c r="M44" s="442">
        <v>1358524</v>
      </c>
      <c r="N44" s="442">
        <v>129163</v>
      </c>
      <c r="O44" s="442">
        <v>40421</v>
      </c>
      <c r="P44" s="442" t="s">
        <v>648</v>
      </c>
      <c r="Q44" s="442" t="s">
        <v>648</v>
      </c>
      <c r="R44" s="442">
        <v>2513447</v>
      </c>
      <c r="S44" s="442">
        <v>2271347</v>
      </c>
      <c r="T44" s="442">
        <v>242100</v>
      </c>
      <c r="U44" s="442">
        <v>1027905</v>
      </c>
      <c r="V44" s="442">
        <v>1027905</v>
      </c>
      <c r="W44" s="447" t="s">
        <v>672</v>
      </c>
    </row>
    <row r="45" spans="1:23" s="442" customFormat="1" ht="9.75" customHeight="1" x14ac:dyDescent="0.15">
      <c r="A45" s="950" t="s">
        <v>767</v>
      </c>
      <c r="B45" s="442">
        <v>552695</v>
      </c>
      <c r="C45" s="442">
        <v>5804822</v>
      </c>
      <c r="D45" s="442">
        <v>2006490</v>
      </c>
      <c r="E45" s="442">
        <v>100565</v>
      </c>
      <c r="F45" s="442" t="s">
        <v>648</v>
      </c>
      <c r="G45" s="442">
        <v>4787</v>
      </c>
      <c r="H45" s="442" t="s">
        <v>648</v>
      </c>
      <c r="I45" s="442">
        <v>853387</v>
      </c>
      <c r="J45" s="442">
        <v>34699</v>
      </c>
      <c r="K45" s="442">
        <v>45340</v>
      </c>
      <c r="L45" s="442" t="s">
        <v>648</v>
      </c>
      <c r="M45" s="442">
        <v>868769</v>
      </c>
      <c r="N45" s="442" t="s">
        <v>648</v>
      </c>
      <c r="O45" s="442" t="s">
        <v>648</v>
      </c>
      <c r="P45" s="442" t="s">
        <v>648</v>
      </c>
      <c r="Q45" s="442">
        <v>98943</v>
      </c>
      <c r="R45" s="442">
        <v>2584037</v>
      </c>
      <c r="S45" s="442">
        <v>2584037</v>
      </c>
      <c r="T45" s="442" t="s">
        <v>648</v>
      </c>
      <c r="U45" s="442">
        <v>1257626</v>
      </c>
      <c r="V45" s="442">
        <v>1257626</v>
      </c>
      <c r="W45" s="447" t="s">
        <v>768</v>
      </c>
    </row>
    <row r="46" spans="1:23" s="442" customFormat="1" ht="6.75" customHeight="1" x14ac:dyDescent="0.15">
      <c r="A46" s="950"/>
      <c r="W46" s="447"/>
    </row>
    <row r="47" spans="1:23" s="442" customFormat="1" ht="9.75" customHeight="1" x14ac:dyDescent="0.15">
      <c r="A47" s="950" t="s">
        <v>799</v>
      </c>
      <c r="B47" s="442">
        <v>31678</v>
      </c>
      <c r="C47" s="442">
        <v>4786740</v>
      </c>
      <c r="D47" s="442">
        <v>2155480</v>
      </c>
      <c r="E47" s="442">
        <v>433000</v>
      </c>
      <c r="F47" s="442" t="s">
        <v>648</v>
      </c>
      <c r="G47" s="442" t="s">
        <v>648</v>
      </c>
      <c r="H47" s="442">
        <v>2</v>
      </c>
      <c r="I47" s="442">
        <v>259198</v>
      </c>
      <c r="J47" s="442" t="s">
        <v>648</v>
      </c>
      <c r="K47" s="442" t="s">
        <v>648</v>
      </c>
      <c r="L47" s="442" t="s">
        <v>648</v>
      </c>
      <c r="M47" s="442">
        <v>1194753</v>
      </c>
      <c r="N47" s="442">
        <v>129163</v>
      </c>
      <c r="O47" s="442">
        <v>40421</v>
      </c>
      <c r="P47" s="442" t="s">
        <v>648</v>
      </c>
      <c r="Q47" s="442">
        <v>98943</v>
      </c>
      <c r="R47" s="442">
        <v>2723728</v>
      </c>
      <c r="S47" s="442">
        <v>2723728</v>
      </c>
      <c r="T47" s="442" t="s">
        <v>648</v>
      </c>
      <c r="U47" s="442">
        <v>1185210</v>
      </c>
      <c r="V47" s="442">
        <v>1185210</v>
      </c>
      <c r="W47" s="447" t="s">
        <v>673</v>
      </c>
    </row>
    <row r="48" spans="1:23" s="442" customFormat="1" ht="9.75" customHeight="1" x14ac:dyDescent="0.15">
      <c r="A48" s="950" t="s">
        <v>800</v>
      </c>
      <c r="B48" s="442">
        <v>552695</v>
      </c>
      <c r="C48" s="442">
        <v>6158289</v>
      </c>
      <c r="D48" s="442">
        <v>2080868</v>
      </c>
      <c r="E48" s="442">
        <v>43547</v>
      </c>
      <c r="F48" s="442">
        <v>80648</v>
      </c>
      <c r="G48" s="442">
        <v>119541</v>
      </c>
      <c r="H48" s="442" t="s">
        <v>648</v>
      </c>
      <c r="I48" s="442">
        <v>901284</v>
      </c>
      <c r="J48" s="442">
        <v>34699</v>
      </c>
      <c r="K48" s="442">
        <v>45340</v>
      </c>
      <c r="L48" s="442" t="s">
        <v>648</v>
      </c>
      <c r="M48" s="442">
        <v>765343</v>
      </c>
      <c r="N48" s="442">
        <v>90466</v>
      </c>
      <c r="O48" s="442" t="s">
        <v>648</v>
      </c>
      <c r="P48" s="442" t="s">
        <v>648</v>
      </c>
      <c r="Q48" s="442" t="s">
        <v>648</v>
      </c>
      <c r="R48" s="442">
        <v>2105791</v>
      </c>
      <c r="S48" s="442">
        <v>2105791</v>
      </c>
      <c r="T48" s="442" t="s">
        <v>648</v>
      </c>
      <c r="U48" s="442">
        <v>1360458</v>
      </c>
      <c r="V48" s="442">
        <v>1360458</v>
      </c>
      <c r="W48" s="447" t="s">
        <v>771</v>
      </c>
    </row>
    <row r="49" spans="1:23" s="442" customFormat="1" ht="6.75" customHeight="1" x14ac:dyDescent="0.15">
      <c r="A49" s="950"/>
      <c r="W49" s="447"/>
    </row>
    <row r="50" spans="1:23" s="442" customFormat="1" ht="9.75" customHeight="1" x14ac:dyDescent="0.15">
      <c r="A50" s="950" t="s">
        <v>772</v>
      </c>
      <c r="B50" s="442" t="s">
        <v>648</v>
      </c>
      <c r="C50" s="442">
        <v>1131564</v>
      </c>
      <c r="D50" s="442">
        <v>508672</v>
      </c>
      <c r="E50" s="442">
        <v>100565</v>
      </c>
      <c r="F50" s="442" t="s">
        <v>648</v>
      </c>
      <c r="G50" s="442" t="s">
        <v>648</v>
      </c>
      <c r="H50" s="442" t="s">
        <v>648</v>
      </c>
      <c r="I50" s="442">
        <v>105983</v>
      </c>
      <c r="J50" s="442" t="s">
        <v>648</v>
      </c>
      <c r="K50" s="442" t="s">
        <v>648</v>
      </c>
      <c r="L50" s="442" t="s">
        <v>648</v>
      </c>
      <c r="M50" s="442">
        <v>203181</v>
      </c>
      <c r="N50" s="442" t="s">
        <v>648</v>
      </c>
      <c r="O50" s="442" t="s">
        <v>648</v>
      </c>
      <c r="P50" s="442" t="s">
        <v>648</v>
      </c>
      <c r="Q50" s="442">
        <v>98943</v>
      </c>
      <c r="R50" s="442">
        <v>1025379</v>
      </c>
      <c r="S50" s="442">
        <v>1025379</v>
      </c>
      <c r="T50" s="442" t="s">
        <v>648</v>
      </c>
      <c r="U50" s="442">
        <v>259160</v>
      </c>
      <c r="V50" s="442">
        <v>259160</v>
      </c>
      <c r="W50" s="447" t="s">
        <v>674</v>
      </c>
    </row>
    <row r="51" spans="1:23" s="442" customFormat="1" ht="9.75" customHeight="1" x14ac:dyDescent="0.15">
      <c r="A51" s="950" t="s">
        <v>773</v>
      </c>
      <c r="B51" s="442">
        <v>197042</v>
      </c>
      <c r="C51" s="442">
        <v>1075954</v>
      </c>
      <c r="D51" s="442">
        <v>587733</v>
      </c>
      <c r="E51" s="442" t="s">
        <v>648</v>
      </c>
      <c r="F51" s="442" t="s">
        <v>648</v>
      </c>
      <c r="G51" s="442">
        <v>23</v>
      </c>
      <c r="H51" s="442" t="s">
        <v>648</v>
      </c>
      <c r="I51" s="442">
        <v>221302</v>
      </c>
      <c r="J51" s="442">
        <v>34699</v>
      </c>
      <c r="K51" s="442">
        <v>45340</v>
      </c>
      <c r="L51" s="442" t="s">
        <v>648</v>
      </c>
      <c r="M51" s="442">
        <v>286369</v>
      </c>
      <c r="N51" s="442" t="s">
        <v>648</v>
      </c>
      <c r="O51" s="442" t="s">
        <v>648</v>
      </c>
      <c r="P51" s="442" t="s">
        <v>648</v>
      </c>
      <c r="Q51" s="442" t="s">
        <v>648</v>
      </c>
      <c r="R51" s="442">
        <v>494559</v>
      </c>
      <c r="S51" s="442">
        <v>494559</v>
      </c>
      <c r="T51" s="442" t="s">
        <v>648</v>
      </c>
      <c r="U51" s="442">
        <v>400619</v>
      </c>
      <c r="V51" s="442">
        <v>400619</v>
      </c>
      <c r="W51" s="447" t="s">
        <v>92</v>
      </c>
    </row>
    <row r="52" spans="1:23" s="442" customFormat="1" ht="9.75" customHeight="1" x14ac:dyDescent="0.15">
      <c r="A52" s="950" t="s">
        <v>774</v>
      </c>
      <c r="B52" s="442">
        <v>263452</v>
      </c>
      <c r="C52" s="442">
        <v>1936367</v>
      </c>
      <c r="D52" s="442">
        <v>493346</v>
      </c>
      <c r="E52" s="442" t="s">
        <v>648</v>
      </c>
      <c r="F52" s="442" t="s">
        <v>648</v>
      </c>
      <c r="G52" s="442">
        <v>23</v>
      </c>
      <c r="H52" s="442" t="s">
        <v>648</v>
      </c>
      <c r="I52" s="442">
        <v>374446</v>
      </c>
      <c r="J52" s="442" t="s">
        <v>648</v>
      </c>
      <c r="K52" s="442" t="s">
        <v>648</v>
      </c>
      <c r="L52" s="442" t="s">
        <v>648</v>
      </c>
      <c r="M52" s="442">
        <v>118877</v>
      </c>
      <c r="N52" s="442" t="s">
        <v>648</v>
      </c>
      <c r="O52" s="442" t="s">
        <v>648</v>
      </c>
      <c r="P52" s="442" t="s">
        <v>648</v>
      </c>
      <c r="Q52" s="442" t="s">
        <v>648</v>
      </c>
      <c r="R52" s="442">
        <v>747983</v>
      </c>
      <c r="S52" s="442">
        <v>747983</v>
      </c>
      <c r="T52" s="442" t="s">
        <v>648</v>
      </c>
      <c r="U52" s="442">
        <v>272363</v>
      </c>
      <c r="V52" s="442">
        <v>272363</v>
      </c>
      <c r="W52" s="447" t="s">
        <v>93</v>
      </c>
    </row>
    <row r="53" spans="1:23" s="442" customFormat="1" ht="9.75" customHeight="1" x14ac:dyDescent="0.15">
      <c r="A53" s="950" t="s">
        <v>801</v>
      </c>
      <c r="B53" s="442">
        <v>92201</v>
      </c>
      <c r="C53" s="442">
        <v>1660937</v>
      </c>
      <c r="D53" s="442">
        <v>416739</v>
      </c>
      <c r="E53" s="442" t="s">
        <v>648</v>
      </c>
      <c r="F53" s="442" t="s">
        <v>648</v>
      </c>
      <c r="G53" s="442">
        <v>4741</v>
      </c>
      <c r="H53" s="442" t="s">
        <v>648</v>
      </c>
      <c r="I53" s="442">
        <v>151656</v>
      </c>
      <c r="J53" s="442" t="s">
        <v>648</v>
      </c>
      <c r="K53" s="442" t="s">
        <v>648</v>
      </c>
      <c r="L53" s="442" t="s">
        <v>648</v>
      </c>
      <c r="M53" s="442">
        <v>260342</v>
      </c>
      <c r="N53" s="442" t="s">
        <v>648</v>
      </c>
      <c r="O53" s="442" t="s">
        <v>648</v>
      </c>
      <c r="P53" s="442" t="s">
        <v>648</v>
      </c>
      <c r="Q53" s="442" t="s">
        <v>648</v>
      </c>
      <c r="R53" s="442">
        <v>316116</v>
      </c>
      <c r="S53" s="442">
        <v>316116</v>
      </c>
      <c r="T53" s="442" t="s">
        <v>648</v>
      </c>
      <c r="U53" s="442">
        <v>325484</v>
      </c>
      <c r="V53" s="442">
        <v>325484</v>
      </c>
      <c r="W53" s="447" t="s">
        <v>94</v>
      </c>
    </row>
    <row r="54" spans="1:23" s="442" customFormat="1" ht="9.75" customHeight="1" x14ac:dyDescent="0.15">
      <c r="A54" s="950" t="s">
        <v>809</v>
      </c>
      <c r="B54" s="442" t="s">
        <v>648</v>
      </c>
      <c r="C54" s="442">
        <v>1485031</v>
      </c>
      <c r="D54" s="442">
        <v>583050</v>
      </c>
      <c r="E54" s="442">
        <v>43547</v>
      </c>
      <c r="F54" s="442">
        <v>80648</v>
      </c>
      <c r="G54" s="442">
        <v>114754</v>
      </c>
      <c r="H54" s="442" t="s">
        <v>648</v>
      </c>
      <c r="I54" s="442">
        <v>153880</v>
      </c>
      <c r="J54" s="442" t="s">
        <v>648</v>
      </c>
      <c r="K54" s="442" t="s">
        <v>648</v>
      </c>
      <c r="L54" s="442" t="s">
        <v>648</v>
      </c>
      <c r="M54" s="442">
        <v>99755</v>
      </c>
      <c r="N54" s="442">
        <v>90466</v>
      </c>
      <c r="O54" s="442" t="s">
        <v>648</v>
      </c>
      <c r="P54" s="442" t="s">
        <v>648</v>
      </c>
      <c r="Q54" s="442" t="s">
        <v>648</v>
      </c>
      <c r="R54" s="442">
        <v>547133</v>
      </c>
      <c r="S54" s="442">
        <v>547133</v>
      </c>
      <c r="T54" s="442" t="s">
        <v>648</v>
      </c>
      <c r="U54" s="442">
        <v>361992</v>
      </c>
      <c r="V54" s="442">
        <v>361992</v>
      </c>
      <c r="W54" s="447" t="s">
        <v>777</v>
      </c>
    </row>
    <row r="55" spans="1:23" s="442" customFormat="1" ht="6.75" customHeight="1" x14ac:dyDescent="0.15">
      <c r="A55" s="950"/>
      <c r="W55" s="447"/>
    </row>
    <row r="56" spans="1:23" s="442" customFormat="1" ht="9.75" customHeight="1" x14ac:dyDescent="0.15">
      <c r="A56" s="950" t="s">
        <v>778</v>
      </c>
      <c r="B56" s="442" t="s">
        <v>648</v>
      </c>
      <c r="C56" s="442">
        <v>166427</v>
      </c>
      <c r="D56" s="442">
        <v>170510</v>
      </c>
      <c r="E56" s="442">
        <v>32795</v>
      </c>
      <c r="F56" s="442" t="s">
        <v>648</v>
      </c>
      <c r="G56" s="442" t="s">
        <v>648</v>
      </c>
      <c r="H56" s="442" t="s">
        <v>648</v>
      </c>
      <c r="I56" s="442">
        <v>9966</v>
      </c>
      <c r="J56" s="442" t="s">
        <v>648</v>
      </c>
      <c r="K56" s="442" t="s">
        <v>648</v>
      </c>
      <c r="L56" s="442" t="s">
        <v>648</v>
      </c>
      <c r="M56" s="442">
        <v>127749</v>
      </c>
      <c r="N56" s="442" t="s">
        <v>648</v>
      </c>
      <c r="O56" s="442" t="s">
        <v>648</v>
      </c>
      <c r="P56" s="442" t="s">
        <v>648</v>
      </c>
      <c r="Q56" s="442" t="s">
        <v>648</v>
      </c>
      <c r="R56" s="442">
        <v>118920</v>
      </c>
      <c r="S56" s="442">
        <v>118920</v>
      </c>
      <c r="T56" s="442" t="s">
        <v>648</v>
      </c>
      <c r="U56" s="442">
        <v>23127</v>
      </c>
      <c r="V56" s="442">
        <v>23127</v>
      </c>
      <c r="W56" s="447" t="s">
        <v>675</v>
      </c>
    </row>
    <row r="57" spans="1:23" s="442" customFormat="1" ht="9.75" customHeight="1" x14ac:dyDescent="0.15">
      <c r="A57" s="950" t="s">
        <v>779</v>
      </c>
      <c r="B57" s="442" t="s">
        <v>648</v>
      </c>
      <c r="C57" s="442">
        <v>417718</v>
      </c>
      <c r="D57" s="442">
        <v>141850</v>
      </c>
      <c r="E57" s="442">
        <v>67770</v>
      </c>
      <c r="F57" s="442" t="s">
        <v>648</v>
      </c>
      <c r="G57" s="442" t="s">
        <v>648</v>
      </c>
      <c r="H57" s="442" t="s">
        <v>648</v>
      </c>
      <c r="I57" s="442">
        <v>42434</v>
      </c>
      <c r="J57" s="442" t="s">
        <v>648</v>
      </c>
      <c r="K57" s="442" t="s">
        <v>648</v>
      </c>
      <c r="L57" s="442" t="s">
        <v>648</v>
      </c>
      <c r="M57" s="442">
        <v>31646</v>
      </c>
      <c r="N57" s="442" t="s">
        <v>648</v>
      </c>
      <c r="O57" s="442" t="s">
        <v>648</v>
      </c>
      <c r="P57" s="442" t="s">
        <v>648</v>
      </c>
      <c r="Q57" s="442" t="s">
        <v>648</v>
      </c>
      <c r="R57" s="442">
        <v>443267</v>
      </c>
      <c r="S57" s="442">
        <v>443267</v>
      </c>
      <c r="T57" s="442" t="s">
        <v>648</v>
      </c>
      <c r="U57" s="442">
        <v>81242</v>
      </c>
      <c r="V57" s="442">
        <v>81242</v>
      </c>
      <c r="W57" s="447" t="s">
        <v>80</v>
      </c>
    </row>
    <row r="58" spans="1:23" s="442" customFormat="1" ht="9.75" customHeight="1" x14ac:dyDescent="0.15">
      <c r="A58" s="950" t="s">
        <v>780</v>
      </c>
      <c r="B58" s="442" t="s">
        <v>648</v>
      </c>
      <c r="C58" s="442">
        <v>547419</v>
      </c>
      <c r="D58" s="442">
        <v>196312</v>
      </c>
      <c r="E58" s="442" t="s">
        <v>648</v>
      </c>
      <c r="F58" s="442" t="s">
        <v>648</v>
      </c>
      <c r="G58" s="442" t="s">
        <v>648</v>
      </c>
      <c r="H58" s="442" t="s">
        <v>648</v>
      </c>
      <c r="I58" s="442">
        <v>53583</v>
      </c>
      <c r="J58" s="442" t="s">
        <v>648</v>
      </c>
      <c r="K58" s="442" t="s">
        <v>648</v>
      </c>
      <c r="L58" s="442" t="s">
        <v>648</v>
      </c>
      <c r="M58" s="442">
        <v>43786</v>
      </c>
      <c r="N58" s="442" t="s">
        <v>648</v>
      </c>
      <c r="O58" s="442" t="s">
        <v>648</v>
      </c>
      <c r="P58" s="442" t="s">
        <v>648</v>
      </c>
      <c r="Q58" s="442">
        <v>98943</v>
      </c>
      <c r="R58" s="442">
        <v>463192</v>
      </c>
      <c r="S58" s="442">
        <v>463192</v>
      </c>
      <c r="T58" s="442" t="s">
        <v>648</v>
      </c>
      <c r="U58" s="442">
        <v>154791</v>
      </c>
      <c r="V58" s="442">
        <v>154791</v>
      </c>
      <c r="W58" s="447" t="s">
        <v>81</v>
      </c>
    </row>
    <row r="59" spans="1:23" s="442" customFormat="1" ht="9.75" customHeight="1" x14ac:dyDescent="0.15">
      <c r="A59" s="950" t="s">
        <v>781</v>
      </c>
      <c r="B59" s="442">
        <v>54312</v>
      </c>
      <c r="C59" s="442">
        <v>470305</v>
      </c>
      <c r="D59" s="442">
        <v>195972</v>
      </c>
      <c r="E59" s="442" t="s">
        <v>648</v>
      </c>
      <c r="F59" s="442" t="s">
        <v>648</v>
      </c>
      <c r="G59" s="442" t="s">
        <v>648</v>
      </c>
      <c r="H59" s="442" t="s">
        <v>648</v>
      </c>
      <c r="I59" s="442">
        <v>74369</v>
      </c>
      <c r="J59" s="442" t="s">
        <v>648</v>
      </c>
      <c r="K59" s="442" t="s">
        <v>648</v>
      </c>
      <c r="L59" s="442" t="s">
        <v>648</v>
      </c>
      <c r="M59" s="442">
        <v>121603</v>
      </c>
      <c r="N59" s="442" t="s">
        <v>648</v>
      </c>
      <c r="O59" s="442" t="s">
        <v>648</v>
      </c>
      <c r="P59" s="442" t="s">
        <v>648</v>
      </c>
      <c r="Q59" s="442" t="s">
        <v>648</v>
      </c>
      <c r="R59" s="442">
        <v>94437</v>
      </c>
      <c r="S59" s="442">
        <v>94437</v>
      </c>
      <c r="T59" s="442" t="s">
        <v>648</v>
      </c>
      <c r="U59" s="442">
        <v>152779</v>
      </c>
      <c r="V59" s="442">
        <v>152779</v>
      </c>
      <c r="W59" s="447" t="s">
        <v>82</v>
      </c>
    </row>
    <row r="60" spans="1:23" s="442" customFormat="1" ht="9.75" customHeight="1" x14ac:dyDescent="0.15">
      <c r="A60" s="950" t="s">
        <v>782</v>
      </c>
      <c r="B60" s="442">
        <v>101480</v>
      </c>
      <c r="C60" s="442">
        <v>347731</v>
      </c>
      <c r="D60" s="442">
        <v>289852</v>
      </c>
      <c r="E60" s="442" t="s">
        <v>648</v>
      </c>
      <c r="F60" s="442" t="s">
        <v>648</v>
      </c>
      <c r="G60" s="442">
        <v>23</v>
      </c>
      <c r="H60" s="442" t="s">
        <v>648</v>
      </c>
      <c r="I60" s="442">
        <v>51968</v>
      </c>
      <c r="J60" s="442">
        <v>34699</v>
      </c>
      <c r="K60" s="442">
        <v>45340</v>
      </c>
      <c r="L60" s="442" t="s">
        <v>648</v>
      </c>
      <c r="M60" s="442">
        <v>157822</v>
      </c>
      <c r="N60" s="442" t="s">
        <v>648</v>
      </c>
      <c r="O60" s="442" t="s">
        <v>648</v>
      </c>
      <c r="P60" s="442" t="s">
        <v>648</v>
      </c>
      <c r="Q60" s="442" t="s">
        <v>648</v>
      </c>
      <c r="R60" s="442">
        <v>216093</v>
      </c>
      <c r="S60" s="442">
        <v>216093</v>
      </c>
      <c r="T60" s="442" t="s">
        <v>648</v>
      </c>
      <c r="U60" s="442">
        <v>68689</v>
      </c>
      <c r="V60" s="442">
        <v>68689</v>
      </c>
      <c r="W60" s="447" t="s">
        <v>95</v>
      </c>
    </row>
    <row r="61" spans="1:23" s="442" customFormat="1" ht="9.75" customHeight="1" x14ac:dyDescent="0.15">
      <c r="A61" s="950" t="s">
        <v>783</v>
      </c>
      <c r="B61" s="442">
        <v>41250</v>
      </c>
      <c r="C61" s="442">
        <v>257918</v>
      </c>
      <c r="D61" s="442">
        <v>101909</v>
      </c>
      <c r="E61" s="442" t="s">
        <v>648</v>
      </c>
      <c r="F61" s="442" t="s">
        <v>648</v>
      </c>
      <c r="G61" s="442" t="s">
        <v>648</v>
      </c>
      <c r="H61" s="442" t="s">
        <v>648</v>
      </c>
      <c r="I61" s="442">
        <v>94965</v>
      </c>
      <c r="J61" s="442" t="s">
        <v>648</v>
      </c>
      <c r="K61" s="442" t="s">
        <v>648</v>
      </c>
      <c r="L61" s="442" t="s">
        <v>648</v>
      </c>
      <c r="M61" s="442">
        <v>6944</v>
      </c>
      <c r="N61" s="442" t="s">
        <v>648</v>
      </c>
      <c r="O61" s="442" t="s">
        <v>648</v>
      </c>
      <c r="P61" s="442" t="s">
        <v>648</v>
      </c>
      <c r="Q61" s="442" t="s">
        <v>648</v>
      </c>
      <c r="R61" s="442">
        <v>184029</v>
      </c>
      <c r="S61" s="442">
        <v>184029</v>
      </c>
      <c r="T61" s="442" t="s">
        <v>648</v>
      </c>
      <c r="U61" s="442">
        <v>179151</v>
      </c>
      <c r="V61" s="442">
        <v>179151</v>
      </c>
      <c r="W61" s="447" t="s">
        <v>96</v>
      </c>
    </row>
    <row r="62" spans="1:23" s="442" customFormat="1" ht="9.75" customHeight="1" x14ac:dyDescent="0.15">
      <c r="A62" s="950" t="s">
        <v>784</v>
      </c>
      <c r="B62" s="442">
        <v>120004</v>
      </c>
      <c r="C62" s="442">
        <v>646386</v>
      </c>
      <c r="D62" s="442">
        <v>74209</v>
      </c>
      <c r="E62" s="442" t="s">
        <v>648</v>
      </c>
      <c r="F62" s="442" t="s">
        <v>648</v>
      </c>
      <c r="G62" s="442" t="s">
        <v>648</v>
      </c>
      <c r="H62" s="442" t="s">
        <v>648</v>
      </c>
      <c r="I62" s="442">
        <v>74209</v>
      </c>
      <c r="J62" s="442" t="s">
        <v>648</v>
      </c>
      <c r="K62" s="442" t="s">
        <v>648</v>
      </c>
      <c r="L62" s="442" t="s">
        <v>648</v>
      </c>
      <c r="M62" s="442" t="s">
        <v>648</v>
      </c>
      <c r="N62" s="442" t="s">
        <v>648</v>
      </c>
      <c r="O62" s="442" t="s">
        <v>648</v>
      </c>
      <c r="P62" s="442" t="s">
        <v>648</v>
      </c>
      <c r="Q62" s="442" t="s">
        <v>648</v>
      </c>
      <c r="R62" s="442">
        <v>290870</v>
      </c>
      <c r="S62" s="442">
        <v>290870</v>
      </c>
      <c r="T62" s="442" t="s">
        <v>648</v>
      </c>
      <c r="U62" s="442">
        <v>103198</v>
      </c>
      <c r="V62" s="442">
        <v>103198</v>
      </c>
      <c r="W62" s="447" t="s">
        <v>97</v>
      </c>
    </row>
    <row r="63" spans="1:23" s="442" customFormat="1" ht="9.75" customHeight="1" x14ac:dyDescent="0.15">
      <c r="A63" s="950" t="s">
        <v>806</v>
      </c>
      <c r="B63" s="442">
        <v>51769</v>
      </c>
      <c r="C63" s="442">
        <v>473948</v>
      </c>
      <c r="D63" s="442">
        <v>316904</v>
      </c>
      <c r="E63" s="442" t="s">
        <v>648</v>
      </c>
      <c r="F63" s="442" t="s">
        <v>648</v>
      </c>
      <c r="G63" s="442" t="s">
        <v>648</v>
      </c>
      <c r="H63" s="442" t="s">
        <v>648</v>
      </c>
      <c r="I63" s="442">
        <v>198027</v>
      </c>
      <c r="J63" s="442" t="s">
        <v>648</v>
      </c>
      <c r="K63" s="442" t="s">
        <v>648</v>
      </c>
      <c r="L63" s="442" t="s">
        <v>648</v>
      </c>
      <c r="M63" s="442">
        <v>118877</v>
      </c>
      <c r="N63" s="442" t="s">
        <v>648</v>
      </c>
      <c r="O63" s="442" t="s">
        <v>648</v>
      </c>
      <c r="P63" s="442" t="s">
        <v>648</v>
      </c>
      <c r="Q63" s="442" t="s">
        <v>648</v>
      </c>
      <c r="R63" s="442">
        <v>229404</v>
      </c>
      <c r="S63" s="442">
        <v>229404</v>
      </c>
      <c r="T63" s="442" t="s">
        <v>648</v>
      </c>
      <c r="U63" s="442">
        <v>154765</v>
      </c>
      <c r="V63" s="442">
        <v>154765</v>
      </c>
      <c r="W63" s="447" t="s">
        <v>98</v>
      </c>
    </row>
    <row r="64" spans="1:23" s="442" customFormat="1" ht="9.75" customHeight="1" x14ac:dyDescent="0.15">
      <c r="A64" s="950" t="s">
        <v>786</v>
      </c>
      <c r="B64" s="442">
        <v>91679</v>
      </c>
      <c r="C64" s="442">
        <v>816033</v>
      </c>
      <c r="D64" s="442">
        <v>102233</v>
      </c>
      <c r="E64" s="442" t="s">
        <v>648</v>
      </c>
      <c r="F64" s="442" t="s">
        <v>648</v>
      </c>
      <c r="G64" s="442">
        <v>23</v>
      </c>
      <c r="H64" s="442" t="s">
        <v>648</v>
      </c>
      <c r="I64" s="442">
        <v>102210</v>
      </c>
      <c r="J64" s="442" t="s">
        <v>648</v>
      </c>
      <c r="K64" s="442" t="s">
        <v>648</v>
      </c>
      <c r="L64" s="442" t="s">
        <v>648</v>
      </c>
      <c r="M64" s="442" t="s">
        <v>648</v>
      </c>
      <c r="N64" s="442" t="s">
        <v>648</v>
      </c>
      <c r="O64" s="442" t="s">
        <v>648</v>
      </c>
      <c r="P64" s="442" t="s">
        <v>648</v>
      </c>
      <c r="Q64" s="442" t="s">
        <v>648</v>
      </c>
      <c r="R64" s="442">
        <v>227709</v>
      </c>
      <c r="S64" s="442">
        <v>227709</v>
      </c>
      <c r="T64" s="442" t="s">
        <v>648</v>
      </c>
      <c r="U64" s="442">
        <v>14400</v>
      </c>
      <c r="V64" s="442">
        <v>14400</v>
      </c>
      <c r="W64" s="447" t="s">
        <v>99</v>
      </c>
    </row>
    <row r="65" spans="1:23" s="442" customFormat="1" ht="9.75" customHeight="1" x14ac:dyDescent="0.15">
      <c r="A65" s="950" t="s">
        <v>807</v>
      </c>
      <c r="B65" s="442">
        <v>92201</v>
      </c>
      <c r="C65" s="442">
        <v>432586</v>
      </c>
      <c r="D65" s="442">
        <v>112777</v>
      </c>
      <c r="E65" s="442" t="s">
        <v>648</v>
      </c>
      <c r="F65" s="442" t="s">
        <v>648</v>
      </c>
      <c r="G65" s="442">
        <v>46</v>
      </c>
      <c r="H65" s="442" t="s">
        <v>648</v>
      </c>
      <c r="I65" s="442">
        <v>74372</v>
      </c>
      <c r="J65" s="442" t="s">
        <v>648</v>
      </c>
      <c r="K65" s="442" t="s">
        <v>648</v>
      </c>
      <c r="L65" s="442" t="s">
        <v>648</v>
      </c>
      <c r="M65" s="442">
        <v>38359</v>
      </c>
      <c r="N65" s="442" t="s">
        <v>648</v>
      </c>
      <c r="O65" s="442" t="s">
        <v>648</v>
      </c>
      <c r="P65" s="442" t="s">
        <v>648</v>
      </c>
      <c r="Q65" s="442" t="s">
        <v>648</v>
      </c>
      <c r="R65" s="442">
        <v>102886</v>
      </c>
      <c r="S65" s="442">
        <v>102886</v>
      </c>
      <c r="T65" s="442" t="s">
        <v>648</v>
      </c>
      <c r="U65" s="442">
        <v>67559</v>
      </c>
      <c r="V65" s="442">
        <v>67559</v>
      </c>
      <c r="W65" s="447" t="s">
        <v>83</v>
      </c>
    </row>
    <row r="66" spans="1:23" s="442" customFormat="1" ht="9.75" customHeight="1" x14ac:dyDescent="0.15">
      <c r="A66" s="950" t="s">
        <v>788</v>
      </c>
      <c r="B66" s="442" t="s">
        <v>648</v>
      </c>
      <c r="C66" s="442">
        <v>695804</v>
      </c>
      <c r="D66" s="442">
        <v>96535</v>
      </c>
      <c r="E66" s="442" t="s">
        <v>648</v>
      </c>
      <c r="F66" s="442" t="s">
        <v>648</v>
      </c>
      <c r="G66" s="442">
        <v>46</v>
      </c>
      <c r="H66" s="442" t="s">
        <v>648</v>
      </c>
      <c r="I66" s="442">
        <v>77284</v>
      </c>
      <c r="J66" s="442" t="s">
        <v>648</v>
      </c>
      <c r="K66" s="442" t="s">
        <v>648</v>
      </c>
      <c r="L66" s="442" t="s">
        <v>648</v>
      </c>
      <c r="M66" s="442">
        <v>19205</v>
      </c>
      <c r="N66" s="442" t="s">
        <v>648</v>
      </c>
      <c r="O66" s="442" t="s">
        <v>648</v>
      </c>
      <c r="P66" s="442" t="s">
        <v>648</v>
      </c>
      <c r="Q66" s="442" t="s">
        <v>648</v>
      </c>
      <c r="R66" s="442">
        <v>121540</v>
      </c>
      <c r="S66" s="442">
        <v>121540</v>
      </c>
      <c r="T66" s="442" t="s">
        <v>648</v>
      </c>
      <c r="U66" s="442">
        <v>103168</v>
      </c>
      <c r="V66" s="442">
        <v>103168</v>
      </c>
      <c r="W66" s="447" t="s">
        <v>84</v>
      </c>
    </row>
    <row r="67" spans="1:23" s="442" customFormat="1" ht="9.75" customHeight="1" x14ac:dyDescent="0.15">
      <c r="A67" s="950" t="s">
        <v>789</v>
      </c>
      <c r="B67" s="442" t="s">
        <v>648</v>
      </c>
      <c r="C67" s="442">
        <v>532547</v>
      </c>
      <c r="D67" s="442">
        <v>207427</v>
      </c>
      <c r="E67" s="442" t="s">
        <v>648</v>
      </c>
      <c r="F67" s="442" t="s">
        <v>648</v>
      </c>
      <c r="G67" s="442">
        <v>4649</v>
      </c>
      <c r="H67" s="442" t="s">
        <v>648</v>
      </c>
      <c r="I67" s="442" t="s">
        <v>648</v>
      </c>
      <c r="J67" s="442" t="s">
        <v>648</v>
      </c>
      <c r="K67" s="442" t="s">
        <v>648</v>
      </c>
      <c r="L67" s="442" t="s">
        <v>648</v>
      </c>
      <c r="M67" s="442">
        <v>202778</v>
      </c>
      <c r="N67" s="442" t="s">
        <v>648</v>
      </c>
      <c r="O67" s="442" t="s">
        <v>648</v>
      </c>
      <c r="P67" s="442" t="s">
        <v>648</v>
      </c>
      <c r="Q67" s="442" t="s">
        <v>648</v>
      </c>
      <c r="R67" s="442">
        <v>91690</v>
      </c>
      <c r="S67" s="442">
        <v>91690</v>
      </c>
      <c r="T67" s="442" t="s">
        <v>648</v>
      </c>
      <c r="U67" s="442">
        <v>154757</v>
      </c>
      <c r="V67" s="442">
        <v>154757</v>
      </c>
      <c r="W67" s="447" t="s">
        <v>85</v>
      </c>
    </row>
    <row r="68" spans="1:23" s="442" customFormat="1" ht="9.75" customHeight="1" x14ac:dyDescent="0.15">
      <c r="A68" s="950" t="s">
        <v>790</v>
      </c>
      <c r="B68" s="442" t="s">
        <v>648</v>
      </c>
      <c r="C68" s="442">
        <v>516293</v>
      </c>
      <c r="D68" s="442">
        <v>254027</v>
      </c>
      <c r="E68" s="442" t="s">
        <v>648</v>
      </c>
      <c r="F68" s="442" t="s">
        <v>648</v>
      </c>
      <c r="G68" s="442">
        <v>114731</v>
      </c>
      <c r="H68" s="442" t="s">
        <v>648</v>
      </c>
      <c r="I68" s="442">
        <v>79751</v>
      </c>
      <c r="J68" s="442" t="s">
        <v>648</v>
      </c>
      <c r="K68" s="442" t="s">
        <v>648</v>
      </c>
      <c r="L68" s="442" t="s">
        <v>648</v>
      </c>
      <c r="M68" s="442">
        <v>59545</v>
      </c>
      <c r="N68" s="442" t="s">
        <v>648</v>
      </c>
      <c r="O68" s="442" t="s">
        <v>648</v>
      </c>
      <c r="P68" s="442" t="s">
        <v>648</v>
      </c>
      <c r="Q68" s="442" t="s">
        <v>648</v>
      </c>
      <c r="R68" s="442">
        <v>316754</v>
      </c>
      <c r="S68" s="442">
        <v>316754</v>
      </c>
      <c r="T68" s="442" t="s">
        <v>648</v>
      </c>
      <c r="U68" s="442">
        <v>154149</v>
      </c>
      <c r="V68" s="442">
        <v>154149</v>
      </c>
      <c r="W68" s="447" t="s">
        <v>791</v>
      </c>
    </row>
    <row r="69" spans="1:23" s="442" customFormat="1" ht="9.75" customHeight="1" x14ac:dyDescent="0.15">
      <c r="A69" s="950" t="s">
        <v>792</v>
      </c>
      <c r="B69" s="442" t="s">
        <v>648</v>
      </c>
      <c r="C69" s="442">
        <v>613871</v>
      </c>
      <c r="D69" s="442">
        <v>83780</v>
      </c>
      <c r="E69" s="442">
        <v>43547</v>
      </c>
      <c r="F69" s="442" t="s">
        <v>648</v>
      </c>
      <c r="G69" s="442">
        <v>23</v>
      </c>
      <c r="H69" s="442" t="s">
        <v>648</v>
      </c>
      <c r="I69" s="442" t="s">
        <v>648</v>
      </c>
      <c r="J69" s="442" t="s">
        <v>648</v>
      </c>
      <c r="K69" s="442" t="s">
        <v>648</v>
      </c>
      <c r="L69" s="442" t="s">
        <v>648</v>
      </c>
      <c r="M69" s="442">
        <v>40210</v>
      </c>
      <c r="N69" s="442" t="s">
        <v>648</v>
      </c>
      <c r="O69" s="442" t="s">
        <v>648</v>
      </c>
      <c r="P69" s="442" t="s">
        <v>648</v>
      </c>
      <c r="Q69" s="442" t="s">
        <v>648</v>
      </c>
      <c r="R69" s="442">
        <v>186321</v>
      </c>
      <c r="S69" s="442">
        <v>186321</v>
      </c>
      <c r="T69" s="442" t="s">
        <v>648</v>
      </c>
      <c r="U69" s="442">
        <v>104404</v>
      </c>
      <c r="V69" s="442">
        <v>104404</v>
      </c>
      <c r="W69" s="447" t="s">
        <v>80</v>
      </c>
    </row>
    <row r="70" spans="1:23" s="442" customFormat="1" ht="9.75" customHeight="1" x14ac:dyDescent="0.15">
      <c r="A70" s="951" t="s">
        <v>793</v>
      </c>
      <c r="B70" s="446" t="s">
        <v>648</v>
      </c>
      <c r="C70" s="445">
        <v>354867</v>
      </c>
      <c r="D70" s="445">
        <v>245243</v>
      </c>
      <c r="E70" s="445" t="s">
        <v>648</v>
      </c>
      <c r="F70" s="445">
        <v>80648</v>
      </c>
      <c r="G70" s="445" t="s">
        <v>648</v>
      </c>
      <c r="H70" s="445" t="s">
        <v>648</v>
      </c>
      <c r="I70" s="445">
        <v>74129</v>
      </c>
      <c r="J70" s="445" t="s">
        <v>648</v>
      </c>
      <c r="K70" s="445" t="s">
        <v>648</v>
      </c>
      <c r="L70" s="445" t="s">
        <v>648</v>
      </c>
      <c r="M70" s="445" t="s">
        <v>648</v>
      </c>
      <c r="N70" s="445">
        <v>90466</v>
      </c>
      <c r="O70" s="445" t="s">
        <v>648</v>
      </c>
      <c r="P70" s="445" t="s">
        <v>648</v>
      </c>
      <c r="Q70" s="445" t="s">
        <v>648</v>
      </c>
      <c r="R70" s="445">
        <v>44058</v>
      </c>
      <c r="S70" s="445">
        <v>44058</v>
      </c>
      <c r="T70" s="445" t="s">
        <v>648</v>
      </c>
      <c r="U70" s="445">
        <v>103439</v>
      </c>
      <c r="V70" s="445">
        <v>103439</v>
      </c>
      <c r="W70" s="443" t="s">
        <v>81</v>
      </c>
    </row>
    <row r="71" spans="1:23" ht="12" customHeight="1" x14ac:dyDescent="0.2"/>
    <row r="72" spans="1:23" ht="12" customHeight="1" x14ac:dyDescent="0.2"/>
    <row r="73" spans="1:23" ht="12" customHeight="1" x14ac:dyDescent="0.15">
      <c r="K73" s="457" t="s">
        <v>100</v>
      </c>
      <c r="V73" s="460" t="s">
        <v>1091</v>
      </c>
    </row>
    <row r="74" spans="1:23" s="453" customFormat="1" ht="21" customHeight="1" x14ac:dyDescent="0.2">
      <c r="A74" s="1089" t="s">
        <v>194</v>
      </c>
      <c r="B74" s="456" t="s">
        <v>348</v>
      </c>
      <c r="C74" s="455"/>
      <c r="D74" s="455"/>
      <c r="E74" s="455"/>
      <c r="F74" s="455"/>
      <c r="G74" s="455"/>
      <c r="H74" s="455"/>
      <c r="I74" s="455"/>
      <c r="J74" s="455"/>
      <c r="K74" s="917"/>
      <c r="L74" s="918" t="s">
        <v>347</v>
      </c>
      <c r="M74" s="455"/>
      <c r="N74" s="455"/>
      <c r="O74" s="455"/>
      <c r="P74" s="455"/>
      <c r="Q74" s="455"/>
      <c r="R74" s="455"/>
      <c r="S74" s="455"/>
      <c r="T74" s="455"/>
      <c r="U74" s="455"/>
      <c r="V74" s="455"/>
      <c r="W74" s="1092" t="s">
        <v>86</v>
      </c>
    </row>
    <row r="75" spans="1:23" s="453" customFormat="1" ht="21" customHeight="1" x14ac:dyDescent="0.2">
      <c r="A75" s="1090"/>
      <c r="B75" s="918" t="s">
        <v>271</v>
      </c>
      <c r="C75" s="455"/>
      <c r="D75" s="455"/>
      <c r="E75" s="455"/>
      <c r="F75" s="455"/>
      <c r="G75" s="917"/>
      <c r="H75" s="918" t="s">
        <v>270</v>
      </c>
      <c r="I75" s="455"/>
      <c r="J75" s="455"/>
      <c r="K75" s="917"/>
      <c r="L75" s="1095" t="s">
        <v>345</v>
      </c>
      <c r="M75" s="918" t="s">
        <v>297</v>
      </c>
      <c r="N75" s="455"/>
      <c r="O75" s="455"/>
      <c r="P75" s="455"/>
      <c r="Q75" s="455"/>
      <c r="R75" s="917"/>
      <c r="S75" s="918" t="s">
        <v>289</v>
      </c>
      <c r="T75" s="917"/>
      <c r="U75" s="918" t="s">
        <v>288</v>
      </c>
      <c r="V75" s="455"/>
      <c r="W75" s="1093"/>
    </row>
    <row r="76" spans="1:23" s="453" customFormat="1" ht="52.5" customHeight="1" x14ac:dyDescent="0.2">
      <c r="A76" s="1091"/>
      <c r="B76" s="920" t="s">
        <v>1092</v>
      </c>
      <c r="C76" s="454" t="s">
        <v>268</v>
      </c>
      <c r="D76" s="454" t="s">
        <v>267</v>
      </c>
      <c r="E76" s="454" t="s">
        <v>266</v>
      </c>
      <c r="F76" s="454" t="s">
        <v>480</v>
      </c>
      <c r="G76" s="454" t="s">
        <v>1093</v>
      </c>
      <c r="H76" s="920" t="s">
        <v>1094</v>
      </c>
      <c r="I76" s="454" t="s">
        <v>263</v>
      </c>
      <c r="J76" s="454" t="s">
        <v>262</v>
      </c>
      <c r="K76" s="454" t="s">
        <v>1095</v>
      </c>
      <c r="L76" s="1096"/>
      <c r="M76" s="920" t="s">
        <v>1096</v>
      </c>
      <c r="N76" s="454" t="s">
        <v>286</v>
      </c>
      <c r="O76" s="454" t="s">
        <v>1097</v>
      </c>
      <c r="P76" s="454" t="s">
        <v>285</v>
      </c>
      <c r="Q76" s="454" t="s">
        <v>284</v>
      </c>
      <c r="R76" s="459" t="s">
        <v>1087</v>
      </c>
      <c r="S76" s="920" t="s">
        <v>109</v>
      </c>
      <c r="T76" s="454" t="s">
        <v>343</v>
      </c>
      <c r="U76" s="920" t="s">
        <v>1089</v>
      </c>
      <c r="V76" s="458" t="s">
        <v>274</v>
      </c>
      <c r="W76" s="1094"/>
    </row>
    <row r="77" spans="1:23" s="442" customFormat="1" ht="9.75" customHeight="1" x14ac:dyDescent="0.15">
      <c r="A77" s="949" t="s">
        <v>763</v>
      </c>
      <c r="B77" s="452">
        <v>617057</v>
      </c>
      <c r="C77" s="451">
        <v>617057</v>
      </c>
      <c r="D77" s="451" t="s">
        <v>648</v>
      </c>
      <c r="E77" s="451" t="s">
        <v>648</v>
      </c>
      <c r="F77" s="451" t="s">
        <v>648</v>
      </c>
      <c r="G77" s="451" t="s">
        <v>648</v>
      </c>
      <c r="H77" s="451">
        <v>641790</v>
      </c>
      <c r="I77" s="451">
        <v>279881</v>
      </c>
      <c r="J77" s="451">
        <v>316386</v>
      </c>
      <c r="K77" s="451">
        <v>45523</v>
      </c>
      <c r="L77" s="451">
        <v>983829</v>
      </c>
      <c r="M77" s="451">
        <v>983572</v>
      </c>
      <c r="N77" s="451">
        <v>920370</v>
      </c>
      <c r="O77" s="451">
        <v>23195</v>
      </c>
      <c r="P77" s="451">
        <v>40007</v>
      </c>
      <c r="Q77" s="451" t="s">
        <v>648</v>
      </c>
      <c r="R77" s="451" t="s">
        <v>648</v>
      </c>
      <c r="S77" s="451" t="s">
        <v>648</v>
      </c>
      <c r="T77" s="451" t="s">
        <v>648</v>
      </c>
      <c r="U77" s="451">
        <v>257</v>
      </c>
      <c r="V77" s="451">
        <v>257</v>
      </c>
      <c r="W77" s="449" t="s">
        <v>464</v>
      </c>
    </row>
    <row r="78" spans="1:23" s="442" customFormat="1" ht="9.75" customHeight="1" x14ac:dyDescent="0.15">
      <c r="A78" s="950" t="s">
        <v>764</v>
      </c>
      <c r="B78" s="442">
        <v>482442</v>
      </c>
      <c r="C78" s="442">
        <v>159613</v>
      </c>
      <c r="D78" s="442">
        <v>273089</v>
      </c>
      <c r="E78" s="442" t="s">
        <v>648</v>
      </c>
      <c r="F78" s="442">
        <v>8663</v>
      </c>
      <c r="G78" s="442">
        <v>41077</v>
      </c>
      <c r="H78" s="442">
        <v>452312</v>
      </c>
      <c r="I78" s="442">
        <v>204021</v>
      </c>
      <c r="J78" s="442">
        <v>248291</v>
      </c>
      <c r="K78" s="442" t="s">
        <v>648</v>
      </c>
      <c r="L78" s="442">
        <v>2092508</v>
      </c>
      <c r="M78" s="442">
        <v>2092218</v>
      </c>
      <c r="N78" s="442">
        <v>1847870</v>
      </c>
      <c r="O78" s="442">
        <v>151597</v>
      </c>
      <c r="P78" s="442">
        <v>92751</v>
      </c>
      <c r="Q78" s="442" t="s">
        <v>648</v>
      </c>
      <c r="R78" s="442" t="s">
        <v>648</v>
      </c>
      <c r="S78" s="442">
        <v>31</v>
      </c>
      <c r="T78" s="442">
        <v>31</v>
      </c>
      <c r="U78" s="442">
        <v>259</v>
      </c>
      <c r="V78" s="442">
        <v>259</v>
      </c>
      <c r="W78" s="447" t="s">
        <v>489</v>
      </c>
    </row>
    <row r="79" spans="1:23" s="442" customFormat="1" ht="9.75" customHeight="1" x14ac:dyDescent="0.15">
      <c r="A79" s="950" t="s">
        <v>765</v>
      </c>
      <c r="B79" s="442">
        <v>505917</v>
      </c>
      <c r="C79" s="442">
        <v>345615</v>
      </c>
      <c r="D79" s="442">
        <v>148543</v>
      </c>
      <c r="E79" s="442" t="s">
        <v>648</v>
      </c>
      <c r="F79" s="442" t="s">
        <v>648</v>
      </c>
      <c r="G79" s="442">
        <v>11759</v>
      </c>
      <c r="H79" s="442">
        <v>826696</v>
      </c>
      <c r="I79" s="442">
        <v>599225</v>
      </c>
      <c r="J79" s="442">
        <v>227471</v>
      </c>
      <c r="K79" s="442" t="s">
        <v>648</v>
      </c>
      <c r="L79" s="442">
        <v>2306235</v>
      </c>
      <c r="M79" s="442">
        <v>2305992</v>
      </c>
      <c r="N79" s="442">
        <v>1859917</v>
      </c>
      <c r="O79" s="442">
        <v>357496</v>
      </c>
      <c r="P79" s="442">
        <v>88175</v>
      </c>
      <c r="Q79" s="442" t="s">
        <v>648</v>
      </c>
      <c r="R79" s="442">
        <v>404</v>
      </c>
      <c r="S79" s="442">
        <v>31</v>
      </c>
      <c r="T79" s="442">
        <v>31</v>
      </c>
      <c r="U79" s="442">
        <v>212</v>
      </c>
      <c r="V79" s="442">
        <v>212</v>
      </c>
      <c r="W79" s="447" t="s">
        <v>549</v>
      </c>
    </row>
    <row r="80" spans="1:23" s="442" customFormat="1" ht="9.75" customHeight="1" x14ac:dyDescent="0.15">
      <c r="A80" s="950" t="s">
        <v>766</v>
      </c>
      <c r="B80" s="442">
        <v>1180307</v>
      </c>
      <c r="C80" s="442">
        <v>500734</v>
      </c>
      <c r="D80" s="442">
        <v>638148</v>
      </c>
      <c r="E80" s="442">
        <v>41425</v>
      </c>
      <c r="F80" s="442" t="s">
        <v>648</v>
      </c>
      <c r="G80" s="442" t="s">
        <v>648</v>
      </c>
      <c r="H80" s="442">
        <v>1013359</v>
      </c>
      <c r="I80" s="442">
        <v>614950</v>
      </c>
      <c r="J80" s="442">
        <v>398409</v>
      </c>
      <c r="K80" s="442" t="s">
        <v>648</v>
      </c>
      <c r="L80" s="442">
        <v>3127198</v>
      </c>
      <c r="M80" s="442">
        <v>3077701</v>
      </c>
      <c r="N80" s="442">
        <v>2446721</v>
      </c>
      <c r="O80" s="442">
        <v>389872</v>
      </c>
      <c r="P80" s="442">
        <v>193125</v>
      </c>
      <c r="Q80" s="442" t="s">
        <v>648</v>
      </c>
      <c r="R80" s="442">
        <v>47983</v>
      </c>
      <c r="S80" s="442" t="s">
        <v>648</v>
      </c>
      <c r="T80" s="442" t="s">
        <v>648</v>
      </c>
      <c r="U80" s="442">
        <v>49497</v>
      </c>
      <c r="V80" s="442">
        <v>49497</v>
      </c>
      <c r="W80" s="447" t="s">
        <v>672</v>
      </c>
    </row>
    <row r="81" spans="1:23" s="442" customFormat="1" ht="9.75" customHeight="1" x14ac:dyDescent="0.15">
      <c r="A81" s="950" t="s">
        <v>767</v>
      </c>
      <c r="B81" s="442">
        <v>969199</v>
      </c>
      <c r="C81" s="442">
        <v>680446</v>
      </c>
      <c r="D81" s="442">
        <v>288753</v>
      </c>
      <c r="E81" s="442" t="s">
        <v>648</v>
      </c>
      <c r="F81" s="442" t="s">
        <v>648</v>
      </c>
      <c r="G81" s="442" t="s">
        <v>648</v>
      </c>
      <c r="H81" s="442">
        <v>1331381</v>
      </c>
      <c r="I81" s="442">
        <v>706988</v>
      </c>
      <c r="J81" s="442">
        <v>624393</v>
      </c>
      <c r="K81" s="442" t="s">
        <v>648</v>
      </c>
      <c r="L81" s="442">
        <v>2926721</v>
      </c>
      <c r="M81" s="442">
        <v>2897605</v>
      </c>
      <c r="N81" s="442">
        <v>2153681</v>
      </c>
      <c r="O81" s="442">
        <v>468571</v>
      </c>
      <c r="P81" s="442">
        <v>134555</v>
      </c>
      <c r="Q81" s="442">
        <v>140798</v>
      </c>
      <c r="R81" s="442" t="s">
        <v>648</v>
      </c>
      <c r="S81" s="442" t="s">
        <v>648</v>
      </c>
      <c r="T81" s="442" t="s">
        <v>648</v>
      </c>
      <c r="U81" s="442">
        <v>29116</v>
      </c>
      <c r="V81" s="442">
        <v>29116</v>
      </c>
      <c r="W81" s="447" t="s">
        <v>768</v>
      </c>
    </row>
    <row r="82" spans="1:23" s="442" customFormat="1" ht="6.75" customHeight="1" x14ac:dyDescent="0.15">
      <c r="A82" s="950"/>
      <c r="W82" s="447"/>
    </row>
    <row r="83" spans="1:23" s="442" customFormat="1" ht="9.75" customHeight="1" x14ac:dyDescent="0.15">
      <c r="A83" s="950" t="s">
        <v>799</v>
      </c>
      <c r="B83" s="442">
        <v>985750</v>
      </c>
      <c r="C83" s="442">
        <v>564206</v>
      </c>
      <c r="D83" s="442">
        <v>380119</v>
      </c>
      <c r="E83" s="442">
        <v>41425</v>
      </c>
      <c r="F83" s="442" t="s">
        <v>648</v>
      </c>
      <c r="G83" s="442" t="s">
        <v>648</v>
      </c>
      <c r="H83" s="442">
        <v>1127777</v>
      </c>
      <c r="I83" s="442">
        <v>638906</v>
      </c>
      <c r="J83" s="442">
        <v>488871</v>
      </c>
      <c r="K83" s="442" t="s">
        <v>648</v>
      </c>
      <c r="L83" s="442">
        <v>3013692</v>
      </c>
      <c r="M83" s="442">
        <v>2935218</v>
      </c>
      <c r="N83" s="442">
        <v>2230618</v>
      </c>
      <c r="O83" s="442">
        <v>463492</v>
      </c>
      <c r="P83" s="442">
        <v>193125</v>
      </c>
      <c r="Q83" s="442" t="s">
        <v>648</v>
      </c>
      <c r="R83" s="442">
        <v>47983</v>
      </c>
      <c r="S83" s="442" t="s">
        <v>648</v>
      </c>
      <c r="T83" s="442" t="s">
        <v>648</v>
      </c>
      <c r="U83" s="442">
        <v>78474</v>
      </c>
      <c r="V83" s="442">
        <v>78474</v>
      </c>
      <c r="W83" s="447" t="s">
        <v>673</v>
      </c>
    </row>
    <row r="84" spans="1:23" s="442" customFormat="1" ht="9.75" customHeight="1" x14ac:dyDescent="0.15">
      <c r="A84" s="950" t="s">
        <v>800</v>
      </c>
      <c r="B84" s="442">
        <v>899820</v>
      </c>
      <c r="C84" s="442">
        <v>514622</v>
      </c>
      <c r="D84" s="442">
        <v>385198</v>
      </c>
      <c r="E84" s="442" t="s">
        <v>648</v>
      </c>
      <c r="F84" s="442" t="s">
        <v>648</v>
      </c>
      <c r="G84" s="442" t="s">
        <v>648</v>
      </c>
      <c r="H84" s="442">
        <v>1189761</v>
      </c>
      <c r="I84" s="442">
        <v>604514</v>
      </c>
      <c r="J84" s="442">
        <v>585247</v>
      </c>
      <c r="K84" s="442" t="s">
        <v>648</v>
      </c>
      <c r="L84" s="442">
        <v>2800701</v>
      </c>
      <c r="M84" s="442">
        <v>2800586</v>
      </c>
      <c r="N84" s="442">
        <v>2143129</v>
      </c>
      <c r="O84" s="442">
        <v>382104</v>
      </c>
      <c r="P84" s="442">
        <v>134555</v>
      </c>
      <c r="Q84" s="442">
        <v>140798</v>
      </c>
      <c r="R84" s="442" t="s">
        <v>648</v>
      </c>
      <c r="S84" s="442" t="s">
        <v>648</v>
      </c>
      <c r="T84" s="442" t="s">
        <v>648</v>
      </c>
      <c r="U84" s="442">
        <v>115</v>
      </c>
      <c r="V84" s="442">
        <v>115</v>
      </c>
      <c r="W84" s="447" t="s">
        <v>771</v>
      </c>
    </row>
    <row r="85" spans="1:23" s="442" customFormat="1" ht="6.75" customHeight="1" x14ac:dyDescent="0.15">
      <c r="A85" s="950"/>
      <c r="W85" s="447"/>
    </row>
    <row r="86" spans="1:23" s="442" customFormat="1" ht="9.75" customHeight="1" x14ac:dyDescent="0.15">
      <c r="A86" s="950" t="s">
        <v>772</v>
      </c>
      <c r="B86" s="442">
        <v>165824</v>
      </c>
      <c r="C86" s="442">
        <v>165824</v>
      </c>
      <c r="D86" s="442" t="s">
        <v>648</v>
      </c>
      <c r="E86" s="442" t="s">
        <v>648</v>
      </c>
      <c r="F86" s="442" t="s">
        <v>648</v>
      </c>
      <c r="G86" s="442" t="s">
        <v>648</v>
      </c>
      <c r="H86" s="442">
        <v>321915</v>
      </c>
      <c r="I86" s="442">
        <v>203712</v>
      </c>
      <c r="J86" s="442">
        <v>118203</v>
      </c>
      <c r="K86" s="442" t="s">
        <v>648</v>
      </c>
      <c r="L86" s="442">
        <v>433908</v>
      </c>
      <c r="M86" s="442">
        <v>404884</v>
      </c>
      <c r="N86" s="442">
        <v>318417</v>
      </c>
      <c r="O86" s="442">
        <v>86467</v>
      </c>
      <c r="P86" s="442" t="s">
        <v>648</v>
      </c>
      <c r="Q86" s="442" t="s">
        <v>648</v>
      </c>
      <c r="R86" s="442" t="s">
        <v>648</v>
      </c>
      <c r="S86" s="442" t="s">
        <v>648</v>
      </c>
      <c r="T86" s="442" t="s">
        <v>648</v>
      </c>
      <c r="U86" s="442">
        <v>29024</v>
      </c>
      <c r="V86" s="442">
        <v>29024</v>
      </c>
      <c r="W86" s="447" t="s">
        <v>674</v>
      </c>
    </row>
    <row r="87" spans="1:23" s="442" customFormat="1" ht="9.75" customHeight="1" x14ac:dyDescent="0.15">
      <c r="A87" s="950" t="s">
        <v>773</v>
      </c>
      <c r="B87" s="442">
        <v>262306</v>
      </c>
      <c r="C87" s="442">
        <v>119263</v>
      </c>
      <c r="D87" s="442">
        <v>143043</v>
      </c>
      <c r="E87" s="442" t="s">
        <v>648</v>
      </c>
      <c r="F87" s="442" t="s">
        <v>648</v>
      </c>
      <c r="G87" s="442" t="s">
        <v>648</v>
      </c>
      <c r="H87" s="442">
        <v>326376</v>
      </c>
      <c r="I87" s="442">
        <v>159001</v>
      </c>
      <c r="J87" s="442">
        <v>167375</v>
      </c>
      <c r="K87" s="442" t="s">
        <v>648</v>
      </c>
      <c r="L87" s="442">
        <v>1298968</v>
      </c>
      <c r="M87" s="442">
        <v>1298945</v>
      </c>
      <c r="N87" s="442">
        <v>735916</v>
      </c>
      <c r="O87" s="442">
        <v>335671</v>
      </c>
      <c r="P87" s="442">
        <v>134555</v>
      </c>
      <c r="Q87" s="442">
        <v>92803</v>
      </c>
      <c r="R87" s="442" t="s">
        <v>648</v>
      </c>
      <c r="S87" s="442" t="s">
        <v>648</v>
      </c>
      <c r="T87" s="442" t="s">
        <v>648</v>
      </c>
      <c r="U87" s="442">
        <v>23</v>
      </c>
      <c r="V87" s="442">
        <v>23</v>
      </c>
      <c r="W87" s="447" t="s">
        <v>92</v>
      </c>
    </row>
    <row r="88" spans="1:23" s="442" customFormat="1" ht="9.75" customHeight="1" x14ac:dyDescent="0.15">
      <c r="A88" s="950" t="s">
        <v>774</v>
      </c>
      <c r="B88" s="442">
        <v>147933</v>
      </c>
      <c r="C88" s="442">
        <v>147933</v>
      </c>
      <c r="D88" s="442" t="s">
        <v>648</v>
      </c>
      <c r="E88" s="442" t="s">
        <v>648</v>
      </c>
      <c r="F88" s="442" t="s">
        <v>648</v>
      </c>
      <c r="G88" s="442" t="s">
        <v>648</v>
      </c>
      <c r="H88" s="442">
        <v>203187</v>
      </c>
      <c r="I88" s="442">
        <v>77916</v>
      </c>
      <c r="J88" s="442">
        <v>125271</v>
      </c>
      <c r="K88" s="442" t="s">
        <v>648</v>
      </c>
      <c r="L88" s="442">
        <v>828062</v>
      </c>
      <c r="M88" s="442">
        <v>828016</v>
      </c>
      <c r="N88" s="442">
        <v>733588</v>
      </c>
      <c r="O88" s="442">
        <v>46433</v>
      </c>
      <c r="P88" s="442" t="s">
        <v>648</v>
      </c>
      <c r="Q88" s="442">
        <v>47995</v>
      </c>
      <c r="R88" s="442" t="s">
        <v>648</v>
      </c>
      <c r="S88" s="442" t="s">
        <v>648</v>
      </c>
      <c r="T88" s="442" t="s">
        <v>648</v>
      </c>
      <c r="U88" s="442">
        <v>46</v>
      </c>
      <c r="V88" s="442">
        <v>46</v>
      </c>
      <c r="W88" s="447" t="s">
        <v>93</v>
      </c>
    </row>
    <row r="89" spans="1:23" s="442" customFormat="1" ht="9.75" customHeight="1" x14ac:dyDescent="0.15">
      <c r="A89" s="950" t="s">
        <v>801</v>
      </c>
      <c r="B89" s="442">
        <v>393136</v>
      </c>
      <c r="C89" s="442">
        <v>247426</v>
      </c>
      <c r="D89" s="442">
        <v>145710</v>
      </c>
      <c r="E89" s="442" t="s">
        <v>648</v>
      </c>
      <c r="F89" s="442" t="s">
        <v>648</v>
      </c>
      <c r="G89" s="442" t="s">
        <v>648</v>
      </c>
      <c r="H89" s="442">
        <v>479903</v>
      </c>
      <c r="I89" s="442">
        <v>266359</v>
      </c>
      <c r="J89" s="442">
        <v>213544</v>
      </c>
      <c r="K89" s="442" t="s">
        <v>648</v>
      </c>
      <c r="L89" s="442">
        <v>365783</v>
      </c>
      <c r="M89" s="442">
        <v>365760</v>
      </c>
      <c r="N89" s="442">
        <v>365760</v>
      </c>
      <c r="O89" s="442" t="s">
        <v>648</v>
      </c>
      <c r="P89" s="442" t="s">
        <v>648</v>
      </c>
      <c r="Q89" s="442" t="s">
        <v>648</v>
      </c>
      <c r="R89" s="442" t="s">
        <v>648</v>
      </c>
      <c r="S89" s="442" t="s">
        <v>648</v>
      </c>
      <c r="T89" s="442" t="s">
        <v>648</v>
      </c>
      <c r="U89" s="442">
        <v>23</v>
      </c>
      <c r="V89" s="442">
        <v>23</v>
      </c>
      <c r="W89" s="447" t="s">
        <v>94</v>
      </c>
    </row>
    <row r="90" spans="1:23" s="442" customFormat="1" ht="9.75" customHeight="1" x14ac:dyDescent="0.15">
      <c r="A90" s="950" t="s">
        <v>809</v>
      </c>
      <c r="B90" s="442">
        <v>96445</v>
      </c>
      <c r="C90" s="442" t="s">
        <v>648</v>
      </c>
      <c r="D90" s="442">
        <v>96445</v>
      </c>
      <c r="E90" s="442" t="s">
        <v>648</v>
      </c>
      <c r="F90" s="442" t="s">
        <v>648</v>
      </c>
      <c r="G90" s="442" t="s">
        <v>648</v>
      </c>
      <c r="H90" s="442">
        <v>180295</v>
      </c>
      <c r="I90" s="442">
        <v>101238</v>
      </c>
      <c r="J90" s="442">
        <v>79057</v>
      </c>
      <c r="K90" s="442" t="s">
        <v>648</v>
      </c>
      <c r="L90" s="442">
        <v>307888</v>
      </c>
      <c r="M90" s="442">
        <v>307865</v>
      </c>
      <c r="N90" s="442">
        <v>307865</v>
      </c>
      <c r="O90" s="442" t="s">
        <v>648</v>
      </c>
      <c r="P90" s="442" t="s">
        <v>648</v>
      </c>
      <c r="Q90" s="442" t="s">
        <v>648</v>
      </c>
      <c r="R90" s="442" t="s">
        <v>648</v>
      </c>
      <c r="S90" s="442" t="s">
        <v>648</v>
      </c>
      <c r="T90" s="442" t="s">
        <v>648</v>
      </c>
      <c r="U90" s="442">
        <v>23</v>
      </c>
      <c r="V90" s="442">
        <v>23</v>
      </c>
      <c r="W90" s="447" t="s">
        <v>777</v>
      </c>
    </row>
    <row r="91" spans="1:23" s="442" customFormat="1" ht="6.75" customHeight="1" x14ac:dyDescent="0.15">
      <c r="A91" s="950"/>
      <c r="W91" s="447"/>
    </row>
    <row r="92" spans="1:23" s="442" customFormat="1" ht="9.75" customHeight="1" x14ac:dyDescent="0.15">
      <c r="A92" s="950" t="s">
        <v>778</v>
      </c>
      <c r="B92" s="442">
        <v>49371</v>
      </c>
      <c r="C92" s="442">
        <v>49371</v>
      </c>
      <c r="D92" s="442" t="s">
        <v>648</v>
      </c>
      <c r="E92" s="442" t="s">
        <v>648</v>
      </c>
      <c r="F92" s="442" t="s">
        <v>648</v>
      </c>
      <c r="G92" s="442" t="s">
        <v>648</v>
      </c>
      <c r="H92" s="442">
        <v>147039</v>
      </c>
      <c r="I92" s="442">
        <v>104379</v>
      </c>
      <c r="J92" s="442">
        <v>42660</v>
      </c>
      <c r="K92" s="442" t="s">
        <v>648</v>
      </c>
      <c r="L92" s="442">
        <v>106852</v>
      </c>
      <c r="M92" s="442">
        <v>106852</v>
      </c>
      <c r="N92" s="442">
        <v>63437</v>
      </c>
      <c r="O92" s="442">
        <v>43415</v>
      </c>
      <c r="P92" s="442" t="s">
        <v>648</v>
      </c>
      <c r="Q92" s="442" t="s">
        <v>648</v>
      </c>
      <c r="R92" s="442" t="s">
        <v>648</v>
      </c>
      <c r="S92" s="442" t="s">
        <v>648</v>
      </c>
      <c r="T92" s="442" t="s">
        <v>648</v>
      </c>
      <c r="U92" s="442" t="s">
        <v>648</v>
      </c>
      <c r="V92" s="442" t="s">
        <v>648</v>
      </c>
      <c r="W92" s="447" t="s">
        <v>675</v>
      </c>
    </row>
    <row r="93" spans="1:23" s="442" customFormat="1" ht="9.75" customHeight="1" x14ac:dyDescent="0.15">
      <c r="A93" s="950" t="s">
        <v>779</v>
      </c>
      <c r="B93" s="442">
        <v>116453</v>
      </c>
      <c r="C93" s="442">
        <v>116453</v>
      </c>
      <c r="D93" s="442" t="s">
        <v>648</v>
      </c>
      <c r="E93" s="442" t="s">
        <v>648</v>
      </c>
      <c r="F93" s="442" t="s">
        <v>648</v>
      </c>
      <c r="G93" s="442" t="s">
        <v>648</v>
      </c>
      <c r="H93" s="442">
        <v>30051</v>
      </c>
      <c r="I93" s="442" t="s">
        <v>648</v>
      </c>
      <c r="J93" s="442">
        <v>30051</v>
      </c>
      <c r="K93" s="442" t="s">
        <v>648</v>
      </c>
      <c r="L93" s="442">
        <v>151103</v>
      </c>
      <c r="M93" s="442">
        <v>122079</v>
      </c>
      <c r="N93" s="442">
        <v>115119</v>
      </c>
      <c r="O93" s="442">
        <v>6960</v>
      </c>
      <c r="P93" s="442" t="s">
        <v>648</v>
      </c>
      <c r="Q93" s="442" t="s">
        <v>648</v>
      </c>
      <c r="R93" s="442" t="s">
        <v>648</v>
      </c>
      <c r="S93" s="442" t="s">
        <v>648</v>
      </c>
      <c r="T93" s="442" t="s">
        <v>648</v>
      </c>
      <c r="U93" s="442">
        <v>29024</v>
      </c>
      <c r="V93" s="442">
        <v>29024</v>
      </c>
      <c r="W93" s="447" t="s">
        <v>80</v>
      </c>
    </row>
    <row r="94" spans="1:23" s="442" customFormat="1" ht="9.75" customHeight="1" x14ac:dyDescent="0.15">
      <c r="A94" s="950" t="s">
        <v>780</v>
      </c>
      <c r="B94" s="442" t="s">
        <v>648</v>
      </c>
      <c r="C94" s="442" t="s">
        <v>648</v>
      </c>
      <c r="D94" s="442" t="s">
        <v>648</v>
      </c>
      <c r="E94" s="442" t="s">
        <v>648</v>
      </c>
      <c r="F94" s="442" t="s">
        <v>648</v>
      </c>
      <c r="G94" s="442" t="s">
        <v>648</v>
      </c>
      <c r="H94" s="442">
        <v>144825</v>
      </c>
      <c r="I94" s="442">
        <v>99333</v>
      </c>
      <c r="J94" s="442">
        <v>45492</v>
      </c>
      <c r="K94" s="442" t="s">
        <v>648</v>
      </c>
      <c r="L94" s="442">
        <v>175953</v>
      </c>
      <c r="M94" s="442">
        <v>175953</v>
      </c>
      <c r="N94" s="442">
        <v>139861</v>
      </c>
      <c r="O94" s="442">
        <v>36092</v>
      </c>
      <c r="P94" s="442" t="s">
        <v>648</v>
      </c>
      <c r="Q94" s="442" t="s">
        <v>648</v>
      </c>
      <c r="R94" s="442" t="s">
        <v>648</v>
      </c>
      <c r="S94" s="442" t="s">
        <v>648</v>
      </c>
      <c r="T94" s="442" t="s">
        <v>648</v>
      </c>
      <c r="U94" s="442" t="s">
        <v>648</v>
      </c>
      <c r="V94" s="442" t="s">
        <v>648</v>
      </c>
      <c r="W94" s="447" t="s">
        <v>81</v>
      </c>
    </row>
    <row r="95" spans="1:23" s="442" customFormat="1" ht="9.75" customHeight="1" x14ac:dyDescent="0.15">
      <c r="A95" s="950" t="s">
        <v>781</v>
      </c>
      <c r="B95" s="442">
        <v>140567</v>
      </c>
      <c r="C95" s="442">
        <v>89556</v>
      </c>
      <c r="D95" s="442">
        <v>51011</v>
      </c>
      <c r="E95" s="442" t="s">
        <v>648</v>
      </c>
      <c r="F95" s="442" t="s">
        <v>648</v>
      </c>
      <c r="G95" s="442" t="s">
        <v>648</v>
      </c>
      <c r="H95" s="442">
        <v>120894</v>
      </c>
      <c r="I95" s="442">
        <v>66536</v>
      </c>
      <c r="J95" s="442">
        <v>54358</v>
      </c>
      <c r="K95" s="442" t="s">
        <v>648</v>
      </c>
      <c r="L95" s="442">
        <v>318267</v>
      </c>
      <c r="M95" s="442">
        <v>318267</v>
      </c>
      <c r="N95" s="442">
        <v>164975</v>
      </c>
      <c r="O95" s="442">
        <v>108025</v>
      </c>
      <c r="P95" s="442" t="s">
        <v>648</v>
      </c>
      <c r="Q95" s="442">
        <v>45267</v>
      </c>
      <c r="R95" s="442" t="s">
        <v>648</v>
      </c>
      <c r="S95" s="442" t="s">
        <v>648</v>
      </c>
      <c r="T95" s="442" t="s">
        <v>648</v>
      </c>
      <c r="U95" s="442" t="s">
        <v>648</v>
      </c>
      <c r="V95" s="442" t="s">
        <v>648</v>
      </c>
      <c r="W95" s="447" t="s">
        <v>82</v>
      </c>
    </row>
    <row r="96" spans="1:23" s="442" customFormat="1" ht="9.75" customHeight="1" x14ac:dyDescent="0.15">
      <c r="A96" s="950" t="s">
        <v>782</v>
      </c>
      <c r="B96" s="442">
        <v>73714</v>
      </c>
      <c r="C96" s="442">
        <v>29707</v>
      </c>
      <c r="D96" s="442">
        <v>44007</v>
      </c>
      <c r="E96" s="442" t="s">
        <v>648</v>
      </c>
      <c r="F96" s="442" t="s">
        <v>648</v>
      </c>
      <c r="G96" s="442" t="s">
        <v>648</v>
      </c>
      <c r="H96" s="442">
        <v>131870</v>
      </c>
      <c r="I96" s="442">
        <v>65333</v>
      </c>
      <c r="J96" s="442">
        <v>66537</v>
      </c>
      <c r="K96" s="442" t="s">
        <v>648</v>
      </c>
      <c r="L96" s="442">
        <v>558739</v>
      </c>
      <c r="M96" s="442">
        <v>558716</v>
      </c>
      <c r="N96" s="442">
        <v>320378</v>
      </c>
      <c r="O96" s="442">
        <v>163135</v>
      </c>
      <c r="P96" s="442">
        <v>75203</v>
      </c>
      <c r="Q96" s="442" t="s">
        <v>648</v>
      </c>
      <c r="R96" s="442" t="s">
        <v>648</v>
      </c>
      <c r="S96" s="442" t="s">
        <v>648</v>
      </c>
      <c r="T96" s="442" t="s">
        <v>648</v>
      </c>
      <c r="U96" s="442">
        <v>23</v>
      </c>
      <c r="V96" s="442">
        <v>23</v>
      </c>
      <c r="W96" s="447" t="s">
        <v>95</v>
      </c>
    </row>
    <row r="97" spans="1:23" s="442" customFormat="1" ht="9.75" customHeight="1" x14ac:dyDescent="0.15">
      <c r="A97" s="950" t="s">
        <v>783</v>
      </c>
      <c r="B97" s="442">
        <v>48025</v>
      </c>
      <c r="C97" s="442" t="s">
        <v>648</v>
      </c>
      <c r="D97" s="442">
        <v>48025</v>
      </c>
      <c r="E97" s="442" t="s">
        <v>648</v>
      </c>
      <c r="F97" s="442" t="s">
        <v>648</v>
      </c>
      <c r="G97" s="442" t="s">
        <v>648</v>
      </c>
      <c r="H97" s="442">
        <v>73612</v>
      </c>
      <c r="I97" s="442">
        <v>27132</v>
      </c>
      <c r="J97" s="442">
        <v>46480</v>
      </c>
      <c r="K97" s="442" t="s">
        <v>648</v>
      </c>
      <c r="L97" s="442">
        <v>421962</v>
      </c>
      <c r="M97" s="442">
        <v>421962</v>
      </c>
      <c r="N97" s="442">
        <v>250563</v>
      </c>
      <c r="O97" s="442">
        <v>64511</v>
      </c>
      <c r="P97" s="442">
        <v>59352</v>
      </c>
      <c r="Q97" s="442">
        <v>47536</v>
      </c>
      <c r="R97" s="442" t="s">
        <v>648</v>
      </c>
      <c r="S97" s="442" t="s">
        <v>648</v>
      </c>
      <c r="T97" s="442" t="s">
        <v>648</v>
      </c>
      <c r="U97" s="442" t="s">
        <v>648</v>
      </c>
      <c r="V97" s="442" t="s">
        <v>648</v>
      </c>
      <c r="W97" s="447" t="s">
        <v>96</v>
      </c>
    </row>
    <row r="98" spans="1:23" s="442" customFormat="1" ht="9.75" customHeight="1" x14ac:dyDescent="0.15">
      <c r="A98" s="950" t="s">
        <v>784</v>
      </c>
      <c r="B98" s="442" t="s">
        <v>648</v>
      </c>
      <c r="C98" s="442" t="s">
        <v>648</v>
      </c>
      <c r="D98" s="442" t="s">
        <v>648</v>
      </c>
      <c r="E98" s="442" t="s">
        <v>648</v>
      </c>
      <c r="F98" s="442" t="s">
        <v>648</v>
      </c>
      <c r="G98" s="442" t="s">
        <v>648</v>
      </c>
      <c r="H98" s="442">
        <v>75930</v>
      </c>
      <c r="I98" s="442" t="s">
        <v>648</v>
      </c>
      <c r="J98" s="442">
        <v>75930</v>
      </c>
      <c r="K98" s="442" t="s">
        <v>648</v>
      </c>
      <c r="L98" s="442">
        <v>352973</v>
      </c>
      <c r="M98" s="442">
        <v>352950</v>
      </c>
      <c r="N98" s="442">
        <v>269982</v>
      </c>
      <c r="O98" s="442">
        <v>34973</v>
      </c>
      <c r="P98" s="442" t="s">
        <v>648</v>
      </c>
      <c r="Q98" s="442">
        <v>47995</v>
      </c>
      <c r="R98" s="442" t="s">
        <v>648</v>
      </c>
      <c r="S98" s="442" t="s">
        <v>648</v>
      </c>
      <c r="T98" s="442" t="s">
        <v>648</v>
      </c>
      <c r="U98" s="442">
        <v>23</v>
      </c>
      <c r="V98" s="442">
        <v>23</v>
      </c>
      <c r="W98" s="447" t="s">
        <v>97</v>
      </c>
    </row>
    <row r="99" spans="1:23" s="442" customFormat="1" ht="9.75" customHeight="1" x14ac:dyDescent="0.15">
      <c r="A99" s="950" t="s">
        <v>806</v>
      </c>
      <c r="B99" s="442">
        <v>147933</v>
      </c>
      <c r="C99" s="442">
        <v>147933</v>
      </c>
      <c r="D99" s="442" t="s">
        <v>648</v>
      </c>
      <c r="E99" s="442" t="s">
        <v>648</v>
      </c>
      <c r="F99" s="442" t="s">
        <v>648</v>
      </c>
      <c r="G99" s="442" t="s">
        <v>648</v>
      </c>
      <c r="H99" s="442">
        <v>100929</v>
      </c>
      <c r="I99" s="442">
        <v>77916</v>
      </c>
      <c r="J99" s="442">
        <v>23013</v>
      </c>
      <c r="K99" s="442" t="s">
        <v>648</v>
      </c>
      <c r="L99" s="442">
        <v>257693</v>
      </c>
      <c r="M99" s="442">
        <v>257693</v>
      </c>
      <c r="N99" s="442">
        <v>257693</v>
      </c>
      <c r="O99" s="442" t="s">
        <v>648</v>
      </c>
      <c r="P99" s="442" t="s">
        <v>648</v>
      </c>
      <c r="Q99" s="442" t="s">
        <v>648</v>
      </c>
      <c r="R99" s="442" t="s">
        <v>648</v>
      </c>
      <c r="S99" s="442" t="s">
        <v>648</v>
      </c>
      <c r="T99" s="442" t="s">
        <v>648</v>
      </c>
      <c r="U99" s="442" t="s">
        <v>648</v>
      </c>
      <c r="V99" s="442" t="s">
        <v>648</v>
      </c>
      <c r="W99" s="447" t="s">
        <v>98</v>
      </c>
    </row>
    <row r="100" spans="1:23" s="442" customFormat="1" ht="9.75" customHeight="1" x14ac:dyDescent="0.15">
      <c r="A100" s="950" t="s">
        <v>786</v>
      </c>
      <c r="B100" s="442" t="s">
        <v>648</v>
      </c>
      <c r="C100" s="442" t="s">
        <v>648</v>
      </c>
      <c r="D100" s="442" t="s">
        <v>648</v>
      </c>
      <c r="E100" s="442" t="s">
        <v>648</v>
      </c>
      <c r="F100" s="442" t="s">
        <v>648</v>
      </c>
      <c r="G100" s="442" t="s">
        <v>648</v>
      </c>
      <c r="H100" s="442">
        <v>26328</v>
      </c>
      <c r="I100" s="442" t="s">
        <v>648</v>
      </c>
      <c r="J100" s="442">
        <v>26328</v>
      </c>
      <c r="K100" s="442" t="s">
        <v>648</v>
      </c>
      <c r="L100" s="442">
        <v>217396</v>
      </c>
      <c r="M100" s="442">
        <v>217373</v>
      </c>
      <c r="N100" s="442">
        <v>205913</v>
      </c>
      <c r="O100" s="442">
        <v>11460</v>
      </c>
      <c r="P100" s="442" t="s">
        <v>648</v>
      </c>
      <c r="Q100" s="442" t="s">
        <v>648</v>
      </c>
      <c r="R100" s="442" t="s">
        <v>648</v>
      </c>
      <c r="S100" s="442" t="s">
        <v>648</v>
      </c>
      <c r="T100" s="442" t="s">
        <v>648</v>
      </c>
      <c r="U100" s="442">
        <v>23</v>
      </c>
      <c r="V100" s="442">
        <v>23</v>
      </c>
      <c r="W100" s="447" t="s">
        <v>99</v>
      </c>
    </row>
    <row r="101" spans="1:23" s="442" customFormat="1" ht="9.75" customHeight="1" x14ac:dyDescent="0.15">
      <c r="A101" s="950" t="s">
        <v>807</v>
      </c>
      <c r="B101" s="442">
        <v>49816</v>
      </c>
      <c r="C101" s="442">
        <v>49816</v>
      </c>
      <c r="D101" s="442" t="s">
        <v>648</v>
      </c>
      <c r="E101" s="442" t="s">
        <v>648</v>
      </c>
      <c r="F101" s="442" t="s">
        <v>648</v>
      </c>
      <c r="G101" s="442" t="s">
        <v>648</v>
      </c>
      <c r="H101" s="442">
        <v>227560</v>
      </c>
      <c r="I101" s="442">
        <v>131946</v>
      </c>
      <c r="J101" s="442">
        <v>95614</v>
      </c>
      <c r="K101" s="442" t="s">
        <v>648</v>
      </c>
      <c r="L101" s="442">
        <v>173784</v>
      </c>
      <c r="M101" s="442">
        <v>173761</v>
      </c>
      <c r="N101" s="442">
        <v>173761</v>
      </c>
      <c r="O101" s="442" t="s">
        <v>648</v>
      </c>
      <c r="P101" s="442" t="s">
        <v>648</v>
      </c>
      <c r="Q101" s="442" t="s">
        <v>648</v>
      </c>
      <c r="R101" s="442" t="s">
        <v>648</v>
      </c>
      <c r="S101" s="442" t="s">
        <v>648</v>
      </c>
      <c r="T101" s="442" t="s">
        <v>648</v>
      </c>
      <c r="U101" s="442">
        <v>23</v>
      </c>
      <c r="V101" s="442">
        <v>23</v>
      </c>
      <c r="W101" s="447" t="s">
        <v>83</v>
      </c>
    </row>
    <row r="102" spans="1:23" s="442" customFormat="1" ht="9.75" customHeight="1" x14ac:dyDescent="0.15">
      <c r="A102" s="950" t="s">
        <v>788</v>
      </c>
      <c r="B102" s="442">
        <v>176192</v>
      </c>
      <c r="C102" s="442">
        <v>128481</v>
      </c>
      <c r="D102" s="442">
        <v>47711</v>
      </c>
      <c r="E102" s="442" t="s">
        <v>648</v>
      </c>
      <c r="F102" s="442" t="s">
        <v>648</v>
      </c>
      <c r="G102" s="442" t="s">
        <v>648</v>
      </c>
      <c r="H102" s="442">
        <v>134413</v>
      </c>
      <c r="I102" s="442">
        <v>134413</v>
      </c>
      <c r="J102" s="442" t="s">
        <v>648</v>
      </c>
      <c r="K102" s="442" t="s">
        <v>648</v>
      </c>
      <c r="L102" s="442">
        <v>73048</v>
      </c>
      <c r="M102" s="442">
        <v>73048</v>
      </c>
      <c r="N102" s="442">
        <v>73048</v>
      </c>
      <c r="O102" s="442" t="s">
        <v>648</v>
      </c>
      <c r="P102" s="442" t="s">
        <v>648</v>
      </c>
      <c r="Q102" s="442" t="s">
        <v>648</v>
      </c>
      <c r="R102" s="442" t="s">
        <v>648</v>
      </c>
      <c r="S102" s="442" t="s">
        <v>648</v>
      </c>
      <c r="T102" s="442" t="s">
        <v>648</v>
      </c>
      <c r="U102" s="442" t="s">
        <v>648</v>
      </c>
      <c r="V102" s="442" t="s">
        <v>648</v>
      </c>
      <c r="W102" s="447" t="s">
        <v>84</v>
      </c>
    </row>
    <row r="103" spans="1:23" s="442" customFormat="1" ht="9.75" customHeight="1" x14ac:dyDescent="0.15">
      <c r="A103" s="950" t="s">
        <v>789</v>
      </c>
      <c r="B103" s="442">
        <v>167128</v>
      </c>
      <c r="C103" s="442">
        <v>69129</v>
      </c>
      <c r="D103" s="442">
        <v>97999</v>
      </c>
      <c r="E103" s="442" t="s">
        <v>648</v>
      </c>
      <c r="F103" s="442" t="s">
        <v>648</v>
      </c>
      <c r="G103" s="442" t="s">
        <v>648</v>
      </c>
      <c r="H103" s="442">
        <v>117930</v>
      </c>
      <c r="I103" s="442" t="s">
        <v>648</v>
      </c>
      <c r="J103" s="442">
        <v>117930</v>
      </c>
      <c r="K103" s="442" t="s">
        <v>648</v>
      </c>
      <c r="L103" s="442">
        <v>118951</v>
      </c>
      <c r="M103" s="442">
        <v>118951</v>
      </c>
      <c r="N103" s="442">
        <v>118951</v>
      </c>
      <c r="O103" s="442" t="s">
        <v>648</v>
      </c>
      <c r="P103" s="442" t="s">
        <v>648</v>
      </c>
      <c r="Q103" s="442" t="s">
        <v>648</v>
      </c>
      <c r="R103" s="442" t="s">
        <v>648</v>
      </c>
      <c r="S103" s="442" t="s">
        <v>648</v>
      </c>
      <c r="T103" s="442" t="s">
        <v>648</v>
      </c>
      <c r="U103" s="442" t="s">
        <v>648</v>
      </c>
      <c r="V103" s="442" t="s">
        <v>648</v>
      </c>
      <c r="W103" s="447" t="s">
        <v>85</v>
      </c>
    </row>
    <row r="104" spans="1:23" s="442" customFormat="1" ht="9.75" customHeight="1" x14ac:dyDescent="0.15">
      <c r="A104" s="950" t="s">
        <v>790</v>
      </c>
      <c r="B104" s="442">
        <v>96445</v>
      </c>
      <c r="C104" s="442" t="s">
        <v>648</v>
      </c>
      <c r="D104" s="442">
        <v>96445</v>
      </c>
      <c r="E104" s="442" t="s">
        <v>648</v>
      </c>
      <c r="F104" s="442" t="s">
        <v>648</v>
      </c>
      <c r="G104" s="442" t="s">
        <v>648</v>
      </c>
      <c r="H104" s="442">
        <v>79372</v>
      </c>
      <c r="I104" s="442">
        <v>50976</v>
      </c>
      <c r="J104" s="442">
        <v>28396</v>
      </c>
      <c r="K104" s="442" t="s">
        <v>648</v>
      </c>
      <c r="L104" s="442">
        <v>120003</v>
      </c>
      <c r="M104" s="442">
        <v>120003</v>
      </c>
      <c r="N104" s="442">
        <v>120003</v>
      </c>
      <c r="O104" s="442" t="s">
        <v>648</v>
      </c>
      <c r="P104" s="442" t="s">
        <v>648</v>
      </c>
      <c r="Q104" s="442" t="s">
        <v>648</v>
      </c>
      <c r="R104" s="442" t="s">
        <v>648</v>
      </c>
      <c r="S104" s="442" t="s">
        <v>648</v>
      </c>
      <c r="T104" s="442" t="s">
        <v>648</v>
      </c>
      <c r="U104" s="442" t="s">
        <v>648</v>
      </c>
      <c r="V104" s="442" t="s">
        <v>648</v>
      </c>
      <c r="W104" s="447" t="s">
        <v>791</v>
      </c>
    </row>
    <row r="105" spans="1:23" s="442" customFormat="1" ht="9.75" customHeight="1" x14ac:dyDescent="0.15">
      <c r="A105" s="950" t="s">
        <v>792</v>
      </c>
      <c r="B105" s="442" t="s">
        <v>648</v>
      </c>
      <c r="C105" s="442" t="s">
        <v>648</v>
      </c>
      <c r="D105" s="442" t="s">
        <v>648</v>
      </c>
      <c r="E105" s="442" t="s">
        <v>648</v>
      </c>
      <c r="F105" s="442" t="s">
        <v>648</v>
      </c>
      <c r="G105" s="442" t="s">
        <v>648</v>
      </c>
      <c r="H105" s="442">
        <v>59715</v>
      </c>
      <c r="I105" s="442">
        <v>50262</v>
      </c>
      <c r="J105" s="442">
        <v>9453</v>
      </c>
      <c r="K105" s="442" t="s">
        <v>648</v>
      </c>
      <c r="L105" s="442">
        <v>126904</v>
      </c>
      <c r="M105" s="442">
        <v>126881</v>
      </c>
      <c r="N105" s="442">
        <v>126881</v>
      </c>
      <c r="O105" s="442" t="s">
        <v>648</v>
      </c>
      <c r="P105" s="442" t="s">
        <v>648</v>
      </c>
      <c r="Q105" s="442" t="s">
        <v>648</v>
      </c>
      <c r="R105" s="442" t="s">
        <v>648</v>
      </c>
      <c r="S105" s="442" t="s">
        <v>648</v>
      </c>
      <c r="T105" s="442" t="s">
        <v>648</v>
      </c>
      <c r="U105" s="442">
        <v>23</v>
      </c>
      <c r="V105" s="442">
        <v>23</v>
      </c>
      <c r="W105" s="447" t="s">
        <v>80</v>
      </c>
    </row>
    <row r="106" spans="1:23" s="442" customFormat="1" ht="9.75" customHeight="1" x14ac:dyDescent="0.15">
      <c r="A106" s="951" t="s">
        <v>793</v>
      </c>
      <c r="B106" s="446" t="s">
        <v>648</v>
      </c>
      <c r="C106" s="445" t="s">
        <v>648</v>
      </c>
      <c r="D106" s="445" t="s">
        <v>648</v>
      </c>
      <c r="E106" s="445" t="s">
        <v>648</v>
      </c>
      <c r="F106" s="445" t="s">
        <v>648</v>
      </c>
      <c r="G106" s="445" t="s">
        <v>648</v>
      </c>
      <c r="H106" s="445">
        <v>41208</v>
      </c>
      <c r="I106" s="445" t="s">
        <v>648</v>
      </c>
      <c r="J106" s="445">
        <v>41208</v>
      </c>
      <c r="K106" s="445" t="s">
        <v>648</v>
      </c>
      <c r="L106" s="445">
        <v>60981</v>
      </c>
      <c r="M106" s="445">
        <v>60981</v>
      </c>
      <c r="N106" s="445">
        <v>60981</v>
      </c>
      <c r="O106" s="445" t="s">
        <v>648</v>
      </c>
      <c r="P106" s="445" t="s">
        <v>648</v>
      </c>
      <c r="Q106" s="445" t="s">
        <v>648</v>
      </c>
      <c r="R106" s="445" t="s">
        <v>648</v>
      </c>
      <c r="S106" s="445" t="s">
        <v>648</v>
      </c>
      <c r="T106" s="445" t="s">
        <v>648</v>
      </c>
      <c r="U106" s="445" t="s">
        <v>648</v>
      </c>
      <c r="V106" s="445" t="s">
        <v>648</v>
      </c>
      <c r="W106" s="443" t="s">
        <v>81</v>
      </c>
    </row>
    <row r="107" spans="1:23" ht="12" customHeight="1" x14ac:dyDescent="0.2"/>
    <row r="108" spans="1:23" ht="12" customHeight="1" x14ac:dyDescent="0.2"/>
    <row r="109" spans="1:23" ht="12" customHeight="1" x14ac:dyDescent="0.2">
      <c r="K109" s="457" t="s">
        <v>100</v>
      </c>
    </row>
    <row r="110" spans="1:23" s="453" customFormat="1" ht="21" customHeight="1" x14ac:dyDescent="0.2">
      <c r="A110" s="1089" t="s">
        <v>194</v>
      </c>
      <c r="B110" s="918" t="s">
        <v>346</v>
      </c>
      <c r="C110" s="455"/>
      <c r="D110" s="455"/>
      <c r="E110" s="455"/>
      <c r="F110" s="455"/>
      <c r="G110" s="455"/>
      <c r="H110" s="455"/>
      <c r="I110" s="455"/>
      <c r="J110" s="455"/>
      <c r="K110" s="455"/>
      <c r="L110" s="455"/>
      <c r="M110" s="455"/>
      <c r="N110" s="455"/>
      <c r="O110" s="455"/>
      <c r="P110" s="455"/>
      <c r="Q110" s="455"/>
      <c r="R110" s="455"/>
      <c r="S110" s="455"/>
      <c r="T110" s="455"/>
      <c r="U110" s="455"/>
      <c r="V110" s="455"/>
      <c r="W110" s="1092" t="s">
        <v>86</v>
      </c>
    </row>
    <row r="111" spans="1:23" s="453" customFormat="1" ht="21" customHeight="1" x14ac:dyDescent="0.2">
      <c r="A111" s="1090"/>
      <c r="B111" s="1095" t="s">
        <v>344</v>
      </c>
      <c r="C111" s="918" t="s">
        <v>297</v>
      </c>
      <c r="D111" s="455"/>
      <c r="E111" s="455"/>
      <c r="F111" s="455"/>
      <c r="G111" s="455"/>
      <c r="H111" s="455"/>
      <c r="I111" s="455"/>
      <c r="J111" s="455"/>
      <c r="K111" s="455"/>
      <c r="L111" s="455"/>
      <c r="M111" s="455"/>
      <c r="N111" s="455"/>
      <c r="O111" s="455"/>
      <c r="P111" s="455"/>
      <c r="Q111" s="455"/>
      <c r="R111" s="455"/>
      <c r="S111" s="455"/>
      <c r="T111" s="455"/>
      <c r="U111" s="455"/>
      <c r="V111" s="455"/>
      <c r="W111" s="1093"/>
    </row>
    <row r="112" spans="1:23" s="453" customFormat="1" ht="52.5" customHeight="1" x14ac:dyDescent="0.2">
      <c r="A112" s="1091"/>
      <c r="B112" s="1096"/>
      <c r="C112" s="920" t="s">
        <v>1096</v>
      </c>
      <c r="D112" s="454" t="s">
        <v>286</v>
      </c>
      <c r="E112" s="454" t="s">
        <v>1097</v>
      </c>
      <c r="F112" s="454" t="s">
        <v>307</v>
      </c>
      <c r="G112" s="454" t="s">
        <v>314</v>
      </c>
      <c r="H112" s="454" t="s">
        <v>313</v>
      </c>
      <c r="I112" s="454" t="s">
        <v>285</v>
      </c>
      <c r="J112" s="454" t="s">
        <v>284</v>
      </c>
      <c r="K112" s="454" t="s">
        <v>283</v>
      </c>
      <c r="L112" s="454" t="s">
        <v>342</v>
      </c>
      <c r="M112" s="454" t="s">
        <v>282</v>
      </c>
      <c r="N112" s="454" t="s">
        <v>318</v>
      </c>
      <c r="O112" s="454" t="s">
        <v>341</v>
      </c>
      <c r="P112" s="454" t="s">
        <v>340</v>
      </c>
      <c r="Q112" s="454" t="s">
        <v>295</v>
      </c>
      <c r="R112" s="454" t="s">
        <v>706</v>
      </c>
      <c r="S112" s="454" t="s">
        <v>294</v>
      </c>
      <c r="T112" s="454" t="s">
        <v>293</v>
      </c>
      <c r="U112" s="454" t="s">
        <v>292</v>
      </c>
      <c r="V112" s="458" t="s">
        <v>281</v>
      </c>
      <c r="W112" s="1094"/>
    </row>
    <row r="113" spans="1:23" s="442" customFormat="1" ht="9.75" customHeight="1" x14ac:dyDescent="0.15">
      <c r="A113" s="949" t="s">
        <v>763</v>
      </c>
      <c r="B113" s="452">
        <v>28277414</v>
      </c>
      <c r="C113" s="451">
        <v>23283726</v>
      </c>
      <c r="D113" s="451">
        <v>2934367</v>
      </c>
      <c r="E113" s="451">
        <v>19993</v>
      </c>
      <c r="F113" s="451" t="s">
        <v>648</v>
      </c>
      <c r="G113" s="451" t="s">
        <v>648</v>
      </c>
      <c r="H113" s="451">
        <v>238876</v>
      </c>
      <c r="I113" s="451">
        <v>34539</v>
      </c>
      <c r="J113" s="451">
        <v>190984</v>
      </c>
      <c r="K113" s="451" t="s">
        <v>648</v>
      </c>
      <c r="L113" s="451" t="s">
        <v>648</v>
      </c>
      <c r="M113" s="451">
        <v>153942</v>
      </c>
      <c r="N113" s="451">
        <v>3566930</v>
      </c>
      <c r="O113" s="451">
        <v>151822</v>
      </c>
      <c r="P113" s="451" t="s">
        <v>648</v>
      </c>
      <c r="Q113" s="451">
        <v>47297</v>
      </c>
      <c r="R113" s="451" t="s">
        <v>648</v>
      </c>
      <c r="S113" s="451">
        <v>922658</v>
      </c>
      <c r="T113" s="451">
        <v>2433902</v>
      </c>
      <c r="U113" s="451">
        <v>2981165</v>
      </c>
      <c r="V113" s="451">
        <v>4391097</v>
      </c>
      <c r="W113" s="449" t="s">
        <v>464</v>
      </c>
    </row>
    <row r="114" spans="1:23" s="442" customFormat="1" ht="9.75" customHeight="1" x14ac:dyDescent="0.15">
      <c r="A114" s="950" t="s">
        <v>764</v>
      </c>
      <c r="B114" s="442">
        <v>28329187</v>
      </c>
      <c r="C114" s="442">
        <v>23018009</v>
      </c>
      <c r="D114" s="442">
        <v>3574650</v>
      </c>
      <c r="E114" s="442">
        <v>27613</v>
      </c>
      <c r="F114" s="442" t="s">
        <v>648</v>
      </c>
      <c r="G114" s="442" t="s">
        <v>648</v>
      </c>
      <c r="H114" s="442">
        <v>232099</v>
      </c>
      <c r="I114" s="442">
        <v>39954</v>
      </c>
      <c r="J114" s="442">
        <v>65620</v>
      </c>
      <c r="K114" s="442" t="s">
        <v>648</v>
      </c>
      <c r="L114" s="442" t="s">
        <v>648</v>
      </c>
      <c r="M114" s="442">
        <v>18701</v>
      </c>
      <c r="N114" s="442">
        <v>1877785</v>
      </c>
      <c r="O114" s="442">
        <v>75598</v>
      </c>
      <c r="P114" s="442" t="s">
        <v>648</v>
      </c>
      <c r="Q114" s="442" t="s">
        <v>648</v>
      </c>
      <c r="R114" s="442" t="s">
        <v>648</v>
      </c>
      <c r="S114" s="442">
        <v>1382832</v>
      </c>
      <c r="T114" s="442">
        <v>1904538</v>
      </c>
      <c r="U114" s="442">
        <v>1982056</v>
      </c>
      <c r="V114" s="442">
        <v>5729861</v>
      </c>
      <c r="W114" s="447" t="s">
        <v>489</v>
      </c>
    </row>
    <row r="115" spans="1:23" s="442" customFormat="1" ht="9.75" customHeight="1" x14ac:dyDescent="0.15">
      <c r="A115" s="950" t="s">
        <v>765</v>
      </c>
      <c r="B115" s="442">
        <v>25968884</v>
      </c>
      <c r="C115" s="442">
        <v>20078695</v>
      </c>
      <c r="D115" s="442">
        <v>3372253</v>
      </c>
      <c r="E115" s="442" t="s">
        <v>648</v>
      </c>
      <c r="F115" s="442">
        <v>251122</v>
      </c>
      <c r="G115" s="442" t="s">
        <v>648</v>
      </c>
      <c r="H115" s="442">
        <v>195369</v>
      </c>
      <c r="I115" s="442">
        <v>82406</v>
      </c>
      <c r="J115" s="442">
        <v>208071</v>
      </c>
      <c r="K115" s="442" t="s">
        <v>648</v>
      </c>
      <c r="L115" s="442" t="s">
        <v>648</v>
      </c>
      <c r="M115" s="442">
        <v>15768</v>
      </c>
      <c r="N115" s="442">
        <v>1423988</v>
      </c>
      <c r="O115" s="442">
        <v>20107</v>
      </c>
      <c r="P115" s="442" t="s">
        <v>648</v>
      </c>
      <c r="Q115" s="442" t="s">
        <v>648</v>
      </c>
      <c r="R115" s="442" t="s">
        <v>648</v>
      </c>
      <c r="S115" s="442">
        <v>973185</v>
      </c>
      <c r="T115" s="442">
        <v>1759035</v>
      </c>
      <c r="U115" s="442">
        <v>1671365</v>
      </c>
      <c r="V115" s="442">
        <v>4840238</v>
      </c>
      <c r="W115" s="447" t="s">
        <v>549</v>
      </c>
    </row>
    <row r="116" spans="1:23" s="442" customFormat="1" ht="9.75" customHeight="1" x14ac:dyDescent="0.15">
      <c r="A116" s="950" t="s">
        <v>766</v>
      </c>
      <c r="B116" s="442">
        <v>27977796</v>
      </c>
      <c r="C116" s="442">
        <v>20364650</v>
      </c>
      <c r="D116" s="442">
        <v>2905201</v>
      </c>
      <c r="E116" s="442" t="s">
        <v>648</v>
      </c>
      <c r="F116" s="442">
        <v>82439</v>
      </c>
      <c r="G116" s="442">
        <v>26763</v>
      </c>
      <c r="H116" s="442">
        <v>91836</v>
      </c>
      <c r="I116" s="442">
        <v>94780</v>
      </c>
      <c r="J116" s="442">
        <v>326247</v>
      </c>
      <c r="K116" s="442">
        <v>122549</v>
      </c>
      <c r="L116" s="442">
        <v>21661</v>
      </c>
      <c r="M116" s="442" t="s">
        <v>648</v>
      </c>
      <c r="N116" s="442">
        <v>1882304</v>
      </c>
      <c r="O116" s="442">
        <v>14825</v>
      </c>
      <c r="P116" s="442">
        <v>30593</v>
      </c>
      <c r="Q116" s="442" t="s">
        <v>648</v>
      </c>
      <c r="R116" s="442">
        <v>91803</v>
      </c>
      <c r="S116" s="442">
        <v>939424</v>
      </c>
      <c r="T116" s="442">
        <v>1222091</v>
      </c>
      <c r="U116" s="442">
        <v>2044535</v>
      </c>
      <c r="V116" s="442">
        <v>5859243</v>
      </c>
      <c r="W116" s="447" t="s">
        <v>672</v>
      </c>
    </row>
    <row r="117" spans="1:23" s="442" customFormat="1" ht="9.75" customHeight="1" x14ac:dyDescent="0.15">
      <c r="A117" s="950" t="s">
        <v>767</v>
      </c>
      <c r="B117" s="442">
        <v>30646454</v>
      </c>
      <c r="C117" s="442">
        <v>22526998</v>
      </c>
      <c r="D117" s="442">
        <v>2645622</v>
      </c>
      <c r="E117" s="442" t="s">
        <v>648</v>
      </c>
      <c r="F117" s="442" t="s">
        <v>648</v>
      </c>
      <c r="G117" s="442" t="s">
        <v>648</v>
      </c>
      <c r="H117" s="442">
        <v>145148</v>
      </c>
      <c r="I117" s="442">
        <v>165342</v>
      </c>
      <c r="J117" s="442">
        <v>349319</v>
      </c>
      <c r="K117" s="442">
        <v>235299</v>
      </c>
      <c r="L117" s="442" t="s">
        <v>648</v>
      </c>
      <c r="M117" s="442" t="s">
        <v>648</v>
      </c>
      <c r="N117" s="442">
        <v>1562807</v>
      </c>
      <c r="O117" s="442" t="s">
        <v>648</v>
      </c>
      <c r="P117" s="442">
        <v>11553</v>
      </c>
      <c r="Q117" s="442" t="s">
        <v>648</v>
      </c>
      <c r="R117" s="442">
        <v>103033</v>
      </c>
      <c r="S117" s="442">
        <v>1268082</v>
      </c>
      <c r="T117" s="442">
        <v>2325577</v>
      </c>
      <c r="U117" s="442">
        <v>2172238</v>
      </c>
      <c r="V117" s="442">
        <v>5185461</v>
      </c>
      <c r="W117" s="447" t="s">
        <v>768</v>
      </c>
    </row>
    <row r="118" spans="1:23" s="442" customFormat="1" ht="6.75" customHeight="1" x14ac:dyDescent="0.15">
      <c r="A118" s="950"/>
      <c r="W118" s="447"/>
    </row>
    <row r="119" spans="1:23" s="442" customFormat="1" ht="9.75" customHeight="1" x14ac:dyDescent="0.15">
      <c r="A119" s="950" t="s">
        <v>799</v>
      </c>
      <c r="B119" s="442">
        <v>28852839</v>
      </c>
      <c r="C119" s="442">
        <v>20839503</v>
      </c>
      <c r="D119" s="442">
        <v>2737170</v>
      </c>
      <c r="E119" s="442" t="s">
        <v>648</v>
      </c>
      <c r="F119" s="442" t="s">
        <v>648</v>
      </c>
      <c r="G119" s="442" t="s">
        <v>648</v>
      </c>
      <c r="H119" s="442">
        <v>136608</v>
      </c>
      <c r="I119" s="442">
        <v>87793</v>
      </c>
      <c r="J119" s="442">
        <v>332747</v>
      </c>
      <c r="K119" s="442">
        <v>216879</v>
      </c>
      <c r="L119" s="442">
        <v>21661</v>
      </c>
      <c r="M119" s="442" t="s">
        <v>648</v>
      </c>
      <c r="N119" s="442">
        <v>1564394</v>
      </c>
      <c r="O119" s="442" t="s">
        <v>648</v>
      </c>
      <c r="P119" s="442">
        <v>21821</v>
      </c>
      <c r="Q119" s="442" t="s">
        <v>648</v>
      </c>
      <c r="R119" s="442">
        <v>91803</v>
      </c>
      <c r="S119" s="442">
        <v>1270160</v>
      </c>
      <c r="T119" s="442">
        <v>1456094</v>
      </c>
      <c r="U119" s="442">
        <v>2193662</v>
      </c>
      <c r="V119" s="442">
        <v>5938276</v>
      </c>
      <c r="W119" s="447" t="s">
        <v>673</v>
      </c>
    </row>
    <row r="120" spans="1:23" s="442" customFormat="1" ht="9.75" customHeight="1" x14ac:dyDescent="0.15">
      <c r="A120" s="950" t="s">
        <v>800</v>
      </c>
      <c r="B120" s="442">
        <v>29351002</v>
      </c>
      <c r="C120" s="442">
        <v>21714603</v>
      </c>
      <c r="D120" s="442">
        <v>2264135</v>
      </c>
      <c r="E120" s="442" t="s">
        <v>648</v>
      </c>
      <c r="F120" s="442" t="s">
        <v>648</v>
      </c>
      <c r="G120" s="442" t="s">
        <v>648</v>
      </c>
      <c r="H120" s="442">
        <v>100376</v>
      </c>
      <c r="I120" s="442">
        <v>320893</v>
      </c>
      <c r="J120" s="442">
        <v>368909</v>
      </c>
      <c r="K120" s="442">
        <v>140969</v>
      </c>
      <c r="L120" s="442" t="s">
        <v>648</v>
      </c>
      <c r="M120" s="442" t="s">
        <v>648</v>
      </c>
      <c r="N120" s="442">
        <v>1339458</v>
      </c>
      <c r="O120" s="442">
        <v>47987</v>
      </c>
      <c r="P120" s="442">
        <v>11553</v>
      </c>
      <c r="Q120" s="442" t="s">
        <v>648</v>
      </c>
      <c r="R120" s="442">
        <v>103033</v>
      </c>
      <c r="S120" s="442">
        <v>967926</v>
      </c>
      <c r="T120" s="442">
        <v>2413087</v>
      </c>
      <c r="U120" s="442">
        <v>2198620</v>
      </c>
      <c r="V120" s="442">
        <v>4726673</v>
      </c>
      <c r="W120" s="447" t="s">
        <v>771</v>
      </c>
    </row>
    <row r="121" spans="1:23" s="442" customFormat="1" ht="6.75" customHeight="1" x14ac:dyDescent="0.15">
      <c r="A121" s="950"/>
      <c r="W121" s="447"/>
    </row>
    <row r="122" spans="1:23" s="442" customFormat="1" ht="9.75" customHeight="1" x14ac:dyDescent="0.15">
      <c r="A122" s="950" t="s">
        <v>772</v>
      </c>
      <c r="B122" s="442">
        <v>7461745</v>
      </c>
      <c r="C122" s="442">
        <v>5209819</v>
      </c>
      <c r="D122" s="442">
        <v>616208</v>
      </c>
      <c r="E122" s="442" t="s">
        <v>648</v>
      </c>
      <c r="F122" s="442" t="s">
        <v>648</v>
      </c>
      <c r="G122" s="442" t="s">
        <v>648</v>
      </c>
      <c r="H122" s="442">
        <v>44772</v>
      </c>
      <c r="I122" s="442">
        <v>40327</v>
      </c>
      <c r="J122" s="442">
        <v>78719</v>
      </c>
      <c r="K122" s="442">
        <v>94330</v>
      </c>
      <c r="L122" s="442" t="s">
        <v>648</v>
      </c>
      <c r="M122" s="442" t="s">
        <v>648</v>
      </c>
      <c r="N122" s="442">
        <v>449722</v>
      </c>
      <c r="O122" s="442" t="s">
        <v>648</v>
      </c>
      <c r="P122" s="442" t="s">
        <v>648</v>
      </c>
      <c r="Q122" s="442" t="s">
        <v>648</v>
      </c>
      <c r="R122" s="442" t="s">
        <v>648</v>
      </c>
      <c r="S122" s="442">
        <v>500709</v>
      </c>
      <c r="T122" s="442">
        <v>315532</v>
      </c>
      <c r="U122" s="442">
        <v>437062</v>
      </c>
      <c r="V122" s="442">
        <v>1500874</v>
      </c>
      <c r="W122" s="447" t="s">
        <v>674</v>
      </c>
    </row>
    <row r="123" spans="1:23" s="442" customFormat="1" ht="9.75" customHeight="1" x14ac:dyDescent="0.15">
      <c r="A123" s="950" t="s">
        <v>773</v>
      </c>
      <c r="B123" s="442">
        <v>7659981</v>
      </c>
      <c r="C123" s="442">
        <v>5588434</v>
      </c>
      <c r="D123" s="442">
        <v>785527</v>
      </c>
      <c r="E123" s="442" t="s">
        <v>648</v>
      </c>
      <c r="F123" s="442" t="s">
        <v>648</v>
      </c>
      <c r="G123" s="442" t="s">
        <v>648</v>
      </c>
      <c r="H123" s="442">
        <v>51244</v>
      </c>
      <c r="I123" s="442">
        <v>51795</v>
      </c>
      <c r="J123" s="442">
        <v>68166</v>
      </c>
      <c r="K123" s="442">
        <v>125635</v>
      </c>
      <c r="L123" s="442" t="s">
        <v>648</v>
      </c>
      <c r="M123" s="442" t="s">
        <v>648</v>
      </c>
      <c r="N123" s="442">
        <v>548385</v>
      </c>
      <c r="O123" s="442" t="s">
        <v>648</v>
      </c>
      <c r="P123" s="442">
        <v>11553</v>
      </c>
      <c r="Q123" s="442" t="s">
        <v>648</v>
      </c>
      <c r="R123" s="442">
        <v>36718</v>
      </c>
      <c r="S123" s="442">
        <v>238164</v>
      </c>
      <c r="T123" s="442">
        <v>566380</v>
      </c>
      <c r="U123" s="442">
        <v>597643</v>
      </c>
      <c r="V123" s="442">
        <v>1234228</v>
      </c>
      <c r="W123" s="447" t="s">
        <v>92</v>
      </c>
    </row>
    <row r="124" spans="1:23" s="442" customFormat="1" ht="9.75" customHeight="1" x14ac:dyDescent="0.15">
      <c r="A124" s="950" t="s">
        <v>774</v>
      </c>
      <c r="B124" s="442">
        <v>7665812</v>
      </c>
      <c r="C124" s="442">
        <v>5801069</v>
      </c>
      <c r="D124" s="442">
        <v>717081</v>
      </c>
      <c r="E124" s="442" t="s">
        <v>648</v>
      </c>
      <c r="F124" s="442" t="s">
        <v>648</v>
      </c>
      <c r="G124" s="442" t="s">
        <v>648</v>
      </c>
      <c r="H124" s="442">
        <v>49132</v>
      </c>
      <c r="I124" s="442">
        <v>73220</v>
      </c>
      <c r="J124" s="442">
        <v>63156</v>
      </c>
      <c r="K124" s="442">
        <v>15334</v>
      </c>
      <c r="L124" s="442" t="s">
        <v>648</v>
      </c>
      <c r="M124" s="442" t="s">
        <v>648</v>
      </c>
      <c r="N124" s="442">
        <v>231511</v>
      </c>
      <c r="O124" s="442" t="s">
        <v>648</v>
      </c>
      <c r="P124" s="442" t="s">
        <v>648</v>
      </c>
      <c r="Q124" s="442" t="s">
        <v>648</v>
      </c>
      <c r="R124" s="442">
        <v>44679</v>
      </c>
      <c r="S124" s="442">
        <v>258440</v>
      </c>
      <c r="T124" s="442">
        <v>583329</v>
      </c>
      <c r="U124" s="442">
        <v>504980</v>
      </c>
      <c r="V124" s="442">
        <v>1060388</v>
      </c>
      <c r="W124" s="447" t="s">
        <v>93</v>
      </c>
    </row>
    <row r="125" spans="1:23" s="442" customFormat="1" ht="9.75" customHeight="1" x14ac:dyDescent="0.15">
      <c r="A125" s="950" t="s">
        <v>801</v>
      </c>
      <c r="B125" s="442">
        <v>7858916</v>
      </c>
      <c r="C125" s="442">
        <v>5927676</v>
      </c>
      <c r="D125" s="442">
        <v>526806</v>
      </c>
      <c r="E125" s="442" t="s">
        <v>648</v>
      </c>
      <c r="F125" s="442" t="s">
        <v>648</v>
      </c>
      <c r="G125" s="442" t="s">
        <v>648</v>
      </c>
      <c r="H125" s="442" t="s">
        <v>648</v>
      </c>
      <c r="I125" s="442" t="s">
        <v>648</v>
      </c>
      <c r="J125" s="442">
        <v>139278</v>
      </c>
      <c r="K125" s="442" t="s">
        <v>648</v>
      </c>
      <c r="L125" s="442" t="s">
        <v>648</v>
      </c>
      <c r="M125" s="442" t="s">
        <v>648</v>
      </c>
      <c r="N125" s="442">
        <v>333189</v>
      </c>
      <c r="O125" s="442" t="s">
        <v>648</v>
      </c>
      <c r="P125" s="442" t="s">
        <v>648</v>
      </c>
      <c r="Q125" s="442" t="s">
        <v>648</v>
      </c>
      <c r="R125" s="442">
        <v>21636</v>
      </c>
      <c r="S125" s="442">
        <v>270769</v>
      </c>
      <c r="T125" s="442">
        <v>860336</v>
      </c>
      <c r="U125" s="442">
        <v>632553</v>
      </c>
      <c r="V125" s="442">
        <v>1389971</v>
      </c>
      <c r="W125" s="447" t="s">
        <v>94</v>
      </c>
    </row>
    <row r="126" spans="1:23" s="442" customFormat="1" ht="9.75" customHeight="1" x14ac:dyDescent="0.15">
      <c r="A126" s="950" t="s">
        <v>809</v>
      </c>
      <c r="B126" s="442">
        <v>6166293</v>
      </c>
      <c r="C126" s="442">
        <v>4397424</v>
      </c>
      <c r="D126" s="442">
        <v>234721</v>
      </c>
      <c r="E126" s="442" t="s">
        <v>648</v>
      </c>
      <c r="F126" s="442" t="s">
        <v>648</v>
      </c>
      <c r="G126" s="442" t="s">
        <v>648</v>
      </c>
      <c r="H126" s="442" t="s">
        <v>648</v>
      </c>
      <c r="I126" s="442">
        <v>195878</v>
      </c>
      <c r="J126" s="442">
        <v>98309</v>
      </c>
      <c r="K126" s="442" t="s">
        <v>648</v>
      </c>
      <c r="L126" s="442" t="s">
        <v>648</v>
      </c>
      <c r="M126" s="442" t="s">
        <v>648</v>
      </c>
      <c r="N126" s="442">
        <v>226373</v>
      </c>
      <c r="O126" s="442">
        <v>47987</v>
      </c>
      <c r="P126" s="442" t="s">
        <v>648</v>
      </c>
      <c r="Q126" s="442" t="s">
        <v>648</v>
      </c>
      <c r="R126" s="442" t="s">
        <v>648</v>
      </c>
      <c r="S126" s="442">
        <v>200553</v>
      </c>
      <c r="T126" s="442">
        <v>403042</v>
      </c>
      <c r="U126" s="442">
        <v>463444</v>
      </c>
      <c r="V126" s="442">
        <v>1042086</v>
      </c>
      <c r="W126" s="447" t="s">
        <v>777</v>
      </c>
    </row>
    <row r="127" spans="1:23" s="442" customFormat="1" ht="6.75" customHeight="1" x14ac:dyDescent="0.15">
      <c r="A127" s="950"/>
      <c r="W127" s="447"/>
    </row>
    <row r="128" spans="1:23" s="442" customFormat="1" ht="9.75" customHeight="1" x14ac:dyDescent="0.15">
      <c r="A128" s="950" t="s">
        <v>778</v>
      </c>
      <c r="B128" s="442">
        <v>2277501</v>
      </c>
      <c r="C128" s="442">
        <v>1768534</v>
      </c>
      <c r="D128" s="442">
        <v>244905</v>
      </c>
      <c r="E128" s="442" t="s">
        <v>648</v>
      </c>
      <c r="F128" s="442" t="s">
        <v>648</v>
      </c>
      <c r="G128" s="442" t="s">
        <v>648</v>
      </c>
      <c r="H128" s="442" t="s">
        <v>648</v>
      </c>
      <c r="I128" s="442" t="s">
        <v>648</v>
      </c>
      <c r="J128" s="442">
        <v>48806</v>
      </c>
      <c r="K128" s="442">
        <v>47777</v>
      </c>
      <c r="L128" s="442" t="s">
        <v>648</v>
      </c>
      <c r="M128" s="442" t="s">
        <v>648</v>
      </c>
      <c r="N128" s="442">
        <v>243361</v>
      </c>
      <c r="O128" s="442" t="s">
        <v>648</v>
      </c>
      <c r="P128" s="442" t="s">
        <v>648</v>
      </c>
      <c r="Q128" s="442" t="s">
        <v>648</v>
      </c>
      <c r="R128" s="442" t="s">
        <v>648</v>
      </c>
      <c r="S128" s="442">
        <v>202952</v>
      </c>
      <c r="T128" s="442" t="s">
        <v>648</v>
      </c>
      <c r="U128" s="442">
        <v>158957</v>
      </c>
      <c r="V128" s="442">
        <v>655349</v>
      </c>
      <c r="W128" s="447" t="s">
        <v>675</v>
      </c>
    </row>
    <row r="129" spans="1:23" s="442" customFormat="1" ht="9.75" customHeight="1" x14ac:dyDescent="0.15">
      <c r="A129" s="950" t="s">
        <v>779</v>
      </c>
      <c r="B129" s="442">
        <v>2473265</v>
      </c>
      <c r="C129" s="442">
        <v>1689426</v>
      </c>
      <c r="D129" s="442">
        <v>98740</v>
      </c>
      <c r="E129" s="442" t="s">
        <v>648</v>
      </c>
      <c r="F129" s="442" t="s">
        <v>648</v>
      </c>
      <c r="G129" s="442" t="s">
        <v>648</v>
      </c>
      <c r="H129" s="442">
        <v>44772</v>
      </c>
      <c r="I129" s="442" t="s">
        <v>648</v>
      </c>
      <c r="J129" s="442">
        <v>4700</v>
      </c>
      <c r="K129" s="442">
        <v>46553</v>
      </c>
      <c r="L129" s="442" t="s">
        <v>648</v>
      </c>
      <c r="M129" s="442" t="s">
        <v>648</v>
      </c>
      <c r="N129" s="442">
        <v>18160</v>
      </c>
      <c r="O129" s="442" t="s">
        <v>648</v>
      </c>
      <c r="P129" s="442" t="s">
        <v>648</v>
      </c>
      <c r="Q129" s="442" t="s">
        <v>648</v>
      </c>
      <c r="R129" s="442" t="s">
        <v>648</v>
      </c>
      <c r="S129" s="442">
        <v>190746</v>
      </c>
      <c r="T129" s="442">
        <v>233192</v>
      </c>
      <c r="U129" s="442">
        <v>196159</v>
      </c>
      <c r="V129" s="442">
        <v>438686</v>
      </c>
      <c r="W129" s="447" t="s">
        <v>80</v>
      </c>
    </row>
    <row r="130" spans="1:23" s="442" customFormat="1" ht="9.75" customHeight="1" x14ac:dyDescent="0.15">
      <c r="A130" s="950" t="s">
        <v>780</v>
      </c>
      <c r="B130" s="442">
        <v>2710979</v>
      </c>
      <c r="C130" s="442">
        <v>1751859</v>
      </c>
      <c r="D130" s="442">
        <v>272563</v>
      </c>
      <c r="E130" s="442" t="s">
        <v>648</v>
      </c>
      <c r="F130" s="442" t="s">
        <v>648</v>
      </c>
      <c r="G130" s="442" t="s">
        <v>648</v>
      </c>
      <c r="H130" s="442" t="s">
        <v>648</v>
      </c>
      <c r="I130" s="442">
        <v>40327</v>
      </c>
      <c r="J130" s="442">
        <v>25213</v>
      </c>
      <c r="K130" s="442" t="s">
        <v>648</v>
      </c>
      <c r="L130" s="442" t="s">
        <v>648</v>
      </c>
      <c r="M130" s="442" t="s">
        <v>648</v>
      </c>
      <c r="N130" s="442">
        <v>188201</v>
      </c>
      <c r="O130" s="442" t="s">
        <v>648</v>
      </c>
      <c r="P130" s="442" t="s">
        <v>648</v>
      </c>
      <c r="Q130" s="442" t="s">
        <v>648</v>
      </c>
      <c r="R130" s="442" t="s">
        <v>648</v>
      </c>
      <c r="S130" s="442">
        <v>107011</v>
      </c>
      <c r="T130" s="442">
        <v>82340</v>
      </c>
      <c r="U130" s="442">
        <v>81946</v>
      </c>
      <c r="V130" s="442">
        <v>406839</v>
      </c>
      <c r="W130" s="447" t="s">
        <v>81</v>
      </c>
    </row>
    <row r="131" spans="1:23" s="442" customFormat="1" ht="9.75" customHeight="1" x14ac:dyDescent="0.15">
      <c r="A131" s="950" t="s">
        <v>781</v>
      </c>
      <c r="B131" s="442">
        <v>2716029</v>
      </c>
      <c r="C131" s="442">
        <v>2011380</v>
      </c>
      <c r="D131" s="442">
        <v>391005</v>
      </c>
      <c r="E131" s="442" t="s">
        <v>648</v>
      </c>
      <c r="F131" s="442" t="s">
        <v>648</v>
      </c>
      <c r="G131" s="442" t="s">
        <v>648</v>
      </c>
      <c r="H131" s="442" t="s">
        <v>648</v>
      </c>
      <c r="I131" s="442">
        <v>51795</v>
      </c>
      <c r="J131" s="442">
        <v>68166</v>
      </c>
      <c r="K131" s="442">
        <v>47004</v>
      </c>
      <c r="L131" s="442" t="s">
        <v>648</v>
      </c>
      <c r="M131" s="442" t="s">
        <v>648</v>
      </c>
      <c r="N131" s="442">
        <v>211432</v>
      </c>
      <c r="O131" s="442" t="s">
        <v>648</v>
      </c>
      <c r="P131" s="442">
        <v>11553</v>
      </c>
      <c r="Q131" s="442" t="s">
        <v>648</v>
      </c>
      <c r="R131" s="442">
        <v>36718</v>
      </c>
      <c r="S131" s="442">
        <v>103917</v>
      </c>
      <c r="T131" s="442">
        <v>206148</v>
      </c>
      <c r="U131" s="442">
        <v>82939</v>
      </c>
      <c r="V131" s="442">
        <v>276086</v>
      </c>
      <c r="W131" s="447" t="s">
        <v>82</v>
      </c>
    </row>
    <row r="132" spans="1:23" s="442" customFormat="1" ht="9.75" customHeight="1" x14ac:dyDescent="0.15">
      <c r="A132" s="950" t="s">
        <v>782</v>
      </c>
      <c r="B132" s="442">
        <v>2642076</v>
      </c>
      <c r="C132" s="442">
        <v>1861904</v>
      </c>
      <c r="D132" s="442">
        <v>153684</v>
      </c>
      <c r="E132" s="442" t="s">
        <v>648</v>
      </c>
      <c r="F132" s="442" t="s">
        <v>648</v>
      </c>
      <c r="G132" s="442" t="s">
        <v>648</v>
      </c>
      <c r="H132" s="442">
        <v>51244</v>
      </c>
      <c r="I132" s="442" t="s">
        <v>648</v>
      </c>
      <c r="J132" s="442" t="s">
        <v>648</v>
      </c>
      <c r="K132" s="442">
        <v>78631</v>
      </c>
      <c r="L132" s="442" t="s">
        <v>648</v>
      </c>
      <c r="M132" s="442" t="s">
        <v>648</v>
      </c>
      <c r="N132" s="442">
        <v>164518</v>
      </c>
      <c r="O132" s="442" t="s">
        <v>648</v>
      </c>
      <c r="P132" s="442" t="s">
        <v>648</v>
      </c>
      <c r="Q132" s="442" t="s">
        <v>648</v>
      </c>
      <c r="R132" s="442" t="s">
        <v>648</v>
      </c>
      <c r="S132" s="442">
        <v>89515</v>
      </c>
      <c r="T132" s="442">
        <v>262287</v>
      </c>
      <c r="U132" s="442">
        <v>194481</v>
      </c>
      <c r="V132" s="442">
        <v>418333</v>
      </c>
      <c r="W132" s="447" t="s">
        <v>95</v>
      </c>
    </row>
    <row r="133" spans="1:23" s="442" customFormat="1" ht="9.75" customHeight="1" x14ac:dyDescent="0.15">
      <c r="A133" s="950" t="s">
        <v>783</v>
      </c>
      <c r="B133" s="442">
        <v>2301876</v>
      </c>
      <c r="C133" s="442">
        <v>1715150</v>
      </c>
      <c r="D133" s="442">
        <v>240838</v>
      </c>
      <c r="E133" s="442" t="s">
        <v>648</v>
      </c>
      <c r="F133" s="442" t="s">
        <v>648</v>
      </c>
      <c r="G133" s="442" t="s">
        <v>648</v>
      </c>
      <c r="H133" s="442" t="s">
        <v>648</v>
      </c>
      <c r="I133" s="442" t="s">
        <v>648</v>
      </c>
      <c r="J133" s="442" t="s">
        <v>648</v>
      </c>
      <c r="K133" s="442" t="s">
        <v>648</v>
      </c>
      <c r="L133" s="442" t="s">
        <v>648</v>
      </c>
      <c r="M133" s="442" t="s">
        <v>648</v>
      </c>
      <c r="N133" s="442">
        <v>172435</v>
      </c>
      <c r="O133" s="442" t="s">
        <v>648</v>
      </c>
      <c r="P133" s="442" t="s">
        <v>648</v>
      </c>
      <c r="Q133" s="442" t="s">
        <v>648</v>
      </c>
      <c r="R133" s="442" t="s">
        <v>648</v>
      </c>
      <c r="S133" s="442">
        <v>44732</v>
      </c>
      <c r="T133" s="442">
        <v>97945</v>
      </c>
      <c r="U133" s="442">
        <v>320223</v>
      </c>
      <c r="V133" s="442">
        <v>539809</v>
      </c>
      <c r="W133" s="447" t="s">
        <v>96</v>
      </c>
    </row>
    <row r="134" spans="1:23" s="442" customFormat="1" ht="9.75" customHeight="1" x14ac:dyDescent="0.15">
      <c r="A134" s="950" t="s">
        <v>784</v>
      </c>
      <c r="B134" s="442">
        <v>2312070</v>
      </c>
      <c r="C134" s="442">
        <v>1767886</v>
      </c>
      <c r="D134" s="442">
        <v>275443</v>
      </c>
      <c r="E134" s="442" t="s">
        <v>648</v>
      </c>
      <c r="F134" s="442" t="s">
        <v>648</v>
      </c>
      <c r="G134" s="442" t="s">
        <v>648</v>
      </c>
      <c r="H134" s="442" t="s">
        <v>648</v>
      </c>
      <c r="I134" s="442" t="s">
        <v>648</v>
      </c>
      <c r="J134" s="442">
        <v>63156</v>
      </c>
      <c r="K134" s="442">
        <v>15334</v>
      </c>
      <c r="L134" s="442" t="s">
        <v>648</v>
      </c>
      <c r="M134" s="442" t="s">
        <v>648</v>
      </c>
      <c r="N134" s="442">
        <v>74749</v>
      </c>
      <c r="O134" s="442" t="s">
        <v>648</v>
      </c>
      <c r="P134" s="442" t="s">
        <v>648</v>
      </c>
      <c r="Q134" s="442" t="s">
        <v>648</v>
      </c>
      <c r="R134" s="442" t="s">
        <v>648</v>
      </c>
      <c r="S134" s="442">
        <v>69387</v>
      </c>
      <c r="T134" s="442">
        <v>161607</v>
      </c>
      <c r="U134" s="442">
        <v>115947</v>
      </c>
      <c r="V134" s="442">
        <v>225873</v>
      </c>
      <c r="W134" s="447" t="s">
        <v>97</v>
      </c>
    </row>
    <row r="135" spans="1:23" s="442" customFormat="1" ht="9.75" customHeight="1" x14ac:dyDescent="0.15">
      <c r="A135" s="950" t="s">
        <v>806</v>
      </c>
      <c r="B135" s="442">
        <v>2761778</v>
      </c>
      <c r="C135" s="442">
        <v>1811843</v>
      </c>
      <c r="D135" s="442">
        <v>164078</v>
      </c>
      <c r="E135" s="442" t="s">
        <v>648</v>
      </c>
      <c r="F135" s="442" t="s">
        <v>648</v>
      </c>
      <c r="G135" s="442" t="s">
        <v>648</v>
      </c>
      <c r="H135" s="442">
        <v>49132</v>
      </c>
      <c r="I135" s="442">
        <v>52186</v>
      </c>
      <c r="J135" s="442" t="s">
        <v>648</v>
      </c>
      <c r="K135" s="442" t="s">
        <v>648</v>
      </c>
      <c r="L135" s="442" t="s">
        <v>648</v>
      </c>
      <c r="M135" s="442" t="s">
        <v>648</v>
      </c>
      <c r="N135" s="442">
        <v>63868</v>
      </c>
      <c r="O135" s="442" t="s">
        <v>648</v>
      </c>
      <c r="P135" s="442" t="s">
        <v>648</v>
      </c>
      <c r="Q135" s="442" t="s">
        <v>648</v>
      </c>
      <c r="R135" s="442" t="s">
        <v>648</v>
      </c>
      <c r="S135" s="442">
        <v>78988</v>
      </c>
      <c r="T135" s="442">
        <v>237733</v>
      </c>
      <c r="U135" s="442">
        <v>194291</v>
      </c>
      <c r="V135" s="442">
        <v>445850</v>
      </c>
      <c r="W135" s="447" t="s">
        <v>98</v>
      </c>
    </row>
    <row r="136" spans="1:23" s="442" customFormat="1" ht="9.75" customHeight="1" x14ac:dyDescent="0.15">
      <c r="A136" s="950" t="s">
        <v>786</v>
      </c>
      <c r="B136" s="442">
        <v>2591964</v>
      </c>
      <c r="C136" s="442">
        <v>2221340</v>
      </c>
      <c r="D136" s="442">
        <v>277560</v>
      </c>
      <c r="E136" s="442" t="s">
        <v>648</v>
      </c>
      <c r="F136" s="442" t="s">
        <v>648</v>
      </c>
      <c r="G136" s="442" t="s">
        <v>648</v>
      </c>
      <c r="H136" s="442" t="s">
        <v>648</v>
      </c>
      <c r="I136" s="442">
        <v>21034</v>
      </c>
      <c r="J136" s="442" t="s">
        <v>648</v>
      </c>
      <c r="K136" s="442" t="s">
        <v>648</v>
      </c>
      <c r="L136" s="442" t="s">
        <v>648</v>
      </c>
      <c r="M136" s="442" t="s">
        <v>648</v>
      </c>
      <c r="N136" s="442">
        <v>92894</v>
      </c>
      <c r="O136" s="442" t="s">
        <v>648</v>
      </c>
      <c r="P136" s="442" t="s">
        <v>648</v>
      </c>
      <c r="Q136" s="442" t="s">
        <v>648</v>
      </c>
      <c r="R136" s="442">
        <v>44679</v>
      </c>
      <c r="S136" s="442">
        <v>110065</v>
      </c>
      <c r="T136" s="442">
        <v>183989</v>
      </c>
      <c r="U136" s="442">
        <v>194742</v>
      </c>
      <c r="V136" s="442">
        <v>388665</v>
      </c>
      <c r="W136" s="447" t="s">
        <v>99</v>
      </c>
    </row>
    <row r="137" spans="1:23" s="442" customFormat="1" ht="9.75" customHeight="1" x14ac:dyDescent="0.15">
      <c r="A137" s="950" t="s">
        <v>807</v>
      </c>
      <c r="B137" s="442">
        <v>2628571</v>
      </c>
      <c r="C137" s="442">
        <v>2068042</v>
      </c>
      <c r="D137" s="442">
        <v>237160</v>
      </c>
      <c r="E137" s="442" t="s">
        <v>648</v>
      </c>
      <c r="F137" s="442" t="s">
        <v>648</v>
      </c>
      <c r="G137" s="442" t="s">
        <v>648</v>
      </c>
      <c r="H137" s="442" t="s">
        <v>648</v>
      </c>
      <c r="I137" s="442" t="s">
        <v>648</v>
      </c>
      <c r="J137" s="442">
        <v>31329</v>
      </c>
      <c r="K137" s="442" t="s">
        <v>648</v>
      </c>
      <c r="L137" s="442" t="s">
        <v>648</v>
      </c>
      <c r="M137" s="442" t="s">
        <v>648</v>
      </c>
      <c r="N137" s="442">
        <v>79741</v>
      </c>
      <c r="O137" s="442" t="s">
        <v>648</v>
      </c>
      <c r="P137" s="442" t="s">
        <v>648</v>
      </c>
      <c r="Q137" s="442" t="s">
        <v>648</v>
      </c>
      <c r="R137" s="442" t="s">
        <v>648</v>
      </c>
      <c r="S137" s="442">
        <v>86842</v>
      </c>
      <c r="T137" s="442">
        <v>298228</v>
      </c>
      <c r="U137" s="442">
        <v>198559</v>
      </c>
      <c r="V137" s="442">
        <v>611396</v>
      </c>
      <c r="W137" s="447" t="s">
        <v>83</v>
      </c>
    </row>
    <row r="138" spans="1:23" s="442" customFormat="1" ht="9.75" customHeight="1" x14ac:dyDescent="0.15">
      <c r="A138" s="950" t="s">
        <v>788</v>
      </c>
      <c r="B138" s="442">
        <v>2579468</v>
      </c>
      <c r="C138" s="442">
        <v>1947666</v>
      </c>
      <c r="D138" s="442">
        <v>148745</v>
      </c>
      <c r="E138" s="442" t="s">
        <v>648</v>
      </c>
      <c r="F138" s="442" t="s">
        <v>648</v>
      </c>
      <c r="G138" s="442" t="s">
        <v>648</v>
      </c>
      <c r="H138" s="442" t="s">
        <v>648</v>
      </c>
      <c r="I138" s="442" t="s">
        <v>648</v>
      </c>
      <c r="J138" s="442">
        <v>42967</v>
      </c>
      <c r="K138" s="442" t="s">
        <v>648</v>
      </c>
      <c r="L138" s="442" t="s">
        <v>648</v>
      </c>
      <c r="M138" s="442" t="s">
        <v>648</v>
      </c>
      <c r="N138" s="442">
        <v>142123</v>
      </c>
      <c r="O138" s="442" t="s">
        <v>648</v>
      </c>
      <c r="P138" s="442" t="s">
        <v>648</v>
      </c>
      <c r="Q138" s="442" t="s">
        <v>648</v>
      </c>
      <c r="R138" s="442" t="s">
        <v>648</v>
      </c>
      <c r="S138" s="442">
        <v>66803</v>
      </c>
      <c r="T138" s="442">
        <v>260207</v>
      </c>
      <c r="U138" s="442">
        <v>275968</v>
      </c>
      <c r="V138" s="442">
        <v>315049</v>
      </c>
      <c r="W138" s="447" t="s">
        <v>84</v>
      </c>
    </row>
    <row r="139" spans="1:23" s="442" customFormat="1" ht="9.75" customHeight="1" x14ac:dyDescent="0.15">
      <c r="A139" s="950" t="s">
        <v>789</v>
      </c>
      <c r="B139" s="442">
        <v>2650877</v>
      </c>
      <c r="C139" s="442">
        <v>1911968</v>
      </c>
      <c r="D139" s="442">
        <v>140901</v>
      </c>
      <c r="E139" s="442" t="s">
        <v>648</v>
      </c>
      <c r="F139" s="442" t="s">
        <v>648</v>
      </c>
      <c r="G139" s="442" t="s">
        <v>648</v>
      </c>
      <c r="H139" s="442" t="s">
        <v>648</v>
      </c>
      <c r="I139" s="442" t="s">
        <v>648</v>
      </c>
      <c r="J139" s="442">
        <v>64982</v>
      </c>
      <c r="K139" s="442" t="s">
        <v>648</v>
      </c>
      <c r="L139" s="442" t="s">
        <v>648</v>
      </c>
      <c r="M139" s="442" t="s">
        <v>648</v>
      </c>
      <c r="N139" s="442">
        <v>111325</v>
      </c>
      <c r="O139" s="442" t="s">
        <v>648</v>
      </c>
      <c r="P139" s="442" t="s">
        <v>648</v>
      </c>
      <c r="Q139" s="442" t="s">
        <v>648</v>
      </c>
      <c r="R139" s="442">
        <v>21636</v>
      </c>
      <c r="S139" s="442">
        <v>117124</v>
      </c>
      <c r="T139" s="442">
        <v>301901</v>
      </c>
      <c r="U139" s="442">
        <v>158026</v>
      </c>
      <c r="V139" s="442">
        <v>463526</v>
      </c>
      <c r="W139" s="447" t="s">
        <v>85</v>
      </c>
    </row>
    <row r="140" spans="1:23" s="442" customFormat="1" ht="9.75" customHeight="1" x14ac:dyDescent="0.15">
      <c r="A140" s="950" t="s">
        <v>790</v>
      </c>
      <c r="B140" s="442">
        <v>2558776</v>
      </c>
      <c r="C140" s="442">
        <v>1658029</v>
      </c>
      <c r="D140" s="442">
        <v>48654</v>
      </c>
      <c r="E140" s="442" t="s">
        <v>648</v>
      </c>
      <c r="F140" s="442" t="s">
        <v>648</v>
      </c>
      <c r="G140" s="442" t="s">
        <v>648</v>
      </c>
      <c r="H140" s="442" t="s">
        <v>648</v>
      </c>
      <c r="I140" s="442" t="s">
        <v>648</v>
      </c>
      <c r="J140" s="442">
        <v>34577</v>
      </c>
      <c r="K140" s="442" t="s">
        <v>648</v>
      </c>
      <c r="L140" s="442" t="s">
        <v>648</v>
      </c>
      <c r="M140" s="442" t="s">
        <v>648</v>
      </c>
      <c r="N140" s="442">
        <v>47503</v>
      </c>
      <c r="O140" s="442" t="s">
        <v>648</v>
      </c>
      <c r="P140" s="442" t="s">
        <v>648</v>
      </c>
      <c r="Q140" s="442" t="s">
        <v>648</v>
      </c>
      <c r="R140" s="442" t="s">
        <v>648</v>
      </c>
      <c r="S140" s="442">
        <v>52245</v>
      </c>
      <c r="T140" s="442">
        <v>354451</v>
      </c>
      <c r="U140" s="442">
        <v>311766</v>
      </c>
      <c r="V140" s="442">
        <v>292540</v>
      </c>
      <c r="W140" s="447" t="s">
        <v>791</v>
      </c>
    </row>
    <row r="141" spans="1:23" s="442" customFormat="1" ht="9.75" customHeight="1" x14ac:dyDescent="0.15">
      <c r="A141" s="950" t="s">
        <v>792</v>
      </c>
      <c r="B141" s="442">
        <v>1866632</v>
      </c>
      <c r="C141" s="442">
        <v>1432458</v>
      </c>
      <c r="D141" s="442">
        <v>87061</v>
      </c>
      <c r="E141" s="442" t="s">
        <v>648</v>
      </c>
      <c r="F141" s="442" t="s">
        <v>648</v>
      </c>
      <c r="G141" s="442" t="s">
        <v>648</v>
      </c>
      <c r="H141" s="442" t="s">
        <v>648</v>
      </c>
      <c r="I141" s="442">
        <v>60528</v>
      </c>
      <c r="J141" s="442">
        <v>63732</v>
      </c>
      <c r="K141" s="442" t="s">
        <v>648</v>
      </c>
      <c r="L141" s="442" t="s">
        <v>648</v>
      </c>
      <c r="M141" s="442" t="s">
        <v>648</v>
      </c>
      <c r="N141" s="442">
        <v>154759</v>
      </c>
      <c r="O141" s="442" t="s">
        <v>648</v>
      </c>
      <c r="P141" s="442" t="s">
        <v>648</v>
      </c>
      <c r="Q141" s="442" t="s">
        <v>648</v>
      </c>
      <c r="R141" s="442" t="s">
        <v>648</v>
      </c>
      <c r="S141" s="442">
        <v>38868</v>
      </c>
      <c r="T141" s="442" t="s">
        <v>648</v>
      </c>
      <c r="U141" s="442">
        <v>119815</v>
      </c>
      <c r="V141" s="442">
        <v>293824</v>
      </c>
      <c r="W141" s="447" t="s">
        <v>80</v>
      </c>
    </row>
    <row r="142" spans="1:23" s="442" customFormat="1" ht="9.75" customHeight="1" x14ac:dyDescent="0.15">
      <c r="A142" s="951" t="s">
        <v>793</v>
      </c>
      <c r="B142" s="446">
        <v>1740885</v>
      </c>
      <c r="C142" s="445">
        <v>1306937</v>
      </c>
      <c r="D142" s="445">
        <v>99006</v>
      </c>
      <c r="E142" s="445" t="s">
        <v>648</v>
      </c>
      <c r="F142" s="445" t="s">
        <v>648</v>
      </c>
      <c r="G142" s="445" t="s">
        <v>648</v>
      </c>
      <c r="H142" s="445" t="s">
        <v>648</v>
      </c>
      <c r="I142" s="445">
        <v>135350</v>
      </c>
      <c r="J142" s="445" t="s">
        <v>648</v>
      </c>
      <c r="K142" s="445" t="s">
        <v>648</v>
      </c>
      <c r="L142" s="445" t="s">
        <v>648</v>
      </c>
      <c r="M142" s="445" t="s">
        <v>648</v>
      </c>
      <c r="N142" s="445">
        <v>24111</v>
      </c>
      <c r="O142" s="445">
        <v>47987</v>
      </c>
      <c r="P142" s="445" t="s">
        <v>648</v>
      </c>
      <c r="Q142" s="445" t="s">
        <v>648</v>
      </c>
      <c r="R142" s="445" t="s">
        <v>648</v>
      </c>
      <c r="S142" s="445">
        <v>109440</v>
      </c>
      <c r="T142" s="445">
        <v>48591</v>
      </c>
      <c r="U142" s="445">
        <v>31863</v>
      </c>
      <c r="V142" s="445">
        <v>455722</v>
      </c>
      <c r="W142" s="443" t="s">
        <v>81</v>
      </c>
    </row>
    <row r="143" spans="1:23" ht="12" customHeight="1" x14ac:dyDescent="0.2"/>
    <row r="144" spans="1:23" ht="12" customHeight="1" x14ac:dyDescent="0.2"/>
    <row r="145" spans="1:23" ht="12" customHeight="1" x14ac:dyDescent="0.15">
      <c r="K145" s="457" t="s">
        <v>100</v>
      </c>
      <c r="V145" s="460" t="s">
        <v>1091</v>
      </c>
    </row>
    <row r="146" spans="1:23" s="453" customFormat="1" ht="21" customHeight="1" x14ac:dyDescent="0.2">
      <c r="A146" s="1089" t="s">
        <v>194</v>
      </c>
      <c r="B146" s="456" t="s">
        <v>333</v>
      </c>
      <c r="C146" s="455"/>
      <c r="D146" s="455"/>
      <c r="E146" s="455"/>
      <c r="F146" s="455"/>
      <c r="G146" s="455"/>
      <c r="H146" s="455"/>
      <c r="I146" s="455"/>
      <c r="J146" s="455"/>
      <c r="K146" s="455"/>
      <c r="L146" s="455"/>
      <c r="M146" s="455"/>
      <c r="N146" s="455"/>
      <c r="O146" s="455"/>
      <c r="P146" s="455"/>
      <c r="Q146" s="455"/>
      <c r="R146" s="455"/>
      <c r="S146" s="455"/>
      <c r="T146" s="455"/>
      <c r="U146" s="455"/>
      <c r="V146" s="455"/>
      <c r="W146" s="1092" t="s">
        <v>86</v>
      </c>
    </row>
    <row r="147" spans="1:23" s="453" customFormat="1" ht="21" customHeight="1" x14ac:dyDescent="0.2">
      <c r="A147" s="1090"/>
      <c r="B147" s="456" t="s">
        <v>290</v>
      </c>
      <c r="C147" s="917"/>
      <c r="D147" s="918" t="s">
        <v>289</v>
      </c>
      <c r="E147" s="455"/>
      <c r="F147" s="455"/>
      <c r="G147" s="455"/>
      <c r="H147" s="455"/>
      <c r="I147" s="455"/>
      <c r="J147" s="455"/>
      <c r="K147" s="455"/>
      <c r="L147" s="455"/>
      <c r="M147" s="455"/>
      <c r="N147" s="455"/>
      <c r="O147" s="917"/>
      <c r="P147" s="918" t="s">
        <v>288</v>
      </c>
      <c r="Q147" s="455"/>
      <c r="R147" s="917"/>
      <c r="S147" s="918" t="s">
        <v>287</v>
      </c>
      <c r="T147" s="917"/>
      <c r="U147" s="918" t="s">
        <v>271</v>
      </c>
      <c r="V147" s="455"/>
      <c r="W147" s="1093"/>
    </row>
    <row r="148" spans="1:23" s="453" customFormat="1" ht="52.5" customHeight="1" x14ac:dyDescent="0.2">
      <c r="A148" s="1091"/>
      <c r="B148" s="454" t="s">
        <v>280</v>
      </c>
      <c r="C148" s="459" t="s">
        <v>1087</v>
      </c>
      <c r="D148" s="920" t="s">
        <v>109</v>
      </c>
      <c r="E148" s="454" t="s">
        <v>279</v>
      </c>
      <c r="F148" s="454" t="s">
        <v>338</v>
      </c>
      <c r="G148" s="459" t="s">
        <v>714</v>
      </c>
      <c r="H148" s="454" t="s">
        <v>276</v>
      </c>
      <c r="I148" s="454" t="s">
        <v>317</v>
      </c>
      <c r="J148" s="454" t="s">
        <v>1088</v>
      </c>
      <c r="K148" s="454" t="s">
        <v>275</v>
      </c>
      <c r="L148" s="454" t="s">
        <v>337</v>
      </c>
      <c r="M148" s="454" t="s">
        <v>707</v>
      </c>
      <c r="N148" s="454" t="s">
        <v>336</v>
      </c>
      <c r="O148" s="454" t="s">
        <v>708</v>
      </c>
      <c r="P148" s="920" t="s">
        <v>1089</v>
      </c>
      <c r="Q148" s="454" t="s">
        <v>274</v>
      </c>
      <c r="R148" s="454" t="s">
        <v>334</v>
      </c>
      <c r="S148" s="920" t="s">
        <v>1090</v>
      </c>
      <c r="T148" s="454" t="s">
        <v>273</v>
      </c>
      <c r="U148" s="920" t="s">
        <v>1092</v>
      </c>
      <c r="V148" s="458" t="s">
        <v>268</v>
      </c>
      <c r="W148" s="1094"/>
    </row>
    <row r="149" spans="1:23" s="442" customFormat="1" ht="9.75" customHeight="1" x14ac:dyDescent="0.15">
      <c r="A149" s="949" t="s">
        <v>763</v>
      </c>
      <c r="B149" s="452" t="s">
        <v>648</v>
      </c>
      <c r="C149" s="451">
        <v>5216154</v>
      </c>
      <c r="D149" s="451">
        <v>3083441</v>
      </c>
      <c r="E149" s="451">
        <v>242010</v>
      </c>
      <c r="F149" s="451">
        <v>38887</v>
      </c>
      <c r="G149" s="451">
        <v>118421</v>
      </c>
      <c r="H149" s="451">
        <v>125377</v>
      </c>
      <c r="I149" s="451" t="s">
        <v>648</v>
      </c>
      <c r="J149" s="451" t="s">
        <v>648</v>
      </c>
      <c r="K149" s="451">
        <v>2450430</v>
      </c>
      <c r="L149" s="451">
        <v>31612</v>
      </c>
      <c r="M149" s="451" t="s">
        <v>648</v>
      </c>
      <c r="N149" s="451">
        <v>76704</v>
      </c>
      <c r="O149" s="451" t="s">
        <v>648</v>
      </c>
      <c r="P149" s="451">
        <v>571794</v>
      </c>
      <c r="Q149" s="451">
        <v>571794</v>
      </c>
      <c r="R149" s="451" t="s">
        <v>648</v>
      </c>
      <c r="S149" s="451">
        <v>193514</v>
      </c>
      <c r="T149" s="451">
        <v>193514</v>
      </c>
      <c r="U149" s="451">
        <v>554335</v>
      </c>
      <c r="V149" s="451">
        <v>554335</v>
      </c>
      <c r="W149" s="449" t="s">
        <v>464</v>
      </c>
    </row>
    <row r="150" spans="1:23" s="442" customFormat="1" ht="9.75" customHeight="1" x14ac:dyDescent="0.15">
      <c r="A150" s="950" t="s">
        <v>764</v>
      </c>
      <c r="B150" s="442" t="s">
        <v>648</v>
      </c>
      <c r="C150" s="442">
        <v>6106702</v>
      </c>
      <c r="D150" s="442">
        <v>2814051</v>
      </c>
      <c r="E150" s="442">
        <v>305491</v>
      </c>
      <c r="F150" s="442" t="s">
        <v>648</v>
      </c>
      <c r="G150" s="442">
        <v>279931</v>
      </c>
      <c r="H150" s="442">
        <v>89484</v>
      </c>
      <c r="I150" s="442" t="s">
        <v>648</v>
      </c>
      <c r="J150" s="442" t="s">
        <v>648</v>
      </c>
      <c r="K150" s="442">
        <v>2017130</v>
      </c>
      <c r="L150" s="442">
        <v>122015</v>
      </c>
      <c r="M150" s="442" t="s">
        <v>648</v>
      </c>
      <c r="N150" s="442" t="s">
        <v>648</v>
      </c>
      <c r="O150" s="442" t="s">
        <v>648</v>
      </c>
      <c r="P150" s="442">
        <v>1235912</v>
      </c>
      <c r="Q150" s="442">
        <v>1103906</v>
      </c>
      <c r="R150" s="442">
        <v>132006</v>
      </c>
      <c r="S150" s="442">
        <v>391362</v>
      </c>
      <c r="T150" s="442">
        <v>391362</v>
      </c>
      <c r="U150" s="442">
        <v>473779</v>
      </c>
      <c r="V150" s="442">
        <v>159613</v>
      </c>
      <c r="W150" s="447" t="s">
        <v>489</v>
      </c>
    </row>
    <row r="151" spans="1:23" s="442" customFormat="1" ht="9.75" customHeight="1" x14ac:dyDescent="0.15">
      <c r="A151" s="950" t="s">
        <v>765</v>
      </c>
      <c r="B151" s="442" t="s">
        <v>648</v>
      </c>
      <c r="C151" s="442">
        <v>5265788</v>
      </c>
      <c r="D151" s="442">
        <v>2301081</v>
      </c>
      <c r="E151" s="442">
        <v>421693</v>
      </c>
      <c r="F151" s="442" t="s">
        <v>648</v>
      </c>
      <c r="G151" s="442" t="s">
        <v>648</v>
      </c>
      <c r="H151" s="442">
        <v>290240</v>
      </c>
      <c r="I151" s="442" t="s">
        <v>648</v>
      </c>
      <c r="J151" s="442" t="s">
        <v>648</v>
      </c>
      <c r="K151" s="442">
        <v>1506894</v>
      </c>
      <c r="L151" s="442">
        <v>82254</v>
      </c>
      <c r="M151" s="442" t="s">
        <v>648</v>
      </c>
      <c r="N151" s="442" t="s">
        <v>648</v>
      </c>
      <c r="O151" s="442" t="s">
        <v>648</v>
      </c>
      <c r="P151" s="442">
        <v>1804166</v>
      </c>
      <c r="Q151" s="442">
        <v>1504364</v>
      </c>
      <c r="R151" s="442">
        <v>299802</v>
      </c>
      <c r="S151" s="442">
        <v>506857</v>
      </c>
      <c r="T151" s="442">
        <v>506857</v>
      </c>
      <c r="U151" s="442">
        <v>505917</v>
      </c>
      <c r="V151" s="442">
        <v>345615</v>
      </c>
      <c r="W151" s="447" t="s">
        <v>549</v>
      </c>
    </row>
    <row r="152" spans="1:23" s="442" customFormat="1" ht="9.75" customHeight="1" x14ac:dyDescent="0.15">
      <c r="A152" s="950" t="s">
        <v>766</v>
      </c>
      <c r="B152" s="442">
        <v>31678</v>
      </c>
      <c r="C152" s="442">
        <v>4576678</v>
      </c>
      <c r="D152" s="442">
        <v>1947894</v>
      </c>
      <c r="E152" s="442">
        <v>332435</v>
      </c>
      <c r="F152" s="442" t="s">
        <v>648</v>
      </c>
      <c r="G152" s="442" t="s">
        <v>648</v>
      </c>
      <c r="H152" s="442">
        <v>153215</v>
      </c>
      <c r="I152" s="442" t="s">
        <v>648</v>
      </c>
      <c r="J152" s="442" t="s">
        <v>648</v>
      </c>
      <c r="K152" s="442">
        <v>1292660</v>
      </c>
      <c r="L152" s="442">
        <v>129163</v>
      </c>
      <c r="M152" s="442">
        <v>40421</v>
      </c>
      <c r="N152" s="442" t="s">
        <v>648</v>
      </c>
      <c r="O152" s="442" t="s">
        <v>648</v>
      </c>
      <c r="P152" s="442">
        <v>2463950</v>
      </c>
      <c r="Q152" s="442">
        <v>2221850</v>
      </c>
      <c r="R152" s="442">
        <v>242100</v>
      </c>
      <c r="S152" s="442">
        <v>1027905</v>
      </c>
      <c r="T152" s="442">
        <v>1027905</v>
      </c>
      <c r="U152" s="442">
        <v>1180307</v>
      </c>
      <c r="V152" s="442">
        <v>500734</v>
      </c>
      <c r="W152" s="447" t="s">
        <v>672</v>
      </c>
    </row>
    <row r="153" spans="1:23" s="442" customFormat="1" ht="9.75" customHeight="1" x14ac:dyDescent="0.15">
      <c r="A153" s="950" t="s">
        <v>767</v>
      </c>
      <c r="B153" s="442">
        <v>552695</v>
      </c>
      <c r="C153" s="442">
        <v>5804822</v>
      </c>
      <c r="D153" s="442">
        <v>2006329</v>
      </c>
      <c r="E153" s="442">
        <v>100565</v>
      </c>
      <c r="F153" s="442" t="s">
        <v>648</v>
      </c>
      <c r="G153" s="442">
        <v>4626</v>
      </c>
      <c r="H153" s="442">
        <v>853387</v>
      </c>
      <c r="I153" s="442">
        <v>34699</v>
      </c>
      <c r="J153" s="442">
        <v>45340</v>
      </c>
      <c r="K153" s="442">
        <v>868769</v>
      </c>
      <c r="L153" s="442" t="s">
        <v>648</v>
      </c>
      <c r="M153" s="442" t="s">
        <v>648</v>
      </c>
      <c r="N153" s="442" t="s">
        <v>648</v>
      </c>
      <c r="O153" s="442">
        <v>98943</v>
      </c>
      <c r="P153" s="442">
        <v>2554921</v>
      </c>
      <c r="Q153" s="442">
        <v>2554921</v>
      </c>
      <c r="R153" s="442" t="s">
        <v>648</v>
      </c>
      <c r="S153" s="442">
        <v>1257626</v>
      </c>
      <c r="T153" s="442">
        <v>1257626</v>
      </c>
      <c r="U153" s="442">
        <v>969199</v>
      </c>
      <c r="V153" s="442">
        <v>680446</v>
      </c>
      <c r="W153" s="447" t="s">
        <v>768</v>
      </c>
    </row>
    <row r="154" spans="1:23" s="442" customFormat="1" ht="6.75" customHeight="1" x14ac:dyDescent="0.15">
      <c r="A154" s="950"/>
      <c r="W154" s="447"/>
    </row>
    <row r="155" spans="1:23" s="442" customFormat="1" ht="9.75" customHeight="1" x14ac:dyDescent="0.15">
      <c r="A155" s="950" t="s">
        <v>799</v>
      </c>
      <c r="B155" s="442">
        <v>31678</v>
      </c>
      <c r="C155" s="442">
        <v>4738757</v>
      </c>
      <c r="D155" s="442">
        <v>2089614</v>
      </c>
      <c r="E155" s="442">
        <v>433000</v>
      </c>
      <c r="F155" s="442" t="s">
        <v>648</v>
      </c>
      <c r="G155" s="442" t="s">
        <v>648</v>
      </c>
      <c r="H155" s="442">
        <v>259198</v>
      </c>
      <c r="I155" s="442" t="s">
        <v>648</v>
      </c>
      <c r="J155" s="442" t="s">
        <v>648</v>
      </c>
      <c r="K155" s="442">
        <v>1128889</v>
      </c>
      <c r="L155" s="442">
        <v>129163</v>
      </c>
      <c r="M155" s="442">
        <v>40421</v>
      </c>
      <c r="N155" s="442" t="s">
        <v>648</v>
      </c>
      <c r="O155" s="442">
        <v>98943</v>
      </c>
      <c r="P155" s="442">
        <v>2645254</v>
      </c>
      <c r="Q155" s="442">
        <v>2645254</v>
      </c>
      <c r="R155" s="442" t="s">
        <v>648</v>
      </c>
      <c r="S155" s="442">
        <v>1185210</v>
      </c>
      <c r="T155" s="442">
        <v>1185210</v>
      </c>
      <c r="U155" s="442">
        <v>985750</v>
      </c>
      <c r="V155" s="442">
        <v>564206</v>
      </c>
      <c r="W155" s="447" t="s">
        <v>673</v>
      </c>
    </row>
    <row r="156" spans="1:23" s="442" customFormat="1" ht="9.75" customHeight="1" x14ac:dyDescent="0.15">
      <c r="A156" s="950" t="s">
        <v>800</v>
      </c>
      <c r="B156" s="442">
        <v>552695</v>
      </c>
      <c r="C156" s="442">
        <v>6158289</v>
      </c>
      <c r="D156" s="442">
        <v>2080684</v>
      </c>
      <c r="E156" s="442">
        <v>43547</v>
      </c>
      <c r="F156" s="442">
        <v>80648</v>
      </c>
      <c r="G156" s="442">
        <v>119357</v>
      </c>
      <c r="H156" s="442">
        <v>901284</v>
      </c>
      <c r="I156" s="442">
        <v>34699</v>
      </c>
      <c r="J156" s="442">
        <v>45340</v>
      </c>
      <c r="K156" s="442">
        <v>765343</v>
      </c>
      <c r="L156" s="442">
        <v>90466</v>
      </c>
      <c r="M156" s="442" t="s">
        <v>648</v>
      </c>
      <c r="N156" s="442" t="s">
        <v>648</v>
      </c>
      <c r="O156" s="442" t="s">
        <v>648</v>
      </c>
      <c r="P156" s="442">
        <v>2105676</v>
      </c>
      <c r="Q156" s="442">
        <v>2105676</v>
      </c>
      <c r="R156" s="442" t="s">
        <v>648</v>
      </c>
      <c r="S156" s="442">
        <v>1360458</v>
      </c>
      <c r="T156" s="442">
        <v>1360458</v>
      </c>
      <c r="U156" s="442">
        <v>899820</v>
      </c>
      <c r="V156" s="442">
        <v>514622</v>
      </c>
      <c r="W156" s="447" t="s">
        <v>771</v>
      </c>
    </row>
    <row r="157" spans="1:23" s="442" customFormat="1" ht="6.75" customHeight="1" x14ac:dyDescent="0.15">
      <c r="A157" s="950"/>
      <c r="W157" s="447"/>
    </row>
    <row r="158" spans="1:23" s="442" customFormat="1" ht="9.75" customHeight="1" x14ac:dyDescent="0.15">
      <c r="A158" s="950" t="s">
        <v>772</v>
      </c>
      <c r="B158" s="442" t="s">
        <v>648</v>
      </c>
      <c r="C158" s="442">
        <v>1131564</v>
      </c>
      <c r="D158" s="442">
        <v>508672</v>
      </c>
      <c r="E158" s="442">
        <v>100565</v>
      </c>
      <c r="F158" s="442" t="s">
        <v>648</v>
      </c>
      <c r="G158" s="442" t="s">
        <v>648</v>
      </c>
      <c r="H158" s="442">
        <v>105983</v>
      </c>
      <c r="I158" s="442" t="s">
        <v>648</v>
      </c>
      <c r="J158" s="442" t="s">
        <v>648</v>
      </c>
      <c r="K158" s="442">
        <v>203181</v>
      </c>
      <c r="L158" s="442" t="s">
        <v>648</v>
      </c>
      <c r="M158" s="442" t="s">
        <v>648</v>
      </c>
      <c r="N158" s="442" t="s">
        <v>648</v>
      </c>
      <c r="O158" s="442">
        <v>98943</v>
      </c>
      <c r="P158" s="442">
        <v>996355</v>
      </c>
      <c r="Q158" s="442">
        <v>996355</v>
      </c>
      <c r="R158" s="442" t="s">
        <v>648</v>
      </c>
      <c r="S158" s="442">
        <v>259160</v>
      </c>
      <c r="T158" s="442">
        <v>259160</v>
      </c>
      <c r="U158" s="442">
        <v>165824</v>
      </c>
      <c r="V158" s="442">
        <v>165824</v>
      </c>
      <c r="W158" s="447" t="s">
        <v>674</v>
      </c>
    </row>
    <row r="159" spans="1:23" s="442" customFormat="1" ht="9.75" customHeight="1" x14ac:dyDescent="0.15">
      <c r="A159" s="950" t="s">
        <v>773</v>
      </c>
      <c r="B159" s="442">
        <v>197042</v>
      </c>
      <c r="C159" s="442">
        <v>1075954</v>
      </c>
      <c r="D159" s="442">
        <v>587710</v>
      </c>
      <c r="E159" s="442" t="s">
        <v>648</v>
      </c>
      <c r="F159" s="442" t="s">
        <v>648</v>
      </c>
      <c r="G159" s="442" t="s">
        <v>648</v>
      </c>
      <c r="H159" s="442">
        <v>221302</v>
      </c>
      <c r="I159" s="442">
        <v>34699</v>
      </c>
      <c r="J159" s="442">
        <v>45340</v>
      </c>
      <c r="K159" s="442">
        <v>286369</v>
      </c>
      <c r="L159" s="442" t="s">
        <v>648</v>
      </c>
      <c r="M159" s="442" t="s">
        <v>648</v>
      </c>
      <c r="N159" s="442" t="s">
        <v>648</v>
      </c>
      <c r="O159" s="442" t="s">
        <v>648</v>
      </c>
      <c r="P159" s="442">
        <v>494536</v>
      </c>
      <c r="Q159" s="442">
        <v>494536</v>
      </c>
      <c r="R159" s="442" t="s">
        <v>648</v>
      </c>
      <c r="S159" s="442">
        <v>400619</v>
      </c>
      <c r="T159" s="442">
        <v>400619</v>
      </c>
      <c r="U159" s="442">
        <v>262306</v>
      </c>
      <c r="V159" s="442">
        <v>119263</v>
      </c>
      <c r="W159" s="447" t="s">
        <v>92</v>
      </c>
    </row>
    <row r="160" spans="1:23" s="442" customFormat="1" ht="9.75" customHeight="1" x14ac:dyDescent="0.15">
      <c r="A160" s="950" t="s">
        <v>774</v>
      </c>
      <c r="B160" s="442">
        <v>263452</v>
      </c>
      <c r="C160" s="442">
        <v>1936367</v>
      </c>
      <c r="D160" s="442">
        <v>493323</v>
      </c>
      <c r="E160" s="442" t="s">
        <v>648</v>
      </c>
      <c r="F160" s="442" t="s">
        <v>648</v>
      </c>
      <c r="G160" s="442" t="s">
        <v>648</v>
      </c>
      <c r="H160" s="442">
        <v>374446</v>
      </c>
      <c r="I160" s="442" t="s">
        <v>648</v>
      </c>
      <c r="J160" s="442" t="s">
        <v>648</v>
      </c>
      <c r="K160" s="442">
        <v>118877</v>
      </c>
      <c r="L160" s="442" t="s">
        <v>648</v>
      </c>
      <c r="M160" s="442" t="s">
        <v>648</v>
      </c>
      <c r="N160" s="442" t="s">
        <v>648</v>
      </c>
      <c r="O160" s="442" t="s">
        <v>648</v>
      </c>
      <c r="P160" s="442">
        <v>747937</v>
      </c>
      <c r="Q160" s="442">
        <v>747937</v>
      </c>
      <c r="R160" s="442" t="s">
        <v>648</v>
      </c>
      <c r="S160" s="442">
        <v>272363</v>
      </c>
      <c r="T160" s="442">
        <v>272363</v>
      </c>
      <c r="U160" s="442">
        <v>147933</v>
      </c>
      <c r="V160" s="442">
        <v>147933</v>
      </c>
      <c r="W160" s="447" t="s">
        <v>93</v>
      </c>
    </row>
    <row r="161" spans="1:23" s="442" customFormat="1" ht="9.75" customHeight="1" x14ac:dyDescent="0.15">
      <c r="A161" s="950" t="s">
        <v>801</v>
      </c>
      <c r="B161" s="442">
        <v>92201</v>
      </c>
      <c r="C161" s="442">
        <v>1660937</v>
      </c>
      <c r="D161" s="442">
        <v>416624</v>
      </c>
      <c r="E161" s="442" t="s">
        <v>648</v>
      </c>
      <c r="F161" s="442" t="s">
        <v>648</v>
      </c>
      <c r="G161" s="442">
        <v>4626</v>
      </c>
      <c r="H161" s="442">
        <v>151656</v>
      </c>
      <c r="I161" s="442" t="s">
        <v>648</v>
      </c>
      <c r="J161" s="442" t="s">
        <v>648</v>
      </c>
      <c r="K161" s="442">
        <v>260342</v>
      </c>
      <c r="L161" s="442" t="s">
        <v>648</v>
      </c>
      <c r="M161" s="442" t="s">
        <v>648</v>
      </c>
      <c r="N161" s="442" t="s">
        <v>648</v>
      </c>
      <c r="O161" s="442" t="s">
        <v>648</v>
      </c>
      <c r="P161" s="442">
        <v>316093</v>
      </c>
      <c r="Q161" s="442">
        <v>316093</v>
      </c>
      <c r="R161" s="442" t="s">
        <v>648</v>
      </c>
      <c r="S161" s="442">
        <v>325484</v>
      </c>
      <c r="T161" s="442">
        <v>325484</v>
      </c>
      <c r="U161" s="442">
        <v>393136</v>
      </c>
      <c r="V161" s="442">
        <v>247426</v>
      </c>
      <c r="W161" s="447" t="s">
        <v>94</v>
      </c>
    </row>
    <row r="162" spans="1:23" s="442" customFormat="1" ht="9.75" customHeight="1" x14ac:dyDescent="0.15">
      <c r="A162" s="950" t="s">
        <v>809</v>
      </c>
      <c r="B162" s="442" t="s">
        <v>648</v>
      </c>
      <c r="C162" s="442">
        <v>1485031</v>
      </c>
      <c r="D162" s="442">
        <v>583027</v>
      </c>
      <c r="E162" s="442">
        <v>43547</v>
      </c>
      <c r="F162" s="442">
        <v>80648</v>
      </c>
      <c r="G162" s="442">
        <v>114731</v>
      </c>
      <c r="H162" s="442">
        <v>153880</v>
      </c>
      <c r="I162" s="442" t="s">
        <v>648</v>
      </c>
      <c r="J162" s="442" t="s">
        <v>648</v>
      </c>
      <c r="K162" s="442">
        <v>99755</v>
      </c>
      <c r="L162" s="442">
        <v>90466</v>
      </c>
      <c r="M162" s="442" t="s">
        <v>648</v>
      </c>
      <c r="N162" s="442" t="s">
        <v>648</v>
      </c>
      <c r="O162" s="442" t="s">
        <v>648</v>
      </c>
      <c r="P162" s="442">
        <v>547110</v>
      </c>
      <c r="Q162" s="442">
        <v>547110</v>
      </c>
      <c r="R162" s="442" t="s">
        <v>648</v>
      </c>
      <c r="S162" s="442">
        <v>361992</v>
      </c>
      <c r="T162" s="442">
        <v>361992</v>
      </c>
      <c r="U162" s="442">
        <v>96445</v>
      </c>
      <c r="V162" s="442" t="s">
        <v>648</v>
      </c>
      <c r="W162" s="447" t="s">
        <v>777</v>
      </c>
    </row>
    <row r="163" spans="1:23" s="442" customFormat="1" ht="6.75" customHeight="1" x14ac:dyDescent="0.15">
      <c r="A163" s="950"/>
      <c r="W163" s="447"/>
    </row>
    <row r="164" spans="1:23" s="442" customFormat="1" ht="9.75" customHeight="1" x14ac:dyDescent="0.15">
      <c r="A164" s="950" t="s">
        <v>778</v>
      </c>
      <c r="B164" s="442" t="s">
        <v>648</v>
      </c>
      <c r="C164" s="442">
        <v>166427</v>
      </c>
      <c r="D164" s="442">
        <v>170510</v>
      </c>
      <c r="E164" s="442">
        <v>32795</v>
      </c>
      <c r="F164" s="442" t="s">
        <v>648</v>
      </c>
      <c r="G164" s="442" t="s">
        <v>648</v>
      </c>
      <c r="H164" s="442">
        <v>9966</v>
      </c>
      <c r="I164" s="442" t="s">
        <v>648</v>
      </c>
      <c r="J164" s="442" t="s">
        <v>648</v>
      </c>
      <c r="K164" s="442">
        <v>127749</v>
      </c>
      <c r="L164" s="442" t="s">
        <v>648</v>
      </c>
      <c r="M164" s="442" t="s">
        <v>648</v>
      </c>
      <c r="N164" s="442" t="s">
        <v>648</v>
      </c>
      <c r="O164" s="442" t="s">
        <v>648</v>
      </c>
      <c r="P164" s="442">
        <v>118920</v>
      </c>
      <c r="Q164" s="442">
        <v>118920</v>
      </c>
      <c r="R164" s="442" t="s">
        <v>648</v>
      </c>
      <c r="S164" s="442">
        <v>23127</v>
      </c>
      <c r="T164" s="442">
        <v>23127</v>
      </c>
      <c r="U164" s="442">
        <v>49371</v>
      </c>
      <c r="V164" s="442">
        <v>49371</v>
      </c>
      <c r="W164" s="447" t="s">
        <v>675</v>
      </c>
    </row>
    <row r="165" spans="1:23" s="442" customFormat="1" ht="9.75" customHeight="1" x14ac:dyDescent="0.15">
      <c r="A165" s="950" t="s">
        <v>779</v>
      </c>
      <c r="B165" s="442" t="s">
        <v>648</v>
      </c>
      <c r="C165" s="442">
        <v>417718</v>
      </c>
      <c r="D165" s="442">
        <v>141850</v>
      </c>
      <c r="E165" s="442">
        <v>67770</v>
      </c>
      <c r="F165" s="442" t="s">
        <v>648</v>
      </c>
      <c r="G165" s="442" t="s">
        <v>648</v>
      </c>
      <c r="H165" s="442">
        <v>42434</v>
      </c>
      <c r="I165" s="442" t="s">
        <v>648</v>
      </c>
      <c r="J165" s="442" t="s">
        <v>648</v>
      </c>
      <c r="K165" s="442">
        <v>31646</v>
      </c>
      <c r="L165" s="442" t="s">
        <v>648</v>
      </c>
      <c r="M165" s="442" t="s">
        <v>648</v>
      </c>
      <c r="N165" s="442" t="s">
        <v>648</v>
      </c>
      <c r="O165" s="442" t="s">
        <v>648</v>
      </c>
      <c r="P165" s="442">
        <v>414243</v>
      </c>
      <c r="Q165" s="442">
        <v>414243</v>
      </c>
      <c r="R165" s="442" t="s">
        <v>648</v>
      </c>
      <c r="S165" s="442">
        <v>81242</v>
      </c>
      <c r="T165" s="442">
        <v>81242</v>
      </c>
      <c r="U165" s="442">
        <v>116453</v>
      </c>
      <c r="V165" s="442">
        <v>116453</v>
      </c>
      <c r="W165" s="447" t="s">
        <v>80</v>
      </c>
    </row>
    <row r="166" spans="1:23" s="442" customFormat="1" ht="9.75" customHeight="1" x14ac:dyDescent="0.15">
      <c r="A166" s="950" t="s">
        <v>780</v>
      </c>
      <c r="B166" s="442" t="s">
        <v>648</v>
      </c>
      <c r="C166" s="442">
        <v>547419</v>
      </c>
      <c r="D166" s="442">
        <v>196312</v>
      </c>
      <c r="E166" s="442" t="s">
        <v>648</v>
      </c>
      <c r="F166" s="442" t="s">
        <v>648</v>
      </c>
      <c r="G166" s="442" t="s">
        <v>648</v>
      </c>
      <c r="H166" s="442">
        <v>53583</v>
      </c>
      <c r="I166" s="442" t="s">
        <v>648</v>
      </c>
      <c r="J166" s="442" t="s">
        <v>648</v>
      </c>
      <c r="K166" s="442">
        <v>43786</v>
      </c>
      <c r="L166" s="442" t="s">
        <v>648</v>
      </c>
      <c r="M166" s="442" t="s">
        <v>648</v>
      </c>
      <c r="N166" s="442" t="s">
        <v>648</v>
      </c>
      <c r="O166" s="442">
        <v>98943</v>
      </c>
      <c r="P166" s="442">
        <v>463192</v>
      </c>
      <c r="Q166" s="442">
        <v>463192</v>
      </c>
      <c r="R166" s="442" t="s">
        <v>648</v>
      </c>
      <c r="S166" s="442">
        <v>154791</v>
      </c>
      <c r="T166" s="442">
        <v>154791</v>
      </c>
      <c r="U166" s="442" t="s">
        <v>648</v>
      </c>
      <c r="V166" s="442" t="s">
        <v>648</v>
      </c>
      <c r="W166" s="447" t="s">
        <v>81</v>
      </c>
    </row>
    <row r="167" spans="1:23" s="442" customFormat="1" ht="9.75" customHeight="1" x14ac:dyDescent="0.15">
      <c r="A167" s="950" t="s">
        <v>781</v>
      </c>
      <c r="B167" s="442">
        <v>54312</v>
      </c>
      <c r="C167" s="442">
        <v>470305</v>
      </c>
      <c r="D167" s="442">
        <v>195972</v>
      </c>
      <c r="E167" s="442" t="s">
        <v>648</v>
      </c>
      <c r="F167" s="442" t="s">
        <v>648</v>
      </c>
      <c r="G167" s="442" t="s">
        <v>648</v>
      </c>
      <c r="H167" s="442">
        <v>74369</v>
      </c>
      <c r="I167" s="442" t="s">
        <v>648</v>
      </c>
      <c r="J167" s="442" t="s">
        <v>648</v>
      </c>
      <c r="K167" s="442">
        <v>121603</v>
      </c>
      <c r="L167" s="442" t="s">
        <v>648</v>
      </c>
      <c r="M167" s="442" t="s">
        <v>648</v>
      </c>
      <c r="N167" s="442" t="s">
        <v>648</v>
      </c>
      <c r="O167" s="442" t="s">
        <v>648</v>
      </c>
      <c r="P167" s="442">
        <v>94437</v>
      </c>
      <c r="Q167" s="442">
        <v>94437</v>
      </c>
      <c r="R167" s="442" t="s">
        <v>648</v>
      </c>
      <c r="S167" s="442">
        <v>152779</v>
      </c>
      <c r="T167" s="442">
        <v>152779</v>
      </c>
      <c r="U167" s="442">
        <v>140567</v>
      </c>
      <c r="V167" s="442">
        <v>89556</v>
      </c>
      <c r="W167" s="447" t="s">
        <v>82</v>
      </c>
    </row>
    <row r="168" spans="1:23" s="442" customFormat="1" ht="9.75" customHeight="1" x14ac:dyDescent="0.15">
      <c r="A168" s="950" t="s">
        <v>782</v>
      </c>
      <c r="B168" s="442">
        <v>101480</v>
      </c>
      <c r="C168" s="442">
        <v>347731</v>
      </c>
      <c r="D168" s="442">
        <v>289829</v>
      </c>
      <c r="E168" s="442" t="s">
        <v>648</v>
      </c>
      <c r="F168" s="442" t="s">
        <v>648</v>
      </c>
      <c r="G168" s="442" t="s">
        <v>648</v>
      </c>
      <c r="H168" s="442">
        <v>51968</v>
      </c>
      <c r="I168" s="442">
        <v>34699</v>
      </c>
      <c r="J168" s="442">
        <v>45340</v>
      </c>
      <c r="K168" s="442">
        <v>157822</v>
      </c>
      <c r="L168" s="442" t="s">
        <v>648</v>
      </c>
      <c r="M168" s="442" t="s">
        <v>648</v>
      </c>
      <c r="N168" s="442" t="s">
        <v>648</v>
      </c>
      <c r="O168" s="442" t="s">
        <v>648</v>
      </c>
      <c r="P168" s="442">
        <v>216070</v>
      </c>
      <c r="Q168" s="442">
        <v>216070</v>
      </c>
      <c r="R168" s="442" t="s">
        <v>648</v>
      </c>
      <c r="S168" s="442">
        <v>68689</v>
      </c>
      <c r="T168" s="442">
        <v>68689</v>
      </c>
      <c r="U168" s="442">
        <v>73714</v>
      </c>
      <c r="V168" s="442">
        <v>29707</v>
      </c>
      <c r="W168" s="447" t="s">
        <v>95</v>
      </c>
    </row>
    <row r="169" spans="1:23" s="442" customFormat="1" ht="9.75" customHeight="1" x14ac:dyDescent="0.15">
      <c r="A169" s="950" t="s">
        <v>783</v>
      </c>
      <c r="B169" s="442">
        <v>41250</v>
      </c>
      <c r="C169" s="442">
        <v>257918</v>
      </c>
      <c r="D169" s="442">
        <v>101909</v>
      </c>
      <c r="E169" s="442" t="s">
        <v>648</v>
      </c>
      <c r="F169" s="442" t="s">
        <v>648</v>
      </c>
      <c r="G169" s="442" t="s">
        <v>648</v>
      </c>
      <c r="H169" s="442">
        <v>94965</v>
      </c>
      <c r="I169" s="442" t="s">
        <v>648</v>
      </c>
      <c r="J169" s="442" t="s">
        <v>648</v>
      </c>
      <c r="K169" s="442">
        <v>6944</v>
      </c>
      <c r="L169" s="442" t="s">
        <v>648</v>
      </c>
      <c r="M169" s="442" t="s">
        <v>648</v>
      </c>
      <c r="N169" s="442" t="s">
        <v>648</v>
      </c>
      <c r="O169" s="442" t="s">
        <v>648</v>
      </c>
      <c r="P169" s="442">
        <v>184029</v>
      </c>
      <c r="Q169" s="442">
        <v>184029</v>
      </c>
      <c r="R169" s="442" t="s">
        <v>648</v>
      </c>
      <c r="S169" s="442">
        <v>179151</v>
      </c>
      <c r="T169" s="442">
        <v>179151</v>
      </c>
      <c r="U169" s="442">
        <v>48025</v>
      </c>
      <c r="V169" s="442" t="s">
        <v>648</v>
      </c>
      <c r="W169" s="447" t="s">
        <v>96</v>
      </c>
    </row>
    <row r="170" spans="1:23" s="442" customFormat="1" ht="9.75" customHeight="1" x14ac:dyDescent="0.15">
      <c r="A170" s="950" t="s">
        <v>784</v>
      </c>
      <c r="B170" s="442">
        <v>120004</v>
      </c>
      <c r="C170" s="442">
        <v>646386</v>
      </c>
      <c r="D170" s="442">
        <v>74209</v>
      </c>
      <c r="E170" s="442" t="s">
        <v>648</v>
      </c>
      <c r="F170" s="442" t="s">
        <v>648</v>
      </c>
      <c r="G170" s="442" t="s">
        <v>648</v>
      </c>
      <c r="H170" s="442">
        <v>74209</v>
      </c>
      <c r="I170" s="442" t="s">
        <v>648</v>
      </c>
      <c r="J170" s="442" t="s">
        <v>648</v>
      </c>
      <c r="K170" s="442" t="s">
        <v>648</v>
      </c>
      <c r="L170" s="442" t="s">
        <v>648</v>
      </c>
      <c r="M170" s="442" t="s">
        <v>648</v>
      </c>
      <c r="N170" s="442" t="s">
        <v>648</v>
      </c>
      <c r="O170" s="442" t="s">
        <v>648</v>
      </c>
      <c r="P170" s="442">
        <v>290847</v>
      </c>
      <c r="Q170" s="442">
        <v>290847</v>
      </c>
      <c r="R170" s="442" t="s">
        <v>648</v>
      </c>
      <c r="S170" s="442">
        <v>103198</v>
      </c>
      <c r="T170" s="442">
        <v>103198</v>
      </c>
      <c r="U170" s="442" t="s">
        <v>648</v>
      </c>
      <c r="V170" s="442" t="s">
        <v>648</v>
      </c>
      <c r="W170" s="447" t="s">
        <v>97</v>
      </c>
    </row>
    <row r="171" spans="1:23" s="442" customFormat="1" ht="9.75" customHeight="1" x14ac:dyDescent="0.15">
      <c r="A171" s="950" t="s">
        <v>806</v>
      </c>
      <c r="B171" s="442">
        <v>51769</v>
      </c>
      <c r="C171" s="442">
        <v>473948</v>
      </c>
      <c r="D171" s="442">
        <v>316904</v>
      </c>
      <c r="E171" s="442" t="s">
        <v>648</v>
      </c>
      <c r="F171" s="442" t="s">
        <v>648</v>
      </c>
      <c r="G171" s="442" t="s">
        <v>648</v>
      </c>
      <c r="H171" s="442">
        <v>198027</v>
      </c>
      <c r="I171" s="442" t="s">
        <v>648</v>
      </c>
      <c r="J171" s="442" t="s">
        <v>648</v>
      </c>
      <c r="K171" s="442">
        <v>118877</v>
      </c>
      <c r="L171" s="442" t="s">
        <v>648</v>
      </c>
      <c r="M171" s="442" t="s">
        <v>648</v>
      </c>
      <c r="N171" s="442" t="s">
        <v>648</v>
      </c>
      <c r="O171" s="442" t="s">
        <v>648</v>
      </c>
      <c r="P171" s="442">
        <v>229404</v>
      </c>
      <c r="Q171" s="442">
        <v>229404</v>
      </c>
      <c r="R171" s="442" t="s">
        <v>648</v>
      </c>
      <c r="S171" s="442">
        <v>154765</v>
      </c>
      <c r="T171" s="442">
        <v>154765</v>
      </c>
      <c r="U171" s="442">
        <v>147933</v>
      </c>
      <c r="V171" s="442">
        <v>147933</v>
      </c>
      <c r="W171" s="447" t="s">
        <v>98</v>
      </c>
    </row>
    <row r="172" spans="1:23" s="442" customFormat="1" ht="9.75" customHeight="1" x14ac:dyDescent="0.15">
      <c r="A172" s="950" t="s">
        <v>786</v>
      </c>
      <c r="B172" s="442">
        <v>91679</v>
      </c>
      <c r="C172" s="442">
        <v>816033</v>
      </c>
      <c r="D172" s="442">
        <v>102210</v>
      </c>
      <c r="E172" s="442" t="s">
        <v>648</v>
      </c>
      <c r="F172" s="442" t="s">
        <v>648</v>
      </c>
      <c r="G172" s="442" t="s">
        <v>648</v>
      </c>
      <c r="H172" s="442">
        <v>102210</v>
      </c>
      <c r="I172" s="442" t="s">
        <v>648</v>
      </c>
      <c r="J172" s="442" t="s">
        <v>648</v>
      </c>
      <c r="K172" s="442" t="s">
        <v>648</v>
      </c>
      <c r="L172" s="442" t="s">
        <v>648</v>
      </c>
      <c r="M172" s="442" t="s">
        <v>648</v>
      </c>
      <c r="N172" s="442" t="s">
        <v>648</v>
      </c>
      <c r="O172" s="442" t="s">
        <v>648</v>
      </c>
      <c r="P172" s="442">
        <v>227686</v>
      </c>
      <c r="Q172" s="442">
        <v>227686</v>
      </c>
      <c r="R172" s="442" t="s">
        <v>648</v>
      </c>
      <c r="S172" s="442">
        <v>14400</v>
      </c>
      <c r="T172" s="442">
        <v>14400</v>
      </c>
      <c r="U172" s="442" t="s">
        <v>648</v>
      </c>
      <c r="V172" s="442" t="s">
        <v>648</v>
      </c>
      <c r="W172" s="447" t="s">
        <v>99</v>
      </c>
    </row>
    <row r="173" spans="1:23" s="442" customFormat="1" ht="9.75" customHeight="1" x14ac:dyDescent="0.15">
      <c r="A173" s="950" t="s">
        <v>807</v>
      </c>
      <c r="B173" s="442">
        <v>92201</v>
      </c>
      <c r="C173" s="442">
        <v>432586</v>
      </c>
      <c r="D173" s="442">
        <v>112731</v>
      </c>
      <c r="E173" s="442" t="s">
        <v>648</v>
      </c>
      <c r="F173" s="442" t="s">
        <v>648</v>
      </c>
      <c r="G173" s="442" t="s">
        <v>648</v>
      </c>
      <c r="H173" s="442">
        <v>74372</v>
      </c>
      <c r="I173" s="442" t="s">
        <v>648</v>
      </c>
      <c r="J173" s="442" t="s">
        <v>648</v>
      </c>
      <c r="K173" s="442">
        <v>38359</v>
      </c>
      <c r="L173" s="442" t="s">
        <v>648</v>
      </c>
      <c r="M173" s="442" t="s">
        <v>648</v>
      </c>
      <c r="N173" s="442" t="s">
        <v>648</v>
      </c>
      <c r="O173" s="442" t="s">
        <v>648</v>
      </c>
      <c r="P173" s="442">
        <v>102863</v>
      </c>
      <c r="Q173" s="442">
        <v>102863</v>
      </c>
      <c r="R173" s="442" t="s">
        <v>648</v>
      </c>
      <c r="S173" s="442">
        <v>67559</v>
      </c>
      <c r="T173" s="442">
        <v>67559</v>
      </c>
      <c r="U173" s="442">
        <v>49816</v>
      </c>
      <c r="V173" s="442">
        <v>49816</v>
      </c>
      <c r="W173" s="447" t="s">
        <v>83</v>
      </c>
    </row>
    <row r="174" spans="1:23" s="442" customFormat="1" ht="9.75" customHeight="1" x14ac:dyDescent="0.15">
      <c r="A174" s="950" t="s">
        <v>788</v>
      </c>
      <c r="B174" s="442" t="s">
        <v>648</v>
      </c>
      <c r="C174" s="442">
        <v>695804</v>
      </c>
      <c r="D174" s="442">
        <v>96489</v>
      </c>
      <c r="E174" s="442" t="s">
        <v>648</v>
      </c>
      <c r="F174" s="442" t="s">
        <v>648</v>
      </c>
      <c r="G174" s="442" t="s">
        <v>648</v>
      </c>
      <c r="H174" s="442">
        <v>77284</v>
      </c>
      <c r="I174" s="442" t="s">
        <v>648</v>
      </c>
      <c r="J174" s="442" t="s">
        <v>648</v>
      </c>
      <c r="K174" s="442">
        <v>19205</v>
      </c>
      <c r="L174" s="442" t="s">
        <v>648</v>
      </c>
      <c r="M174" s="442" t="s">
        <v>648</v>
      </c>
      <c r="N174" s="442" t="s">
        <v>648</v>
      </c>
      <c r="O174" s="442" t="s">
        <v>648</v>
      </c>
      <c r="P174" s="442">
        <v>121540</v>
      </c>
      <c r="Q174" s="442">
        <v>121540</v>
      </c>
      <c r="R174" s="442" t="s">
        <v>648</v>
      </c>
      <c r="S174" s="442">
        <v>103168</v>
      </c>
      <c r="T174" s="442">
        <v>103168</v>
      </c>
      <c r="U174" s="442">
        <v>176192</v>
      </c>
      <c r="V174" s="442">
        <v>128481</v>
      </c>
      <c r="W174" s="447" t="s">
        <v>84</v>
      </c>
    </row>
    <row r="175" spans="1:23" s="442" customFormat="1" ht="9.75" customHeight="1" x14ac:dyDescent="0.15">
      <c r="A175" s="950" t="s">
        <v>789</v>
      </c>
      <c r="B175" s="442" t="s">
        <v>648</v>
      </c>
      <c r="C175" s="442">
        <v>532547</v>
      </c>
      <c r="D175" s="442">
        <v>207404</v>
      </c>
      <c r="E175" s="442" t="s">
        <v>648</v>
      </c>
      <c r="F175" s="442" t="s">
        <v>648</v>
      </c>
      <c r="G175" s="442">
        <v>4626</v>
      </c>
      <c r="H175" s="442" t="s">
        <v>648</v>
      </c>
      <c r="I175" s="442" t="s">
        <v>648</v>
      </c>
      <c r="J175" s="442" t="s">
        <v>648</v>
      </c>
      <c r="K175" s="442">
        <v>202778</v>
      </c>
      <c r="L175" s="442" t="s">
        <v>648</v>
      </c>
      <c r="M175" s="442" t="s">
        <v>648</v>
      </c>
      <c r="N175" s="442" t="s">
        <v>648</v>
      </c>
      <c r="O175" s="442" t="s">
        <v>648</v>
      </c>
      <c r="P175" s="442">
        <v>91690</v>
      </c>
      <c r="Q175" s="442">
        <v>91690</v>
      </c>
      <c r="R175" s="442" t="s">
        <v>648</v>
      </c>
      <c r="S175" s="442">
        <v>154757</v>
      </c>
      <c r="T175" s="442">
        <v>154757</v>
      </c>
      <c r="U175" s="442">
        <v>167128</v>
      </c>
      <c r="V175" s="442">
        <v>69129</v>
      </c>
      <c r="W175" s="447" t="s">
        <v>85</v>
      </c>
    </row>
    <row r="176" spans="1:23" s="442" customFormat="1" ht="9.75" customHeight="1" x14ac:dyDescent="0.15">
      <c r="A176" s="950" t="s">
        <v>790</v>
      </c>
      <c r="B176" s="442" t="s">
        <v>648</v>
      </c>
      <c r="C176" s="442">
        <v>516293</v>
      </c>
      <c r="D176" s="442">
        <v>254027</v>
      </c>
      <c r="E176" s="442" t="s">
        <v>648</v>
      </c>
      <c r="F176" s="442" t="s">
        <v>648</v>
      </c>
      <c r="G176" s="442">
        <v>114731</v>
      </c>
      <c r="H176" s="442">
        <v>79751</v>
      </c>
      <c r="I176" s="442" t="s">
        <v>648</v>
      </c>
      <c r="J176" s="442" t="s">
        <v>648</v>
      </c>
      <c r="K176" s="442">
        <v>59545</v>
      </c>
      <c r="L176" s="442" t="s">
        <v>648</v>
      </c>
      <c r="M176" s="442" t="s">
        <v>648</v>
      </c>
      <c r="N176" s="442" t="s">
        <v>648</v>
      </c>
      <c r="O176" s="442" t="s">
        <v>648</v>
      </c>
      <c r="P176" s="442">
        <v>316754</v>
      </c>
      <c r="Q176" s="442">
        <v>316754</v>
      </c>
      <c r="R176" s="442" t="s">
        <v>648</v>
      </c>
      <c r="S176" s="442">
        <v>154149</v>
      </c>
      <c r="T176" s="442">
        <v>154149</v>
      </c>
      <c r="U176" s="442">
        <v>96445</v>
      </c>
      <c r="V176" s="442" t="s">
        <v>648</v>
      </c>
      <c r="W176" s="447" t="s">
        <v>791</v>
      </c>
    </row>
    <row r="177" spans="1:23" s="442" customFormat="1" ht="9.75" customHeight="1" x14ac:dyDescent="0.15">
      <c r="A177" s="950" t="s">
        <v>792</v>
      </c>
      <c r="B177" s="442" t="s">
        <v>648</v>
      </c>
      <c r="C177" s="442">
        <v>613871</v>
      </c>
      <c r="D177" s="442">
        <v>83757</v>
      </c>
      <c r="E177" s="442">
        <v>43547</v>
      </c>
      <c r="F177" s="442" t="s">
        <v>648</v>
      </c>
      <c r="G177" s="442" t="s">
        <v>648</v>
      </c>
      <c r="H177" s="442" t="s">
        <v>648</v>
      </c>
      <c r="I177" s="442" t="s">
        <v>648</v>
      </c>
      <c r="J177" s="442" t="s">
        <v>648</v>
      </c>
      <c r="K177" s="442">
        <v>40210</v>
      </c>
      <c r="L177" s="442" t="s">
        <v>648</v>
      </c>
      <c r="M177" s="442" t="s">
        <v>648</v>
      </c>
      <c r="N177" s="442" t="s">
        <v>648</v>
      </c>
      <c r="O177" s="442" t="s">
        <v>648</v>
      </c>
      <c r="P177" s="442">
        <v>186298</v>
      </c>
      <c r="Q177" s="442">
        <v>186298</v>
      </c>
      <c r="R177" s="442" t="s">
        <v>648</v>
      </c>
      <c r="S177" s="442">
        <v>104404</v>
      </c>
      <c r="T177" s="442">
        <v>104404</v>
      </c>
      <c r="U177" s="442" t="s">
        <v>648</v>
      </c>
      <c r="V177" s="442" t="s">
        <v>648</v>
      </c>
      <c r="W177" s="447" t="s">
        <v>80</v>
      </c>
    </row>
    <row r="178" spans="1:23" s="442" customFormat="1" ht="9.75" customHeight="1" x14ac:dyDescent="0.15">
      <c r="A178" s="951" t="s">
        <v>793</v>
      </c>
      <c r="B178" s="446" t="s">
        <v>648</v>
      </c>
      <c r="C178" s="445">
        <v>354867</v>
      </c>
      <c r="D178" s="445">
        <v>245243</v>
      </c>
      <c r="E178" s="445" t="s">
        <v>648</v>
      </c>
      <c r="F178" s="445">
        <v>80648</v>
      </c>
      <c r="G178" s="445" t="s">
        <v>648</v>
      </c>
      <c r="H178" s="445">
        <v>74129</v>
      </c>
      <c r="I178" s="445" t="s">
        <v>648</v>
      </c>
      <c r="J178" s="445" t="s">
        <v>648</v>
      </c>
      <c r="K178" s="445" t="s">
        <v>648</v>
      </c>
      <c r="L178" s="445">
        <v>90466</v>
      </c>
      <c r="M178" s="445" t="s">
        <v>648</v>
      </c>
      <c r="N178" s="445" t="s">
        <v>648</v>
      </c>
      <c r="O178" s="445" t="s">
        <v>648</v>
      </c>
      <c r="P178" s="445">
        <v>44058</v>
      </c>
      <c r="Q178" s="445">
        <v>44058</v>
      </c>
      <c r="R178" s="445" t="s">
        <v>648</v>
      </c>
      <c r="S178" s="445">
        <v>103439</v>
      </c>
      <c r="T178" s="445">
        <v>103439</v>
      </c>
      <c r="U178" s="445" t="s">
        <v>648</v>
      </c>
      <c r="V178" s="445" t="s">
        <v>648</v>
      </c>
      <c r="W178" s="443" t="s">
        <v>81</v>
      </c>
    </row>
    <row r="179" spans="1:23" ht="12" customHeight="1" x14ac:dyDescent="0.2"/>
    <row r="180" spans="1:23" ht="12" customHeight="1" x14ac:dyDescent="0.2"/>
    <row r="181" spans="1:23" ht="12" customHeight="1" x14ac:dyDescent="0.2">
      <c r="K181" s="457" t="s">
        <v>100</v>
      </c>
    </row>
    <row r="182" spans="1:23" s="453" customFormat="1" ht="21" customHeight="1" x14ac:dyDescent="0.2">
      <c r="A182" s="1089" t="s">
        <v>194</v>
      </c>
      <c r="B182" s="456" t="s">
        <v>333</v>
      </c>
      <c r="C182" s="455"/>
      <c r="D182" s="455"/>
      <c r="E182" s="455"/>
      <c r="F182" s="455"/>
      <c r="G182" s="455"/>
      <c r="H182" s="917"/>
      <c r="I182" s="1014" t="s">
        <v>1098</v>
      </c>
      <c r="J182" s="455"/>
      <c r="K182" s="455"/>
      <c r="L182" s="917"/>
      <c r="M182" s="918" t="s">
        <v>332</v>
      </c>
      <c r="N182" s="455"/>
      <c r="O182" s="455"/>
      <c r="P182" s="455"/>
      <c r="Q182" s="455"/>
      <c r="R182" s="917"/>
      <c r="S182" s="918" t="s">
        <v>328</v>
      </c>
      <c r="T182" s="455"/>
      <c r="U182" s="455"/>
      <c r="V182" s="455"/>
      <c r="W182" s="1092" t="s">
        <v>86</v>
      </c>
    </row>
    <row r="183" spans="1:23" s="453" customFormat="1" ht="21" customHeight="1" x14ac:dyDescent="0.2">
      <c r="A183" s="1090"/>
      <c r="B183" s="456" t="s">
        <v>331</v>
      </c>
      <c r="C183" s="455"/>
      <c r="D183" s="917"/>
      <c r="E183" s="918" t="s">
        <v>270</v>
      </c>
      <c r="F183" s="455"/>
      <c r="G183" s="455"/>
      <c r="H183" s="917"/>
      <c r="I183" s="1095" t="s">
        <v>330</v>
      </c>
      <c r="J183" s="918" t="s">
        <v>297</v>
      </c>
      <c r="K183" s="455"/>
      <c r="L183" s="917"/>
      <c r="M183" s="1095" t="s">
        <v>329</v>
      </c>
      <c r="N183" s="918" t="s">
        <v>297</v>
      </c>
      <c r="O183" s="455"/>
      <c r="P183" s="455"/>
      <c r="Q183" s="455"/>
      <c r="R183" s="917"/>
      <c r="S183" s="1095" t="s">
        <v>326</v>
      </c>
      <c r="T183" s="918" t="s">
        <v>297</v>
      </c>
      <c r="U183" s="455"/>
      <c r="V183" s="455"/>
      <c r="W183" s="1093"/>
    </row>
    <row r="184" spans="1:23" s="453" customFormat="1" ht="52.5" customHeight="1" x14ac:dyDescent="0.2">
      <c r="A184" s="1091"/>
      <c r="B184" s="454" t="s">
        <v>267</v>
      </c>
      <c r="C184" s="454" t="s">
        <v>266</v>
      </c>
      <c r="D184" s="454" t="s">
        <v>1093</v>
      </c>
      <c r="E184" s="920" t="s">
        <v>1094</v>
      </c>
      <c r="F184" s="454" t="s">
        <v>263</v>
      </c>
      <c r="G184" s="454" t="s">
        <v>262</v>
      </c>
      <c r="H184" s="454" t="s">
        <v>1095</v>
      </c>
      <c r="I184" s="1096"/>
      <c r="J184" s="920" t="s">
        <v>1096</v>
      </c>
      <c r="K184" s="454" t="s">
        <v>286</v>
      </c>
      <c r="L184" s="454" t="s">
        <v>1097</v>
      </c>
      <c r="M184" s="1096"/>
      <c r="N184" s="920" t="s">
        <v>1096</v>
      </c>
      <c r="O184" s="454" t="s">
        <v>286</v>
      </c>
      <c r="P184" s="454" t="s">
        <v>1097</v>
      </c>
      <c r="Q184" s="454" t="s">
        <v>285</v>
      </c>
      <c r="R184" s="454" t="s">
        <v>284</v>
      </c>
      <c r="S184" s="1096"/>
      <c r="T184" s="920" t="s">
        <v>1096</v>
      </c>
      <c r="U184" s="454" t="s">
        <v>286</v>
      </c>
      <c r="V184" s="458" t="s">
        <v>1097</v>
      </c>
      <c r="W184" s="1094"/>
    </row>
    <row r="185" spans="1:23" s="442" customFormat="1" ht="9.75" customHeight="1" x14ac:dyDescent="0.15">
      <c r="A185" s="949" t="s">
        <v>763</v>
      </c>
      <c r="B185" s="452" t="s">
        <v>648</v>
      </c>
      <c r="C185" s="451" t="s">
        <v>648</v>
      </c>
      <c r="D185" s="451" t="s">
        <v>648</v>
      </c>
      <c r="E185" s="451">
        <v>590604</v>
      </c>
      <c r="F185" s="451">
        <v>279881</v>
      </c>
      <c r="G185" s="451">
        <v>265200</v>
      </c>
      <c r="H185" s="451">
        <v>45523</v>
      </c>
      <c r="I185" s="451">
        <v>313850</v>
      </c>
      <c r="J185" s="451">
        <v>313850</v>
      </c>
      <c r="K185" s="451">
        <v>313850</v>
      </c>
      <c r="L185" s="451" t="s">
        <v>648</v>
      </c>
      <c r="M185" s="451">
        <v>1418361</v>
      </c>
      <c r="N185" s="451">
        <v>1418361</v>
      </c>
      <c r="O185" s="451">
        <v>1393397</v>
      </c>
      <c r="P185" s="451">
        <v>23319</v>
      </c>
      <c r="Q185" s="451" t="s">
        <v>648</v>
      </c>
      <c r="R185" s="451">
        <v>1645</v>
      </c>
      <c r="S185" s="451">
        <v>322897</v>
      </c>
      <c r="T185" s="451">
        <v>322897</v>
      </c>
      <c r="U185" s="451">
        <v>322897</v>
      </c>
      <c r="V185" s="451" t="s">
        <v>648</v>
      </c>
      <c r="W185" s="449" t="s">
        <v>464</v>
      </c>
    </row>
    <row r="186" spans="1:23" s="442" customFormat="1" ht="9.75" customHeight="1" x14ac:dyDescent="0.15">
      <c r="A186" s="950" t="s">
        <v>764</v>
      </c>
      <c r="B186" s="442">
        <v>273089</v>
      </c>
      <c r="C186" s="442" t="s">
        <v>648</v>
      </c>
      <c r="D186" s="442">
        <v>41077</v>
      </c>
      <c r="E186" s="442">
        <v>396074</v>
      </c>
      <c r="F186" s="442">
        <v>204021</v>
      </c>
      <c r="G186" s="442">
        <v>192053</v>
      </c>
      <c r="H186" s="442" t="s">
        <v>648</v>
      </c>
      <c r="I186" s="442">
        <v>335557</v>
      </c>
      <c r="J186" s="442">
        <v>335557</v>
      </c>
      <c r="K186" s="442">
        <v>315499</v>
      </c>
      <c r="L186" s="442">
        <v>20058</v>
      </c>
      <c r="M186" s="442">
        <v>2158301</v>
      </c>
      <c r="N186" s="442">
        <v>2158301</v>
      </c>
      <c r="O186" s="442">
        <v>1983285</v>
      </c>
      <c r="P186" s="442">
        <v>169133</v>
      </c>
      <c r="Q186" s="442" t="s">
        <v>648</v>
      </c>
      <c r="R186" s="442">
        <v>5883</v>
      </c>
      <c r="S186" s="442">
        <v>725308</v>
      </c>
      <c r="T186" s="442">
        <v>725308</v>
      </c>
      <c r="U186" s="442">
        <v>725308</v>
      </c>
      <c r="V186" s="442" t="s">
        <v>648</v>
      </c>
      <c r="W186" s="447" t="s">
        <v>489</v>
      </c>
    </row>
    <row r="187" spans="1:23" s="442" customFormat="1" ht="9.75" customHeight="1" x14ac:dyDescent="0.15">
      <c r="A187" s="950" t="s">
        <v>765</v>
      </c>
      <c r="B187" s="442">
        <v>148543</v>
      </c>
      <c r="C187" s="442" t="s">
        <v>648</v>
      </c>
      <c r="D187" s="442">
        <v>11759</v>
      </c>
      <c r="E187" s="442">
        <v>772168</v>
      </c>
      <c r="F187" s="442">
        <v>599225</v>
      </c>
      <c r="G187" s="442">
        <v>172943</v>
      </c>
      <c r="H187" s="442" t="s">
        <v>648</v>
      </c>
      <c r="I187" s="442">
        <v>240422</v>
      </c>
      <c r="J187" s="442">
        <v>240422</v>
      </c>
      <c r="K187" s="442">
        <v>192882</v>
      </c>
      <c r="L187" s="442">
        <v>47540</v>
      </c>
      <c r="M187" s="442">
        <v>1692406</v>
      </c>
      <c r="N187" s="442">
        <v>1692406</v>
      </c>
      <c r="O187" s="442">
        <v>1551241</v>
      </c>
      <c r="P187" s="442">
        <v>134989</v>
      </c>
      <c r="Q187" s="442" t="s">
        <v>648</v>
      </c>
      <c r="R187" s="442">
        <v>6176</v>
      </c>
      <c r="S187" s="442">
        <v>707459</v>
      </c>
      <c r="T187" s="442">
        <v>707459</v>
      </c>
      <c r="U187" s="442">
        <v>707459</v>
      </c>
      <c r="V187" s="442" t="s">
        <v>648</v>
      </c>
      <c r="W187" s="447" t="s">
        <v>549</v>
      </c>
    </row>
    <row r="188" spans="1:23" s="442" customFormat="1" ht="9.75" customHeight="1" x14ac:dyDescent="0.15">
      <c r="A188" s="950" t="s">
        <v>766</v>
      </c>
      <c r="B188" s="442">
        <v>638148</v>
      </c>
      <c r="C188" s="442">
        <v>41425</v>
      </c>
      <c r="D188" s="442" t="s">
        <v>648</v>
      </c>
      <c r="E188" s="442">
        <v>993090</v>
      </c>
      <c r="F188" s="442">
        <v>614950</v>
      </c>
      <c r="G188" s="442">
        <v>378140</v>
      </c>
      <c r="H188" s="442" t="s">
        <v>648</v>
      </c>
      <c r="I188" s="442">
        <v>92324</v>
      </c>
      <c r="J188" s="442">
        <v>92324</v>
      </c>
      <c r="K188" s="442">
        <v>92324</v>
      </c>
      <c r="L188" s="442" t="s">
        <v>648</v>
      </c>
      <c r="M188" s="442">
        <v>2103609</v>
      </c>
      <c r="N188" s="442">
        <v>2103609</v>
      </c>
      <c r="O188" s="442">
        <v>1880628</v>
      </c>
      <c r="P188" s="442">
        <v>130437</v>
      </c>
      <c r="Q188" s="442">
        <v>47701</v>
      </c>
      <c r="R188" s="442">
        <v>44843</v>
      </c>
      <c r="S188" s="442">
        <v>1217469</v>
      </c>
      <c r="T188" s="442">
        <v>1217467</v>
      </c>
      <c r="U188" s="442">
        <v>1217467</v>
      </c>
      <c r="V188" s="442" t="s">
        <v>648</v>
      </c>
      <c r="W188" s="447" t="s">
        <v>672</v>
      </c>
    </row>
    <row r="189" spans="1:23" s="442" customFormat="1" ht="9.75" customHeight="1" x14ac:dyDescent="0.15">
      <c r="A189" s="950" t="s">
        <v>767</v>
      </c>
      <c r="B189" s="442">
        <v>288753</v>
      </c>
      <c r="C189" s="442" t="s">
        <v>648</v>
      </c>
      <c r="D189" s="442" t="s">
        <v>648</v>
      </c>
      <c r="E189" s="442">
        <v>1331381</v>
      </c>
      <c r="F189" s="442">
        <v>706988</v>
      </c>
      <c r="G189" s="442">
        <v>624393</v>
      </c>
      <c r="H189" s="442" t="s">
        <v>648</v>
      </c>
      <c r="I189" s="442">
        <v>167858</v>
      </c>
      <c r="J189" s="442">
        <v>167858</v>
      </c>
      <c r="K189" s="442">
        <v>132879</v>
      </c>
      <c r="L189" s="442">
        <v>34979</v>
      </c>
      <c r="M189" s="442">
        <v>2232720</v>
      </c>
      <c r="N189" s="442">
        <v>2232720</v>
      </c>
      <c r="O189" s="442">
        <v>1986762</v>
      </c>
      <c r="P189" s="442">
        <v>143970</v>
      </c>
      <c r="Q189" s="442" t="s">
        <v>648</v>
      </c>
      <c r="R189" s="442">
        <v>101988</v>
      </c>
      <c r="S189" s="442">
        <v>1980952</v>
      </c>
      <c r="T189" s="442">
        <v>1980791</v>
      </c>
      <c r="U189" s="442">
        <v>1909355</v>
      </c>
      <c r="V189" s="442">
        <v>40141</v>
      </c>
      <c r="W189" s="447" t="s">
        <v>768</v>
      </c>
    </row>
    <row r="190" spans="1:23" s="442" customFormat="1" ht="6.75" customHeight="1" x14ac:dyDescent="0.15">
      <c r="A190" s="950"/>
      <c r="W190" s="447"/>
    </row>
    <row r="191" spans="1:23" s="442" customFormat="1" ht="9.75" customHeight="1" x14ac:dyDescent="0.15">
      <c r="A191" s="950" t="s">
        <v>799</v>
      </c>
      <c r="B191" s="442">
        <v>380119</v>
      </c>
      <c r="C191" s="442">
        <v>41425</v>
      </c>
      <c r="D191" s="442" t="s">
        <v>648</v>
      </c>
      <c r="E191" s="442">
        <v>1107508</v>
      </c>
      <c r="F191" s="442">
        <v>638906</v>
      </c>
      <c r="G191" s="442">
        <v>468602</v>
      </c>
      <c r="H191" s="442" t="s">
        <v>648</v>
      </c>
      <c r="I191" s="442">
        <v>78618</v>
      </c>
      <c r="J191" s="442">
        <v>78618</v>
      </c>
      <c r="K191" s="442">
        <v>78618</v>
      </c>
      <c r="L191" s="442" t="s">
        <v>648</v>
      </c>
      <c r="M191" s="442">
        <v>2718329</v>
      </c>
      <c r="N191" s="442">
        <v>2718329</v>
      </c>
      <c r="O191" s="442">
        <v>2379827</v>
      </c>
      <c r="P191" s="442">
        <v>143970</v>
      </c>
      <c r="Q191" s="442">
        <v>47701</v>
      </c>
      <c r="R191" s="442">
        <v>146831</v>
      </c>
      <c r="S191" s="442">
        <v>1448994</v>
      </c>
      <c r="T191" s="442">
        <v>1448992</v>
      </c>
      <c r="U191" s="442">
        <v>1438518</v>
      </c>
      <c r="V191" s="442">
        <v>10474</v>
      </c>
      <c r="W191" s="447" t="s">
        <v>673</v>
      </c>
    </row>
    <row r="192" spans="1:23" s="442" customFormat="1" ht="9.75" customHeight="1" x14ac:dyDescent="0.15">
      <c r="A192" s="950" t="s">
        <v>800</v>
      </c>
      <c r="B192" s="442">
        <v>385198</v>
      </c>
      <c r="C192" s="442" t="s">
        <v>648</v>
      </c>
      <c r="D192" s="442" t="s">
        <v>648</v>
      </c>
      <c r="E192" s="442">
        <v>1189761</v>
      </c>
      <c r="F192" s="442">
        <v>604514</v>
      </c>
      <c r="G192" s="442">
        <v>585247</v>
      </c>
      <c r="H192" s="442" t="s">
        <v>648</v>
      </c>
      <c r="I192" s="442">
        <v>127101</v>
      </c>
      <c r="J192" s="442">
        <v>127101</v>
      </c>
      <c r="K192" s="442">
        <v>92122</v>
      </c>
      <c r="L192" s="442">
        <v>34979</v>
      </c>
      <c r="M192" s="442">
        <v>1522164</v>
      </c>
      <c r="N192" s="442">
        <v>1522164</v>
      </c>
      <c r="O192" s="442">
        <v>1438803</v>
      </c>
      <c r="P192" s="442">
        <v>83361</v>
      </c>
      <c r="Q192" s="442" t="s">
        <v>648</v>
      </c>
      <c r="R192" s="442" t="s">
        <v>648</v>
      </c>
      <c r="S192" s="442">
        <v>1713115</v>
      </c>
      <c r="T192" s="442">
        <v>1712931</v>
      </c>
      <c r="U192" s="442">
        <v>1642009</v>
      </c>
      <c r="V192" s="442">
        <v>29667</v>
      </c>
      <c r="W192" s="447" t="s">
        <v>771</v>
      </c>
    </row>
    <row r="193" spans="1:23" s="442" customFormat="1" ht="6.75" customHeight="1" x14ac:dyDescent="0.15">
      <c r="A193" s="950"/>
      <c r="W193" s="447"/>
    </row>
    <row r="194" spans="1:23" s="442" customFormat="1" ht="9.75" customHeight="1" x14ac:dyDescent="0.15">
      <c r="A194" s="950" t="s">
        <v>772</v>
      </c>
      <c r="B194" s="442" t="s">
        <v>648</v>
      </c>
      <c r="C194" s="442" t="s">
        <v>648</v>
      </c>
      <c r="D194" s="442" t="s">
        <v>648</v>
      </c>
      <c r="E194" s="442">
        <v>321915</v>
      </c>
      <c r="F194" s="442">
        <v>203712</v>
      </c>
      <c r="G194" s="442">
        <v>118203</v>
      </c>
      <c r="H194" s="442" t="s">
        <v>648</v>
      </c>
      <c r="I194" s="442">
        <v>40757</v>
      </c>
      <c r="J194" s="442">
        <v>40757</v>
      </c>
      <c r="K194" s="442">
        <v>40757</v>
      </c>
      <c r="L194" s="442" t="s">
        <v>648</v>
      </c>
      <c r="M194" s="442">
        <v>1374763</v>
      </c>
      <c r="N194" s="442">
        <v>1374763</v>
      </c>
      <c r="O194" s="442">
        <v>1128805</v>
      </c>
      <c r="P194" s="442">
        <v>143970</v>
      </c>
      <c r="Q194" s="442" t="s">
        <v>648</v>
      </c>
      <c r="R194" s="442">
        <v>101988</v>
      </c>
      <c r="S194" s="442">
        <v>492803</v>
      </c>
      <c r="T194" s="442">
        <v>492803</v>
      </c>
      <c r="U194" s="442">
        <v>482329</v>
      </c>
      <c r="V194" s="442">
        <v>10474</v>
      </c>
      <c r="W194" s="447" t="s">
        <v>674</v>
      </c>
    </row>
    <row r="195" spans="1:23" s="442" customFormat="1" ht="9.75" customHeight="1" x14ac:dyDescent="0.15">
      <c r="A195" s="950" t="s">
        <v>773</v>
      </c>
      <c r="B195" s="442">
        <v>143043</v>
      </c>
      <c r="C195" s="442" t="s">
        <v>648</v>
      </c>
      <c r="D195" s="442" t="s">
        <v>648</v>
      </c>
      <c r="E195" s="442">
        <v>326376</v>
      </c>
      <c r="F195" s="442">
        <v>159001</v>
      </c>
      <c r="G195" s="442">
        <v>167375</v>
      </c>
      <c r="H195" s="442" t="s">
        <v>648</v>
      </c>
      <c r="I195" s="442">
        <v>29826</v>
      </c>
      <c r="J195" s="442">
        <v>29826</v>
      </c>
      <c r="K195" s="442">
        <v>29826</v>
      </c>
      <c r="L195" s="442" t="s">
        <v>648</v>
      </c>
      <c r="M195" s="442">
        <v>209874</v>
      </c>
      <c r="N195" s="442">
        <v>209874</v>
      </c>
      <c r="O195" s="442">
        <v>209874</v>
      </c>
      <c r="P195" s="442" t="s">
        <v>648</v>
      </c>
      <c r="Q195" s="442" t="s">
        <v>648</v>
      </c>
      <c r="R195" s="442" t="s">
        <v>648</v>
      </c>
      <c r="S195" s="442">
        <v>678736</v>
      </c>
      <c r="T195" s="442">
        <v>678713</v>
      </c>
      <c r="U195" s="442">
        <v>647497</v>
      </c>
      <c r="V195" s="442">
        <v>17760</v>
      </c>
      <c r="W195" s="447" t="s">
        <v>92</v>
      </c>
    </row>
    <row r="196" spans="1:23" s="442" customFormat="1" ht="9.75" customHeight="1" x14ac:dyDescent="0.15">
      <c r="A196" s="950" t="s">
        <v>774</v>
      </c>
      <c r="B196" s="442" t="s">
        <v>648</v>
      </c>
      <c r="C196" s="442" t="s">
        <v>648</v>
      </c>
      <c r="D196" s="442" t="s">
        <v>648</v>
      </c>
      <c r="E196" s="442">
        <v>203187</v>
      </c>
      <c r="F196" s="442">
        <v>77916</v>
      </c>
      <c r="G196" s="442">
        <v>125271</v>
      </c>
      <c r="H196" s="442" t="s">
        <v>648</v>
      </c>
      <c r="I196" s="442">
        <v>6414</v>
      </c>
      <c r="J196" s="442">
        <v>6414</v>
      </c>
      <c r="K196" s="442">
        <v>6414</v>
      </c>
      <c r="L196" s="442" t="s">
        <v>648</v>
      </c>
      <c r="M196" s="442">
        <v>135407</v>
      </c>
      <c r="N196" s="442">
        <v>135407</v>
      </c>
      <c r="O196" s="442">
        <v>135407</v>
      </c>
      <c r="P196" s="442" t="s">
        <v>648</v>
      </c>
      <c r="Q196" s="442" t="s">
        <v>648</v>
      </c>
      <c r="R196" s="442" t="s">
        <v>648</v>
      </c>
      <c r="S196" s="442">
        <v>421463</v>
      </c>
      <c r="T196" s="442">
        <v>421440</v>
      </c>
      <c r="U196" s="442">
        <v>403664</v>
      </c>
      <c r="V196" s="442">
        <v>11907</v>
      </c>
      <c r="W196" s="447" t="s">
        <v>93</v>
      </c>
    </row>
    <row r="197" spans="1:23" s="442" customFormat="1" ht="9.75" customHeight="1" x14ac:dyDescent="0.15">
      <c r="A197" s="950" t="s">
        <v>801</v>
      </c>
      <c r="B197" s="442">
        <v>145710</v>
      </c>
      <c r="C197" s="442" t="s">
        <v>648</v>
      </c>
      <c r="D197" s="442" t="s">
        <v>648</v>
      </c>
      <c r="E197" s="442">
        <v>479903</v>
      </c>
      <c r="F197" s="442">
        <v>266359</v>
      </c>
      <c r="G197" s="442">
        <v>213544</v>
      </c>
      <c r="H197" s="442" t="s">
        <v>648</v>
      </c>
      <c r="I197" s="442">
        <v>90861</v>
      </c>
      <c r="J197" s="442">
        <v>90861</v>
      </c>
      <c r="K197" s="442">
        <v>55882</v>
      </c>
      <c r="L197" s="442">
        <v>34979</v>
      </c>
      <c r="M197" s="442">
        <v>512676</v>
      </c>
      <c r="N197" s="442">
        <v>512676</v>
      </c>
      <c r="O197" s="442">
        <v>512676</v>
      </c>
      <c r="P197" s="442" t="s">
        <v>648</v>
      </c>
      <c r="Q197" s="442" t="s">
        <v>648</v>
      </c>
      <c r="R197" s="442" t="s">
        <v>648</v>
      </c>
      <c r="S197" s="442">
        <v>387950</v>
      </c>
      <c r="T197" s="442">
        <v>387835</v>
      </c>
      <c r="U197" s="442">
        <v>375865</v>
      </c>
      <c r="V197" s="442" t="s">
        <v>648</v>
      </c>
      <c r="W197" s="447" t="s">
        <v>94</v>
      </c>
    </row>
    <row r="198" spans="1:23" s="442" customFormat="1" ht="9.75" customHeight="1" x14ac:dyDescent="0.15">
      <c r="A198" s="950" t="s">
        <v>809</v>
      </c>
      <c r="B198" s="442">
        <v>96445</v>
      </c>
      <c r="C198" s="442" t="s">
        <v>648</v>
      </c>
      <c r="D198" s="442" t="s">
        <v>648</v>
      </c>
      <c r="E198" s="442">
        <v>180295</v>
      </c>
      <c r="F198" s="442">
        <v>101238</v>
      </c>
      <c r="G198" s="442">
        <v>79057</v>
      </c>
      <c r="H198" s="442" t="s">
        <v>648</v>
      </c>
      <c r="I198" s="442" t="s">
        <v>648</v>
      </c>
      <c r="J198" s="442" t="s">
        <v>648</v>
      </c>
      <c r="K198" s="442" t="s">
        <v>648</v>
      </c>
      <c r="L198" s="442" t="s">
        <v>648</v>
      </c>
      <c r="M198" s="442">
        <v>664207</v>
      </c>
      <c r="N198" s="442">
        <v>664207</v>
      </c>
      <c r="O198" s="442">
        <v>580846</v>
      </c>
      <c r="P198" s="442">
        <v>83361</v>
      </c>
      <c r="Q198" s="442" t="s">
        <v>648</v>
      </c>
      <c r="R198" s="442" t="s">
        <v>648</v>
      </c>
      <c r="S198" s="442">
        <v>224966</v>
      </c>
      <c r="T198" s="442">
        <v>224943</v>
      </c>
      <c r="U198" s="442">
        <v>214983</v>
      </c>
      <c r="V198" s="442" t="s">
        <v>648</v>
      </c>
      <c r="W198" s="447" t="s">
        <v>777</v>
      </c>
    </row>
    <row r="199" spans="1:23" s="442" customFormat="1" ht="6.75" customHeight="1" x14ac:dyDescent="0.15">
      <c r="A199" s="950"/>
      <c r="W199" s="447"/>
    </row>
    <row r="200" spans="1:23" s="442" customFormat="1" ht="9.75" customHeight="1" x14ac:dyDescent="0.15">
      <c r="A200" s="950" t="s">
        <v>778</v>
      </c>
      <c r="B200" s="442" t="s">
        <v>648</v>
      </c>
      <c r="C200" s="442" t="s">
        <v>648</v>
      </c>
      <c r="D200" s="442" t="s">
        <v>648</v>
      </c>
      <c r="E200" s="442">
        <v>147039</v>
      </c>
      <c r="F200" s="442">
        <v>104379</v>
      </c>
      <c r="G200" s="442">
        <v>42660</v>
      </c>
      <c r="H200" s="442" t="s">
        <v>648</v>
      </c>
      <c r="I200" s="442">
        <v>20012</v>
      </c>
      <c r="J200" s="442">
        <v>20012</v>
      </c>
      <c r="K200" s="442">
        <v>20012</v>
      </c>
      <c r="L200" s="442" t="s">
        <v>648</v>
      </c>
      <c r="M200" s="442">
        <v>618854</v>
      </c>
      <c r="N200" s="442">
        <v>618854</v>
      </c>
      <c r="O200" s="442">
        <v>550927</v>
      </c>
      <c r="P200" s="442" t="s">
        <v>648</v>
      </c>
      <c r="Q200" s="442" t="s">
        <v>648</v>
      </c>
      <c r="R200" s="442">
        <v>67927</v>
      </c>
      <c r="S200" s="442">
        <v>140161</v>
      </c>
      <c r="T200" s="442">
        <v>140161</v>
      </c>
      <c r="U200" s="442">
        <v>140161</v>
      </c>
      <c r="V200" s="442" t="s">
        <v>648</v>
      </c>
      <c r="W200" s="447" t="s">
        <v>675</v>
      </c>
    </row>
    <row r="201" spans="1:23" s="442" customFormat="1" ht="9.75" customHeight="1" x14ac:dyDescent="0.15">
      <c r="A201" s="950" t="s">
        <v>779</v>
      </c>
      <c r="B201" s="442" t="s">
        <v>648</v>
      </c>
      <c r="C201" s="442" t="s">
        <v>648</v>
      </c>
      <c r="D201" s="442" t="s">
        <v>648</v>
      </c>
      <c r="E201" s="442">
        <v>30051</v>
      </c>
      <c r="F201" s="442" t="s">
        <v>648</v>
      </c>
      <c r="G201" s="442">
        <v>30051</v>
      </c>
      <c r="H201" s="442" t="s">
        <v>648</v>
      </c>
      <c r="I201" s="442">
        <v>5811</v>
      </c>
      <c r="J201" s="442">
        <v>5811</v>
      </c>
      <c r="K201" s="442">
        <v>5811</v>
      </c>
      <c r="L201" s="442" t="s">
        <v>648</v>
      </c>
      <c r="M201" s="442">
        <v>516308</v>
      </c>
      <c r="N201" s="442">
        <v>516308</v>
      </c>
      <c r="O201" s="442">
        <v>411251</v>
      </c>
      <c r="P201" s="442">
        <v>70996</v>
      </c>
      <c r="Q201" s="442" t="s">
        <v>648</v>
      </c>
      <c r="R201" s="442">
        <v>34061</v>
      </c>
      <c r="S201" s="442">
        <v>189949</v>
      </c>
      <c r="T201" s="442">
        <v>189949</v>
      </c>
      <c r="U201" s="442">
        <v>189949</v>
      </c>
      <c r="V201" s="442" t="s">
        <v>648</v>
      </c>
      <c r="W201" s="447" t="s">
        <v>80</v>
      </c>
    </row>
    <row r="202" spans="1:23" s="442" customFormat="1" ht="9.75" customHeight="1" x14ac:dyDescent="0.15">
      <c r="A202" s="950" t="s">
        <v>780</v>
      </c>
      <c r="B202" s="442" t="s">
        <v>648</v>
      </c>
      <c r="C202" s="442" t="s">
        <v>648</v>
      </c>
      <c r="D202" s="442" t="s">
        <v>648</v>
      </c>
      <c r="E202" s="442">
        <v>144825</v>
      </c>
      <c r="F202" s="442">
        <v>99333</v>
      </c>
      <c r="G202" s="442">
        <v>45492</v>
      </c>
      <c r="H202" s="442" t="s">
        <v>648</v>
      </c>
      <c r="I202" s="442">
        <v>14934</v>
      </c>
      <c r="J202" s="442">
        <v>14934</v>
      </c>
      <c r="K202" s="442">
        <v>14934</v>
      </c>
      <c r="L202" s="442" t="s">
        <v>648</v>
      </c>
      <c r="M202" s="442">
        <v>239601</v>
      </c>
      <c r="N202" s="442">
        <v>239601</v>
      </c>
      <c r="O202" s="442">
        <v>166627</v>
      </c>
      <c r="P202" s="442">
        <v>72974</v>
      </c>
      <c r="Q202" s="442" t="s">
        <v>648</v>
      </c>
      <c r="R202" s="442" t="s">
        <v>648</v>
      </c>
      <c r="S202" s="442">
        <v>162693</v>
      </c>
      <c r="T202" s="442">
        <v>162693</v>
      </c>
      <c r="U202" s="442">
        <v>152219</v>
      </c>
      <c r="V202" s="442">
        <v>10474</v>
      </c>
      <c r="W202" s="447" t="s">
        <v>81</v>
      </c>
    </row>
    <row r="203" spans="1:23" s="442" customFormat="1" ht="9.75" customHeight="1" x14ac:dyDescent="0.15">
      <c r="A203" s="950" t="s">
        <v>781</v>
      </c>
      <c r="B203" s="442">
        <v>51011</v>
      </c>
      <c r="C203" s="442" t="s">
        <v>648</v>
      </c>
      <c r="D203" s="442" t="s">
        <v>648</v>
      </c>
      <c r="E203" s="442">
        <v>120894</v>
      </c>
      <c r="F203" s="442">
        <v>66536</v>
      </c>
      <c r="G203" s="442">
        <v>54358</v>
      </c>
      <c r="H203" s="442" t="s">
        <v>648</v>
      </c>
      <c r="I203" s="442" t="s">
        <v>648</v>
      </c>
      <c r="J203" s="442" t="s">
        <v>648</v>
      </c>
      <c r="K203" s="442" t="s">
        <v>648</v>
      </c>
      <c r="L203" s="442" t="s">
        <v>648</v>
      </c>
      <c r="M203" s="442">
        <v>81221</v>
      </c>
      <c r="N203" s="442">
        <v>81221</v>
      </c>
      <c r="O203" s="442">
        <v>81221</v>
      </c>
      <c r="P203" s="442" t="s">
        <v>648</v>
      </c>
      <c r="Q203" s="442" t="s">
        <v>648</v>
      </c>
      <c r="R203" s="442" t="s">
        <v>648</v>
      </c>
      <c r="S203" s="442">
        <v>209661</v>
      </c>
      <c r="T203" s="442">
        <v>209661</v>
      </c>
      <c r="U203" s="442">
        <v>197037</v>
      </c>
      <c r="V203" s="442">
        <v>5884</v>
      </c>
      <c r="W203" s="447" t="s">
        <v>82</v>
      </c>
    </row>
    <row r="204" spans="1:23" s="442" customFormat="1" ht="9.75" customHeight="1" x14ac:dyDescent="0.15">
      <c r="A204" s="950" t="s">
        <v>782</v>
      </c>
      <c r="B204" s="442">
        <v>44007</v>
      </c>
      <c r="C204" s="442" t="s">
        <v>648</v>
      </c>
      <c r="D204" s="442" t="s">
        <v>648</v>
      </c>
      <c r="E204" s="442">
        <v>131870</v>
      </c>
      <c r="F204" s="442">
        <v>65333</v>
      </c>
      <c r="G204" s="442">
        <v>66537</v>
      </c>
      <c r="H204" s="442" t="s">
        <v>648</v>
      </c>
      <c r="I204" s="442">
        <v>29826</v>
      </c>
      <c r="J204" s="442">
        <v>29826</v>
      </c>
      <c r="K204" s="442">
        <v>29826</v>
      </c>
      <c r="L204" s="442" t="s">
        <v>648</v>
      </c>
      <c r="M204" s="442">
        <v>79572</v>
      </c>
      <c r="N204" s="442">
        <v>79572</v>
      </c>
      <c r="O204" s="442">
        <v>79572</v>
      </c>
      <c r="P204" s="442" t="s">
        <v>648</v>
      </c>
      <c r="Q204" s="442" t="s">
        <v>648</v>
      </c>
      <c r="R204" s="442" t="s">
        <v>648</v>
      </c>
      <c r="S204" s="442">
        <v>284091</v>
      </c>
      <c r="T204" s="442">
        <v>284068</v>
      </c>
      <c r="U204" s="442">
        <v>278097</v>
      </c>
      <c r="V204" s="442">
        <v>5971</v>
      </c>
      <c r="W204" s="447" t="s">
        <v>95</v>
      </c>
    </row>
    <row r="205" spans="1:23" s="442" customFormat="1" ht="9.75" customHeight="1" x14ac:dyDescent="0.15">
      <c r="A205" s="950" t="s">
        <v>783</v>
      </c>
      <c r="B205" s="442">
        <v>48025</v>
      </c>
      <c r="C205" s="442" t="s">
        <v>648</v>
      </c>
      <c r="D205" s="442" t="s">
        <v>648</v>
      </c>
      <c r="E205" s="442">
        <v>73612</v>
      </c>
      <c r="F205" s="442">
        <v>27132</v>
      </c>
      <c r="G205" s="442">
        <v>46480</v>
      </c>
      <c r="H205" s="442" t="s">
        <v>648</v>
      </c>
      <c r="I205" s="442" t="s">
        <v>648</v>
      </c>
      <c r="J205" s="442" t="s">
        <v>648</v>
      </c>
      <c r="K205" s="442" t="s">
        <v>648</v>
      </c>
      <c r="L205" s="442" t="s">
        <v>648</v>
      </c>
      <c r="M205" s="442">
        <v>49081</v>
      </c>
      <c r="N205" s="442">
        <v>49081</v>
      </c>
      <c r="O205" s="442">
        <v>49081</v>
      </c>
      <c r="P205" s="442" t="s">
        <v>648</v>
      </c>
      <c r="Q205" s="442" t="s">
        <v>648</v>
      </c>
      <c r="R205" s="442" t="s">
        <v>648</v>
      </c>
      <c r="S205" s="442">
        <v>184984</v>
      </c>
      <c r="T205" s="442">
        <v>184984</v>
      </c>
      <c r="U205" s="442">
        <v>172363</v>
      </c>
      <c r="V205" s="442">
        <v>5905</v>
      </c>
      <c r="W205" s="447" t="s">
        <v>96</v>
      </c>
    </row>
    <row r="206" spans="1:23" s="442" customFormat="1" ht="9.75" customHeight="1" x14ac:dyDescent="0.15">
      <c r="A206" s="950" t="s">
        <v>784</v>
      </c>
      <c r="B206" s="442" t="s">
        <v>648</v>
      </c>
      <c r="C206" s="442" t="s">
        <v>648</v>
      </c>
      <c r="D206" s="442" t="s">
        <v>648</v>
      </c>
      <c r="E206" s="442">
        <v>75930</v>
      </c>
      <c r="F206" s="442" t="s">
        <v>648</v>
      </c>
      <c r="G206" s="442">
        <v>75930</v>
      </c>
      <c r="H206" s="442" t="s">
        <v>648</v>
      </c>
      <c r="I206" s="442">
        <v>6414</v>
      </c>
      <c r="J206" s="442">
        <v>6414</v>
      </c>
      <c r="K206" s="442">
        <v>6414</v>
      </c>
      <c r="L206" s="442" t="s">
        <v>648</v>
      </c>
      <c r="M206" s="442">
        <v>48068</v>
      </c>
      <c r="N206" s="442">
        <v>48068</v>
      </c>
      <c r="O206" s="442">
        <v>48068</v>
      </c>
      <c r="P206" s="442" t="s">
        <v>648</v>
      </c>
      <c r="Q206" s="442" t="s">
        <v>648</v>
      </c>
      <c r="R206" s="442" t="s">
        <v>648</v>
      </c>
      <c r="S206" s="442">
        <v>204363</v>
      </c>
      <c r="T206" s="442">
        <v>204363</v>
      </c>
      <c r="U206" s="442">
        <v>198494</v>
      </c>
      <c r="V206" s="442" t="s">
        <v>648</v>
      </c>
      <c r="W206" s="447" t="s">
        <v>97</v>
      </c>
    </row>
    <row r="207" spans="1:23" s="442" customFormat="1" ht="9.75" customHeight="1" x14ac:dyDescent="0.15">
      <c r="A207" s="950" t="s">
        <v>806</v>
      </c>
      <c r="B207" s="442" t="s">
        <v>648</v>
      </c>
      <c r="C207" s="442" t="s">
        <v>648</v>
      </c>
      <c r="D207" s="442" t="s">
        <v>648</v>
      </c>
      <c r="E207" s="442">
        <v>100929</v>
      </c>
      <c r="F207" s="442">
        <v>77916</v>
      </c>
      <c r="G207" s="442">
        <v>23013</v>
      </c>
      <c r="H207" s="442" t="s">
        <v>648</v>
      </c>
      <c r="I207" s="442" t="s">
        <v>648</v>
      </c>
      <c r="J207" s="442" t="s">
        <v>648</v>
      </c>
      <c r="K207" s="442" t="s">
        <v>648</v>
      </c>
      <c r="L207" s="442" t="s">
        <v>648</v>
      </c>
      <c r="M207" s="442">
        <v>52888</v>
      </c>
      <c r="N207" s="442">
        <v>52888</v>
      </c>
      <c r="O207" s="442">
        <v>52888</v>
      </c>
      <c r="P207" s="442" t="s">
        <v>648</v>
      </c>
      <c r="Q207" s="442" t="s">
        <v>648</v>
      </c>
      <c r="R207" s="442" t="s">
        <v>648</v>
      </c>
      <c r="S207" s="442">
        <v>133967</v>
      </c>
      <c r="T207" s="442">
        <v>133967</v>
      </c>
      <c r="U207" s="442">
        <v>133967</v>
      </c>
      <c r="V207" s="442" t="s">
        <v>648</v>
      </c>
      <c r="W207" s="447" t="s">
        <v>98</v>
      </c>
    </row>
    <row r="208" spans="1:23" s="442" customFormat="1" ht="9.75" customHeight="1" x14ac:dyDescent="0.15">
      <c r="A208" s="950" t="s">
        <v>786</v>
      </c>
      <c r="B208" s="442" t="s">
        <v>648</v>
      </c>
      <c r="C208" s="442" t="s">
        <v>648</v>
      </c>
      <c r="D208" s="442" t="s">
        <v>648</v>
      </c>
      <c r="E208" s="442">
        <v>26328</v>
      </c>
      <c r="F208" s="442" t="s">
        <v>648</v>
      </c>
      <c r="G208" s="442">
        <v>26328</v>
      </c>
      <c r="H208" s="442" t="s">
        <v>648</v>
      </c>
      <c r="I208" s="442" t="s">
        <v>648</v>
      </c>
      <c r="J208" s="442" t="s">
        <v>648</v>
      </c>
      <c r="K208" s="442" t="s">
        <v>648</v>
      </c>
      <c r="L208" s="442" t="s">
        <v>648</v>
      </c>
      <c r="M208" s="442">
        <v>34451</v>
      </c>
      <c r="N208" s="442">
        <v>34451</v>
      </c>
      <c r="O208" s="442">
        <v>34451</v>
      </c>
      <c r="P208" s="442" t="s">
        <v>648</v>
      </c>
      <c r="Q208" s="442" t="s">
        <v>648</v>
      </c>
      <c r="R208" s="442" t="s">
        <v>648</v>
      </c>
      <c r="S208" s="442">
        <v>83133</v>
      </c>
      <c r="T208" s="442">
        <v>83110</v>
      </c>
      <c r="U208" s="442">
        <v>71203</v>
      </c>
      <c r="V208" s="442">
        <v>11907</v>
      </c>
      <c r="W208" s="447" t="s">
        <v>99</v>
      </c>
    </row>
    <row r="209" spans="1:23" s="442" customFormat="1" ht="9.75" customHeight="1" x14ac:dyDescent="0.15">
      <c r="A209" s="950" t="s">
        <v>807</v>
      </c>
      <c r="B209" s="442" t="s">
        <v>648</v>
      </c>
      <c r="C209" s="442" t="s">
        <v>648</v>
      </c>
      <c r="D209" s="442" t="s">
        <v>648</v>
      </c>
      <c r="E209" s="442">
        <v>227560</v>
      </c>
      <c r="F209" s="442">
        <v>131946</v>
      </c>
      <c r="G209" s="442">
        <v>95614</v>
      </c>
      <c r="H209" s="442" t="s">
        <v>648</v>
      </c>
      <c r="I209" s="442" t="s">
        <v>648</v>
      </c>
      <c r="J209" s="442" t="s">
        <v>648</v>
      </c>
      <c r="K209" s="442" t="s">
        <v>648</v>
      </c>
      <c r="L209" s="442" t="s">
        <v>648</v>
      </c>
      <c r="M209" s="442">
        <v>110375</v>
      </c>
      <c r="N209" s="442">
        <v>110375</v>
      </c>
      <c r="O209" s="442">
        <v>110375</v>
      </c>
      <c r="P209" s="442" t="s">
        <v>648</v>
      </c>
      <c r="Q209" s="442" t="s">
        <v>648</v>
      </c>
      <c r="R209" s="442" t="s">
        <v>648</v>
      </c>
      <c r="S209" s="442">
        <v>127687</v>
      </c>
      <c r="T209" s="442">
        <v>127641</v>
      </c>
      <c r="U209" s="442">
        <v>121811</v>
      </c>
      <c r="V209" s="442" t="s">
        <v>648</v>
      </c>
      <c r="W209" s="447" t="s">
        <v>83</v>
      </c>
    </row>
    <row r="210" spans="1:23" s="442" customFormat="1" ht="9.75" customHeight="1" x14ac:dyDescent="0.15">
      <c r="A210" s="950" t="s">
        <v>788</v>
      </c>
      <c r="B210" s="442">
        <v>47711</v>
      </c>
      <c r="C210" s="442" t="s">
        <v>648</v>
      </c>
      <c r="D210" s="442" t="s">
        <v>648</v>
      </c>
      <c r="E210" s="442">
        <v>134413</v>
      </c>
      <c r="F210" s="442">
        <v>134413</v>
      </c>
      <c r="G210" s="442" t="s">
        <v>648</v>
      </c>
      <c r="H210" s="442" t="s">
        <v>648</v>
      </c>
      <c r="I210" s="442">
        <v>40863</v>
      </c>
      <c r="J210" s="442">
        <v>40863</v>
      </c>
      <c r="K210" s="442">
        <v>5884</v>
      </c>
      <c r="L210" s="442">
        <v>34979</v>
      </c>
      <c r="M210" s="442">
        <v>118731</v>
      </c>
      <c r="N210" s="442">
        <v>118731</v>
      </c>
      <c r="O210" s="442">
        <v>118731</v>
      </c>
      <c r="P210" s="442" t="s">
        <v>648</v>
      </c>
      <c r="Q210" s="442" t="s">
        <v>648</v>
      </c>
      <c r="R210" s="442" t="s">
        <v>648</v>
      </c>
      <c r="S210" s="442">
        <v>157244</v>
      </c>
      <c r="T210" s="442">
        <v>157198</v>
      </c>
      <c r="U210" s="442">
        <v>157198</v>
      </c>
      <c r="V210" s="442" t="s">
        <v>648</v>
      </c>
      <c r="W210" s="447" t="s">
        <v>84</v>
      </c>
    </row>
    <row r="211" spans="1:23" s="442" customFormat="1" ht="9.75" customHeight="1" x14ac:dyDescent="0.15">
      <c r="A211" s="950" t="s">
        <v>789</v>
      </c>
      <c r="B211" s="442">
        <v>97999</v>
      </c>
      <c r="C211" s="442" t="s">
        <v>648</v>
      </c>
      <c r="D211" s="442" t="s">
        <v>648</v>
      </c>
      <c r="E211" s="442">
        <v>117930</v>
      </c>
      <c r="F211" s="442" t="s">
        <v>648</v>
      </c>
      <c r="G211" s="442">
        <v>117930</v>
      </c>
      <c r="H211" s="442" t="s">
        <v>648</v>
      </c>
      <c r="I211" s="442">
        <v>49998</v>
      </c>
      <c r="J211" s="442">
        <v>49998</v>
      </c>
      <c r="K211" s="442">
        <v>49998</v>
      </c>
      <c r="L211" s="442" t="s">
        <v>648</v>
      </c>
      <c r="M211" s="442">
        <v>283570</v>
      </c>
      <c r="N211" s="442">
        <v>283570</v>
      </c>
      <c r="O211" s="442">
        <v>283570</v>
      </c>
      <c r="P211" s="442" t="s">
        <v>648</v>
      </c>
      <c r="Q211" s="442" t="s">
        <v>648</v>
      </c>
      <c r="R211" s="442" t="s">
        <v>648</v>
      </c>
      <c r="S211" s="442">
        <v>103019</v>
      </c>
      <c r="T211" s="442">
        <v>102996</v>
      </c>
      <c r="U211" s="442">
        <v>96856</v>
      </c>
      <c r="V211" s="442" t="s">
        <v>648</v>
      </c>
      <c r="W211" s="447" t="s">
        <v>85</v>
      </c>
    </row>
    <row r="212" spans="1:23" s="442" customFormat="1" ht="9.75" customHeight="1" x14ac:dyDescent="0.15">
      <c r="A212" s="950" t="s">
        <v>790</v>
      </c>
      <c r="B212" s="442">
        <v>96445</v>
      </c>
      <c r="C212" s="442" t="s">
        <v>648</v>
      </c>
      <c r="D212" s="442" t="s">
        <v>648</v>
      </c>
      <c r="E212" s="442">
        <v>79372</v>
      </c>
      <c r="F212" s="442">
        <v>50976</v>
      </c>
      <c r="G212" s="442">
        <v>28396</v>
      </c>
      <c r="H212" s="442" t="s">
        <v>648</v>
      </c>
      <c r="I212" s="442" t="s">
        <v>648</v>
      </c>
      <c r="J212" s="442" t="s">
        <v>648</v>
      </c>
      <c r="K212" s="442" t="s">
        <v>648</v>
      </c>
      <c r="L212" s="442" t="s">
        <v>648</v>
      </c>
      <c r="M212" s="442">
        <v>319279</v>
      </c>
      <c r="N212" s="442">
        <v>319279</v>
      </c>
      <c r="O212" s="442">
        <v>235918</v>
      </c>
      <c r="P212" s="442">
        <v>83361</v>
      </c>
      <c r="Q212" s="442" t="s">
        <v>648</v>
      </c>
      <c r="R212" s="442" t="s">
        <v>648</v>
      </c>
      <c r="S212" s="442">
        <v>101296</v>
      </c>
      <c r="T212" s="442">
        <v>101296</v>
      </c>
      <c r="U212" s="442">
        <v>101296</v>
      </c>
      <c r="V212" s="442" t="s">
        <v>648</v>
      </c>
      <c r="W212" s="447" t="s">
        <v>791</v>
      </c>
    </row>
    <row r="213" spans="1:23" s="442" customFormat="1" ht="9.75" customHeight="1" x14ac:dyDescent="0.15">
      <c r="A213" s="950" t="s">
        <v>792</v>
      </c>
      <c r="B213" s="442" t="s">
        <v>648</v>
      </c>
      <c r="C213" s="442" t="s">
        <v>648</v>
      </c>
      <c r="D213" s="442" t="s">
        <v>648</v>
      </c>
      <c r="E213" s="442">
        <v>59715</v>
      </c>
      <c r="F213" s="442">
        <v>50262</v>
      </c>
      <c r="G213" s="442">
        <v>9453</v>
      </c>
      <c r="H213" s="442" t="s">
        <v>648</v>
      </c>
      <c r="I213" s="442" t="s">
        <v>648</v>
      </c>
      <c r="J213" s="442" t="s">
        <v>648</v>
      </c>
      <c r="K213" s="442" t="s">
        <v>648</v>
      </c>
      <c r="L213" s="442" t="s">
        <v>648</v>
      </c>
      <c r="M213" s="442">
        <v>275958</v>
      </c>
      <c r="N213" s="442">
        <v>275958</v>
      </c>
      <c r="O213" s="442">
        <v>275958</v>
      </c>
      <c r="P213" s="442" t="s">
        <v>648</v>
      </c>
      <c r="Q213" s="442" t="s">
        <v>648</v>
      </c>
      <c r="R213" s="442" t="s">
        <v>648</v>
      </c>
      <c r="S213" s="442">
        <v>65460</v>
      </c>
      <c r="T213" s="442">
        <v>65437</v>
      </c>
      <c r="U213" s="442">
        <v>58488</v>
      </c>
      <c r="V213" s="442" t="s">
        <v>648</v>
      </c>
      <c r="W213" s="447" t="s">
        <v>80</v>
      </c>
    </row>
    <row r="214" spans="1:23" s="442" customFormat="1" ht="9.75" customHeight="1" x14ac:dyDescent="0.15">
      <c r="A214" s="951" t="s">
        <v>793</v>
      </c>
      <c r="B214" s="446" t="s">
        <v>648</v>
      </c>
      <c r="C214" s="445" t="s">
        <v>648</v>
      </c>
      <c r="D214" s="445" t="s">
        <v>648</v>
      </c>
      <c r="E214" s="445">
        <v>41208</v>
      </c>
      <c r="F214" s="445" t="s">
        <v>648</v>
      </c>
      <c r="G214" s="445">
        <v>41208</v>
      </c>
      <c r="H214" s="445" t="s">
        <v>648</v>
      </c>
      <c r="I214" s="445" t="s">
        <v>648</v>
      </c>
      <c r="J214" s="445" t="s">
        <v>648</v>
      </c>
      <c r="K214" s="445" t="s">
        <v>648</v>
      </c>
      <c r="L214" s="445" t="s">
        <v>648</v>
      </c>
      <c r="M214" s="445">
        <v>68970</v>
      </c>
      <c r="N214" s="445">
        <v>68970</v>
      </c>
      <c r="O214" s="445">
        <v>68970</v>
      </c>
      <c r="P214" s="445" t="s">
        <v>648</v>
      </c>
      <c r="Q214" s="445" t="s">
        <v>648</v>
      </c>
      <c r="R214" s="445" t="s">
        <v>648</v>
      </c>
      <c r="S214" s="445">
        <v>58210</v>
      </c>
      <c r="T214" s="445">
        <v>58210</v>
      </c>
      <c r="U214" s="445">
        <v>55199</v>
      </c>
      <c r="V214" s="445" t="s">
        <v>648</v>
      </c>
      <c r="W214" s="443" t="s">
        <v>81</v>
      </c>
    </row>
    <row r="215" spans="1:23" ht="12" customHeight="1" x14ac:dyDescent="0.2"/>
    <row r="216" spans="1:23" ht="12" customHeight="1" x14ac:dyDescent="0.2"/>
    <row r="217" spans="1:23" ht="12" customHeight="1" x14ac:dyDescent="0.15">
      <c r="K217" s="457" t="s">
        <v>100</v>
      </c>
      <c r="V217" s="460" t="s">
        <v>1091</v>
      </c>
    </row>
    <row r="218" spans="1:23" s="453" customFormat="1" ht="21" customHeight="1" x14ac:dyDescent="0.2">
      <c r="A218" s="1089" t="s">
        <v>194</v>
      </c>
      <c r="B218" s="456" t="s">
        <v>376</v>
      </c>
      <c r="C218" s="455"/>
      <c r="D218" s="455"/>
      <c r="E218" s="917"/>
      <c r="F218" s="918" t="s">
        <v>327</v>
      </c>
      <c r="G218" s="455"/>
      <c r="H218" s="917"/>
      <c r="I218" s="918" t="s">
        <v>1099</v>
      </c>
      <c r="J218" s="455"/>
      <c r="K218" s="455"/>
      <c r="L218" s="455"/>
      <c r="M218" s="455"/>
      <c r="N218" s="455"/>
      <c r="O218" s="455"/>
      <c r="P218" s="455"/>
      <c r="Q218" s="455"/>
      <c r="R218" s="455"/>
      <c r="S218" s="455"/>
      <c r="T218" s="455"/>
      <c r="U218" s="455"/>
      <c r="V218" s="455"/>
      <c r="W218" s="1092" t="s">
        <v>86</v>
      </c>
    </row>
    <row r="219" spans="1:23" s="453" customFormat="1" ht="21" customHeight="1" x14ac:dyDescent="0.2">
      <c r="A219" s="1090"/>
      <c r="B219" s="864" t="s">
        <v>290</v>
      </c>
      <c r="C219" s="918" t="s">
        <v>289</v>
      </c>
      <c r="D219" s="455"/>
      <c r="E219" s="917"/>
      <c r="F219" s="1095" t="s">
        <v>325</v>
      </c>
      <c r="G219" s="918" t="s">
        <v>297</v>
      </c>
      <c r="H219" s="917"/>
      <c r="I219" s="1095" t="s">
        <v>709</v>
      </c>
      <c r="J219" s="918" t="s">
        <v>297</v>
      </c>
      <c r="K219" s="455"/>
      <c r="L219" s="455"/>
      <c r="M219" s="455"/>
      <c r="N219" s="455"/>
      <c r="O219" s="455"/>
      <c r="P219" s="917"/>
      <c r="Q219" s="918" t="s">
        <v>289</v>
      </c>
      <c r="R219" s="917"/>
      <c r="S219" s="918" t="s">
        <v>271</v>
      </c>
      <c r="T219" s="455"/>
      <c r="U219" s="917"/>
      <c r="V219" s="918" t="s">
        <v>270</v>
      </c>
      <c r="W219" s="1093"/>
    </row>
    <row r="220" spans="1:23" s="453" customFormat="1" ht="52.5" customHeight="1" x14ac:dyDescent="0.2">
      <c r="A220" s="1091"/>
      <c r="B220" s="454" t="s">
        <v>284</v>
      </c>
      <c r="C220" s="920" t="s">
        <v>109</v>
      </c>
      <c r="D220" s="459" t="s">
        <v>714</v>
      </c>
      <c r="E220" s="454" t="s">
        <v>278</v>
      </c>
      <c r="F220" s="1096"/>
      <c r="G220" s="920" t="s">
        <v>1096</v>
      </c>
      <c r="H220" s="454" t="s">
        <v>286</v>
      </c>
      <c r="I220" s="1096"/>
      <c r="J220" s="920" t="s">
        <v>1096</v>
      </c>
      <c r="K220" s="454" t="s">
        <v>286</v>
      </c>
      <c r="L220" s="454" t="s">
        <v>307</v>
      </c>
      <c r="M220" s="454" t="s">
        <v>313</v>
      </c>
      <c r="N220" s="454" t="s">
        <v>285</v>
      </c>
      <c r="O220" s="454" t="s">
        <v>284</v>
      </c>
      <c r="P220" s="454" t="s">
        <v>282</v>
      </c>
      <c r="Q220" s="920" t="s">
        <v>109</v>
      </c>
      <c r="R220" s="454" t="s">
        <v>275</v>
      </c>
      <c r="S220" s="920" t="s">
        <v>1092</v>
      </c>
      <c r="T220" s="454" t="s">
        <v>268</v>
      </c>
      <c r="U220" s="454" t="s">
        <v>480</v>
      </c>
      <c r="V220" s="919" t="s">
        <v>1094</v>
      </c>
      <c r="W220" s="1094"/>
    </row>
    <row r="221" spans="1:23" s="442" customFormat="1" ht="9.75" customHeight="1" x14ac:dyDescent="0.15">
      <c r="A221" s="949" t="s">
        <v>763</v>
      </c>
      <c r="B221" s="452" t="s">
        <v>648</v>
      </c>
      <c r="C221" s="451" t="s">
        <v>648</v>
      </c>
      <c r="D221" s="451" t="s">
        <v>648</v>
      </c>
      <c r="E221" s="451" t="s">
        <v>648</v>
      </c>
      <c r="F221" s="451">
        <v>77316</v>
      </c>
      <c r="G221" s="451">
        <v>77316</v>
      </c>
      <c r="H221" s="451">
        <v>77316</v>
      </c>
      <c r="I221" s="451">
        <v>2116758</v>
      </c>
      <c r="J221" s="451">
        <v>1827706</v>
      </c>
      <c r="K221" s="451">
        <v>246492</v>
      </c>
      <c r="L221" s="451" t="s">
        <v>648</v>
      </c>
      <c r="M221" s="451">
        <v>33532</v>
      </c>
      <c r="N221" s="451">
        <v>915648</v>
      </c>
      <c r="O221" s="451">
        <v>632034</v>
      </c>
      <c r="P221" s="451" t="s">
        <v>648</v>
      </c>
      <c r="Q221" s="451">
        <v>175144</v>
      </c>
      <c r="R221" s="451">
        <v>175144</v>
      </c>
      <c r="S221" s="451">
        <v>62722</v>
      </c>
      <c r="T221" s="451">
        <v>62722</v>
      </c>
      <c r="U221" s="451" t="s">
        <v>648</v>
      </c>
      <c r="V221" s="451">
        <v>51186</v>
      </c>
      <c r="W221" s="449" t="s">
        <v>464</v>
      </c>
    </row>
    <row r="222" spans="1:23" s="442" customFormat="1" ht="9.75" customHeight="1" x14ac:dyDescent="0.15">
      <c r="A222" s="950" t="s">
        <v>764</v>
      </c>
      <c r="B222" s="442" t="s">
        <v>648</v>
      </c>
      <c r="C222" s="442" t="s">
        <v>648</v>
      </c>
      <c r="D222" s="442" t="s">
        <v>648</v>
      </c>
      <c r="E222" s="442" t="s">
        <v>648</v>
      </c>
      <c r="F222" s="442">
        <v>71561</v>
      </c>
      <c r="G222" s="442">
        <v>71561</v>
      </c>
      <c r="H222" s="442">
        <v>71561</v>
      </c>
      <c r="I222" s="442">
        <v>2498701</v>
      </c>
      <c r="J222" s="442">
        <v>2253393</v>
      </c>
      <c r="K222" s="442">
        <v>384892</v>
      </c>
      <c r="L222" s="442" t="s">
        <v>648</v>
      </c>
      <c r="M222" s="442">
        <v>43696</v>
      </c>
      <c r="N222" s="442">
        <v>861940</v>
      </c>
      <c r="O222" s="442">
        <v>954038</v>
      </c>
      <c r="P222" s="442">
        <v>8827</v>
      </c>
      <c r="Q222" s="442">
        <v>180407</v>
      </c>
      <c r="R222" s="442">
        <v>180407</v>
      </c>
      <c r="S222" s="442">
        <v>8663</v>
      </c>
      <c r="T222" s="442" t="s">
        <v>648</v>
      </c>
      <c r="U222" s="442">
        <v>8663</v>
      </c>
      <c r="V222" s="442">
        <v>56238</v>
      </c>
      <c r="W222" s="447" t="s">
        <v>489</v>
      </c>
    </row>
    <row r="223" spans="1:23" s="442" customFormat="1" ht="9.75" customHeight="1" x14ac:dyDescent="0.15">
      <c r="A223" s="950" t="s">
        <v>765</v>
      </c>
      <c r="B223" s="442" t="s">
        <v>648</v>
      </c>
      <c r="C223" s="442" t="s">
        <v>648</v>
      </c>
      <c r="D223" s="442" t="s">
        <v>648</v>
      </c>
      <c r="E223" s="442" t="s">
        <v>648</v>
      </c>
      <c r="F223" s="442">
        <v>114834</v>
      </c>
      <c r="G223" s="442">
        <v>114834</v>
      </c>
      <c r="H223" s="442">
        <v>114834</v>
      </c>
      <c r="I223" s="442">
        <v>690500</v>
      </c>
      <c r="J223" s="442">
        <v>635972</v>
      </c>
      <c r="K223" s="442">
        <v>175282</v>
      </c>
      <c r="L223" s="442">
        <v>35468</v>
      </c>
      <c r="M223" s="442" t="s">
        <v>648</v>
      </c>
      <c r="N223" s="442">
        <v>165788</v>
      </c>
      <c r="O223" s="442">
        <v>259434</v>
      </c>
      <c r="P223" s="442" t="s">
        <v>648</v>
      </c>
      <c r="Q223" s="442" t="s">
        <v>648</v>
      </c>
      <c r="R223" s="442" t="s">
        <v>648</v>
      </c>
      <c r="S223" s="442" t="s">
        <v>648</v>
      </c>
      <c r="T223" s="442" t="s">
        <v>648</v>
      </c>
      <c r="U223" s="442" t="s">
        <v>648</v>
      </c>
      <c r="V223" s="442">
        <v>54528</v>
      </c>
      <c r="W223" s="447" t="s">
        <v>549</v>
      </c>
    </row>
    <row r="224" spans="1:23" s="442" customFormat="1" ht="9.75" customHeight="1" x14ac:dyDescent="0.15">
      <c r="A224" s="950" t="s">
        <v>766</v>
      </c>
      <c r="B224" s="442" t="s">
        <v>648</v>
      </c>
      <c r="C224" s="442">
        <v>2</v>
      </c>
      <c r="D224" s="442" t="s">
        <v>648</v>
      </c>
      <c r="E224" s="442">
        <v>2</v>
      </c>
      <c r="F224" s="442">
        <v>123613</v>
      </c>
      <c r="G224" s="442">
        <v>123613</v>
      </c>
      <c r="H224" s="442">
        <v>123613</v>
      </c>
      <c r="I224" s="442">
        <v>313944</v>
      </c>
      <c r="J224" s="442">
        <v>227811</v>
      </c>
      <c r="K224" s="442">
        <v>84591</v>
      </c>
      <c r="L224" s="442" t="s">
        <v>648</v>
      </c>
      <c r="M224" s="442" t="s">
        <v>648</v>
      </c>
      <c r="N224" s="442" t="s">
        <v>648</v>
      </c>
      <c r="O224" s="442">
        <v>143220</v>
      </c>
      <c r="P224" s="442" t="s">
        <v>648</v>
      </c>
      <c r="Q224" s="442">
        <v>65864</v>
      </c>
      <c r="R224" s="442">
        <v>65864</v>
      </c>
      <c r="S224" s="442" t="s">
        <v>648</v>
      </c>
      <c r="T224" s="442" t="s">
        <v>648</v>
      </c>
      <c r="U224" s="442" t="s">
        <v>648</v>
      </c>
      <c r="V224" s="442">
        <v>20269</v>
      </c>
      <c r="W224" s="447" t="s">
        <v>672</v>
      </c>
    </row>
    <row r="225" spans="1:23" s="442" customFormat="1" ht="9.75" customHeight="1" x14ac:dyDescent="0.15">
      <c r="A225" s="950" t="s">
        <v>767</v>
      </c>
      <c r="B225" s="442">
        <v>31295</v>
      </c>
      <c r="C225" s="442">
        <v>161</v>
      </c>
      <c r="D225" s="442">
        <v>161</v>
      </c>
      <c r="E225" s="442" t="s">
        <v>648</v>
      </c>
      <c r="F225" s="442">
        <v>153230</v>
      </c>
      <c r="G225" s="442">
        <v>153230</v>
      </c>
      <c r="H225" s="442">
        <v>153230</v>
      </c>
      <c r="I225" s="442">
        <v>1028729</v>
      </c>
      <c r="J225" s="442">
        <v>1028729</v>
      </c>
      <c r="K225" s="442">
        <v>272713</v>
      </c>
      <c r="L225" s="442" t="s">
        <v>648</v>
      </c>
      <c r="M225" s="442" t="s">
        <v>648</v>
      </c>
      <c r="N225" s="442">
        <v>209841</v>
      </c>
      <c r="O225" s="442">
        <v>546175</v>
      </c>
      <c r="P225" s="442" t="s">
        <v>648</v>
      </c>
      <c r="Q225" s="442" t="s">
        <v>648</v>
      </c>
      <c r="R225" s="442" t="s">
        <v>648</v>
      </c>
      <c r="S225" s="442" t="s">
        <v>648</v>
      </c>
      <c r="T225" s="442" t="s">
        <v>648</v>
      </c>
      <c r="U225" s="442" t="s">
        <v>648</v>
      </c>
      <c r="V225" s="442" t="s">
        <v>648</v>
      </c>
      <c r="W225" s="447" t="s">
        <v>768</v>
      </c>
    </row>
    <row r="226" spans="1:23" s="442" customFormat="1" ht="6.75" customHeight="1" x14ac:dyDescent="0.15">
      <c r="A226" s="950"/>
      <c r="W226" s="447"/>
    </row>
    <row r="227" spans="1:23" s="442" customFormat="1" ht="9.75" customHeight="1" x14ac:dyDescent="0.15">
      <c r="A227" s="950" t="s">
        <v>799</v>
      </c>
      <c r="B227" s="442" t="s">
        <v>648</v>
      </c>
      <c r="C227" s="442">
        <v>2</v>
      </c>
      <c r="D227" s="442" t="s">
        <v>648</v>
      </c>
      <c r="E227" s="442">
        <v>2</v>
      </c>
      <c r="F227" s="442">
        <v>115155</v>
      </c>
      <c r="G227" s="442">
        <v>115155</v>
      </c>
      <c r="H227" s="442">
        <v>115155</v>
      </c>
      <c r="I227" s="442">
        <v>606250</v>
      </c>
      <c r="J227" s="442">
        <v>520117</v>
      </c>
      <c r="K227" s="442">
        <v>144193</v>
      </c>
      <c r="L227" s="442" t="s">
        <v>648</v>
      </c>
      <c r="M227" s="442" t="s">
        <v>648</v>
      </c>
      <c r="N227" s="442">
        <v>58013</v>
      </c>
      <c r="O227" s="442">
        <v>317911</v>
      </c>
      <c r="P227" s="442" t="s">
        <v>648</v>
      </c>
      <c r="Q227" s="442">
        <v>65864</v>
      </c>
      <c r="R227" s="442">
        <v>65864</v>
      </c>
      <c r="S227" s="442" t="s">
        <v>648</v>
      </c>
      <c r="T227" s="442" t="s">
        <v>648</v>
      </c>
      <c r="U227" s="442" t="s">
        <v>648</v>
      </c>
      <c r="V227" s="442">
        <v>20269</v>
      </c>
      <c r="W227" s="447" t="s">
        <v>673</v>
      </c>
    </row>
    <row r="228" spans="1:23" s="442" customFormat="1" ht="9.75" customHeight="1" x14ac:dyDescent="0.15">
      <c r="A228" s="950" t="s">
        <v>800</v>
      </c>
      <c r="B228" s="442">
        <v>41255</v>
      </c>
      <c r="C228" s="442">
        <v>184</v>
      </c>
      <c r="D228" s="442">
        <v>184</v>
      </c>
      <c r="E228" s="442" t="s">
        <v>648</v>
      </c>
      <c r="F228" s="442">
        <v>143574</v>
      </c>
      <c r="G228" s="442">
        <v>143574</v>
      </c>
      <c r="H228" s="442">
        <v>143574</v>
      </c>
      <c r="I228" s="442">
        <v>1260988</v>
      </c>
      <c r="J228" s="442">
        <v>1260988</v>
      </c>
      <c r="K228" s="442">
        <v>389302</v>
      </c>
      <c r="L228" s="442" t="s">
        <v>648</v>
      </c>
      <c r="M228" s="442" t="s">
        <v>648</v>
      </c>
      <c r="N228" s="442">
        <v>447432</v>
      </c>
      <c r="O228" s="442">
        <v>424254</v>
      </c>
      <c r="P228" s="442" t="s">
        <v>648</v>
      </c>
      <c r="Q228" s="442" t="s">
        <v>648</v>
      </c>
      <c r="R228" s="442" t="s">
        <v>648</v>
      </c>
      <c r="S228" s="442" t="s">
        <v>648</v>
      </c>
      <c r="T228" s="442" t="s">
        <v>648</v>
      </c>
      <c r="U228" s="442" t="s">
        <v>648</v>
      </c>
      <c r="V228" s="442" t="s">
        <v>648</v>
      </c>
      <c r="W228" s="447" t="s">
        <v>771</v>
      </c>
    </row>
    <row r="229" spans="1:23" s="442" customFormat="1" ht="6.75" customHeight="1" x14ac:dyDescent="0.15">
      <c r="A229" s="950"/>
      <c r="W229" s="447"/>
    </row>
    <row r="230" spans="1:23" s="442" customFormat="1" ht="9.75" customHeight="1" x14ac:dyDescent="0.15">
      <c r="A230" s="950" t="s">
        <v>772</v>
      </c>
      <c r="B230" s="442" t="s">
        <v>648</v>
      </c>
      <c r="C230" s="442" t="s">
        <v>648</v>
      </c>
      <c r="D230" s="442" t="s">
        <v>648</v>
      </c>
      <c r="E230" s="442" t="s">
        <v>648</v>
      </c>
      <c r="F230" s="442">
        <v>22026</v>
      </c>
      <c r="G230" s="442">
        <v>22026</v>
      </c>
      <c r="H230" s="442">
        <v>22026</v>
      </c>
      <c r="I230" s="442">
        <v>353155</v>
      </c>
      <c r="J230" s="442">
        <v>353155</v>
      </c>
      <c r="K230" s="442">
        <v>80680</v>
      </c>
      <c r="L230" s="442" t="s">
        <v>648</v>
      </c>
      <c r="M230" s="442" t="s">
        <v>648</v>
      </c>
      <c r="N230" s="442">
        <v>58013</v>
      </c>
      <c r="O230" s="442">
        <v>214462</v>
      </c>
      <c r="P230" s="442" t="s">
        <v>648</v>
      </c>
      <c r="Q230" s="442" t="s">
        <v>648</v>
      </c>
      <c r="R230" s="442" t="s">
        <v>648</v>
      </c>
      <c r="S230" s="442" t="s">
        <v>648</v>
      </c>
      <c r="T230" s="442" t="s">
        <v>648</v>
      </c>
      <c r="U230" s="442" t="s">
        <v>648</v>
      </c>
      <c r="V230" s="442" t="s">
        <v>648</v>
      </c>
      <c r="W230" s="447" t="s">
        <v>674</v>
      </c>
    </row>
    <row r="231" spans="1:23" s="442" customFormat="1" ht="9.75" customHeight="1" x14ac:dyDescent="0.15">
      <c r="A231" s="950" t="s">
        <v>773</v>
      </c>
      <c r="B231" s="442">
        <v>13456</v>
      </c>
      <c r="C231" s="442">
        <v>23</v>
      </c>
      <c r="D231" s="442">
        <v>23</v>
      </c>
      <c r="E231" s="442" t="s">
        <v>648</v>
      </c>
      <c r="F231" s="442">
        <v>40417</v>
      </c>
      <c r="G231" s="442">
        <v>40417</v>
      </c>
      <c r="H231" s="442">
        <v>40417</v>
      </c>
      <c r="I231" s="442">
        <v>108894</v>
      </c>
      <c r="J231" s="442">
        <v>108894</v>
      </c>
      <c r="K231" s="442">
        <v>27507</v>
      </c>
      <c r="L231" s="442" t="s">
        <v>648</v>
      </c>
      <c r="M231" s="442" t="s">
        <v>648</v>
      </c>
      <c r="N231" s="442">
        <v>38545</v>
      </c>
      <c r="O231" s="442">
        <v>42842</v>
      </c>
      <c r="P231" s="442" t="s">
        <v>648</v>
      </c>
      <c r="Q231" s="442" t="s">
        <v>648</v>
      </c>
      <c r="R231" s="442" t="s">
        <v>648</v>
      </c>
      <c r="S231" s="442" t="s">
        <v>648</v>
      </c>
      <c r="T231" s="442" t="s">
        <v>648</v>
      </c>
      <c r="U231" s="442" t="s">
        <v>648</v>
      </c>
      <c r="V231" s="442" t="s">
        <v>648</v>
      </c>
      <c r="W231" s="447" t="s">
        <v>92</v>
      </c>
    </row>
    <row r="232" spans="1:23" s="442" customFormat="1" ht="9.75" customHeight="1" x14ac:dyDescent="0.15">
      <c r="A232" s="950" t="s">
        <v>774</v>
      </c>
      <c r="B232" s="442">
        <v>5869</v>
      </c>
      <c r="C232" s="442">
        <v>23</v>
      </c>
      <c r="D232" s="442">
        <v>23</v>
      </c>
      <c r="E232" s="442" t="s">
        <v>648</v>
      </c>
      <c r="F232" s="442">
        <v>52610</v>
      </c>
      <c r="G232" s="442">
        <v>52610</v>
      </c>
      <c r="H232" s="442">
        <v>52610</v>
      </c>
      <c r="I232" s="442">
        <v>128153</v>
      </c>
      <c r="J232" s="442">
        <v>128153</v>
      </c>
      <c r="K232" s="442">
        <v>57376</v>
      </c>
      <c r="L232" s="442" t="s">
        <v>648</v>
      </c>
      <c r="M232" s="442" t="s">
        <v>648</v>
      </c>
      <c r="N232" s="442">
        <v>36430</v>
      </c>
      <c r="O232" s="442">
        <v>34347</v>
      </c>
      <c r="P232" s="442" t="s">
        <v>648</v>
      </c>
      <c r="Q232" s="442" t="s">
        <v>648</v>
      </c>
      <c r="R232" s="442" t="s">
        <v>648</v>
      </c>
      <c r="S232" s="442" t="s">
        <v>648</v>
      </c>
      <c r="T232" s="442" t="s">
        <v>648</v>
      </c>
      <c r="U232" s="442" t="s">
        <v>648</v>
      </c>
      <c r="V232" s="442" t="s">
        <v>648</v>
      </c>
      <c r="W232" s="447" t="s">
        <v>93</v>
      </c>
    </row>
    <row r="233" spans="1:23" s="442" customFormat="1" ht="9.75" customHeight="1" x14ac:dyDescent="0.15">
      <c r="A233" s="950" t="s">
        <v>801</v>
      </c>
      <c r="B233" s="442">
        <v>11970</v>
      </c>
      <c r="C233" s="442">
        <v>115</v>
      </c>
      <c r="D233" s="442">
        <v>115</v>
      </c>
      <c r="E233" s="442" t="s">
        <v>648</v>
      </c>
      <c r="F233" s="442">
        <v>38177</v>
      </c>
      <c r="G233" s="442">
        <v>38177</v>
      </c>
      <c r="H233" s="442">
        <v>38177</v>
      </c>
      <c r="I233" s="442">
        <v>438527</v>
      </c>
      <c r="J233" s="442">
        <v>438527</v>
      </c>
      <c r="K233" s="442">
        <v>107150</v>
      </c>
      <c r="L233" s="442" t="s">
        <v>648</v>
      </c>
      <c r="M233" s="442" t="s">
        <v>648</v>
      </c>
      <c r="N233" s="442">
        <v>76853</v>
      </c>
      <c r="O233" s="442">
        <v>254524</v>
      </c>
      <c r="P233" s="442" t="s">
        <v>648</v>
      </c>
      <c r="Q233" s="442" t="s">
        <v>648</v>
      </c>
      <c r="R233" s="442" t="s">
        <v>648</v>
      </c>
      <c r="S233" s="442" t="s">
        <v>648</v>
      </c>
      <c r="T233" s="442" t="s">
        <v>648</v>
      </c>
      <c r="U233" s="442" t="s">
        <v>648</v>
      </c>
      <c r="V233" s="442" t="s">
        <v>648</v>
      </c>
      <c r="W233" s="447" t="s">
        <v>94</v>
      </c>
    </row>
    <row r="234" spans="1:23" s="442" customFormat="1" ht="9.75" customHeight="1" x14ac:dyDescent="0.15">
      <c r="A234" s="950" t="s">
        <v>809</v>
      </c>
      <c r="B234" s="442">
        <v>9960</v>
      </c>
      <c r="C234" s="442">
        <v>23</v>
      </c>
      <c r="D234" s="442">
        <v>23</v>
      </c>
      <c r="E234" s="442" t="s">
        <v>648</v>
      </c>
      <c r="F234" s="442">
        <v>12370</v>
      </c>
      <c r="G234" s="442">
        <v>12370</v>
      </c>
      <c r="H234" s="442">
        <v>12370</v>
      </c>
      <c r="I234" s="442">
        <v>585414</v>
      </c>
      <c r="J234" s="442">
        <v>585414</v>
      </c>
      <c r="K234" s="442">
        <v>197269</v>
      </c>
      <c r="L234" s="442" t="s">
        <v>648</v>
      </c>
      <c r="M234" s="442" t="s">
        <v>648</v>
      </c>
      <c r="N234" s="442">
        <v>295604</v>
      </c>
      <c r="O234" s="442">
        <v>92541</v>
      </c>
      <c r="P234" s="442" t="s">
        <v>648</v>
      </c>
      <c r="Q234" s="442" t="s">
        <v>648</v>
      </c>
      <c r="R234" s="442" t="s">
        <v>648</v>
      </c>
      <c r="S234" s="442" t="s">
        <v>648</v>
      </c>
      <c r="T234" s="442" t="s">
        <v>648</v>
      </c>
      <c r="U234" s="442" t="s">
        <v>648</v>
      </c>
      <c r="V234" s="442" t="s">
        <v>648</v>
      </c>
      <c r="W234" s="447" t="s">
        <v>777</v>
      </c>
    </row>
    <row r="235" spans="1:23" s="442" customFormat="1" ht="6.75" customHeight="1" x14ac:dyDescent="0.15">
      <c r="A235" s="950"/>
      <c r="W235" s="447"/>
    </row>
    <row r="236" spans="1:23" s="442" customFormat="1" ht="9.75" customHeight="1" x14ac:dyDescent="0.15">
      <c r="A236" s="950" t="s">
        <v>778</v>
      </c>
      <c r="B236" s="442" t="s">
        <v>648</v>
      </c>
      <c r="C236" s="442" t="s">
        <v>648</v>
      </c>
      <c r="D236" s="442" t="s">
        <v>648</v>
      </c>
      <c r="E236" s="442" t="s">
        <v>648</v>
      </c>
      <c r="F236" s="442">
        <v>4472</v>
      </c>
      <c r="G236" s="442">
        <v>4472</v>
      </c>
      <c r="H236" s="442">
        <v>4472</v>
      </c>
      <c r="I236" s="442">
        <v>126974</v>
      </c>
      <c r="J236" s="442">
        <v>126974</v>
      </c>
      <c r="K236" s="442">
        <v>19386</v>
      </c>
      <c r="L236" s="442" t="s">
        <v>648</v>
      </c>
      <c r="M236" s="442" t="s">
        <v>648</v>
      </c>
      <c r="N236" s="442">
        <v>58013</v>
      </c>
      <c r="O236" s="442">
        <v>49575</v>
      </c>
      <c r="P236" s="442" t="s">
        <v>648</v>
      </c>
      <c r="Q236" s="442" t="s">
        <v>648</v>
      </c>
      <c r="R236" s="442" t="s">
        <v>648</v>
      </c>
      <c r="S236" s="442" t="s">
        <v>648</v>
      </c>
      <c r="T236" s="442" t="s">
        <v>648</v>
      </c>
      <c r="U236" s="442" t="s">
        <v>648</v>
      </c>
      <c r="V236" s="442" t="s">
        <v>648</v>
      </c>
      <c r="W236" s="447" t="s">
        <v>675</v>
      </c>
    </row>
    <row r="237" spans="1:23" s="442" customFormat="1" ht="9.75" customHeight="1" x14ac:dyDescent="0.15">
      <c r="A237" s="950" t="s">
        <v>779</v>
      </c>
      <c r="B237" s="442" t="s">
        <v>648</v>
      </c>
      <c r="C237" s="442" t="s">
        <v>648</v>
      </c>
      <c r="D237" s="442" t="s">
        <v>648</v>
      </c>
      <c r="E237" s="442" t="s">
        <v>648</v>
      </c>
      <c r="F237" s="442">
        <v>6026</v>
      </c>
      <c r="G237" s="442">
        <v>6026</v>
      </c>
      <c r="H237" s="442">
        <v>6026</v>
      </c>
      <c r="I237" s="442">
        <v>202346</v>
      </c>
      <c r="J237" s="442">
        <v>202346</v>
      </c>
      <c r="K237" s="442">
        <v>37459</v>
      </c>
      <c r="L237" s="442" t="s">
        <v>648</v>
      </c>
      <c r="M237" s="442" t="s">
        <v>648</v>
      </c>
      <c r="N237" s="442" t="s">
        <v>648</v>
      </c>
      <c r="O237" s="442">
        <v>164887</v>
      </c>
      <c r="P237" s="442" t="s">
        <v>648</v>
      </c>
      <c r="Q237" s="442" t="s">
        <v>648</v>
      </c>
      <c r="R237" s="442" t="s">
        <v>648</v>
      </c>
      <c r="S237" s="442" t="s">
        <v>648</v>
      </c>
      <c r="T237" s="442" t="s">
        <v>648</v>
      </c>
      <c r="U237" s="442" t="s">
        <v>648</v>
      </c>
      <c r="V237" s="442" t="s">
        <v>648</v>
      </c>
      <c r="W237" s="447" t="s">
        <v>80</v>
      </c>
    </row>
    <row r="238" spans="1:23" s="442" customFormat="1" ht="9.75" customHeight="1" x14ac:dyDescent="0.15">
      <c r="A238" s="950" t="s">
        <v>780</v>
      </c>
      <c r="B238" s="442" t="s">
        <v>648</v>
      </c>
      <c r="C238" s="442" t="s">
        <v>648</v>
      </c>
      <c r="D238" s="442" t="s">
        <v>648</v>
      </c>
      <c r="E238" s="442" t="s">
        <v>648</v>
      </c>
      <c r="F238" s="442">
        <v>11528</v>
      </c>
      <c r="G238" s="442">
        <v>11528</v>
      </c>
      <c r="H238" s="442">
        <v>11528</v>
      </c>
      <c r="I238" s="442">
        <v>23835</v>
      </c>
      <c r="J238" s="442">
        <v>23835</v>
      </c>
      <c r="K238" s="442">
        <v>23835</v>
      </c>
      <c r="L238" s="442" t="s">
        <v>648</v>
      </c>
      <c r="M238" s="442" t="s">
        <v>648</v>
      </c>
      <c r="N238" s="442" t="s">
        <v>648</v>
      </c>
      <c r="O238" s="442" t="s">
        <v>648</v>
      </c>
      <c r="P238" s="442" t="s">
        <v>648</v>
      </c>
      <c r="Q238" s="442" t="s">
        <v>648</v>
      </c>
      <c r="R238" s="442" t="s">
        <v>648</v>
      </c>
      <c r="S238" s="442" t="s">
        <v>648</v>
      </c>
      <c r="T238" s="442" t="s">
        <v>648</v>
      </c>
      <c r="U238" s="442" t="s">
        <v>648</v>
      </c>
      <c r="V238" s="442" t="s">
        <v>648</v>
      </c>
      <c r="W238" s="447" t="s">
        <v>81</v>
      </c>
    </row>
    <row r="239" spans="1:23" s="442" customFormat="1" ht="9.75" customHeight="1" x14ac:dyDescent="0.15">
      <c r="A239" s="950" t="s">
        <v>781</v>
      </c>
      <c r="B239" s="442">
        <v>6740</v>
      </c>
      <c r="C239" s="442" t="s">
        <v>648</v>
      </c>
      <c r="D239" s="442" t="s">
        <v>648</v>
      </c>
      <c r="E239" s="442" t="s">
        <v>648</v>
      </c>
      <c r="F239" s="442">
        <v>11017</v>
      </c>
      <c r="G239" s="442">
        <v>11017</v>
      </c>
      <c r="H239" s="442">
        <v>11017</v>
      </c>
      <c r="I239" s="442">
        <v>75144</v>
      </c>
      <c r="J239" s="442">
        <v>75144</v>
      </c>
      <c r="K239" s="442">
        <v>14640</v>
      </c>
      <c r="L239" s="442" t="s">
        <v>648</v>
      </c>
      <c r="M239" s="442" t="s">
        <v>648</v>
      </c>
      <c r="N239" s="442">
        <v>38545</v>
      </c>
      <c r="O239" s="442">
        <v>21959</v>
      </c>
      <c r="P239" s="442" t="s">
        <v>648</v>
      </c>
      <c r="Q239" s="442" t="s">
        <v>648</v>
      </c>
      <c r="R239" s="442" t="s">
        <v>648</v>
      </c>
      <c r="S239" s="442" t="s">
        <v>648</v>
      </c>
      <c r="T239" s="442" t="s">
        <v>648</v>
      </c>
      <c r="U239" s="442" t="s">
        <v>648</v>
      </c>
      <c r="V239" s="442" t="s">
        <v>648</v>
      </c>
      <c r="W239" s="447" t="s">
        <v>82</v>
      </c>
    </row>
    <row r="240" spans="1:23" s="442" customFormat="1" ht="9.75" customHeight="1" x14ac:dyDescent="0.15">
      <c r="A240" s="950" t="s">
        <v>782</v>
      </c>
      <c r="B240" s="442" t="s">
        <v>648</v>
      </c>
      <c r="C240" s="442">
        <v>23</v>
      </c>
      <c r="D240" s="442">
        <v>23</v>
      </c>
      <c r="E240" s="442" t="s">
        <v>648</v>
      </c>
      <c r="F240" s="442">
        <v>12154</v>
      </c>
      <c r="G240" s="442">
        <v>12154</v>
      </c>
      <c r="H240" s="442">
        <v>12154</v>
      </c>
      <c r="I240" s="442">
        <v>12867</v>
      </c>
      <c r="J240" s="442">
        <v>12867</v>
      </c>
      <c r="K240" s="442">
        <v>12867</v>
      </c>
      <c r="L240" s="442" t="s">
        <v>648</v>
      </c>
      <c r="M240" s="442" t="s">
        <v>648</v>
      </c>
      <c r="N240" s="442" t="s">
        <v>648</v>
      </c>
      <c r="O240" s="442" t="s">
        <v>648</v>
      </c>
      <c r="P240" s="442" t="s">
        <v>648</v>
      </c>
      <c r="Q240" s="442" t="s">
        <v>648</v>
      </c>
      <c r="R240" s="442" t="s">
        <v>648</v>
      </c>
      <c r="S240" s="442" t="s">
        <v>648</v>
      </c>
      <c r="T240" s="442" t="s">
        <v>648</v>
      </c>
      <c r="U240" s="442" t="s">
        <v>648</v>
      </c>
      <c r="V240" s="442" t="s">
        <v>648</v>
      </c>
      <c r="W240" s="447" t="s">
        <v>95</v>
      </c>
    </row>
    <row r="241" spans="1:23" s="442" customFormat="1" ht="9.75" customHeight="1" x14ac:dyDescent="0.15">
      <c r="A241" s="950" t="s">
        <v>783</v>
      </c>
      <c r="B241" s="442">
        <v>6716</v>
      </c>
      <c r="C241" s="442" t="s">
        <v>648</v>
      </c>
      <c r="D241" s="442" t="s">
        <v>648</v>
      </c>
      <c r="E241" s="442" t="s">
        <v>648</v>
      </c>
      <c r="F241" s="442">
        <v>17246</v>
      </c>
      <c r="G241" s="442">
        <v>17246</v>
      </c>
      <c r="H241" s="442">
        <v>17246</v>
      </c>
      <c r="I241" s="442">
        <v>20883</v>
      </c>
      <c r="J241" s="442">
        <v>20883</v>
      </c>
      <c r="K241" s="442" t="s">
        <v>648</v>
      </c>
      <c r="L241" s="442" t="s">
        <v>648</v>
      </c>
      <c r="M241" s="442" t="s">
        <v>648</v>
      </c>
      <c r="N241" s="442" t="s">
        <v>648</v>
      </c>
      <c r="O241" s="442">
        <v>20883</v>
      </c>
      <c r="P241" s="442" t="s">
        <v>648</v>
      </c>
      <c r="Q241" s="442" t="s">
        <v>648</v>
      </c>
      <c r="R241" s="442" t="s">
        <v>648</v>
      </c>
      <c r="S241" s="442" t="s">
        <v>648</v>
      </c>
      <c r="T241" s="442" t="s">
        <v>648</v>
      </c>
      <c r="U241" s="442" t="s">
        <v>648</v>
      </c>
      <c r="V241" s="442" t="s">
        <v>648</v>
      </c>
      <c r="W241" s="447" t="s">
        <v>96</v>
      </c>
    </row>
    <row r="242" spans="1:23" s="442" customFormat="1" ht="9.75" customHeight="1" x14ac:dyDescent="0.15">
      <c r="A242" s="950" t="s">
        <v>784</v>
      </c>
      <c r="B242" s="442">
        <v>5869</v>
      </c>
      <c r="C242" s="442" t="s">
        <v>648</v>
      </c>
      <c r="D242" s="442" t="s">
        <v>648</v>
      </c>
      <c r="E242" s="442" t="s">
        <v>648</v>
      </c>
      <c r="F242" s="442">
        <v>11798</v>
      </c>
      <c r="G242" s="442">
        <v>11798</v>
      </c>
      <c r="H242" s="442">
        <v>11798</v>
      </c>
      <c r="I242" s="442">
        <v>104443</v>
      </c>
      <c r="J242" s="442">
        <v>104443</v>
      </c>
      <c r="K242" s="442">
        <v>33666</v>
      </c>
      <c r="L242" s="442" t="s">
        <v>648</v>
      </c>
      <c r="M242" s="442" t="s">
        <v>648</v>
      </c>
      <c r="N242" s="442">
        <v>36430</v>
      </c>
      <c r="O242" s="442">
        <v>34347</v>
      </c>
      <c r="P242" s="442" t="s">
        <v>648</v>
      </c>
      <c r="Q242" s="442" t="s">
        <v>648</v>
      </c>
      <c r="R242" s="442" t="s">
        <v>648</v>
      </c>
      <c r="S242" s="442" t="s">
        <v>648</v>
      </c>
      <c r="T242" s="442" t="s">
        <v>648</v>
      </c>
      <c r="U242" s="442" t="s">
        <v>648</v>
      </c>
      <c r="V242" s="442" t="s">
        <v>648</v>
      </c>
      <c r="W242" s="447" t="s">
        <v>97</v>
      </c>
    </row>
    <row r="243" spans="1:23" s="442" customFormat="1" ht="9.75" customHeight="1" x14ac:dyDescent="0.15">
      <c r="A243" s="950" t="s">
        <v>806</v>
      </c>
      <c r="B243" s="442" t="s">
        <v>648</v>
      </c>
      <c r="C243" s="442" t="s">
        <v>648</v>
      </c>
      <c r="D243" s="442" t="s">
        <v>648</v>
      </c>
      <c r="E243" s="442" t="s">
        <v>648</v>
      </c>
      <c r="F243" s="442">
        <v>23068</v>
      </c>
      <c r="G243" s="442">
        <v>23068</v>
      </c>
      <c r="H243" s="442">
        <v>23068</v>
      </c>
      <c r="I243" s="442">
        <v>19222</v>
      </c>
      <c r="J243" s="442">
        <v>19222</v>
      </c>
      <c r="K243" s="442">
        <v>19222</v>
      </c>
      <c r="L243" s="442" t="s">
        <v>648</v>
      </c>
      <c r="M243" s="442" t="s">
        <v>648</v>
      </c>
      <c r="N243" s="442" t="s">
        <v>648</v>
      </c>
      <c r="O243" s="442" t="s">
        <v>648</v>
      </c>
      <c r="P243" s="442" t="s">
        <v>648</v>
      </c>
      <c r="Q243" s="442" t="s">
        <v>648</v>
      </c>
      <c r="R243" s="442" t="s">
        <v>648</v>
      </c>
      <c r="S243" s="442" t="s">
        <v>648</v>
      </c>
      <c r="T243" s="442" t="s">
        <v>648</v>
      </c>
      <c r="U243" s="442" t="s">
        <v>648</v>
      </c>
      <c r="V243" s="442" t="s">
        <v>648</v>
      </c>
      <c r="W243" s="447" t="s">
        <v>98</v>
      </c>
    </row>
    <row r="244" spans="1:23" s="442" customFormat="1" ht="9.75" customHeight="1" x14ac:dyDescent="0.15">
      <c r="A244" s="950" t="s">
        <v>786</v>
      </c>
      <c r="B244" s="442" t="s">
        <v>648</v>
      </c>
      <c r="C244" s="442">
        <v>23</v>
      </c>
      <c r="D244" s="442">
        <v>23</v>
      </c>
      <c r="E244" s="442" t="s">
        <v>648</v>
      </c>
      <c r="F244" s="442">
        <v>17744</v>
      </c>
      <c r="G244" s="442">
        <v>17744</v>
      </c>
      <c r="H244" s="442">
        <v>17744</v>
      </c>
      <c r="I244" s="442">
        <v>4488</v>
      </c>
      <c r="J244" s="442">
        <v>4488</v>
      </c>
      <c r="K244" s="442">
        <v>4488</v>
      </c>
      <c r="L244" s="442" t="s">
        <v>648</v>
      </c>
      <c r="M244" s="442" t="s">
        <v>648</v>
      </c>
      <c r="N244" s="442" t="s">
        <v>648</v>
      </c>
      <c r="O244" s="442" t="s">
        <v>648</v>
      </c>
      <c r="P244" s="442" t="s">
        <v>648</v>
      </c>
      <c r="Q244" s="442" t="s">
        <v>648</v>
      </c>
      <c r="R244" s="442" t="s">
        <v>648</v>
      </c>
      <c r="S244" s="442" t="s">
        <v>648</v>
      </c>
      <c r="T244" s="442" t="s">
        <v>648</v>
      </c>
      <c r="U244" s="442" t="s">
        <v>648</v>
      </c>
      <c r="V244" s="442" t="s">
        <v>648</v>
      </c>
      <c r="W244" s="447" t="s">
        <v>99</v>
      </c>
    </row>
    <row r="245" spans="1:23" s="442" customFormat="1" ht="9.75" customHeight="1" x14ac:dyDescent="0.15">
      <c r="A245" s="950" t="s">
        <v>807</v>
      </c>
      <c r="B245" s="442">
        <v>5830</v>
      </c>
      <c r="C245" s="442">
        <v>46</v>
      </c>
      <c r="D245" s="442">
        <v>46</v>
      </c>
      <c r="E245" s="442" t="s">
        <v>648</v>
      </c>
      <c r="F245" s="442">
        <v>12341</v>
      </c>
      <c r="G245" s="442">
        <v>12341</v>
      </c>
      <c r="H245" s="442">
        <v>12341</v>
      </c>
      <c r="I245" s="442">
        <v>4522</v>
      </c>
      <c r="J245" s="442">
        <v>4522</v>
      </c>
      <c r="K245" s="442">
        <v>4522</v>
      </c>
      <c r="L245" s="442" t="s">
        <v>648</v>
      </c>
      <c r="M245" s="442" t="s">
        <v>648</v>
      </c>
      <c r="N245" s="442" t="s">
        <v>648</v>
      </c>
      <c r="O245" s="442" t="s">
        <v>648</v>
      </c>
      <c r="P245" s="442" t="s">
        <v>648</v>
      </c>
      <c r="Q245" s="442" t="s">
        <v>648</v>
      </c>
      <c r="R245" s="442" t="s">
        <v>648</v>
      </c>
      <c r="S245" s="442" t="s">
        <v>648</v>
      </c>
      <c r="T245" s="442" t="s">
        <v>648</v>
      </c>
      <c r="U245" s="442" t="s">
        <v>648</v>
      </c>
      <c r="V245" s="442" t="s">
        <v>648</v>
      </c>
      <c r="W245" s="447" t="s">
        <v>83</v>
      </c>
    </row>
    <row r="246" spans="1:23" s="442" customFormat="1" ht="9.75" customHeight="1" x14ac:dyDescent="0.15">
      <c r="A246" s="950" t="s">
        <v>788</v>
      </c>
      <c r="B246" s="442" t="s">
        <v>648</v>
      </c>
      <c r="C246" s="442">
        <v>46</v>
      </c>
      <c r="D246" s="442">
        <v>46</v>
      </c>
      <c r="E246" s="442" t="s">
        <v>648</v>
      </c>
      <c r="F246" s="442">
        <v>15177</v>
      </c>
      <c r="G246" s="442">
        <v>15177</v>
      </c>
      <c r="H246" s="442">
        <v>15177</v>
      </c>
      <c r="I246" s="442">
        <v>169329</v>
      </c>
      <c r="J246" s="442">
        <v>169329</v>
      </c>
      <c r="K246" s="442">
        <v>39759</v>
      </c>
      <c r="L246" s="442" t="s">
        <v>648</v>
      </c>
      <c r="M246" s="442" t="s">
        <v>648</v>
      </c>
      <c r="N246" s="442">
        <v>31286</v>
      </c>
      <c r="O246" s="442">
        <v>98284</v>
      </c>
      <c r="P246" s="442" t="s">
        <v>648</v>
      </c>
      <c r="Q246" s="442" t="s">
        <v>648</v>
      </c>
      <c r="R246" s="442" t="s">
        <v>648</v>
      </c>
      <c r="S246" s="442" t="s">
        <v>648</v>
      </c>
      <c r="T246" s="442" t="s">
        <v>648</v>
      </c>
      <c r="U246" s="442" t="s">
        <v>648</v>
      </c>
      <c r="V246" s="442" t="s">
        <v>648</v>
      </c>
      <c r="W246" s="447" t="s">
        <v>84</v>
      </c>
    </row>
    <row r="247" spans="1:23" s="442" customFormat="1" ht="9.75" customHeight="1" x14ac:dyDescent="0.15">
      <c r="A247" s="950" t="s">
        <v>789</v>
      </c>
      <c r="B247" s="442">
        <v>6140</v>
      </c>
      <c r="C247" s="442">
        <v>23</v>
      </c>
      <c r="D247" s="442">
        <v>23</v>
      </c>
      <c r="E247" s="442" t="s">
        <v>648</v>
      </c>
      <c r="F247" s="442">
        <v>10659</v>
      </c>
      <c r="G247" s="442">
        <v>10659</v>
      </c>
      <c r="H247" s="442">
        <v>10659</v>
      </c>
      <c r="I247" s="442">
        <v>264676</v>
      </c>
      <c r="J247" s="442">
        <v>264676</v>
      </c>
      <c r="K247" s="442">
        <v>62869</v>
      </c>
      <c r="L247" s="442" t="s">
        <v>648</v>
      </c>
      <c r="M247" s="442" t="s">
        <v>648</v>
      </c>
      <c r="N247" s="442">
        <v>45567</v>
      </c>
      <c r="O247" s="442">
        <v>156240</v>
      </c>
      <c r="P247" s="442" t="s">
        <v>648</v>
      </c>
      <c r="Q247" s="442" t="s">
        <v>648</v>
      </c>
      <c r="R247" s="442" t="s">
        <v>648</v>
      </c>
      <c r="S247" s="442" t="s">
        <v>648</v>
      </c>
      <c r="T247" s="442" t="s">
        <v>648</v>
      </c>
      <c r="U247" s="442" t="s">
        <v>648</v>
      </c>
      <c r="V247" s="442" t="s">
        <v>648</v>
      </c>
      <c r="W247" s="447" t="s">
        <v>85</v>
      </c>
    </row>
    <row r="248" spans="1:23" s="442" customFormat="1" ht="9.75" customHeight="1" x14ac:dyDescent="0.15">
      <c r="A248" s="950" t="s">
        <v>790</v>
      </c>
      <c r="B248" s="442" t="s">
        <v>648</v>
      </c>
      <c r="C248" s="442" t="s">
        <v>648</v>
      </c>
      <c r="D248" s="442" t="s">
        <v>648</v>
      </c>
      <c r="E248" s="442" t="s">
        <v>648</v>
      </c>
      <c r="F248" s="442">
        <v>6171</v>
      </c>
      <c r="G248" s="442">
        <v>6171</v>
      </c>
      <c r="H248" s="442">
        <v>6171</v>
      </c>
      <c r="I248" s="442">
        <v>240524</v>
      </c>
      <c r="J248" s="442">
        <v>240524</v>
      </c>
      <c r="K248" s="442">
        <v>55398</v>
      </c>
      <c r="L248" s="442" t="s">
        <v>648</v>
      </c>
      <c r="M248" s="442" t="s">
        <v>648</v>
      </c>
      <c r="N248" s="442">
        <v>151902</v>
      </c>
      <c r="O248" s="442">
        <v>33224</v>
      </c>
      <c r="P248" s="442" t="s">
        <v>648</v>
      </c>
      <c r="Q248" s="442" t="s">
        <v>648</v>
      </c>
      <c r="R248" s="442" t="s">
        <v>648</v>
      </c>
      <c r="S248" s="442" t="s">
        <v>648</v>
      </c>
      <c r="T248" s="442" t="s">
        <v>648</v>
      </c>
      <c r="U248" s="442" t="s">
        <v>648</v>
      </c>
      <c r="V248" s="442" t="s">
        <v>648</v>
      </c>
      <c r="W248" s="447" t="s">
        <v>791</v>
      </c>
    </row>
    <row r="249" spans="1:23" s="442" customFormat="1" ht="9.75" customHeight="1" x14ac:dyDescent="0.15">
      <c r="A249" s="950" t="s">
        <v>792</v>
      </c>
      <c r="B249" s="442">
        <v>6949</v>
      </c>
      <c r="C249" s="442">
        <v>23</v>
      </c>
      <c r="D249" s="442">
        <v>23</v>
      </c>
      <c r="E249" s="442" t="s">
        <v>648</v>
      </c>
      <c r="F249" s="442" t="s">
        <v>648</v>
      </c>
      <c r="G249" s="442" t="s">
        <v>648</v>
      </c>
      <c r="H249" s="442" t="s">
        <v>648</v>
      </c>
      <c r="I249" s="442">
        <v>200641</v>
      </c>
      <c r="J249" s="442">
        <v>200641</v>
      </c>
      <c r="K249" s="442">
        <v>76988</v>
      </c>
      <c r="L249" s="442" t="s">
        <v>648</v>
      </c>
      <c r="M249" s="442" t="s">
        <v>648</v>
      </c>
      <c r="N249" s="442">
        <v>89280</v>
      </c>
      <c r="O249" s="442">
        <v>34373</v>
      </c>
      <c r="P249" s="442" t="s">
        <v>648</v>
      </c>
      <c r="Q249" s="442" t="s">
        <v>648</v>
      </c>
      <c r="R249" s="442" t="s">
        <v>648</v>
      </c>
      <c r="S249" s="442" t="s">
        <v>648</v>
      </c>
      <c r="T249" s="442" t="s">
        <v>648</v>
      </c>
      <c r="U249" s="442" t="s">
        <v>648</v>
      </c>
      <c r="V249" s="442" t="s">
        <v>648</v>
      </c>
      <c r="W249" s="447" t="s">
        <v>80</v>
      </c>
    </row>
    <row r="250" spans="1:23" s="442" customFormat="1" ht="9.75" customHeight="1" x14ac:dyDescent="0.15">
      <c r="A250" s="951" t="s">
        <v>793</v>
      </c>
      <c r="B250" s="446">
        <v>3011</v>
      </c>
      <c r="C250" s="445" t="s">
        <v>648</v>
      </c>
      <c r="D250" s="445" t="s">
        <v>648</v>
      </c>
      <c r="E250" s="445" t="s">
        <v>648</v>
      </c>
      <c r="F250" s="445">
        <v>6199</v>
      </c>
      <c r="G250" s="445">
        <v>6199</v>
      </c>
      <c r="H250" s="445">
        <v>6199</v>
      </c>
      <c r="I250" s="445">
        <v>144249</v>
      </c>
      <c r="J250" s="445">
        <v>144249</v>
      </c>
      <c r="K250" s="445">
        <v>64883</v>
      </c>
      <c r="L250" s="445" t="s">
        <v>648</v>
      </c>
      <c r="M250" s="445" t="s">
        <v>648</v>
      </c>
      <c r="N250" s="445">
        <v>54422</v>
      </c>
      <c r="O250" s="445">
        <v>24944</v>
      </c>
      <c r="P250" s="445" t="s">
        <v>648</v>
      </c>
      <c r="Q250" s="445" t="s">
        <v>648</v>
      </c>
      <c r="R250" s="445" t="s">
        <v>648</v>
      </c>
      <c r="S250" s="445" t="s">
        <v>648</v>
      </c>
      <c r="T250" s="445" t="s">
        <v>648</v>
      </c>
      <c r="U250" s="445" t="s">
        <v>648</v>
      </c>
      <c r="V250" s="445" t="s">
        <v>648</v>
      </c>
      <c r="W250" s="443" t="s">
        <v>81</v>
      </c>
    </row>
    <row r="251" spans="1:23" ht="12" customHeight="1" x14ac:dyDescent="0.2"/>
    <row r="252" spans="1:23" ht="12" customHeight="1" x14ac:dyDescent="0.2"/>
    <row r="253" spans="1:23" ht="12" customHeight="1" x14ac:dyDescent="0.2">
      <c r="K253" s="457" t="s">
        <v>100</v>
      </c>
    </row>
    <row r="254" spans="1:23" s="453" customFormat="1" ht="21" customHeight="1" x14ac:dyDescent="0.2">
      <c r="A254" s="1089" t="s">
        <v>194</v>
      </c>
      <c r="B254" s="1015" t="s">
        <v>1100</v>
      </c>
      <c r="C254" s="918" t="s">
        <v>324</v>
      </c>
      <c r="D254" s="455"/>
      <c r="E254" s="455"/>
      <c r="F254" s="455"/>
      <c r="G254" s="455"/>
      <c r="H254" s="455"/>
      <c r="I254" s="455"/>
      <c r="J254" s="455"/>
      <c r="K254" s="455"/>
      <c r="L254" s="455"/>
      <c r="M254" s="455"/>
      <c r="N254" s="455"/>
      <c r="O254" s="455"/>
      <c r="P254" s="455"/>
      <c r="Q254" s="455"/>
      <c r="R254" s="455"/>
      <c r="S254" s="455"/>
      <c r="T254" s="455"/>
      <c r="U254" s="455"/>
      <c r="V254" s="455"/>
      <c r="W254" s="1092" t="s">
        <v>86</v>
      </c>
    </row>
    <row r="255" spans="1:23" s="453" customFormat="1" ht="21" customHeight="1" x14ac:dyDescent="0.2">
      <c r="A255" s="1090"/>
      <c r="B255" s="1015" t="s">
        <v>1101</v>
      </c>
      <c r="C255" s="1095" t="s">
        <v>323</v>
      </c>
      <c r="D255" s="918" t="s">
        <v>297</v>
      </c>
      <c r="E255" s="455"/>
      <c r="F255" s="455"/>
      <c r="G255" s="455"/>
      <c r="H255" s="455"/>
      <c r="I255" s="455"/>
      <c r="J255" s="455"/>
      <c r="K255" s="455"/>
      <c r="L255" s="455"/>
      <c r="M255" s="917"/>
      <c r="N255" s="918" t="s">
        <v>289</v>
      </c>
      <c r="O255" s="455"/>
      <c r="P255" s="455"/>
      <c r="Q255" s="455"/>
      <c r="R255" s="455"/>
      <c r="S255" s="455"/>
      <c r="T255" s="917"/>
      <c r="U255" s="918" t="s">
        <v>288</v>
      </c>
      <c r="V255" s="455"/>
      <c r="W255" s="1093"/>
    </row>
    <row r="256" spans="1:23" s="453" customFormat="1" ht="52.5" customHeight="1" x14ac:dyDescent="0.2">
      <c r="A256" s="1091"/>
      <c r="B256" s="454" t="s">
        <v>262</v>
      </c>
      <c r="C256" s="1096"/>
      <c r="D256" s="920" t="s">
        <v>1096</v>
      </c>
      <c r="E256" s="454" t="s">
        <v>286</v>
      </c>
      <c r="F256" s="454" t="s">
        <v>1097</v>
      </c>
      <c r="G256" s="454" t="s">
        <v>307</v>
      </c>
      <c r="H256" s="454" t="s">
        <v>314</v>
      </c>
      <c r="I256" s="454" t="s">
        <v>313</v>
      </c>
      <c r="J256" s="454" t="s">
        <v>285</v>
      </c>
      <c r="K256" s="454" t="s">
        <v>284</v>
      </c>
      <c r="L256" s="454" t="s">
        <v>318</v>
      </c>
      <c r="M256" s="459" t="s">
        <v>1087</v>
      </c>
      <c r="N256" s="920" t="s">
        <v>109</v>
      </c>
      <c r="O256" s="454" t="s">
        <v>161</v>
      </c>
      <c r="P256" s="459" t="s">
        <v>631</v>
      </c>
      <c r="Q256" s="454" t="s">
        <v>277</v>
      </c>
      <c r="R256" s="454" t="s">
        <v>312</v>
      </c>
      <c r="S256" s="454" t="s">
        <v>276</v>
      </c>
      <c r="T256" s="454" t="s">
        <v>317</v>
      </c>
      <c r="U256" s="920" t="s">
        <v>1089</v>
      </c>
      <c r="V256" s="458" t="s">
        <v>310</v>
      </c>
      <c r="W256" s="1094"/>
    </row>
    <row r="257" spans="1:23" s="442" customFormat="1" ht="9.75" customHeight="1" x14ac:dyDescent="0.15">
      <c r="A257" s="949" t="s">
        <v>763</v>
      </c>
      <c r="B257" s="452">
        <v>51186</v>
      </c>
      <c r="C257" s="451">
        <v>173087</v>
      </c>
      <c r="D257" s="451">
        <v>152126</v>
      </c>
      <c r="E257" s="451">
        <v>53847</v>
      </c>
      <c r="F257" s="451">
        <v>26133</v>
      </c>
      <c r="G257" s="451">
        <v>96</v>
      </c>
      <c r="H257" s="451">
        <v>40536</v>
      </c>
      <c r="I257" s="451">
        <v>16</v>
      </c>
      <c r="J257" s="451">
        <v>30418</v>
      </c>
      <c r="K257" s="451">
        <v>33</v>
      </c>
      <c r="L257" s="451">
        <v>611</v>
      </c>
      <c r="M257" s="451">
        <v>436</v>
      </c>
      <c r="N257" s="451">
        <v>8125</v>
      </c>
      <c r="O257" s="451">
        <v>175</v>
      </c>
      <c r="P257" s="451">
        <v>146</v>
      </c>
      <c r="Q257" s="451">
        <v>1713</v>
      </c>
      <c r="R257" s="451">
        <v>6032</v>
      </c>
      <c r="S257" s="451">
        <v>14</v>
      </c>
      <c r="T257" s="451">
        <v>45</v>
      </c>
      <c r="U257" s="451">
        <v>12405</v>
      </c>
      <c r="V257" s="451">
        <v>826</v>
      </c>
      <c r="W257" s="449" t="s">
        <v>464</v>
      </c>
    </row>
    <row r="258" spans="1:23" s="442" customFormat="1" ht="9.75" customHeight="1" x14ac:dyDescent="0.15">
      <c r="A258" s="950" t="s">
        <v>764</v>
      </c>
      <c r="B258" s="442">
        <v>56238</v>
      </c>
      <c r="C258" s="442">
        <v>225524</v>
      </c>
      <c r="D258" s="442">
        <v>208471</v>
      </c>
      <c r="E258" s="442">
        <v>75097</v>
      </c>
      <c r="F258" s="442">
        <v>29688</v>
      </c>
      <c r="G258" s="442">
        <v>160</v>
      </c>
      <c r="H258" s="442">
        <v>71212</v>
      </c>
      <c r="I258" s="442">
        <v>35</v>
      </c>
      <c r="J258" s="442">
        <v>30950</v>
      </c>
      <c r="K258" s="442" t="s">
        <v>648</v>
      </c>
      <c r="L258" s="442">
        <v>2</v>
      </c>
      <c r="M258" s="442">
        <v>1327</v>
      </c>
      <c r="N258" s="442">
        <v>3432</v>
      </c>
      <c r="O258" s="442">
        <v>894</v>
      </c>
      <c r="P258" s="442">
        <v>153</v>
      </c>
      <c r="Q258" s="442">
        <v>1494</v>
      </c>
      <c r="R258" s="442">
        <v>788</v>
      </c>
      <c r="S258" s="442" t="s">
        <v>648</v>
      </c>
      <c r="T258" s="442">
        <v>103</v>
      </c>
      <c r="U258" s="442">
        <v>13599</v>
      </c>
      <c r="V258" s="442">
        <v>697</v>
      </c>
      <c r="W258" s="447" t="s">
        <v>489</v>
      </c>
    </row>
    <row r="259" spans="1:23" s="442" customFormat="1" ht="9.75" customHeight="1" x14ac:dyDescent="0.15">
      <c r="A259" s="950" t="s">
        <v>765</v>
      </c>
      <c r="B259" s="442">
        <v>54528</v>
      </c>
      <c r="C259" s="442">
        <v>235247</v>
      </c>
      <c r="D259" s="442">
        <v>209965</v>
      </c>
      <c r="E259" s="442">
        <v>77556</v>
      </c>
      <c r="F259" s="442">
        <v>32121</v>
      </c>
      <c r="G259" s="442">
        <v>160</v>
      </c>
      <c r="H259" s="442">
        <v>73879</v>
      </c>
      <c r="I259" s="442" t="s">
        <v>648</v>
      </c>
      <c r="J259" s="442">
        <v>26241</v>
      </c>
      <c r="K259" s="442" t="s">
        <v>648</v>
      </c>
      <c r="L259" s="442">
        <v>8</v>
      </c>
      <c r="M259" s="442" t="s">
        <v>648</v>
      </c>
      <c r="N259" s="442">
        <v>15438</v>
      </c>
      <c r="O259" s="442">
        <v>253</v>
      </c>
      <c r="P259" s="442">
        <v>153</v>
      </c>
      <c r="Q259" s="442">
        <v>5707</v>
      </c>
      <c r="R259" s="442">
        <v>9242</v>
      </c>
      <c r="S259" s="442" t="s">
        <v>648</v>
      </c>
      <c r="T259" s="442">
        <v>83</v>
      </c>
      <c r="U259" s="442">
        <v>9844</v>
      </c>
      <c r="V259" s="442">
        <v>768</v>
      </c>
      <c r="W259" s="447" t="s">
        <v>549</v>
      </c>
    </row>
    <row r="260" spans="1:23" s="442" customFormat="1" ht="9.75" customHeight="1" x14ac:dyDescent="0.15">
      <c r="A260" s="950" t="s">
        <v>766</v>
      </c>
      <c r="B260" s="442">
        <v>20269</v>
      </c>
      <c r="C260" s="442">
        <v>195920</v>
      </c>
      <c r="D260" s="442">
        <v>180467</v>
      </c>
      <c r="E260" s="442">
        <v>64035</v>
      </c>
      <c r="F260" s="442">
        <v>27129</v>
      </c>
      <c r="G260" s="442">
        <v>112</v>
      </c>
      <c r="H260" s="442">
        <v>63947</v>
      </c>
      <c r="I260" s="442">
        <v>140</v>
      </c>
      <c r="J260" s="442">
        <v>25095</v>
      </c>
      <c r="K260" s="442" t="s">
        <v>648</v>
      </c>
      <c r="L260" s="442">
        <v>9</v>
      </c>
      <c r="M260" s="442" t="s">
        <v>648</v>
      </c>
      <c r="N260" s="442">
        <v>6300</v>
      </c>
      <c r="O260" s="442">
        <v>271</v>
      </c>
      <c r="P260" s="442">
        <v>51</v>
      </c>
      <c r="Q260" s="442">
        <v>5283</v>
      </c>
      <c r="R260" s="442">
        <v>562</v>
      </c>
      <c r="S260" s="442" t="s">
        <v>648</v>
      </c>
      <c r="T260" s="442">
        <v>133</v>
      </c>
      <c r="U260" s="442">
        <v>8966</v>
      </c>
      <c r="V260" s="442">
        <v>683</v>
      </c>
      <c r="W260" s="447" t="s">
        <v>672</v>
      </c>
    </row>
    <row r="261" spans="1:23" s="442" customFormat="1" ht="9.75" customHeight="1" x14ac:dyDescent="0.15">
      <c r="A261" s="950" t="s">
        <v>767</v>
      </c>
      <c r="B261" s="442" t="s">
        <v>648</v>
      </c>
      <c r="C261" s="442">
        <v>270105</v>
      </c>
      <c r="D261" s="442">
        <v>255929</v>
      </c>
      <c r="E261" s="442">
        <v>78735</v>
      </c>
      <c r="F261" s="442">
        <v>43982</v>
      </c>
      <c r="G261" s="442">
        <v>272</v>
      </c>
      <c r="H261" s="442">
        <v>95394</v>
      </c>
      <c r="I261" s="442">
        <v>82</v>
      </c>
      <c r="J261" s="442">
        <v>37452</v>
      </c>
      <c r="K261" s="442" t="s">
        <v>648</v>
      </c>
      <c r="L261" s="442">
        <v>12</v>
      </c>
      <c r="M261" s="442" t="s">
        <v>648</v>
      </c>
      <c r="N261" s="442">
        <v>5821</v>
      </c>
      <c r="O261" s="442">
        <v>126</v>
      </c>
      <c r="P261" s="442">
        <v>402</v>
      </c>
      <c r="Q261" s="442">
        <v>4805</v>
      </c>
      <c r="R261" s="442">
        <v>389</v>
      </c>
      <c r="S261" s="442" t="s">
        <v>648</v>
      </c>
      <c r="T261" s="442">
        <v>99</v>
      </c>
      <c r="U261" s="442">
        <v>8310</v>
      </c>
      <c r="V261" s="442">
        <v>453</v>
      </c>
      <c r="W261" s="447" t="s">
        <v>768</v>
      </c>
    </row>
    <row r="262" spans="1:23" s="442" customFormat="1" ht="6.75" customHeight="1" x14ac:dyDescent="0.15">
      <c r="A262" s="950"/>
      <c r="W262" s="447"/>
    </row>
    <row r="263" spans="1:23" s="442" customFormat="1" ht="9.75" customHeight="1" x14ac:dyDescent="0.15">
      <c r="A263" s="950" t="s">
        <v>799</v>
      </c>
      <c r="B263" s="442">
        <v>20269</v>
      </c>
      <c r="C263" s="442">
        <v>192810</v>
      </c>
      <c r="D263" s="442">
        <v>178189</v>
      </c>
      <c r="E263" s="442">
        <v>60788</v>
      </c>
      <c r="F263" s="442">
        <v>33907</v>
      </c>
      <c r="G263" s="442">
        <v>128</v>
      </c>
      <c r="H263" s="442">
        <v>55312</v>
      </c>
      <c r="I263" s="442">
        <v>140</v>
      </c>
      <c r="J263" s="442">
        <v>27905</v>
      </c>
      <c r="K263" s="442" t="s">
        <v>648</v>
      </c>
      <c r="L263" s="442">
        <v>9</v>
      </c>
      <c r="M263" s="442" t="s">
        <v>648</v>
      </c>
      <c r="N263" s="442">
        <v>6139</v>
      </c>
      <c r="O263" s="442">
        <v>228</v>
      </c>
      <c r="P263" s="442">
        <v>68</v>
      </c>
      <c r="Q263" s="442">
        <v>5219</v>
      </c>
      <c r="R263" s="442">
        <v>491</v>
      </c>
      <c r="S263" s="442" t="s">
        <v>648</v>
      </c>
      <c r="T263" s="442">
        <v>133</v>
      </c>
      <c r="U263" s="442">
        <v>8320</v>
      </c>
      <c r="V263" s="442">
        <v>735</v>
      </c>
      <c r="W263" s="447" t="s">
        <v>673</v>
      </c>
    </row>
    <row r="264" spans="1:23" s="442" customFormat="1" ht="9.75" customHeight="1" x14ac:dyDescent="0.15">
      <c r="A264" s="950" t="s">
        <v>800</v>
      </c>
      <c r="B264" s="442" t="s">
        <v>648</v>
      </c>
      <c r="C264" s="442">
        <v>279529</v>
      </c>
      <c r="D264" s="442">
        <v>259517</v>
      </c>
      <c r="E264" s="442">
        <v>83133</v>
      </c>
      <c r="F264" s="442">
        <v>36599</v>
      </c>
      <c r="G264" s="442">
        <v>321</v>
      </c>
      <c r="H264" s="442">
        <v>101789</v>
      </c>
      <c r="I264" s="442">
        <v>91</v>
      </c>
      <c r="J264" s="442">
        <v>37569</v>
      </c>
      <c r="K264" s="442" t="s">
        <v>648</v>
      </c>
      <c r="L264" s="442">
        <v>15</v>
      </c>
      <c r="M264" s="442" t="s">
        <v>648</v>
      </c>
      <c r="N264" s="442">
        <v>5921</v>
      </c>
      <c r="O264" s="442">
        <v>102</v>
      </c>
      <c r="P264" s="442">
        <v>368</v>
      </c>
      <c r="Q264" s="442">
        <v>4806</v>
      </c>
      <c r="R264" s="442">
        <v>463</v>
      </c>
      <c r="S264" s="442" t="s">
        <v>648</v>
      </c>
      <c r="T264" s="442">
        <v>182</v>
      </c>
      <c r="U264" s="442">
        <v>14068</v>
      </c>
      <c r="V264" s="442">
        <v>159</v>
      </c>
      <c r="W264" s="447" t="s">
        <v>771</v>
      </c>
    </row>
    <row r="265" spans="1:23" s="442" customFormat="1" ht="6.75" customHeight="1" x14ac:dyDescent="0.15">
      <c r="A265" s="950"/>
      <c r="W265" s="447"/>
    </row>
    <row r="266" spans="1:23" s="442" customFormat="1" ht="9.75" customHeight="1" x14ac:dyDescent="0.15">
      <c r="A266" s="950" t="s">
        <v>772</v>
      </c>
      <c r="B266" s="442" t="s">
        <v>648</v>
      </c>
      <c r="C266" s="442">
        <v>53826</v>
      </c>
      <c r="D266" s="442">
        <v>50498</v>
      </c>
      <c r="E266" s="442">
        <v>16009</v>
      </c>
      <c r="F266" s="442">
        <v>12913</v>
      </c>
      <c r="G266" s="442">
        <v>32</v>
      </c>
      <c r="H266" s="442">
        <v>12827</v>
      </c>
      <c r="I266" s="442" t="s">
        <v>648</v>
      </c>
      <c r="J266" s="442">
        <v>8714</v>
      </c>
      <c r="K266" s="442" t="s">
        <v>648</v>
      </c>
      <c r="L266" s="442">
        <v>3</v>
      </c>
      <c r="M266" s="442" t="s">
        <v>648</v>
      </c>
      <c r="N266" s="442">
        <v>1406</v>
      </c>
      <c r="O266" s="442">
        <v>25</v>
      </c>
      <c r="P266" s="442">
        <v>34</v>
      </c>
      <c r="Q266" s="442">
        <v>1282</v>
      </c>
      <c r="R266" s="442">
        <v>48</v>
      </c>
      <c r="S266" s="442" t="s">
        <v>648</v>
      </c>
      <c r="T266" s="442">
        <v>17</v>
      </c>
      <c r="U266" s="442">
        <v>1900</v>
      </c>
      <c r="V266" s="442">
        <v>294</v>
      </c>
      <c r="W266" s="447" t="s">
        <v>674</v>
      </c>
    </row>
    <row r="267" spans="1:23" s="442" customFormat="1" ht="9.75" customHeight="1" x14ac:dyDescent="0.15">
      <c r="A267" s="950" t="s">
        <v>773</v>
      </c>
      <c r="B267" s="442" t="s">
        <v>648</v>
      </c>
      <c r="C267" s="442">
        <v>64331</v>
      </c>
      <c r="D267" s="442">
        <v>60480</v>
      </c>
      <c r="E267" s="442">
        <v>20850</v>
      </c>
      <c r="F267" s="442">
        <v>6213</v>
      </c>
      <c r="G267" s="442">
        <v>80</v>
      </c>
      <c r="H267" s="442">
        <v>24399</v>
      </c>
      <c r="I267" s="442" t="s">
        <v>648</v>
      </c>
      <c r="J267" s="442">
        <v>8935</v>
      </c>
      <c r="K267" s="442" t="s">
        <v>648</v>
      </c>
      <c r="L267" s="442">
        <v>3</v>
      </c>
      <c r="M267" s="442" t="s">
        <v>648</v>
      </c>
      <c r="N267" s="442">
        <v>1472</v>
      </c>
      <c r="O267" s="442">
        <v>3</v>
      </c>
      <c r="P267" s="442">
        <v>16</v>
      </c>
      <c r="Q267" s="442">
        <v>1331</v>
      </c>
      <c r="R267" s="442">
        <v>122</v>
      </c>
      <c r="S267" s="442" t="s">
        <v>648</v>
      </c>
      <c r="T267" s="442" t="s">
        <v>648</v>
      </c>
      <c r="U267" s="442">
        <v>2356</v>
      </c>
      <c r="V267" s="442">
        <v>35</v>
      </c>
      <c r="W267" s="447" t="s">
        <v>92</v>
      </c>
    </row>
    <row r="268" spans="1:23" s="442" customFormat="1" ht="9.75" customHeight="1" x14ac:dyDescent="0.15">
      <c r="A268" s="950" t="s">
        <v>774</v>
      </c>
      <c r="B268" s="442" t="s">
        <v>648</v>
      </c>
      <c r="C268" s="442">
        <v>72084</v>
      </c>
      <c r="D268" s="442">
        <v>68269</v>
      </c>
      <c r="E268" s="442">
        <v>18831</v>
      </c>
      <c r="F268" s="442">
        <v>6184</v>
      </c>
      <c r="G268" s="442">
        <v>96</v>
      </c>
      <c r="H268" s="442">
        <v>30725</v>
      </c>
      <c r="I268" s="442">
        <v>36</v>
      </c>
      <c r="J268" s="442">
        <v>12394</v>
      </c>
      <c r="K268" s="442" t="s">
        <v>648</v>
      </c>
      <c r="L268" s="442">
        <v>3</v>
      </c>
      <c r="M268" s="442" t="s">
        <v>648</v>
      </c>
      <c r="N268" s="442">
        <v>1492</v>
      </c>
      <c r="O268" s="442">
        <v>97</v>
      </c>
      <c r="P268" s="442">
        <v>352</v>
      </c>
      <c r="Q268" s="442">
        <v>915</v>
      </c>
      <c r="R268" s="442">
        <v>79</v>
      </c>
      <c r="S268" s="442" t="s">
        <v>648</v>
      </c>
      <c r="T268" s="442">
        <v>49</v>
      </c>
      <c r="U268" s="442">
        <v>2323</v>
      </c>
      <c r="V268" s="442">
        <v>124</v>
      </c>
      <c r="W268" s="447" t="s">
        <v>93</v>
      </c>
    </row>
    <row r="269" spans="1:23" s="442" customFormat="1" ht="9.75" customHeight="1" x14ac:dyDescent="0.15">
      <c r="A269" s="950" t="s">
        <v>801</v>
      </c>
      <c r="B269" s="442" t="s">
        <v>648</v>
      </c>
      <c r="C269" s="442">
        <v>79864</v>
      </c>
      <c r="D269" s="442">
        <v>76682</v>
      </c>
      <c r="E269" s="442">
        <v>23045</v>
      </c>
      <c r="F269" s="442">
        <v>18672</v>
      </c>
      <c r="G269" s="442">
        <v>64</v>
      </c>
      <c r="H269" s="442">
        <v>27443</v>
      </c>
      <c r="I269" s="442">
        <v>46</v>
      </c>
      <c r="J269" s="442">
        <v>7409</v>
      </c>
      <c r="K269" s="442" t="s">
        <v>648</v>
      </c>
      <c r="L269" s="442">
        <v>3</v>
      </c>
      <c r="M269" s="442" t="s">
        <v>648</v>
      </c>
      <c r="N269" s="442">
        <v>1451</v>
      </c>
      <c r="O269" s="442">
        <v>1</v>
      </c>
      <c r="P269" s="442" t="s">
        <v>648</v>
      </c>
      <c r="Q269" s="442">
        <v>1277</v>
      </c>
      <c r="R269" s="442">
        <v>140</v>
      </c>
      <c r="S269" s="442" t="s">
        <v>648</v>
      </c>
      <c r="T269" s="442">
        <v>33</v>
      </c>
      <c r="U269" s="442">
        <v>1731</v>
      </c>
      <c r="V269" s="442" t="s">
        <v>648</v>
      </c>
      <c r="W269" s="447" t="s">
        <v>94</v>
      </c>
    </row>
    <row r="270" spans="1:23" s="442" customFormat="1" ht="9.75" customHeight="1" x14ac:dyDescent="0.15">
      <c r="A270" s="950" t="s">
        <v>809</v>
      </c>
      <c r="B270" s="442" t="s">
        <v>648</v>
      </c>
      <c r="C270" s="442">
        <v>63250</v>
      </c>
      <c r="D270" s="442">
        <v>54086</v>
      </c>
      <c r="E270" s="442">
        <v>20407</v>
      </c>
      <c r="F270" s="442">
        <v>5530</v>
      </c>
      <c r="G270" s="442">
        <v>81</v>
      </c>
      <c r="H270" s="442">
        <v>19222</v>
      </c>
      <c r="I270" s="442">
        <v>9</v>
      </c>
      <c r="J270" s="442">
        <v>8831</v>
      </c>
      <c r="K270" s="442" t="s">
        <v>648</v>
      </c>
      <c r="L270" s="442">
        <v>6</v>
      </c>
      <c r="M270" s="442" t="s">
        <v>648</v>
      </c>
      <c r="N270" s="442">
        <v>1506</v>
      </c>
      <c r="O270" s="442">
        <v>1</v>
      </c>
      <c r="P270" s="442" t="s">
        <v>648</v>
      </c>
      <c r="Q270" s="442">
        <v>1283</v>
      </c>
      <c r="R270" s="442">
        <v>122</v>
      </c>
      <c r="S270" s="442" t="s">
        <v>648</v>
      </c>
      <c r="T270" s="442">
        <v>100</v>
      </c>
      <c r="U270" s="442">
        <v>7658</v>
      </c>
      <c r="V270" s="442" t="s">
        <v>648</v>
      </c>
      <c r="W270" s="447" t="s">
        <v>777</v>
      </c>
    </row>
    <row r="271" spans="1:23" s="442" customFormat="1" ht="6.75" customHeight="1" x14ac:dyDescent="0.15">
      <c r="A271" s="950"/>
      <c r="W271" s="447"/>
    </row>
    <row r="272" spans="1:23" s="442" customFormat="1" ht="9.75" customHeight="1" x14ac:dyDescent="0.15">
      <c r="A272" s="950" t="s">
        <v>778</v>
      </c>
      <c r="B272" s="442" t="s">
        <v>648</v>
      </c>
      <c r="C272" s="442">
        <v>14315</v>
      </c>
      <c r="D272" s="442">
        <v>13158</v>
      </c>
      <c r="E272" s="442">
        <v>4178</v>
      </c>
      <c r="F272" s="442">
        <v>6110</v>
      </c>
      <c r="G272" s="442">
        <v>16</v>
      </c>
      <c r="H272" s="442">
        <v>22</v>
      </c>
      <c r="I272" s="442" t="s">
        <v>648</v>
      </c>
      <c r="J272" s="442">
        <v>2832</v>
      </c>
      <c r="K272" s="442" t="s">
        <v>648</v>
      </c>
      <c r="L272" s="442" t="s">
        <v>648</v>
      </c>
      <c r="M272" s="442" t="s">
        <v>648</v>
      </c>
      <c r="N272" s="442">
        <v>354</v>
      </c>
      <c r="O272" s="442">
        <v>23</v>
      </c>
      <c r="P272" s="442" t="s">
        <v>648</v>
      </c>
      <c r="Q272" s="442">
        <v>324</v>
      </c>
      <c r="R272" s="442">
        <v>7</v>
      </c>
      <c r="S272" s="442" t="s">
        <v>648</v>
      </c>
      <c r="T272" s="442" t="s">
        <v>648</v>
      </c>
      <c r="U272" s="442">
        <v>781</v>
      </c>
      <c r="V272" s="442">
        <v>74</v>
      </c>
      <c r="W272" s="447" t="s">
        <v>675</v>
      </c>
    </row>
    <row r="273" spans="1:23" s="442" customFormat="1" ht="9.75" customHeight="1" x14ac:dyDescent="0.15">
      <c r="A273" s="950" t="s">
        <v>779</v>
      </c>
      <c r="B273" s="442" t="s">
        <v>648</v>
      </c>
      <c r="C273" s="442">
        <v>17096</v>
      </c>
      <c r="D273" s="442">
        <v>16018</v>
      </c>
      <c r="E273" s="442">
        <v>2993</v>
      </c>
      <c r="F273" s="442" t="s">
        <v>648</v>
      </c>
      <c r="G273" s="442" t="s">
        <v>648</v>
      </c>
      <c r="H273" s="442">
        <v>9404</v>
      </c>
      <c r="I273" s="442" t="s">
        <v>648</v>
      </c>
      <c r="J273" s="442">
        <v>3621</v>
      </c>
      <c r="K273" s="442" t="s">
        <v>648</v>
      </c>
      <c r="L273" s="442" t="s">
        <v>648</v>
      </c>
      <c r="M273" s="442" t="s">
        <v>648</v>
      </c>
      <c r="N273" s="442">
        <v>599</v>
      </c>
      <c r="O273" s="442">
        <v>2</v>
      </c>
      <c r="P273" s="442">
        <v>34</v>
      </c>
      <c r="Q273" s="442">
        <v>554</v>
      </c>
      <c r="R273" s="442">
        <v>9</v>
      </c>
      <c r="S273" s="442" t="s">
        <v>648</v>
      </c>
      <c r="T273" s="442" t="s">
        <v>648</v>
      </c>
      <c r="U273" s="442">
        <v>479</v>
      </c>
      <c r="V273" s="442">
        <v>20</v>
      </c>
      <c r="W273" s="447" t="s">
        <v>80</v>
      </c>
    </row>
    <row r="274" spans="1:23" s="442" customFormat="1" ht="9.75" customHeight="1" x14ac:dyDescent="0.15">
      <c r="A274" s="950" t="s">
        <v>780</v>
      </c>
      <c r="B274" s="442" t="s">
        <v>648</v>
      </c>
      <c r="C274" s="442">
        <v>22415</v>
      </c>
      <c r="D274" s="442">
        <v>21322</v>
      </c>
      <c r="E274" s="442">
        <v>8838</v>
      </c>
      <c r="F274" s="442">
        <v>6803</v>
      </c>
      <c r="G274" s="442">
        <v>16</v>
      </c>
      <c r="H274" s="442">
        <v>3401</v>
      </c>
      <c r="I274" s="442" t="s">
        <v>648</v>
      </c>
      <c r="J274" s="442">
        <v>2261</v>
      </c>
      <c r="K274" s="442" t="s">
        <v>648</v>
      </c>
      <c r="L274" s="442">
        <v>3</v>
      </c>
      <c r="M274" s="442" t="s">
        <v>648</v>
      </c>
      <c r="N274" s="442">
        <v>453</v>
      </c>
      <c r="O274" s="442" t="s">
        <v>648</v>
      </c>
      <c r="P274" s="442" t="s">
        <v>648</v>
      </c>
      <c r="Q274" s="442">
        <v>404</v>
      </c>
      <c r="R274" s="442">
        <v>32</v>
      </c>
      <c r="S274" s="442" t="s">
        <v>648</v>
      </c>
      <c r="T274" s="442">
        <v>17</v>
      </c>
      <c r="U274" s="442">
        <v>640</v>
      </c>
      <c r="V274" s="442">
        <v>200</v>
      </c>
      <c r="W274" s="447" t="s">
        <v>81</v>
      </c>
    </row>
    <row r="275" spans="1:23" s="442" customFormat="1" ht="9.75" customHeight="1" x14ac:dyDescent="0.15">
      <c r="A275" s="950" t="s">
        <v>781</v>
      </c>
      <c r="B275" s="442" t="s">
        <v>648</v>
      </c>
      <c r="C275" s="442">
        <v>20941</v>
      </c>
      <c r="D275" s="442">
        <v>19242</v>
      </c>
      <c r="E275" s="442">
        <v>8240</v>
      </c>
      <c r="F275" s="442">
        <v>4</v>
      </c>
      <c r="G275" s="442">
        <v>32</v>
      </c>
      <c r="H275" s="442">
        <v>9433</v>
      </c>
      <c r="I275" s="442" t="s">
        <v>648</v>
      </c>
      <c r="J275" s="442">
        <v>1533</v>
      </c>
      <c r="K275" s="442" t="s">
        <v>648</v>
      </c>
      <c r="L275" s="442" t="s">
        <v>648</v>
      </c>
      <c r="M275" s="442" t="s">
        <v>648</v>
      </c>
      <c r="N275" s="442">
        <v>573</v>
      </c>
      <c r="O275" s="442">
        <v>1</v>
      </c>
      <c r="P275" s="442">
        <v>16</v>
      </c>
      <c r="Q275" s="442">
        <v>492</v>
      </c>
      <c r="R275" s="442">
        <v>64</v>
      </c>
      <c r="S275" s="442" t="s">
        <v>648</v>
      </c>
      <c r="T275" s="442" t="s">
        <v>648</v>
      </c>
      <c r="U275" s="442">
        <v>1126</v>
      </c>
      <c r="V275" s="442" t="s">
        <v>648</v>
      </c>
      <c r="W275" s="447" t="s">
        <v>82</v>
      </c>
    </row>
    <row r="276" spans="1:23" s="442" customFormat="1" ht="9.75" customHeight="1" x14ac:dyDescent="0.15">
      <c r="A276" s="950" t="s">
        <v>782</v>
      </c>
      <c r="B276" s="442" t="s">
        <v>648</v>
      </c>
      <c r="C276" s="442">
        <v>20072</v>
      </c>
      <c r="D276" s="442">
        <v>19073</v>
      </c>
      <c r="E276" s="442">
        <v>3689</v>
      </c>
      <c r="F276" s="442" t="s">
        <v>648</v>
      </c>
      <c r="G276" s="442">
        <v>32</v>
      </c>
      <c r="H276" s="442">
        <v>10564</v>
      </c>
      <c r="I276" s="442" t="s">
        <v>648</v>
      </c>
      <c r="J276" s="442">
        <v>4785</v>
      </c>
      <c r="K276" s="442" t="s">
        <v>648</v>
      </c>
      <c r="L276" s="442">
        <v>3</v>
      </c>
      <c r="M276" s="442" t="s">
        <v>648</v>
      </c>
      <c r="N276" s="442">
        <v>430</v>
      </c>
      <c r="O276" s="442" t="s">
        <v>648</v>
      </c>
      <c r="P276" s="442" t="s">
        <v>648</v>
      </c>
      <c r="Q276" s="442">
        <v>397</v>
      </c>
      <c r="R276" s="442">
        <v>33</v>
      </c>
      <c r="S276" s="442" t="s">
        <v>648</v>
      </c>
      <c r="T276" s="442" t="s">
        <v>648</v>
      </c>
      <c r="U276" s="442">
        <v>546</v>
      </c>
      <c r="V276" s="442" t="s">
        <v>648</v>
      </c>
      <c r="W276" s="447" t="s">
        <v>95</v>
      </c>
    </row>
    <row r="277" spans="1:23" s="442" customFormat="1" ht="9.75" customHeight="1" x14ac:dyDescent="0.15">
      <c r="A277" s="950" t="s">
        <v>783</v>
      </c>
      <c r="B277" s="442" t="s">
        <v>648</v>
      </c>
      <c r="C277" s="442">
        <v>23318</v>
      </c>
      <c r="D277" s="442">
        <v>22165</v>
      </c>
      <c r="E277" s="442">
        <v>8921</v>
      </c>
      <c r="F277" s="442">
        <v>6209</v>
      </c>
      <c r="G277" s="442">
        <v>16</v>
      </c>
      <c r="H277" s="442">
        <v>4402</v>
      </c>
      <c r="I277" s="442" t="s">
        <v>648</v>
      </c>
      <c r="J277" s="442">
        <v>2617</v>
      </c>
      <c r="K277" s="442" t="s">
        <v>648</v>
      </c>
      <c r="L277" s="442" t="s">
        <v>648</v>
      </c>
      <c r="M277" s="442" t="s">
        <v>648</v>
      </c>
      <c r="N277" s="442">
        <v>469</v>
      </c>
      <c r="O277" s="442">
        <v>2</v>
      </c>
      <c r="P277" s="442" t="s">
        <v>648</v>
      </c>
      <c r="Q277" s="442">
        <v>442</v>
      </c>
      <c r="R277" s="442">
        <v>25</v>
      </c>
      <c r="S277" s="442" t="s">
        <v>648</v>
      </c>
      <c r="T277" s="442" t="s">
        <v>648</v>
      </c>
      <c r="U277" s="442">
        <v>684</v>
      </c>
      <c r="V277" s="442">
        <v>35</v>
      </c>
      <c r="W277" s="447" t="s">
        <v>96</v>
      </c>
    </row>
    <row r="278" spans="1:23" s="442" customFormat="1" ht="9.75" customHeight="1" x14ac:dyDescent="0.15">
      <c r="A278" s="950" t="s">
        <v>784</v>
      </c>
      <c r="B278" s="442" t="s">
        <v>648</v>
      </c>
      <c r="C278" s="442">
        <v>23585</v>
      </c>
      <c r="D278" s="442">
        <v>22073</v>
      </c>
      <c r="E278" s="442">
        <v>7714</v>
      </c>
      <c r="F278" s="442" t="s">
        <v>648</v>
      </c>
      <c r="G278" s="442">
        <v>16</v>
      </c>
      <c r="H278" s="442">
        <v>12954</v>
      </c>
      <c r="I278" s="442" t="s">
        <v>648</v>
      </c>
      <c r="J278" s="442">
        <v>1389</v>
      </c>
      <c r="K278" s="442" t="s">
        <v>648</v>
      </c>
      <c r="L278" s="442" t="s">
        <v>648</v>
      </c>
      <c r="M278" s="442" t="s">
        <v>648</v>
      </c>
      <c r="N278" s="442">
        <v>729</v>
      </c>
      <c r="O278" s="442">
        <v>14</v>
      </c>
      <c r="P278" s="442">
        <v>352</v>
      </c>
      <c r="Q278" s="442">
        <v>312</v>
      </c>
      <c r="R278" s="442">
        <v>35</v>
      </c>
      <c r="S278" s="442" t="s">
        <v>648</v>
      </c>
      <c r="T278" s="442">
        <v>16</v>
      </c>
      <c r="U278" s="442">
        <v>783</v>
      </c>
      <c r="V278" s="442">
        <v>56</v>
      </c>
      <c r="W278" s="447" t="s">
        <v>97</v>
      </c>
    </row>
    <row r="279" spans="1:23" s="442" customFormat="1" ht="9.75" customHeight="1" x14ac:dyDescent="0.15">
      <c r="A279" s="950" t="s">
        <v>806</v>
      </c>
      <c r="B279" s="442" t="s">
        <v>648</v>
      </c>
      <c r="C279" s="442">
        <v>18949</v>
      </c>
      <c r="D279" s="442">
        <v>17617</v>
      </c>
      <c r="E279" s="442">
        <v>3199</v>
      </c>
      <c r="F279" s="442">
        <v>6184</v>
      </c>
      <c r="G279" s="442">
        <v>48</v>
      </c>
      <c r="H279" s="442">
        <v>2156</v>
      </c>
      <c r="I279" s="442" t="s">
        <v>648</v>
      </c>
      <c r="J279" s="442">
        <v>6030</v>
      </c>
      <c r="K279" s="442" t="s">
        <v>648</v>
      </c>
      <c r="L279" s="442" t="s">
        <v>648</v>
      </c>
      <c r="M279" s="442" t="s">
        <v>648</v>
      </c>
      <c r="N279" s="442">
        <v>453</v>
      </c>
      <c r="O279" s="442">
        <v>76</v>
      </c>
      <c r="P279" s="442" t="s">
        <v>648</v>
      </c>
      <c r="Q279" s="442">
        <v>345</v>
      </c>
      <c r="R279" s="442">
        <v>32</v>
      </c>
      <c r="S279" s="442" t="s">
        <v>648</v>
      </c>
      <c r="T279" s="442" t="s">
        <v>648</v>
      </c>
      <c r="U279" s="442">
        <v>879</v>
      </c>
      <c r="V279" s="442">
        <v>68</v>
      </c>
      <c r="W279" s="447" t="s">
        <v>98</v>
      </c>
    </row>
    <row r="280" spans="1:23" s="442" customFormat="1" ht="9.75" customHeight="1" x14ac:dyDescent="0.15">
      <c r="A280" s="950" t="s">
        <v>786</v>
      </c>
      <c r="B280" s="442" t="s">
        <v>648</v>
      </c>
      <c r="C280" s="442">
        <v>29550</v>
      </c>
      <c r="D280" s="442">
        <v>28579</v>
      </c>
      <c r="E280" s="442">
        <v>7918</v>
      </c>
      <c r="F280" s="442" t="s">
        <v>648</v>
      </c>
      <c r="G280" s="442">
        <v>32</v>
      </c>
      <c r="H280" s="442">
        <v>15615</v>
      </c>
      <c r="I280" s="442">
        <v>36</v>
      </c>
      <c r="J280" s="442">
        <v>4975</v>
      </c>
      <c r="K280" s="442" t="s">
        <v>648</v>
      </c>
      <c r="L280" s="442">
        <v>3</v>
      </c>
      <c r="M280" s="442" t="s">
        <v>648</v>
      </c>
      <c r="N280" s="442">
        <v>310</v>
      </c>
      <c r="O280" s="442">
        <v>7</v>
      </c>
      <c r="P280" s="442" t="s">
        <v>648</v>
      </c>
      <c r="Q280" s="442">
        <v>258</v>
      </c>
      <c r="R280" s="442">
        <v>12</v>
      </c>
      <c r="S280" s="442" t="s">
        <v>648</v>
      </c>
      <c r="T280" s="442">
        <v>33</v>
      </c>
      <c r="U280" s="442">
        <v>661</v>
      </c>
      <c r="V280" s="442" t="s">
        <v>648</v>
      </c>
      <c r="W280" s="447" t="s">
        <v>99</v>
      </c>
    </row>
    <row r="281" spans="1:23" s="442" customFormat="1" ht="9.75" customHeight="1" x14ac:dyDescent="0.15">
      <c r="A281" s="950" t="s">
        <v>807</v>
      </c>
      <c r="B281" s="442" t="s">
        <v>648</v>
      </c>
      <c r="C281" s="442">
        <v>28190</v>
      </c>
      <c r="D281" s="442">
        <v>26925</v>
      </c>
      <c r="E281" s="442">
        <v>7050</v>
      </c>
      <c r="F281" s="442">
        <v>11907</v>
      </c>
      <c r="G281" s="442">
        <v>16</v>
      </c>
      <c r="H281" s="442">
        <v>4039</v>
      </c>
      <c r="I281" s="442">
        <v>46</v>
      </c>
      <c r="J281" s="442">
        <v>3867</v>
      </c>
      <c r="K281" s="442" t="s">
        <v>648</v>
      </c>
      <c r="L281" s="442" t="s">
        <v>648</v>
      </c>
      <c r="M281" s="442" t="s">
        <v>648</v>
      </c>
      <c r="N281" s="442">
        <v>417</v>
      </c>
      <c r="O281" s="442">
        <v>1</v>
      </c>
      <c r="P281" s="442" t="s">
        <v>648</v>
      </c>
      <c r="Q281" s="442">
        <v>376</v>
      </c>
      <c r="R281" s="442">
        <v>40</v>
      </c>
      <c r="S281" s="442" t="s">
        <v>648</v>
      </c>
      <c r="T281" s="442" t="s">
        <v>648</v>
      </c>
      <c r="U281" s="442">
        <v>848</v>
      </c>
      <c r="V281" s="442" t="s">
        <v>648</v>
      </c>
      <c r="W281" s="447" t="s">
        <v>83</v>
      </c>
    </row>
    <row r="282" spans="1:23" s="442" customFormat="1" ht="9.75" customHeight="1" x14ac:dyDescent="0.15">
      <c r="A282" s="950" t="s">
        <v>788</v>
      </c>
      <c r="B282" s="442" t="s">
        <v>648</v>
      </c>
      <c r="C282" s="442">
        <v>21704</v>
      </c>
      <c r="D282" s="442">
        <v>20723</v>
      </c>
      <c r="E282" s="442">
        <v>5210</v>
      </c>
      <c r="F282" s="442">
        <v>4312</v>
      </c>
      <c r="G282" s="442">
        <v>32</v>
      </c>
      <c r="H282" s="442">
        <v>10105</v>
      </c>
      <c r="I282" s="442" t="s">
        <v>648</v>
      </c>
      <c r="J282" s="442">
        <v>1064</v>
      </c>
      <c r="K282" s="442" t="s">
        <v>648</v>
      </c>
      <c r="L282" s="442" t="s">
        <v>648</v>
      </c>
      <c r="M282" s="442" t="s">
        <v>648</v>
      </c>
      <c r="N282" s="442">
        <v>433</v>
      </c>
      <c r="O282" s="442" t="s">
        <v>648</v>
      </c>
      <c r="P282" s="442" t="s">
        <v>648</v>
      </c>
      <c r="Q282" s="442">
        <v>407</v>
      </c>
      <c r="R282" s="442">
        <v>26</v>
      </c>
      <c r="S282" s="442" t="s">
        <v>648</v>
      </c>
      <c r="T282" s="442" t="s">
        <v>648</v>
      </c>
      <c r="U282" s="442">
        <v>548</v>
      </c>
      <c r="V282" s="442" t="s">
        <v>648</v>
      </c>
      <c r="W282" s="447" t="s">
        <v>84</v>
      </c>
    </row>
    <row r="283" spans="1:23" s="442" customFormat="1" ht="9.75" customHeight="1" x14ac:dyDescent="0.15">
      <c r="A283" s="950" t="s">
        <v>789</v>
      </c>
      <c r="B283" s="442" t="s">
        <v>648</v>
      </c>
      <c r="C283" s="442">
        <v>29970</v>
      </c>
      <c r="D283" s="442">
        <v>29034</v>
      </c>
      <c r="E283" s="442">
        <v>10785</v>
      </c>
      <c r="F283" s="442">
        <v>2453</v>
      </c>
      <c r="G283" s="442">
        <v>16</v>
      </c>
      <c r="H283" s="442">
        <v>13299</v>
      </c>
      <c r="I283" s="442" t="s">
        <v>648</v>
      </c>
      <c r="J283" s="442">
        <v>2478</v>
      </c>
      <c r="K283" s="442" t="s">
        <v>648</v>
      </c>
      <c r="L283" s="442">
        <v>3</v>
      </c>
      <c r="M283" s="442" t="s">
        <v>648</v>
      </c>
      <c r="N283" s="442">
        <v>601</v>
      </c>
      <c r="O283" s="442" t="s">
        <v>648</v>
      </c>
      <c r="P283" s="442" t="s">
        <v>648</v>
      </c>
      <c r="Q283" s="442">
        <v>494</v>
      </c>
      <c r="R283" s="442">
        <v>74</v>
      </c>
      <c r="S283" s="442" t="s">
        <v>648</v>
      </c>
      <c r="T283" s="442">
        <v>33</v>
      </c>
      <c r="U283" s="442">
        <v>335</v>
      </c>
      <c r="V283" s="442" t="s">
        <v>648</v>
      </c>
      <c r="W283" s="447" t="s">
        <v>85</v>
      </c>
    </row>
    <row r="284" spans="1:23" s="442" customFormat="1" ht="9.75" customHeight="1" x14ac:dyDescent="0.15">
      <c r="A284" s="950" t="s">
        <v>790</v>
      </c>
      <c r="B284" s="442" t="s">
        <v>648</v>
      </c>
      <c r="C284" s="442">
        <v>14676</v>
      </c>
      <c r="D284" s="442">
        <v>12046</v>
      </c>
      <c r="E284" s="442">
        <v>4622</v>
      </c>
      <c r="F284" s="442">
        <v>1824</v>
      </c>
      <c r="G284" s="442">
        <v>16</v>
      </c>
      <c r="H284" s="442">
        <v>2779</v>
      </c>
      <c r="I284" s="442">
        <v>1</v>
      </c>
      <c r="J284" s="442">
        <v>2798</v>
      </c>
      <c r="K284" s="442" t="s">
        <v>648</v>
      </c>
      <c r="L284" s="442">
        <v>6</v>
      </c>
      <c r="M284" s="442" t="s">
        <v>648</v>
      </c>
      <c r="N284" s="442">
        <v>432</v>
      </c>
      <c r="O284" s="442" t="s">
        <v>648</v>
      </c>
      <c r="P284" s="442" t="s">
        <v>648</v>
      </c>
      <c r="Q284" s="442">
        <v>348</v>
      </c>
      <c r="R284" s="442">
        <v>34</v>
      </c>
      <c r="S284" s="442" t="s">
        <v>648</v>
      </c>
      <c r="T284" s="442">
        <v>50</v>
      </c>
      <c r="U284" s="442">
        <v>2198</v>
      </c>
      <c r="V284" s="442" t="s">
        <v>648</v>
      </c>
      <c r="W284" s="447" t="s">
        <v>791</v>
      </c>
    </row>
    <row r="285" spans="1:23" s="442" customFormat="1" ht="9.75" customHeight="1" x14ac:dyDescent="0.15">
      <c r="A285" s="950" t="s">
        <v>792</v>
      </c>
      <c r="B285" s="442" t="s">
        <v>648</v>
      </c>
      <c r="C285" s="442">
        <v>29472</v>
      </c>
      <c r="D285" s="442">
        <v>28429</v>
      </c>
      <c r="E285" s="442">
        <v>13520</v>
      </c>
      <c r="F285" s="442" t="s">
        <v>648</v>
      </c>
      <c r="G285" s="442">
        <v>17</v>
      </c>
      <c r="H285" s="442">
        <v>12475</v>
      </c>
      <c r="I285" s="442" t="s">
        <v>648</v>
      </c>
      <c r="J285" s="442">
        <v>2417</v>
      </c>
      <c r="K285" s="442" t="s">
        <v>648</v>
      </c>
      <c r="L285" s="442" t="s">
        <v>648</v>
      </c>
      <c r="M285" s="442" t="s">
        <v>648</v>
      </c>
      <c r="N285" s="442">
        <v>448</v>
      </c>
      <c r="O285" s="442" t="s">
        <v>648</v>
      </c>
      <c r="P285" s="442" t="s">
        <v>648</v>
      </c>
      <c r="Q285" s="442">
        <v>391</v>
      </c>
      <c r="R285" s="442">
        <v>24</v>
      </c>
      <c r="S285" s="442" t="s">
        <v>648</v>
      </c>
      <c r="T285" s="442">
        <v>33</v>
      </c>
      <c r="U285" s="442">
        <v>595</v>
      </c>
      <c r="V285" s="442" t="s">
        <v>648</v>
      </c>
      <c r="W285" s="447" t="s">
        <v>80</v>
      </c>
    </row>
    <row r="286" spans="1:23" s="442" customFormat="1" ht="9.75" customHeight="1" x14ac:dyDescent="0.15">
      <c r="A286" s="951" t="s">
        <v>793</v>
      </c>
      <c r="B286" s="446" t="s">
        <v>648</v>
      </c>
      <c r="C286" s="445">
        <v>19102</v>
      </c>
      <c r="D286" s="445">
        <v>13611</v>
      </c>
      <c r="E286" s="445">
        <v>2265</v>
      </c>
      <c r="F286" s="445">
        <v>3706</v>
      </c>
      <c r="G286" s="445">
        <v>48</v>
      </c>
      <c r="H286" s="445">
        <v>3968</v>
      </c>
      <c r="I286" s="445">
        <v>8</v>
      </c>
      <c r="J286" s="445">
        <v>3616</v>
      </c>
      <c r="K286" s="445" t="s">
        <v>648</v>
      </c>
      <c r="L286" s="445" t="s">
        <v>648</v>
      </c>
      <c r="M286" s="445" t="s">
        <v>648</v>
      </c>
      <c r="N286" s="445">
        <v>626</v>
      </c>
      <c r="O286" s="445">
        <v>1</v>
      </c>
      <c r="P286" s="445" t="s">
        <v>648</v>
      </c>
      <c r="Q286" s="445">
        <v>544</v>
      </c>
      <c r="R286" s="445">
        <v>64</v>
      </c>
      <c r="S286" s="445" t="s">
        <v>648</v>
      </c>
      <c r="T286" s="445">
        <v>17</v>
      </c>
      <c r="U286" s="445">
        <v>4865</v>
      </c>
      <c r="V286" s="445" t="s">
        <v>648</v>
      </c>
      <c r="W286" s="443" t="s">
        <v>81</v>
      </c>
    </row>
    <row r="287" spans="1:23" ht="12" customHeight="1" x14ac:dyDescent="0.2"/>
    <row r="288" spans="1:23" ht="12" customHeight="1" x14ac:dyDescent="0.2"/>
    <row r="289" spans="1:23" ht="12" customHeight="1" x14ac:dyDescent="0.15">
      <c r="K289" s="457" t="s">
        <v>100</v>
      </c>
      <c r="V289" s="460" t="s">
        <v>1091</v>
      </c>
    </row>
    <row r="290" spans="1:23" s="453" customFormat="1" ht="21" customHeight="1" x14ac:dyDescent="0.2">
      <c r="A290" s="1089" t="s">
        <v>194</v>
      </c>
      <c r="B290" s="456" t="s">
        <v>321</v>
      </c>
      <c r="C290" s="455"/>
      <c r="D290" s="917"/>
      <c r="E290" s="461" t="s">
        <v>320</v>
      </c>
      <c r="F290" s="455"/>
      <c r="G290" s="455"/>
      <c r="H290" s="455"/>
      <c r="I290" s="455"/>
      <c r="J290" s="917"/>
      <c r="K290" s="918" t="s">
        <v>316</v>
      </c>
      <c r="L290" s="455"/>
      <c r="M290" s="455"/>
      <c r="N290" s="455"/>
      <c r="O290" s="455"/>
      <c r="P290" s="455"/>
      <c r="Q290" s="455"/>
      <c r="R290" s="455"/>
      <c r="S290" s="455"/>
      <c r="T290" s="455"/>
      <c r="U290" s="455"/>
      <c r="V290" s="455"/>
      <c r="W290" s="1092" t="s">
        <v>86</v>
      </c>
    </row>
    <row r="291" spans="1:23" s="453" customFormat="1" ht="21" customHeight="1" x14ac:dyDescent="0.2">
      <c r="A291" s="1090"/>
      <c r="B291" s="1015" t="s">
        <v>1102</v>
      </c>
      <c r="C291" s="918" t="s">
        <v>271</v>
      </c>
      <c r="D291" s="917"/>
      <c r="E291" s="1095" t="s">
        <v>319</v>
      </c>
      <c r="F291" s="918" t="s">
        <v>297</v>
      </c>
      <c r="G291" s="455"/>
      <c r="H291" s="917"/>
      <c r="I291" s="918" t="s">
        <v>289</v>
      </c>
      <c r="J291" s="917"/>
      <c r="K291" s="1095" t="s">
        <v>315</v>
      </c>
      <c r="L291" s="918" t="s">
        <v>297</v>
      </c>
      <c r="M291" s="455"/>
      <c r="N291" s="455"/>
      <c r="O291" s="455"/>
      <c r="P291" s="917"/>
      <c r="Q291" s="918" t="s">
        <v>289</v>
      </c>
      <c r="R291" s="455"/>
      <c r="S291" s="455"/>
      <c r="T291" s="917"/>
      <c r="U291" s="918" t="s">
        <v>288</v>
      </c>
      <c r="V291" s="455"/>
      <c r="W291" s="1093"/>
    </row>
    <row r="292" spans="1:23" s="453" customFormat="1" ht="52.5" customHeight="1" x14ac:dyDescent="0.2">
      <c r="A292" s="1091"/>
      <c r="B292" s="454" t="s">
        <v>274</v>
      </c>
      <c r="C292" s="920" t="s">
        <v>1092</v>
      </c>
      <c r="D292" s="454" t="s">
        <v>267</v>
      </c>
      <c r="E292" s="1096"/>
      <c r="F292" s="920" t="s">
        <v>1096</v>
      </c>
      <c r="G292" s="454" t="s">
        <v>286</v>
      </c>
      <c r="H292" s="454" t="s">
        <v>1097</v>
      </c>
      <c r="I292" s="920" t="s">
        <v>109</v>
      </c>
      <c r="J292" s="454" t="s">
        <v>312</v>
      </c>
      <c r="K292" s="1096"/>
      <c r="L292" s="920" t="s">
        <v>1096</v>
      </c>
      <c r="M292" s="454" t="s">
        <v>286</v>
      </c>
      <c r="N292" s="454" t="s">
        <v>314</v>
      </c>
      <c r="O292" s="454" t="s">
        <v>313</v>
      </c>
      <c r="P292" s="454" t="s">
        <v>285</v>
      </c>
      <c r="Q292" s="920" t="s">
        <v>109</v>
      </c>
      <c r="R292" s="459" t="s">
        <v>714</v>
      </c>
      <c r="S292" s="454" t="s">
        <v>1103</v>
      </c>
      <c r="T292" s="454" t="s">
        <v>312</v>
      </c>
      <c r="U292" s="920" t="s">
        <v>1089</v>
      </c>
      <c r="V292" s="458" t="s">
        <v>310</v>
      </c>
      <c r="W292" s="1094"/>
    </row>
    <row r="293" spans="1:23" s="442" customFormat="1" ht="9.75" customHeight="1" x14ac:dyDescent="0.15">
      <c r="A293" s="949" t="s">
        <v>763</v>
      </c>
      <c r="B293" s="452">
        <v>11579</v>
      </c>
      <c r="C293" s="451">
        <v>431</v>
      </c>
      <c r="D293" s="451">
        <v>431</v>
      </c>
      <c r="E293" s="451">
        <v>91593</v>
      </c>
      <c r="F293" s="451">
        <v>91571</v>
      </c>
      <c r="G293" s="451">
        <v>85541</v>
      </c>
      <c r="H293" s="451">
        <v>6030</v>
      </c>
      <c r="I293" s="451">
        <v>22</v>
      </c>
      <c r="J293" s="451">
        <v>22</v>
      </c>
      <c r="K293" s="451">
        <v>1226</v>
      </c>
      <c r="L293" s="451">
        <v>300</v>
      </c>
      <c r="M293" s="451">
        <v>13</v>
      </c>
      <c r="N293" s="451">
        <v>19</v>
      </c>
      <c r="O293" s="451">
        <v>220</v>
      </c>
      <c r="P293" s="451">
        <v>48</v>
      </c>
      <c r="Q293" s="451">
        <v>149</v>
      </c>
      <c r="R293" s="451">
        <v>73</v>
      </c>
      <c r="S293" s="451" t="s">
        <v>648</v>
      </c>
      <c r="T293" s="451">
        <v>76</v>
      </c>
      <c r="U293" s="451">
        <v>774</v>
      </c>
      <c r="V293" s="451">
        <v>60</v>
      </c>
      <c r="W293" s="449" t="s">
        <v>464</v>
      </c>
    </row>
    <row r="294" spans="1:23" s="442" customFormat="1" ht="9.75" customHeight="1" x14ac:dyDescent="0.15">
      <c r="A294" s="950" t="s">
        <v>764</v>
      </c>
      <c r="B294" s="442">
        <v>12902</v>
      </c>
      <c r="C294" s="442">
        <v>22</v>
      </c>
      <c r="D294" s="442">
        <v>22</v>
      </c>
      <c r="E294" s="442">
        <v>69534</v>
      </c>
      <c r="F294" s="442">
        <v>69534</v>
      </c>
      <c r="G294" s="442">
        <v>63514</v>
      </c>
      <c r="H294" s="442">
        <v>6020</v>
      </c>
      <c r="I294" s="442" t="s">
        <v>648</v>
      </c>
      <c r="J294" s="442" t="s">
        <v>648</v>
      </c>
      <c r="K294" s="442">
        <v>1711</v>
      </c>
      <c r="L294" s="442">
        <v>671</v>
      </c>
      <c r="M294" s="442">
        <v>7</v>
      </c>
      <c r="N294" s="442">
        <v>2</v>
      </c>
      <c r="O294" s="442">
        <v>654</v>
      </c>
      <c r="P294" s="442">
        <v>8</v>
      </c>
      <c r="Q294" s="442">
        <v>228</v>
      </c>
      <c r="R294" s="442">
        <v>36</v>
      </c>
      <c r="S294" s="442">
        <v>1</v>
      </c>
      <c r="T294" s="442">
        <v>191</v>
      </c>
      <c r="U294" s="442">
        <v>811</v>
      </c>
      <c r="V294" s="442" t="s">
        <v>648</v>
      </c>
      <c r="W294" s="447" t="s">
        <v>489</v>
      </c>
    </row>
    <row r="295" spans="1:23" s="442" customFormat="1" ht="9.75" customHeight="1" x14ac:dyDescent="0.15">
      <c r="A295" s="950" t="s">
        <v>765</v>
      </c>
      <c r="B295" s="442">
        <v>9076</v>
      </c>
      <c r="C295" s="442" t="s">
        <v>648</v>
      </c>
      <c r="D295" s="442" t="s">
        <v>648</v>
      </c>
      <c r="E295" s="442">
        <v>44425</v>
      </c>
      <c r="F295" s="442">
        <v>44425</v>
      </c>
      <c r="G295" s="442">
        <v>41405</v>
      </c>
      <c r="H295" s="442">
        <v>3020</v>
      </c>
      <c r="I295" s="442" t="s">
        <v>648</v>
      </c>
      <c r="J295" s="442" t="s">
        <v>648</v>
      </c>
      <c r="K295" s="442">
        <v>1817</v>
      </c>
      <c r="L295" s="442">
        <v>858</v>
      </c>
      <c r="M295" s="442" t="s">
        <v>648</v>
      </c>
      <c r="N295" s="442">
        <v>8</v>
      </c>
      <c r="O295" s="442">
        <v>825</v>
      </c>
      <c r="P295" s="442">
        <v>25</v>
      </c>
      <c r="Q295" s="442">
        <v>168</v>
      </c>
      <c r="R295" s="442">
        <v>119</v>
      </c>
      <c r="S295" s="442" t="s">
        <v>648</v>
      </c>
      <c r="T295" s="442">
        <v>49</v>
      </c>
      <c r="U295" s="442">
        <v>791</v>
      </c>
      <c r="V295" s="442" t="s">
        <v>648</v>
      </c>
      <c r="W295" s="447" t="s">
        <v>549</v>
      </c>
    </row>
    <row r="296" spans="1:23" s="442" customFormat="1" ht="9.75" customHeight="1" x14ac:dyDescent="0.15">
      <c r="A296" s="950" t="s">
        <v>766</v>
      </c>
      <c r="B296" s="442">
        <v>8283</v>
      </c>
      <c r="C296" s="442">
        <v>187</v>
      </c>
      <c r="D296" s="442">
        <v>187</v>
      </c>
      <c r="E296" s="442">
        <v>8030</v>
      </c>
      <c r="F296" s="442">
        <v>8030</v>
      </c>
      <c r="G296" s="442">
        <v>8030</v>
      </c>
      <c r="H296" s="442" t="s">
        <v>648</v>
      </c>
      <c r="I296" s="442" t="s">
        <v>648</v>
      </c>
      <c r="J296" s="442" t="s">
        <v>648</v>
      </c>
      <c r="K296" s="442">
        <v>1735</v>
      </c>
      <c r="L296" s="442">
        <v>970</v>
      </c>
      <c r="M296" s="442" t="s">
        <v>648</v>
      </c>
      <c r="N296" s="442">
        <v>6</v>
      </c>
      <c r="O296" s="442">
        <v>835</v>
      </c>
      <c r="P296" s="442">
        <v>129</v>
      </c>
      <c r="Q296" s="442">
        <v>195</v>
      </c>
      <c r="R296" s="442">
        <v>90</v>
      </c>
      <c r="S296" s="442" t="s">
        <v>648</v>
      </c>
      <c r="T296" s="442">
        <v>105</v>
      </c>
      <c r="U296" s="442">
        <v>570</v>
      </c>
      <c r="V296" s="442" t="s">
        <v>648</v>
      </c>
      <c r="W296" s="447" t="s">
        <v>672</v>
      </c>
    </row>
    <row r="297" spans="1:23" s="442" customFormat="1" ht="9.75" customHeight="1" x14ac:dyDescent="0.15">
      <c r="A297" s="950" t="s">
        <v>767</v>
      </c>
      <c r="B297" s="442">
        <v>7857</v>
      </c>
      <c r="C297" s="442">
        <v>45</v>
      </c>
      <c r="D297" s="442">
        <v>45</v>
      </c>
      <c r="E297" s="442">
        <v>19051</v>
      </c>
      <c r="F297" s="442">
        <v>19051</v>
      </c>
      <c r="G297" s="442">
        <v>19051</v>
      </c>
      <c r="H297" s="442" t="s">
        <v>648</v>
      </c>
      <c r="I297" s="442" t="s">
        <v>648</v>
      </c>
      <c r="J297" s="442" t="s">
        <v>648</v>
      </c>
      <c r="K297" s="442">
        <v>1804</v>
      </c>
      <c r="L297" s="442">
        <v>877</v>
      </c>
      <c r="M297" s="442" t="s">
        <v>648</v>
      </c>
      <c r="N297" s="442">
        <v>4</v>
      </c>
      <c r="O297" s="442">
        <v>758</v>
      </c>
      <c r="P297" s="442">
        <v>115</v>
      </c>
      <c r="Q297" s="442">
        <v>200</v>
      </c>
      <c r="R297" s="442">
        <v>126</v>
      </c>
      <c r="S297" s="442" t="s">
        <v>648</v>
      </c>
      <c r="T297" s="442">
        <v>74</v>
      </c>
      <c r="U297" s="442">
        <v>727</v>
      </c>
      <c r="V297" s="442" t="s">
        <v>648</v>
      </c>
      <c r="W297" s="447" t="s">
        <v>768</v>
      </c>
    </row>
    <row r="298" spans="1:23" s="442" customFormat="1" ht="6.75" customHeight="1" x14ac:dyDescent="0.15">
      <c r="A298" s="950"/>
      <c r="W298" s="447"/>
    </row>
    <row r="299" spans="1:23" s="442" customFormat="1" ht="9.75" customHeight="1" x14ac:dyDescent="0.15">
      <c r="A299" s="950" t="s">
        <v>799</v>
      </c>
      <c r="B299" s="442">
        <v>7585</v>
      </c>
      <c r="C299" s="442">
        <v>162</v>
      </c>
      <c r="D299" s="442">
        <v>162</v>
      </c>
      <c r="E299" s="442">
        <v>7019</v>
      </c>
      <c r="F299" s="442">
        <v>7019</v>
      </c>
      <c r="G299" s="442">
        <v>7019</v>
      </c>
      <c r="H299" s="442" t="s">
        <v>648</v>
      </c>
      <c r="I299" s="442" t="s">
        <v>648</v>
      </c>
      <c r="J299" s="442" t="s">
        <v>648</v>
      </c>
      <c r="K299" s="442">
        <v>1670</v>
      </c>
      <c r="L299" s="442">
        <v>922</v>
      </c>
      <c r="M299" s="442" t="s">
        <v>648</v>
      </c>
      <c r="N299" s="442">
        <v>4</v>
      </c>
      <c r="O299" s="442">
        <v>784</v>
      </c>
      <c r="P299" s="442">
        <v>134</v>
      </c>
      <c r="Q299" s="442">
        <v>206</v>
      </c>
      <c r="R299" s="442">
        <v>126</v>
      </c>
      <c r="S299" s="442" t="s">
        <v>648</v>
      </c>
      <c r="T299" s="442">
        <v>80</v>
      </c>
      <c r="U299" s="442">
        <v>542</v>
      </c>
      <c r="V299" s="442" t="s">
        <v>648</v>
      </c>
      <c r="W299" s="447" t="s">
        <v>673</v>
      </c>
    </row>
    <row r="300" spans="1:23" s="442" customFormat="1" ht="9.75" customHeight="1" x14ac:dyDescent="0.15">
      <c r="A300" s="950" t="s">
        <v>800</v>
      </c>
      <c r="B300" s="442">
        <v>13909</v>
      </c>
      <c r="C300" s="442">
        <v>23</v>
      </c>
      <c r="D300" s="442">
        <v>23</v>
      </c>
      <c r="E300" s="442">
        <v>18092</v>
      </c>
      <c r="F300" s="442">
        <v>18092</v>
      </c>
      <c r="G300" s="442">
        <v>18092</v>
      </c>
      <c r="H300" s="442" t="s">
        <v>648</v>
      </c>
      <c r="I300" s="442" t="s">
        <v>648</v>
      </c>
      <c r="J300" s="442" t="s">
        <v>648</v>
      </c>
      <c r="K300" s="442">
        <v>1890</v>
      </c>
      <c r="L300" s="442">
        <v>836</v>
      </c>
      <c r="M300" s="442" t="s">
        <v>648</v>
      </c>
      <c r="N300" s="442">
        <v>5</v>
      </c>
      <c r="O300" s="442">
        <v>706</v>
      </c>
      <c r="P300" s="442">
        <v>125</v>
      </c>
      <c r="Q300" s="442">
        <v>229</v>
      </c>
      <c r="R300" s="442">
        <v>126</v>
      </c>
      <c r="S300" s="442" t="s">
        <v>648</v>
      </c>
      <c r="T300" s="442">
        <v>103</v>
      </c>
      <c r="U300" s="442">
        <v>825</v>
      </c>
      <c r="V300" s="442" t="s">
        <v>648</v>
      </c>
      <c r="W300" s="447" t="s">
        <v>771</v>
      </c>
    </row>
    <row r="301" spans="1:23" s="442" customFormat="1" ht="6.75" customHeight="1" x14ac:dyDescent="0.15">
      <c r="A301" s="950"/>
      <c r="W301" s="447"/>
    </row>
    <row r="302" spans="1:23" s="442" customFormat="1" ht="9.75" customHeight="1" x14ac:dyDescent="0.15">
      <c r="A302" s="950" t="s">
        <v>772</v>
      </c>
      <c r="B302" s="442">
        <v>1606</v>
      </c>
      <c r="C302" s="442">
        <v>22</v>
      </c>
      <c r="D302" s="442">
        <v>22</v>
      </c>
      <c r="E302" s="442">
        <v>3976</v>
      </c>
      <c r="F302" s="442">
        <v>3976</v>
      </c>
      <c r="G302" s="442">
        <v>3976</v>
      </c>
      <c r="H302" s="442" t="s">
        <v>648</v>
      </c>
      <c r="I302" s="442" t="s">
        <v>648</v>
      </c>
      <c r="J302" s="442" t="s">
        <v>648</v>
      </c>
      <c r="K302" s="442">
        <v>399</v>
      </c>
      <c r="L302" s="442">
        <v>261</v>
      </c>
      <c r="M302" s="442" t="s">
        <v>648</v>
      </c>
      <c r="N302" s="442">
        <v>1</v>
      </c>
      <c r="O302" s="442">
        <v>247</v>
      </c>
      <c r="P302" s="442">
        <v>13</v>
      </c>
      <c r="Q302" s="442">
        <v>44</v>
      </c>
      <c r="R302" s="442">
        <v>36</v>
      </c>
      <c r="S302" s="442" t="s">
        <v>648</v>
      </c>
      <c r="T302" s="442">
        <v>8</v>
      </c>
      <c r="U302" s="442">
        <v>94</v>
      </c>
      <c r="V302" s="442" t="s">
        <v>648</v>
      </c>
      <c r="W302" s="447" t="s">
        <v>674</v>
      </c>
    </row>
    <row r="303" spans="1:23" s="442" customFormat="1" ht="9.75" customHeight="1" x14ac:dyDescent="0.15">
      <c r="A303" s="950" t="s">
        <v>773</v>
      </c>
      <c r="B303" s="442">
        <v>2321</v>
      </c>
      <c r="C303" s="442">
        <v>23</v>
      </c>
      <c r="D303" s="442">
        <v>23</v>
      </c>
      <c r="E303" s="442">
        <v>4015</v>
      </c>
      <c r="F303" s="442">
        <v>4015</v>
      </c>
      <c r="G303" s="442">
        <v>4015</v>
      </c>
      <c r="H303" s="442" t="s">
        <v>648</v>
      </c>
      <c r="I303" s="442" t="s">
        <v>648</v>
      </c>
      <c r="J303" s="442" t="s">
        <v>648</v>
      </c>
      <c r="K303" s="442">
        <v>626</v>
      </c>
      <c r="L303" s="442">
        <v>326</v>
      </c>
      <c r="M303" s="442" t="s">
        <v>648</v>
      </c>
      <c r="N303" s="442" t="s">
        <v>648</v>
      </c>
      <c r="O303" s="442">
        <v>286</v>
      </c>
      <c r="P303" s="442">
        <v>40</v>
      </c>
      <c r="Q303" s="442">
        <v>27</v>
      </c>
      <c r="R303" s="442">
        <v>18</v>
      </c>
      <c r="S303" s="442" t="s">
        <v>648</v>
      </c>
      <c r="T303" s="442">
        <v>9</v>
      </c>
      <c r="U303" s="442">
        <v>273</v>
      </c>
      <c r="V303" s="442" t="s">
        <v>648</v>
      </c>
      <c r="W303" s="447" t="s">
        <v>92</v>
      </c>
    </row>
    <row r="304" spans="1:23" s="442" customFormat="1" ht="9.75" customHeight="1" x14ac:dyDescent="0.15">
      <c r="A304" s="950" t="s">
        <v>774</v>
      </c>
      <c r="B304" s="442">
        <v>2199</v>
      </c>
      <c r="C304" s="442" t="s">
        <v>648</v>
      </c>
      <c r="D304" s="442" t="s">
        <v>648</v>
      </c>
      <c r="E304" s="442">
        <v>6052</v>
      </c>
      <c r="F304" s="442">
        <v>6052</v>
      </c>
      <c r="G304" s="442">
        <v>6052</v>
      </c>
      <c r="H304" s="442" t="s">
        <v>648</v>
      </c>
      <c r="I304" s="442" t="s">
        <v>648</v>
      </c>
      <c r="J304" s="442" t="s">
        <v>648</v>
      </c>
      <c r="K304" s="442">
        <v>420</v>
      </c>
      <c r="L304" s="442">
        <v>212</v>
      </c>
      <c r="M304" s="442" t="s">
        <v>648</v>
      </c>
      <c r="N304" s="442">
        <v>3</v>
      </c>
      <c r="O304" s="442">
        <v>186</v>
      </c>
      <c r="P304" s="442">
        <v>23</v>
      </c>
      <c r="Q304" s="442">
        <v>71</v>
      </c>
      <c r="R304" s="442">
        <v>54</v>
      </c>
      <c r="S304" s="442" t="s">
        <v>648</v>
      </c>
      <c r="T304" s="442">
        <v>17</v>
      </c>
      <c r="U304" s="442">
        <v>137</v>
      </c>
      <c r="V304" s="442" t="s">
        <v>648</v>
      </c>
      <c r="W304" s="447" t="s">
        <v>93</v>
      </c>
    </row>
    <row r="305" spans="1:23" s="442" customFormat="1" ht="9.75" customHeight="1" x14ac:dyDescent="0.15">
      <c r="A305" s="950" t="s">
        <v>801</v>
      </c>
      <c r="B305" s="442">
        <v>1731</v>
      </c>
      <c r="C305" s="442" t="s">
        <v>648</v>
      </c>
      <c r="D305" s="442" t="s">
        <v>648</v>
      </c>
      <c r="E305" s="442">
        <v>5008</v>
      </c>
      <c r="F305" s="442">
        <v>5008</v>
      </c>
      <c r="G305" s="442">
        <v>5008</v>
      </c>
      <c r="H305" s="442" t="s">
        <v>648</v>
      </c>
      <c r="I305" s="442" t="s">
        <v>648</v>
      </c>
      <c r="J305" s="442" t="s">
        <v>648</v>
      </c>
      <c r="K305" s="442">
        <v>359</v>
      </c>
      <c r="L305" s="442">
        <v>78</v>
      </c>
      <c r="M305" s="442" t="s">
        <v>648</v>
      </c>
      <c r="N305" s="442" t="s">
        <v>648</v>
      </c>
      <c r="O305" s="442">
        <v>39</v>
      </c>
      <c r="P305" s="442">
        <v>39</v>
      </c>
      <c r="Q305" s="442">
        <v>58</v>
      </c>
      <c r="R305" s="442">
        <v>18</v>
      </c>
      <c r="S305" s="442" t="s">
        <v>648</v>
      </c>
      <c r="T305" s="442">
        <v>40</v>
      </c>
      <c r="U305" s="442">
        <v>223</v>
      </c>
      <c r="V305" s="442" t="s">
        <v>648</v>
      </c>
      <c r="W305" s="447" t="s">
        <v>94</v>
      </c>
    </row>
    <row r="306" spans="1:23" s="442" customFormat="1" ht="9.75" customHeight="1" x14ac:dyDescent="0.15">
      <c r="A306" s="950" t="s">
        <v>809</v>
      </c>
      <c r="B306" s="442">
        <v>7658</v>
      </c>
      <c r="C306" s="442" t="s">
        <v>648</v>
      </c>
      <c r="D306" s="442" t="s">
        <v>648</v>
      </c>
      <c r="E306" s="442">
        <v>3017</v>
      </c>
      <c r="F306" s="442">
        <v>3017</v>
      </c>
      <c r="G306" s="442">
        <v>3017</v>
      </c>
      <c r="H306" s="442" t="s">
        <v>648</v>
      </c>
      <c r="I306" s="442" t="s">
        <v>648</v>
      </c>
      <c r="J306" s="442" t="s">
        <v>648</v>
      </c>
      <c r="K306" s="442">
        <v>485</v>
      </c>
      <c r="L306" s="442">
        <v>220</v>
      </c>
      <c r="M306" s="442" t="s">
        <v>648</v>
      </c>
      <c r="N306" s="442">
        <v>2</v>
      </c>
      <c r="O306" s="442">
        <v>195</v>
      </c>
      <c r="P306" s="442">
        <v>23</v>
      </c>
      <c r="Q306" s="442">
        <v>73</v>
      </c>
      <c r="R306" s="442">
        <v>36</v>
      </c>
      <c r="S306" s="442" t="s">
        <v>648</v>
      </c>
      <c r="T306" s="442">
        <v>37</v>
      </c>
      <c r="U306" s="442">
        <v>192</v>
      </c>
      <c r="V306" s="442" t="s">
        <v>648</v>
      </c>
      <c r="W306" s="447" t="s">
        <v>777</v>
      </c>
    </row>
    <row r="307" spans="1:23" s="442" customFormat="1" ht="6.75" customHeight="1" x14ac:dyDescent="0.15">
      <c r="A307" s="950"/>
      <c r="W307" s="447"/>
    </row>
    <row r="308" spans="1:23" s="442" customFormat="1" ht="9.75" customHeight="1" x14ac:dyDescent="0.15">
      <c r="A308" s="950" t="s">
        <v>778</v>
      </c>
      <c r="B308" s="442">
        <v>707</v>
      </c>
      <c r="C308" s="442">
        <v>22</v>
      </c>
      <c r="D308" s="442">
        <v>22</v>
      </c>
      <c r="E308" s="442" t="s">
        <v>648</v>
      </c>
      <c r="F308" s="442" t="s">
        <v>648</v>
      </c>
      <c r="G308" s="442" t="s">
        <v>648</v>
      </c>
      <c r="H308" s="442" t="s">
        <v>648</v>
      </c>
      <c r="I308" s="442" t="s">
        <v>648</v>
      </c>
      <c r="J308" s="442" t="s">
        <v>648</v>
      </c>
      <c r="K308" s="442">
        <v>160</v>
      </c>
      <c r="L308" s="442">
        <v>113</v>
      </c>
      <c r="M308" s="442" t="s">
        <v>648</v>
      </c>
      <c r="N308" s="442" t="s">
        <v>648</v>
      </c>
      <c r="O308" s="442">
        <v>104</v>
      </c>
      <c r="P308" s="442">
        <v>9</v>
      </c>
      <c r="Q308" s="442">
        <v>24</v>
      </c>
      <c r="R308" s="442">
        <v>18</v>
      </c>
      <c r="S308" s="442" t="s">
        <v>648</v>
      </c>
      <c r="T308" s="442">
        <v>6</v>
      </c>
      <c r="U308" s="442">
        <v>23</v>
      </c>
      <c r="V308" s="442" t="s">
        <v>648</v>
      </c>
      <c r="W308" s="447" t="s">
        <v>675</v>
      </c>
    </row>
    <row r="309" spans="1:23" s="442" customFormat="1" ht="9.75" customHeight="1" x14ac:dyDescent="0.15">
      <c r="A309" s="950" t="s">
        <v>779</v>
      </c>
      <c r="B309" s="442">
        <v>459</v>
      </c>
      <c r="C309" s="442" t="s">
        <v>648</v>
      </c>
      <c r="D309" s="442" t="s">
        <v>648</v>
      </c>
      <c r="E309" s="442" t="s">
        <v>648</v>
      </c>
      <c r="F309" s="442" t="s">
        <v>648</v>
      </c>
      <c r="G309" s="442" t="s">
        <v>648</v>
      </c>
      <c r="H309" s="442" t="s">
        <v>648</v>
      </c>
      <c r="I309" s="442" t="s">
        <v>648</v>
      </c>
      <c r="J309" s="442" t="s">
        <v>648</v>
      </c>
      <c r="K309" s="442">
        <v>85</v>
      </c>
      <c r="L309" s="442">
        <v>79</v>
      </c>
      <c r="M309" s="442" t="s">
        <v>648</v>
      </c>
      <c r="N309" s="442" t="s">
        <v>648</v>
      </c>
      <c r="O309" s="442">
        <v>78</v>
      </c>
      <c r="P309" s="442">
        <v>1</v>
      </c>
      <c r="Q309" s="442">
        <v>2</v>
      </c>
      <c r="R309" s="442" t="s">
        <v>648</v>
      </c>
      <c r="S309" s="442" t="s">
        <v>648</v>
      </c>
      <c r="T309" s="442">
        <v>2</v>
      </c>
      <c r="U309" s="442">
        <v>4</v>
      </c>
      <c r="V309" s="442" t="s">
        <v>648</v>
      </c>
      <c r="W309" s="447" t="s">
        <v>80</v>
      </c>
    </row>
    <row r="310" spans="1:23" s="442" customFormat="1" ht="9.75" customHeight="1" x14ac:dyDescent="0.15">
      <c r="A310" s="950" t="s">
        <v>780</v>
      </c>
      <c r="B310" s="442">
        <v>440</v>
      </c>
      <c r="C310" s="442" t="s">
        <v>648</v>
      </c>
      <c r="D310" s="442" t="s">
        <v>648</v>
      </c>
      <c r="E310" s="442">
        <v>3976</v>
      </c>
      <c r="F310" s="442">
        <v>3976</v>
      </c>
      <c r="G310" s="442">
        <v>3976</v>
      </c>
      <c r="H310" s="442" t="s">
        <v>648</v>
      </c>
      <c r="I310" s="442" t="s">
        <v>648</v>
      </c>
      <c r="J310" s="442" t="s">
        <v>648</v>
      </c>
      <c r="K310" s="442">
        <v>154</v>
      </c>
      <c r="L310" s="442">
        <v>69</v>
      </c>
      <c r="M310" s="442" t="s">
        <v>648</v>
      </c>
      <c r="N310" s="442">
        <v>1</v>
      </c>
      <c r="O310" s="442">
        <v>65</v>
      </c>
      <c r="P310" s="442">
        <v>3</v>
      </c>
      <c r="Q310" s="442">
        <v>18</v>
      </c>
      <c r="R310" s="442">
        <v>18</v>
      </c>
      <c r="S310" s="442" t="s">
        <v>648</v>
      </c>
      <c r="T310" s="442" t="s">
        <v>648</v>
      </c>
      <c r="U310" s="442">
        <v>67</v>
      </c>
      <c r="V310" s="442" t="s">
        <v>648</v>
      </c>
      <c r="W310" s="447" t="s">
        <v>81</v>
      </c>
    </row>
    <row r="311" spans="1:23" s="442" customFormat="1" ht="9.75" customHeight="1" x14ac:dyDescent="0.15">
      <c r="A311" s="950" t="s">
        <v>781</v>
      </c>
      <c r="B311" s="442">
        <v>1126</v>
      </c>
      <c r="C311" s="442" t="s">
        <v>648</v>
      </c>
      <c r="D311" s="442" t="s">
        <v>648</v>
      </c>
      <c r="E311" s="442">
        <v>3001</v>
      </c>
      <c r="F311" s="442">
        <v>3001</v>
      </c>
      <c r="G311" s="442">
        <v>3001</v>
      </c>
      <c r="H311" s="442" t="s">
        <v>648</v>
      </c>
      <c r="I311" s="442" t="s">
        <v>648</v>
      </c>
      <c r="J311" s="442" t="s">
        <v>648</v>
      </c>
      <c r="K311" s="442">
        <v>196</v>
      </c>
      <c r="L311" s="442">
        <v>65</v>
      </c>
      <c r="M311" s="442" t="s">
        <v>648</v>
      </c>
      <c r="N311" s="442" t="s">
        <v>648</v>
      </c>
      <c r="O311" s="442">
        <v>52</v>
      </c>
      <c r="P311" s="442">
        <v>13</v>
      </c>
      <c r="Q311" s="442">
        <v>24</v>
      </c>
      <c r="R311" s="442">
        <v>18</v>
      </c>
      <c r="S311" s="442" t="s">
        <v>648</v>
      </c>
      <c r="T311" s="442">
        <v>6</v>
      </c>
      <c r="U311" s="442">
        <v>107</v>
      </c>
      <c r="V311" s="442" t="s">
        <v>648</v>
      </c>
      <c r="W311" s="447" t="s">
        <v>82</v>
      </c>
    </row>
    <row r="312" spans="1:23" s="442" customFormat="1" ht="9.75" customHeight="1" x14ac:dyDescent="0.15">
      <c r="A312" s="950" t="s">
        <v>782</v>
      </c>
      <c r="B312" s="442">
        <v>546</v>
      </c>
      <c r="C312" s="442">
        <v>23</v>
      </c>
      <c r="D312" s="442">
        <v>23</v>
      </c>
      <c r="E312" s="442">
        <v>1014</v>
      </c>
      <c r="F312" s="442">
        <v>1014</v>
      </c>
      <c r="G312" s="442">
        <v>1014</v>
      </c>
      <c r="H312" s="442" t="s">
        <v>648</v>
      </c>
      <c r="I312" s="442" t="s">
        <v>648</v>
      </c>
      <c r="J312" s="442" t="s">
        <v>648</v>
      </c>
      <c r="K312" s="442">
        <v>184</v>
      </c>
      <c r="L312" s="442">
        <v>109</v>
      </c>
      <c r="M312" s="442" t="s">
        <v>648</v>
      </c>
      <c r="N312" s="442" t="s">
        <v>648</v>
      </c>
      <c r="O312" s="442">
        <v>104</v>
      </c>
      <c r="P312" s="442">
        <v>5</v>
      </c>
      <c r="Q312" s="442">
        <v>1</v>
      </c>
      <c r="R312" s="442" t="s">
        <v>648</v>
      </c>
      <c r="S312" s="442" t="s">
        <v>648</v>
      </c>
      <c r="T312" s="442">
        <v>1</v>
      </c>
      <c r="U312" s="442">
        <v>74</v>
      </c>
      <c r="V312" s="442" t="s">
        <v>648</v>
      </c>
      <c r="W312" s="447" t="s">
        <v>95</v>
      </c>
    </row>
    <row r="313" spans="1:23" s="442" customFormat="1" ht="9.75" customHeight="1" x14ac:dyDescent="0.15">
      <c r="A313" s="950" t="s">
        <v>783</v>
      </c>
      <c r="B313" s="442">
        <v>649</v>
      </c>
      <c r="C313" s="442" t="s">
        <v>648</v>
      </c>
      <c r="D313" s="442" t="s">
        <v>648</v>
      </c>
      <c r="E313" s="442" t="s">
        <v>648</v>
      </c>
      <c r="F313" s="442" t="s">
        <v>648</v>
      </c>
      <c r="G313" s="442" t="s">
        <v>648</v>
      </c>
      <c r="H313" s="442" t="s">
        <v>648</v>
      </c>
      <c r="I313" s="442" t="s">
        <v>648</v>
      </c>
      <c r="J313" s="442" t="s">
        <v>648</v>
      </c>
      <c r="K313" s="442">
        <v>246</v>
      </c>
      <c r="L313" s="442">
        <v>152</v>
      </c>
      <c r="M313" s="442" t="s">
        <v>648</v>
      </c>
      <c r="N313" s="442" t="s">
        <v>648</v>
      </c>
      <c r="O313" s="442">
        <v>130</v>
      </c>
      <c r="P313" s="442">
        <v>22</v>
      </c>
      <c r="Q313" s="442">
        <v>2</v>
      </c>
      <c r="R313" s="442" t="s">
        <v>648</v>
      </c>
      <c r="S313" s="442" t="s">
        <v>648</v>
      </c>
      <c r="T313" s="442">
        <v>2</v>
      </c>
      <c r="U313" s="442">
        <v>92</v>
      </c>
      <c r="V313" s="442" t="s">
        <v>648</v>
      </c>
      <c r="W313" s="447" t="s">
        <v>96</v>
      </c>
    </row>
    <row r="314" spans="1:23" s="442" customFormat="1" ht="9.75" customHeight="1" x14ac:dyDescent="0.15">
      <c r="A314" s="950" t="s">
        <v>784</v>
      </c>
      <c r="B314" s="442">
        <v>727</v>
      </c>
      <c r="C314" s="442" t="s">
        <v>648</v>
      </c>
      <c r="D314" s="442" t="s">
        <v>648</v>
      </c>
      <c r="E314" s="442">
        <v>2017</v>
      </c>
      <c r="F314" s="442">
        <v>2017</v>
      </c>
      <c r="G314" s="442">
        <v>2017</v>
      </c>
      <c r="H314" s="442" t="s">
        <v>648</v>
      </c>
      <c r="I314" s="442" t="s">
        <v>648</v>
      </c>
      <c r="J314" s="442" t="s">
        <v>648</v>
      </c>
      <c r="K314" s="442">
        <v>122</v>
      </c>
      <c r="L314" s="442">
        <v>72</v>
      </c>
      <c r="M314" s="442" t="s">
        <v>648</v>
      </c>
      <c r="N314" s="442">
        <v>2</v>
      </c>
      <c r="O314" s="442">
        <v>65</v>
      </c>
      <c r="P314" s="442">
        <v>5</v>
      </c>
      <c r="Q314" s="442">
        <v>3</v>
      </c>
      <c r="R314" s="442" t="s">
        <v>648</v>
      </c>
      <c r="S314" s="442" t="s">
        <v>648</v>
      </c>
      <c r="T314" s="442">
        <v>3</v>
      </c>
      <c r="U314" s="442">
        <v>47</v>
      </c>
      <c r="V314" s="442" t="s">
        <v>648</v>
      </c>
      <c r="W314" s="447" t="s">
        <v>97</v>
      </c>
    </row>
    <row r="315" spans="1:23" s="442" customFormat="1" ht="9.75" customHeight="1" x14ac:dyDescent="0.15">
      <c r="A315" s="950" t="s">
        <v>806</v>
      </c>
      <c r="B315" s="442">
        <v>811</v>
      </c>
      <c r="C315" s="442" t="s">
        <v>648</v>
      </c>
      <c r="D315" s="442" t="s">
        <v>648</v>
      </c>
      <c r="E315" s="442">
        <v>2013</v>
      </c>
      <c r="F315" s="442">
        <v>2013</v>
      </c>
      <c r="G315" s="442">
        <v>2013</v>
      </c>
      <c r="H315" s="442" t="s">
        <v>648</v>
      </c>
      <c r="I315" s="442" t="s">
        <v>648</v>
      </c>
      <c r="J315" s="442" t="s">
        <v>648</v>
      </c>
      <c r="K315" s="442">
        <v>140</v>
      </c>
      <c r="L315" s="442">
        <v>88</v>
      </c>
      <c r="M315" s="442" t="s">
        <v>648</v>
      </c>
      <c r="N315" s="442">
        <v>1</v>
      </c>
      <c r="O315" s="442">
        <v>69</v>
      </c>
      <c r="P315" s="442">
        <v>18</v>
      </c>
      <c r="Q315" s="442">
        <v>13</v>
      </c>
      <c r="R315" s="442" t="s">
        <v>648</v>
      </c>
      <c r="S315" s="442" t="s">
        <v>648</v>
      </c>
      <c r="T315" s="442">
        <v>13</v>
      </c>
      <c r="U315" s="442">
        <v>39</v>
      </c>
      <c r="V315" s="442" t="s">
        <v>648</v>
      </c>
      <c r="W315" s="447" t="s">
        <v>98</v>
      </c>
    </row>
    <row r="316" spans="1:23" s="442" customFormat="1" ht="9.75" customHeight="1" x14ac:dyDescent="0.15">
      <c r="A316" s="950" t="s">
        <v>786</v>
      </c>
      <c r="B316" s="442">
        <v>661</v>
      </c>
      <c r="C316" s="442" t="s">
        <v>648</v>
      </c>
      <c r="D316" s="442" t="s">
        <v>648</v>
      </c>
      <c r="E316" s="442">
        <v>2022</v>
      </c>
      <c r="F316" s="442">
        <v>2022</v>
      </c>
      <c r="G316" s="442">
        <v>2022</v>
      </c>
      <c r="H316" s="442" t="s">
        <v>648</v>
      </c>
      <c r="I316" s="442" t="s">
        <v>648</v>
      </c>
      <c r="J316" s="442" t="s">
        <v>648</v>
      </c>
      <c r="K316" s="442">
        <v>158</v>
      </c>
      <c r="L316" s="442">
        <v>52</v>
      </c>
      <c r="M316" s="442" t="s">
        <v>648</v>
      </c>
      <c r="N316" s="442" t="s">
        <v>648</v>
      </c>
      <c r="O316" s="442">
        <v>52</v>
      </c>
      <c r="P316" s="442" t="s">
        <v>648</v>
      </c>
      <c r="Q316" s="442">
        <v>55</v>
      </c>
      <c r="R316" s="442">
        <v>54</v>
      </c>
      <c r="S316" s="442" t="s">
        <v>648</v>
      </c>
      <c r="T316" s="442">
        <v>1</v>
      </c>
      <c r="U316" s="442">
        <v>51</v>
      </c>
      <c r="V316" s="442" t="s">
        <v>648</v>
      </c>
      <c r="W316" s="447" t="s">
        <v>99</v>
      </c>
    </row>
    <row r="317" spans="1:23" s="442" customFormat="1" ht="9.75" customHeight="1" x14ac:dyDescent="0.15">
      <c r="A317" s="950" t="s">
        <v>807</v>
      </c>
      <c r="B317" s="442">
        <v>848</v>
      </c>
      <c r="C317" s="442" t="s">
        <v>648</v>
      </c>
      <c r="D317" s="442" t="s">
        <v>648</v>
      </c>
      <c r="E317" s="442">
        <v>2007</v>
      </c>
      <c r="F317" s="442">
        <v>2007</v>
      </c>
      <c r="G317" s="442">
        <v>2007</v>
      </c>
      <c r="H317" s="442" t="s">
        <v>648</v>
      </c>
      <c r="I317" s="442" t="s">
        <v>648</v>
      </c>
      <c r="J317" s="442" t="s">
        <v>648</v>
      </c>
      <c r="K317" s="442">
        <v>168</v>
      </c>
      <c r="L317" s="442">
        <v>55</v>
      </c>
      <c r="M317" s="442" t="s">
        <v>648</v>
      </c>
      <c r="N317" s="442" t="s">
        <v>648</v>
      </c>
      <c r="O317" s="442">
        <v>26</v>
      </c>
      <c r="P317" s="442">
        <v>29</v>
      </c>
      <c r="Q317" s="442">
        <v>21</v>
      </c>
      <c r="R317" s="442" t="s">
        <v>648</v>
      </c>
      <c r="S317" s="442" t="s">
        <v>648</v>
      </c>
      <c r="T317" s="442">
        <v>21</v>
      </c>
      <c r="U317" s="442">
        <v>92</v>
      </c>
      <c r="V317" s="442" t="s">
        <v>648</v>
      </c>
      <c r="W317" s="447" t="s">
        <v>83</v>
      </c>
    </row>
    <row r="318" spans="1:23" s="442" customFormat="1" ht="9.75" customHeight="1" x14ac:dyDescent="0.15">
      <c r="A318" s="950" t="s">
        <v>788</v>
      </c>
      <c r="B318" s="442">
        <v>548</v>
      </c>
      <c r="C318" s="442" t="s">
        <v>648</v>
      </c>
      <c r="D318" s="442" t="s">
        <v>648</v>
      </c>
      <c r="E318" s="442">
        <v>2019</v>
      </c>
      <c r="F318" s="442">
        <v>2019</v>
      </c>
      <c r="G318" s="442">
        <v>2019</v>
      </c>
      <c r="H318" s="442" t="s">
        <v>648</v>
      </c>
      <c r="I318" s="442" t="s">
        <v>648</v>
      </c>
      <c r="J318" s="442" t="s">
        <v>648</v>
      </c>
      <c r="K318" s="442">
        <v>126</v>
      </c>
      <c r="L318" s="442">
        <v>23</v>
      </c>
      <c r="M318" s="442" t="s">
        <v>648</v>
      </c>
      <c r="N318" s="442" t="s">
        <v>648</v>
      </c>
      <c r="O318" s="442">
        <v>13</v>
      </c>
      <c r="P318" s="442">
        <v>10</v>
      </c>
      <c r="Q318" s="442">
        <v>24</v>
      </c>
      <c r="R318" s="442">
        <v>18</v>
      </c>
      <c r="S318" s="442" t="s">
        <v>648</v>
      </c>
      <c r="T318" s="442">
        <v>6</v>
      </c>
      <c r="U318" s="442">
        <v>79</v>
      </c>
      <c r="V318" s="442" t="s">
        <v>648</v>
      </c>
      <c r="W318" s="447" t="s">
        <v>84</v>
      </c>
    </row>
    <row r="319" spans="1:23" s="442" customFormat="1" ht="9.75" customHeight="1" x14ac:dyDescent="0.15">
      <c r="A319" s="950" t="s">
        <v>789</v>
      </c>
      <c r="B319" s="442">
        <v>335</v>
      </c>
      <c r="C319" s="442" t="s">
        <v>648</v>
      </c>
      <c r="D319" s="442" t="s">
        <v>648</v>
      </c>
      <c r="E319" s="442">
        <v>982</v>
      </c>
      <c r="F319" s="442">
        <v>982</v>
      </c>
      <c r="G319" s="442">
        <v>982</v>
      </c>
      <c r="H319" s="442" t="s">
        <v>648</v>
      </c>
      <c r="I319" s="442" t="s">
        <v>648</v>
      </c>
      <c r="J319" s="442" t="s">
        <v>648</v>
      </c>
      <c r="K319" s="442">
        <v>65</v>
      </c>
      <c r="L319" s="442" t="s">
        <v>648</v>
      </c>
      <c r="M319" s="442" t="s">
        <v>648</v>
      </c>
      <c r="N319" s="442" t="s">
        <v>648</v>
      </c>
      <c r="O319" s="442" t="s">
        <v>648</v>
      </c>
      <c r="P319" s="442" t="s">
        <v>648</v>
      </c>
      <c r="Q319" s="442">
        <v>13</v>
      </c>
      <c r="R319" s="442" t="s">
        <v>648</v>
      </c>
      <c r="S319" s="442" t="s">
        <v>648</v>
      </c>
      <c r="T319" s="442">
        <v>13</v>
      </c>
      <c r="U319" s="442">
        <v>52</v>
      </c>
      <c r="V319" s="442" t="s">
        <v>648</v>
      </c>
      <c r="W319" s="447" t="s">
        <v>85</v>
      </c>
    </row>
    <row r="320" spans="1:23" s="442" customFormat="1" ht="9.75" customHeight="1" x14ac:dyDescent="0.15">
      <c r="A320" s="950" t="s">
        <v>790</v>
      </c>
      <c r="B320" s="442">
        <v>2198</v>
      </c>
      <c r="C320" s="442" t="s">
        <v>648</v>
      </c>
      <c r="D320" s="442" t="s">
        <v>648</v>
      </c>
      <c r="E320" s="442">
        <v>1002</v>
      </c>
      <c r="F320" s="442">
        <v>1002</v>
      </c>
      <c r="G320" s="442">
        <v>1002</v>
      </c>
      <c r="H320" s="442" t="s">
        <v>648</v>
      </c>
      <c r="I320" s="442" t="s">
        <v>648</v>
      </c>
      <c r="J320" s="442" t="s">
        <v>648</v>
      </c>
      <c r="K320" s="442">
        <v>163</v>
      </c>
      <c r="L320" s="442">
        <v>41</v>
      </c>
      <c r="M320" s="442" t="s">
        <v>648</v>
      </c>
      <c r="N320" s="442">
        <v>2</v>
      </c>
      <c r="O320" s="442">
        <v>39</v>
      </c>
      <c r="P320" s="442" t="s">
        <v>648</v>
      </c>
      <c r="Q320" s="442">
        <v>29</v>
      </c>
      <c r="R320" s="442">
        <v>18</v>
      </c>
      <c r="S320" s="442" t="s">
        <v>648</v>
      </c>
      <c r="T320" s="442">
        <v>11</v>
      </c>
      <c r="U320" s="442">
        <v>93</v>
      </c>
      <c r="V320" s="442" t="s">
        <v>648</v>
      </c>
      <c r="W320" s="447" t="s">
        <v>791</v>
      </c>
    </row>
    <row r="321" spans="1:23" s="442" customFormat="1" ht="9.75" customHeight="1" x14ac:dyDescent="0.15">
      <c r="A321" s="950" t="s">
        <v>792</v>
      </c>
      <c r="B321" s="442">
        <v>595</v>
      </c>
      <c r="C321" s="442" t="s">
        <v>648</v>
      </c>
      <c r="D321" s="442" t="s">
        <v>648</v>
      </c>
      <c r="E321" s="442">
        <v>1017</v>
      </c>
      <c r="F321" s="442">
        <v>1017</v>
      </c>
      <c r="G321" s="442">
        <v>1017</v>
      </c>
      <c r="H321" s="442" t="s">
        <v>648</v>
      </c>
      <c r="I321" s="442" t="s">
        <v>648</v>
      </c>
      <c r="J321" s="442" t="s">
        <v>648</v>
      </c>
      <c r="K321" s="442">
        <v>102</v>
      </c>
      <c r="L321" s="442">
        <v>69</v>
      </c>
      <c r="M321" s="442" t="s">
        <v>648</v>
      </c>
      <c r="N321" s="442" t="s">
        <v>648</v>
      </c>
      <c r="O321" s="442">
        <v>52</v>
      </c>
      <c r="P321" s="442">
        <v>17</v>
      </c>
      <c r="Q321" s="442">
        <v>23</v>
      </c>
      <c r="R321" s="442">
        <v>18</v>
      </c>
      <c r="S321" s="442" t="s">
        <v>648</v>
      </c>
      <c r="T321" s="442">
        <v>5</v>
      </c>
      <c r="U321" s="442">
        <v>10</v>
      </c>
      <c r="V321" s="442" t="s">
        <v>648</v>
      </c>
      <c r="W321" s="447" t="s">
        <v>80</v>
      </c>
    </row>
    <row r="322" spans="1:23" s="442" customFormat="1" ht="9.75" customHeight="1" x14ac:dyDescent="0.15">
      <c r="A322" s="951" t="s">
        <v>793</v>
      </c>
      <c r="B322" s="446">
        <v>4865</v>
      </c>
      <c r="C322" s="445" t="s">
        <v>648</v>
      </c>
      <c r="D322" s="445" t="s">
        <v>648</v>
      </c>
      <c r="E322" s="445">
        <v>998</v>
      </c>
      <c r="F322" s="445">
        <v>998</v>
      </c>
      <c r="G322" s="445">
        <v>998</v>
      </c>
      <c r="H322" s="445" t="s">
        <v>648</v>
      </c>
      <c r="I322" s="445" t="s">
        <v>648</v>
      </c>
      <c r="J322" s="445" t="s">
        <v>648</v>
      </c>
      <c r="K322" s="445">
        <v>220</v>
      </c>
      <c r="L322" s="445">
        <v>110</v>
      </c>
      <c r="M322" s="445" t="s">
        <v>648</v>
      </c>
      <c r="N322" s="445" t="s">
        <v>648</v>
      </c>
      <c r="O322" s="445">
        <v>104</v>
      </c>
      <c r="P322" s="445">
        <v>6</v>
      </c>
      <c r="Q322" s="445">
        <v>21</v>
      </c>
      <c r="R322" s="445" t="s">
        <v>648</v>
      </c>
      <c r="S322" s="445" t="s">
        <v>648</v>
      </c>
      <c r="T322" s="445">
        <v>21</v>
      </c>
      <c r="U322" s="445">
        <v>89</v>
      </c>
      <c r="V322" s="445" t="s">
        <v>648</v>
      </c>
      <c r="W322" s="443" t="s">
        <v>81</v>
      </c>
    </row>
    <row r="323" spans="1:23" ht="12" customHeight="1" x14ac:dyDescent="0.2"/>
    <row r="324" spans="1:23" ht="12" customHeight="1" x14ac:dyDescent="0.2"/>
    <row r="325" spans="1:23" ht="12" customHeight="1" x14ac:dyDescent="0.2">
      <c r="K325" s="457" t="s">
        <v>100</v>
      </c>
    </row>
    <row r="326" spans="1:23" s="453" customFormat="1" ht="21" customHeight="1" x14ac:dyDescent="0.2">
      <c r="A326" s="1089" t="s">
        <v>194</v>
      </c>
      <c r="B326" s="456" t="s">
        <v>364</v>
      </c>
      <c r="C326" s="455"/>
      <c r="D326" s="917"/>
      <c r="E326" s="918" t="s">
        <v>1104</v>
      </c>
      <c r="F326" s="455"/>
      <c r="G326" s="455"/>
      <c r="H326" s="455"/>
      <c r="I326" s="455"/>
      <c r="J326" s="455"/>
      <c r="K326" s="455"/>
      <c r="L326" s="917"/>
      <c r="M326" s="461" t="s">
        <v>1105</v>
      </c>
      <c r="N326" s="455"/>
      <c r="O326" s="455"/>
      <c r="P326" s="455"/>
      <c r="Q326" s="455"/>
      <c r="R326" s="455"/>
      <c r="S326" s="455"/>
      <c r="T326" s="455"/>
      <c r="U326" s="455"/>
      <c r="V326" s="455"/>
      <c r="W326" s="1092" t="s">
        <v>86</v>
      </c>
    </row>
    <row r="327" spans="1:23" s="453" customFormat="1" ht="21" customHeight="1" x14ac:dyDescent="0.2">
      <c r="A327" s="1090"/>
      <c r="B327" s="1015" t="s">
        <v>1102</v>
      </c>
      <c r="C327" s="918" t="s">
        <v>271</v>
      </c>
      <c r="D327" s="917"/>
      <c r="E327" s="1095" t="s">
        <v>309</v>
      </c>
      <c r="F327" s="918" t="s">
        <v>297</v>
      </c>
      <c r="G327" s="455"/>
      <c r="H327" s="455"/>
      <c r="I327" s="917"/>
      <c r="J327" s="918" t="s">
        <v>288</v>
      </c>
      <c r="K327" s="455"/>
      <c r="L327" s="917"/>
      <c r="M327" s="1095" t="s">
        <v>308</v>
      </c>
      <c r="N327" s="918" t="s">
        <v>297</v>
      </c>
      <c r="O327" s="455"/>
      <c r="P327" s="455"/>
      <c r="Q327" s="455"/>
      <c r="R327" s="455"/>
      <c r="S327" s="455"/>
      <c r="T327" s="455"/>
      <c r="U327" s="455"/>
      <c r="V327" s="455"/>
      <c r="W327" s="1093"/>
    </row>
    <row r="328" spans="1:23" s="453" customFormat="1" ht="52.5" customHeight="1" x14ac:dyDescent="0.2">
      <c r="A328" s="1091"/>
      <c r="B328" s="454" t="s">
        <v>274</v>
      </c>
      <c r="C328" s="920" t="s">
        <v>1092</v>
      </c>
      <c r="D328" s="454" t="s">
        <v>267</v>
      </c>
      <c r="E328" s="1096"/>
      <c r="F328" s="920" t="s">
        <v>1096</v>
      </c>
      <c r="G328" s="454" t="s">
        <v>1097</v>
      </c>
      <c r="H328" s="454" t="s">
        <v>313</v>
      </c>
      <c r="I328" s="454" t="s">
        <v>284</v>
      </c>
      <c r="J328" s="920" t="s">
        <v>1089</v>
      </c>
      <c r="K328" s="454" t="s">
        <v>310</v>
      </c>
      <c r="L328" s="454" t="s">
        <v>274</v>
      </c>
      <c r="M328" s="1096"/>
      <c r="N328" s="920" t="s">
        <v>1096</v>
      </c>
      <c r="O328" s="454" t="s">
        <v>286</v>
      </c>
      <c r="P328" s="454" t="s">
        <v>1097</v>
      </c>
      <c r="Q328" s="454" t="s">
        <v>285</v>
      </c>
      <c r="R328" s="454" t="s">
        <v>282</v>
      </c>
      <c r="S328" s="454" t="s">
        <v>296</v>
      </c>
      <c r="T328" s="454" t="s">
        <v>294</v>
      </c>
      <c r="U328" s="454" t="s">
        <v>293</v>
      </c>
      <c r="V328" s="458" t="s">
        <v>292</v>
      </c>
      <c r="W328" s="1094"/>
    </row>
    <row r="329" spans="1:23" s="442" customFormat="1" ht="9.75" customHeight="1" x14ac:dyDescent="0.15">
      <c r="A329" s="949" t="s">
        <v>763</v>
      </c>
      <c r="B329" s="452">
        <v>714</v>
      </c>
      <c r="C329" s="451">
        <v>3</v>
      </c>
      <c r="D329" s="451">
        <v>3</v>
      </c>
      <c r="E329" s="451">
        <v>19068</v>
      </c>
      <c r="F329" s="451">
        <v>14572</v>
      </c>
      <c r="G329" s="451">
        <v>2754</v>
      </c>
      <c r="H329" s="451" t="s">
        <v>648</v>
      </c>
      <c r="I329" s="451">
        <v>11818</v>
      </c>
      <c r="J329" s="451">
        <v>4496</v>
      </c>
      <c r="K329" s="451" t="s">
        <v>648</v>
      </c>
      <c r="L329" s="451">
        <v>4496</v>
      </c>
      <c r="M329" s="451">
        <v>10663735</v>
      </c>
      <c r="N329" s="451">
        <v>4257980</v>
      </c>
      <c r="O329" s="451">
        <v>8612</v>
      </c>
      <c r="P329" s="451" t="s">
        <v>648</v>
      </c>
      <c r="Q329" s="451" t="s">
        <v>648</v>
      </c>
      <c r="R329" s="451" t="s">
        <v>648</v>
      </c>
      <c r="S329" s="451">
        <v>127323</v>
      </c>
      <c r="T329" s="451">
        <v>25166</v>
      </c>
      <c r="U329" s="451">
        <v>623250</v>
      </c>
      <c r="V329" s="451">
        <v>1016720</v>
      </c>
      <c r="W329" s="449" t="s">
        <v>464</v>
      </c>
    </row>
    <row r="330" spans="1:23" s="442" customFormat="1" ht="9.75" customHeight="1" x14ac:dyDescent="0.15">
      <c r="A330" s="950" t="s">
        <v>764</v>
      </c>
      <c r="B330" s="442">
        <v>811</v>
      </c>
      <c r="C330" s="442">
        <v>1</v>
      </c>
      <c r="D330" s="442">
        <v>1</v>
      </c>
      <c r="E330" s="442">
        <v>15103</v>
      </c>
      <c r="F330" s="442">
        <v>10594</v>
      </c>
      <c r="G330" s="442" t="s">
        <v>648</v>
      </c>
      <c r="H330" s="442" t="s">
        <v>648</v>
      </c>
      <c r="I330" s="442">
        <v>10594</v>
      </c>
      <c r="J330" s="442">
        <v>4509</v>
      </c>
      <c r="K330" s="442" t="s">
        <v>648</v>
      </c>
      <c r="L330" s="442">
        <v>4509</v>
      </c>
      <c r="M330" s="442">
        <v>10919571</v>
      </c>
      <c r="N330" s="442">
        <v>3484985</v>
      </c>
      <c r="O330" s="442">
        <v>7073</v>
      </c>
      <c r="P330" s="442" t="s">
        <v>648</v>
      </c>
      <c r="Q330" s="442">
        <v>274</v>
      </c>
      <c r="R330" s="442" t="s">
        <v>648</v>
      </c>
      <c r="S330" s="442">
        <v>125618</v>
      </c>
      <c r="T330" s="442">
        <v>30924</v>
      </c>
      <c r="U330" s="442">
        <v>828378</v>
      </c>
      <c r="V330" s="442">
        <v>636853</v>
      </c>
      <c r="W330" s="447" t="s">
        <v>489</v>
      </c>
    </row>
    <row r="331" spans="1:23" s="442" customFormat="1" ht="9.75" customHeight="1" x14ac:dyDescent="0.15">
      <c r="A331" s="950" t="s">
        <v>765</v>
      </c>
      <c r="B331" s="442">
        <v>791</v>
      </c>
      <c r="C331" s="442" t="s">
        <v>648</v>
      </c>
      <c r="D331" s="442" t="s">
        <v>648</v>
      </c>
      <c r="E331" s="442">
        <v>11871</v>
      </c>
      <c r="F331" s="442">
        <v>7571</v>
      </c>
      <c r="G331" s="442" t="s">
        <v>648</v>
      </c>
      <c r="H331" s="442" t="s">
        <v>648</v>
      </c>
      <c r="I331" s="442">
        <v>7571</v>
      </c>
      <c r="J331" s="442">
        <v>4300</v>
      </c>
      <c r="K331" s="442" t="s">
        <v>648</v>
      </c>
      <c r="L331" s="442">
        <v>4300</v>
      </c>
      <c r="M331" s="442">
        <v>10762268</v>
      </c>
      <c r="N331" s="442">
        <v>1709888</v>
      </c>
      <c r="O331" s="442">
        <v>7012</v>
      </c>
      <c r="P331" s="442" t="s">
        <v>648</v>
      </c>
      <c r="Q331" s="442" t="s">
        <v>648</v>
      </c>
      <c r="R331" s="442" t="s">
        <v>648</v>
      </c>
      <c r="S331" s="442">
        <v>111031</v>
      </c>
      <c r="T331" s="442">
        <v>110430</v>
      </c>
      <c r="U331" s="442">
        <v>172935</v>
      </c>
      <c r="V331" s="442">
        <v>269636</v>
      </c>
      <c r="W331" s="447" t="s">
        <v>549</v>
      </c>
    </row>
    <row r="332" spans="1:23" s="442" customFormat="1" ht="9.75" customHeight="1" x14ac:dyDescent="0.15">
      <c r="A332" s="950" t="s">
        <v>766</v>
      </c>
      <c r="B332" s="442">
        <v>570</v>
      </c>
      <c r="C332" s="442" t="s">
        <v>648</v>
      </c>
      <c r="D332" s="442" t="s">
        <v>648</v>
      </c>
      <c r="E332" s="442">
        <v>9153</v>
      </c>
      <c r="F332" s="442">
        <v>5737</v>
      </c>
      <c r="G332" s="442">
        <v>1034</v>
      </c>
      <c r="H332" s="442">
        <v>483</v>
      </c>
      <c r="I332" s="442">
        <v>4220</v>
      </c>
      <c r="J332" s="442">
        <v>3416</v>
      </c>
      <c r="K332" s="442" t="s">
        <v>648</v>
      </c>
      <c r="L332" s="442">
        <v>3416</v>
      </c>
      <c r="M332" s="442">
        <v>9885612</v>
      </c>
      <c r="N332" s="442">
        <v>1354736</v>
      </c>
      <c r="O332" s="442">
        <v>1146</v>
      </c>
      <c r="P332" s="442" t="s">
        <v>648</v>
      </c>
      <c r="Q332" s="442" t="s">
        <v>648</v>
      </c>
      <c r="R332" s="442" t="s">
        <v>648</v>
      </c>
      <c r="S332" s="442">
        <v>172322</v>
      </c>
      <c r="T332" s="442">
        <v>24630</v>
      </c>
      <c r="U332" s="442">
        <v>174803</v>
      </c>
      <c r="V332" s="442">
        <v>323745</v>
      </c>
      <c r="W332" s="447" t="s">
        <v>672</v>
      </c>
    </row>
    <row r="333" spans="1:23" s="442" customFormat="1" ht="9.75" customHeight="1" x14ac:dyDescent="0.15">
      <c r="A333" s="950" t="s">
        <v>767</v>
      </c>
      <c r="B333" s="442">
        <v>727</v>
      </c>
      <c r="C333" s="442" t="s">
        <v>648</v>
      </c>
      <c r="D333" s="442" t="s">
        <v>648</v>
      </c>
      <c r="E333" s="442">
        <v>12043</v>
      </c>
      <c r="F333" s="442">
        <v>8883</v>
      </c>
      <c r="G333" s="442" t="s">
        <v>648</v>
      </c>
      <c r="H333" s="442" t="s">
        <v>648</v>
      </c>
      <c r="I333" s="442">
        <v>8883</v>
      </c>
      <c r="J333" s="442">
        <v>3160</v>
      </c>
      <c r="K333" s="442">
        <v>782</v>
      </c>
      <c r="L333" s="442">
        <v>2378</v>
      </c>
      <c r="M333" s="442">
        <v>10382862</v>
      </c>
      <c r="N333" s="442">
        <v>1097387</v>
      </c>
      <c r="O333" s="442">
        <v>793</v>
      </c>
      <c r="P333" s="442">
        <v>109</v>
      </c>
      <c r="Q333" s="442" t="s">
        <v>648</v>
      </c>
      <c r="R333" s="442" t="s">
        <v>648</v>
      </c>
      <c r="S333" s="442">
        <v>156003</v>
      </c>
      <c r="T333" s="442" t="s">
        <v>648</v>
      </c>
      <c r="U333" s="442">
        <v>91343</v>
      </c>
      <c r="V333" s="442">
        <v>554091</v>
      </c>
      <c r="W333" s="447" t="s">
        <v>768</v>
      </c>
    </row>
    <row r="334" spans="1:23" s="442" customFormat="1" ht="6.75" customHeight="1" x14ac:dyDescent="0.15">
      <c r="A334" s="950"/>
      <c r="W334" s="447"/>
    </row>
    <row r="335" spans="1:23" s="442" customFormat="1" ht="9.75" customHeight="1" x14ac:dyDescent="0.15">
      <c r="A335" s="950" t="s">
        <v>799</v>
      </c>
      <c r="B335" s="442">
        <v>542</v>
      </c>
      <c r="C335" s="442" t="s">
        <v>648</v>
      </c>
      <c r="D335" s="442" t="s">
        <v>648</v>
      </c>
      <c r="E335" s="442">
        <v>9033</v>
      </c>
      <c r="F335" s="442">
        <v>5931</v>
      </c>
      <c r="G335" s="442" t="s">
        <v>648</v>
      </c>
      <c r="H335" s="442" t="s">
        <v>648</v>
      </c>
      <c r="I335" s="442">
        <v>5931</v>
      </c>
      <c r="J335" s="442">
        <v>3102</v>
      </c>
      <c r="K335" s="442">
        <v>271</v>
      </c>
      <c r="L335" s="442">
        <v>2831</v>
      </c>
      <c r="M335" s="442">
        <v>10234165</v>
      </c>
      <c r="N335" s="442">
        <v>1475190</v>
      </c>
      <c r="O335" s="442">
        <v>1146</v>
      </c>
      <c r="P335" s="442" t="s">
        <v>648</v>
      </c>
      <c r="Q335" s="442" t="s">
        <v>648</v>
      </c>
      <c r="R335" s="442" t="s">
        <v>648</v>
      </c>
      <c r="S335" s="442">
        <v>173013</v>
      </c>
      <c r="T335" s="442" t="s">
        <v>648</v>
      </c>
      <c r="U335" s="442">
        <v>183519</v>
      </c>
      <c r="V335" s="442">
        <v>619663</v>
      </c>
      <c r="W335" s="447" t="s">
        <v>673</v>
      </c>
    </row>
    <row r="336" spans="1:23" s="442" customFormat="1" ht="9.75" customHeight="1" x14ac:dyDescent="0.15">
      <c r="A336" s="950" t="s">
        <v>800</v>
      </c>
      <c r="B336" s="442">
        <v>825</v>
      </c>
      <c r="C336" s="442" t="s">
        <v>648</v>
      </c>
      <c r="D336" s="442" t="s">
        <v>648</v>
      </c>
      <c r="E336" s="442">
        <v>11711</v>
      </c>
      <c r="F336" s="442">
        <v>8143</v>
      </c>
      <c r="G336" s="442" t="s">
        <v>648</v>
      </c>
      <c r="H336" s="442" t="s">
        <v>648</v>
      </c>
      <c r="I336" s="442">
        <v>8143</v>
      </c>
      <c r="J336" s="442">
        <v>3568</v>
      </c>
      <c r="K336" s="442">
        <v>511</v>
      </c>
      <c r="L336" s="442">
        <v>3057</v>
      </c>
      <c r="M336" s="442">
        <v>10305781</v>
      </c>
      <c r="N336" s="442">
        <v>1235832</v>
      </c>
      <c r="O336" s="442">
        <v>793</v>
      </c>
      <c r="P336" s="442">
        <v>109</v>
      </c>
      <c r="Q336" s="442" t="s">
        <v>648</v>
      </c>
      <c r="R336" s="442">
        <v>199</v>
      </c>
      <c r="S336" s="442">
        <v>157180</v>
      </c>
      <c r="T336" s="442">
        <v>46551</v>
      </c>
      <c r="U336" s="442" t="s">
        <v>648</v>
      </c>
      <c r="V336" s="442">
        <v>516270</v>
      </c>
      <c r="W336" s="447" t="s">
        <v>771</v>
      </c>
    </row>
    <row r="337" spans="1:23" s="442" customFormat="1" ht="6.75" customHeight="1" x14ac:dyDescent="0.15">
      <c r="A337" s="950"/>
      <c r="W337" s="447"/>
    </row>
    <row r="338" spans="1:23" s="442" customFormat="1" ht="9.75" customHeight="1" x14ac:dyDescent="0.15">
      <c r="A338" s="950" t="s">
        <v>772</v>
      </c>
      <c r="B338" s="442">
        <v>94</v>
      </c>
      <c r="C338" s="442" t="s">
        <v>648</v>
      </c>
      <c r="D338" s="442" t="s">
        <v>648</v>
      </c>
      <c r="E338" s="442">
        <v>2519</v>
      </c>
      <c r="F338" s="442">
        <v>1988</v>
      </c>
      <c r="G338" s="442" t="s">
        <v>648</v>
      </c>
      <c r="H338" s="442" t="s">
        <v>648</v>
      </c>
      <c r="I338" s="442">
        <v>1988</v>
      </c>
      <c r="J338" s="442">
        <v>531</v>
      </c>
      <c r="K338" s="442">
        <v>271</v>
      </c>
      <c r="L338" s="442">
        <v>260</v>
      </c>
      <c r="M338" s="442">
        <v>3283960</v>
      </c>
      <c r="N338" s="442">
        <v>451206</v>
      </c>
      <c r="O338" s="442" t="s">
        <v>648</v>
      </c>
      <c r="P338" s="442" t="s">
        <v>648</v>
      </c>
      <c r="Q338" s="442" t="s">
        <v>648</v>
      </c>
      <c r="R338" s="442" t="s">
        <v>648</v>
      </c>
      <c r="S338" s="442">
        <v>43205</v>
      </c>
      <c r="T338" s="442" t="s">
        <v>648</v>
      </c>
      <c r="U338" s="442">
        <v>91343</v>
      </c>
      <c r="V338" s="442">
        <v>316658</v>
      </c>
      <c r="W338" s="447" t="s">
        <v>674</v>
      </c>
    </row>
    <row r="339" spans="1:23" s="442" customFormat="1" ht="9.75" customHeight="1" x14ac:dyDescent="0.15">
      <c r="A339" s="950" t="s">
        <v>773</v>
      </c>
      <c r="B339" s="442">
        <v>273</v>
      </c>
      <c r="C339" s="442" t="s">
        <v>648</v>
      </c>
      <c r="D339" s="442" t="s">
        <v>648</v>
      </c>
      <c r="E339" s="442">
        <v>2353</v>
      </c>
      <c r="F339" s="442">
        <v>1473</v>
      </c>
      <c r="G339" s="442" t="s">
        <v>648</v>
      </c>
      <c r="H339" s="442" t="s">
        <v>648</v>
      </c>
      <c r="I339" s="442">
        <v>1473</v>
      </c>
      <c r="J339" s="442">
        <v>880</v>
      </c>
      <c r="K339" s="442">
        <v>511</v>
      </c>
      <c r="L339" s="442">
        <v>369</v>
      </c>
      <c r="M339" s="442">
        <v>2286069</v>
      </c>
      <c r="N339" s="442">
        <v>304608</v>
      </c>
      <c r="O339" s="442">
        <v>793</v>
      </c>
      <c r="P339" s="442">
        <v>109</v>
      </c>
      <c r="Q339" s="442" t="s">
        <v>648</v>
      </c>
      <c r="R339" s="442" t="s">
        <v>648</v>
      </c>
      <c r="S339" s="442">
        <v>44634</v>
      </c>
      <c r="T339" s="442" t="s">
        <v>648</v>
      </c>
      <c r="U339" s="442" t="s">
        <v>648</v>
      </c>
      <c r="V339" s="442">
        <v>190950</v>
      </c>
      <c r="W339" s="447" t="s">
        <v>92</v>
      </c>
    </row>
    <row r="340" spans="1:23" s="442" customFormat="1" ht="9.75" customHeight="1" x14ac:dyDescent="0.15">
      <c r="A340" s="950" t="s">
        <v>774</v>
      </c>
      <c r="B340" s="442">
        <v>137</v>
      </c>
      <c r="C340" s="442" t="s">
        <v>648</v>
      </c>
      <c r="D340" s="442" t="s">
        <v>648</v>
      </c>
      <c r="E340" s="442">
        <v>3465</v>
      </c>
      <c r="F340" s="442">
        <v>2649</v>
      </c>
      <c r="G340" s="442" t="s">
        <v>648</v>
      </c>
      <c r="H340" s="442" t="s">
        <v>648</v>
      </c>
      <c r="I340" s="442">
        <v>2649</v>
      </c>
      <c r="J340" s="442">
        <v>816</v>
      </c>
      <c r="K340" s="442" t="s">
        <v>648</v>
      </c>
      <c r="L340" s="442">
        <v>816</v>
      </c>
      <c r="M340" s="442">
        <v>2332203</v>
      </c>
      <c r="N340" s="442">
        <v>207790</v>
      </c>
      <c r="O340" s="442" t="s">
        <v>648</v>
      </c>
      <c r="P340" s="442" t="s">
        <v>648</v>
      </c>
      <c r="Q340" s="442" t="s">
        <v>648</v>
      </c>
      <c r="R340" s="442" t="s">
        <v>648</v>
      </c>
      <c r="S340" s="442">
        <v>23447</v>
      </c>
      <c r="T340" s="442" t="s">
        <v>648</v>
      </c>
      <c r="U340" s="442" t="s">
        <v>648</v>
      </c>
      <c r="V340" s="442">
        <v>46483</v>
      </c>
      <c r="W340" s="447" t="s">
        <v>93</v>
      </c>
    </row>
    <row r="341" spans="1:23" s="442" customFormat="1" ht="9.75" customHeight="1" x14ac:dyDescent="0.15">
      <c r="A341" s="950" t="s">
        <v>801</v>
      </c>
      <c r="B341" s="442">
        <v>223</v>
      </c>
      <c r="C341" s="442" t="s">
        <v>648</v>
      </c>
      <c r="D341" s="442" t="s">
        <v>648</v>
      </c>
      <c r="E341" s="442">
        <v>3706</v>
      </c>
      <c r="F341" s="442">
        <v>2773</v>
      </c>
      <c r="G341" s="442" t="s">
        <v>648</v>
      </c>
      <c r="H341" s="442" t="s">
        <v>648</v>
      </c>
      <c r="I341" s="442">
        <v>2773</v>
      </c>
      <c r="J341" s="442">
        <v>933</v>
      </c>
      <c r="K341" s="442" t="s">
        <v>648</v>
      </c>
      <c r="L341" s="442">
        <v>933</v>
      </c>
      <c r="M341" s="442">
        <v>2480630</v>
      </c>
      <c r="N341" s="442">
        <v>133783</v>
      </c>
      <c r="O341" s="442" t="s">
        <v>648</v>
      </c>
      <c r="P341" s="442" t="s">
        <v>648</v>
      </c>
      <c r="Q341" s="442" t="s">
        <v>648</v>
      </c>
      <c r="R341" s="442" t="s">
        <v>648</v>
      </c>
      <c r="S341" s="442">
        <v>44717</v>
      </c>
      <c r="T341" s="442" t="s">
        <v>648</v>
      </c>
      <c r="U341" s="442" t="s">
        <v>648</v>
      </c>
      <c r="V341" s="442" t="s">
        <v>648</v>
      </c>
      <c r="W341" s="447" t="s">
        <v>94</v>
      </c>
    </row>
    <row r="342" spans="1:23" s="442" customFormat="1" ht="9.75" customHeight="1" x14ac:dyDescent="0.15">
      <c r="A342" s="950" t="s">
        <v>809</v>
      </c>
      <c r="B342" s="442">
        <v>192</v>
      </c>
      <c r="C342" s="442" t="s">
        <v>648</v>
      </c>
      <c r="D342" s="442" t="s">
        <v>648</v>
      </c>
      <c r="E342" s="442">
        <v>2187</v>
      </c>
      <c r="F342" s="442">
        <v>1248</v>
      </c>
      <c r="G342" s="442" t="s">
        <v>648</v>
      </c>
      <c r="H342" s="442" t="s">
        <v>648</v>
      </c>
      <c r="I342" s="442">
        <v>1248</v>
      </c>
      <c r="J342" s="442">
        <v>939</v>
      </c>
      <c r="K342" s="442" t="s">
        <v>648</v>
      </c>
      <c r="L342" s="442">
        <v>939</v>
      </c>
      <c r="M342" s="442">
        <v>3206879</v>
      </c>
      <c r="N342" s="442">
        <v>589651</v>
      </c>
      <c r="O342" s="442" t="s">
        <v>648</v>
      </c>
      <c r="P342" s="442" t="s">
        <v>648</v>
      </c>
      <c r="Q342" s="442" t="s">
        <v>648</v>
      </c>
      <c r="R342" s="442">
        <v>199</v>
      </c>
      <c r="S342" s="442">
        <v>44382</v>
      </c>
      <c r="T342" s="442">
        <v>46551</v>
      </c>
      <c r="U342" s="442" t="s">
        <v>648</v>
      </c>
      <c r="V342" s="442">
        <v>278837</v>
      </c>
      <c r="W342" s="447" t="s">
        <v>777</v>
      </c>
    </row>
    <row r="343" spans="1:23" s="442" customFormat="1" ht="6.75" customHeight="1" x14ac:dyDescent="0.15">
      <c r="A343" s="950"/>
      <c r="W343" s="447"/>
    </row>
    <row r="344" spans="1:23" s="442" customFormat="1" ht="9.75" customHeight="1" x14ac:dyDescent="0.15">
      <c r="A344" s="950" t="s">
        <v>778</v>
      </c>
      <c r="B344" s="442">
        <v>23</v>
      </c>
      <c r="C344" s="442" t="s">
        <v>648</v>
      </c>
      <c r="D344" s="442" t="s">
        <v>648</v>
      </c>
      <c r="E344" s="442">
        <v>57</v>
      </c>
      <c r="F344" s="442" t="s">
        <v>648</v>
      </c>
      <c r="G344" s="442" t="s">
        <v>648</v>
      </c>
      <c r="H344" s="442" t="s">
        <v>648</v>
      </c>
      <c r="I344" s="442" t="s">
        <v>648</v>
      </c>
      <c r="J344" s="442">
        <v>57</v>
      </c>
      <c r="K344" s="442" t="s">
        <v>648</v>
      </c>
      <c r="L344" s="442">
        <v>57</v>
      </c>
      <c r="M344" s="442">
        <v>1175717</v>
      </c>
      <c r="N344" s="442">
        <v>182837</v>
      </c>
      <c r="O344" s="442" t="s">
        <v>648</v>
      </c>
      <c r="P344" s="442" t="s">
        <v>648</v>
      </c>
      <c r="Q344" s="442" t="s">
        <v>648</v>
      </c>
      <c r="R344" s="442" t="s">
        <v>648</v>
      </c>
      <c r="S344" s="442" t="s">
        <v>648</v>
      </c>
      <c r="T344" s="442" t="s">
        <v>648</v>
      </c>
      <c r="U344" s="442">
        <v>91343</v>
      </c>
      <c r="V344" s="442">
        <v>91494</v>
      </c>
      <c r="W344" s="447" t="s">
        <v>675</v>
      </c>
    </row>
    <row r="345" spans="1:23" s="442" customFormat="1" ht="9.75" customHeight="1" x14ac:dyDescent="0.15">
      <c r="A345" s="950" t="s">
        <v>779</v>
      </c>
      <c r="B345" s="442">
        <v>4</v>
      </c>
      <c r="C345" s="442" t="s">
        <v>648</v>
      </c>
      <c r="D345" s="442" t="s">
        <v>648</v>
      </c>
      <c r="E345" s="442">
        <v>1226</v>
      </c>
      <c r="F345" s="442">
        <v>1023</v>
      </c>
      <c r="G345" s="442" t="s">
        <v>648</v>
      </c>
      <c r="H345" s="442" t="s">
        <v>648</v>
      </c>
      <c r="I345" s="442">
        <v>1023</v>
      </c>
      <c r="J345" s="442">
        <v>203</v>
      </c>
      <c r="K345" s="442" t="s">
        <v>648</v>
      </c>
      <c r="L345" s="442">
        <v>203</v>
      </c>
      <c r="M345" s="442">
        <v>1126714</v>
      </c>
      <c r="N345" s="442">
        <v>96981</v>
      </c>
      <c r="O345" s="442" t="s">
        <v>648</v>
      </c>
      <c r="P345" s="442" t="s">
        <v>648</v>
      </c>
      <c r="Q345" s="442" t="s">
        <v>648</v>
      </c>
      <c r="R345" s="442" t="s">
        <v>648</v>
      </c>
      <c r="S345" s="442">
        <v>43205</v>
      </c>
      <c r="T345" s="442" t="s">
        <v>648</v>
      </c>
      <c r="U345" s="442" t="s">
        <v>648</v>
      </c>
      <c r="V345" s="442">
        <v>53776</v>
      </c>
      <c r="W345" s="447" t="s">
        <v>80</v>
      </c>
    </row>
    <row r="346" spans="1:23" s="442" customFormat="1" ht="9.75" customHeight="1" x14ac:dyDescent="0.15">
      <c r="A346" s="950" t="s">
        <v>780</v>
      </c>
      <c r="B346" s="442">
        <v>67</v>
      </c>
      <c r="C346" s="442" t="s">
        <v>648</v>
      </c>
      <c r="D346" s="442" t="s">
        <v>648</v>
      </c>
      <c r="E346" s="442">
        <v>1236</v>
      </c>
      <c r="F346" s="442">
        <v>965</v>
      </c>
      <c r="G346" s="442" t="s">
        <v>648</v>
      </c>
      <c r="H346" s="442" t="s">
        <v>648</v>
      </c>
      <c r="I346" s="442">
        <v>965</v>
      </c>
      <c r="J346" s="442">
        <v>271</v>
      </c>
      <c r="K346" s="442">
        <v>271</v>
      </c>
      <c r="L346" s="442" t="s">
        <v>648</v>
      </c>
      <c r="M346" s="442">
        <v>981529</v>
      </c>
      <c r="N346" s="442">
        <v>171388</v>
      </c>
      <c r="O346" s="442" t="s">
        <v>648</v>
      </c>
      <c r="P346" s="442" t="s">
        <v>648</v>
      </c>
      <c r="Q346" s="442" t="s">
        <v>648</v>
      </c>
      <c r="R346" s="442" t="s">
        <v>648</v>
      </c>
      <c r="S346" s="442" t="s">
        <v>648</v>
      </c>
      <c r="T346" s="442" t="s">
        <v>648</v>
      </c>
      <c r="U346" s="442" t="s">
        <v>648</v>
      </c>
      <c r="V346" s="442">
        <v>171388</v>
      </c>
      <c r="W346" s="447" t="s">
        <v>81</v>
      </c>
    </row>
    <row r="347" spans="1:23" s="442" customFormat="1" ht="9.75" customHeight="1" x14ac:dyDescent="0.15">
      <c r="A347" s="950" t="s">
        <v>781</v>
      </c>
      <c r="B347" s="442">
        <v>107</v>
      </c>
      <c r="C347" s="442" t="s">
        <v>648</v>
      </c>
      <c r="D347" s="442" t="s">
        <v>648</v>
      </c>
      <c r="E347" s="442">
        <v>607</v>
      </c>
      <c r="F347" s="442">
        <v>497</v>
      </c>
      <c r="G347" s="442" t="s">
        <v>648</v>
      </c>
      <c r="H347" s="442" t="s">
        <v>648</v>
      </c>
      <c r="I347" s="442">
        <v>497</v>
      </c>
      <c r="J347" s="442">
        <v>110</v>
      </c>
      <c r="K347" s="442">
        <v>110</v>
      </c>
      <c r="L347" s="442" t="s">
        <v>648</v>
      </c>
      <c r="M347" s="442">
        <v>787196</v>
      </c>
      <c r="N347" s="442">
        <v>137261</v>
      </c>
      <c r="O347" s="442">
        <v>793</v>
      </c>
      <c r="P347" s="442" t="s">
        <v>648</v>
      </c>
      <c r="Q347" s="442" t="s">
        <v>648</v>
      </c>
      <c r="R347" s="442" t="s">
        <v>648</v>
      </c>
      <c r="S347" s="442" t="s">
        <v>648</v>
      </c>
      <c r="T347" s="442" t="s">
        <v>648</v>
      </c>
      <c r="U347" s="442" t="s">
        <v>648</v>
      </c>
      <c r="V347" s="442">
        <v>136468</v>
      </c>
      <c r="W347" s="447" t="s">
        <v>82</v>
      </c>
    </row>
    <row r="348" spans="1:23" s="442" customFormat="1" ht="9.75" customHeight="1" x14ac:dyDescent="0.15">
      <c r="A348" s="950" t="s">
        <v>782</v>
      </c>
      <c r="B348" s="442">
        <v>74</v>
      </c>
      <c r="C348" s="442" t="s">
        <v>648</v>
      </c>
      <c r="D348" s="442" t="s">
        <v>648</v>
      </c>
      <c r="E348" s="442">
        <v>401</v>
      </c>
      <c r="F348" s="442" t="s">
        <v>648</v>
      </c>
      <c r="G348" s="442" t="s">
        <v>648</v>
      </c>
      <c r="H348" s="442" t="s">
        <v>648</v>
      </c>
      <c r="I348" s="442" t="s">
        <v>648</v>
      </c>
      <c r="J348" s="442">
        <v>401</v>
      </c>
      <c r="K348" s="442">
        <v>401</v>
      </c>
      <c r="L348" s="442" t="s">
        <v>648</v>
      </c>
      <c r="M348" s="442">
        <v>794732</v>
      </c>
      <c r="N348" s="442">
        <v>75484</v>
      </c>
      <c r="O348" s="442" t="s">
        <v>648</v>
      </c>
      <c r="P348" s="442">
        <v>109</v>
      </c>
      <c r="Q348" s="442" t="s">
        <v>648</v>
      </c>
      <c r="R348" s="442" t="s">
        <v>648</v>
      </c>
      <c r="S348" s="442">
        <v>44634</v>
      </c>
      <c r="T348" s="442" t="s">
        <v>648</v>
      </c>
      <c r="U348" s="442" t="s">
        <v>648</v>
      </c>
      <c r="V348" s="442">
        <v>9772</v>
      </c>
      <c r="W348" s="447" t="s">
        <v>95</v>
      </c>
    </row>
    <row r="349" spans="1:23" s="442" customFormat="1" ht="9.75" customHeight="1" x14ac:dyDescent="0.15">
      <c r="A349" s="950" t="s">
        <v>783</v>
      </c>
      <c r="B349" s="442">
        <v>92</v>
      </c>
      <c r="C349" s="442" t="s">
        <v>648</v>
      </c>
      <c r="D349" s="442" t="s">
        <v>648</v>
      </c>
      <c r="E349" s="442">
        <v>1345</v>
      </c>
      <c r="F349" s="442">
        <v>976</v>
      </c>
      <c r="G349" s="442" t="s">
        <v>648</v>
      </c>
      <c r="H349" s="442" t="s">
        <v>648</v>
      </c>
      <c r="I349" s="442">
        <v>976</v>
      </c>
      <c r="J349" s="442">
        <v>369</v>
      </c>
      <c r="K349" s="442" t="s">
        <v>648</v>
      </c>
      <c r="L349" s="442">
        <v>369</v>
      </c>
      <c r="M349" s="442">
        <v>704141</v>
      </c>
      <c r="N349" s="442">
        <v>91863</v>
      </c>
      <c r="O349" s="442" t="s">
        <v>648</v>
      </c>
      <c r="P349" s="442" t="s">
        <v>648</v>
      </c>
      <c r="Q349" s="442" t="s">
        <v>648</v>
      </c>
      <c r="R349" s="442" t="s">
        <v>648</v>
      </c>
      <c r="S349" s="442" t="s">
        <v>648</v>
      </c>
      <c r="T349" s="442" t="s">
        <v>648</v>
      </c>
      <c r="U349" s="442" t="s">
        <v>648</v>
      </c>
      <c r="V349" s="442">
        <v>44710</v>
      </c>
      <c r="W349" s="447" t="s">
        <v>96</v>
      </c>
    </row>
    <row r="350" spans="1:23" s="442" customFormat="1" ht="9.75" customHeight="1" x14ac:dyDescent="0.15">
      <c r="A350" s="950" t="s">
        <v>784</v>
      </c>
      <c r="B350" s="442">
        <v>47</v>
      </c>
      <c r="C350" s="442" t="s">
        <v>648</v>
      </c>
      <c r="D350" s="442" t="s">
        <v>648</v>
      </c>
      <c r="E350" s="442">
        <v>1338</v>
      </c>
      <c r="F350" s="442">
        <v>1225</v>
      </c>
      <c r="G350" s="442" t="s">
        <v>648</v>
      </c>
      <c r="H350" s="442" t="s">
        <v>648</v>
      </c>
      <c r="I350" s="442">
        <v>1225</v>
      </c>
      <c r="J350" s="442">
        <v>113</v>
      </c>
      <c r="K350" s="442" t="s">
        <v>648</v>
      </c>
      <c r="L350" s="442">
        <v>113</v>
      </c>
      <c r="M350" s="442">
        <v>766904</v>
      </c>
      <c r="N350" s="442">
        <v>91368</v>
      </c>
      <c r="O350" s="442" t="s">
        <v>648</v>
      </c>
      <c r="P350" s="442" t="s">
        <v>648</v>
      </c>
      <c r="Q350" s="442" t="s">
        <v>648</v>
      </c>
      <c r="R350" s="442" t="s">
        <v>648</v>
      </c>
      <c r="S350" s="442" t="s">
        <v>648</v>
      </c>
      <c r="T350" s="442" t="s">
        <v>648</v>
      </c>
      <c r="U350" s="442" t="s">
        <v>648</v>
      </c>
      <c r="V350" s="442">
        <v>46483</v>
      </c>
      <c r="W350" s="447" t="s">
        <v>97</v>
      </c>
    </row>
    <row r="351" spans="1:23" s="442" customFormat="1" ht="9.75" customHeight="1" x14ac:dyDescent="0.15">
      <c r="A351" s="950" t="s">
        <v>806</v>
      </c>
      <c r="B351" s="442">
        <v>39</v>
      </c>
      <c r="C351" s="442" t="s">
        <v>648</v>
      </c>
      <c r="D351" s="442" t="s">
        <v>648</v>
      </c>
      <c r="E351" s="442">
        <v>1552</v>
      </c>
      <c r="F351" s="442">
        <v>1424</v>
      </c>
      <c r="G351" s="442" t="s">
        <v>648</v>
      </c>
      <c r="H351" s="442" t="s">
        <v>648</v>
      </c>
      <c r="I351" s="442">
        <v>1424</v>
      </c>
      <c r="J351" s="442">
        <v>128</v>
      </c>
      <c r="K351" s="442" t="s">
        <v>648</v>
      </c>
      <c r="L351" s="442">
        <v>128</v>
      </c>
      <c r="M351" s="442">
        <v>802147</v>
      </c>
      <c r="N351" s="442">
        <v>115462</v>
      </c>
      <c r="O351" s="442" t="s">
        <v>648</v>
      </c>
      <c r="P351" s="442" t="s">
        <v>648</v>
      </c>
      <c r="Q351" s="442" t="s">
        <v>648</v>
      </c>
      <c r="R351" s="442" t="s">
        <v>648</v>
      </c>
      <c r="S351" s="442">
        <v>22487</v>
      </c>
      <c r="T351" s="442" t="s">
        <v>648</v>
      </c>
      <c r="U351" s="442" t="s">
        <v>648</v>
      </c>
      <c r="V351" s="442" t="s">
        <v>648</v>
      </c>
      <c r="W351" s="447" t="s">
        <v>98</v>
      </c>
    </row>
    <row r="352" spans="1:23" s="442" customFormat="1" ht="9.75" customHeight="1" x14ac:dyDescent="0.15">
      <c r="A352" s="950" t="s">
        <v>786</v>
      </c>
      <c r="B352" s="442">
        <v>51</v>
      </c>
      <c r="C352" s="442" t="s">
        <v>648</v>
      </c>
      <c r="D352" s="442" t="s">
        <v>648</v>
      </c>
      <c r="E352" s="442">
        <v>575</v>
      </c>
      <c r="F352" s="442" t="s">
        <v>648</v>
      </c>
      <c r="G352" s="442" t="s">
        <v>648</v>
      </c>
      <c r="H352" s="442" t="s">
        <v>648</v>
      </c>
      <c r="I352" s="442" t="s">
        <v>648</v>
      </c>
      <c r="J352" s="442">
        <v>575</v>
      </c>
      <c r="K352" s="442" t="s">
        <v>648</v>
      </c>
      <c r="L352" s="442">
        <v>575</v>
      </c>
      <c r="M352" s="442">
        <v>763152</v>
      </c>
      <c r="N352" s="442">
        <v>960</v>
      </c>
      <c r="O352" s="442" t="s">
        <v>648</v>
      </c>
      <c r="P352" s="442" t="s">
        <v>648</v>
      </c>
      <c r="Q352" s="442" t="s">
        <v>648</v>
      </c>
      <c r="R352" s="442" t="s">
        <v>648</v>
      </c>
      <c r="S352" s="442">
        <v>960</v>
      </c>
      <c r="T352" s="442" t="s">
        <v>648</v>
      </c>
      <c r="U352" s="442" t="s">
        <v>648</v>
      </c>
      <c r="V352" s="442" t="s">
        <v>648</v>
      </c>
      <c r="W352" s="447" t="s">
        <v>99</v>
      </c>
    </row>
    <row r="353" spans="1:23" s="442" customFormat="1" ht="9.75" customHeight="1" x14ac:dyDescent="0.15">
      <c r="A353" s="950" t="s">
        <v>807</v>
      </c>
      <c r="B353" s="442">
        <v>92</v>
      </c>
      <c r="C353" s="442" t="s">
        <v>648</v>
      </c>
      <c r="D353" s="442" t="s">
        <v>648</v>
      </c>
      <c r="E353" s="442">
        <v>1502</v>
      </c>
      <c r="F353" s="442">
        <v>1148</v>
      </c>
      <c r="G353" s="442" t="s">
        <v>648</v>
      </c>
      <c r="H353" s="442" t="s">
        <v>648</v>
      </c>
      <c r="I353" s="442">
        <v>1148</v>
      </c>
      <c r="J353" s="442">
        <v>354</v>
      </c>
      <c r="K353" s="442" t="s">
        <v>648</v>
      </c>
      <c r="L353" s="442">
        <v>354</v>
      </c>
      <c r="M353" s="442">
        <v>825622</v>
      </c>
      <c r="N353" s="442" t="s">
        <v>648</v>
      </c>
      <c r="O353" s="442" t="s">
        <v>648</v>
      </c>
      <c r="P353" s="442" t="s">
        <v>648</v>
      </c>
      <c r="Q353" s="442" t="s">
        <v>648</v>
      </c>
      <c r="R353" s="442" t="s">
        <v>648</v>
      </c>
      <c r="S353" s="442" t="s">
        <v>648</v>
      </c>
      <c r="T353" s="442" t="s">
        <v>648</v>
      </c>
      <c r="U353" s="442" t="s">
        <v>648</v>
      </c>
      <c r="V353" s="442" t="s">
        <v>648</v>
      </c>
      <c r="W353" s="447" t="s">
        <v>83</v>
      </c>
    </row>
    <row r="354" spans="1:23" s="442" customFormat="1" ht="9.75" customHeight="1" x14ac:dyDescent="0.15">
      <c r="A354" s="950" t="s">
        <v>788</v>
      </c>
      <c r="B354" s="442">
        <v>79</v>
      </c>
      <c r="C354" s="442" t="s">
        <v>648</v>
      </c>
      <c r="D354" s="442" t="s">
        <v>648</v>
      </c>
      <c r="E354" s="442">
        <v>309</v>
      </c>
      <c r="F354" s="442" t="s">
        <v>648</v>
      </c>
      <c r="G354" s="442" t="s">
        <v>648</v>
      </c>
      <c r="H354" s="442" t="s">
        <v>648</v>
      </c>
      <c r="I354" s="442" t="s">
        <v>648</v>
      </c>
      <c r="J354" s="442">
        <v>309</v>
      </c>
      <c r="K354" s="442" t="s">
        <v>648</v>
      </c>
      <c r="L354" s="442">
        <v>309</v>
      </c>
      <c r="M354" s="442">
        <v>768941</v>
      </c>
      <c r="N354" s="442">
        <v>44717</v>
      </c>
      <c r="O354" s="442" t="s">
        <v>648</v>
      </c>
      <c r="P354" s="442" t="s">
        <v>648</v>
      </c>
      <c r="Q354" s="442" t="s">
        <v>648</v>
      </c>
      <c r="R354" s="442" t="s">
        <v>648</v>
      </c>
      <c r="S354" s="442">
        <v>44717</v>
      </c>
      <c r="T354" s="442" t="s">
        <v>648</v>
      </c>
      <c r="U354" s="442" t="s">
        <v>648</v>
      </c>
      <c r="V354" s="442" t="s">
        <v>648</v>
      </c>
      <c r="W354" s="447" t="s">
        <v>84</v>
      </c>
    </row>
    <row r="355" spans="1:23" s="442" customFormat="1" ht="9.75" customHeight="1" x14ac:dyDescent="0.15">
      <c r="A355" s="950" t="s">
        <v>789</v>
      </c>
      <c r="B355" s="442">
        <v>52</v>
      </c>
      <c r="C355" s="442" t="s">
        <v>648</v>
      </c>
      <c r="D355" s="442" t="s">
        <v>648</v>
      </c>
      <c r="E355" s="442">
        <v>1895</v>
      </c>
      <c r="F355" s="442">
        <v>1625</v>
      </c>
      <c r="G355" s="442" t="s">
        <v>648</v>
      </c>
      <c r="H355" s="442" t="s">
        <v>648</v>
      </c>
      <c r="I355" s="442">
        <v>1625</v>
      </c>
      <c r="J355" s="442">
        <v>270</v>
      </c>
      <c r="K355" s="442" t="s">
        <v>648</v>
      </c>
      <c r="L355" s="442">
        <v>270</v>
      </c>
      <c r="M355" s="442">
        <v>886067</v>
      </c>
      <c r="N355" s="442">
        <v>89066</v>
      </c>
      <c r="O355" s="442" t="s">
        <v>648</v>
      </c>
      <c r="P355" s="442" t="s">
        <v>648</v>
      </c>
      <c r="Q355" s="442" t="s">
        <v>648</v>
      </c>
      <c r="R355" s="442" t="s">
        <v>648</v>
      </c>
      <c r="S355" s="442" t="s">
        <v>648</v>
      </c>
      <c r="T355" s="442" t="s">
        <v>648</v>
      </c>
      <c r="U355" s="442" t="s">
        <v>648</v>
      </c>
      <c r="V355" s="442" t="s">
        <v>648</v>
      </c>
      <c r="W355" s="447" t="s">
        <v>85</v>
      </c>
    </row>
    <row r="356" spans="1:23" s="442" customFormat="1" ht="9.75" customHeight="1" x14ac:dyDescent="0.15">
      <c r="A356" s="950" t="s">
        <v>790</v>
      </c>
      <c r="B356" s="442">
        <v>93</v>
      </c>
      <c r="C356" s="442" t="s">
        <v>648</v>
      </c>
      <c r="D356" s="442" t="s">
        <v>648</v>
      </c>
      <c r="E356" s="442">
        <v>225</v>
      </c>
      <c r="F356" s="442" t="s">
        <v>648</v>
      </c>
      <c r="G356" s="442" t="s">
        <v>648</v>
      </c>
      <c r="H356" s="442" t="s">
        <v>648</v>
      </c>
      <c r="I356" s="442" t="s">
        <v>648</v>
      </c>
      <c r="J356" s="442">
        <v>225</v>
      </c>
      <c r="K356" s="442" t="s">
        <v>648</v>
      </c>
      <c r="L356" s="442">
        <v>225</v>
      </c>
      <c r="M356" s="442">
        <v>1159533</v>
      </c>
      <c r="N356" s="442">
        <v>210430</v>
      </c>
      <c r="O356" s="442" t="s">
        <v>648</v>
      </c>
      <c r="P356" s="442" t="s">
        <v>648</v>
      </c>
      <c r="Q356" s="442" t="s">
        <v>648</v>
      </c>
      <c r="R356" s="442" t="s">
        <v>648</v>
      </c>
      <c r="S356" s="442" t="s">
        <v>648</v>
      </c>
      <c r="T356" s="442">
        <v>46551</v>
      </c>
      <c r="U356" s="442" t="s">
        <v>648</v>
      </c>
      <c r="V356" s="442">
        <v>47232</v>
      </c>
      <c r="W356" s="447" t="s">
        <v>791</v>
      </c>
    </row>
    <row r="357" spans="1:23" s="442" customFormat="1" ht="9.75" customHeight="1" x14ac:dyDescent="0.15">
      <c r="A357" s="950" t="s">
        <v>792</v>
      </c>
      <c r="B357" s="442">
        <v>10</v>
      </c>
      <c r="C357" s="442" t="s">
        <v>648</v>
      </c>
      <c r="D357" s="442" t="s">
        <v>648</v>
      </c>
      <c r="E357" s="442">
        <v>1388</v>
      </c>
      <c r="F357" s="442">
        <v>1248</v>
      </c>
      <c r="G357" s="442" t="s">
        <v>648</v>
      </c>
      <c r="H357" s="442" t="s">
        <v>648</v>
      </c>
      <c r="I357" s="442">
        <v>1248</v>
      </c>
      <c r="J357" s="442">
        <v>140</v>
      </c>
      <c r="K357" s="442" t="s">
        <v>648</v>
      </c>
      <c r="L357" s="442">
        <v>140</v>
      </c>
      <c r="M357" s="442">
        <v>913905</v>
      </c>
      <c r="N357" s="442">
        <v>135733</v>
      </c>
      <c r="O357" s="442" t="s">
        <v>648</v>
      </c>
      <c r="P357" s="442" t="s">
        <v>648</v>
      </c>
      <c r="Q357" s="442" t="s">
        <v>648</v>
      </c>
      <c r="R357" s="442" t="s">
        <v>648</v>
      </c>
      <c r="S357" s="442">
        <v>44382</v>
      </c>
      <c r="T357" s="442" t="s">
        <v>648</v>
      </c>
      <c r="U357" s="442" t="s">
        <v>648</v>
      </c>
      <c r="V357" s="442">
        <v>44307</v>
      </c>
      <c r="W357" s="447" t="s">
        <v>80</v>
      </c>
    </row>
    <row r="358" spans="1:23" s="442" customFormat="1" ht="9.75" customHeight="1" x14ac:dyDescent="0.15">
      <c r="A358" s="951" t="s">
        <v>793</v>
      </c>
      <c r="B358" s="446">
        <v>89</v>
      </c>
      <c r="C358" s="445" t="s">
        <v>648</v>
      </c>
      <c r="D358" s="445" t="s">
        <v>648</v>
      </c>
      <c r="E358" s="445">
        <v>574</v>
      </c>
      <c r="F358" s="445" t="s">
        <v>648</v>
      </c>
      <c r="G358" s="445" t="s">
        <v>648</v>
      </c>
      <c r="H358" s="445" t="s">
        <v>648</v>
      </c>
      <c r="I358" s="445" t="s">
        <v>648</v>
      </c>
      <c r="J358" s="445">
        <v>574</v>
      </c>
      <c r="K358" s="445" t="s">
        <v>648</v>
      </c>
      <c r="L358" s="445">
        <v>574</v>
      </c>
      <c r="M358" s="445">
        <v>1133441</v>
      </c>
      <c r="N358" s="445">
        <v>243488</v>
      </c>
      <c r="O358" s="445" t="s">
        <v>648</v>
      </c>
      <c r="P358" s="445" t="s">
        <v>648</v>
      </c>
      <c r="Q358" s="445" t="s">
        <v>648</v>
      </c>
      <c r="R358" s="445">
        <v>199</v>
      </c>
      <c r="S358" s="445" t="s">
        <v>648</v>
      </c>
      <c r="T358" s="445" t="s">
        <v>648</v>
      </c>
      <c r="U358" s="445" t="s">
        <v>648</v>
      </c>
      <c r="V358" s="445">
        <v>187298</v>
      </c>
      <c r="W358" s="443" t="s">
        <v>81</v>
      </c>
    </row>
    <row r="359" spans="1:23" ht="12" customHeight="1" x14ac:dyDescent="0.2"/>
    <row r="360" spans="1:23" ht="12" customHeight="1" x14ac:dyDescent="0.2"/>
    <row r="361" spans="1:23" ht="12" customHeight="1" x14ac:dyDescent="0.15">
      <c r="K361" s="457" t="s">
        <v>100</v>
      </c>
      <c r="V361" s="460" t="s">
        <v>1091</v>
      </c>
    </row>
    <row r="362" spans="1:23" s="453" customFormat="1" ht="21" customHeight="1" x14ac:dyDescent="0.2">
      <c r="A362" s="1089" t="s">
        <v>194</v>
      </c>
      <c r="B362" s="456" t="s">
        <v>306</v>
      </c>
      <c r="C362" s="455"/>
      <c r="D362" s="455"/>
      <c r="E362" s="455"/>
      <c r="F362" s="455"/>
      <c r="G362" s="455"/>
      <c r="H362" s="455"/>
      <c r="I362" s="455"/>
      <c r="J362" s="455"/>
      <c r="K362" s="455"/>
      <c r="L362" s="917"/>
      <c r="M362" s="918" t="s">
        <v>305</v>
      </c>
      <c r="N362" s="455"/>
      <c r="O362" s="455"/>
      <c r="P362" s="455"/>
      <c r="Q362" s="455"/>
      <c r="R362" s="455"/>
      <c r="S362" s="455"/>
      <c r="T362" s="455"/>
      <c r="U362" s="455"/>
      <c r="V362" s="455"/>
      <c r="W362" s="1092" t="s">
        <v>86</v>
      </c>
    </row>
    <row r="363" spans="1:23" s="453" customFormat="1" ht="21" customHeight="1" x14ac:dyDescent="0.2">
      <c r="A363" s="1090"/>
      <c r="B363" s="456" t="s">
        <v>290</v>
      </c>
      <c r="C363" s="917"/>
      <c r="D363" s="918" t="s">
        <v>289</v>
      </c>
      <c r="E363" s="917"/>
      <c r="F363" s="918" t="s">
        <v>288</v>
      </c>
      <c r="G363" s="455"/>
      <c r="H363" s="917"/>
      <c r="I363" s="918" t="s">
        <v>271</v>
      </c>
      <c r="J363" s="917"/>
      <c r="K363" s="918" t="s">
        <v>270</v>
      </c>
      <c r="L363" s="917"/>
      <c r="M363" s="1095" t="s">
        <v>304</v>
      </c>
      <c r="N363" s="918" t="s">
        <v>297</v>
      </c>
      <c r="O363" s="455"/>
      <c r="P363" s="455"/>
      <c r="Q363" s="455"/>
      <c r="R363" s="455"/>
      <c r="S363" s="455"/>
      <c r="T363" s="455"/>
      <c r="U363" s="455"/>
      <c r="V363" s="455"/>
      <c r="W363" s="1093"/>
    </row>
    <row r="364" spans="1:23" s="453" customFormat="1" ht="52.5" customHeight="1" x14ac:dyDescent="0.2">
      <c r="A364" s="1091"/>
      <c r="B364" s="454" t="s">
        <v>281</v>
      </c>
      <c r="C364" s="459" t="s">
        <v>1087</v>
      </c>
      <c r="D364" s="920" t="s">
        <v>109</v>
      </c>
      <c r="E364" s="454" t="s">
        <v>279</v>
      </c>
      <c r="F364" s="920" t="s">
        <v>1089</v>
      </c>
      <c r="G364" s="454" t="s">
        <v>310</v>
      </c>
      <c r="H364" s="454" t="s">
        <v>274</v>
      </c>
      <c r="I364" s="920" t="s">
        <v>1092</v>
      </c>
      <c r="J364" s="454" t="s">
        <v>268</v>
      </c>
      <c r="K364" s="920" t="s">
        <v>1094</v>
      </c>
      <c r="L364" s="454" t="s">
        <v>263</v>
      </c>
      <c r="M364" s="1096"/>
      <c r="N364" s="920" t="s">
        <v>1096</v>
      </c>
      <c r="O364" s="454" t="s">
        <v>286</v>
      </c>
      <c r="P364" s="454" t="s">
        <v>1097</v>
      </c>
      <c r="Q364" s="454" t="s">
        <v>285</v>
      </c>
      <c r="R364" s="454" t="s">
        <v>282</v>
      </c>
      <c r="S364" s="454" t="s">
        <v>296</v>
      </c>
      <c r="T364" s="454" t="s">
        <v>294</v>
      </c>
      <c r="U364" s="454" t="s">
        <v>293</v>
      </c>
      <c r="V364" s="458" t="s">
        <v>292</v>
      </c>
      <c r="W364" s="1094"/>
    </row>
    <row r="365" spans="1:23" s="442" customFormat="1" ht="9.75" customHeight="1" x14ac:dyDescent="0.15">
      <c r="A365" s="949" t="s">
        <v>763</v>
      </c>
      <c r="B365" s="452">
        <v>1230406</v>
      </c>
      <c r="C365" s="451">
        <v>1226503</v>
      </c>
      <c r="D365" s="451">
        <v>23039</v>
      </c>
      <c r="E365" s="451">
        <v>23039</v>
      </c>
      <c r="F365" s="451">
        <v>6066518</v>
      </c>
      <c r="G365" s="451" t="s">
        <v>648</v>
      </c>
      <c r="H365" s="451">
        <v>6066518</v>
      </c>
      <c r="I365" s="451">
        <v>45832</v>
      </c>
      <c r="J365" s="451">
        <v>45832</v>
      </c>
      <c r="K365" s="451">
        <v>270366</v>
      </c>
      <c r="L365" s="451">
        <v>270366</v>
      </c>
      <c r="M365" s="451">
        <v>8997515</v>
      </c>
      <c r="N365" s="451">
        <v>2947409</v>
      </c>
      <c r="O365" s="451">
        <v>8612</v>
      </c>
      <c r="P365" s="451" t="s">
        <v>648</v>
      </c>
      <c r="Q365" s="451" t="s">
        <v>648</v>
      </c>
      <c r="R365" s="451" t="s">
        <v>648</v>
      </c>
      <c r="S365" s="451">
        <v>59389</v>
      </c>
      <c r="T365" s="451">
        <v>11171</v>
      </c>
      <c r="U365" s="451">
        <v>403848</v>
      </c>
      <c r="V365" s="451">
        <v>778587</v>
      </c>
      <c r="W365" s="449" t="s">
        <v>464</v>
      </c>
    </row>
    <row r="366" spans="1:23" s="442" customFormat="1" ht="9.75" customHeight="1" x14ac:dyDescent="0.15">
      <c r="A366" s="950" t="s">
        <v>764</v>
      </c>
      <c r="B366" s="442">
        <v>867145</v>
      </c>
      <c r="C366" s="442">
        <v>988720</v>
      </c>
      <c r="D366" s="442" t="s">
        <v>648</v>
      </c>
      <c r="E366" s="442" t="s">
        <v>648</v>
      </c>
      <c r="F366" s="442">
        <v>7022906</v>
      </c>
      <c r="G366" s="442" t="s">
        <v>648</v>
      </c>
      <c r="H366" s="442">
        <v>7022906</v>
      </c>
      <c r="I366" s="442">
        <v>46486</v>
      </c>
      <c r="J366" s="442">
        <v>46486</v>
      </c>
      <c r="K366" s="442">
        <v>365194</v>
      </c>
      <c r="L366" s="442">
        <v>365194</v>
      </c>
      <c r="M366" s="442">
        <v>9103028</v>
      </c>
      <c r="N366" s="442">
        <v>2206734</v>
      </c>
      <c r="O366" s="442">
        <v>7073</v>
      </c>
      <c r="P366" s="442" t="s">
        <v>648</v>
      </c>
      <c r="Q366" s="442">
        <v>274</v>
      </c>
      <c r="R366" s="442" t="s">
        <v>648</v>
      </c>
      <c r="S366" s="442">
        <v>67999</v>
      </c>
      <c r="T366" s="442">
        <v>16283</v>
      </c>
      <c r="U366" s="442">
        <v>552932</v>
      </c>
      <c r="V366" s="442">
        <v>456793</v>
      </c>
      <c r="W366" s="447" t="s">
        <v>489</v>
      </c>
    </row>
    <row r="367" spans="1:23" s="442" customFormat="1" ht="9.75" customHeight="1" x14ac:dyDescent="0.15">
      <c r="A367" s="950" t="s">
        <v>765</v>
      </c>
      <c r="B367" s="442">
        <v>247270</v>
      </c>
      <c r="C367" s="442">
        <v>791574</v>
      </c>
      <c r="D367" s="442" t="s">
        <v>648</v>
      </c>
      <c r="E367" s="442" t="s">
        <v>648</v>
      </c>
      <c r="F367" s="442">
        <v>8306758</v>
      </c>
      <c r="G367" s="442">
        <v>344965</v>
      </c>
      <c r="H367" s="442">
        <v>7961793</v>
      </c>
      <c r="I367" s="442" t="s">
        <v>648</v>
      </c>
      <c r="J367" s="442" t="s">
        <v>648</v>
      </c>
      <c r="K367" s="442">
        <v>745622</v>
      </c>
      <c r="L367" s="442">
        <v>745622</v>
      </c>
      <c r="M367" s="442">
        <v>8831688</v>
      </c>
      <c r="N367" s="442">
        <v>789910</v>
      </c>
      <c r="O367" s="442">
        <v>7012</v>
      </c>
      <c r="P367" s="442" t="s">
        <v>648</v>
      </c>
      <c r="Q367" s="442" t="s">
        <v>648</v>
      </c>
      <c r="R367" s="442" t="s">
        <v>648</v>
      </c>
      <c r="S367" s="442">
        <v>55505</v>
      </c>
      <c r="T367" s="442">
        <v>47901</v>
      </c>
      <c r="U367" s="442">
        <v>44457</v>
      </c>
      <c r="V367" s="442">
        <v>139000</v>
      </c>
      <c r="W367" s="447" t="s">
        <v>549</v>
      </c>
    </row>
    <row r="368" spans="1:23" s="442" customFormat="1" ht="9.75" customHeight="1" x14ac:dyDescent="0.15">
      <c r="A368" s="950" t="s">
        <v>766</v>
      </c>
      <c r="B368" s="442">
        <v>266886</v>
      </c>
      <c r="C368" s="442">
        <v>391204</v>
      </c>
      <c r="D368" s="442" t="s">
        <v>648</v>
      </c>
      <c r="E368" s="442" t="s">
        <v>648</v>
      </c>
      <c r="F368" s="442">
        <v>7633543</v>
      </c>
      <c r="G368" s="442">
        <v>823301</v>
      </c>
      <c r="H368" s="442">
        <v>6810242</v>
      </c>
      <c r="I368" s="442" t="s">
        <v>648</v>
      </c>
      <c r="J368" s="442" t="s">
        <v>648</v>
      </c>
      <c r="K368" s="442">
        <v>897333</v>
      </c>
      <c r="L368" s="442">
        <v>897333</v>
      </c>
      <c r="M368" s="442">
        <v>8247619</v>
      </c>
      <c r="N368" s="442">
        <v>708716</v>
      </c>
      <c r="O368" s="442">
        <v>1146</v>
      </c>
      <c r="P368" s="442" t="s">
        <v>648</v>
      </c>
      <c r="Q368" s="442" t="s">
        <v>648</v>
      </c>
      <c r="R368" s="442" t="s">
        <v>648</v>
      </c>
      <c r="S368" s="442">
        <v>87045</v>
      </c>
      <c r="T368" s="442">
        <v>13001</v>
      </c>
      <c r="U368" s="442">
        <v>41930</v>
      </c>
      <c r="V368" s="442">
        <v>218100</v>
      </c>
      <c r="W368" s="447" t="s">
        <v>672</v>
      </c>
    </row>
    <row r="369" spans="1:23" s="442" customFormat="1" ht="9.75" customHeight="1" x14ac:dyDescent="0.15">
      <c r="A369" s="950" t="s">
        <v>767</v>
      </c>
      <c r="B369" s="442">
        <v>156810</v>
      </c>
      <c r="C369" s="442">
        <v>138238</v>
      </c>
      <c r="D369" s="442" t="s">
        <v>648</v>
      </c>
      <c r="E369" s="442" t="s">
        <v>648</v>
      </c>
      <c r="F369" s="442">
        <v>8503648</v>
      </c>
      <c r="G369" s="442">
        <v>1213152</v>
      </c>
      <c r="H369" s="442">
        <v>7290496</v>
      </c>
      <c r="I369" s="442" t="s">
        <v>648</v>
      </c>
      <c r="J369" s="442" t="s">
        <v>648</v>
      </c>
      <c r="K369" s="442">
        <v>781827</v>
      </c>
      <c r="L369" s="442">
        <v>781827</v>
      </c>
      <c r="M369" s="442">
        <v>8878848</v>
      </c>
      <c r="N369" s="442">
        <v>640169</v>
      </c>
      <c r="O369" s="442">
        <v>793</v>
      </c>
      <c r="P369" s="442">
        <v>109</v>
      </c>
      <c r="Q369" s="442" t="s">
        <v>648</v>
      </c>
      <c r="R369" s="442" t="s">
        <v>648</v>
      </c>
      <c r="S369" s="442">
        <v>74175</v>
      </c>
      <c r="T369" s="442" t="s">
        <v>648</v>
      </c>
      <c r="U369" s="442">
        <v>34360</v>
      </c>
      <c r="V369" s="442">
        <v>367527</v>
      </c>
      <c r="W369" s="447" t="s">
        <v>768</v>
      </c>
    </row>
    <row r="370" spans="1:23" s="442" customFormat="1" ht="6.75" customHeight="1" x14ac:dyDescent="0.15">
      <c r="A370" s="950"/>
      <c r="W370" s="447"/>
    </row>
    <row r="371" spans="1:23" s="442" customFormat="1" ht="9.75" customHeight="1" x14ac:dyDescent="0.15">
      <c r="A371" s="950" t="s">
        <v>799</v>
      </c>
      <c r="B371" s="442">
        <v>198773</v>
      </c>
      <c r="C371" s="442">
        <v>299076</v>
      </c>
      <c r="D371" s="442" t="s">
        <v>648</v>
      </c>
      <c r="E371" s="442" t="s">
        <v>648</v>
      </c>
      <c r="F371" s="442">
        <v>7880831</v>
      </c>
      <c r="G371" s="442">
        <v>1008448</v>
      </c>
      <c r="H371" s="442">
        <v>6872383</v>
      </c>
      <c r="I371" s="442" t="s">
        <v>648</v>
      </c>
      <c r="J371" s="442" t="s">
        <v>648</v>
      </c>
      <c r="K371" s="442">
        <v>878144</v>
      </c>
      <c r="L371" s="442">
        <v>878144</v>
      </c>
      <c r="M371" s="442">
        <v>8610201</v>
      </c>
      <c r="N371" s="442">
        <v>842254</v>
      </c>
      <c r="O371" s="442">
        <v>1146</v>
      </c>
      <c r="P371" s="442" t="s">
        <v>648</v>
      </c>
      <c r="Q371" s="442" t="s">
        <v>648</v>
      </c>
      <c r="R371" s="442" t="s">
        <v>648</v>
      </c>
      <c r="S371" s="442">
        <v>85145</v>
      </c>
      <c r="T371" s="442" t="s">
        <v>648</v>
      </c>
      <c r="U371" s="442">
        <v>56379</v>
      </c>
      <c r="V371" s="442">
        <v>420285</v>
      </c>
      <c r="W371" s="447" t="s">
        <v>673</v>
      </c>
    </row>
    <row r="372" spans="1:23" s="442" customFormat="1" ht="9.75" customHeight="1" x14ac:dyDescent="0.15">
      <c r="A372" s="950" t="s">
        <v>800</v>
      </c>
      <c r="B372" s="442">
        <v>211822</v>
      </c>
      <c r="C372" s="442">
        <v>302908</v>
      </c>
      <c r="D372" s="442" t="s">
        <v>648</v>
      </c>
      <c r="E372" s="442" t="s">
        <v>648</v>
      </c>
      <c r="F372" s="442">
        <v>8183171</v>
      </c>
      <c r="G372" s="442">
        <v>1203170</v>
      </c>
      <c r="H372" s="442">
        <v>6980001</v>
      </c>
      <c r="I372" s="442" t="s">
        <v>648</v>
      </c>
      <c r="J372" s="442" t="s">
        <v>648</v>
      </c>
      <c r="K372" s="442">
        <v>886778</v>
      </c>
      <c r="L372" s="442">
        <v>886778</v>
      </c>
      <c r="M372" s="442">
        <v>8765823</v>
      </c>
      <c r="N372" s="442">
        <v>762663</v>
      </c>
      <c r="O372" s="442">
        <v>793</v>
      </c>
      <c r="P372" s="442">
        <v>109</v>
      </c>
      <c r="Q372" s="442" t="s">
        <v>648</v>
      </c>
      <c r="R372" s="442">
        <v>199</v>
      </c>
      <c r="S372" s="442">
        <v>74998</v>
      </c>
      <c r="T372" s="442">
        <v>23242</v>
      </c>
      <c r="U372" s="442" t="s">
        <v>648</v>
      </c>
      <c r="V372" s="442">
        <v>349618</v>
      </c>
      <c r="W372" s="447" t="s">
        <v>771</v>
      </c>
    </row>
    <row r="373" spans="1:23" s="442" customFormat="1" ht="6.75" customHeight="1" x14ac:dyDescent="0.15">
      <c r="A373" s="950"/>
      <c r="W373" s="447"/>
    </row>
    <row r="374" spans="1:23" s="442" customFormat="1" ht="9.75" customHeight="1" x14ac:dyDescent="0.15">
      <c r="A374" s="950" t="s">
        <v>772</v>
      </c>
      <c r="B374" s="442" t="s">
        <v>648</v>
      </c>
      <c r="C374" s="442" t="s">
        <v>648</v>
      </c>
      <c r="D374" s="442" t="s">
        <v>648</v>
      </c>
      <c r="E374" s="442" t="s">
        <v>648</v>
      </c>
      <c r="F374" s="442">
        <v>2687556</v>
      </c>
      <c r="G374" s="442">
        <v>333984</v>
      </c>
      <c r="H374" s="442">
        <v>2353572</v>
      </c>
      <c r="I374" s="442" t="s">
        <v>648</v>
      </c>
      <c r="J374" s="442" t="s">
        <v>648</v>
      </c>
      <c r="K374" s="442">
        <v>145198</v>
      </c>
      <c r="L374" s="442">
        <v>145198</v>
      </c>
      <c r="M374" s="442">
        <v>2885166</v>
      </c>
      <c r="N374" s="442">
        <v>265950</v>
      </c>
      <c r="O374" s="442" t="s">
        <v>648</v>
      </c>
      <c r="P374" s="442" t="s">
        <v>648</v>
      </c>
      <c r="Q374" s="442" t="s">
        <v>648</v>
      </c>
      <c r="R374" s="442" t="s">
        <v>648</v>
      </c>
      <c r="S374" s="442">
        <v>20505</v>
      </c>
      <c r="T374" s="442" t="s">
        <v>648</v>
      </c>
      <c r="U374" s="442">
        <v>34360</v>
      </c>
      <c r="V374" s="442">
        <v>211085</v>
      </c>
      <c r="W374" s="447" t="s">
        <v>674</v>
      </c>
    </row>
    <row r="375" spans="1:23" s="442" customFormat="1" ht="9.75" customHeight="1" x14ac:dyDescent="0.15">
      <c r="A375" s="950" t="s">
        <v>773</v>
      </c>
      <c r="B375" s="442">
        <v>68122</v>
      </c>
      <c r="C375" s="442" t="s">
        <v>648</v>
      </c>
      <c r="D375" s="442" t="s">
        <v>648</v>
      </c>
      <c r="E375" s="442" t="s">
        <v>648</v>
      </c>
      <c r="F375" s="442">
        <v>1866839</v>
      </c>
      <c r="G375" s="442">
        <v>325264</v>
      </c>
      <c r="H375" s="442">
        <v>1541575</v>
      </c>
      <c r="I375" s="442" t="s">
        <v>648</v>
      </c>
      <c r="J375" s="442" t="s">
        <v>648</v>
      </c>
      <c r="K375" s="442">
        <v>114622</v>
      </c>
      <c r="L375" s="442">
        <v>114622</v>
      </c>
      <c r="M375" s="442">
        <v>1960900</v>
      </c>
      <c r="N375" s="442">
        <v>178890</v>
      </c>
      <c r="O375" s="442">
        <v>793</v>
      </c>
      <c r="P375" s="442">
        <v>109</v>
      </c>
      <c r="Q375" s="442" t="s">
        <v>648</v>
      </c>
      <c r="R375" s="442" t="s">
        <v>648</v>
      </c>
      <c r="S375" s="442">
        <v>20583</v>
      </c>
      <c r="T375" s="442" t="s">
        <v>648</v>
      </c>
      <c r="U375" s="442" t="s">
        <v>648</v>
      </c>
      <c r="V375" s="442">
        <v>122026</v>
      </c>
      <c r="W375" s="447" t="s">
        <v>92</v>
      </c>
    </row>
    <row r="376" spans="1:23" s="442" customFormat="1" ht="9.75" customHeight="1" x14ac:dyDescent="0.15">
      <c r="A376" s="950" t="s">
        <v>774</v>
      </c>
      <c r="B376" s="442">
        <v>45730</v>
      </c>
      <c r="C376" s="442">
        <v>92130</v>
      </c>
      <c r="D376" s="442" t="s">
        <v>648</v>
      </c>
      <c r="E376" s="442" t="s">
        <v>648</v>
      </c>
      <c r="F376" s="442">
        <v>1935832</v>
      </c>
      <c r="G376" s="442">
        <v>290126</v>
      </c>
      <c r="H376" s="442">
        <v>1645706</v>
      </c>
      <c r="I376" s="442" t="s">
        <v>648</v>
      </c>
      <c r="J376" s="442" t="s">
        <v>648</v>
      </c>
      <c r="K376" s="442">
        <v>188581</v>
      </c>
      <c r="L376" s="442">
        <v>188581</v>
      </c>
      <c r="M376" s="442">
        <v>1874652</v>
      </c>
      <c r="N376" s="442">
        <v>118406</v>
      </c>
      <c r="O376" s="442" t="s">
        <v>648</v>
      </c>
      <c r="P376" s="442" t="s">
        <v>648</v>
      </c>
      <c r="Q376" s="442" t="s">
        <v>648</v>
      </c>
      <c r="R376" s="442" t="s">
        <v>648</v>
      </c>
      <c r="S376" s="442">
        <v>11469</v>
      </c>
      <c r="T376" s="442" t="s">
        <v>648</v>
      </c>
      <c r="U376" s="442" t="s">
        <v>648</v>
      </c>
      <c r="V376" s="442">
        <v>34416</v>
      </c>
      <c r="W376" s="447" t="s">
        <v>93</v>
      </c>
    </row>
    <row r="377" spans="1:23" s="442" customFormat="1" ht="9.75" customHeight="1" x14ac:dyDescent="0.15">
      <c r="A377" s="950" t="s">
        <v>801</v>
      </c>
      <c r="B377" s="442">
        <v>42958</v>
      </c>
      <c r="C377" s="442">
        <v>46108</v>
      </c>
      <c r="D377" s="442" t="s">
        <v>648</v>
      </c>
      <c r="E377" s="442" t="s">
        <v>648</v>
      </c>
      <c r="F377" s="442">
        <v>2013421</v>
      </c>
      <c r="G377" s="442">
        <v>263778</v>
      </c>
      <c r="H377" s="442">
        <v>1749643</v>
      </c>
      <c r="I377" s="442" t="s">
        <v>648</v>
      </c>
      <c r="J377" s="442" t="s">
        <v>648</v>
      </c>
      <c r="K377" s="442">
        <v>333426</v>
      </c>
      <c r="L377" s="442">
        <v>333426</v>
      </c>
      <c r="M377" s="442">
        <v>2158130</v>
      </c>
      <c r="N377" s="442">
        <v>76923</v>
      </c>
      <c r="O377" s="442" t="s">
        <v>648</v>
      </c>
      <c r="P377" s="442" t="s">
        <v>648</v>
      </c>
      <c r="Q377" s="442" t="s">
        <v>648</v>
      </c>
      <c r="R377" s="442" t="s">
        <v>648</v>
      </c>
      <c r="S377" s="442">
        <v>21618</v>
      </c>
      <c r="T377" s="442" t="s">
        <v>648</v>
      </c>
      <c r="U377" s="442" t="s">
        <v>648</v>
      </c>
      <c r="V377" s="442" t="s">
        <v>648</v>
      </c>
      <c r="W377" s="447" t="s">
        <v>94</v>
      </c>
    </row>
    <row r="378" spans="1:23" s="442" customFormat="1" ht="9.75" customHeight="1" x14ac:dyDescent="0.15">
      <c r="A378" s="950" t="s">
        <v>809</v>
      </c>
      <c r="B378" s="442">
        <v>55012</v>
      </c>
      <c r="C378" s="442">
        <v>164670</v>
      </c>
      <c r="D378" s="442" t="s">
        <v>648</v>
      </c>
      <c r="E378" s="442" t="s">
        <v>648</v>
      </c>
      <c r="F378" s="442">
        <v>2367079</v>
      </c>
      <c r="G378" s="442">
        <v>324002</v>
      </c>
      <c r="H378" s="442">
        <v>2043077</v>
      </c>
      <c r="I378" s="442" t="s">
        <v>648</v>
      </c>
      <c r="J378" s="442" t="s">
        <v>648</v>
      </c>
      <c r="K378" s="442">
        <v>250149</v>
      </c>
      <c r="L378" s="442">
        <v>250149</v>
      </c>
      <c r="M378" s="442">
        <v>2772141</v>
      </c>
      <c r="N378" s="442">
        <v>388444</v>
      </c>
      <c r="O378" s="442" t="s">
        <v>648</v>
      </c>
      <c r="P378" s="442" t="s">
        <v>648</v>
      </c>
      <c r="Q378" s="442" t="s">
        <v>648</v>
      </c>
      <c r="R378" s="442">
        <v>199</v>
      </c>
      <c r="S378" s="442">
        <v>21328</v>
      </c>
      <c r="T378" s="442">
        <v>23242</v>
      </c>
      <c r="U378" s="442" t="s">
        <v>648</v>
      </c>
      <c r="V378" s="442">
        <v>193176</v>
      </c>
      <c r="W378" s="447" t="s">
        <v>777</v>
      </c>
    </row>
    <row r="379" spans="1:23" s="442" customFormat="1" ht="6.75" customHeight="1" x14ac:dyDescent="0.15">
      <c r="A379" s="950"/>
      <c r="W379" s="447"/>
    </row>
    <row r="380" spans="1:23" s="442" customFormat="1" ht="9.75" customHeight="1" x14ac:dyDescent="0.15">
      <c r="A380" s="950" t="s">
        <v>778</v>
      </c>
      <c r="B380" s="442" t="s">
        <v>648</v>
      </c>
      <c r="C380" s="442" t="s">
        <v>648</v>
      </c>
      <c r="D380" s="442" t="s">
        <v>648</v>
      </c>
      <c r="E380" s="442" t="s">
        <v>648</v>
      </c>
      <c r="F380" s="442">
        <v>929240</v>
      </c>
      <c r="G380" s="442">
        <v>90120</v>
      </c>
      <c r="H380" s="442">
        <v>839120</v>
      </c>
      <c r="I380" s="442" t="s">
        <v>648</v>
      </c>
      <c r="J380" s="442" t="s">
        <v>648</v>
      </c>
      <c r="K380" s="442">
        <v>63640</v>
      </c>
      <c r="L380" s="442">
        <v>63640</v>
      </c>
      <c r="M380" s="442">
        <v>990605</v>
      </c>
      <c r="N380" s="442">
        <v>102919</v>
      </c>
      <c r="O380" s="442" t="s">
        <v>648</v>
      </c>
      <c r="P380" s="442" t="s">
        <v>648</v>
      </c>
      <c r="Q380" s="442" t="s">
        <v>648</v>
      </c>
      <c r="R380" s="442" t="s">
        <v>648</v>
      </c>
      <c r="S380" s="442" t="s">
        <v>648</v>
      </c>
      <c r="T380" s="442" t="s">
        <v>648</v>
      </c>
      <c r="U380" s="442">
        <v>34360</v>
      </c>
      <c r="V380" s="442">
        <v>68559</v>
      </c>
      <c r="W380" s="447" t="s">
        <v>675</v>
      </c>
    </row>
    <row r="381" spans="1:23" s="442" customFormat="1" ht="9.75" customHeight="1" x14ac:dyDescent="0.15">
      <c r="A381" s="950" t="s">
        <v>779</v>
      </c>
      <c r="B381" s="442" t="s">
        <v>648</v>
      </c>
      <c r="C381" s="442" t="s">
        <v>648</v>
      </c>
      <c r="D381" s="442" t="s">
        <v>648</v>
      </c>
      <c r="E381" s="442" t="s">
        <v>648</v>
      </c>
      <c r="F381" s="442">
        <v>991596</v>
      </c>
      <c r="G381" s="442">
        <v>151310</v>
      </c>
      <c r="H381" s="442">
        <v>840286</v>
      </c>
      <c r="I381" s="442" t="s">
        <v>648</v>
      </c>
      <c r="J381" s="442" t="s">
        <v>648</v>
      </c>
      <c r="K381" s="442">
        <v>38137</v>
      </c>
      <c r="L381" s="442">
        <v>38137</v>
      </c>
      <c r="M381" s="442">
        <v>999983</v>
      </c>
      <c r="N381" s="442">
        <v>38054</v>
      </c>
      <c r="O381" s="442" t="s">
        <v>648</v>
      </c>
      <c r="P381" s="442" t="s">
        <v>648</v>
      </c>
      <c r="Q381" s="442" t="s">
        <v>648</v>
      </c>
      <c r="R381" s="442" t="s">
        <v>648</v>
      </c>
      <c r="S381" s="442">
        <v>20505</v>
      </c>
      <c r="T381" s="442" t="s">
        <v>648</v>
      </c>
      <c r="U381" s="442" t="s">
        <v>648</v>
      </c>
      <c r="V381" s="442">
        <v>17549</v>
      </c>
      <c r="W381" s="447" t="s">
        <v>80</v>
      </c>
    </row>
    <row r="382" spans="1:23" s="442" customFormat="1" ht="9.75" customHeight="1" x14ac:dyDescent="0.15">
      <c r="A382" s="950" t="s">
        <v>780</v>
      </c>
      <c r="B382" s="442" t="s">
        <v>648</v>
      </c>
      <c r="C382" s="442" t="s">
        <v>648</v>
      </c>
      <c r="D382" s="442" t="s">
        <v>648</v>
      </c>
      <c r="E382" s="442" t="s">
        <v>648</v>
      </c>
      <c r="F382" s="442">
        <v>766720</v>
      </c>
      <c r="G382" s="442">
        <v>92554</v>
      </c>
      <c r="H382" s="442">
        <v>674166</v>
      </c>
      <c r="I382" s="442" t="s">
        <v>648</v>
      </c>
      <c r="J382" s="442" t="s">
        <v>648</v>
      </c>
      <c r="K382" s="442">
        <v>43421</v>
      </c>
      <c r="L382" s="442">
        <v>43421</v>
      </c>
      <c r="M382" s="442">
        <v>894578</v>
      </c>
      <c r="N382" s="442">
        <v>124977</v>
      </c>
      <c r="O382" s="442" t="s">
        <v>648</v>
      </c>
      <c r="P382" s="442" t="s">
        <v>648</v>
      </c>
      <c r="Q382" s="442" t="s">
        <v>648</v>
      </c>
      <c r="R382" s="442" t="s">
        <v>648</v>
      </c>
      <c r="S382" s="442" t="s">
        <v>648</v>
      </c>
      <c r="T382" s="442" t="s">
        <v>648</v>
      </c>
      <c r="U382" s="442" t="s">
        <v>648</v>
      </c>
      <c r="V382" s="442">
        <v>124977</v>
      </c>
      <c r="W382" s="447" t="s">
        <v>81</v>
      </c>
    </row>
    <row r="383" spans="1:23" s="442" customFormat="1" ht="9.75" customHeight="1" x14ac:dyDescent="0.15">
      <c r="A383" s="950" t="s">
        <v>781</v>
      </c>
      <c r="B383" s="442" t="s">
        <v>648</v>
      </c>
      <c r="C383" s="442" t="s">
        <v>648</v>
      </c>
      <c r="D383" s="442" t="s">
        <v>648</v>
      </c>
      <c r="E383" s="442" t="s">
        <v>648</v>
      </c>
      <c r="F383" s="442">
        <v>616317</v>
      </c>
      <c r="G383" s="442">
        <v>166949</v>
      </c>
      <c r="H383" s="442">
        <v>449368</v>
      </c>
      <c r="I383" s="442" t="s">
        <v>648</v>
      </c>
      <c r="J383" s="442" t="s">
        <v>648</v>
      </c>
      <c r="K383" s="442">
        <v>33618</v>
      </c>
      <c r="L383" s="442">
        <v>33618</v>
      </c>
      <c r="M383" s="442">
        <v>680079</v>
      </c>
      <c r="N383" s="442">
        <v>80376</v>
      </c>
      <c r="O383" s="442">
        <v>793</v>
      </c>
      <c r="P383" s="442" t="s">
        <v>648</v>
      </c>
      <c r="Q383" s="442" t="s">
        <v>648</v>
      </c>
      <c r="R383" s="442" t="s">
        <v>648</v>
      </c>
      <c r="S383" s="442" t="s">
        <v>648</v>
      </c>
      <c r="T383" s="442" t="s">
        <v>648</v>
      </c>
      <c r="U383" s="442" t="s">
        <v>648</v>
      </c>
      <c r="V383" s="442">
        <v>79583</v>
      </c>
      <c r="W383" s="447" t="s">
        <v>82</v>
      </c>
    </row>
    <row r="384" spans="1:23" s="442" customFormat="1" ht="9.75" customHeight="1" x14ac:dyDescent="0.15">
      <c r="A384" s="950" t="s">
        <v>782</v>
      </c>
      <c r="B384" s="442">
        <v>20969</v>
      </c>
      <c r="C384" s="442" t="s">
        <v>648</v>
      </c>
      <c r="D384" s="442" t="s">
        <v>648</v>
      </c>
      <c r="E384" s="442" t="s">
        <v>648</v>
      </c>
      <c r="F384" s="442">
        <v>638244</v>
      </c>
      <c r="G384" s="442">
        <v>98372</v>
      </c>
      <c r="H384" s="442">
        <v>539872</v>
      </c>
      <c r="I384" s="442" t="s">
        <v>648</v>
      </c>
      <c r="J384" s="442" t="s">
        <v>648</v>
      </c>
      <c r="K384" s="442">
        <v>81004</v>
      </c>
      <c r="L384" s="442">
        <v>81004</v>
      </c>
      <c r="M384" s="442">
        <v>659448</v>
      </c>
      <c r="N384" s="442">
        <v>40967</v>
      </c>
      <c r="O384" s="442" t="s">
        <v>648</v>
      </c>
      <c r="P384" s="442">
        <v>109</v>
      </c>
      <c r="Q384" s="442" t="s">
        <v>648</v>
      </c>
      <c r="R384" s="442" t="s">
        <v>648</v>
      </c>
      <c r="S384" s="442">
        <v>20583</v>
      </c>
      <c r="T384" s="442" t="s">
        <v>648</v>
      </c>
      <c r="U384" s="442" t="s">
        <v>648</v>
      </c>
      <c r="V384" s="442">
        <v>9772</v>
      </c>
      <c r="W384" s="447" t="s">
        <v>95</v>
      </c>
    </row>
    <row r="385" spans="1:23" s="442" customFormat="1" ht="9.75" customHeight="1" x14ac:dyDescent="0.15">
      <c r="A385" s="950" t="s">
        <v>783</v>
      </c>
      <c r="B385" s="442">
        <v>47153</v>
      </c>
      <c r="C385" s="442" t="s">
        <v>648</v>
      </c>
      <c r="D385" s="442" t="s">
        <v>648</v>
      </c>
      <c r="E385" s="442" t="s">
        <v>648</v>
      </c>
      <c r="F385" s="442">
        <v>612278</v>
      </c>
      <c r="G385" s="442">
        <v>59943</v>
      </c>
      <c r="H385" s="442">
        <v>552335</v>
      </c>
      <c r="I385" s="442" t="s">
        <v>648</v>
      </c>
      <c r="J385" s="442" t="s">
        <v>648</v>
      </c>
      <c r="K385" s="442" t="s">
        <v>648</v>
      </c>
      <c r="L385" s="442" t="s">
        <v>648</v>
      </c>
      <c r="M385" s="442">
        <v>621373</v>
      </c>
      <c r="N385" s="442">
        <v>57547</v>
      </c>
      <c r="O385" s="442" t="s">
        <v>648</v>
      </c>
      <c r="P385" s="442" t="s">
        <v>648</v>
      </c>
      <c r="Q385" s="442" t="s">
        <v>648</v>
      </c>
      <c r="R385" s="442" t="s">
        <v>648</v>
      </c>
      <c r="S385" s="442" t="s">
        <v>648</v>
      </c>
      <c r="T385" s="442" t="s">
        <v>648</v>
      </c>
      <c r="U385" s="442" t="s">
        <v>648</v>
      </c>
      <c r="V385" s="442">
        <v>32671</v>
      </c>
      <c r="W385" s="447" t="s">
        <v>96</v>
      </c>
    </row>
    <row r="386" spans="1:23" s="442" customFormat="1" ht="9.75" customHeight="1" x14ac:dyDescent="0.15">
      <c r="A386" s="950" t="s">
        <v>784</v>
      </c>
      <c r="B386" s="442" t="s">
        <v>648</v>
      </c>
      <c r="C386" s="442">
        <v>44885</v>
      </c>
      <c r="D386" s="442" t="s">
        <v>648</v>
      </c>
      <c r="E386" s="442" t="s">
        <v>648</v>
      </c>
      <c r="F386" s="442">
        <v>643854</v>
      </c>
      <c r="G386" s="442">
        <v>57785</v>
      </c>
      <c r="H386" s="442">
        <v>586069</v>
      </c>
      <c r="I386" s="442" t="s">
        <v>648</v>
      </c>
      <c r="J386" s="442" t="s">
        <v>648</v>
      </c>
      <c r="K386" s="442">
        <v>31682</v>
      </c>
      <c r="L386" s="442">
        <v>31682</v>
      </c>
      <c r="M386" s="442">
        <v>596734</v>
      </c>
      <c r="N386" s="442">
        <v>57347</v>
      </c>
      <c r="O386" s="442" t="s">
        <v>648</v>
      </c>
      <c r="P386" s="442" t="s">
        <v>648</v>
      </c>
      <c r="Q386" s="442" t="s">
        <v>648</v>
      </c>
      <c r="R386" s="442" t="s">
        <v>648</v>
      </c>
      <c r="S386" s="442" t="s">
        <v>648</v>
      </c>
      <c r="T386" s="442" t="s">
        <v>648</v>
      </c>
      <c r="U386" s="442" t="s">
        <v>648</v>
      </c>
      <c r="V386" s="442">
        <v>34416</v>
      </c>
      <c r="W386" s="447" t="s">
        <v>97</v>
      </c>
    </row>
    <row r="387" spans="1:23" s="442" customFormat="1" ht="9.75" customHeight="1" x14ac:dyDescent="0.15">
      <c r="A387" s="950" t="s">
        <v>806</v>
      </c>
      <c r="B387" s="442">
        <v>45730</v>
      </c>
      <c r="C387" s="442">
        <v>47245</v>
      </c>
      <c r="D387" s="442" t="s">
        <v>648</v>
      </c>
      <c r="E387" s="442" t="s">
        <v>648</v>
      </c>
      <c r="F387" s="442">
        <v>666202</v>
      </c>
      <c r="G387" s="442">
        <v>92863</v>
      </c>
      <c r="H387" s="442">
        <v>573339</v>
      </c>
      <c r="I387" s="442" t="s">
        <v>648</v>
      </c>
      <c r="J387" s="442" t="s">
        <v>648</v>
      </c>
      <c r="K387" s="442">
        <v>20483</v>
      </c>
      <c r="L387" s="442">
        <v>20483</v>
      </c>
      <c r="M387" s="442">
        <v>643478</v>
      </c>
      <c r="N387" s="442">
        <v>61059</v>
      </c>
      <c r="O387" s="442" t="s">
        <v>648</v>
      </c>
      <c r="P387" s="442" t="s">
        <v>648</v>
      </c>
      <c r="Q387" s="442" t="s">
        <v>648</v>
      </c>
      <c r="R387" s="442" t="s">
        <v>648</v>
      </c>
      <c r="S387" s="442">
        <v>11469</v>
      </c>
      <c r="T387" s="442" t="s">
        <v>648</v>
      </c>
      <c r="U387" s="442" t="s">
        <v>648</v>
      </c>
      <c r="V387" s="442" t="s">
        <v>648</v>
      </c>
      <c r="W387" s="447" t="s">
        <v>98</v>
      </c>
    </row>
    <row r="388" spans="1:23" s="442" customFormat="1" ht="9.75" customHeight="1" x14ac:dyDescent="0.15">
      <c r="A388" s="950" t="s">
        <v>786</v>
      </c>
      <c r="B388" s="442" t="s">
        <v>648</v>
      </c>
      <c r="C388" s="442" t="s">
        <v>648</v>
      </c>
      <c r="D388" s="442" t="s">
        <v>648</v>
      </c>
      <c r="E388" s="442" t="s">
        <v>648</v>
      </c>
      <c r="F388" s="442">
        <v>625776</v>
      </c>
      <c r="G388" s="442">
        <v>139478</v>
      </c>
      <c r="H388" s="442">
        <v>486298</v>
      </c>
      <c r="I388" s="442" t="s">
        <v>648</v>
      </c>
      <c r="J388" s="442" t="s">
        <v>648</v>
      </c>
      <c r="K388" s="442">
        <v>136416</v>
      </c>
      <c r="L388" s="442">
        <v>136416</v>
      </c>
      <c r="M388" s="442">
        <v>634440</v>
      </c>
      <c r="N388" s="442" t="s">
        <v>648</v>
      </c>
      <c r="O388" s="442" t="s">
        <v>648</v>
      </c>
      <c r="P388" s="442" t="s">
        <v>648</v>
      </c>
      <c r="Q388" s="442" t="s">
        <v>648</v>
      </c>
      <c r="R388" s="442" t="s">
        <v>648</v>
      </c>
      <c r="S388" s="442" t="s">
        <v>648</v>
      </c>
      <c r="T388" s="442" t="s">
        <v>648</v>
      </c>
      <c r="U388" s="442" t="s">
        <v>648</v>
      </c>
      <c r="V388" s="442" t="s">
        <v>648</v>
      </c>
      <c r="W388" s="447" t="s">
        <v>99</v>
      </c>
    </row>
    <row r="389" spans="1:23" s="442" customFormat="1" ht="9.75" customHeight="1" x14ac:dyDescent="0.15">
      <c r="A389" s="950" t="s">
        <v>807</v>
      </c>
      <c r="B389" s="442" t="s">
        <v>648</v>
      </c>
      <c r="C389" s="442" t="s">
        <v>648</v>
      </c>
      <c r="D389" s="442" t="s">
        <v>648</v>
      </c>
      <c r="E389" s="442" t="s">
        <v>648</v>
      </c>
      <c r="F389" s="442">
        <v>703425</v>
      </c>
      <c r="G389" s="442">
        <v>46312</v>
      </c>
      <c r="H389" s="442">
        <v>657113</v>
      </c>
      <c r="I389" s="442" t="s">
        <v>648</v>
      </c>
      <c r="J389" s="442" t="s">
        <v>648</v>
      </c>
      <c r="K389" s="442">
        <v>122197</v>
      </c>
      <c r="L389" s="442">
        <v>122197</v>
      </c>
      <c r="M389" s="442">
        <v>762909</v>
      </c>
      <c r="N389" s="442" t="s">
        <v>648</v>
      </c>
      <c r="O389" s="442" t="s">
        <v>648</v>
      </c>
      <c r="P389" s="442" t="s">
        <v>648</v>
      </c>
      <c r="Q389" s="442" t="s">
        <v>648</v>
      </c>
      <c r="R389" s="442" t="s">
        <v>648</v>
      </c>
      <c r="S389" s="442" t="s">
        <v>648</v>
      </c>
      <c r="T389" s="442" t="s">
        <v>648</v>
      </c>
      <c r="U389" s="442" t="s">
        <v>648</v>
      </c>
      <c r="V389" s="442" t="s">
        <v>648</v>
      </c>
      <c r="W389" s="447" t="s">
        <v>83</v>
      </c>
    </row>
    <row r="390" spans="1:23" s="442" customFormat="1" ht="9.75" customHeight="1" x14ac:dyDescent="0.15">
      <c r="A390" s="950" t="s">
        <v>788</v>
      </c>
      <c r="B390" s="442" t="s">
        <v>648</v>
      </c>
      <c r="C390" s="442" t="s">
        <v>648</v>
      </c>
      <c r="D390" s="442" t="s">
        <v>648</v>
      </c>
      <c r="E390" s="442" t="s">
        <v>648</v>
      </c>
      <c r="F390" s="442">
        <v>606954</v>
      </c>
      <c r="G390" s="442">
        <v>111827</v>
      </c>
      <c r="H390" s="442">
        <v>495127</v>
      </c>
      <c r="I390" s="442" t="s">
        <v>648</v>
      </c>
      <c r="J390" s="442" t="s">
        <v>648</v>
      </c>
      <c r="K390" s="442">
        <v>117270</v>
      </c>
      <c r="L390" s="442">
        <v>117270</v>
      </c>
      <c r="M390" s="442">
        <v>634360</v>
      </c>
      <c r="N390" s="442">
        <v>21618</v>
      </c>
      <c r="O390" s="442" t="s">
        <v>648</v>
      </c>
      <c r="P390" s="442" t="s">
        <v>648</v>
      </c>
      <c r="Q390" s="442" t="s">
        <v>648</v>
      </c>
      <c r="R390" s="442" t="s">
        <v>648</v>
      </c>
      <c r="S390" s="442">
        <v>21618</v>
      </c>
      <c r="T390" s="442" t="s">
        <v>648</v>
      </c>
      <c r="U390" s="442" t="s">
        <v>648</v>
      </c>
      <c r="V390" s="442" t="s">
        <v>648</v>
      </c>
      <c r="W390" s="447" t="s">
        <v>84</v>
      </c>
    </row>
    <row r="391" spans="1:23" s="442" customFormat="1" ht="9.75" customHeight="1" x14ac:dyDescent="0.15">
      <c r="A391" s="950" t="s">
        <v>789</v>
      </c>
      <c r="B391" s="442">
        <v>42958</v>
      </c>
      <c r="C391" s="442">
        <v>46108</v>
      </c>
      <c r="D391" s="442" t="s">
        <v>648</v>
      </c>
      <c r="E391" s="442" t="s">
        <v>648</v>
      </c>
      <c r="F391" s="442">
        <v>703042</v>
      </c>
      <c r="G391" s="442">
        <v>105639</v>
      </c>
      <c r="H391" s="442">
        <v>597403</v>
      </c>
      <c r="I391" s="442" t="s">
        <v>648</v>
      </c>
      <c r="J391" s="442" t="s">
        <v>648</v>
      </c>
      <c r="K391" s="442">
        <v>93959</v>
      </c>
      <c r="L391" s="442">
        <v>93959</v>
      </c>
      <c r="M391" s="442">
        <v>760861</v>
      </c>
      <c r="N391" s="442">
        <v>55305</v>
      </c>
      <c r="O391" s="442" t="s">
        <v>648</v>
      </c>
      <c r="P391" s="442" t="s">
        <v>648</v>
      </c>
      <c r="Q391" s="442" t="s">
        <v>648</v>
      </c>
      <c r="R391" s="442" t="s">
        <v>648</v>
      </c>
      <c r="S391" s="442" t="s">
        <v>648</v>
      </c>
      <c r="T391" s="442" t="s">
        <v>648</v>
      </c>
      <c r="U391" s="442" t="s">
        <v>648</v>
      </c>
      <c r="V391" s="442" t="s">
        <v>648</v>
      </c>
      <c r="W391" s="447" t="s">
        <v>85</v>
      </c>
    </row>
    <row r="392" spans="1:23" s="442" customFormat="1" ht="9.75" customHeight="1" x14ac:dyDescent="0.15">
      <c r="A392" s="950" t="s">
        <v>790</v>
      </c>
      <c r="B392" s="442">
        <v>46011</v>
      </c>
      <c r="C392" s="442">
        <v>70636</v>
      </c>
      <c r="D392" s="442" t="s">
        <v>648</v>
      </c>
      <c r="E392" s="442" t="s">
        <v>648</v>
      </c>
      <c r="F392" s="442">
        <v>882974</v>
      </c>
      <c r="G392" s="442">
        <v>121976</v>
      </c>
      <c r="H392" s="442">
        <v>760998</v>
      </c>
      <c r="I392" s="442" t="s">
        <v>648</v>
      </c>
      <c r="J392" s="442" t="s">
        <v>648</v>
      </c>
      <c r="K392" s="442">
        <v>66129</v>
      </c>
      <c r="L392" s="442">
        <v>66129</v>
      </c>
      <c r="M392" s="442">
        <v>989541</v>
      </c>
      <c r="N392" s="442">
        <v>127939</v>
      </c>
      <c r="O392" s="442" t="s">
        <v>648</v>
      </c>
      <c r="P392" s="442" t="s">
        <v>648</v>
      </c>
      <c r="Q392" s="442" t="s">
        <v>648</v>
      </c>
      <c r="R392" s="442" t="s">
        <v>648</v>
      </c>
      <c r="S392" s="442" t="s">
        <v>648</v>
      </c>
      <c r="T392" s="442">
        <v>23242</v>
      </c>
      <c r="U392" s="442" t="s">
        <v>648</v>
      </c>
      <c r="V392" s="442">
        <v>34452</v>
      </c>
      <c r="W392" s="447" t="s">
        <v>791</v>
      </c>
    </row>
    <row r="393" spans="1:23" s="442" customFormat="1" ht="9.75" customHeight="1" x14ac:dyDescent="0.15">
      <c r="A393" s="950" t="s">
        <v>792</v>
      </c>
      <c r="B393" s="442" t="s">
        <v>648</v>
      </c>
      <c r="C393" s="442">
        <v>47044</v>
      </c>
      <c r="D393" s="442" t="s">
        <v>648</v>
      </c>
      <c r="E393" s="442" t="s">
        <v>648</v>
      </c>
      <c r="F393" s="442">
        <v>679330</v>
      </c>
      <c r="G393" s="442">
        <v>90216</v>
      </c>
      <c r="H393" s="442">
        <v>589114</v>
      </c>
      <c r="I393" s="442" t="s">
        <v>648</v>
      </c>
      <c r="J393" s="442" t="s">
        <v>648</v>
      </c>
      <c r="K393" s="442">
        <v>98842</v>
      </c>
      <c r="L393" s="442">
        <v>98842</v>
      </c>
      <c r="M393" s="442">
        <v>769727</v>
      </c>
      <c r="N393" s="442">
        <v>89898</v>
      </c>
      <c r="O393" s="442" t="s">
        <v>648</v>
      </c>
      <c r="P393" s="442" t="s">
        <v>648</v>
      </c>
      <c r="Q393" s="442" t="s">
        <v>648</v>
      </c>
      <c r="R393" s="442" t="s">
        <v>648</v>
      </c>
      <c r="S393" s="442">
        <v>21328</v>
      </c>
      <c r="T393" s="442" t="s">
        <v>648</v>
      </c>
      <c r="U393" s="442" t="s">
        <v>648</v>
      </c>
      <c r="V393" s="442">
        <v>44307</v>
      </c>
      <c r="W393" s="447" t="s">
        <v>80</v>
      </c>
    </row>
    <row r="394" spans="1:23" s="442" customFormat="1" ht="9.75" customHeight="1" x14ac:dyDescent="0.15">
      <c r="A394" s="951" t="s">
        <v>793</v>
      </c>
      <c r="B394" s="446">
        <v>9001</v>
      </c>
      <c r="C394" s="445">
        <v>46990</v>
      </c>
      <c r="D394" s="445" t="s">
        <v>648</v>
      </c>
      <c r="E394" s="445" t="s">
        <v>648</v>
      </c>
      <c r="F394" s="445">
        <v>804775</v>
      </c>
      <c r="G394" s="445">
        <v>111810</v>
      </c>
      <c r="H394" s="445">
        <v>692965</v>
      </c>
      <c r="I394" s="445" t="s">
        <v>648</v>
      </c>
      <c r="J394" s="445" t="s">
        <v>648</v>
      </c>
      <c r="K394" s="445">
        <v>85178</v>
      </c>
      <c r="L394" s="445">
        <v>85178</v>
      </c>
      <c r="M394" s="445">
        <v>1012873</v>
      </c>
      <c r="N394" s="445">
        <v>170607</v>
      </c>
      <c r="O394" s="445" t="s">
        <v>648</v>
      </c>
      <c r="P394" s="445" t="s">
        <v>648</v>
      </c>
      <c r="Q394" s="445" t="s">
        <v>648</v>
      </c>
      <c r="R394" s="445">
        <v>199</v>
      </c>
      <c r="S394" s="445" t="s">
        <v>648</v>
      </c>
      <c r="T394" s="445" t="s">
        <v>648</v>
      </c>
      <c r="U394" s="445" t="s">
        <v>648</v>
      </c>
      <c r="V394" s="445">
        <v>114417</v>
      </c>
      <c r="W394" s="443" t="s">
        <v>81</v>
      </c>
    </row>
    <row r="395" spans="1:23" ht="12" customHeight="1" x14ac:dyDescent="0.2"/>
    <row r="396" spans="1:23" ht="12" customHeight="1" x14ac:dyDescent="0.2"/>
    <row r="397" spans="1:23" ht="12" customHeight="1" x14ac:dyDescent="0.2">
      <c r="K397" s="457" t="s">
        <v>100</v>
      </c>
    </row>
    <row r="398" spans="1:23" s="453" customFormat="1" ht="21" customHeight="1" x14ac:dyDescent="0.2">
      <c r="A398" s="1089" t="s">
        <v>194</v>
      </c>
      <c r="B398" s="456" t="s">
        <v>303</v>
      </c>
      <c r="C398" s="455"/>
      <c r="D398" s="455"/>
      <c r="E398" s="455"/>
      <c r="F398" s="455"/>
      <c r="G398" s="455"/>
      <c r="H398" s="455"/>
      <c r="I398" s="455"/>
      <c r="J398" s="455"/>
      <c r="K398" s="455"/>
      <c r="L398" s="917"/>
      <c r="M398" s="918" t="s">
        <v>302</v>
      </c>
      <c r="N398" s="455"/>
      <c r="O398" s="455"/>
      <c r="P398" s="455"/>
      <c r="Q398" s="455"/>
      <c r="R398" s="455"/>
      <c r="S398" s="455"/>
      <c r="T398" s="455"/>
      <c r="U398" s="455"/>
      <c r="V398" s="455"/>
      <c r="W398" s="1092" t="s">
        <v>86</v>
      </c>
    </row>
    <row r="399" spans="1:23" s="453" customFormat="1" ht="21" customHeight="1" x14ac:dyDescent="0.2">
      <c r="A399" s="1090"/>
      <c r="B399" s="456" t="s">
        <v>290</v>
      </c>
      <c r="C399" s="917"/>
      <c r="D399" s="918" t="s">
        <v>289</v>
      </c>
      <c r="E399" s="917"/>
      <c r="F399" s="918" t="s">
        <v>288</v>
      </c>
      <c r="G399" s="455"/>
      <c r="H399" s="917"/>
      <c r="I399" s="918" t="s">
        <v>271</v>
      </c>
      <c r="J399" s="917"/>
      <c r="K399" s="918" t="s">
        <v>270</v>
      </c>
      <c r="L399" s="917"/>
      <c r="M399" s="1095" t="s">
        <v>301</v>
      </c>
      <c r="N399" s="918" t="s">
        <v>297</v>
      </c>
      <c r="O399" s="455"/>
      <c r="P399" s="455"/>
      <c r="Q399" s="455"/>
      <c r="R399" s="455"/>
      <c r="S399" s="455"/>
      <c r="T399" s="917"/>
      <c r="U399" s="918" t="s">
        <v>288</v>
      </c>
      <c r="V399" s="455"/>
      <c r="W399" s="1093"/>
    </row>
    <row r="400" spans="1:23" s="453" customFormat="1" ht="52.5" customHeight="1" x14ac:dyDescent="0.2">
      <c r="A400" s="1091"/>
      <c r="B400" s="454" t="s">
        <v>281</v>
      </c>
      <c r="C400" s="459" t="s">
        <v>1087</v>
      </c>
      <c r="D400" s="920" t="s">
        <v>109</v>
      </c>
      <c r="E400" s="454" t="s">
        <v>279</v>
      </c>
      <c r="F400" s="920" t="s">
        <v>1089</v>
      </c>
      <c r="G400" s="454" t="s">
        <v>310</v>
      </c>
      <c r="H400" s="454" t="s">
        <v>274</v>
      </c>
      <c r="I400" s="920" t="s">
        <v>1092</v>
      </c>
      <c r="J400" s="454" t="s">
        <v>268</v>
      </c>
      <c r="K400" s="920" t="s">
        <v>1094</v>
      </c>
      <c r="L400" s="454" t="s">
        <v>263</v>
      </c>
      <c r="M400" s="1096"/>
      <c r="N400" s="920" t="s">
        <v>1096</v>
      </c>
      <c r="O400" s="454" t="s">
        <v>296</v>
      </c>
      <c r="P400" s="454" t="s">
        <v>294</v>
      </c>
      <c r="Q400" s="454" t="s">
        <v>293</v>
      </c>
      <c r="R400" s="454" t="s">
        <v>292</v>
      </c>
      <c r="S400" s="454" t="s">
        <v>281</v>
      </c>
      <c r="T400" s="459" t="s">
        <v>1087</v>
      </c>
      <c r="U400" s="920" t="s">
        <v>1089</v>
      </c>
      <c r="V400" s="458" t="s">
        <v>274</v>
      </c>
      <c r="W400" s="1094"/>
    </row>
    <row r="401" spans="1:23" s="442" customFormat="1" ht="9.75" customHeight="1" x14ac:dyDescent="0.15">
      <c r="A401" s="949" t="s">
        <v>763</v>
      </c>
      <c r="B401" s="452">
        <v>865681</v>
      </c>
      <c r="C401" s="451">
        <v>820121</v>
      </c>
      <c r="D401" s="451">
        <v>23039</v>
      </c>
      <c r="E401" s="451">
        <v>23039</v>
      </c>
      <c r="F401" s="451">
        <v>5830008</v>
      </c>
      <c r="G401" s="451" t="s">
        <v>648</v>
      </c>
      <c r="H401" s="451">
        <v>5830008</v>
      </c>
      <c r="I401" s="451">
        <v>45832</v>
      </c>
      <c r="J401" s="451">
        <v>45832</v>
      </c>
      <c r="K401" s="451">
        <v>151227</v>
      </c>
      <c r="L401" s="451">
        <v>151227</v>
      </c>
      <c r="M401" s="451">
        <v>1666220</v>
      </c>
      <c r="N401" s="451">
        <v>1310571</v>
      </c>
      <c r="O401" s="451">
        <v>67934</v>
      </c>
      <c r="P401" s="451">
        <v>13995</v>
      </c>
      <c r="Q401" s="451">
        <v>219402</v>
      </c>
      <c r="R401" s="451">
        <v>238133</v>
      </c>
      <c r="S401" s="451">
        <v>364725</v>
      </c>
      <c r="T401" s="451">
        <v>406382</v>
      </c>
      <c r="U401" s="451">
        <v>236510</v>
      </c>
      <c r="V401" s="451">
        <v>236510</v>
      </c>
      <c r="W401" s="449" t="s">
        <v>464</v>
      </c>
    </row>
    <row r="402" spans="1:23" s="442" customFormat="1" ht="9.75" customHeight="1" x14ac:dyDescent="0.15">
      <c r="A402" s="950" t="s">
        <v>764</v>
      </c>
      <c r="B402" s="442">
        <v>521532</v>
      </c>
      <c r="C402" s="442">
        <v>583848</v>
      </c>
      <c r="D402" s="442" t="s">
        <v>648</v>
      </c>
      <c r="E402" s="442" t="s">
        <v>648</v>
      </c>
      <c r="F402" s="442">
        <v>6687535</v>
      </c>
      <c r="G402" s="442" t="s">
        <v>648</v>
      </c>
      <c r="H402" s="442">
        <v>6687535</v>
      </c>
      <c r="I402" s="442">
        <v>46486</v>
      </c>
      <c r="J402" s="442">
        <v>46486</v>
      </c>
      <c r="K402" s="442">
        <v>162273</v>
      </c>
      <c r="L402" s="442">
        <v>162273</v>
      </c>
      <c r="M402" s="442">
        <v>1816543</v>
      </c>
      <c r="N402" s="442">
        <v>1278251</v>
      </c>
      <c r="O402" s="442">
        <v>57619</v>
      </c>
      <c r="P402" s="442">
        <v>14641</v>
      </c>
      <c r="Q402" s="442">
        <v>275446</v>
      </c>
      <c r="R402" s="442">
        <v>180060</v>
      </c>
      <c r="S402" s="442">
        <v>345613</v>
      </c>
      <c r="T402" s="442">
        <v>404872</v>
      </c>
      <c r="U402" s="442">
        <v>335371</v>
      </c>
      <c r="V402" s="442">
        <v>335371</v>
      </c>
      <c r="W402" s="447" t="s">
        <v>489</v>
      </c>
    </row>
    <row r="403" spans="1:23" s="442" customFormat="1" ht="9.75" customHeight="1" x14ac:dyDescent="0.15">
      <c r="A403" s="950" t="s">
        <v>765</v>
      </c>
      <c r="B403" s="442">
        <v>134496</v>
      </c>
      <c r="C403" s="442">
        <v>361539</v>
      </c>
      <c r="D403" s="442" t="s">
        <v>648</v>
      </c>
      <c r="E403" s="442" t="s">
        <v>648</v>
      </c>
      <c r="F403" s="442">
        <v>7655325</v>
      </c>
      <c r="G403" s="442">
        <v>344965</v>
      </c>
      <c r="H403" s="442">
        <v>7310360</v>
      </c>
      <c r="I403" s="442" t="s">
        <v>648</v>
      </c>
      <c r="J403" s="442" t="s">
        <v>648</v>
      </c>
      <c r="K403" s="442">
        <v>386453</v>
      </c>
      <c r="L403" s="442">
        <v>386453</v>
      </c>
      <c r="M403" s="442">
        <v>1930580</v>
      </c>
      <c r="N403" s="442">
        <v>919978</v>
      </c>
      <c r="O403" s="442">
        <v>55526</v>
      </c>
      <c r="P403" s="442">
        <v>62529</v>
      </c>
      <c r="Q403" s="442">
        <v>128478</v>
      </c>
      <c r="R403" s="442">
        <v>130636</v>
      </c>
      <c r="S403" s="442">
        <v>112774</v>
      </c>
      <c r="T403" s="442">
        <v>430035</v>
      </c>
      <c r="U403" s="442">
        <v>651433</v>
      </c>
      <c r="V403" s="442">
        <v>651433</v>
      </c>
      <c r="W403" s="447" t="s">
        <v>549</v>
      </c>
    </row>
    <row r="404" spans="1:23" s="442" customFormat="1" ht="9.75" customHeight="1" x14ac:dyDescent="0.15">
      <c r="A404" s="950" t="s">
        <v>766</v>
      </c>
      <c r="B404" s="442">
        <v>174710</v>
      </c>
      <c r="C404" s="442">
        <v>172784</v>
      </c>
      <c r="D404" s="442" t="s">
        <v>648</v>
      </c>
      <c r="E404" s="442" t="s">
        <v>648</v>
      </c>
      <c r="F404" s="442">
        <v>7012175</v>
      </c>
      <c r="G404" s="442">
        <v>823301</v>
      </c>
      <c r="H404" s="442">
        <v>6188874</v>
      </c>
      <c r="I404" s="442" t="s">
        <v>648</v>
      </c>
      <c r="J404" s="442" t="s">
        <v>648</v>
      </c>
      <c r="K404" s="442">
        <v>526728</v>
      </c>
      <c r="L404" s="442">
        <v>526728</v>
      </c>
      <c r="M404" s="442">
        <v>1637993</v>
      </c>
      <c r="N404" s="442">
        <v>646020</v>
      </c>
      <c r="O404" s="442">
        <v>85277</v>
      </c>
      <c r="P404" s="442">
        <v>11629</v>
      </c>
      <c r="Q404" s="442">
        <v>132873</v>
      </c>
      <c r="R404" s="442">
        <v>105645</v>
      </c>
      <c r="S404" s="442">
        <v>92176</v>
      </c>
      <c r="T404" s="442">
        <v>218420</v>
      </c>
      <c r="U404" s="442">
        <v>621368</v>
      </c>
      <c r="V404" s="442">
        <v>621368</v>
      </c>
      <c r="W404" s="447" t="s">
        <v>672</v>
      </c>
    </row>
    <row r="405" spans="1:23" s="442" customFormat="1" ht="9.75" customHeight="1" x14ac:dyDescent="0.15">
      <c r="A405" s="950" t="s">
        <v>767</v>
      </c>
      <c r="B405" s="442">
        <v>79998</v>
      </c>
      <c r="C405" s="442">
        <v>83207</v>
      </c>
      <c r="D405" s="442" t="s">
        <v>648</v>
      </c>
      <c r="E405" s="442" t="s">
        <v>648</v>
      </c>
      <c r="F405" s="442">
        <v>7794656</v>
      </c>
      <c r="G405" s="442">
        <v>1213152</v>
      </c>
      <c r="H405" s="442">
        <v>6581504</v>
      </c>
      <c r="I405" s="442" t="s">
        <v>648</v>
      </c>
      <c r="J405" s="442" t="s">
        <v>648</v>
      </c>
      <c r="K405" s="442">
        <v>444023</v>
      </c>
      <c r="L405" s="442">
        <v>444023</v>
      </c>
      <c r="M405" s="442">
        <v>1504014</v>
      </c>
      <c r="N405" s="442">
        <v>457218</v>
      </c>
      <c r="O405" s="442">
        <v>81828</v>
      </c>
      <c r="P405" s="442" t="s">
        <v>648</v>
      </c>
      <c r="Q405" s="442">
        <v>56983</v>
      </c>
      <c r="R405" s="442">
        <v>186564</v>
      </c>
      <c r="S405" s="442">
        <v>76812</v>
      </c>
      <c r="T405" s="442">
        <v>55031</v>
      </c>
      <c r="U405" s="442">
        <v>708992</v>
      </c>
      <c r="V405" s="442">
        <v>708992</v>
      </c>
      <c r="W405" s="447" t="s">
        <v>768</v>
      </c>
    </row>
    <row r="406" spans="1:23" s="442" customFormat="1" ht="6.75" customHeight="1" x14ac:dyDescent="0.15">
      <c r="A406" s="950"/>
      <c r="W406" s="447"/>
    </row>
    <row r="407" spans="1:23" s="442" customFormat="1" ht="9.75" customHeight="1" x14ac:dyDescent="0.15">
      <c r="A407" s="950" t="s">
        <v>799</v>
      </c>
      <c r="B407" s="442">
        <v>140919</v>
      </c>
      <c r="C407" s="442">
        <v>138380</v>
      </c>
      <c r="D407" s="442" t="s">
        <v>648</v>
      </c>
      <c r="E407" s="442" t="s">
        <v>648</v>
      </c>
      <c r="F407" s="442">
        <v>7245281</v>
      </c>
      <c r="G407" s="442">
        <v>1008448</v>
      </c>
      <c r="H407" s="442">
        <v>6236833</v>
      </c>
      <c r="I407" s="442" t="s">
        <v>648</v>
      </c>
      <c r="J407" s="442" t="s">
        <v>648</v>
      </c>
      <c r="K407" s="442">
        <v>522666</v>
      </c>
      <c r="L407" s="442">
        <v>522666</v>
      </c>
      <c r="M407" s="442">
        <v>1623964</v>
      </c>
      <c r="N407" s="442">
        <v>632936</v>
      </c>
      <c r="O407" s="442">
        <v>87868</v>
      </c>
      <c r="P407" s="442" t="s">
        <v>648</v>
      </c>
      <c r="Q407" s="442">
        <v>127140</v>
      </c>
      <c r="R407" s="442">
        <v>199378</v>
      </c>
      <c r="S407" s="442">
        <v>57854</v>
      </c>
      <c r="T407" s="442">
        <v>160696</v>
      </c>
      <c r="U407" s="442">
        <v>635550</v>
      </c>
      <c r="V407" s="442">
        <v>635550</v>
      </c>
      <c r="W407" s="447" t="s">
        <v>673</v>
      </c>
    </row>
    <row r="408" spans="1:23" s="442" customFormat="1" ht="9.75" customHeight="1" x14ac:dyDescent="0.15">
      <c r="A408" s="950" t="s">
        <v>800</v>
      </c>
      <c r="B408" s="442">
        <v>123192</v>
      </c>
      <c r="C408" s="442">
        <v>190512</v>
      </c>
      <c r="D408" s="442" t="s">
        <v>648</v>
      </c>
      <c r="E408" s="442" t="s">
        <v>648</v>
      </c>
      <c r="F408" s="442">
        <v>7510701</v>
      </c>
      <c r="G408" s="442">
        <v>1203170</v>
      </c>
      <c r="H408" s="442">
        <v>6307531</v>
      </c>
      <c r="I408" s="442" t="s">
        <v>648</v>
      </c>
      <c r="J408" s="442" t="s">
        <v>648</v>
      </c>
      <c r="K408" s="442">
        <v>492459</v>
      </c>
      <c r="L408" s="442">
        <v>492459</v>
      </c>
      <c r="M408" s="442">
        <v>1539958</v>
      </c>
      <c r="N408" s="442">
        <v>473169</v>
      </c>
      <c r="O408" s="442">
        <v>82182</v>
      </c>
      <c r="P408" s="442">
        <v>23309</v>
      </c>
      <c r="Q408" s="442" t="s">
        <v>648</v>
      </c>
      <c r="R408" s="442">
        <v>166652</v>
      </c>
      <c r="S408" s="442">
        <v>88630</v>
      </c>
      <c r="T408" s="442">
        <v>112396</v>
      </c>
      <c r="U408" s="442">
        <v>672470</v>
      </c>
      <c r="V408" s="442">
        <v>672470</v>
      </c>
      <c r="W408" s="447" t="s">
        <v>771</v>
      </c>
    </row>
    <row r="409" spans="1:23" s="442" customFormat="1" ht="6.75" customHeight="1" x14ac:dyDescent="0.15">
      <c r="A409" s="950"/>
      <c r="W409" s="447"/>
    </row>
    <row r="410" spans="1:23" s="442" customFormat="1" ht="9.75" customHeight="1" x14ac:dyDescent="0.15">
      <c r="A410" s="950" t="s">
        <v>772</v>
      </c>
      <c r="B410" s="442" t="s">
        <v>648</v>
      </c>
      <c r="C410" s="442" t="s">
        <v>648</v>
      </c>
      <c r="D410" s="442" t="s">
        <v>648</v>
      </c>
      <c r="E410" s="442" t="s">
        <v>648</v>
      </c>
      <c r="F410" s="442">
        <v>2530823</v>
      </c>
      <c r="G410" s="442">
        <v>333984</v>
      </c>
      <c r="H410" s="442">
        <v>2196839</v>
      </c>
      <c r="I410" s="442" t="s">
        <v>648</v>
      </c>
      <c r="J410" s="442" t="s">
        <v>648</v>
      </c>
      <c r="K410" s="442">
        <v>88393</v>
      </c>
      <c r="L410" s="442">
        <v>88393</v>
      </c>
      <c r="M410" s="442">
        <v>398794</v>
      </c>
      <c r="N410" s="442">
        <v>185256</v>
      </c>
      <c r="O410" s="442">
        <v>22700</v>
      </c>
      <c r="P410" s="442" t="s">
        <v>648</v>
      </c>
      <c r="Q410" s="442">
        <v>56983</v>
      </c>
      <c r="R410" s="442">
        <v>105573</v>
      </c>
      <c r="S410" s="442" t="s">
        <v>648</v>
      </c>
      <c r="T410" s="442" t="s">
        <v>648</v>
      </c>
      <c r="U410" s="442">
        <v>156733</v>
      </c>
      <c r="V410" s="442">
        <v>156733</v>
      </c>
      <c r="W410" s="447" t="s">
        <v>674</v>
      </c>
    </row>
    <row r="411" spans="1:23" s="442" customFormat="1" ht="9.75" customHeight="1" x14ac:dyDescent="0.15">
      <c r="A411" s="950" t="s">
        <v>773</v>
      </c>
      <c r="B411" s="442">
        <v>35379</v>
      </c>
      <c r="C411" s="442" t="s">
        <v>648</v>
      </c>
      <c r="D411" s="442" t="s">
        <v>648</v>
      </c>
      <c r="E411" s="442" t="s">
        <v>648</v>
      </c>
      <c r="F411" s="442">
        <v>1734132</v>
      </c>
      <c r="G411" s="442">
        <v>325264</v>
      </c>
      <c r="H411" s="442">
        <v>1408868</v>
      </c>
      <c r="I411" s="442" t="s">
        <v>648</v>
      </c>
      <c r="J411" s="442" t="s">
        <v>648</v>
      </c>
      <c r="K411" s="442">
        <v>47878</v>
      </c>
      <c r="L411" s="442">
        <v>47878</v>
      </c>
      <c r="M411" s="442">
        <v>325169</v>
      </c>
      <c r="N411" s="442">
        <v>125718</v>
      </c>
      <c r="O411" s="442">
        <v>24051</v>
      </c>
      <c r="P411" s="442" t="s">
        <v>648</v>
      </c>
      <c r="Q411" s="442" t="s">
        <v>648</v>
      </c>
      <c r="R411" s="442">
        <v>68924</v>
      </c>
      <c r="S411" s="442">
        <v>32743</v>
      </c>
      <c r="T411" s="442" t="s">
        <v>648</v>
      </c>
      <c r="U411" s="442">
        <v>132707</v>
      </c>
      <c r="V411" s="442">
        <v>132707</v>
      </c>
      <c r="W411" s="447" t="s">
        <v>92</v>
      </c>
    </row>
    <row r="412" spans="1:23" s="442" customFormat="1" ht="9.75" customHeight="1" x14ac:dyDescent="0.15">
      <c r="A412" s="950" t="s">
        <v>774</v>
      </c>
      <c r="B412" s="442">
        <v>23116</v>
      </c>
      <c r="C412" s="442">
        <v>49405</v>
      </c>
      <c r="D412" s="442" t="s">
        <v>648</v>
      </c>
      <c r="E412" s="442" t="s">
        <v>648</v>
      </c>
      <c r="F412" s="442">
        <v>1649018</v>
      </c>
      <c r="G412" s="442">
        <v>290126</v>
      </c>
      <c r="H412" s="442">
        <v>1358892</v>
      </c>
      <c r="I412" s="442" t="s">
        <v>648</v>
      </c>
      <c r="J412" s="442" t="s">
        <v>648</v>
      </c>
      <c r="K412" s="442">
        <v>107228</v>
      </c>
      <c r="L412" s="442">
        <v>107228</v>
      </c>
      <c r="M412" s="442">
        <v>457551</v>
      </c>
      <c r="N412" s="442">
        <v>89384</v>
      </c>
      <c r="O412" s="442">
        <v>11978</v>
      </c>
      <c r="P412" s="442" t="s">
        <v>648</v>
      </c>
      <c r="Q412" s="442" t="s">
        <v>648</v>
      </c>
      <c r="R412" s="442">
        <v>12067</v>
      </c>
      <c r="S412" s="442">
        <v>22614</v>
      </c>
      <c r="T412" s="442">
        <v>42725</v>
      </c>
      <c r="U412" s="442">
        <v>286814</v>
      </c>
      <c r="V412" s="442">
        <v>286814</v>
      </c>
      <c r="W412" s="447" t="s">
        <v>93</v>
      </c>
    </row>
    <row r="413" spans="1:23" s="442" customFormat="1" ht="9.75" customHeight="1" x14ac:dyDescent="0.15">
      <c r="A413" s="950" t="s">
        <v>801</v>
      </c>
      <c r="B413" s="442">
        <v>21503</v>
      </c>
      <c r="C413" s="442">
        <v>33802</v>
      </c>
      <c r="D413" s="442" t="s">
        <v>648</v>
      </c>
      <c r="E413" s="442" t="s">
        <v>648</v>
      </c>
      <c r="F413" s="442">
        <v>1880683</v>
      </c>
      <c r="G413" s="442">
        <v>263778</v>
      </c>
      <c r="H413" s="442">
        <v>1616905</v>
      </c>
      <c r="I413" s="442" t="s">
        <v>648</v>
      </c>
      <c r="J413" s="442" t="s">
        <v>648</v>
      </c>
      <c r="K413" s="442">
        <v>200524</v>
      </c>
      <c r="L413" s="442">
        <v>200524</v>
      </c>
      <c r="M413" s="442">
        <v>322500</v>
      </c>
      <c r="N413" s="442">
        <v>56860</v>
      </c>
      <c r="O413" s="442">
        <v>23099</v>
      </c>
      <c r="P413" s="442" t="s">
        <v>648</v>
      </c>
      <c r="Q413" s="442" t="s">
        <v>648</v>
      </c>
      <c r="R413" s="442" t="s">
        <v>648</v>
      </c>
      <c r="S413" s="442">
        <v>21455</v>
      </c>
      <c r="T413" s="442">
        <v>12306</v>
      </c>
      <c r="U413" s="442">
        <v>132738</v>
      </c>
      <c r="V413" s="442">
        <v>132738</v>
      </c>
      <c r="W413" s="447" t="s">
        <v>94</v>
      </c>
    </row>
    <row r="414" spans="1:23" s="442" customFormat="1" ht="9.75" customHeight="1" x14ac:dyDescent="0.15">
      <c r="A414" s="950" t="s">
        <v>809</v>
      </c>
      <c r="B414" s="442">
        <v>43194</v>
      </c>
      <c r="C414" s="442">
        <v>107305</v>
      </c>
      <c r="D414" s="442" t="s">
        <v>648</v>
      </c>
      <c r="E414" s="442" t="s">
        <v>648</v>
      </c>
      <c r="F414" s="442">
        <v>2246868</v>
      </c>
      <c r="G414" s="442">
        <v>324002</v>
      </c>
      <c r="H414" s="442">
        <v>1922866</v>
      </c>
      <c r="I414" s="442" t="s">
        <v>648</v>
      </c>
      <c r="J414" s="442" t="s">
        <v>648</v>
      </c>
      <c r="K414" s="442">
        <v>136829</v>
      </c>
      <c r="L414" s="442">
        <v>136829</v>
      </c>
      <c r="M414" s="442">
        <v>434738</v>
      </c>
      <c r="N414" s="442">
        <v>201207</v>
      </c>
      <c r="O414" s="442">
        <v>23054</v>
      </c>
      <c r="P414" s="442">
        <v>23309</v>
      </c>
      <c r="Q414" s="442" t="s">
        <v>648</v>
      </c>
      <c r="R414" s="442">
        <v>85661</v>
      </c>
      <c r="S414" s="442">
        <v>11818</v>
      </c>
      <c r="T414" s="442">
        <v>57365</v>
      </c>
      <c r="U414" s="442">
        <v>120211</v>
      </c>
      <c r="V414" s="442">
        <v>120211</v>
      </c>
      <c r="W414" s="447" t="s">
        <v>777</v>
      </c>
    </row>
    <row r="415" spans="1:23" s="442" customFormat="1" ht="6.75" customHeight="1" x14ac:dyDescent="0.15">
      <c r="A415" s="950"/>
      <c r="W415" s="447"/>
    </row>
    <row r="416" spans="1:23" s="442" customFormat="1" ht="9.75" customHeight="1" x14ac:dyDescent="0.15">
      <c r="A416" s="950" t="s">
        <v>778</v>
      </c>
      <c r="B416" s="442" t="s">
        <v>648</v>
      </c>
      <c r="C416" s="442" t="s">
        <v>648</v>
      </c>
      <c r="D416" s="442" t="s">
        <v>648</v>
      </c>
      <c r="E416" s="442" t="s">
        <v>648</v>
      </c>
      <c r="F416" s="442">
        <v>858557</v>
      </c>
      <c r="G416" s="442">
        <v>90120</v>
      </c>
      <c r="H416" s="442">
        <v>768437</v>
      </c>
      <c r="I416" s="442" t="s">
        <v>648</v>
      </c>
      <c r="J416" s="442" t="s">
        <v>648</v>
      </c>
      <c r="K416" s="442">
        <v>29129</v>
      </c>
      <c r="L416" s="442">
        <v>29129</v>
      </c>
      <c r="M416" s="442">
        <v>185112</v>
      </c>
      <c r="N416" s="442">
        <v>79918</v>
      </c>
      <c r="O416" s="442" t="s">
        <v>648</v>
      </c>
      <c r="P416" s="442" t="s">
        <v>648</v>
      </c>
      <c r="Q416" s="442">
        <v>56983</v>
      </c>
      <c r="R416" s="442">
        <v>22935</v>
      </c>
      <c r="S416" s="442" t="s">
        <v>648</v>
      </c>
      <c r="T416" s="442" t="s">
        <v>648</v>
      </c>
      <c r="U416" s="442">
        <v>70683</v>
      </c>
      <c r="V416" s="442">
        <v>70683</v>
      </c>
      <c r="W416" s="447" t="s">
        <v>675</v>
      </c>
    </row>
    <row r="417" spans="1:23" s="442" customFormat="1" ht="9.75" customHeight="1" x14ac:dyDescent="0.15">
      <c r="A417" s="950" t="s">
        <v>779</v>
      </c>
      <c r="B417" s="442" t="s">
        <v>648</v>
      </c>
      <c r="C417" s="442" t="s">
        <v>648</v>
      </c>
      <c r="D417" s="442" t="s">
        <v>648</v>
      </c>
      <c r="E417" s="442" t="s">
        <v>648</v>
      </c>
      <c r="F417" s="442">
        <v>934473</v>
      </c>
      <c r="G417" s="442">
        <v>151310</v>
      </c>
      <c r="H417" s="442">
        <v>783163</v>
      </c>
      <c r="I417" s="442" t="s">
        <v>648</v>
      </c>
      <c r="J417" s="442" t="s">
        <v>648</v>
      </c>
      <c r="K417" s="442">
        <v>27456</v>
      </c>
      <c r="L417" s="442">
        <v>27456</v>
      </c>
      <c r="M417" s="442">
        <v>126731</v>
      </c>
      <c r="N417" s="442">
        <v>58927</v>
      </c>
      <c r="O417" s="442">
        <v>22700</v>
      </c>
      <c r="P417" s="442" t="s">
        <v>648</v>
      </c>
      <c r="Q417" s="442" t="s">
        <v>648</v>
      </c>
      <c r="R417" s="442">
        <v>36227</v>
      </c>
      <c r="S417" s="442" t="s">
        <v>648</v>
      </c>
      <c r="T417" s="442" t="s">
        <v>648</v>
      </c>
      <c r="U417" s="442">
        <v>57123</v>
      </c>
      <c r="V417" s="442">
        <v>57123</v>
      </c>
      <c r="W417" s="447" t="s">
        <v>80</v>
      </c>
    </row>
    <row r="418" spans="1:23" s="442" customFormat="1" ht="9.75" customHeight="1" x14ac:dyDescent="0.15">
      <c r="A418" s="950" t="s">
        <v>780</v>
      </c>
      <c r="B418" s="442" t="s">
        <v>648</v>
      </c>
      <c r="C418" s="442" t="s">
        <v>648</v>
      </c>
      <c r="D418" s="442" t="s">
        <v>648</v>
      </c>
      <c r="E418" s="442" t="s">
        <v>648</v>
      </c>
      <c r="F418" s="442">
        <v>737793</v>
      </c>
      <c r="G418" s="442">
        <v>92554</v>
      </c>
      <c r="H418" s="442">
        <v>645239</v>
      </c>
      <c r="I418" s="442" t="s">
        <v>648</v>
      </c>
      <c r="J418" s="442" t="s">
        <v>648</v>
      </c>
      <c r="K418" s="442">
        <v>31808</v>
      </c>
      <c r="L418" s="442">
        <v>31808</v>
      </c>
      <c r="M418" s="442">
        <v>86951</v>
      </c>
      <c r="N418" s="442">
        <v>46411</v>
      </c>
      <c r="O418" s="442" t="s">
        <v>648</v>
      </c>
      <c r="P418" s="442" t="s">
        <v>648</v>
      </c>
      <c r="Q418" s="442" t="s">
        <v>648</v>
      </c>
      <c r="R418" s="442">
        <v>46411</v>
      </c>
      <c r="S418" s="442" t="s">
        <v>648</v>
      </c>
      <c r="T418" s="442" t="s">
        <v>648</v>
      </c>
      <c r="U418" s="442">
        <v>28927</v>
      </c>
      <c r="V418" s="442">
        <v>28927</v>
      </c>
      <c r="W418" s="447" t="s">
        <v>81</v>
      </c>
    </row>
    <row r="419" spans="1:23" s="442" customFormat="1" ht="9.75" customHeight="1" x14ac:dyDescent="0.15">
      <c r="A419" s="950" t="s">
        <v>781</v>
      </c>
      <c r="B419" s="442" t="s">
        <v>648</v>
      </c>
      <c r="C419" s="442" t="s">
        <v>648</v>
      </c>
      <c r="D419" s="442" t="s">
        <v>648</v>
      </c>
      <c r="E419" s="442" t="s">
        <v>648</v>
      </c>
      <c r="F419" s="442">
        <v>579799</v>
      </c>
      <c r="G419" s="442">
        <v>166949</v>
      </c>
      <c r="H419" s="442">
        <v>412850</v>
      </c>
      <c r="I419" s="442" t="s">
        <v>648</v>
      </c>
      <c r="J419" s="442" t="s">
        <v>648</v>
      </c>
      <c r="K419" s="442">
        <v>19904</v>
      </c>
      <c r="L419" s="442">
        <v>19904</v>
      </c>
      <c r="M419" s="442">
        <v>107117</v>
      </c>
      <c r="N419" s="442">
        <v>56885</v>
      </c>
      <c r="O419" s="442" t="s">
        <v>648</v>
      </c>
      <c r="P419" s="442" t="s">
        <v>648</v>
      </c>
      <c r="Q419" s="442" t="s">
        <v>648</v>
      </c>
      <c r="R419" s="442">
        <v>56885</v>
      </c>
      <c r="S419" s="442" t="s">
        <v>648</v>
      </c>
      <c r="T419" s="442" t="s">
        <v>648</v>
      </c>
      <c r="U419" s="442">
        <v>36518</v>
      </c>
      <c r="V419" s="442">
        <v>36518</v>
      </c>
      <c r="W419" s="447" t="s">
        <v>82</v>
      </c>
    </row>
    <row r="420" spans="1:23" s="442" customFormat="1" ht="9.75" customHeight="1" x14ac:dyDescent="0.15">
      <c r="A420" s="950" t="s">
        <v>782</v>
      </c>
      <c r="B420" s="442">
        <v>10503</v>
      </c>
      <c r="C420" s="442" t="s">
        <v>648</v>
      </c>
      <c r="D420" s="442" t="s">
        <v>648</v>
      </c>
      <c r="E420" s="442" t="s">
        <v>648</v>
      </c>
      <c r="F420" s="442">
        <v>590507</v>
      </c>
      <c r="G420" s="442">
        <v>98372</v>
      </c>
      <c r="H420" s="442">
        <v>492135</v>
      </c>
      <c r="I420" s="442" t="s">
        <v>648</v>
      </c>
      <c r="J420" s="442" t="s">
        <v>648</v>
      </c>
      <c r="K420" s="442">
        <v>27974</v>
      </c>
      <c r="L420" s="442">
        <v>27974</v>
      </c>
      <c r="M420" s="442">
        <v>135284</v>
      </c>
      <c r="N420" s="442">
        <v>34517</v>
      </c>
      <c r="O420" s="442">
        <v>24051</v>
      </c>
      <c r="P420" s="442" t="s">
        <v>648</v>
      </c>
      <c r="Q420" s="442" t="s">
        <v>648</v>
      </c>
      <c r="R420" s="442" t="s">
        <v>648</v>
      </c>
      <c r="S420" s="442">
        <v>10466</v>
      </c>
      <c r="T420" s="442" t="s">
        <v>648</v>
      </c>
      <c r="U420" s="442">
        <v>47737</v>
      </c>
      <c r="V420" s="442">
        <v>47737</v>
      </c>
      <c r="W420" s="447" t="s">
        <v>95</v>
      </c>
    </row>
    <row r="421" spans="1:23" s="442" customFormat="1" ht="9.75" customHeight="1" x14ac:dyDescent="0.15">
      <c r="A421" s="950" t="s">
        <v>783</v>
      </c>
      <c r="B421" s="442">
        <v>24876</v>
      </c>
      <c r="C421" s="442" t="s">
        <v>648</v>
      </c>
      <c r="D421" s="442" t="s">
        <v>648</v>
      </c>
      <c r="E421" s="442" t="s">
        <v>648</v>
      </c>
      <c r="F421" s="442">
        <v>563826</v>
      </c>
      <c r="G421" s="442">
        <v>59943</v>
      </c>
      <c r="H421" s="442">
        <v>503883</v>
      </c>
      <c r="I421" s="442" t="s">
        <v>648</v>
      </c>
      <c r="J421" s="442" t="s">
        <v>648</v>
      </c>
      <c r="K421" s="442" t="s">
        <v>648</v>
      </c>
      <c r="L421" s="442" t="s">
        <v>648</v>
      </c>
      <c r="M421" s="442">
        <v>82768</v>
      </c>
      <c r="N421" s="442">
        <v>34316</v>
      </c>
      <c r="O421" s="442" t="s">
        <v>648</v>
      </c>
      <c r="P421" s="442" t="s">
        <v>648</v>
      </c>
      <c r="Q421" s="442" t="s">
        <v>648</v>
      </c>
      <c r="R421" s="442">
        <v>12039</v>
      </c>
      <c r="S421" s="442">
        <v>22277</v>
      </c>
      <c r="T421" s="442" t="s">
        <v>648</v>
      </c>
      <c r="U421" s="442">
        <v>48452</v>
      </c>
      <c r="V421" s="442">
        <v>48452</v>
      </c>
      <c r="W421" s="447" t="s">
        <v>96</v>
      </c>
    </row>
    <row r="422" spans="1:23" s="442" customFormat="1" ht="9.75" customHeight="1" x14ac:dyDescent="0.15">
      <c r="A422" s="950" t="s">
        <v>784</v>
      </c>
      <c r="B422" s="442" t="s">
        <v>648</v>
      </c>
      <c r="C422" s="442">
        <v>22931</v>
      </c>
      <c r="D422" s="442" t="s">
        <v>648</v>
      </c>
      <c r="E422" s="442" t="s">
        <v>648</v>
      </c>
      <c r="F422" s="442">
        <v>518062</v>
      </c>
      <c r="G422" s="442">
        <v>57785</v>
      </c>
      <c r="H422" s="442">
        <v>460277</v>
      </c>
      <c r="I422" s="442" t="s">
        <v>648</v>
      </c>
      <c r="J422" s="442" t="s">
        <v>648</v>
      </c>
      <c r="K422" s="442">
        <v>21325</v>
      </c>
      <c r="L422" s="442">
        <v>21325</v>
      </c>
      <c r="M422" s="442">
        <v>170170</v>
      </c>
      <c r="N422" s="442">
        <v>34021</v>
      </c>
      <c r="O422" s="442" t="s">
        <v>648</v>
      </c>
      <c r="P422" s="442" t="s">
        <v>648</v>
      </c>
      <c r="Q422" s="442" t="s">
        <v>648</v>
      </c>
      <c r="R422" s="442">
        <v>12067</v>
      </c>
      <c r="S422" s="442" t="s">
        <v>648</v>
      </c>
      <c r="T422" s="442">
        <v>21954</v>
      </c>
      <c r="U422" s="442">
        <v>125792</v>
      </c>
      <c r="V422" s="442">
        <v>125792</v>
      </c>
      <c r="W422" s="447" t="s">
        <v>97</v>
      </c>
    </row>
    <row r="423" spans="1:23" s="442" customFormat="1" ht="9.75" customHeight="1" x14ac:dyDescent="0.15">
      <c r="A423" s="950" t="s">
        <v>806</v>
      </c>
      <c r="B423" s="442">
        <v>23116</v>
      </c>
      <c r="C423" s="442">
        <v>26474</v>
      </c>
      <c r="D423" s="442" t="s">
        <v>648</v>
      </c>
      <c r="E423" s="442" t="s">
        <v>648</v>
      </c>
      <c r="F423" s="442">
        <v>572166</v>
      </c>
      <c r="G423" s="442">
        <v>92863</v>
      </c>
      <c r="H423" s="442">
        <v>479303</v>
      </c>
      <c r="I423" s="442" t="s">
        <v>648</v>
      </c>
      <c r="J423" s="442" t="s">
        <v>648</v>
      </c>
      <c r="K423" s="442">
        <v>10253</v>
      </c>
      <c r="L423" s="442">
        <v>10253</v>
      </c>
      <c r="M423" s="442">
        <v>158669</v>
      </c>
      <c r="N423" s="442">
        <v>54403</v>
      </c>
      <c r="O423" s="442">
        <v>11018</v>
      </c>
      <c r="P423" s="442" t="s">
        <v>648</v>
      </c>
      <c r="Q423" s="442" t="s">
        <v>648</v>
      </c>
      <c r="R423" s="442" t="s">
        <v>648</v>
      </c>
      <c r="S423" s="442">
        <v>22614</v>
      </c>
      <c r="T423" s="442">
        <v>20771</v>
      </c>
      <c r="U423" s="442">
        <v>94036</v>
      </c>
      <c r="V423" s="442">
        <v>94036</v>
      </c>
      <c r="W423" s="447" t="s">
        <v>98</v>
      </c>
    </row>
    <row r="424" spans="1:23" s="442" customFormat="1" ht="9.75" customHeight="1" x14ac:dyDescent="0.15">
      <c r="A424" s="950" t="s">
        <v>786</v>
      </c>
      <c r="B424" s="442" t="s">
        <v>648</v>
      </c>
      <c r="C424" s="442" t="s">
        <v>648</v>
      </c>
      <c r="D424" s="442" t="s">
        <v>648</v>
      </c>
      <c r="E424" s="442" t="s">
        <v>648</v>
      </c>
      <c r="F424" s="442">
        <v>558790</v>
      </c>
      <c r="G424" s="442">
        <v>139478</v>
      </c>
      <c r="H424" s="442">
        <v>419312</v>
      </c>
      <c r="I424" s="442" t="s">
        <v>648</v>
      </c>
      <c r="J424" s="442" t="s">
        <v>648</v>
      </c>
      <c r="K424" s="442">
        <v>75650</v>
      </c>
      <c r="L424" s="442">
        <v>75650</v>
      </c>
      <c r="M424" s="442">
        <v>128712</v>
      </c>
      <c r="N424" s="442">
        <v>960</v>
      </c>
      <c r="O424" s="442">
        <v>960</v>
      </c>
      <c r="P424" s="442" t="s">
        <v>648</v>
      </c>
      <c r="Q424" s="442" t="s">
        <v>648</v>
      </c>
      <c r="R424" s="442" t="s">
        <v>648</v>
      </c>
      <c r="S424" s="442" t="s">
        <v>648</v>
      </c>
      <c r="T424" s="442" t="s">
        <v>648</v>
      </c>
      <c r="U424" s="442">
        <v>66986</v>
      </c>
      <c r="V424" s="442">
        <v>66986</v>
      </c>
      <c r="W424" s="447" t="s">
        <v>99</v>
      </c>
    </row>
    <row r="425" spans="1:23" s="442" customFormat="1" ht="9.75" customHeight="1" x14ac:dyDescent="0.15">
      <c r="A425" s="950" t="s">
        <v>807</v>
      </c>
      <c r="B425" s="442" t="s">
        <v>648</v>
      </c>
      <c r="C425" s="442" t="s">
        <v>648</v>
      </c>
      <c r="D425" s="442" t="s">
        <v>648</v>
      </c>
      <c r="E425" s="442" t="s">
        <v>648</v>
      </c>
      <c r="F425" s="442">
        <v>685327</v>
      </c>
      <c r="G425" s="442">
        <v>46312</v>
      </c>
      <c r="H425" s="442">
        <v>639015</v>
      </c>
      <c r="I425" s="442" t="s">
        <v>648</v>
      </c>
      <c r="J425" s="442" t="s">
        <v>648</v>
      </c>
      <c r="K425" s="442">
        <v>77582</v>
      </c>
      <c r="L425" s="442">
        <v>77582</v>
      </c>
      <c r="M425" s="442">
        <v>62713</v>
      </c>
      <c r="N425" s="442" t="s">
        <v>648</v>
      </c>
      <c r="O425" s="442" t="s">
        <v>648</v>
      </c>
      <c r="P425" s="442" t="s">
        <v>648</v>
      </c>
      <c r="Q425" s="442" t="s">
        <v>648</v>
      </c>
      <c r="R425" s="442" t="s">
        <v>648</v>
      </c>
      <c r="S425" s="442" t="s">
        <v>648</v>
      </c>
      <c r="T425" s="442" t="s">
        <v>648</v>
      </c>
      <c r="U425" s="442">
        <v>18098</v>
      </c>
      <c r="V425" s="442">
        <v>18098</v>
      </c>
      <c r="W425" s="447" t="s">
        <v>83</v>
      </c>
    </row>
    <row r="426" spans="1:23" s="442" customFormat="1" ht="9.75" customHeight="1" x14ac:dyDescent="0.15">
      <c r="A426" s="950" t="s">
        <v>788</v>
      </c>
      <c r="B426" s="442" t="s">
        <v>648</v>
      </c>
      <c r="C426" s="442" t="s">
        <v>648</v>
      </c>
      <c r="D426" s="442" t="s">
        <v>648</v>
      </c>
      <c r="E426" s="442" t="s">
        <v>648</v>
      </c>
      <c r="F426" s="442">
        <v>548210</v>
      </c>
      <c r="G426" s="442">
        <v>111827</v>
      </c>
      <c r="H426" s="442">
        <v>436383</v>
      </c>
      <c r="I426" s="442" t="s">
        <v>648</v>
      </c>
      <c r="J426" s="442" t="s">
        <v>648</v>
      </c>
      <c r="K426" s="442">
        <v>64532</v>
      </c>
      <c r="L426" s="442">
        <v>64532</v>
      </c>
      <c r="M426" s="442">
        <v>134581</v>
      </c>
      <c r="N426" s="442">
        <v>23099</v>
      </c>
      <c r="O426" s="442">
        <v>23099</v>
      </c>
      <c r="P426" s="442" t="s">
        <v>648</v>
      </c>
      <c r="Q426" s="442" t="s">
        <v>648</v>
      </c>
      <c r="R426" s="442" t="s">
        <v>648</v>
      </c>
      <c r="S426" s="442" t="s">
        <v>648</v>
      </c>
      <c r="T426" s="442" t="s">
        <v>648</v>
      </c>
      <c r="U426" s="442">
        <v>58744</v>
      </c>
      <c r="V426" s="442">
        <v>58744</v>
      </c>
      <c r="W426" s="447" t="s">
        <v>84</v>
      </c>
    </row>
    <row r="427" spans="1:23" s="442" customFormat="1" ht="9.75" customHeight="1" x14ac:dyDescent="0.15">
      <c r="A427" s="950" t="s">
        <v>789</v>
      </c>
      <c r="B427" s="442">
        <v>21503</v>
      </c>
      <c r="C427" s="442">
        <v>33802</v>
      </c>
      <c r="D427" s="442" t="s">
        <v>648</v>
      </c>
      <c r="E427" s="442" t="s">
        <v>648</v>
      </c>
      <c r="F427" s="442">
        <v>647146</v>
      </c>
      <c r="G427" s="442">
        <v>105639</v>
      </c>
      <c r="H427" s="442">
        <v>541507</v>
      </c>
      <c r="I427" s="442" t="s">
        <v>648</v>
      </c>
      <c r="J427" s="442" t="s">
        <v>648</v>
      </c>
      <c r="K427" s="442">
        <v>58410</v>
      </c>
      <c r="L427" s="442">
        <v>58410</v>
      </c>
      <c r="M427" s="442">
        <v>125206</v>
      </c>
      <c r="N427" s="442">
        <v>33761</v>
      </c>
      <c r="O427" s="442" t="s">
        <v>648</v>
      </c>
      <c r="P427" s="442" t="s">
        <v>648</v>
      </c>
      <c r="Q427" s="442" t="s">
        <v>648</v>
      </c>
      <c r="R427" s="442" t="s">
        <v>648</v>
      </c>
      <c r="S427" s="442">
        <v>21455</v>
      </c>
      <c r="T427" s="442">
        <v>12306</v>
      </c>
      <c r="U427" s="442">
        <v>55896</v>
      </c>
      <c r="V427" s="442">
        <v>55896</v>
      </c>
      <c r="W427" s="447" t="s">
        <v>85</v>
      </c>
    </row>
    <row r="428" spans="1:23" s="442" customFormat="1" ht="9.75" customHeight="1" x14ac:dyDescent="0.15">
      <c r="A428" s="950" t="s">
        <v>790</v>
      </c>
      <c r="B428" s="442">
        <v>34193</v>
      </c>
      <c r="C428" s="442">
        <v>36052</v>
      </c>
      <c r="D428" s="442" t="s">
        <v>648</v>
      </c>
      <c r="E428" s="442" t="s">
        <v>648</v>
      </c>
      <c r="F428" s="442">
        <v>827924</v>
      </c>
      <c r="G428" s="442">
        <v>121976</v>
      </c>
      <c r="H428" s="442">
        <v>705948</v>
      </c>
      <c r="I428" s="442" t="s">
        <v>648</v>
      </c>
      <c r="J428" s="442" t="s">
        <v>648</v>
      </c>
      <c r="K428" s="442">
        <v>33678</v>
      </c>
      <c r="L428" s="442">
        <v>33678</v>
      </c>
      <c r="M428" s="442">
        <v>169992</v>
      </c>
      <c r="N428" s="442">
        <v>82491</v>
      </c>
      <c r="O428" s="442" t="s">
        <v>648</v>
      </c>
      <c r="P428" s="442">
        <v>23309</v>
      </c>
      <c r="Q428" s="442" t="s">
        <v>648</v>
      </c>
      <c r="R428" s="442">
        <v>12780</v>
      </c>
      <c r="S428" s="442">
        <v>11818</v>
      </c>
      <c r="T428" s="442">
        <v>34584</v>
      </c>
      <c r="U428" s="442">
        <v>55050</v>
      </c>
      <c r="V428" s="442">
        <v>55050</v>
      </c>
      <c r="W428" s="447" t="s">
        <v>791</v>
      </c>
    </row>
    <row r="429" spans="1:23" s="442" customFormat="1" ht="9.75" customHeight="1" x14ac:dyDescent="0.15">
      <c r="A429" s="950" t="s">
        <v>792</v>
      </c>
      <c r="B429" s="442" t="s">
        <v>648</v>
      </c>
      <c r="C429" s="442">
        <v>24263</v>
      </c>
      <c r="D429" s="442" t="s">
        <v>648</v>
      </c>
      <c r="E429" s="442" t="s">
        <v>648</v>
      </c>
      <c r="F429" s="442">
        <v>638450</v>
      </c>
      <c r="G429" s="442">
        <v>90216</v>
      </c>
      <c r="H429" s="442">
        <v>548234</v>
      </c>
      <c r="I429" s="442" t="s">
        <v>648</v>
      </c>
      <c r="J429" s="442" t="s">
        <v>648</v>
      </c>
      <c r="K429" s="442">
        <v>41379</v>
      </c>
      <c r="L429" s="442">
        <v>41379</v>
      </c>
      <c r="M429" s="442">
        <v>144178</v>
      </c>
      <c r="N429" s="442">
        <v>45835</v>
      </c>
      <c r="O429" s="442">
        <v>23054</v>
      </c>
      <c r="P429" s="442" t="s">
        <v>648</v>
      </c>
      <c r="Q429" s="442" t="s">
        <v>648</v>
      </c>
      <c r="R429" s="442" t="s">
        <v>648</v>
      </c>
      <c r="S429" s="442" t="s">
        <v>648</v>
      </c>
      <c r="T429" s="442">
        <v>22781</v>
      </c>
      <c r="U429" s="442">
        <v>40880</v>
      </c>
      <c r="V429" s="442">
        <v>40880</v>
      </c>
      <c r="W429" s="447" t="s">
        <v>80</v>
      </c>
    </row>
    <row r="430" spans="1:23" s="442" customFormat="1" ht="9.75" customHeight="1" x14ac:dyDescent="0.15">
      <c r="A430" s="951" t="s">
        <v>793</v>
      </c>
      <c r="B430" s="446">
        <v>9001</v>
      </c>
      <c r="C430" s="445">
        <v>46990</v>
      </c>
      <c r="D430" s="445" t="s">
        <v>648</v>
      </c>
      <c r="E430" s="445" t="s">
        <v>648</v>
      </c>
      <c r="F430" s="445">
        <v>780494</v>
      </c>
      <c r="G430" s="445">
        <v>111810</v>
      </c>
      <c r="H430" s="445">
        <v>668684</v>
      </c>
      <c r="I430" s="445" t="s">
        <v>648</v>
      </c>
      <c r="J430" s="445" t="s">
        <v>648</v>
      </c>
      <c r="K430" s="445">
        <v>61772</v>
      </c>
      <c r="L430" s="445">
        <v>61772</v>
      </c>
      <c r="M430" s="445">
        <v>120568</v>
      </c>
      <c r="N430" s="445">
        <v>72881</v>
      </c>
      <c r="O430" s="445" t="s">
        <v>648</v>
      </c>
      <c r="P430" s="445" t="s">
        <v>648</v>
      </c>
      <c r="Q430" s="445" t="s">
        <v>648</v>
      </c>
      <c r="R430" s="445">
        <v>72881</v>
      </c>
      <c r="S430" s="445" t="s">
        <v>648</v>
      </c>
      <c r="T430" s="445" t="s">
        <v>648</v>
      </c>
      <c r="U430" s="445">
        <v>24281</v>
      </c>
      <c r="V430" s="445">
        <v>24281</v>
      </c>
      <c r="W430" s="443" t="s">
        <v>81</v>
      </c>
    </row>
    <row r="431" spans="1:23" ht="12" customHeight="1" x14ac:dyDescent="0.2"/>
    <row r="432" spans="1:23" ht="12" customHeight="1" x14ac:dyDescent="0.2"/>
    <row r="433" spans="1:23" ht="12" customHeight="1" x14ac:dyDescent="0.15">
      <c r="K433" s="457" t="s">
        <v>100</v>
      </c>
      <c r="V433" s="460" t="s">
        <v>1091</v>
      </c>
    </row>
    <row r="434" spans="1:23" s="453" customFormat="1" ht="21" customHeight="1" x14ac:dyDescent="0.2">
      <c r="A434" s="1089" t="s">
        <v>194</v>
      </c>
      <c r="B434" s="456" t="s">
        <v>299</v>
      </c>
      <c r="C434" s="917"/>
      <c r="D434" s="461" t="s">
        <v>1106</v>
      </c>
      <c r="E434" s="455"/>
      <c r="F434" s="455"/>
      <c r="G434" s="455"/>
      <c r="H434" s="455"/>
      <c r="I434" s="455"/>
      <c r="J434" s="455"/>
      <c r="K434" s="455"/>
      <c r="L434" s="455"/>
      <c r="M434" s="455"/>
      <c r="N434" s="455"/>
      <c r="O434" s="455"/>
      <c r="P434" s="455"/>
      <c r="Q434" s="455"/>
      <c r="R434" s="455"/>
      <c r="S434" s="455"/>
      <c r="T434" s="455"/>
      <c r="U434" s="455"/>
      <c r="V434" s="455"/>
      <c r="W434" s="1092" t="s">
        <v>86</v>
      </c>
    </row>
    <row r="435" spans="1:23" s="453" customFormat="1" ht="21" customHeight="1" x14ac:dyDescent="0.2">
      <c r="A435" s="1090"/>
      <c r="B435" s="918" t="s">
        <v>270</v>
      </c>
      <c r="C435" s="917"/>
      <c r="D435" s="1095" t="s">
        <v>298</v>
      </c>
      <c r="E435" s="918" t="s">
        <v>297</v>
      </c>
      <c r="F435" s="455"/>
      <c r="G435" s="455"/>
      <c r="H435" s="455"/>
      <c r="I435" s="455"/>
      <c r="J435" s="455"/>
      <c r="K435" s="455"/>
      <c r="L435" s="455"/>
      <c r="M435" s="455"/>
      <c r="N435" s="917"/>
      <c r="O435" s="918" t="s">
        <v>289</v>
      </c>
      <c r="P435" s="455"/>
      <c r="Q435" s="455"/>
      <c r="R435" s="455"/>
      <c r="S435" s="455"/>
      <c r="T435" s="917"/>
      <c r="U435" s="918" t="s">
        <v>288</v>
      </c>
      <c r="V435" s="455"/>
      <c r="W435" s="1093"/>
    </row>
    <row r="436" spans="1:23" s="453" customFormat="1" ht="52.5" customHeight="1" x14ac:dyDescent="0.2">
      <c r="A436" s="1091"/>
      <c r="B436" s="920" t="s">
        <v>1094</v>
      </c>
      <c r="C436" s="454" t="s">
        <v>263</v>
      </c>
      <c r="D436" s="1096"/>
      <c r="E436" s="920" t="s">
        <v>1096</v>
      </c>
      <c r="F436" s="454" t="s">
        <v>286</v>
      </c>
      <c r="G436" s="454" t="s">
        <v>313</v>
      </c>
      <c r="H436" s="454" t="s">
        <v>285</v>
      </c>
      <c r="I436" s="454" t="s">
        <v>284</v>
      </c>
      <c r="J436" s="454" t="s">
        <v>283</v>
      </c>
      <c r="K436" s="454" t="s">
        <v>282</v>
      </c>
      <c r="L436" s="454" t="s">
        <v>281</v>
      </c>
      <c r="M436" s="454" t="s">
        <v>280</v>
      </c>
      <c r="N436" s="459" t="s">
        <v>1087</v>
      </c>
      <c r="O436" s="920" t="s">
        <v>109</v>
      </c>
      <c r="P436" s="454" t="s">
        <v>279</v>
      </c>
      <c r="Q436" s="459" t="s">
        <v>714</v>
      </c>
      <c r="R436" s="454" t="s">
        <v>278</v>
      </c>
      <c r="S436" s="454" t="s">
        <v>277</v>
      </c>
      <c r="T436" s="454" t="s">
        <v>275</v>
      </c>
      <c r="U436" s="920" t="s">
        <v>1089</v>
      </c>
      <c r="V436" s="458" t="s">
        <v>274</v>
      </c>
      <c r="W436" s="1094"/>
    </row>
    <row r="437" spans="1:23" s="442" customFormat="1" ht="9.75" customHeight="1" x14ac:dyDescent="0.15">
      <c r="A437" s="949" t="s">
        <v>763</v>
      </c>
      <c r="B437" s="452">
        <v>119139</v>
      </c>
      <c r="C437" s="451">
        <v>119139</v>
      </c>
      <c r="D437" s="451">
        <v>79594758</v>
      </c>
      <c r="E437" s="451">
        <v>41329821</v>
      </c>
      <c r="F437" s="451">
        <v>56724</v>
      </c>
      <c r="G437" s="451" t="s">
        <v>648</v>
      </c>
      <c r="H437" s="451">
        <v>61948</v>
      </c>
      <c r="I437" s="451">
        <v>14489782</v>
      </c>
      <c r="J437" s="451">
        <v>3667628</v>
      </c>
      <c r="K437" s="451">
        <v>5806121</v>
      </c>
      <c r="L437" s="451">
        <v>9915483</v>
      </c>
      <c r="M437" s="451">
        <v>2649165</v>
      </c>
      <c r="N437" s="451">
        <v>4682970</v>
      </c>
      <c r="O437" s="451">
        <v>6714504</v>
      </c>
      <c r="P437" s="451" t="s">
        <v>648</v>
      </c>
      <c r="Q437" s="451" t="s">
        <v>648</v>
      </c>
      <c r="R437" s="451" t="s">
        <v>648</v>
      </c>
      <c r="S437" s="451">
        <v>70781</v>
      </c>
      <c r="T437" s="451">
        <v>6643723</v>
      </c>
      <c r="U437" s="451">
        <v>1004175</v>
      </c>
      <c r="V437" s="451">
        <v>893179</v>
      </c>
      <c r="W437" s="449" t="s">
        <v>464</v>
      </c>
    </row>
    <row r="438" spans="1:23" s="442" customFormat="1" ht="9.75" customHeight="1" x14ac:dyDescent="0.15">
      <c r="A438" s="950" t="s">
        <v>764</v>
      </c>
      <c r="B438" s="442">
        <v>202921</v>
      </c>
      <c r="C438" s="442">
        <v>202921</v>
      </c>
      <c r="D438" s="442">
        <v>77892517</v>
      </c>
      <c r="E438" s="442">
        <v>38239743</v>
      </c>
      <c r="F438" s="442" t="s">
        <v>648</v>
      </c>
      <c r="G438" s="442" t="s">
        <v>648</v>
      </c>
      <c r="H438" s="442">
        <v>90805</v>
      </c>
      <c r="I438" s="442">
        <v>11019206</v>
      </c>
      <c r="J438" s="442">
        <v>4181432</v>
      </c>
      <c r="K438" s="442">
        <v>4651414</v>
      </c>
      <c r="L438" s="442">
        <v>10244398</v>
      </c>
      <c r="M438" s="442">
        <v>3075810</v>
      </c>
      <c r="N438" s="442">
        <v>4976678</v>
      </c>
      <c r="O438" s="442">
        <v>6418747</v>
      </c>
      <c r="P438" s="442">
        <v>63160</v>
      </c>
      <c r="Q438" s="442">
        <v>137587</v>
      </c>
      <c r="R438" s="442" t="s">
        <v>648</v>
      </c>
      <c r="S438" s="442">
        <v>62524</v>
      </c>
      <c r="T438" s="442">
        <v>6155476</v>
      </c>
      <c r="U438" s="442">
        <v>2476259</v>
      </c>
      <c r="V438" s="442">
        <v>2360090</v>
      </c>
      <c r="W438" s="447" t="s">
        <v>489</v>
      </c>
    </row>
    <row r="439" spans="1:23" s="442" customFormat="1" ht="9.75" customHeight="1" x14ac:dyDescent="0.15">
      <c r="A439" s="950" t="s">
        <v>765</v>
      </c>
      <c r="B439" s="442">
        <v>359169</v>
      </c>
      <c r="C439" s="442">
        <v>359169</v>
      </c>
      <c r="D439" s="442">
        <v>72221502</v>
      </c>
      <c r="E439" s="442">
        <v>31189095</v>
      </c>
      <c r="F439" s="442" t="s">
        <v>648</v>
      </c>
      <c r="G439" s="442" t="s">
        <v>648</v>
      </c>
      <c r="H439" s="442" t="s">
        <v>648</v>
      </c>
      <c r="I439" s="442">
        <v>8799251</v>
      </c>
      <c r="J439" s="442">
        <v>4128273</v>
      </c>
      <c r="K439" s="442">
        <v>3789044</v>
      </c>
      <c r="L439" s="442">
        <v>9606633</v>
      </c>
      <c r="M439" s="442">
        <v>2624931</v>
      </c>
      <c r="N439" s="442">
        <v>2240963</v>
      </c>
      <c r="O439" s="442">
        <v>5775107</v>
      </c>
      <c r="P439" s="442" t="s">
        <v>648</v>
      </c>
      <c r="Q439" s="442" t="s">
        <v>648</v>
      </c>
      <c r="R439" s="442" t="s">
        <v>648</v>
      </c>
      <c r="S439" s="442" t="s">
        <v>648</v>
      </c>
      <c r="T439" s="442">
        <v>5775107</v>
      </c>
      <c r="U439" s="442">
        <v>3042781</v>
      </c>
      <c r="V439" s="442">
        <v>2889524</v>
      </c>
      <c r="W439" s="447" t="s">
        <v>549</v>
      </c>
    </row>
    <row r="440" spans="1:23" s="442" customFormat="1" ht="9.75" customHeight="1" x14ac:dyDescent="0.15">
      <c r="A440" s="950" t="s">
        <v>766</v>
      </c>
      <c r="B440" s="442">
        <v>370605</v>
      </c>
      <c r="C440" s="442">
        <v>370605</v>
      </c>
      <c r="D440" s="442">
        <v>67858212</v>
      </c>
      <c r="E440" s="442">
        <v>27747559</v>
      </c>
      <c r="F440" s="442" t="s">
        <v>648</v>
      </c>
      <c r="G440" s="442" t="s">
        <v>648</v>
      </c>
      <c r="H440" s="442" t="s">
        <v>648</v>
      </c>
      <c r="I440" s="442">
        <v>9778243</v>
      </c>
      <c r="J440" s="442">
        <v>3535173</v>
      </c>
      <c r="K440" s="442">
        <v>2092318</v>
      </c>
      <c r="L440" s="442">
        <v>8932029</v>
      </c>
      <c r="M440" s="442">
        <v>2444076</v>
      </c>
      <c r="N440" s="442">
        <v>965720</v>
      </c>
      <c r="O440" s="442">
        <v>5411839</v>
      </c>
      <c r="P440" s="442" t="s">
        <v>648</v>
      </c>
      <c r="Q440" s="442" t="s">
        <v>648</v>
      </c>
      <c r="R440" s="442" t="s">
        <v>648</v>
      </c>
      <c r="S440" s="442" t="s">
        <v>648</v>
      </c>
      <c r="T440" s="442">
        <v>5411839</v>
      </c>
      <c r="U440" s="442">
        <v>4472350</v>
      </c>
      <c r="V440" s="442">
        <v>4472350</v>
      </c>
      <c r="W440" s="447" t="s">
        <v>672</v>
      </c>
    </row>
    <row r="441" spans="1:23" s="442" customFormat="1" ht="9.75" customHeight="1" x14ac:dyDescent="0.15">
      <c r="A441" s="950" t="s">
        <v>767</v>
      </c>
      <c r="B441" s="442">
        <v>337804</v>
      </c>
      <c r="C441" s="442">
        <v>337804</v>
      </c>
      <c r="D441" s="442">
        <v>65369046</v>
      </c>
      <c r="E441" s="442">
        <v>27039975</v>
      </c>
      <c r="F441" s="442" t="s">
        <v>648</v>
      </c>
      <c r="G441" s="442">
        <v>60648</v>
      </c>
      <c r="H441" s="442" t="s">
        <v>648</v>
      </c>
      <c r="I441" s="442">
        <v>9116109</v>
      </c>
      <c r="J441" s="442">
        <v>4071541</v>
      </c>
      <c r="K441" s="442">
        <v>1627621</v>
      </c>
      <c r="L441" s="442">
        <v>9028367</v>
      </c>
      <c r="M441" s="442">
        <v>1810468</v>
      </c>
      <c r="N441" s="442">
        <v>1325221</v>
      </c>
      <c r="O441" s="442">
        <v>5303865</v>
      </c>
      <c r="P441" s="442" t="s">
        <v>648</v>
      </c>
      <c r="Q441" s="442" t="s">
        <v>648</v>
      </c>
      <c r="R441" s="442" t="s">
        <v>648</v>
      </c>
      <c r="S441" s="442">
        <v>28614</v>
      </c>
      <c r="T441" s="442">
        <v>5275251</v>
      </c>
      <c r="U441" s="442">
        <v>6395654</v>
      </c>
      <c r="V441" s="442">
        <v>6318580</v>
      </c>
      <c r="W441" s="447" t="s">
        <v>768</v>
      </c>
    </row>
    <row r="442" spans="1:23" s="442" customFormat="1" ht="6.75" customHeight="1" x14ac:dyDescent="0.15">
      <c r="A442" s="950"/>
      <c r="W442" s="447"/>
    </row>
    <row r="443" spans="1:23" s="442" customFormat="1" ht="9.75" customHeight="1" x14ac:dyDescent="0.15">
      <c r="A443" s="950" t="s">
        <v>799</v>
      </c>
      <c r="B443" s="442">
        <v>355478</v>
      </c>
      <c r="C443" s="442">
        <v>355478</v>
      </c>
      <c r="D443" s="442">
        <v>68577881</v>
      </c>
      <c r="E443" s="442">
        <v>27563500</v>
      </c>
      <c r="F443" s="442" t="s">
        <v>648</v>
      </c>
      <c r="G443" s="442">
        <v>60648</v>
      </c>
      <c r="H443" s="442" t="s">
        <v>648</v>
      </c>
      <c r="I443" s="442">
        <v>9476442</v>
      </c>
      <c r="J443" s="442">
        <v>3660251</v>
      </c>
      <c r="K443" s="442">
        <v>2000705</v>
      </c>
      <c r="L443" s="442">
        <v>9015278</v>
      </c>
      <c r="M443" s="442">
        <v>2385359</v>
      </c>
      <c r="N443" s="442">
        <v>964817</v>
      </c>
      <c r="O443" s="442">
        <v>5341406</v>
      </c>
      <c r="P443" s="442" t="s">
        <v>648</v>
      </c>
      <c r="Q443" s="442" t="s">
        <v>648</v>
      </c>
      <c r="R443" s="442" t="s">
        <v>648</v>
      </c>
      <c r="S443" s="442" t="s">
        <v>648</v>
      </c>
      <c r="T443" s="442">
        <v>5341406</v>
      </c>
      <c r="U443" s="442">
        <v>5859033</v>
      </c>
      <c r="V443" s="442">
        <v>5859033</v>
      </c>
      <c r="W443" s="447" t="s">
        <v>673</v>
      </c>
    </row>
    <row r="444" spans="1:23" s="442" customFormat="1" ht="9.75" customHeight="1" x14ac:dyDescent="0.15">
      <c r="A444" s="950" t="s">
        <v>800</v>
      </c>
      <c r="B444" s="442">
        <v>394319</v>
      </c>
      <c r="C444" s="442">
        <v>394319</v>
      </c>
      <c r="D444" s="442">
        <v>62030632</v>
      </c>
      <c r="E444" s="442">
        <v>24285879</v>
      </c>
      <c r="F444" s="442" t="s">
        <v>648</v>
      </c>
      <c r="G444" s="442" t="s">
        <v>648</v>
      </c>
      <c r="H444" s="442">
        <v>62345</v>
      </c>
      <c r="I444" s="442">
        <v>8747099</v>
      </c>
      <c r="J444" s="442">
        <v>3670277</v>
      </c>
      <c r="K444" s="442">
        <v>1744686</v>
      </c>
      <c r="L444" s="442">
        <v>6854725</v>
      </c>
      <c r="M444" s="442">
        <v>1811952</v>
      </c>
      <c r="N444" s="442">
        <v>1394795</v>
      </c>
      <c r="O444" s="442">
        <v>5731836</v>
      </c>
      <c r="P444" s="442" t="s">
        <v>648</v>
      </c>
      <c r="Q444" s="442" t="s">
        <v>648</v>
      </c>
      <c r="R444" s="442">
        <v>63884</v>
      </c>
      <c r="S444" s="442">
        <v>28614</v>
      </c>
      <c r="T444" s="442">
        <v>5639338</v>
      </c>
      <c r="U444" s="442">
        <v>5105428</v>
      </c>
      <c r="V444" s="442">
        <v>4920197</v>
      </c>
      <c r="W444" s="447" t="s">
        <v>771</v>
      </c>
    </row>
    <row r="445" spans="1:23" s="442" customFormat="1" ht="6.75" customHeight="1" x14ac:dyDescent="0.15">
      <c r="A445" s="950"/>
      <c r="W445" s="447"/>
    </row>
    <row r="446" spans="1:23" s="442" customFormat="1" ht="9.75" customHeight="1" x14ac:dyDescent="0.15">
      <c r="A446" s="950" t="s">
        <v>772</v>
      </c>
      <c r="B446" s="442">
        <v>56805</v>
      </c>
      <c r="C446" s="442">
        <v>56805</v>
      </c>
      <c r="D446" s="442">
        <v>20612808</v>
      </c>
      <c r="E446" s="442">
        <v>8692485</v>
      </c>
      <c r="F446" s="442" t="s">
        <v>648</v>
      </c>
      <c r="G446" s="442">
        <v>60648</v>
      </c>
      <c r="H446" s="442" t="s">
        <v>648</v>
      </c>
      <c r="I446" s="442">
        <v>2864916</v>
      </c>
      <c r="J446" s="442">
        <v>1293705</v>
      </c>
      <c r="K446" s="442">
        <v>665290</v>
      </c>
      <c r="L446" s="442">
        <v>2880405</v>
      </c>
      <c r="M446" s="442">
        <v>441811</v>
      </c>
      <c r="N446" s="442">
        <v>485710</v>
      </c>
      <c r="O446" s="442">
        <v>1476169</v>
      </c>
      <c r="P446" s="442" t="s">
        <v>648</v>
      </c>
      <c r="Q446" s="442" t="s">
        <v>648</v>
      </c>
      <c r="R446" s="442" t="s">
        <v>648</v>
      </c>
      <c r="S446" s="442" t="s">
        <v>648</v>
      </c>
      <c r="T446" s="442">
        <v>1476169</v>
      </c>
      <c r="U446" s="442">
        <v>2521636</v>
      </c>
      <c r="V446" s="442">
        <v>2521636</v>
      </c>
      <c r="W446" s="447" t="s">
        <v>674</v>
      </c>
    </row>
    <row r="447" spans="1:23" s="442" customFormat="1" ht="9.75" customHeight="1" x14ac:dyDescent="0.15">
      <c r="A447" s="950" t="s">
        <v>773</v>
      </c>
      <c r="B447" s="442">
        <v>66744</v>
      </c>
      <c r="C447" s="442">
        <v>66744</v>
      </c>
      <c r="D447" s="442">
        <v>13717158</v>
      </c>
      <c r="E447" s="442">
        <v>5374846</v>
      </c>
      <c r="F447" s="442" t="s">
        <v>648</v>
      </c>
      <c r="G447" s="442" t="s">
        <v>648</v>
      </c>
      <c r="H447" s="442" t="s">
        <v>648</v>
      </c>
      <c r="I447" s="442">
        <v>1981468</v>
      </c>
      <c r="J447" s="442">
        <v>912036</v>
      </c>
      <c r="K447" s="442">
        <v>174561</v>
      </c>
      <c r="L447" s="442">
        <v>1625595</v>
      </c>
      <c r="M447" s="442">
        <v>504831</v>
      </c>
      <c r="N447" s="442">
        <v>176355</v>
      </c>
      <c r="O447" s="442">
        <v>1201510</v>
      </c>
      <c r="P447" s="442" t="s">
        <v>648</v>
      </c>
      <c r="Q447" s="442" t="s">
        <v>648</v>
      </c>
      <c r="R447" s="442" t="s">
        <v>648</v>
      </c>
      <c r="S447" s="442" t="s">
        <v>648</v>
      </c>
      <c r="T447" s="442">
        <v>1201510</v>
      </c>
      <c r="U447" s="442">
        <v>1284725</v>
      </c>
      <c r="V447" s="442">
        <v>1284725</v>
      </c>
      <c r="W447" s="447" t="s">
        <v>92</v>
      </c>
    </row>
    <row r="448" spans="1:23" s="442" customFormat="1" ht="9.75" customHeight="1" x14ac:dyDescent="0.15">
      <c r="A448" s="950" t="s">
        <v>774</v>
      </c>
      <c r="B448" s="442">
        <v>81353</v>
      </c>
      <c r="C448" s="442">
        <v>81353</v>
      </c>
      <c r="D448" s="442">
        <v>15519999</v>
      </c>
      <c r="E448" s="442">
        <v>6554032</v>
      </c>
      <c r="F448" s="442" t="s">
        <v>648</v>
      </c>
      <c r="G448" s="442" t="s">
        <v>648</v>
      </c>
      <c r="H448" s="442" t="s">
        <v>648</v>
      </c>
      <c r="I448" s="442">
        <v>2015271</v>
      </c>
      <c r="J448" s="442">
        <v>1026534</v>
      </c>
      <c r="K448" s="442">
        <v>431425</v>
      </c>
      <c r="L448" s="442">
        <v>2117308</v>
      </c>
      <c r="M448" s="442">
        <v>485572</v>
      </c>
      <c r="N448" s="442">
        <v>477922</v>
      </c>
      <c r="O448" s="442">
        <v>1182027</v>
      </c>
      <c r="P448" s="442" t="s">
        <v>648</v>
      </c>
      <c r="Q448" s="442" t="s">
        <v>648</v>
      </c>
      <c r="R448" s="442" t="s">
        <v>648</v>
      </c>
      <c r="S448" s="442" t="s">
        <v>648</v>
      </c>
      <c r="T448" s="442">
        <v>1182027</v>
      </c>
      <c r="U448" s="442">
        <v>1224168</v>
      </c>
      <c r="V448" s="442">
        <v>1224168</v>
      </c>
      <c r="W448" s="447" t="s">
        <v>93</v>
      </c>
    </row>
    <row r="449" spans="1:23" s="442" customFormat="1" ht="9.75" customHeight="1" x14ac:dyDescent="0.15">
      <c r="A449" s="950" t="s">
        <v>801</v>
      </c>
      <c r="B449" s="442">
        <v>132902</v>
      </c>
      <c r="C449" s="442">
        <v>132902</v>
      </c>
      <c r="D449" s="442">
        <v>15519081</v>
      </c>
      <c r="E449" s="442">
        <v>6418612</v>
      </c>
      <c r="F449" s="442" t="s">
        <v>648</v>
      </c>
      <c r="G449" s="442" t="s">
        <v>648</v>
      </c>
      <c r="H449" s="442" t="s">
        <v>648</v>
      </c>
      <c r="I449" s="442">
        <v>2254454</v>
      </c>
      <c r="J449" s="442">
        <v>839266</v>
      </c>
      <c r="K449" s="442">
        <v>356345</v>
      </c>
      <c r="L449" s="442">
        <v>2405059</v>
      </c>
      <c r="M449" s="442">
        <v>378254</v>
      </c>
      <c r="N449" s="442">
        <v>185234</v>
      </c>
      <c r="O449" s="442">
        <v>1444159</v>
      </c>
      <c r="P449" s="442" t="s">
        <v>648</v>
      </c>
      <c r="Q449" s="442" t="s">
        <v>648</v>
      </c>
      <c r="R449" s="442" t="s">
        <v>648</v>
      </c>
      <c r="S449" s="442">
        <v>28614</v>
      </c>
      <c r="T449" s="442">
        <v>1415545</v>
      </c>
      <c r="U449" s="442">
        <v>1365125</v>
      </c>
      <c r="V449" s="442">
        <v>1288051</v>
      </c>
      <c r="W449" s="447" t="s">
        <v>94</v>
      </c>
    </row>
    <row r="450" spans="1:23" s="442" customFormat="1" ht="9.75" customHeight="1" x14ac:dyDescent="0.15">
      <c r="A450" s="950" t="s">
        <v>809</v>
      </c>
      <c r="B450" s="442">
        <v>113320</v>
      </c>
      <c r="C450" s="442">
        <v>113320</v>
      </c>
      <c r="D450" s="442">
        <v>17274394</v>
      </c>
      <c r="E450" s="442">
        <v>5938389</v>
      </c>
      <c r="F450" s="442" t="s">
        <v>648</v>
      </c>
      <c r="G450" s="442" t="s">
        <v>648</v>
      </c>
      <c r="H450" s="442">
        <v>62345</v>
      </c>
      <c r="I450" s="442">
        <v>2495906</v>
      </c>
      <c r="J450" s="442">
        <v>892441</v>
      </c>
      <c r="K450" s="442">
        <v>782355</v>
      </c>
      <c r="L450" s="442">
        <v>706763</v>
      </c>
      <c r="M450" s="442">
        <v>443295</v>
      </c>
      <c r="N450" s="442">
        <v>555284</v>
      </c>
      <c r="O450" s="442">
        <v>1904140</v>
      </c>
      <c r="P450" s="442" t="s">
        <v>648</v>
      </c>
      <c r="Q450" s="442" t="s">
        <v>648</v>
      </c>
      <c r="R450" s="442">
        <v>63884</v>
      </c>
      <c r="S450" s="442" t="s">
        <v>648</v>
      </c>
      <c r="T450" s="442">
        <v>1840256</v>
      </c>
      <c r="U450" s="442">
        <v>1231410</v>
      </c>
      <c r="V450" s="442">
        <v>1123253</v>
      </c>
      <c r="W450" s="447" t="s">
        <v>777</v>
      </c>
    </row>
    <row r="451" spans="1:23" s="442" customFormat="1" ht="6.75" customHeight="1" x14ac:dyDescent="0.15">
      <c r="A451" s="950"/>
      <c r="W451" s="447"/>
    </row>
    <row r="452" spans="1:23" s="442" customFormat="1" ht="9.75" customHeight="1" x14ac:dyDescent="0.15">
      <c r="A452" s="950" t="s">
        <v>778</v>
      </c>
      <c r="B452" s="442">
        <v>34511</v>
      </c>
      <c r="C452" s="442">
        <v>34511</v>
      </c>
      <c r="D452" s="442">
        <v>7110916</v>
      </c>
      <c r="E452" s="442">
        <v>3004690</v>
      </c>
      <c r="F452" s="442" t="s">
        <v>648</v>
      </c>
      <c r="G452" s="442" t="s">
        <v>648</v>
      </c>
      <c r="H452" s="442" t="s">
        <v>648</v>
      </c>
      <c r="I452" s="442">
        <v>951694</v>
      </c>
      <c r="J452" s="442">
        <v>453650</v>
      </c>
      <c r="K452" s="442">
        <v>237812</v>
      </c>
      <c r="L452" s="442">
        <v>931693</v>
      </c>
      <c r="M452" s="442">
        <v>185376</v>
      </c>
      <c r="N452" s="442">
        <v>244465</v>
      </c>
      <c r="O452" s="442">
        <v>449605</v>
      </c>
      <c r="P452" s="442" t="s">
        <v>648</v>
      </c>
      <c r="Q452" s="442" t="s">
        <v>648</v>
      </c>
      <c r="R452" s="442" t="s">
        <v>648</v>
      </c>
      <c r="S452" s="442" t="s">
        <v>648</v>
      </c>
      <c r="T452" s="442">
        <v>449605</v>
      </c>
      <c r="U452" s="442">
        <v>877414</v>
      </c>
      <c r="V452" s="442">
        <v>877414</v>
      </c>
      <c r="W452" s="447" t="s">
        <v>675</v>
      </c>
    </row>
    <row r="453" spans="1:23" s="442" customFormat="1" ht="9.75" customHeight="1" x14ac:dyDescent="0.15">
      <c r="A453" s="950" t="s">
        <v>779</v>
      </c>
      <c r="B453" s="442">
        <v>10681</v>
      </c>
      <c r="C453" s="442">
        <v>10681</v>
      </c>
      <c r="D453" s="442">
        <v>7247909</v>
      </c>
      <c r="E453" s="442">
        <v>2924786</v>
      </c>
      <c r="F453" s="442" t="s">
        <v>648</v>
      </c>
      <c r="G453" s="442">
        <v>60648</v>
      </c>
      <c r="H453" s="442" t="s">
        <v>648</v>
      </c>
      <c r="I453" s="442">
        <v>953663</v>
      </c>
      <c r="J453" s="442">
        <v>472138</v>
      </c>
      <c r="K453" s="442">
        <v>238298</v>
      </c>
      <c r="L453" s="442">
        <v>1013687</v>
      </c>
      <c r="M453" s="442">
        <v>127845</v>
      </c>
      <c r="N453" s="442">
        <v>58507</v>
      </c>
      <c r="O453" s="442">
        <v>645292</v>
      </c>
      <c r="P453" s="442" t="s">
        <v>648</v>
      </c>
      <c r="Q453" s="442" t="s">
        <v>648</v>
      </c>
      <c r="R453" s="442" t="s">
        <v>648</v>
      </c>
      <c r="S453" s="442" t="s">
        <v>648</v>
      </c>
      <c r="T453" s="442">
        <v>645292</v>
      </c>
      <c r="U453" s="442">
        <v>822778</v>
      </c>
      <c r="V453" s="442">
        <v>822778</v>
      </c>
      <c r="W453" s="447" t="s">
        <v>80</v>
      </c>
    </row>
    <row r="454" spans="1:23" s="442" customFormat="1" ht="9.75" customHeight="1" x14ac:dyDescent="0.15">
      <c r="A454" s="950" t="s">
        <v>780</v>
      </c>
      <c r="B454" s="442">
        <v>11613</v>
      </c>
      <c r="C454" s="442">
        <v>11613</v>
      </c>
      <c r="D454" s="442">
        <v>6253983</v>
      </c>
      <c r="E454" s="442">
        <v>2763009</v>
      </c>
      <c r="F454" s="442" t="s">
        <v>648</v>
      </c>
      <c r="G454" s="442" t="s">
        <v>648</v>
      </c>
      <c r="H454" s="442" t="s">
        <v>648</v>
      </c>
      <c r="I454" s="442">
        <v>959559</v>
      </c>
      <c r="J454" s="442">
        <v>367917</v>
      </c>
      <c r="K454" s="442">
        <v>189180</v>
      </c>
      <c r="L454" s="442">
        <v>935025</v>
      </c>
      <c r="M454" s="442">
        <v>128590</v>
      </c>
      <c r="N454" s="442">
        <v>182738</v>
      </c>
      <c r="O454" s="442">
        <v>381272</v>
      </c>
      <c r="P454" s="442" t="s">
        <v>648</v>
      </c>
      <c r="Q454" s="442" t="s">
        <v>648</v>
      </c>
      <c r="R454" s="442" t="s">
        <v>648</v>
      </c>
      <c r="S454" s="442" t="s">
        <v>648</v>
      </c>
      <c r="T454" s="442">
        <v>381272</v>
      </c>
      <c r="U454" s="442">
        <v>821444</v>
      </c>
      <c r="V454" s="442">
        <v>821444</v>
      </c>
      <c r="W454" s="447" t="s">
        <v>81</v>
      </c>
    </row>
    <row r="455" spans="1:23" s="442" customFormat="1" ht="9.75" customHeight="1" x14ac:dyDescent="0.15">
      <c r="A455" s="950" t="s">
        <v>781</v>
      </c>
      <c r="B455" s="442">
        <v>13714</v>
      </c>
      <c r="C455" s="442">
        <v>13714</v>
      </c>
      <c r="D455" s="442">
        <v>4376791</v>
      </c>
      <c r="E455" s="442">
        <v>1687289</v>
      </c>
      <c r="F455" s="442" t="s">
        <v>648</v>
      </c>
      <c r="G455" s="442" t="s">
        <v>648</v>
      </c>
      <c r="H455" s="442" t="s">
        <v>648</v>
      </c>
      <c r="I455" s="442">
        <v>777654</v>
      </c>
      <c r="J455" s="442">
        <v>276404</v>
      </c>
      <c r="K455" s="442">
        <v>119042</v>
      </c>
      <c r="L455" s="442">
        <v>387633</v>
      </c>
      <c r="M455" s="442">
        <v>126556</v>
      </c>
      <c r="N455" s="442" t="s">
        <v>648</v>
      </c>
      <c r="O455" s="442">
        <v>355930</v>
      </c>
      <c r="P455" s="442" t="s">
        <v>648</v>
      </c>
      <c r="Q455" s="442" t="s">
        <v>648</v>
      </c>
      <c r="R455" s="442" t="s">
        <v>648</v>
      </c>
      <c r="S455" s="442" t="s">
        <v>648</v>
      </c>
      <c r="T455" s="442">
        <v>355930</v>
      </c>
      <c r="U455" s="442">
        <v>256650</v>
      </c>
      <c r="V455" s="442">
        <v>256650</v>
      </c>
      <c r="W455" s="447" t="s">
        <v>82</v>
      </c>
    </row>
    <row r="456" spans="1:23" s="442" customFormat="1" ht="9.75" customHeight="1" x14ac:dyDescent="0.15">
      <c r="A456" s="950" t="s">
        <v>782</v>
      </c>
      <c r="B456" s="442">
        <v>53030</v>
      </c>
      <c r="C456" s="442">
        <v>53030</v>
      </c>
      <c r="D456" s="442">
        <v>4381469</v>
      </c>
      <c r="E456" s="442">
        <v>1543581</v>
      </c>
      <c r="F456" s="442" t="s">
        <v>648</v>
      </c>
      <c r="G456" s="442" t="s">
        <v>648</v>
      </c>
      <c r="H456" s="442" t="s">
        <v>648</v>
      </c>
      <c r="I456" s="442">
        <v>590017</v>
      </c>
      <c r="J456" s="442">
        <v>305821</v>
      </c>
      <c r="K456" s="442" t="s">
        <v>648</v>
      </c>
      <c r="L456" s="442">
        <v>515810</v>
      </c>
      <c r="M456" s="442">
        <v>131933</v>
      </c>
      <c r="N456" s="442" t="s">
        <v>648</v>
      </c>
      <c r="O456" s="442">
        <v>486743</v>
      </c>
      <c r="P456" s="442" t="s">
        <v>648</v>
      </c>
      <c r="Q456" s="442" t="s">
        <v>648</v>
      </c>
      <c r="R456" s="442" t="s">
        <v>648</v>
      </c>
      <c r="S456" s="442" t="s">
        <v>648</v>
      </c>
      <c r="T456" s="442">
        <v>486743</v>
      </c>
      <c r="U456" s="442">
        <v>486398</v>
      </c>
      <c r="V456" s="442">
        <v>486398</v>
      </c>
      <c r="W456" s="447" t="s">
        <v>95</v>
      </c>
    </row>
    <row r="457" spans="1:23" s="442" customFormat="1" ht="9.75" customHeight="1" x14ac:dyDescent="0.15">
      <c r="A457" s="950" t="s">
        <v>783</v>
      </c>
      <c r="B457" s="442" t="s">
        <v>648</v>
      </c>
      <c r="C457" s="442" t="s">
        <v>648</v>
      </c>
      <c r="D457" s="442">
        <v>4958898</v>
      </c>
      <c r="E457" s="442">
        <v>2143976</v>
      </c>
      <c r="F457" s="442" t="s">
        <v>648</v>
      </c>
      <c r="G457" s="442" t="s">
        <v>648</v>
      </c>
      <c r="H457" s="442" t="s">
        <v>648</v>
      </c>
      <c r="I457" s="442">
        <v>613797</v>
      </c>
      <c r="J457" s="442">
        <v>329811</v>
      </c>
      <c r="K457" s="442">
        <v>55519</v>
      </c>
      <c r="L457" s="442">
        <v>722152</v>
      </c>
      <c r="M457" s="442">
        <v>246342</v>
      </c>
      <c r="N457" s="442">
        <v>176355</v>
      </c>
      <c r="O457" s="442">
        <v>358837</v>
      </c>
      <c r="P457" s="442" t="s">
        <v>648</v>
      </c>
      <c r="Q457" s="442" t="s">
        <v>648</v>
      </c>
      <c r="R457" s="442" t="s">
        <v>648</v>
      </c>
      <c r="S457" s="442" t="s">
        <v>648</v>
      </c>
      <c r="T457" s="442">
        <v>358837</v>
      </c>
      <c r="U457" s="442">
        <v>541677</v>
      </c>
      <c r="V457" s="442">
        <v>541677</v>
      </c>
      <c r="W457" s="447" t="s">
        <v>96</v>
      </c>
    </row>
    <row r="458" spans="1:23" s="442" customFormat="1" ht="9.75" customHeight="1" x14ac:dyDescent="0.15">
      <c r="A458" s="950" t="s">
        <v>784</v>
      </c>
      <c r="B458" s="442">
        <v>10357</v>
      </c>
      <c r="C458" s="442">
        <v>10357</v>
      </c>
      <c r="D458" s="442">
        <v>5087775</v>
      </c>
      <c r="E458" s="442">
        <v>2269437</v>
      </c>
      <c r="F458" s="442" t="s">
        <v>648</v>
      </c>
      <c r="G458" s="442" t="s">
        <v>648</v>
      </c>
      <c r="H458" s="442" t="s">
        <v>648</v>
      </c>
      <c r="I458" s="442">
        <v>867927</v>
      </c>
      <c r="J458" s="442">
        <v>324738</v>
      </c>
      <c r="K458" s="442">
        <v>190771</v>
      </c>
      <c r="L458" s="442">
        <v>640295</v>
      </c>
      <c r="M458" s="442">
        <v>188031</v>
      </c>
      <c r="N458" s="442">
        <v>57675</v>
      </c>
      <c r="O458" s="442">
        <v>531233</v>
      </c>
      <c r="P458" s="442" t="s">
        <v>648</v>
      </c>
      <c r="Q458" s="442" t="s">
        <v>648</v>
      </c>
      <c r="R458" s="442" t="s">
        <v>648</v>
      </c>
      <c r="S458" s="442" t="s">
        <v>648</v>
      </c>
      <c r="T458" s="442">
        <v>531233</v>
      </c>
      <c r="U458" s="442">
        <v>482908</v>
      </c>
      <c r="V458" s="442">
        <v>482908</v>
      </c>
      <c r="W458" s="447" t="s">
        <v>97</v>
      </c>
    </row>
    <row r="459" spans="1:23" s="442" customFormat="1" ht="9.75" customHeight="1" x14ac:dyDescent="0.15">
      <c r="A459" s="950" t="s">
        <v>806</v>
      </c>
      <c r="B459" s="442">
        <v>10230</v>
      </c>
      <c r="C459" s="442">
        <v>10230</v>
      </c>
      <c r="D459" s="442">
        <v>5817676</v>
      </c>
      <c r="E459" s="442">
        <v>2579141</v>
      </c>
      <c r="F459" s="442" t="s">
        <v>648</v>
      </c>
      <c r="G459" s="442" t="s">
        <v>648</v>
      </c>
      <c r="H459" s="442" t="s">
        <v>648</v>
      </c>
      <c r="I459" s="442">
        <v>896425</v>
      </c>
      <c r="J459" s="442">
        <v>341402</v>
      </c>
      <c r="K459" s="442">
        <v>111847</v>
      </c>
      <c r="L459" s="442">
        <v>810201</v>
      </c>
      <c r="M459" s="442">
        <v>176167</v>
      </c>
      <c r="N459" s="442">
        <v>243099</v>
      </c>
      <c r="O459" s="442">
        <v>71016</v>
      </c>
      <c r="P459" s="442" t="s">
        <v>648</v>
      </c>
      <c r="Q459" s="442" t="s">
        <v>648</v>
      </c>
      <c r="R459" s="442" t="s">
        <v>648</v>
      </c>
      <c r="S459" s="442" t="s">
        <v>648</v>
      </c>
      <c r="T459" s="442">
        <v>71016</v>
      </c>
      <c r="U459" s="442">
        <v>477750</v>
      </c>
      <c r="V459" s="442">
        <v>477750</v>
      </c>
      <c r="W459" s="447" t="s">
        <v>98</v>
      </c>
    </row>
    <row r="460" spans="1:23" s="442" customFormat="1" ht="9.75" customHeight="1" x14ac:dyDescent="0.15">
      <c r="A460" s="950" t="s">
        <v>786</v>
      </c>
      <c r="B460" s="442">
        <v>60766</v>
      </c>
      <c r="C460" s="442">
        <v>60766</v>
      </c>
      <c r="D460" s="442">
        <v>4614548</v>
      </c>
      <c r="E460" s="442">
        <v>1705454</v>
      </c>
      <c r="F460" s="442" t="s">
        <v>648</v>
      </c>
      <c r="G460" s="442" t="s">
        <v>648</v>
      </c>
      <c r="H460" s="442" t="s">
        <v>648</v>
      </c>
      <c r="I460" s="442">
        <v>250919</v>
      </c>
      <c r="J460" s="442">
        <v>360394</v>
      </c>
      <c r="K460" s="442">
        <v>128807</v>
      </c>
      <c r="L460" s="442">
        <v>666812</v>
      </c>
      <c r="M460" s="442">
        <v>121374</v>
      </c>
      <c r="N460" s="442">
        <v>177148</v>
      </c>
      <c r="O460" s="442">
        <v>579778</v>
      </c>
      <c r="P460" s="442" t="s">
        <v>648</v>
      </c>
      <c r="Q460" s="442" t="s">
        <v>648</v>
      </c>
      <c r="R460" s="442" t="s">
        <v>648</v>
      </c>
      <c r="S460" s="442" t="s">
        <v>648</v>
      </c>
      <c r="T460" s="442">
        <v>579778</v>
      </c>
      <c r="U460" s="442">
        <v>263510</v>
      </c>
      <c r="V460" s="442">
        <v>263510</v>
      </c>
      <c r="W460" s="447" t="s">
        <v>99</v>
      </c>
    </row>
    <row r="461" spans="1:23" s="442" customFormat="1" ht="9.75" customHeight="1" x14ac:dyDescent="0.15">
      <c r="A461" s="950" t="s">
        <v>807</v>
      </c>
      <c r="B461" s="442">
        <v>44615</v>
      </c>
      <c r="C461" s="442">
        <v>44615</v>
      </c>
      <c r="D461" s="442">
        <v>4033652</v>
      </c>
      <c r="E461" s="442">
        <v>1605911</v>
      </c>
      <c r="F461" s="442" t="s">
        <v>648</v>
      </c>
      <c r="G461" s="442" t="s">
        <v>648</v>
      </c>
      <c r="H461" s="442" t="s">
        <v>648</v>
      </c>
      <c r="I461" s="442">
        <v>538109</v>
      </c>
      <c r="J461" s="442">
        <v>196155</v>
      </c>
      <c r="K461" s="442">
        <v>63358</v>
      </c>
      <c r="L461" s="442">
        <v>741322</v>
      </c>
      <c r="M461" s="442">
        <v>66967</v>
      </c>
      <c r="N461" s="442" t="s">
        <v>648</v>
      </c>
      <c r="O461" s="442">
        <v>360082</v>
      </c>
      <c r="P461" s="442" t="s">
        <v>648</v>
      </c>
      <c r="Q461" s="442" t="s">
        <v>648</v>
      </c>
      <c r="R461" s="442" t="s">
        <v>648</v>
      </c>
      <c r="S461" s="442" t="s">
        <v>648</v>
      </c>
      <c r="T461" s="442">
        <v>360082</v>
      </c>
      <c r="U461" s="442">
        <v>319896</v>
      </c>
      <c r="V461" s="442">
        <v>319896</v>
      </c>
      <c r="W461" s="447" t="s">
        <v>83</v>
      </c>
    </row>
    <row r="462" spans="1:23" s="442" customFormat="1" ht="9.75" customHeight="1" x14ac:dyDescent="0.15">
      <c r="A462" s="950" t="s">
        <v>788</v>
      </c>
      <c r="B462" s="442">
        <v>52738</v>
      </c>
      <c r="C462" s="442">
        <v>52738</v>
      </c>
      <c r="D462" s="442">
        <v>5349423</v>
      </c>
      <c r="E462" s="442">
        <v>2455843</v>
      </c>
      <c r="F462" s="442" t="s">
        <v>648</v>
      </c>
      <c r="G462" s="442" t="s">
        <v>648</v>
      </c>
      <c r="H462" s="442" t="s">
        <v>648</v>
      </c>
      <c r="I462" s="442">
        <v>974175</v>
      </c>
      <c r="J462" s="442">
        <v>257785</v>
      </c>
      <c r="K462" s="442">
        <v>174153</v>
      </c>
      <c r="L462" s="442">
        <v>811261</v>
      </c>
      <c r="M462" s="442">
        <v>119858</v>
      </c>
      <c r="N462" s="442">
        <v>118611</v>
      </c>
      <c r="O462" s="442">
        <v>450942</v>
      </c>
      <c r="P462" s="442" t="s">
        <v>648</v>
      </c>
      <c r="Q462" s="442" t="s">
        <v>648</v>
      </c>
      <c r="R462" s="442" t="s">
        <v>648</v>
      </c>
      <c r="S462" s="442" t="s">
        <v>648</v>
      </c>
      <c r="T462" s="442">
        <v>450942</v>
      </c>
      <c r="U462" s="442">
        <v>400163</v>
      </c>
      <c r="V462" s="442">
        <v>400163</v>
      </c>
      <c r="W462" s="447" t="s">
        <v>84</v>
      </c>
    </row>
    <row r="463" spans="1:23" s="442" customFormat="1" ht="9.75" customHeight="1" x14ac:dyDescent="0.15">
      <c r="A463" s="950" t="s">
        <v>789</v>
      </c>
      <c r="B463" s="442">
        <v>35549</v>
      </c>
      <c r="C463" s="442">
        <v>35549</v>
      </c>
      <c r="D463" s="442">
        <v>6136006</v>
      </c>
      <c r="E463" s="442">
        <v>2356858</v>
      </c>
      <c r="F463" s="442" t="s">
        <v>648</v>
      </c>
      <c r="G463" s="442" t="s">
        <v>648</v>
      </c>
      <c r="H463" s="442" t="s">
        <v>648</v>
      </c>
      <c r="I463" s="442">
        <v>742170</v>
      </c>
      <c r="J463" s="442">
        <v>385326</v>
      </c>
      <c r="K463" s="442">
        <v>118834</v>
      </c>
      <c r="L463" s="442">
        <v>852476</v>
      </c>
      <c r="M463" s="442">
        <v>191429</v>
      </c>
      <c r="N463" s="442">
        <v>66623</v>
      </c>
      <c r="O463" s="442">
        <v>633135</v>
      </c>
      <c r="P463" s="442" t="s">
        <v>648</v>
      </c>
      <c r="Q463" s="442" t="s">
        <v>648</v>
      </c>
      <c r="R463" s="442" t="s">
        <v>648</v>
      </c>
      <c r="S463" s="442">
        <v>28614</v>
      </c>
      <c r="T463" s="442">
        <v>604521</v>
      </c>
      <c r="U463" s="442">
        <v>645066</v>
      </c>
      <c r="V463" s="442">
        <v>567992</v>
      </c>
      <c r="W463" s="447" t="s">
        <v>85</v>
      </c>
    </row>
    <row r="464" spans="1:23" s="442" customFormat="1" ht="9.75" customHeight="1" x14ac:dyDescent="0.15">
      <c r="A464" s="950" t="s">
        <v>790</v>
      </c>
      <c r="B464" s="442">
        <v>32451</v>
      </c>
      <c r="C464" s="442">
        <v>32451</v>
      </c>
      <c r="D464" s="442">
        <v>5823804</v>
      </c>
      <c r="E464" s="442">
        <v>1926784</v>
      </c>
      <c r="F464" s="442" t="s">
        <v>648</v>
      </c>
      <c r="G464" s="442" t="s">
        <v>648</v>
      </c>
      <c r="H464" s="442" t="s">
        <v>648</v>
      </c>
      <c r="I464" s="442">
        <v>610221</v>
      </c>
      <c r="J464" s="442">
        <v>439769</v>
      </c>
      <c r="K464" s="442">
        <v>355725</v>
      </c>
      <c r="L464" s="442">
        <v>151998</v>
      </c>
      <c r="M464" s="442">
        <v>128073</v>
      </c>
      <c r="N464" s="442">
        <v>240998</v>
      </c>
      <c r="O464" s="442">
        <v>666457</v>
      </c>
      <c r="P464" s="442" t="s">
        <v>648</v>
      </c>
      <c r="Q464" s="442" t="s">
        <v>648</v>
      </c>
      <c r="R464" s="442" t="s">
        <v>648</v>
      </c>
      <c r="S464" s="442" t="s">
        <v>648</v>
      </c>
      <c r="T464" s="442">
        <v>666457</v>
      </c>
      <c r="U464" s="442">
        <v>639851</v>
      </c>
      <c r="V464" s="442">
        <v>589456</v>
      </c>
      <c r="W464" s="447" t="s">
        <v>791</v>
      </c>
    </row>
    <row r="465" spans="1:23" s="442" customFormat="1" ht="9.75" customHeight="1" x14ac:dyDescent="0.15">
      <c r="A465" s="950" t="s">
        <v>792</v>
      </c>
      <c r="B465" s="442">
        <v>57463</v>
      </c>
      <c r="C465" s="442">
        <v>57463</v>
      </c>
      <c r="D465" s="442">
        <v>6016418</v>
      </c>
      <c r="E465" s="442">
        <v>2041966</v>
      </c>
      <c r="F465" s="442" t="s">
        <v>648</v>
      </c>
      <c r="G465" s="442" t="s">
        <v>648</v>
      </c>
      <c r="H465" s="442" t="s">
        <v>648</v>
      </c>
      <c r="I465" s="442">
        <v>955311</v>
      </c>
      <c r="J465" s="442">
        <v>258355</v>
      </c>
      <c r="K465" s="442">
        <v>183003</v>
      </c>
      <c r="L465" s="442">
        <v>391280</v>
      </c>
      <c r="M465" s="442">
        <v>127291</v>
      </c>
      <c r="N465" s="442">
        <v>126726</v>
      </c>
      <c r="O465" s="442">
        <v>550781</v>
      </c>
      <c r="P465" s="442" t="s">
        <v>648</v>
      </c>
      <c r="Q465" s="442" t="s">
        <v>648</v>
      </c>
      <c r="R465" s="442" t="s">
        <v>648</v>
      </c>
      <c r="S465" s="442" t="s">
        <v>648</v>
      </c>
      <c r="T465" s="442">
        <v>550781</v>
      </c>
      <c r="U465" s="442">
        <v>343901</v>
      </c>
      <c r="V465" s="442">
        <v>343901</v>
      </c>
      <c r="W465" s="447" t="s">
        <v>80</v>
      </c>
    </row>
    <row r="466" spans="1:23" s="442" customFormat="1" ht="9.75" customHeight="1" x14ac:dyDescent="0.15">
      <c r="A466" s="951" t="s">
        <v>793</v>
      </c>
      <c r="B466" s="446">
        <v>23406</v>
      </c>
      <c r="C466" s="445">
        <v>23406</v>
      </c>
      <c r="D466" s="445">
        <v>5434172</v>
      </c>
      <c r="E466" s="445">
        <v>1969639</v>
      </c>
      <c r="F466" s="445" t="s">
        <v>648</v>
      </c>
      <c r="G466" s="445" t="s">
        <v>648</v>
      </c>
      <c r="H466" s="445">
        <v>62345</v>
      </c>
      <c r="I466" s="445">
        <v>930374</v>
      </c>
      <c r="J466" s="445">
        <v>194317</v>
      </c>
      <c r="K466" s="445">
        <v>243627</v>
      </c>
      <c r="L466" s="445">
        <v>163485</v>
      </c>
      <c r="M466" s="445">
        <v>187931</v>
      </c>
      <c r="N466" s="445">
        <v>187560</v>
      </c>
      <c r="O466" s="445">
        <v>686902</v>
      </c>
      <c r="P466" s="445" t="s">
        <v>648</v>
      </c>
      <c r="Q466" s="445" t="s">
        <v>648</v>
      </c>
      <c r="R466" s="445">
        <v>63884</v>
      </c>
      <c r="S466" s="445" t="s">
        <v>648</v>
      </c>
      <c r="T466" s="445">
        <v>623018</v>
      </c>
      <c r="U466" s="445">
        <v>247658</v>
      </c>
      <c r="V466" s="445">
        <v>189896</v>
      </c>
      <c r="W466" s="443" t="s">
        <v>81</v>
      </c>
    </row>
    <row r="467" spans="1:23" ht="12" customHeight="1" x14ac:dyDescent="0.2"/>
    <row r="468" spans="1:23" ht="12" customHeight="1" x14ac:dyDescent="0.2"/>
    <row r="469" spans="1:23" ht="12" customHeight="1" x14ac:dyDescent="0.2">
      <c r="K469" s="457" t="s">
        <v>100</v>
      </c>
    </row>
    <row r="470" spans="1:23" s="453" customFormat="1" ht="21" customHeight="1" x14ac:dyDescent="0.2">
      <c r="A470" s="1089" t="s">
        <v>194</v>
      </c>
      <c r="B470" s="456" t="s">
        <v>272</v>
      </c>
      <c r="C470" s="455"/>
      <c r="D470" s="455"/>
      <c r="E470" s="455"/>
      <c r="F470" s="455"/>
      <c r="G470" s="455"/>
      <c r="H470" s="455"/>
      <c r="I470" s="455"/>
      <c r="J470" s="455"/>
      <c r="K470" s="455"/>
      <c r="L470" s="455"/>
      <c r="M470" s="917"/>
      <c r="N470" s="1092" t="s">
        <v>86</v>
      </c>
    </row>
    <row r="471" spans="1:23" s="453" customFormat="1" ht="21" customHeight="1" x14ac:dyDescent="0.2">
      <c r="A471" s="1090"/>
      <c r="B471" s="1015" t="s">
        <v>1102</v>
      </c>
      <c r="C471" s="918" t="s">
        <v>287</v>
      </c>
      <c r="D471" s="917"/>
      <c r="E471" s="918" t="s">
        <v>271</v>
      </c>
      <c r="F471" s="455"/>
      <c r="G471" s="455"/>
      <c r="H471" s="455"/>
      <c r="I471" s="455"/>
      <c r="J471" s="917"/>
      <c r="K471" s="918" t="s">
        <v>270</v>
      </c>
      <c r="L471" s="455"/>
      <c r="M471" s="917"/>
      <c r="N471" s="1093"/>
    </row>
    <row r="472" spans="1:23" s="453" customFormat="1" ht="52.5" customHeight="1" x14ac:dyDescent="0.2">
      <c r="A472" s="1091"/>
      <c r="B472" s="454" t="s">
        <v>1107</v>
      </c>
      <c r="C472" s="920" t="s">
        <v>1090</v>
      </c>
      <c r="D472" s="454" t="s">
        <v>273</v>
      </c>
      <c r="E472" s="920" t="s">
        <v>1092</v>
      </c>
      <c r="F472" s="454" t="s">
        <v>268</v>
      </c>
      <c r="G472" s="454" t="s">
        <v>267</v>
      </c>
      <c r="H472" s="454" t="s">
        <v>266</v>
      </c>
      <c r="I472" s="454" t="s">
        <v>265</v>
      </c>
      <c r="J472" s="454" t="s">
        <v>264</v>
      </c>
      <c r="K472" s="920" t="s">
        <v>1094</v>
      </c>
      <c r="L472" s="454" t="s">
        <v>263</v>
      </c>
      <c r="M472" s="454" t="s">
        <v>262</v>
      </c>
      <c r="N472" s="1094"/>
    </row>
    <row r="473" spans="1:23" s="442" customFormat="1" ht="9.75" customHeight="1" x14ac:dyDescent="0.15">
      <c r="A473" s="949" t="s">
        <v>763</v>
      </c>
      <c r="B473" s="452">
        <v>110996</v>
      </c>
      <c r="C473" s="451">
        <v>198336</v>
      </c>
      <c r="D473" s="451">
        <v>198336</v>
      </c>
      <c r="E473" s="451">
        <v>1928143</v>
      </c>
      <c r="F473" s="451">
        <v>73264</v>
      </c>
      <c r="G473" s="451">
        <v>130225</v>
      </c>
      <c r="H473" s="451">
        <v>1389837</v>
      </c>
      <c r="I473" s="451">
        <v>270571</v>
      </c>
      <c r="J473" s="451">
        <v>64246</v>
      </c>
      <c r="K473" s="451">
        <v>28419779</v>
      </c>
      <c r="L473" s="451">
        <v>24280630</v>
      </c>
      <c r="M473" s="450">
        <v>4139149</v>
      </c>
      <c r="N473" s="449" t="s">
        <v>464</v>
      </c>
    </row>
    <row r="474" spans="1:23" s="442" customFormat="1" ht="9.75" customHeight="1" x14ac:dyDescent="0.15">
      <c r="A474" s="950" t="s">
        <v>764</v>
      </c>
      <c r="B474" s="442">
        <v>116169</v>
      </c>
      <c r="C474" s="442">
        <v>428995</v>
      </c>
      <c r="D474" s="442">
        <v>428995</v>
      </c>
      <c r="E474" s="442">
        <v>1862790</v>
      </c>
      <c r="F474" s="442" t="s">
        <v>648</v>
      </c>
      <c r="G474" s="442">
        <v>62516</v>
      </c>
      <c r="H474" s="442">
        <v>1468963</v>
      </c>
      <c r="I474" s="442">
        <v>64037</v>
      </c>
      <c r="J474" s="442">
        <v>267274</v>
      </c>
      <c r="K474" s="442">
        <v>28465983</v>
      </c>
      <c r="L474" s="442">
        <v>25527533</v>
      </c>
      <c r="M474" s="448">
        <v>2938450</v>
      </c>
      <c r="N474" s="447" t="s">
        <v>489</v>
      </c>
    </row>
    <row r="475" spans="1:23" s="442" customFormat="1" ht="9.75" customHeight="1" x14ac:dyDescent="0.15">
      <c r="A475" s="950" t="s">
        <v>765</v>
      </c>
      <c r="B475" s="442">
        <v>153257</v>
      </c>
      <c r="C475" s="442">
        <v>677133</v>
      </c>
      <c r="D475" s="442">
        <v>677133</v>
      </c>
      <c r="E475" s="442">
        <v>845095</v>
      </c>
      <c r="F475" s="442" t="s">
        <v>648</v>
      </c>
      <c r="G475" s="442">
        <v>62120</v>
      </c>
      <c r="H475" s="442">
        <v>714155</v>
      </c>
      <c r="I475" s="442">
        <v>68820</v>
      </c>
      <c r="J475" s="442" t="s">
        <v>648</v>
      </c>
      <c r="K475" s="442">
        <v>30692291</v>
      </c>
      <c r="L475" s="442">
        <v>27100090</v>
      </c>
      <c r="M475" s="448">
        <v>3592201</v>
      </c>
      <c r="N475" s="447" t="s">
        <v>549</v>
      </c>
    </row>
    <row r="476" spans="1:23" s="442" customFormat="1" ht="9.75" customHeight="1" x14ac:dyDescent="0.15">
      <c r="A476" s="950" t="s">
        <v>766</v>
      </c>
      <c r="B476" s="442" t="s">
        <v>648</v>
      </c>
      <c r="C476" s="442">
        <v>353120</v>
      </c>
      <c r="D476" s="442">
        <v>353120</v>
      </c>
      <c r="E476" s="442">
        <v>900726</v>
      </c>
      <c r="F476" s="442" t="s">
        <v>648</v>
      </c>
      <c r="G476" s="442">
        <v>63426</v>
      </c>
      <c r="H476" s="442">
        <v>837300</v>
      </c>
      <c r="I476" s="442" t="s">
        <v>648</v>
      </c>
      <c r="J476" s="442" t="s">
        <v>648</v>
      </c>
      <c r="K476" s="442">
        <v>28972618</v>
      </c>
      <c r="L476" s="442">
        <v>25479960</v>
      </c>
      <c r="M476" s="448">
        <v>3492658</v>
      </c>
      <c r="N476" s="447" t="s">
        <v>672</v>
      </c>
    </row>
    <row r="477" spans="1:23" s="442" customFormat="1" ht="9.75" customHeight="1" x14ac:dyDescent="0.15">
      <c r="A477" s="950" t="s">
        <v>767</v>
      </c>
      <c r="B477" s="442">
        <v>77074</v>
      </c>
      <c r="C477" s="442">
        <v>397416</v>
      </c>
      <c r="D477" s="442">
        <v>397416</v>
      </c>
      <c r="E477" s="442">
        <v>1076012</v>
      </c>
      <c r="F477" s="442">
        <v>35364</v>
      </c>
      <c r="G477" s="442">
        <v>130068</v>
      </c>
      <c r="H477" s="442">
        <v>650480</v>
      </c>
      <c r="I477" s="442">
        <v>260100</v>
      </c>
      <c r="J477" s="442" t="s">
        <v>648</v>
      </c>
      <c r="K477" s="442">
        <v>25156124</v>
      </c>
      <c r="L477" s="442">
        <v>22078258</v>
      </c>
      <c r="M477" s="448">
        <v>3077866</v>
      </c>
      <c r="N477" s="447" t="s">
        <v>768</v>
      </c>
    </row>
    <row r="478" spans="1:23" s="442" customFormat="1" ht="6.75" customHeight="1" x14ac:dyDescent="0.15">
      <c r="A478" s="950"/>
      <c r="M478" s="448"/>
      <c r="N478" s="447"/>
    </row>
    <row r="479" spans="1:23" s="442" customFormat="1" ht="9.75" customHeight="1" x14ac:dyDescent="0.15">
      <c r="A479" s="950" t="s">
        <v>799</v>
      </c>
      <c r="B479" s="442" t="s">
        <v>648</v>
      </c>
      <c r="C479" s="442">
        <v>535682</v>
      </c>
      <c r="D479" s="442">
        <v>535682</v>
      </c>
      <c r="E479" s="442">
        <v>1276101</v>
      </c>
      <c r="F479" s="442" t="s">
        <v>648</v>
      </c>
      <c r="G479" s="442">
        <v>128125</v>
      </c>
      <c r="H479" s="442">
        <v>1011038</v>
      </c>
      <c r="I479" s="442">
        <v>136938</v>
      </c>
      <c r="J479" s="442" t="s">
        <v>648</v>
      </c>
      <c r="K479" s="442">
        <v>28002159</v>
      </c>
      <c r="L479" s="442">
        <v>24621376</v>
      </c>
      <c r="M479" s="448">
        <v>3380783</v>
      </c>
      <c r="N479" s="447" t="s">
        <v>673</v>
      </c>
    </row>
    <row r="480" spans="1:23" s="442" customFormat="1" ht="9.75" customHeight="1" x14ac:dyDescent="0.15">
      <c r="A480" s="950" t="s">
        <v>800</v>
      </c>
      <c r="B480" s="442">
        <v>185231</v>
      </c>
      <c r="C480" s="442">
        <v>284462</v>
      </c>
      <c r="D480" s="442">
        <v>284462</v>
      </c>
      <c r="E480" s="442">
        <v>578141</v>
      </c>
      <c r="F480" s="442">
        <v>35364</v>
      </c>
      <c r="G480" s="442">
        <v>65369</v>
      </c>
      <c r="H480" s="442">
        <v>290068</v>
      </c>
      <c r="I480" s="442">
        <v>187340</v>
      </c>
      <c r="J480" s="442" t="s">
        <v>648</v>
      </c>
      <c r="K480" s="442">
        <v>26044886</v>
      </c>
      <c r="L480" s="442">
        <v>22836657</v>
      </c>
      <c r="M480" s="448">
        <v>3208229</v>
      </c>
      <c r="N480" s="447" t="s">
        <v>771</v>
      </c>
    </row>
    <row r="481" spans="1:14" s="442" customFormat="1" ht="6.75" customHeight="1" x14ac:dyDescent="0.15">
      <c r="A481" s="950"/>
      <c r="M481" s="448"/>
      <c r="N481" s="447"/>
    </row>
    <row r="482" spans="1:14" s="442" customFormat="1" ht="9.75" customHeight="1" x14ac:dyDescent="0.15">
      <c r="A482" s="950" t="s">
        <v>772</v>
      </c>
      <c r="B482" s="442" t="s">
        <v>648</v>
      </c>
      <c r="C482" s="442">
        <v>255477</v>
      </c>
      <c r="D482" s="442">
        <v>255477</v>
      </c>
      <c r="E482" s="442">
        <v>562049</v>
      </c>
      <c r="F482" s="442" t="s">
        <v>648</v>
      </c>
      <c r="G482" s="442">
        <v>64699</v>
      </c>
      <c r="H482" s="442">
        <v>360412</v>
      </c>
      <c r="I482" s="442">
        <v>136938</v>
      </c>
      <c r="J482" s="442" t="s">
        <v>648</v>
      </c>
      <c r="K482" s="442">
        <v>7104992</v>
      </c>
      <c r="L482" s="442">
        <v>6276034</v>
      </c>
      <c r="M482" s="448">
        <v>828958</v>
      </c>
      <c r="N482" s="447" t="s">
        <v>674</v>
      </c>
    </row>
    <row r="483" spans="1:14" s="442" customFormat="1" ht="9.75" customHeight="1" x14ac:dyDescent="0.15">
      <c r="A483" s="950" t="s">
        <v>773</v>
      </c>
      <c r="B483" s="442" t="s">
        <v>648</v>
      </c>
      <c r="C483" s="442">
        <v>141939</v>
      </c>
      <c r="D483" s="442">
        <v>141939</v>
      </c>
      <c r="E483" s="442">
        <v>125956</v>
      </c>
      <c r="F483" s="442" t="s">
        <v>648</v>
      </c>
      <c r="G483" s="442" t="s">
        <v>648</v>
      </c>
      <c r="H483" s="442">
        <v>58373</v>
      </c>
      <c r="I483" s="442">
        <v>67583</v>
      </c>
      <c r="J483" s="442" t="s">
        <v>648</v>
      </c>
      <c r="K483" s="442">
        <v>5588182</v>
      </c>
      <c r="L483" s="442">
        <v>4830642</v>
      </c>
      <c r="M483" s="448">
        <v>757540</v>
      </c>
      <c r="N483" s="447" t="s">
        <v>92</v>
      </c>
    </row>
    <row r="484" spans="1:14" s="442" customFormat="1" ht="9.75" customHeight="1" x14ac:dyDescent="0.15">
      <c r="A484" s="950" t="s">
        <v>774</v>
      </c>
      <c r="B484" s="442" t="s">
        <v>648</v>
      </c>
      <c r="C484" s="442" t="s">
        <v>648</v>
      </c>
      <c r="D484" s="442" t="s">
        <v>648</v>
      </c>
      <c r="E484" s="442">
        <v>127789</v>
      </c>
      <c r="F484" s="442" t="s">
        <v>648</v>
      </c>
      <c r="G484" s="442">
        <v>65369</v>
      </c>
      <c r="H484" s="442">
        <v>62420</v>
      </c>
      <c r="I484" s="442" t="s">
        <v>648</v>
      </c>
      <c r="J484" s="442" t="s">
        <v>648</v>
      </c>
      <c r="K484" s="442">
        <v>6431983</v>
      </c>
      <c r="L484" s="442">
        <v>5655786</v>
      </c>
      <c r="M484" s="448">
        <v>776197</v>
      </c>
      <c r="N484" s="447" t="s">
        <v>93</v>
      </c>
    </row>
    <row r="485" spans="1:14" s="442" customFormat="1" ht="9.75" customHeight="1" x14ac:dyDescent="0.15">
      <c r="A485" s="950" t="s">
        <v>801</v>
      </c>
      <c r="B485" s="442">
        <v>77074</v>
      </c>
      <c r="C485" s="442" t="s">
        <v>648</v>
      </c>
      <c r="D485" s="442" t="s">
        <v>648</v>
      </c>
      <c r="E485" s="442">
        <v>260218</v>
      </c>
      <c r="F485" s="442">
        <v>35364</v>
      </c>
      <c r="G485" s="442" t="s">
        <v>648</v>
      </c>
      <c r="H485" s="442">
        <v>169275</v>
      </c>
      <c r="I485" s="442">
        <v>55579</v>
      </c>
      <c r="J485" s="442" t="s">
        <v>648</v>
      </c>
      <c r="K485" s="442">
        <v>6030967</v>
      </c>
      <c r="L485" s="442">
        <v>5315796</v>
      </c>
      <c r="M485" s="448">
        <v>715171</v>
      </c>
      <c r="N485" s="447" t="s">
        <v>94</v>
      </c>
    </row>
    <row r="486" spans="1:14" s="442" customFormat="1" ht="9.75" customHeight="1" x14ac:dyDescent="0.15">
      <c r="A486" s="950" t="s">
        <v>809</v>
      </c>
      <c r="B486" s="442">
        <v>108157</v>
      </c>
      <c r="C486" s="442">
        <v>142523</v>
      </c>
      <c r="D486" s="442">
        <v>142523</v>
      </c>
      <c r="E486" s="442">
        <v>64178</v>
      </c>
      <c r="F486" s="442" t="s">
        <v>648</v>
      </c>
      <c r="G486" s="442" t="s">
        <v>648</v>
      </c>
      <c r="H486" s="442" t="s">
        <v>648</v>
      </c>
      <c r="I486" s="442">
        <v>64178</v>
      </c>
      <c r="J486" s="442" t="s">
        <v>648</v>
      </c>
      <c r="K486" s="442">
        <v>7993754</v>
      </c>
      <c r="L486" s="442">
        <v>7034433</v>
      </c>
      <c r="M486" s="448">
        <v>959321</v>
      </c>
      <c r="N486" s="447" t="s">
        <v>777</v>
      </c>
    </row>
    <row r="487" spans="1:14" s="442" customFormat="1" ht="6.75" customHeight="1" x14ac:dyDescent="0.15">
      <c r="A487" s="950"/>
      <c r="M487" s="448"/>
      <c r="N487" s="447"/>
    </row>
    <row r="488" spans="1:14" s="442" customFormat="1" ht="9.75" customHeight="1" x14ac:dyDescent="0.15">
      <c r="A488" s="950" t="s">
        <v>778</v>
      </c>
      <c r="B488" s="442" t="s">
        <v>648</v>
      </c>
      <c r="C488" s="442">
        <v>60907</v>
      </c>
      <c r="D488" s="442">
        <v>60907</v>
      </c>
      <c r="E488" s="442">
        <v>217600</v>
      </c>
      <c r="F488" s="442" t="s">
        <v>648</v>
      </c>
      <c r="G488" s="442">
        <v>64699</v>
      </c>
      <c r="H488" s="442">
        <v>152901</v>
      </c>
      <c r="I488" s="442" t="s">
        <v>648</v>
      </c>
      <c r="J488" s="442" t="s">
        <v>648</v>
      </c>
      <c r="K488" s="442">
        <v>2500700</v>
      </c>
      <c r="L488" s="442">
        <v>2347113</v>
      </c>
      <c r="M488" s="448">
        <v>153587</v>
      </c>
      <c r="N488" s="447" t="s">
        <v>675</v>
      </c>
    </row>
    <row r="489" spans="1:14" s="442" customFormat="1" ht="9.75" customHeight="1" x14ac:dyDescent="0.15">
      <c r="A489" s="950" t="s">
        <v>779</v>
      </c>
      <c r="B489" s="442" t="s">
        <v>648</v>
      </c>
      <c r="C489" s="442">
        <v>138574</v>
      </c>
      <c r="D489" s="442">
        <v>138574</v>
      </c>
      <c r="E489" s="442">
        <v>200102</v>
      </c>
      <c r="F489" s="442" t="s">
        <v>648</v>
      </c>
      <c r="G489" s="442" t="s">
        <v>648</v>
      </c>
      <c r="H489" s="442">
        <v>132999</v>
      </c>
      <c r="I489" s="442">
        <v>67103</v>
      </c>
      <c r="J489" s="442" t="s">
        <v>648</v>
      </c>
      <c r="K489" s="442">
        <v>2516377</v>
      </c>
      <c r="L489" s="442">
        <v>2136839</v>
      </c>
      <c r="M489" s="448">
        <v>379538</v>
      </c>
      <c r="N489" s="447" t="s">
        <v>80</v>
      </c>
    </row>
    <row r="490" spans="1:14" s="442" customFormat="1" ht="9.75" customHeight="1" x14ac:dyDescent="0.15">
      <c r="A490" s="950" t="s">
        <v>780</v>
      </c>
      <c r="B490" s="442" t="s">
        <v>648</v>
      </c>
      <c r="C490" s="442">
        <v>55996</v>
      </c>
      <c r="D490" s="442">
        <v>55996</v>
      </c>
      <c r="E490" s="442">
        <v>144347</v>
      </c>
      <c r="F490" s="442" t="s">
        <v>648</v>
      </c>
      <c r="G490" s="442" t="s">
        <v>648</v>
      </c>
      <c r="H490" s="442">
        <v>74512</v>
      </c>
      <c r="I490" s="442">
        <v>69835</v>
      </c>
      <c r="J490" s="442" t="s">
        <v>648</v>
      </c>
      <c r="K490" s="442">
        <v>2087915</v>
      </c>
      <c r="L490" s="442">
        <v>1792082</v>
      </c>
      <c r="M490" s="448">
        <v>295833</v>
      </c>
      <c r="N490" s="447" t="s">
        <v>81</v>
      </c>
    </row>
    <row r="491" spans="1:14" s="442" customFormat="1" ht="9.75" customHeight="1" x14ac:dyDescent="0.15">
      <c r="A491" s="950" t="s">
        <v>781</v>
      </c>
      <c r="B491" s="442" t="s">
        <v>648</v>
      </c>
      <c r="C491" s="442">
        <v>141939</v>
      </c>
      <c r="D491" s="442">
        <v>141939</v>
      </c>
      <c r="E491" s="442" t="s">
        <v>648</v>
      </c>
      <c r="F491" s="442" t="s">
        <v>648</v>
      </c>
      <c r="G491" s="442" t="s">
        <v>648</v>
      </c>
      <c r="H491" s="442" t="s">
        <v>648</v>
      </c>
      <c r="I491" s="442" t="s">
        <v>648</v>
      </c>
      <c r="J491" s="442" t="s">
        <v>648</v>
      </c>
      <c r="K491" s="442">
        <v>1934983</v>
      </c>
      <c r="L491" s="442">
        <v>1716636</v>
      </c>
      <c r="M491" s="448">
        <v>218347</v>
      </c>
      <c r="N491" s="447" t="s">
        <v>82</v>
      </c>
    </row>
    <row r="492" spans="1:14" s="442" customFormat="1" ht="9.75" customHeight="1" x14ac:dyDescent="0.15">
      <c r="A492" s="950" t="s">
        <v>782</v>
      </c>
      <c r="B492" s="442" t="s">
        <v>648</v>
      </c>
      <c r="C492" s="442" t="s">
        <v>648</v>
      </c>
      <c r="D492" s="442" t="s">
        <v>648</v>
      </c>
      <c r="E492" s="442" t="s">
        <v>648</v>
      </c>
      <c r="F492" s="442" t="s">
        <v>648</v>
      </c>
      <c r="G492" s="442" t="s">
        <v>648</v>
      </c>
      <c r="H492" s="442" t="s">
        <v>648</v>
      </c>
      <c r="I492" s="442" t="s">
        <v>648</v>
      </c>
      <c r="J492" s="442" t="s">
        <v>648</v>
      </c>
      <c r="K492" s="442">
        <v>1864747</v>
      </c>
      <c r="L492" s="442">
        <v>1676970</v>
      </c>
      <c r="M492" s="448">
        <v>187777</v>
      </c>
      <c r="N492" s="447" t="s">
        <v>95</v>
      </c>
    </row>
    <row r="493" spans="1:14" s="442" customFormat="1" ht="9.75" customHeight="1" x14ac:dyDescent="0.15">
      <c r="A493" s="950" t="s">
        <v>783</v>
      </c>
      <c r="B493" s="442" t="s">
        <v>648</v>
      </c>
      <c r="C493" s="442" t="s">
        <v>648</v>
      </c>
      <c r="D493" s="442" t="s">
        <v>648</v>
      </c>
      <c r="E493" s="442">
        <v>125956</v>
      </c>
      <c r="F493" s="442" t="s">
        <v>648</v>
      </c>
      <c r="G493" s="442" t="s">
        <v>648</v>
      </c>
      <c r="H493" s="442">
        <v>58373</v>
      </c>
      <c r="I493" s="442">
        <v>67583</v>
      </c>
      <c r="J493" s="442" t="s">
        <v>648</v>
      </c>
      <c r="K493" s="442">
        <v>1788452</v>
      </c>
      <c r="L493" s="442">
        <v>1437036</v>
      </c>
      <c r="M493" s="448">
        <v>351416</v>
      </c>
      <c r="N493" s="447" t="s">
        <v>96</v>
      </c>
    </row>
    <row r="494" spans="1:14" s="442" customFormat="1" ht="9.75" customHeight="1" x14ac:dyDescent="0.15">
      <c r="A494" s="950" t="s">
        <v>784</v>
      </c>
      <c r="B494" s="442" t="s">
        <v>648</v>
      </c>
      <c r="C494" s="442" t="s">
        <v>648</v>
      </c>
      <c r="D494" s="442" t="s">
        <v>648</v>
      </c>
      <c r="E494" s="442" t="s">
        <v>648</v>
      </c>
      <c r="F494" s="442" t="s">
        <v>648</v>
      </c>
      <c r="G494" s="442" t="s">
        <v>648</v>
      </c>
      <c r="H494" s="442" t="s">
        <v>648</v>
      </c>
      <c r="I494" s="442" t="s">
        <v>648</v>
      </c>
      <c r="J494" s="442" t="s">
        <v>648</v>
      </c>
      <c r="K494" s="442">
        <v>1804197</v>
      </c>
      <c r="L494" s="442">
        <v>1509413</v>
      </c>
      <c r="M494" s="448">
        <v>294784</v>
      </c>
      <c r="N494" s="447" t="s">
        <v>97</v>
      </c>
    </row>
    <row r="495" spans="1:14" s="442" customFormat="1" ht="9.75" customHeight="1" x14ac:dyDescent="0.15">
      <c r="A495" s="950" t="s">
        <v>806</v>
      </c>
      <c r="B495" s="442" t="s">
        <v>648</v>
      </c>
      <c r="C495" s="442" t="s">
        <v>648</v>
      </c>
      <c r="D495" s="442" t="s">
        <v>648</v>
      </c>
      <c r="E495" s="442">
        <v>127789</v>
      </c>
      <c r="F495" s="442" t="s">
        <v>648</v>
      </c>
      <c r="G495" s="442">
        <v>65369</v>
      </c>
      <c r="H495" s="442">
        <v>62420</v>
      </c>
      <c r="I495" s="442" t="s">
        <v>648</v>
      </c>
      <c r="J495" s="442" t="s">
        <v>648</v>
      </c>
      <c r="K495" s="442">
        <v>2561980</v>
      </c>
      <c r="L495" s="442">
        <v>2345043</v>
      </c>
      <c r="M495" s="448">
        <v>216937</v>
      </c>
      <c r="N495" s="447" t="s">
        <v>98</v>
      </c>
    </row>
    <row r="496" spans="1:14" s="442" customFormat="1" ht="9.75" customHeight="1" x14ac:dyDescent="0.15">
      <c r="A496" s="950" t="s">
        <v>786</v>
      </c>
      <c r="B496" s="442" t="s">
        <v>648</v>
      </c>
      <c r="C496" s="442" t="s">
        <v>648</v>
      </c>
      <c r="D496" s="442" t="s">
        <v>648</v>
      </c>
      <c r="E496" s="442" t="s">
        <v>648</v>
      </c>
      <c r="F496" s="442" t="s">
        <v>648</v>
      </c>
      <c r="G496" s="442" t="s">
        <v>648</v>
      </c>
      <c r="H496" s="442" t="s">
        <v>648</v>
      </c>
      <c r="I496" s="442" t="s">
        <v>648</v>
      </c>
      <c r="J496" s="442" t="s">
        <v>648</v>
      </c>
      <c r="K496" s="442">
        <v>2065806</v>
      </c>
      <c r="L496" s="442">
        <v>1801330</v>
      </c>
      <c r="M496" s="448">
        <v>264476</v>
      </c>
      <c r="N496" s="447" t="s">
        <v>99</v>
      </c>
    </row>
    <row r="497" spans="1:14" s="442" customFormat="1" ht="9.75" customHeight="1" x14ac:dyDescent="0.15">
      <c r="A497" s="950" t="s">
        <v>807</v>
      </c>
      <c r="B497" s="442" t="s">
        <v>648</v>
      </c>
      <c r="C497" s="442" t="s">
        <v>648</v>
      </c>
      <c r="D497" s="442" t="s">
        <v>648</v>
      </c>
      <c r="E497" s="442">
        <v>55579</v>
      </c>
      <c r="F497" s="442" t="s">
        <v>648</v>
      </c>
      <c r="G497" s="442" t="s">
        <v>648</v>
      </c>
      <c r="H497" s="442" t="s">
        <v>648</v>
      </c>
      <c r="I497" s="442">
        <v>55579</v>
      </c>
      <c r="J497" s="442" t="s">
        <v>648</v>
      </c>
      <c r="K497" s="442">
        <v>1692184</v>
      </c>
      <c r="L497" s="442">
        <v>1463383</v>
      </c>
      <c r="M497" s="448">
        <v>228801</v>
      </c>
      <c r="N497" s="447" t="s">
        <v>83</v>
      </c>
    </row>
    <row r="498" spans="1:14" s="442" customFormat="1" ht="9.75" customHeight="1" x14ac:dyDescent="0.15">
      <c r="A498" s="950" t="s">
        <v>788</v>
      </c>
      <c r="B498" s="442" t="s">
        <v>648</v>
      </c>
      <c r="C498" s="442" t="s">
        <v>648</v>
      </c>
      <c r="D498" s="442" t="s">
        <v>648</v>
      </c>
      <c r="E498" s="442">
        <v>74504</v>
      </c>
      <c r="F498" s="442" t="s">
        <v>648</v>
      </c>
      <c r="G498" s="442" t="s">
        <v>648</v>
      </c>
      <c r="H498" s="442">
        <v>74504</v>
      </c>
      <c r="I498" s="442" t="s">
        <v>648</v>
      </c>
      <c r="J498" s="442" t="s">
        <v>648</v>
      </c>
      <c r="K498" s="442">
        <v>1967971</v>
      </c>
      <c r="L498" s="442">
        <v>1775781</v>
      </c>
      <c r="M498" s="448">
        <v>192190</v>
      </c>
      <c r="N498" s="447" t="s">
        <v>84</v>
      </c>
    </row>
    <row r="499" spans="1:14" s="442" customFormat="1" ht="9.75" customHeight="1" x14ac:dyDescent="0.15">
      <c r="A499" s="950" t="s">
        <v>789</v>
      </c>
      <c r="B499" s="442">
        <v>77074</v>
      </c>
      <c r="C499" s="442" t="s">
        <v>648</v>
      </c>
      <c r="D499" s="442" t="s">
        <v>648</v>
      </c>
      <c r="E499" s="442">
        <v>130135</v>
      </c>
      <c r="F499" s="442">
        <v>35364</v>
      </c>
      <c r="G499" s="442" t="s">
        <v>648</v>
      </c>
      <c r="H499" s="442">
        <v>94771</v>
      </c>
      <c r="I499" s="442" t="s">
        <v>648</v>
      </c>
      <c r="J499" s="442" t="s">
        <v>648</v>
      </c>
      <c r="K499" s="442">
        <v>2370812</v>
      </c>
      <c r="L499" s="442">
        <v>2076632</v>
      </c>
      <c r="M499" s="448">
        <v>294180</v>
      </c>
      <c r="N499" s="447" t="s">
        <v>85</v>
      </c>
    </row>
    <row r="500" spans="1:14" s="442" customFormat="1" ht="9.75" customHeight="1" x14ac:dyDescent="0.15">
      <c r="A500" s="950" t="s">
        <v>790</v>
      </c>
      <c r="B500" s="442">
        <v>50395</v>
      </c>
      <c r="C500" s="442" t="s">
        <v>648</v>
      </c>
      <c r="D500" s="442" t="s">
        <v>648</v>
      </c>
      <c r="E500" s="442" t="s">
        <v>648</v>
      </c>
      <c r="F500" s="442" t="s">
        <v>648</v>
      </c>
      <c r="G500" s="442" t="s">
        <v>648</v>
      </c>
      <c r="H500" s="442" t="s">
        <v>648</v>
      </c>
      <c r="I500" s="442" t="s">
        <v>648</v>
      </c>
      <c r="J500" s="442" t="s">
        <v>648</v>
      </c>
      <c r="K500" s="442">
        <v>2590712</v>
      </c>
      <c r="L500" s="442">
        <v>2304051</v>
      </c>
      <c r="M500" s="448">
        <v>286661</v>
      </c>
      <c r="N500" s="447" t="s">
        <v>791</v>
      </c>
    </row>
    <row r="501" spans="1:14" s="442" customFormat="1" ht="9.75" customHeight="1" x14ac:dyDescent="0.15">
      <c r="A501" s="950" t="s">
        <v>792</v>
      </c>
      <c r="B501" s="442" t="s">
        <v>648</v>
      </c>
      <c r="C501" s="442">
        <v>142523</v>
      </c>
      <c r="D501" s="442">
        <v>142523</v>
      </c>
      <c r="E501" s="442">
        <v>64178</v>
      </c>
      <c r="F501" s="442" t="s">
        <v>648</v>
      </c>
      <c r="G501" s="442" t="s">
        <v>648</v>
      </c>
      <c r="H501" s="442" t="s">
        <v>648</v>
      </c>
      <c r="I501" s="442">
        <v>64178</v>
      </c>
      <c r="J501" s="442" t="s">
        <v>648</v>
      </c>
      <c r="K501" s="442">
        <v>2873069</v>
      </c>
      <c r="L501" s="442">
        <v>2498540</v>
      </c>
      <c r="M501" s="448">
        <v>374529</v>
      </c>
      <c r="N501" s="447" t="s">
        <v>80</v>
      </c>
    </row>
    <row r="502" spans="1:14" s="442" customFormat="1" ht="9.75" customHeight="1" x14ac:dyDescent="0.15">
      <c r="A502" s="951" t="s">
        <v>793</v>
      </c>
      <c r="B502" s="446">
        <v>57762</v>
      </c>
      <c r="C502" s="445" t="s">
        <v>648</v>
      </c>
      <c r="D502" s="445" t="s">
        <v>648</v>
      </c>
      <c r="E502" s="445" t="s">
        <v>648</v>
      </c>
      <c r="F502" s="445" t="s">
        <v>648</v>
      </c>
      <c r="G502" s="445" t="s">
        <v>648</v>
      </c>
      <c r="H502" s="445" t="s">
        <v>648</v>
      </c>
      <c r="I502" s="445" t="s">
        <v>648</v>
      </c>
      <c r="J502" s="445" t="s">
        <v>648</v>
      </c>
      <c r="K502" s="445">
        <v>2529973</v>
      </c>
      <c r="L502" s="445">
        <v>2231842</v>
      </c>
      <c r="M502" s="444">
        <v>298131</v>
      </c>
      <c r="N502" s="443" t="s">
        <v>81</v>
      </c>
    </row>
    <row r="503" spans="1:14" ht="12" customHeight="1" x14ac:dyDescent="0.2"/>
    <row r="504" spans="1:14" ht="12" customHeight="1" x14ac:dyDescent="0.2"/>
    <row r="505" spans="1:14" ht="12" customHeight="1" x14ac:dyDescent="0.2"/>
  </sheetData>
  <mergeCells count="44">
    <mergeCell ref="A434:A436"/>
    <mergeCell ref="W434:W436"/>
    <mergeCell ref="D435:D436"/>
    <mergeCell ref="A470:A472"/>
    <mergeCell ref="N470:N472"/>
    <mergeCell ref="A362:A364"/>
    <mergeCell ref="W362:W364"/>
    <mergeCell ref="M363:M364"/>
    <mergeCell ref="A398:A400"/>
    <mergeCell ref="W398:W400"/>
    <mergeCell ref="M399:M400"/>
    <mergeCell ref="A290:A292"/>
    <mergeCell ref="W290:W292"/>
    <mergeCell ref="E291:E292"/>
    <mergeCell ref="K291:K292"/>
    <mergeCell ref="A326:A328"/>
    <mergeCell ref="W326:W328"/>
    <mergeCell ref="E327:E328"/>
    <mergeCell ref="M327:M328"/>
    <mergeCell ref="A218:A220"/>
    <mergeCell ref="W218:W220"/>
    <mergeCell ref="F219:F220"/>
    <mergeCell ref="I219:I220"/>
    <mergeCell ref="A254:A256"/>
    <mergeCell ref="W254:W256"/>
    <mergeCell ref="C255:C256"/>
    <mergeCell ref="A110:A112"/>
    <mergeCell ref="W110:W112"/>
    <mergeCell ref="B111:B112"/>
    <mergeCell ref="A146:A148"/>
    <mergeCell ref="W146:W148"/>
    <mergeCell ref="A182:A184"/>
    <mergeCell ref="W182:W184"/>
    <mergeCell ref="I183:I184"/>
    <mergeCell ref="M183:M184"/>
    <mergeCell ref="S183:S184"/>
    <mergeCell ref="A74:A76"/>
    <mergeCell ref="W74:W76"/>
    <mergeCell ref="L75:L76"/>
    <mergeCell ref="A2:A4"/>
    <mergeCell ref="W2:W4"/>
    <mergeCell ref="B3:B4"/>
    <mergeCell ref="A38:A40"/>
    <mergeCell ref="W38:W40"/>
  </mergeCells>
  <phoneticPr fontId="30"/>
  <pageMargins left="0.59055118110236227" right="0.59055118110236227" top="0.59055118110236227" bottom="0.59055118110236227" header="0.51181102362204722" footer="0.51181102362204722"/>
  <pageSetup paperSize="9" scale="90" pageOrder="overThenDown" orientation="portrait" r:id="rId1"/>
  <headerFooter alignWithMargins="0"/>
  <rowBreaks count="6" manualBreakCount="6">
    <brk id="72" max="22" man="1"/>
    <brk id="144" max="22" man="1"/>
    <brk id="216" max="22" man="1"/>
    <brk id="288" max="22" man="1"/>
    <brk id="360" max="22" man="1"/>
    <brk id="432" max="22" man="1"/>
  </rowBreaks>
  <colBreaks count="1" manualBreakCount="1">
    <brk id="11" max="50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9" defaultRowHeight="13" x14ac:dyDescent="0.2"/>
  <cols>
    <col min="1" max="1" width="2.7265625" style="240" customWidth="1"/>
    <col min="2" max="2" width="3.36328125" style="240" customWidth="1"/>
    <col min="3" max="3" width="3.26953125" style="240" customWidth="1"/>
    <col min="4" max="4" width="6.08984375" style="240" customWidth="1"/>
    <col min="5" max="5" width="0.90625" style="240" customWidth="1"/>
    <col min="6" max="6" width="8.6328125" style="240" customWidth="1"/>
    <col min="7" max="21" width="8.36328125" style="240" customWidth="1"/>
    <col min="22" max="22" width="9.26953125" style="240" customWidth="1"/>
    <col min="23" max="23" width="8.26953125" style="240" customWidth="1"/>
    <col min="24" max="24" width="2.6328125" style="241" customWidth="1"/>
    <col min="25" max="25" width="6.90625" style="240" customWidth="1"/>
    <col min="26" max="16384" width="9" style="240"/>
  </cols>
  <sheetData>
    <row r="1" spans="1:25" ht="16.5" customHeight="1" x14ac:dyDescent="0.25">
      <c r="I1" s="357"/>
      <c r="J1" s="356"/>
      <c r="K1" s="356"/>
      <c r="L1" s="356"/>
      <c r="M1" s="356"/>
      <c r="N1" s="356"/>
      <c r="O1" s="356"/>
      <c r="P1" s="356"/>
      <c r="Q1" s="356"/>
      <c r="R1" s="356"/>
      <c r="T1" s="850"/>
      <c r="U1" s="341"/>
      <c r="X1" s="240"/>
    </row>
    <row r="2" spans="1:25" s="351" customFormat="1" ht="16.5" customHeight="1" x14ac:dyDescent="0.2">
      <c r="I2" s="341"/>
      <c r="R2" s="355"/>
      <c r="T2" s="354"/>
      <c r="U2" s="354"/>
      <c r="X2" s="353"/>
      <c r="Y2" s="352"/>
    </row>
    <row r="3" spans="1:25" s="189" customFormat="1" ht="16.5" customHeight="1" x14ac:dyDescent="0.2">
      <c r="A3" s="865"/>
      <c r="B3" s="350" t="s">
        <v>1108</v>
      </c>
      <c r="C3" s="851"/>
      <c r="D3" s="851"/>
      <c r="E3" s="851"/>
      <c r="F3" s="349"/>
      <c r="G3" s="852"/>
      <c r="H3" s="349"/>
      <c r="I3" s="349"/>
      <c r="J3" s="853"/>
      <c r="K3" s="853"/>
      <c r="L3" s="349"/>
      <c r="M3" s="349"/>
      <c r="N3" s="349"/>
      <c r="O3" s="977"/>
      <c r="P3" s="349"/>
      <c r="Q3" s="349"/>
      <c r="R3" s="854"/>
      <c r="S3" s="183"/>
      <c r="T3" s="806"/>
      <c r="U3" s="806"/>
      <c r="V3" s="165" t="s">
        <v>510</v>
      </c>
      <c r="W3" s="349"/>
      <c r="X3" s="348"/>
    </row>
    <row r="4" spans="1:25" s="191" customFormat="1" ht="22" customHeight="1" x14ac:dyDescent="0.15">
      <c r="A4" s="346"/>
      <c r="B4" s="909"/>
      <c r="C4" s="909"/>
      <c r="D4" s="909"/>
      <c r="E4" s="910"/>
      <c r="F4" s="476"/>
      <c r="G4" s="229"/>
      <c r="H4" s="229"/>
      <c r="I4" s="229"/>
      <c r="J4" s="229"/>
      <c r="K4" s="229"/>
      <c r="L4" s="229"/>
      <c r="M4" s="229"/>
      <c r="N4" s="228"/>
      <c r="O4" s="227"/>
      <c r="P4" s="226"/>
      <c r="Q4" s="226"/>
      <c r="R4" s="226"/>
      <c r="S4" s="226"/>
      <c r="T4" s="225"/>
      <c r="U4" s="280"/>
      <c r="V4" s="347"/>
      <c r="W4" s="1083" t="s">
        <v>626</v>
      </c>
      <c r="X4" s="320"/>
      <c r="Y4" s="319"/>
    </row>
    <row r="5" spans="1:25" s="191" customFormat="1" ht="22" customHeight="1" x14ac:dyDescent="0.15">
      <c r="A5" s="909"/>
      <c r="B5" s="1071" t="s">
        <v>351</v>
      </c>
      <c r="C5" s="1071"/>
      <c r="D5" s="1071"/>
      <c r="E5" s="1072"/>
      <c r="F5" s="217" t="s">
        <v>252</v>
      </c>
      <c r="G5" s="212" t="s">
        <v>1109</v>
      </c>
      <c r="H5" s="212" t="s">
        <v>573</v>
      </c>
      <c r="I5" s="212" t="s">
        <v>574</v>
      </c>
      <c r="J5" s="212" t="s">
        <v>1110</v>
      </c>
      <c r="K5" s="212" t="s">
        <v>996</v>
      </c>
      <c r="L5" s="212" t="s">
        <v>577</v>
      </c>
      <c r="M5" s="222"/>
      <c r="N5" s="221"/>
      <c r="O5" s="214" t="s">
        <v>998</v>
      </c>
      <c r="P5" s="215" t="s">
        <v>579</v>
      </c>
      <c r="Q5" s="215" t="s">
        <v>580</v>
      </c>
      <c r="R5" s="215" t="s">
        <v>581</v>
      </c>
      <c r="S5" s="220" t="s">
        <v>582</v>
      </c>
      <c r="T5" s="279"/>
      <c r="U5" s="278"/>
      <c r="V5" s="214" t="s">
        <v>583</v>
      </c>
      <c r="W5" s="1084"/>
      <c r="X5" s="320"/>
      <c r="Y5" s="346" t="s">
        <v>249</v>
      </c>
    </row>
    <row r="6" spans="1:25" s="866" customFormat="1" ht="22" customHeight="1" x14ac:dyDescent="0.15">
      <c r="A6" s="909"/>
      <c r="B6" s="909"/>
      <c r="C6" s="909"/>
      <c r="D6" s="909"/>
      <c r="E6" s="910"/>
      <c r="F6" s="217"/>
      <c r="G6" s="212" t="s">
        <v>249</v>
      </c>
      <c r="H6" s="212" t="s">
        <v>249</v>
      </c>
      <c r="I6" s="859" t="s">
        <v>250</v>
      </c>
      <c r="J6" s="212"/>
      <c r="K6" s="212"/>
      <c r="L6" s="212" t="s">
        <v>249</v>
      </c>
      <c r="M6" s="212" t="s">
        <v>248</v>
      </c>
      <c r="N6" s="216" t="s">
        <v>247</v>
      </c>
      <c r="O6" s="214"/>
      <c r="P6" s="215"/>
      <c r="Q6" s="215"/>
      <c r="R6" s="215"/>
      <c r="S6" s="215"/>
      <c r="T6" s="215" t="s">
        <v>1111</v>
      </c>
      <c r="U6" s="214" t="s">
        <v>585</v>
      </c>
      <c r="V6" s="213"/>
      <c r="W6" s="1084"/>
      <c r="X6" s="320"/>
      <c r="Y6" s="346" t="s">
        <v>249</v>
      </c>
    </row>
    <row r="7" spans="1:25" s="191" customFormat="1" ht="33.75" customHeight="1" x14ac:dyDescent="0.15">
      <c r="A7" s="346"/>
      <c r="B7" s="911"/>
      <c r="C7" s="911"/>
      <c r="D7" s="911"/>
      <c r="E7" s="912"/>
      <c r="F7" s="211" t="s">
        <v>695</v>
      </c>
      <c r="G7" s="211" t="s">
        <v>246</v>
      </c>
      <c r="H7" s="211" t="s">
        <v>596</v>
      </c>
      <c r="I7" s="211" t="s">
        <v>597</v>
      </c>
      <c r="J7" s="211" t="s">
        <v>245</v>
      </c>
      <c r="K7" s="211" t="s">
        <v>1112</v>
      </c>
      <c r="L7" s="211" t="s">
        <v>1113</v>
      </c>
      <c r="M7" s="211" t="s">
        <v>598</v>
      </c>
      <c r="N7" s="210" t="s">
        <v>599</v>
      </c>
      <c r="O7" s="209" t="s">
        <v>254</v>
      </c>
      <c r="P7" s="209" t="s">
        <v>244</v>
      </c>
      <c r="Q7" s="209" t="s">
        <v>243</v>
      </c>
      <c r="R7" s="208" t="s">
        <v>242</v>
      </c>
      <c r="S7" s="914" t="s">
        <v>600</v>
      </c>
      <c r="T7" s="207"/>
      <c r="U7" s="207"/>
      <c r="V7" s="912" t="s">
        <v>1007</v>
      </c>
      <c r="W7" s="1085"/>
      <c r="X7" s="320"/>
      <c r="Y7" s="346" t="s">
        <v>249</v>
      </c>
    </row>
    <row r="8" spans="1:25" s="236" customFormat="1" ht="20.25" customHeight="1" x14ac:dyDescent="0.2">
      <c r="A8" s="978"/>
      <c r="B8" s="979" t="s">
        <v>261</v>
      </c>
      <c r="C8" s="979" t="s">
        <v>936</v>
      </c>
      <c r="D8" s="1016"/>
      <c r="E8" s="345"/>
      <c r="F8" s="341">
        <v>32091083</v>
      </c>
      <c r="G8" s="341">
        <v>3909107</v>
      </c>
      <c r="H8" s="341">
        <v>51095</v>
      </c>
      <c r="I8" s="341">
        <v>10058468</v>
      </c>
      <c r="J8" s="341">
        <v>545768</v>
      </c>
      <c r="K8" s="341">
        <v>9230666</v>
      </c>
      <c r="L8" s="341">
        <v>8295979</v>
      </c>
      <c r="M8" s="341">
        <v>1349403</v>
      </c>
      <c r="N8" s="341">
        <v>6946576</v>
      </c>
      <c r="O8" s="341">
        <v>800803</v>
      </c>
      <c r="P8" s="341">
        <v>79259</v>
      </c>
      <c r="Q8" s="341">
        <v>1098</v>
      </c>
      <c r="R8" s="341">
        <v>44515</v>
      </c>
      <c r="S8" s="341">
        <v>200018</v>
      </c>
      <c r="T8" s="341">
        <v>146301</v>
      </c>
      <c r="U8" s="341">
        <v>53717</v>
      </c>
      <c r="V8" s="793" t="s">
        <v>648</v>
      </c>
      <c r="W8" s="137" t="s">
        <v>1114</v>
      </c>
      <c r="X8" s="120"/>
      <c r="Y8" s="915"/>
    </row>
    <row r="9" spans="1:25" s="236" customFormat="1" ht="20.25" customHeight="1" x14ac:dyDescent="0.2">
      <c r="A9" s="978"/>
      <c r="B9" s="982" t="s">
        <v>260</v>
      </c>
      <c r="C9" s="982" t="s">
        <v>1051</v>
      </c>
      <c r="D9" s="1017"/>
      <c r="E9" s="343"/>
      <c r="F9" s="341">
        <v>30448722</v>
      </c>
      <c r="G9" s="341">
        <v>3282646</v>
      </c>
      <c r="H9" s="341" t="s">
        <v>648</v>
      </c>
      <c r="I9" s="341">
        <v>10087919</v>
      </c>
      <c r="J9" s="341">
        <v>598845</v>
      </c>
      <c r="K9" s="341">
        <v>7538463</v>
      </c>
      <c r="L9" s="341">
        <v>8940849</v>
      </c>
      <c r="M9" s="341">
        <v>1057505</v>
      </c>
      <c r="N9" s="341">
        <v>7883344</v>
      </c>
      <c r="O9" s="341">
        <v>981798</v>
      </c>
      <c r="P9" s="341">
        <v>86688</v>
      </c>
      <c r="Q9" s="341">
        <v>841</v>
      </c>
      <c r="R9" s="341">
        <v>38725</v>
      </c>
      <c r="S9" s="341">
        <v>259632</v>
      </c>
      <c r="T9" s="341">
        <v>210580</v>
      </c>
      <c r="U9" s="341">
        <v>49052</v>
      </c>
      <c r="V9" s="793" t="s">
        <v>648</v>
      </c>
      <c r="W9" s="137" t="s">
        <v>639</v>
      </c>
      <c r="X9" s="120"/>
      <c r="Y9" s="915"/>
    </row>
    <row r="10" spans="1:25" s="236" customFormat="1" ht="20.25" customHeight="1" x14ac:dyDescent="0.2">
      <c r="A10" s="978"/>
      <c r="B10" s="982" t="s">
        <v>566</v>
      </c>
      <c r="C10" s="982" t="s">
        <v>686</v>
      </c>
      <c r="D10" s="1017"/>
      <c r="E10" s="343"/>
      <c r="F10" s="341">
        <v>34069069</v>
      </c>
      <c r="G10" s="341">
        <v>3406830</v>
      </c>
      <c r="H10" s="341">
        <v>3240</v>
      </c>
      <c r="I10" s="341">
        <v>11164796</v>
      </c>
      <c r="J10" s="341">
        <v>955739</v>
      </c>
      <c r="K10" s="341">
        <v>9901113</v>
      </c>
      <c r="L10" s="341">
        <v>8637351</v>
      </c>
      <c r="M10" s="341">
        <v>1672616</v>
      </c>
      <c r="N10" s="341">
        <v>6964735</v>
      </c>
      <c r="O10" s="341">
        <v>839240</v>
      </c>
      <c r="P10" s="341">
        <v>59956</v>
      </c>
      <c r="Q10" s="341">
        <v>923</v>
      </c>
      <c r="R10" s="341">
        <v>36055</v>
      </c>
      <c r="S10" s="341">
        <v>186335</v>
      </c>
      <c r="T10" s="341">
        <v>163822</v>
      </c>
      <c r="U10" s="341">
        <v>22513</v>
      </c>
      <c r="V10" s="793" t="s">
        <v>648</v>
      </c>
      <c r="W10" s="137" t="s">
        <v>1115</v>
      </c>
      <c r="X10" s="120"/>
      <c r="Y10" s="915"/>
    </row>
    <row r="11" spans="1:25" s="236" customFormat="1" ht="20.25" customHeight="1" x14ac:dyDescent="0.2">
      <c r="A11" s="978"/>
      <c r="B11" s="982" t="s">
        <v>260</v>
      </c>
      <c r="C11" s="982" t="s">
        <v>687</v>
      </c>
      <c r="D11" s="1017"/>
      <c r="E11" s="343"/>
      <c r="F11" s="341">
        <v>21330362</v>
      </c>
      <c r="G11" s="341">
        <v>2322527</v>
      </c>
      <c r="H11" s="341" t="s">
        <v>648</v>
      </c>
      <c r="I11" s="341">
        <v>4781020</v>
      </c>
      <c r="J11" s="341">
        <v>1313743</v>
      </c>
      <c r="K11" s="341">
        <v>3962210</v>
      </c>
      <c r="L11" s="341">
        <v>8950862</v>
      </c>
      <c r="M11" s="341">
        <v>1327820</v>
      </c>
      <c r="N11" s="341">
        <v>7623042</v>
      </c>
      <c r="O11" s="341">
        <v>749232</v>
      </c>
      <c r="P11" s="341">
        <v>23765</v>
      </c>
      <c r="Q11" s="341">
        <v>633</v>
      </c>
      <c r="R11" s="341">
        <v>42715</v>
      </c>
      <c r="S11" s="341">
        <v>133245</v>
      </c>
      <c r="T11" s="341">
        <v>110328</v>
      </c>
      <c r="U11" s="341">
        <v>22917</v>
      </c>
      <c r="V11" s="793" t="s">
        <v>648</v>
      </c>
      <c r="W11" s="137" t="s">
        <v>942</v>
      </c>
      <c r="X11" s="120"/>
      <c r="Y11" s="915"/>
    </row>
    <row r="12" spans="1:25" s="236" customFormat="1" ht="20.25" customHeight="1" x14ac:dyDescent="0.2">
      <c r="A12" s="978"/>
      <c r="B12" s="982" t="s">
        <v>260</v>
      </c>
      <c r="C12" s="982" t="s">
        <v>1116</v>
      </c>
      <c r="D12" s="1017"/>
      <c r="E12" s="343"/>
      <c r="F12" s="341">
        <v>22230511</v>
      </c>
      <c r="G12" s="341">
        <v>3344951</v>
      </c>
      <c r="H12" s="341" t="s">
        <v>648</v>
      </c>
      <c r="I12" s="341">
        <v>5327622</v>
      </c>
      <c r="J12" s="341">
        <v>511923</v>
      </c>
      <c r="K12" s="341">
        <v>4886875</v>
      </c>
      <c r="L12" s="341">
        <v>8159140</v>
      </c>
      <c r="M12" s="341">
        <v>775956</v>
      </c>
      <c r="N12" s="341">
        <v>7383184</v>
      </c>
      <c r="O12" s="341">
        <v>766211</v>
      </c>
      <c r="P12" s="341">
        <v>14830</v>
      </c>
      <c r="Q12" s="341">
        <v>831</v>
      </c>
      <c r="R12" s="341">
        <v>44158</v>
      </c>
      <c r="S12" s="341">
        <v>147278</v>
      </c>
      <c r="T12" s="341">
        <v>133767</v>
      </c>
      <c r="U12" s="341">
        <v>13511</v>
      </c>
      <c r="V12" s="793" t="s">
        <v>648</v>
      </c>
      <c r="W12" s="137" t="s">
        <v>1117</v>
      </c>
      <c r="X12" s="120"/>
      <c r="Y12" s="120"/>
    </row>
    <row r="13" spans="1:25" s="236" customFormat="1" ht="20.25" customHeight="1" x14ac:dyDescent="0.2">
      <c r="A13" s="978"/>
      <c r="B13" s="982"/>
      <c r="C13" s="982"/>
      <c r="D13" s="988"/>
      <c r="E13" s="332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793"/>
      <c r="W13" s="341"/>
      <c r="X13" s="120"/>
      <c r="Y13" s="915"/>
    </row>
    <row r="14" spans="1:25" s="236" customFormat="1" ht="20.25" customHeight="1" x14ac:dyDescent="0.2">
      <c r="A14" s="978"/>
      <c r="B14" s="982" t="s">
        <v>566</v>
      </c>
      <c r="C14" s="982" t="s">
        <v>1118</v>
      </c>
      <c r="D14" s="1018"/>
      <c r="E14" s="336"/>
      <c r="F14" s="341">
        <v>18483396</v>
      </c>
      <c r="G14" s="341">
        <v>2451485</v>
      </c>
      <c r="H14" s="341" t="s">
        <v>648</v>
      </c>
      <c r="I14" s="341">
        <v>3780034</v>
      </c>
      <c r="J14" s="341">
        <v>1299995</v>
      </c>
      <c r="K14" s="341">
        <v>2899710</v>
      </c>
      <c r="L14" s="341">
        <v>8052172</v>
      </c>
      <c r="M14" s="341">
        <v>1292047</v>
      </c>
      <c r="N14" s="341">
        <v>6760125</v>
      </c>
      <c r="O14" s="341">
        <v>812851</v>
      </c>
      <c r="P14" s="341">
        <v>17765</v>
      </c>
      <c r="Q14" s="341">
        <v>671</v>
      </c>
      <c r="R14" s="341">
        <v>49705</v>
      </c>
      <c r="S14" s="341">
        <v>117480</v>
      </c>
      <c r="T14" s="341">
        <v>94562</v>
      </c>
      <c r="U14" s="341">
        <v>22918</v>
      </c>
      <c r="V14" s="793" t="s">
        <v>648</v>
      </c>
      <c r="W14" s="136" t="s">
        <v>946</v>
      </c>
      <c r="X14" s="120"/>
      <c r="Y14" s="321" t="s">
        <v>249</v>
      </c>
    </row>
    <row r="15" spans="1:25" s="236" customFormat="1" ht="20.25" customHeight="1" x14ac:dyDescent="0.2">
      <c r="A15" s="978"/>
      <c r="B15" s="982" t="s">
        <v>260</v>
      </c>
      <c r="C15" s="982" t="s">
        <v>943</v>
      </c>
      <c r="D15" s="1018"/>
      <c r="E15" s="336"/>
      <c r="F15" s="341">
        <v>23940994</v>
      </c>
      <c r="G15" s="341">
        <v>3984149</v>
      </c>
      <c r="H15" s="341" t="s">
        <v>648</v>
      </c>
      <c r="I15" s="341">
        <v>5713857</v>
      </c>
      <c r="J15" s="341">
        <v>384819</v>
      </c>
      <c r="K15" s="341">
        <v>5938069</v>
      </c>
      <c r="L15" s="341">
        <v>7920100</v>
      </c>
      <c r="M15" s="341">
        <v>446974</v>
      </c>
      <c r="N15" s="341">
        <v>7473126</v>
      </c>
      <c r="O15" s="341">
        <v>723422</v>
      </c>
      <c r="P15" s="341">
        <v>14830</v>
      </c>
      <c r="Q15" s="341">
        <v>807</v>
      </c>
      <c r="R15" s="341">
        <v>46346</v>
      </c>
      <c r="S15" s="341">
        <v>183639</v>
      </c>
      <c r="T15" s="341">
        <v>168625</v>
      </c>
      <c r="U15" s="341">
        <v>15014</v>
      </c>
      <c r="V15" s="793" t="s">
        <v>648</v>
      </c>
      <c r="W15" s="136" t="s">
        <v>1119</v>
      </c>
      <c r="X15" s="120"/>
      <c r="Y15" s="321"/>
    </row>
    <row r="16" spans="1:25" s="236" customFormat="1" ht="20.25" customHeight="1" x14ac:dyDescent="0.2">
      <c r="A16" s="978"/>
      <c r="B16" s="982"/>
      <c r="C16" s="982"/>
      <c r="D16" s="988"/>
      <c r="E16" s="332"/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793"/>
      <c r="W16" s="131"/>
      <c r="X16" s="120"/>
      <c r="Y16" s="321"/>
    </row>
    <row r="17" spans="1:25" s="236" customFormat="1" ht="20.25" customHeight="1" x14ac:dyDescent="0.2">
      <c r="A17" s="978"/>
      <c r="B17" s="982" t="s">
        <v>566</v>
      </c>
      <c r="C17" s="982" t="s">
        <v>1120</v>
      </c>
      <c r="D17" s="987" t="s">
        <v>690</v>
      </c>
      <c r="E17" s="336"/>
      <c r="F17" s="341">
        <v>5649477</v>
      </c>
      <c r="G17" s="341">
        <v>1153053</v>
      </c>
      <c r="H17" s="341" t="s">
        <v>648</v>
      </c>
      <c r="I17" s="341">
        <v>940366</v>
      </c>
      <c r="J17" s="341">
        <v>284470</v>
      </c>
      <c r="K17" s="341">
        <v>933718</v>
      </c>
      <c r="L17" s="341">
        <v>2337870</v>
      </c>
      <c r="M17" s="341">
        <v>401925</v>
      </c>
      <c r="N17" s="341">
        <v>1935945</v>
      </c>
      <c r="O17" s="341">
        <v>246676</v>
      </c>
      <c r="P17" s="341" t="s">
        <v>648</v>
      </c>
      <c r="Q17" s="341">
        <v>200</v>
      </c>
      <c r="R17" s="341">
        <v>13574</v>
      </c>
      <c r="S17" s="341">
        <v>9894</v>
      </c>
      <c r="T17" s="341">
        <v>8392</v>
      </c>
      <c r="U17" s="341">
        <v>1502</v>
      </c>
      <c r="V17" s="341" t="s">
        <v>648</v>
      </c>
      <c r="W17" s="132" t="s">
        <v>692</v>
      </c>
      <c r="X17" s="120"/>
      <c r="Y17" s="321"/>
    </row>
    <row r="18" spans="1:25" s="236" customFormat="1" ht="20.25" customHeight="1" x14ac:dyDescent="0.2">
      <c r="A18" s="978"/>
      <c r="B18" s="982" t="s">
        <v>260</v>
      </c>
      <c r="C18" s="982" t="s">
        <v>260</v>
      </c>
      <c r="D18" s="987" t="s">
        <v>951</v>
      </c>
      <c r="E18" s="336"/>
      <c r="F18" s="341">
        <v>4014000</v>
      </c>
      <c r="G18" s="341">
        <v>272983</v>
      </c>
      <c r="H18" s="341" t="s">
        <v>648</v>
      </c>
      <c r="I18" s="341">
        <v>1255990</v>
      </c>
      <c r="J18" s="341">
        <v>37704</v>
      </c>
      <c r="K18" s="341">
        <v>474581</v>
      </c>
      <c r="L18" s="341">
        <v>1972742</v>
      </c>
      <c r="M18" s="341">
        <v>136633</v>
      </c>
      <c r="N18" s="341">
        <v>1836109</v>
      </c>
      <c r="O18" s="341">
        <v>170031</v>
      </c>
      <c r="P18" s="341">
        <v>14830</v>
      </c>
      <c r="Q18" s="341">
        <v>258</v>
      </c>
      <c r="R18" s="341">
        <v>8251</v>
      </c>
      <c r="S18" s="341">
        <v>10860</v>
      </c>
      <c r="T18" s="341">
        <v>4854</v>
      </c>
      <c r="U18" s="341">
        <v>6006</v>
      </c>
      <c r="V18" s="341" t="s">
        <v>648</v>
      </c>
      <c r="W18" s="135" t="s">
        <v>569</v>
      </c>
      <c r="X18" s="120"/>
      <c r="Y18" s="321"/>
    </row>
    <row r="19" spans="1:25" s="236" customFormat="1" ht="20.25" customHeight="1" x14ac:dyDescent="0.2">
      <c r="A19" s="978"/>
      <c r="B19" s="982" t="s">
        <v>260</v>
      </c>
      <c r="C19" s="982" t="s">
        <v>260</v>
      </c>
      <c r="D19" s="987" t="s">
        <v>1121</v>
      </c>
      <c r="E19" s="336"/>
      <c r="F19" s="341">
        <v>6324487</v>
      </c>
      <c r="G19" s="341">
        <v>654506</v>
      </c>
      <c r="H19" s="341" t="s">
        <v>648</v>
      </c>
      <c r="I19" s="341">
        <v>1687284</v>
      </c>
      <c r="J19" s="341">
        <v>117725</v>
      </c>
      <c r="K19" s="341">
        <v>1892808</v>
      </c>
      <c r="L19" s="341">
        <v>1972164</v>
      </c>
      <c r="M19" s="341">
        <v>137612</v>
      </c>
      <c r="N19" s="341">
        <v>1834552</v>
      </c>
      <c r="O19" s="341">
        <v>199321</v>
      </c>
      <c r="P19" s="341" t="s">
        <v>648</v>
      </c>
      <c r="Q19" s="341">
        <v>201</v>
      </c>
      <c r="R19" s="341">
        <v>10178</v>
      </c>
      <c r="S19" s="341">
        <v>61784</v>
      </c>
      <c r="T19" s="341">
        <v>60284</v>
      </c>
      <c r="U19" s="341">
        <v>1500</v>
      </c>
      <c r="V19" s="341" t="s">
        <v>648</v>
      </c>
      <c r="W19" s="134" t="s">
        <v>954</v>
      </c>
      <c r="X19" s="120"/>
      <c r="Y19" s="321" t="s">
        <v>249</v>
      </c>
    </row>
    <row r="20" spans="1:25" s="236" customFormat="1" ht="20.25" customHeight="1" x14ac:dyDescent="0.2">
      <c r="A20" s="978"/>
      <c r="B20" s="982" t="s">
        <v>260</v>
      </c>
      <c r="C20" s="982" t="s">
        <v>260</v>
      </c>
      <c r="D20" s="987" t="s">
        <v>691</v>
      </c>
      <c r="E20" s="336"/>
      <c r="F20" s="341">
        <v>6242547</v>
      </c>
      <c r="G20" s="341">
        <v>1264409</v>
      </c>
      <c r="H20" s="341" t="s">
        <v>648</v>
      </c>
      <c r="I20" s="341">
        <v>1443982</v>
      </c>
      <c r="J20" s="341">
        <v>72024</v>
      </c>
      <c r="K20" s="341">
        <v>1585768</v>
      </c>
      <c r="L20" s="341">
        <v>1876364</v>
      </c>
      <c r="M20" s="341">
        <v>99786</v>
      </c>
      <c r="N20" s="341">
        <v>1776578</v>
      </c>
      <c r="O20" s="341">
        <v>150183</v>
      </c>
      <c r="P20" s="341" t="s">
        <v>648</v>
      </c>
      <c r="Q20" s="341">
        <v>172</v>
      </c>
      <c r="R20" s="341">
        <v>12155</v>
      </c>
      <c r="S20" s="341">
        <v>64740</v>
      </c>
      <c r="T20" s="341">
        <v>60237</v>
      </c>
      <c r="U20" s="341">
        <v>4503</v>
      </c>
      <c r="V20" s="341" t="s">
        <v>648</v>
      </c>
      <c r="W20" s="133" t="s">
        <v>956</v>
      </c>
      <c r="X20" s="120"/>
      <c r="Y20" s="321" t="s">
        <v>249</v>
      </c>
    </row>
    <row r="21" spans="1:25" s="236" customFormat="1" ht="20.25" customHeight="1" x14ac:dyDescent="0.2">
      <c r="A21" s="978"/>
      <c r="B21" s="982" t="s">
        <v>566</v>
      </c>
      <c r="C21" s="982" t="s">
        <v>957</v>
      </c>
      <c r="D21" s="987" t="s">
        <v>958</v>
      </c>
      <c r="E21" s="336"/>
      <c r="F21" s="341">
        <v>7359960</v>
      </c>
      <c r="G21" s="341">
        <v>1792251</v>
      </c>
      <c r="H21" s="341" t="s">
        <v>648</v>
      </c>
      <c r="I21" s="341">
        <v>1326601</v>
      </c>
      <c r="J21" s="341">
        <v>157366</v>
      </c>
      <c r="K21" s="341">
        <v>1984912</v>
      </c>
      <c r="L21" s="341">
        <v>2098830</v>
      </c>
      <c r="M21" s="341">
        <v>72943</v>
      </c>
      <c r="N21" s="341">
        <v>2025887</v>
      </c>
      <c r="O21" s="341">
        <v>203887</v>
      </c>
      <c r="P21" s="341" t="s">
        <v>648</v>
      </c>
      <c r="Q21" s="341">
        <v>176</v>
      </c>
      <c r="R21" s="341">
        <v>15762</v>
      </c>
      <c r="S21" s="341">
        <v>46255</v>
      </c>
      <c r="T21" s="341">
        <v>43250</v>
      </c>
      <c r="U21" s="341">
        <v>3005</v>
      </c>
      <c r="V21" s="341" t="s">
        <v>648</v>
      </c>
      <c r="W21" s="132" t="s">
        <v>959</v>
      </c>
      <c r="X21" s="120"/>
      <c r="Y21" s="321"/>
    </row>
    <row r="22" spans="1:25" s="236" customFormat="1" ht="20.25" customHeight="1" x14ac:dyDescent="0.2">
      <c r="A22" s="978"/>
      <c r="B22" s="982"/>
      <c r="C22" s="982"/>
      <c r="D22" s="988"/>
      <c r="E22" s="332"/>
      <c r="F22" s="474"/>
      <c r="G22" s="474"/>
      <c r="H22" s="474"/>
      <c r="I22" s="474"/>
      <c r="J22" s="474"/>
      <c r="K22" s="474"/>
      <c r="L22" s="474"/>
      <c r="M22" s="474"/>
      <c r="N22" s="474"/>
      <c r="O22" s="475"/>
      <c r="P22" s="475"/>
      <c r="Q22" s="475"/>
      <c r="R22" s="475"/>
      <c r="S22" s="475"/>
      <c r="T22" s="475"/>
      <c r="U22" s="475"/>
      <c r="V22" s="794"/>
      <c r="W22" s="131"/>
      <c r="X22" s="120"/>
      <c r="Y22" s="321"/>
    </row>
    <row r="23" spans="1:25" s="236" customFormat="1" ht="20.25" customHeight="1" x14ac:dyDescent="0.2">
      <c r="A23" s="978"/>
      <c r="B23" s="982" t="s">
        <v>566</v>
      </c>
      <c r="C23" s="982" t="s">
        <v>948</v>
      </c>
      <c r="D23" s="982" t="s">
        <v>1122</v>
      </c>
      <c r="E23" s="328"/>
      <c r="F23" s="331">
        <v>1900956</v>
      </c>
      <c r="G23" s="331">
        <v>359096</v>
      </c>
      <c r="H23" s="128" t="s">
        <v>648</v>
      </c>
      <c r="I23" s="331">
        <v>312308</v>
      </c>
      <c r="J23" s="331">
        <v>159991</v>
      </c>
      <c r="K23" s="331">
        <v>372233</v>
      </c>
      <c r="L23" s="331">
        <v>697328</v>
      </c>
      <c r="M23" s="331">
        <v>142492</v>
      </c>
      <c r="N23" s="331">
        <v>554836</v>
      </c>
      <c r="O23" s="331">
        <v>94814</v>
      </c>
      <c r="P23" s="128" t="s">
        <v>648</v>
      </c>
      <c r="Q23" s="331">
        <v>51</v>
      </c>
      <c r="R23" s="331">
        <v>2137</v>
      </c>
      <c r="S23" s="331">
        <v>5957</v>
      </c>
      <c r="T23" s="331">
        <v>5957</v>
      </c>
      <c r="U23" s="128" t="s">
        <v>648</v>
      </c>
      <c r="V23" s="128" t="s">
        <v>648</v>
      </c>
      <c r="W23" s="130" t="s">
        <v>694</v>
      </c>
      <c r="X23" s="120"/>
      <c r="Y23" s="321" t="s">
        <v>249</v>
      </c>
    </row>
    <row r="24" spans="1:25" s="236" customFormat="1" ht="20.25" customHeight="1" x14ac:dyDescent="0.2">
      <c r="A24" s="978"/>
      <c r="B24" s="982" t="s">
        <v>260</v>
      </c>
      <c r="C24" s="982" t="s">
        <v>260</v>
      </c>
      <c r="D24" s="982" t="s">
        <v>1123</v>
      </c>
      <c r="E24" s="328"/>
      <c r="F24" s="341">
        <v>1665936</v>
      </c>
      <c r="G24" s="341">
        <v>432675</v>
      </c>
      <c r="H24" s="341" t="s">
        <v>648</v>
      </c>
      <c r="I24" s="341">
        <v>266005</v>
      </c>
      <c r="J24" s="341">
        <v>74990</v>
      </c>
      <c r="K24" s="341">
        <v>150938</v>
      </c>
      <c r="L24" s="341">
        <v>741328</v>
      </c>
      <c r="M24" s="341">
        <v>124453</v>
      </c>
      <c r="N24" s="341">
        <v>616875</v>
      </c>
      <c r="O24" s="341">
        <v>81900</v>
      </c>
      <c r="P24" s="341" t="s">
        <v>648</v>
      </c>
      <c r="Q24" s="341">
        <v>61</v>
      </c>
      <c r="R24" s="341">
        <v>4147</v>
      </c>
      <c r="S24" s="341" t="s">
        <v>648</v>
      </c>
      <c r="T24" s="341" t="s">
        <v>648</v>
      </c>
      <c r="U24" s="341" t="s">
        <v>648</v>
      </c>
      <c r="V24" s="341" t="s">
        <v>648</v>
      </c>
      <c r="W24" s="125" t="s">
        <v>963</v>
      </c>
      <c r="X24" s="120"/>
      <c r="Y24" s="321"/>
    </row>
    <row r="25" spans="1:25" s="236" customFormat="1" ht="20.25" customHeight="1" x14ac:dyDescent="0.2">
      <c r="A25" s="978"/>
      <c r="B25" s="982" t="s">
        <v>260</v>
      </c>
      <c r="C25" s="982" t="s">
        <v>260</v>
      </c>
      <c r="D25" s="982" t="s">
        <v>964</v>
      </c>
      <c r="E25" s="328"/>
      <c r="F25" s="331">
        <v>2082585</v>
      </c>
      <c r="G25" s="331">
        <v>361282</v>
      </c>
      <c r="H25" s="128" t="s">
        <v>648</v>
      </c>
      <c r="I25" s="331">
        <v>362053</v>
      </c>
      <c r="J25" s="331">
        <v>49489</v>
      </c>
      <c r="K25" s="331">
        <v>410547</v>
      </c>
      <c r="L25" s="331">
        <v>899214</v>
      </c>
      <c r="M25" s="331">
        <v>134980</v>
      </c>
      <c r="N25" s="331">
        <v>764234</v>
      </c>
      <c r="O25" s="331">
        <v>69962</v>
      </c>
      <c r="P25" s="128" t="s">
        <v>648</v>
      </c>
      <c r="Q25" s="331">
        <v>88</v>
      </c>
      <c r="R25" s="331">
        <v>7290</v>
      </c>
      <c r="S25" s="331">
        <v>3937</v>
      </c>
      <c r="T25" s="331">
        <v>2435</v>
      </c>
      <c r="U25" s="331">
        <v>1502</v>
      </c>
      <c r="V25" s="128" t="s">
        <v>648</v>
      </c>
      <c r="W25" s="125" t="s">
        <v>965</v>
      </c>
      <c r="X25" s="120"/>
      <c r="Y25" s="321" t="s">
        <v>249</v>
      </c>
    </row>
    <row r="26" spans="1:25" s="236" customFormat="1" ht="20.25" customHeight="1" x14ac:dyDescent="0.2">
      <c r="A26" s="978"/>
      <c r="B26" s="982" t="s">
        <v>260</v>
      </c>
      <c r="C26" s="982" t="s">
        <v>260</v>
      </c>
      <c r="D26" s="982" t="s">
        <v>966</v>
      </c>
      <c r="E26" s="328"/>
      <c r="F26" s="341">
        <v>1288465</v>
      </c>
      <c r="G26" s="341">
        <v>149962</v>
      </c>
      <c r="H26" s="341" t="s">
        <v>648</v>
      </c>
      <c r="I26" s="341">
        <v>332471</v>
      </c>
      <c r="J26" s="341" t="s">
        <v>648</v>
      </c>
      <c r="K26" s="341">
        <v>59139</v>
      </c>
      <c r="L26" s="341">
        <v>746893</v>
      </c>
      <c r="M26" s="341">
        <v>83135</v>
      </c>
      <c r="N26" s="341">
        <v>663758</v>
      </c>
      <c r="O26" s="341">
        <v>65535</v>
      </c>
      <c r="P26" s="341">
        <v>5900</v>
      </c>
      <c r="Q26" s="341">
        <v>93</v>
      </c>
      <c r="R26" s="341">
        <v>3468</v>
      </c>
      <c r="S26" s="341">
        <v>3064</v>
      </c>
      <c r="T26" s="341" t="s">
        <v>648</v>
      </c>
      <c r="U26" s="341">
        <v>3064</v>
      </c>
      <c r="V26" s="341" t="s">
        <v>648</v>
      </c>
      <c r="W26" s="125" t="s">
        <v>502</v>
      </c>
      <c r="X26" s="120"/>
      <c r="Y26" s="321"/>
    </row>
    <row r="27" spans="1:25" s="236" customFormat="1" ht="20.25" customHeight="1" x14ac:dyDescent="0.2">
      <c r="A27" s="978"/>
      <c r="B27" s="982" t="s">
        <v>260</v>
      </c>
      <c r="C27" s="982" t="s">
        <v>260</v>
      </c>
      <c r="D27" s="982" t="s">
        <v>968</v>
      </c>
      <c r="E27" s="328"/>
      <c r="F27" s="341">
        <v>1234025</v>
      </c>
      <c r="G27" s="341">
        <v>7388</v>
      </c>
      <c r="H27" s="341" t="s">
        <v>648</v>
      </c>
      <c r="I27" s="341">
        <v>443661</v>
      </c>
      <c r="J27" s="341">
        <v>16000</v>
      </c>
      <c r="K27" s="341">
        <v>129436</v>
      </c>
      <c r="L27" s="341">
        <v>637540</v>
      </c>
      <c r="M27" s="341">
        <v>41228</v>
      </c>
      <c r="N27" s="341">
        <v>596312</v>
      </c>
      <c r="O27" s="341">
        <v>38029</v>
      </c>
      <c r="P27" s="341">
        <v>5950</v>
      </c>
      <c r="Q27" s="341">
        <v>85</v>
      </c>
      <c r="R27" s="341">
        <v>2691</v>
      </c>
      <c r="S27" s="341">
        <v>2942</v>
      </c>
      <c r="T27" s="341" t="s">
        <v>648</v>
      </c>
      <c r="U27" s="341">
        <v>2942</v>
      </c>
      <c r="V27" s="341" t="s">
        <v>648</v>
      </c>
      <c r="W27" s="125" t="s">
        <v>1124</v>
      </c>
      <c r="X27" s="120"/>
      <c r="Y27" s="321" t="s">
        <v>249</v>
      </c>
    </row>
    <row r="28" spans="1:25" s="236" customFormat="1" ht="20.25" customHeight="1" x14ac:dyDescent="0.2">
      <c r="A28" s="978"/>
      <c r="B28" s="982" t="s">
        <v>260</v>
      </c>
      <c r="C28" s="982" t="s">
        <v>260</v>
      </c>
      <c r="D28" s="982" t="s">
        <v>970</v>
      </c>
      <c r="E28" s="328"/>
      <c r="F28" s="341">
        <v>1491510</v>
      </c>
      <c r="G28" s="341">
        <v>115633</v>
      </c>
      <c r="H28" s="341" t="s">
        <v>648</v>
      </c>
      <c r="I28" s="341">
        <v>479858</v>
      </c>
      <c r="J28" s="341">
        <v>21704</v>
      </c>
      <c r="K28" s="341">
        <v>286006</v>
      </c>
      <c r="L28" s="341">
        <v>588309</v>
      </c>
      <c r="M28" s="341">
        <v>12270</v>
      </c>
      <c r="N28" s="341">
        <v>576039</v>
      </c>
      <c r="O28" s="341">
        <v>66467</v>
      </c>
      <c r="P28" s="341">
        <v>2980</v>
      </c>
      <c r="Q28" s="341">
        <v>80</v>
      </c>
      <c r="R28" s="341">
        <v>2092</v>
      </c>
      <c r="S28" s="341">
        <v>4854</v>
      </c>
      <c r="T28" s="341">
        <v>4854</v>
      </c>
      <c r="U28" s="341" t="s">
        <v>648</v>
      </c>
      <c r="V28" s="341" t="s">
        <v>648</v>
      </c>
      <c r="W28" s="125" t="s">
        <v>971</v>
      </c>
      <c r="X28" s="120"/>
      <c r="Y28" s="321"/>
    </row>
    <row r="29" spans="1:25" s="236" customFormat="1" ht="20.25" customHeight="1" x14ac:dyDescent="0.2">
      <c r="A29" s="978"/>
      <c r="B29" s="982" t="s">
        <v>260</v>
      </c>
      <c r="C29" s="982" t="s">
        <v>260</v>
      </c>
      <c r="D29" s="982" t="s">
        <v>972</v>
      </c>
      <c r="E29" s="328"/>
      <c r="F29" s="341">
        <v>1705205</v>
      </c>
      <c r="G29" s="341">
        <v>130917</v>
      </c>
      <c r="H29" s="341" t="s">
        <v>648</v>
      </c>
      <c r="I29" s="341">
        <v>501218</v>
      </c>
      <c r="J29" s="341">
        <v>47686</v>
      </c>
      <c r="K29" s="341">
        <v>440078</v>
      </c>
      <c r="L29" s="341">
        <v>585306</v>
      </c>
      <c r="M29" s="341">
        <v>7890</v>
      </c>
      <c r="N29" s="341">
        <v>577416</v>
      </c>
      <c r="O29" s="341">
        <v>77167</v>
      </c>
      <c r="P29" s="341" t="s">
        <v>648</v>
      </c>
      <c r="Q29" s="341">
        <v>91</v>
      </c>
      <c r="R29" s="341">
        <v>3280</v>
      </c>
      <c r="S29" s="341">
        <v>14170</v>
      </c>
      <c r="T29" s="341">
        <v>14170</v>
      </c>
      <c r="U29" s="341" t="s">
        <v>648</v>
      </c>
      <c r="V29" s="341" t="s">
        <v>648</v>
      </c>
      <c r="W29" s="125" t="s">
        <v>973</v>
      </c>
      <c r="X29" s="120"/>
      <c r="Y29" s="321" t="s">
        <v>249</v>
      </c>
    </row>
    <row r="30" spans="1:25" s="236" customFormat="1" ht="20.25" customHeight="1" x14ac:dyDescent="0.2">
      <c r="A30" s="978"/>
      <c r="B30" s="982" t="s">
        <v>260</v>
      </c>
      <c r="C30" s="982" t="s">
        <v>260</v>
      </c>
      <c r="D30" s="982" t="s">
        <v>974</v>
      </c>
      <c r="E30" s="328"/>
      <c r="F30" s="341">
        <v>2162129</v>
      </c>
      <c r="G30" s="341">
        <v>159538</v>
      </c>
      <c r="H30" s="341" t="s">
        <v>648</v>
      </c>
      <c r="I30" s="341">
        <v>621871</v>
      </c>
      <c r="J30" s="341">
        <v>70039</v>
      </c>
      <c r="K30" s="341">
        <v>690962</v>
      </c>
      <c r="L30" s="341">
        <v>619719</v>
      </c>
      <c r="M30" s="341">
        <v>46816</v>
      </c>
      <c r="N30" s="341">
        <v>572903</v>
      </c>
      <c r="O30" s="341">
        <v>64546</v>
      </c>
      <c r="P30" s="341" t="s">
        <v>648</v>
      </c>
      <c r="Q30" s="341">
        <v>55</v>
      </c>
      <c r="R30" s="341">
        <v>3820</v>
      </c>
      <c r="S30" s="341">
        <v>28879</v>
      </c>
      <c r="T30" s="341">
        <v>27379</v>
      </c>
      <c r="U30" s="341">
        <v>1500</v>
      </c>
      <c r="V30" s="341" t="s">
        <v>648</v>
      </c>
      <c r="W30" s="125" t="s">
        <v>1125</v>
      </c>
      <c r="X30" s="120"/>
      <c r="Y30" s="321"/>
    </row>
    <row r="31" spans="1:25" s="236" customFormat="1" ht="20.25" customHeight="1" x14ac:dyDescent="0.2">
      <c r="A31" s="978"/>
      <c r="B31" s="982" t="s">
        <v>260</v>
      </c>
      <c r="C31" s="982" t="s">
        <v>260</v>
      </c>
      <c r="D31" s="982" t="s">
        <v>976</v>
      </c>
      <c r="E31" s="328"/>
      <c r="F31" s="341">
        <v>2457153</v>
      </c>
      <c r="G31" s="341">
        <v>364051</v>
      </c>
      <c r="H31" s="341" t="s">
        <v>648</v>
      </c>
      <c r="I31" s="341">
        <v>564195</v>
      </c>
      <c r="J31" s="341" t="s">
        <v>648</v>
      </c>
      <c r="K31" s="341">
        <v>761768</v>
      </c>
      <c r="L31" s="341">
        <v>767139</v>
      </c>
      <c r="M31" s="341">
        <v>82906</v>
      </c>
      <c r="N31" s="341">
        <v>684233</v>
      </c>
      <c r="O31" s="341">
        <v>57608</v>
      </c>
      <c r="P31" s="341" t="s">
        <v>648</v>
      </c>
      <c r="Q31" s="341">
        <v>55</v>
      </c>
      <c r="R31" s="341">
        <v>3078</v>
      </c>
      <c r="S31" s="341">
        <v>18735</v>
      </c>
      <c r="T31" s="341">
        <v>18735</v>
      </c>
      <c r="U31" s="341" t="s">
        <v>648</v>
      </c>
      <c r="V31" s="341" t="s">
        <v>648</v>
      </c>
      <c r="W31" s="125" t="s">
        <v>977</v>
      </c>
      <c r="X31" s="120"/>
      <c r="Y31" s="321" t="s">
        <v>249</v>
      </c>
    </row>
    <row r="32" spans="1:25" s="236" customFormat="1" ht="20.25" customHeight="1" x14ac:dyDescent="0.2">
      <c r="A32" s="978"/>
      <c r="B32" s="982" t="s">
        <v>260</v>
      </c>
      <c r="C32" s="982" t="s">
        <v>260</v>
      </c>
      <c r="D32" s="990" t="s">
        <v>1126</v>
      </c>
      <c r="E32" s="328"/>
      <c r="F32" s="341">
        <v>2257111</v>
      </c>
      <c r="G32" s="341">
        <v>383938</v>
      </c>
      <c r="H32" s="341" t="s">
        <v>648</v>
      </c>
      <c r="I32" s="341">
        <v>495187</v>
      </c>
      <c r="J32" s="341">
        <v>24008</v>
      </c>
      <c r="K32" s="341">
        <v>591124</v>
      </c>
      <c r="L32" s="341">
        <v>762854</v>
      </c>
      <c r="M32" s="341">
        <v>35684</v>
      </c>
      <c r="N32" s="341">
        <v>727170</v>
      </c>
      <c r="O32" s="341">
        <v>41073</v>
      </c>
      <c r="P32" s="341" t="s">
        <v>648</v>
      </c>
      <c r="Q32" s="341">
        <v>62</v>
      </c>
      <c r="R32" s="341">
        <v>5241</v>
      </c>
      <c r="S32" s="341">
        <v>16848</v>
      </c>
      <c r="T32" s="341">
        <v>13985</v>
      </c>
      <c r="U32" s="341">
        <v>2863</v>
      </c>
      <c r="V32" s="341" t="s">
        <v>648</v>
      </c>
      <c r="W32" s="125" t="s">
        <v>979</v>
      </c>
      <c r="X32" s="120"/>
      <c r="Y32" s="321"/>
    </row>
    <row r="33" spans="1:25" s="236" customFormat="1" ht="20.25" customHeight="1" x14ac:dyDescent="0.2">
      <c r="A33" s="978"/>
      <c r="B33" s="982" t="s">
        <v>260</v>
      </c>
      <c r="C33" s="982" t="s">
        <v>260</v>
      </c>
      <c r="D33" s="990" t="s">
        <v>1127</v>
      </c>
      <c r="E33" s="328"/>
      <c r="F33" s="341">
        <v>1943474</v>
      </c>
      <c r="G33" s="341">
        <v>473934</v>
      </c>
      <c r="H33" s="341" t="s">
        <v>648</v>
      </c>
      <c r="I33" s="341">
        <v>475412</v>
      </c>
      <c r="J33" s="341">
        <v>23994</v>
      </c>
      <c r="K33" s="341">
        <v>364860</v>
      </c>
      <c r="L33" s="341">
        <v>605274</v>
      </c>
      <c r="M33" s="341">
        <v>43189</v>
      </c>
      <c r="N33" s="341">
        <v>562085</v>
      </c>
      <c r="O33" s="341">
        <v>53885</v>
      </c>
      <c r="P33" s="341" t="s">
        <v>648</v>
      </c>
      <c r="Q33" s="341">
        <v>49</v>
      </c>
      <c r="R33" s="341">
        <v>3899</v>
      </c>
      <c r="S33" s="341">
        <v>21647</v>
      </c>
      <c r="T33" s="341">
        <v>21647</v>
      </c>
      <c r="U33" s="341" t="s">
        <v>648</v>
      </c>
      <c r="V33" s="341" t="s">
        <v>648</v>
      </c>
      <c r="W33" s="125" t="s">
        <v>981</v>
      </c>
      <c r="X33" s="120"/>
      <c r="Y33" s="321"/>
    </row>
    <row r="34" spans="1:25" s="236" customFormat="1" ht="20.25" customHeight="1" x14ac:dyDescent="0.2">
      <c r="A34" s="978"/>
      <c r="B34" s="982" t="s">
        <v>260</v>
      </c>
      <c r="C34" s="982" t="s">
        <v>260</v>
      </c>
      <c r="D34" s="990" t="s">
        <v>1128</v>
      </c>
      <c r="E34" s="328"/>
      <c r="F34" s="341">
        <v>2041962</v>
      </c>
      <c r="G34" s="341">
        <v>406537</v>
      </c>
      <c r="H34" s="341" t="s">
        <v>648</v>
      </c>
      <c r="I34" s="341">
        <v>473383</v>
      </c>
      <c r="J34" s="341">
        <v>24022</v>
      </c>
      <c r="K34" s="341">
        <v>629784</v>
      </c>
      <c r="L34" s="341">
        <v>508236</v>
      </c>
      <c r="M34" s="341">
        <v>20913</v>
      </c>
      <c r="N34" s="341">
        <v>487323</v>
      </c>
      <c r="O34" s="341">
        <v>55225</v>
      </c>
      <c r="P34" s="341" t="s">
        <v>648</v>
      </c>
      <c r="Q34" s="341">
        <v>61</v>
      </c>
      <c r="R34" s="341">
        <v>3015</v>
      </c>
      <c r="S34" s="341">
        <v>26245</v>
      </c>
      <c r="T34" s="341">
        <v>24605</v>
      </c>
      <c r="U34" s="341">
        <v>1640</v>
      </c>
      <c r="V34" s="341" t="s">
        <v>648</v>
      </c>
      <c r="W34" s="125" t="s">
        <v>983</v>
      </c>
      <c r="X34" s="120"/>
      <c r="Y34" s="321" t="s">
        <v>249</v>
      </c>
    </row>
    <row r="35" spans="1:25" s="236" customFormat="1" ht="20.25" customHeight="1" x14ac:dyDescent="0.2">
      <c r="A35" s="978"/>
      <c r="B35" s="982"/>
      <c r="C35" s="982"/>
      <c r="D35" s="982"/>
      <c r="E35" s="328"/>
      <c r="F35" s="341"/>
      <c r="G35" s="474"/>
      <c r="H35" s="474"/>
      <c r="I35" s="474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793"/>
      <c r="W35" s="330"/>
      <c r="X35" s="120"/>
      <c r="Y35" s="321"/>
    </row>
    <row r="36" spans="1:25" s="236" customFormat="1" ht="20.25" customHeight="1" x14ac:dyDescent="0.2">
      <c r="A36" s="978"/>
      <c r="B36" s="982" t="s">
        <v>566</v>
      </c>
      <c r="C36" s="982" t="s">
        <v>957</v>
      </c>
      <c r="D36" s="982" t="s">
        <v>984</v>
      </c>
      <c r="E36" s="328"/>
      <c r="F36" s="341">
        <v>2567882</v>
      </c>
      <c r="G36" s="341">
        <v>576918</v>
      </c>
      <c r="H36" s="341" t="s">
        <v>648</v>
      </c>
      <c r="I36" s="341">
        <v>459582</v>
      </c>
      <c r="J36" s="341">
        <v>117430</v>
      </c>
      <c r="K36" s="341">
        <v>798732</v>
      </c>
      <c r="L36" s="341">
        <v>615220</v>
      </c>
      <c r="M36" s="341">
        <v>14000</v>
      </c>
      <c r="N36" s="341">
        <v>601220</v>
      </c>
      <c r="O36" s="341">
        <v>58029</v>
      </c>
      <c r="P36" s="341" t="s">
        <v>648</v>
      </c>
      <c r="Q36" s="341">
        <v>68</v>
      </c>
      <c r="R36" s="341">
        <v>4723</v>
      </c>
      <c r="S36" s="341">
        <v>10679</v>
      </c>
      <c r="T36" s="341">
        <v>10679</v>
      </c>
      <c r="U36" s="341" t="s">
        <v>648</v>
      </c>
      <c r="V36" s="793" t="s">
        <v>648</v>
      </c>
      <c r="W36" s="130" t="s">
        <v>985</v>
      </c>
      <c r="X36" s="120"/>
      <c r="Y36" s="321" t="s">
        <v>249</v>
      </c>
    </row>
    <row r="37" spans="1:25" s="236" customFormat="1" ht="20.25" customHeight="1" x14ac:dyDescent="0.2">
      <c r="A37" s="978"/>
      <c r="B37" s="982" t="s">
        <v>260</v>
      </c>
      <c r="C37" s="982" t="s">
        <v>260</v>
      </c>
      <c r="D37" s="982" t="s">
        <v>1129</v>
      </c>
      <c r="E37" s="328"/>
      <c r="F37" s="341">
        <v>2375048</v>
      </c>
      <c r="G37" s="341">
        <v>666725</v>
      </c>
      <c r="H37" s="341" t="s">
        <v>648</v>
      </c>
      <c r="I37" s="341">
        <v>383995</v>
      </c>
      <c r="J37" s="341">
        <v>39898</v>
      </c>
      <c r="K37" s="341">
        <v>566969</v>
      </c>
      <c r="L37" s="341">
        <v>717461</v>
      </c>
      <c r="M37" s="341">
        <v>30572</v>
      </c>
      <c r="N37" s="341">
        <v>686889</v>
      </c>
      <c r="O37" s="341">
        <v>61837</v>
      </c>
      <c r="P37" s="341" t="s">
        <v>648</v>
      </c>
      <c r="Q37" s="341">
        <v>55</v>
      </c>
      <c r="R37" s="341">
        <v>5923</v>
      </c>
      <c r="S37" s="341">
        <v>11494</v>
      </c>
      <c r="T37" s="341">
        <v>11494</v>
      </c>
      <c r="U37" s="341" t="s">
        <v>648</v>
      </c>
      <c r="V37" s="793" t="s">
        <v>648</v>
      </c>
      <c r="W37" s="125" t="s">
        <v>963</v>
      </c>
      <c r="X37" s="120"/>
      <c r="Y37" s="321"/>
    </row>
    <row r="38" spans="1:25" s="236" customFormat="1" ht="20.25" customHeight="1" x14ac:dyDescent="0.2">
      <c r="A38" s="978"/>
      <c r="B38" s="991" t="s">
        <v>260</v>
      </c>
      <c r="C38" s="991" t="s">
        <v>260</v>
      </c>
      <c r="D38" s="992" t="s">
        <v>1130</v>
      </c>
      <c r="E38" s="326"/>
      <c r="F38" s="473">
        <v>2417030</v>
      </c>
      <c r="G38" s="472">
        <v>548608</v>
      </c>
      <c r="H38" s="472" t="s">
        <v>648</v>
      </c>
      <c r="I38" s="472">
        <v>483024</v>
      </c>
      <c r="J38" s="472">
        <v>38</v>
      </c>
      <c r="K38" s="472">
        <v>619211</v>
      </c>
      <c r="L38" s="472">
        <v>766149</v>
      </c>
      <c r="M38" s="472">
        <v>28371</v>
      </c>
      <c r="N38" s="472">
        <v>737778</v>
      </c>
      <c r="O38" s="472">
        <v>84021</v>
      </c>
      <c r="P38" s="472" t="s">
        <v>648</v>
      </c>
      <c r="Q38" s="472">
        <v>53</v>
      </c>
      <c r="R38" s="472">
        <v>5116</v>
      </c>
      <c r="S38" s="472">
        <v>24082</v>
      </c>
      <c r="T38" s="472">
        <v>21077</v>
      </c>
      <c r="U38" s="472">
        <v>3005</v>
      </c>
      <c r="V38" s="795" t="s">
        <v>648</v>
      </c>
      <c r="W38" s="121" t="s">
        <v>1131</v>
      </c>
      <c r="X38" s="120"/>
      <c r="Y38" s="321" t="s">
        <v>249</v>
      </c>
    </row>
    <row r="39" spans="1:25" s="469" customFormat="1" ht="21" customHeight="1" x14ac:dyDescent="0.15">
      <c r="B39" s="192" t="s">
        <v>1132</v>
      </c>
      <c r="C39" s="139"/>
      <c r="D39" s="915"/>
      <c r="E39" s="915"/>
      <c r="F39" s="915"/>
      <c r="G39" s="915"/>
      <c r="H39" s="915"/>
      <c r="I39" s="333"/>
      <c r="K39" s="470"/>
      <c r="L39" s="470"/>
      <c r="M39" s="470"/>
      <c r="N39" s="470"/>
      <c r="O39" s="193" t="s">
        <v>710</v>
      </c>
      <c r="P39" s="470"/>
      <c r="Q39" s="471"/>
      <c r="R39" s="471"/>
      <c r="S39" s="470"/>
      <c r="T39" s="470"/>
      <c r="U39" s="470"/>
      <c r="V39" s="470"/>
    </row>
    <row r="40" spans="1:25" s="318" customFormat="1" ht="21" customHeight="1" x14ac:dyDescent="0.2">
      <c r="A40" s="468"/>
      <c r="B40" s="192" t="s">
        <v>1133</v>
      </c>
      <c r="C40" s="240"/>
      <c r="D40" s="467"/>
      <c r="E40" s="467"/>
      <c r="L40" s="466"/>
      <c r="O40" s="465"/>
      <c r="P40" s="465"/>
      <c r="Q40" s="465"/>
      <c r="R40" s="465"/>
      <c r="S40" s="464"/>
      <c r="T40" s="464"/>
      <c r="U40" s="464"/>
      <c r="V40" s="464"/>
      <c r="W40" s="463"/>
      <c r="X40" s="463"/>
      <c r="Y40" s="463"/>
    </row>
  </sheetData>
  <mergeCells count="2">
    <mergeCell ref="W4:W7"/>
    <mergeCell ref="B5:E5"/>
  </mergeCells>
  <phoneticPr fontId="30"/>
  <pageMargins left="0.47244094488188981" right="0.47244094488188981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3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613"/>
  <sheetViews>
    <sheetView view="pageBreakPreview" zoomScale="110" zoomScaleNormal="100" zoomScaleSheetLayoutView="110" workbookViewId="0"/>
  </sheetViews>
  <sheetFormatPr defaultColWidth="7.6328125" defaultRowHeight="13" x14ac:dyDescent="0.2"/>
  <cols>
    <col min="1" max="1" width="14.36328125" style="441" customWidth="1"/>
    <col min="2" max="23" width="7.6328125" style="441" customWidth="1"/>
    <col min="24" max="16384" width="7.6328125" style="441"/>
  </cols>
  <sheetData>
    <row r="1" spans="1:23" ht="15" customHeight="1" x14ac:dyDescent="0.15">
      <c r="A1" s="1007" t="s">
        <v>711</v>
      </c>
      <c r="C1" s="1008"/>
      <c r="D1" s="1008"/>
      <c r="E1" s="1008"/>
      <c r="F1" s="1008"/>
      <c r="G1" s="1008"/>
      <c r="H1" s="1008"/>
      <c r="I1" s="1008"/>
      <c r="J1" s="1008"/>
      <c r="K1" s="1009" t="s">
        <v>483</v>
      </c>
      <c r="L1" s="1008"/>
      <c r="M1" s="1008"/>
      <c r="N1" s="1008"/>
      <c r="O1" s="1008"/>
      <c r="P1" s="1010"/>
      <c r="Q1" s="1011"/>
      <c r="R1" s="1011"/>
      <c r="S1" s="1011"/>
      <c r="T1" s="1011"/>
      <c r="U1" s="1012"/>
      <c r="V1" s="1013" t="s">
        <v>512</v>
      </c>
    </row>
    <row r="2" spans="1:23" s="453" customFormat="1" ht="21" customHeight="1" x14ac:dyDescent="0.2">
      <c r="A2" s="1089" t="s">
        <v>194</v>
      </c>
      <c r="B2" s="918" t="s">
        <v>349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1092" t="s">
        <v>86</v>
      </c>
    </row>
    <row r="3" spans="1:23" s="453" customFormat="1" ht="21" customHeight="1" x14ac:dyDescent="0.2">
      <c r="A3" s="1090"/>
      <c r="B3" s="1095" t="s">
        <v>695</v>
      </c>
      <c r="C3" s="918" t="s">
        <v>297</v>
      </c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917"/>
      <c r="S3" s="918" t="s">
        <v>289</v>
      </c>
      <c r="T3" s="917"/>
      <c r="U3" s="918" t="s">
        <v>288</v>
      </c>
      <c r="V3" s="455"/>
      <c r="W3" s="1093"/>
    </row>
    <row r="4" spans="1:23" s="453" customFormat="1" ht="52.5" customHeight="1" x14ac:dyDescent="0.2">
      <c r="A4" s="1091"/>
      <c r="B4" s="1096"/>
      <c r="C4" s="920" t="s">
        <v>1096</v>
      </c>
      <c r="D4" s="454" t="s">
        <v>286</v>
      </c>
      <c r="E4" s="454" t="s">
        <v>1097</v>
      </c>
      <c r="F4" s="454" t="s">
        <v>307</v>
      </c>
      <c r="G4" s="454" t="s">
        <v>314</v>
      </c>
      <c r="H4" s="454" t="s">
        <v>363</v>
      </c>
      <c r="I4" s="454" t="s">
        <v>313</v>
      </c>
      <c r="J4" s="454" t="s">
        <v>285</v>
      </c>
      <c r="K4" s="454" t="s">
        <v>284</v>
      </c>
      <c r="L4" s="454" t="s">
        <v>283</v>
      </c>
      <c r="M4" s="454" t="s">
        <v>342</v>
      </c>
      <c r="N4" s="454" t="s">
        <v>282</v>
      </c>
      <c r="O4" s="454" t="s">
        <v>318</v>
      </c>
      <c r="P4" s="454" t="s">
        <v>339</v>
      </c>
      <c r="Q4" s="454" t="s">
        <v>706</v>
      </c>
      <c r="R4" s="459" t="s">
        <v>1087</v>
      </c>
      <c r="S4" s="920" t="s">
        <v>109</v>
      </c>
      <c r="T4" s="459" t="s">
        <v>714</v>
      </c>
      <c r="U4" s="920" t="s">
        <v>1089</v>
      </c>
      <c r="V4" s="458" t="s">
        <v>310</v>
      </c>
      <c r="W4" s="1094"/>
    </row>
    <row r="5" spans="1:23" s="442" customFormat="1" ht="9.75" customHeight="1" x14ac:dyDescent="0.15">
      <c r="A5" s="949" t="s">
        <v>763</v>
      </c>
      <c r="B5" s="452">
        <v>32091083</v>
      </c>
      <c r="C5" s="451">
        <v>11619216</v>
      </c>
      <c r="D5" s="451">
        <v>2646570</v>
      </c>
      <c r="E5" s="451">
        <v>1736895</v>
      </c>
      <c r="F5" s="451">
        <v>129415</v>
      </c>
      <c r="G5" s="451">
        <v>1956810</v>
      </c>
      <c r="H5" s="451" t="s">
        <v>648</v>
      </c>
      <c r="I5" s="451">
        <v>25000</v>
      </c>
      <c r="J5" s="451">
        <v>3926820</v>
      </c>
      <c r="K5" s="451">
        <v>588370</v>
      </c>
      <c r="L5" s="451" t="s">
        <v>648</v>
      </c>
      <c r="M5" s="451">
        <v>609336</v>
      </c>
      <c r="N5" s="451" t="s">
        <v>648</v>
      </c>
      <c r="O5" s="451" t="s">
        <v>648</v>
      </c>
      <c r="P5" s="451" t="s">
        <v>648</v>
      </c>
      <c r="Q5" s="451" t="s">
        <v>648</v>
      </c>
      <c r="R5" s="451" t="s">
        <v>648</v>
      </c>
      <c r="S5" s="451" t="s">
        <v>648</v>
      </c>
      <c r="T5" s="451" t="s">
        <v>648</v>
      </c>
      <c r="U5" s="451">
        <v>1731578</v>
      </c>
      <c r="V5" s="451" t="s">
        <v>648</v>
      </c>
      <c r="W5" s="449" t="s">
        <v>464</v>
      </c>
    </row>
    <row r="6" spans="1:23" s="442" customFormat="1" ht="9.75" customHeight="1" x14ac:dyDescent="0.15">
      <c r="A6" s="950" t="s">
        <v>764</v>
      </c>
      <c r="B6" s="442">
        <v>30448722</v>
      </c>
      <c r="C6" s="442">
        <v>10088548</v>
      </c>
      <c r="D6" s="442">
        <v>3022612</v>
      </c>
      <c r="E6" s="442">
        <v>2168098</v>
      </c>
      <c r="F6" s="442">
        <v>499901</v>
      </c>
      <c r="G6" s="442">
        <v>746065</v>
      </c>
      <c r="H6" s="442" t="s">
        <v>648</v>
      </c>
      <c r="I6" s="442">
        <v>134370</v>
      </c>
      <c r="J6" s="442">
        <v>2020285</v>
      </c>
      <c r="K6" s="442">
        <v>979217</v>
      </c>
      <c r="L6" s="442" t="s">
        <v>648</v>
      </c>
      <c r="M6" s="442">
        <v>471500</v>
      </c>
      <c r="N6" s="442">
        <v>46500</v>
      </c>
      <c r="O6" s="442" t="s">
        <v>648</v>
      </c>
      <c r="P6" s="442" t="s">
        <v>648</v>
      </c>
      <c r="Q6" s="462" t="s">
        <v>648</v>
      </c>
      <c r="R6" s="462" t="s">
        <v>648</v>
      </c>
      <c r="S6" s="462" t="s">
        <v>648</v>
      </c>
      <c r="T6" s="462" t="s">
        <v>648</v>
      </c>
      <c r="U6" s="462">
        <v>1836203</v>
      </c>
      <c r="V6" s="462">
        <v>126718</v>
      </c>
      <c r="W6" s="447" t="s">
        <v>489</v>
      </c>
    </row>
    <row r="7" spans="1:23" s="442" customFormat="1" ht="9.75" customHeight="1" x14ac:dyDescent="0.15">
      <c r="A7" s="950" t="s">
        <v>765</v>
      </c>
      <c r="B7" s="442">
        <v>34069069</v>
      </c>
      <c r="C7" s="442">
        <v>9857924</v>
      </c>
      <c r="D7" s="442">
        <v>3241700</v>
      </c>
      <c r="E7" s="442">
        <v>2112386</v>
      </c>
      <c r="F7" s="442">
        <v>765488</v>
      </c>
      <c r="G7" s="442">
        <v>583241</v>
      </c>
      <c r="H7" s="442" t="s">
        <v>648</v>
      </c>
      <c r="I7" s="442">
        <v>178507</v>
      </c>
      <c r="J7" s="442">
        <v>1595227</v>
      </c>
      <c r="K7" s="442">
        <v>892719</v>
      </c>
      <c r="L7" s="442" t="s">
        <v>648</v>
      </c>
      <c r="M7" s="442">
        <v>311943</v>
      </c>
      <c r="N7" s="442">
        <v>97349</v>
      </c>
      <c r="O7" s="442">
        <v>47600</v>
      </c>
      <c r="P7" s="442" t="s">
        <v>648</v>
      </c>
      <c r="Q7" s="442" t="s">
        <v>648</v>
      </c>
      <c r="R7" s="442">
        <v>31764</v>
      </c>
      <c r="S7" s="442" t="s">
        <v>648</v>
      </c>
      <c r="T7" s="442" t="s">
        <v>648</v>
      </c>
      <c r="U7" s="442">
        <v>2653234</v>
      </c>
      <c r="V7" s="442">
        <v>63300</v>
      </c>
      <c r="W7" s="447" t="s">
        <v>549</v>
      </c>
    </row>
    <row r="8" spans="1:23" s="442" customFormat="1" ht="9.75" customHeight="1" x14ac:dyDescent="0.15">
      <c r="A8" s="950" t="s">
        <v>766</v>
      </c>
      <c r="B8" s="442">
        <v>21330362</v>
      </c>
      <c r="C8" s="442">
        <v>8516256</v>
      </c>
      <c r="D8" s="442">
        <v>3998102</v>
      </c>
      <c r="E8" s="442">
        <v>851413</v>
      </c>
      <c r="F8" s="442">
        <v>270192</v>
      </c>
      <c r="G8" s="442">
        <v>175441</v>
      </c>
      <c r="H8" s="442" t="s">
        <v>648</v>
      </c>
      <c r="I8" s="442">
        <v>89201</v>
      </c>
      <c r="J8" s="442">
        <v>1602836</v>
      </c>
      <c r="K8" s="442">
        <v>1295482</v>
      </c>
      <c r="L8" s="442">
        <v>45821</v>
      </c>
      <c r="M8" s="442">
        <v>89701</v>
      </c>
      <c r="N8" s="442">
        <v>24190</v>
      </c>
      <c r="O8" s="442" t="s">
        <v>648</v>
      </c>
      <c r="P8" s="442">
        <v>73877</v>
      </c>
      <c r="Q8" s="442" t="s">
        <v>648</v>
      </c>
      <c r="R8" s="442" t="s">
        <v>648</v>
      </c>
      <c r="S8" s="442">
        <v>248968</v>
      </c>
      <c r="T8" s="442">
        <v>248968</v>
      </c>
      <c r="U8" s="442">
        <v>959780</v>
      </c>
      <c r="V8" s="442" t="s">
        <v>648</v>
      </c>
      <c r="W8" s="447" t="s">
        <v>672</v>
      </c>
    </row>
    <row r="9" spans="1:23" s="442" customFormat="1" ht="9.75" customHeight="1" x14ac:dyDescent="0.15">
      <c r="A9" s="950" t="s">
        <v>767</v>
      </c>
      <c r="B9" s="442">
        <v>22230511</v>
      </c>
      <c r="C9" s="442">
        <v>8350695</v>
      </c>
      <c r="D9" s="442">
        <v>3684331</v>
      </c>
      <c r="E9" s="442">
        <v>348813</v>
      </c>
      <c r="F9" s="442" t="s">
        <v>648</v>
      </c>
      <c r="G9" s="442">
        <v>293086</v>
      </c>
      <c r="H9" s="442" t="s">
        <v>648</v>
      </c>
      <c r="I9" s="442" t="s">
        <v>648</v>
      </c>
      <c r="J9" s="442">
        <v>2219347</v>
      </c>
      <c r="K9" s="442">
        <v>1148968</v>
      </c>
      <c r="L9" s="442" t="s">
        <v>648</v>
      </c>
      <c r="M9" s="442">
        <v>405831</v>
      </c>
      <c r="N9" s="442">
        <v>151942</v>
      </c>
      <c r="O9" s="442" t="s">
        <v>648</v>
      </c>
      <c r="P9" s="442">
        <v>98377</v>
      </c>
      <c r="Q9" s="442" t="s">
        <v>648</v>
      </c>
      <c r="R9" s="442" t="s">
        <v>648</v>
      </c>
      <c r="S9" s="442" t="s">
        <v>648</v>
      </c>
      <c r="T9" s="442" t="s">
        <v>648</v>
      </c>
      <c r="U9" s="442">
        <v>934572</v>
      </c>
      <c r="V9" s="442" t="s">
        <v>648</v>
      </c>
      <c r="W9" s="447" t="s">
        <v>768</v>
      </c>
    </row>
    <row r="10" spans="1:23" s="442" customFormat="1" ht="6.75" customHeight="1" x14ac:dyDescent="0.15">
      <c r="A10" s="950"/>
      <c r="W10" s="447"/>
    </row>
    <row r="11" spans="1:23" s="442" customFormat="1" ht="9.75" customHeight="1" x14ac:dyDescent="0.15">
      <c r="A11" s="950" t="s">
        <v>799</v>
      </c>
      <c r="B11" s="442">
        <v>18483396</v>
      </c>
      <c r="C11" s="442">
        <v>7622997</v>
      </c>
      <c r="D11" s="442">
        <v>4187505</v>
      </c>
      <c r="E11" s="442">
        <v>704223</v>
      </c>
      <c r="F11" s="442">
        <v>182173</v>
      </c>
      <c r="G11" s="442">
        <v>125401</v>
      </c>
      <c r="H11" s="442" t="s">
        <v>648</v>
      </c>
      <c r="I11" s="442" t="s">
        <v>648</v>
      </c>
      <c r="J11" s="442">
        <v>1210938</v>
      </c>
      <c r="K11" s="442">
        <v>944193</v>
      </c>
      <c r="L11" s="442">
        <v>45821</v>
      </c>
      <c r="M11" s="442">
        <v>77470</v>
      </c>
      <c r="N11" s="442">
        <v>145273</v>
      </c>
      <c r="O11" s="442" t="s">
        <v>648</v>
      </c>
      <c r="P11" s="442" t="s">
        <v>648</v>
      </c>
      <c r="Q11" s="442" t="s">
        <v>648</v>
      </c>
      <c r="R11" s="442" t="s">
        <v>648</v>
      </c>
      <c r="S11" s="442">
        <v>129080</v>
      </c>
      <c r="T11" s="442">
        <v>129080</v>
      </c>
      <c r="U11" s="442">
        <v>613800</v>
      </c>
      <c r="V11" s="442" t="s">
        <v>648</v>
      </c>
      <c r="W11" s="447" t="s">
        <v>673</v>
      </c>
    </row>
    <row r="12" spans="1:23" s="442" customFormat="1" ht="9.75" customHeight="1" x14ac:dyDescent="0.15">
      <c r="A12" s="950" t="s">
        <v>800</v>
      </c>
      <c r="B12" s="442">
        <v>23940994</v>
      </c>
      <c r="C12" s="442">
        <v>8997126</v>
      </c>
      <c r="D12" s="442">
        <v>3286198</v>
      </c>
      <c r="E12" s="442">
        <v>311844</v>
      </c>
      <c r="F12" s="442">
        <v>55900</v>
      </c>
      <c r="G12" s="442">
        <v>293086</v>
      </c>
      <c r="H12" s="442">
        <v>122280</v>
      </c>
      <c r="I12" s="442">
        <v>50051</v>
      </c>
      <c r="J12" s="442">
        <v>2450727</v>
      </c>
      <c r="K12" s="442">
        <v>1231439</v>
      </c>
      <c r="L12" s="442" t="s">
        <v>648</v>
      </c>
      <c r="M12" s="442">
        <v>842259</v>
      </c>
      <c r="N12" s="442">
        <v>6669</v>
      </c>
      <c r="O12" s="442" t="s">
        <v>648</v>
      </c>
      <c r="P12" s="442">
        <v>297373</v>
      </c>
      <c r="Q12" s="442">
        <v>49300</v>
      </c>
      <c r="R12" s="442" t="s">
        <v>648</v>
      </c>
      <c r="S12" s="442" t="s">
        <v>648</v>
      </c>
      <c r="T12" s="442" t="s">
        <v>648</v>
      </c>
      <c r="U12" s="442">
        <v>1328636</v>
      </c>
      <c r="V12" s="442" t="s">
        <v>648</v>
      </c>
      <c r="W12" s="447" t="s">
        <v>771</v>
      </c>
    </row>
    <row r="13" spans="1:23" s="442" customFormat="1" ht="6.75" customHeight="1" x14ac:dyDescent="0.15">
      <c r="A13" s="950"/>
      <c r="W13" s="447"/>
    </row>
    <row r="14" spans="1:23" s="442" customFormat="1" ht="9.75" customHeight="1" x14ac:dyDescent="0.15">
      <c r="A14" s="950" t="s">
        <v>772</v>
      </c>
      <c r="B14" s="442">
        <v>5649477</v>
      </c>
      <c r="C14" s="442">
        <v>2699511</v>
      </c>
      <c r="D14" s="442">
        <v>1445941</v>
      </c>
      <c r="E14" s="442">
        <v>147626</v>
      </c>
      <c r="F14" s="442" t="s">
        <v>648</v>
      </c>
      <c r="G14" s="442" t="s">
        <v>648</v>
      </c>
      <c r="H14" s="442" t="s">
        <v>648</v>
      </c>
      <c r="I14" s="442" t="s">
        <v>648</v>
      </c>
      <c r="J14" s="442">
        <v>631279</v>
      </c>
      <c r="K14" s="442">
        <v>329392</v>
      </c>
      <c r="L14" s="442" t="s">
        <v>648</v>
      </c>
      <c r="M14" s="442" t="s">
        <v>648</v>
      </c>
      <c r="N14" s="442">
        <v>145273</v>
      </c>
      <c r="O14" s="442" t="s">
        <v>648</v>
      </c>
      <c r="P14" s="442" t="s">
        <v>648</v>
      </c>
      <c r="Q14" s="442" t="s">
        <v>648</v>
      </c>
      <c r="R14" s="442" t="s">
        <v>648</v>
      </c>
      <c r="S14" s="442" t="s">
        <v>648</v>
      </c>
      <c r="T14" s="442" t="s">
        <v>648</v>
      </c>
      <c r="U14" s="442">
        <v>2129</v>
      </c>
      <c r="V14" s="442" t="s">
        <v>648</v>
      </c>
      <c r="W14" s="447" t="s">
        <v>674</v>
      </c>
    </row>
    <row r="15" spans="1:23" s="442" customFormat="1" ht="9.75" customHeight="1" x14ac:dyDescent="0.15">
      <c r="A15" s="950" t="s">
        <v>1138</v>
      </c>
      <c r="B15" s="442">
        <v>4014000</v>
      </c>
      <c r="C15" s="442">
        <v>1202663</v>
      </c>
      <c r="D15" s="442">
        <v>546123</v>
      </c>
      <c r="E15" s="442">
        <v>41838</v>
      </c>
      <c r="F15" s="442" t="s">
        <v>648</v>
      </c>
      <c r="G15" s="442">
        <v>40003</v>
      </c>
      <c r="H15" s="442" t="s">
        <v>648</v>
      </c>
      <c r="I15" s="442" t="s">
        <v>648</v>
      </c>
      <c r="J15" s="442">
        <v>289830</v>
      </c>
      <c r="K15" s="442">
        <v>228199</v>
      </c>
      <c r="L15" s="442" t="s">
        <v>648</v>
      </c>
      <c r="M15" s="442">
        <v>50001</v>
      </c>
      <c r="N15" s="442">
        <v>6669</v>
      </c>
      <c r="O15" s="442" t="s">
        <v>648</v>
      </c>
      <c r="P15" s="442" t="s">
        <v>648</v>
      </c>
      <c r="Q15" s="442" t="s">
        <v>648</v>
      </c>
      <c r="R15" s="442" t="s">
        <v>648</v>
      </c>
      <c r="S15" s="442" t="s">
        <v>648</v>
      </c>
      <c r="T15" s="442" t="s">
        <v>648</v>
      </c>
      <c r="U15" s="442">
        <v>238697</v>
      </c>
      <c r="V15" s="442" t="s">
        <v>648</v>
      </c>
      <c r="W15" s="447" t="s">
        <v>92</v>
      </c>
    </row>
    <row r="16" spans="1:23" s="442" customFormat="1" ht="9.75" customHeight="1" x14ac:dyDescent="0.15">
      <c r="A16" s="950" t="s">
        <v>774</v>
      </c>
      <c r="B16" s="442">
        <v>6324487</v>
      </c>
      <c r="C16" s="442">
        <v>1861256</v>
      </c>
      <c r="D16" s="442">
        <v>602082</v>
      </c>
      <c r="E16" s="442">
        <v>44890</v>
      </c>
      <c r="F16" s="442" t="s">
        <v>648</v>
      </c>
      <c r="G16" s="442">
        <v>167614</v>
      </c>
      <c r="H16" s="442" t="s">
        <v>648</v>
      </c>
      <c r="I16" s="442" t="s">
        <v>648</v>
      </c>
      <c r="J16" s="442">
        <v>726568</v>
      </c>
      <c r="K16" s="442">
        <v>203502</v>
      </c>
      <c r="L16" s="442" t="s">
        <v>648</v>
      </c>
      <c r="M16" s="442">
        <v>116600</v>
      </c>
      <c r="N16" s="442" t="s">
        <v>648</v>
      </c>
      <c r="O16" s="442" t="s">
        <v>648</v>
      </c>
      <c r="P16" s="442" t="s">
        <v>648</v>
      </c>
      <c r="Q16" s="442" t="s">
        <v>648</v>
      </c>
      <c r="R16" s="442" t="s">
        <v>648</v>
      </c>
      <c r="S16" s="442" t="s">
        <v>648</v>
      </c>
      <c r="T16" s="442" t="s">
        <v>648</v>
      </c>
      <c r="U16" s="442">
        <v>544780</v>
      </c>
      <c r="V16" s="442" t="s">
        <v>648</v>
      </c>
      <c r="W16" s="447" t="s">
        <v>93</v>
      </c>
    </row>
    <row r="17" spans="1:23" s="442" customFormat="1" ht="9.75" customHeight="1" x14ac:dyDescent="0.15">
      <c r="A17" s="950" t="s">
        <v>801</v>
      </c>
      <c r="B17" s="442">
        <v>6242547</v>
      </c>
      <c r="C17" s="442">
        <v>2587265</v>
      </c>
      <c r="D17" s="442">
        <v>1090185</v>
      </c>
      <c r="E17" s="442">
        <v>114459</v>
      </c>
      <c r="F17" s="442" t="s">
        <v>648</v>
      </c>
      <c r="G17" s="442">
        <v>85469</v>
      </c>
      <c r="H17" s="442" t="s">
        <v>648</v>
      </c>
      <c r="I17" s="442" t="s">
        <v>648</v>
      </c>
      <c r="J17" s="442">
        <v>571670</v>
      </c>
      <c r="K17" s="442">
        <v>387875</v>
      </c>
      <c r="L17" s="442" t="s">
        <v>648</v>
      </c>
      <c r="M17" s="442">
        <v>239230</v>
      </c>
      <c r="N17" s="442" t="s">
        <v>648</v>
      </c>
      <c r="O17" s="442" t="s">
        <v>648</v>
      </c>
      <c r="P17" s="442">
        <v>98377</v>
      </c>
      <c r="Q17" s="442" t="s">
        <v>648</v>
      </c>
      <c r="R17" s="442" t="s">
        <v>648</v>
      </c>
      <c r="S17" s="442" t="s">
        <v>648</v>
      </c>
      <c r="T17" s="442" t="s">
        <v>648</v>
      </c>
      <c r="U17" s="442">
        <v>148966</v>
      </c>
      <c r="V17" s="442" t="s">
        <v>648</v>
      </c>
      <c r="W17" s="447" t="s">
        <v>94</v>
      </c>
    </row>
    <row r="18" spans="1:23" s="442" customFormat="1" ht="9.75" customHeight="1" x14ac:dyDescent="0.15">
      <c r="A18" s="950" t="s">
        <v>809</v>
      </c>
      <c r="B18" s="442">
        <v>7359960</v>
      </c>
      <c r="C18" s="442">
        <v>3345942</v>
      </c>
      <c r="D18" s="442">
        <v>1047808</v>
      </c>
      <c r="E18" s="442">
        <v>110657</v>
      </c>
      <c r="F18" s="442">
        <v>55900</v>
      </c>
      <c r="G18" s="442" t="s">
        <v>648</v>
      </c>
      <c r="H18" s="442">
        <v>122280</v>
      </c>
      <c r="I18" s="442">
        <v>50051</v>
      </c>
      <c r="J18" s="442">
        <v>862659</v>
      </c>
      <c r="K18" s="442">
        <v>411863</v>
      </c>
      <c r="L18" s="442" t="s">
        <v>648</v>
      </c>
      <c r="M18" s="442">
        <v>436428</v>
      </c>
      <c r="N18" s="442" t="s">
        <v>648</v>
      </c>
      <c r="O18" s="442" t="s">
        <v>648</v>
      </c>
      <c r="P18" s="442">
        <v>198996</v>
      </c>
      <c r="Q18" s="442">
        <v>49300</v>
      </c>
      <c r="R18" s="442" t="s">
        <v>648</v>
      </c>
      <c r="S18" s="442" t="s">
        <v>648</v>
      </c>
      <c r="T18" s="442" t="s">
        <v>648</v>
      </c>
      <c r="U18" s="442">
        <v>396193</v>
      </c>
      <c r="V18" s="442" t="s">
        <v>648</v>
      </c>
      <c r="W18" s="447" t="s">
        <v>777</v>
      </c>
    </row>
    <row r="19" spans="1:23" s="442" customFormat="1" ht="6.75" customHeight="1" x14ac:dyDescent="0.15">
      <c r="A19" s="950"/>
      <c r="W19" s="447"/>
    </row>
    <row r="20" spans="1:23" s="442" customFormat="1" ht="9.75" customHeight="1" x14ac:dyDescent="0.15">
      <c r="A20" s="950" t="s">
        <v>778</v>
      </c>
      <c r="B20" s="442">
        <v>1900956</v>
      </c>
      <c r="C20" s="442">
        <v>851047</v>
      </c>
      <c r="D20" s="442">
        <v>511624</v>
      </c>
      <c r="E20" s="442">
        <v>72722</v>
      </c>
      <c r="F20" s="442" t="s">
        <v>648</v>
      </c>
      <c r="G20" s="442" t="s">
        <v>648</v>
      </c>
      <c r="H20" s="442" t="s">
        <v>648</v>
      </c>
      <c r="I20" s="442" t="s">
        <v>648</v>
      </c>
      <c r="J20" s="442">
        <v>130351</v>
      </c>
      <c r="K20" s="442">
        <v>110800</v>
      </c>
      <c r="L20" s="442" t="s">
        <v>648</v>
      </c>
      <c r="M20" s="442" t="s">
        <v>648</v>
      </c>
      <c r="N20" s="442">
        <v>25550</v>
      </c>
      <c r="O20" s="442" t="s">
        <v>648</v>
      </c>
      <c r="P20" s="442" t="s">
        <v>648</v>
      </c>
      <c r="Q20" s="442" t="s">
        <v>648</v>
      </c>
      <c r="R20" s="442" t="s">
        <v>648</v>
      </c>
      <c r="S20" s="442" t="s">
        <v>648</v>
      </c>
      <c r="T20" s="442" t="s">
        <v>648</v>
      </c>
      <c r="U20" s="442">
        <v>2129</v>
      </c>
      <c r="V20" s="442" t="s">
        <v>648</v>
      </c>
      <c r="W20" s="447" t="s">
        <v>675</v>
      </c>
    </row>
    <row r="21" spans="1:23" s="442" customFormat="1" ht="9.75" customHeight="1" x14ac:dyDescent="0.15">
      <c r="A21" s="950" t="s">
        <v>779</v>
      </c>
      <c r="B21" s="442">
        <v>1665936</v>
      </c>
      <c r="C21" s="442">
        <v>898874</v>
      </c>
      <c r="D21" s="442">
        <v>403108</v>
      </c>
      <c r="E21" s="442">
        <v>30860</v>
      </c>
      <c r="F21" s="442" t="s">
        <v>648</v>
      </c>
      <c r="G21" s="442" t="s">
        <v>648</v>
      </c>
      <c r="H21" s="442" t="s">
        <v>648</v>
      </c>
      <c r="I21" s="442" t="s">
        <v>648</v>
      </c>
      <c r="J21" s="442">
        <v>234370</v>
      </c>
      <c r="K21" s="442">
        <v>184688</v>
      </c>
      <c r="L21" s="442" t="s">
        <v>648</v>
      </c>
      <c r="M21" s="442" t="s">
        <v>648</v>
      </c>
      <c r="N21" s="442">
        <v>45848</v>
      </c>
      <c r="O21" s="442" t="s">
        <v>648</v>
      </c>
      <c r="P21" s="442" t="s">
        <v>648</v>
      </c>
      <c r="Q21" s="442" t="s">
        <v>648</v>
      </c>
      <c r="R21" s="442" t="s">
        <v>648</v>
      </c>
      <c r="S21" s="442" t="s">
        <v>648</v>
      </c>
      <c r="T21" s="442" t="s">
        <v>648</v>
      </c>
      <c r="U21" s="442" t="s">
        <v>648</v>
      </c>
      <c r="V21" s="442" t="s">
        <v>648</v>
      </c>
      <c r="W21" s="447" t="s">
        <v>80</v>
      </c>
    </row>
    <row r="22" spans="1:23" s="442" customFormat="1" ht="9.75" customHeight="1" x14ac:dyDescent="0.15">
      <c r="A22" s="950" t="s">
        <v>780</v>
      </c>
      <c r="B22" s="442">
        <v>2082585</v>
      </c>
      <c r="C22" s="442">
        <v>949590</v>
      </c>
      <c r="D22" s="442">
        <v>531209</v>
      </c>
      <c r="E22" s="442">
        <v>44044</v>
      </c>
      <c r="F22" s="442" t="s">
        <v>648</v>
      </c>
      <c r="G22" s="442" t="s">
        <v>648</v>
      </c>
      <c r="H22" s="442" t="s">
        <v>648</v>
      </c>
      <c r="I22" s="442" t="s">
        <v>648</v>
      </c>
      <c r="J22" s="442">
        <v>266558</v>
      </c>
      <c r="K22" s="442">
        <v>33904</v>
      </c>
      <c r="L22" s="442" t="s">
        <v>648</v>
      </c>
      <c r="M22" s="442" t="s">
        <v>648</v>
      </c>
      <c r="N22" s="442">
        <v>73875</v>
      </c>
      <c r="O22" s="442" t="s">
        <v>648</v>
      </c>
      <c r="P22" s="442" t="s">
        <v>648</v>
      </c>
      <c r="Q22" s="442" t="s">
        <v>648</v>
      </c>
      <c r="R22" s="442" t="s">
        <v>648</v>
      </c>
      <c r="S22" s="442" t="s">
        <v>648</v>
      </c>
      <c r="T22" s="442" t="s">
        <v>648</v>
      </c>
      <c r="U22" s="442" t="s">
        <v>648</v>
      </c>
      <c r="V22" s="442" t="s">
        <v>648</v>
      </c>
      <c r="W22" s="447" t="s">
        <v>81</v>
      </c>
    </row>
    <row r="23" spans="1:23" s="442" customFormat="1" ht="9.75" customHeight="1" x14ac:dyDescent="0.15">
      <c r="A23" s="950" t="s">
        <v>781</v>
      </c>
      <c r="B23" s="442">
        <v>1288465</v>
      </c>
      <c r="C23" s="442">
        <v>463044</v>
      </c>
      <c r="D23" s="442">
        <v>284791</v>
      </c>
      <c r="E23" s="442" t="s">
        <v>648</v>
      </c>
      <c r="F23" s="442" t="s">
        <v>648</v>
      </c>
      <c r="G23" s="442" t="s">
        <v>648</v>
      </c>
      <c r="H23" s="442" t="s">
        <v>648</v>
      </c>
      <c r="I23" s="442" t="s">
        <v>648</v>
      </c>
      <c r="J23" s="442">
        <v>66358</v>
      </c>
      <c r="K23" s="442">
        <v>105226</v>
      </c>
      <c r="L23" s="442" t="s">
        <v>648</v>
      </c>
      <c r="M23" s="442" t="s">
        <v>648</v>
      </c>
      <c r="N23" s="442">
        <v>6669</v>
      </c>
      <c r="O23" s="442" t="s">
        <v>648</v>
      </c>
      <c r="P23" s="442" t="s">
        <v>648</v>
      </c>
      <c r="Q23" s="442" t="s">
        <v>648</v>
      </c>
      <c r="R23" s="442" t="s">
        <v>648</v>
      </c>
      <c r="S23" s="442" t="s">
        <v>648</v>
      </c>
      <c r="T23" s="442" t="s">
        <v>648</v>
      </c>
      <c r="U23" s="442">
        <v>49908</v>
      </c>
      <c r="V23" s="442" t="s">
        <v>648</v>
      </c>
      <c r="W23" s="447" t="s">
        <v>82</v>
      </c>
    </row>
    <row r="24" spans="1:23" s="442" customFormat="1" ht="9.75" customHeight="1" x14ac:dyDescent="0.15">
      <c r="A24" s="950" t="s">
        <v>782</v>
      </c>
      <c r="B24" s="442">
        <v>1234025</v>
      </c>
      <c r="C24" s="442">
        <v>382931</v>
      </c>
      <c r="D24" s="442">
        <v>183331</v>
      </c>
      <c r="E24" s="442">
        <v>41838</v>
      </c>
      <c r="F24" s="442" t="s">
        <v>648</v>
      </c>
      <c r="G24" s="442" t="s">
        <v>648</v>
      </c>
      <c r="H24" s="442" t="s">
        <v>648</v>
      </c>
      <c r="I24" s="442" t="s">
        <v>648</v>
      </c>
      <c r="J24" s="442">
        <v>124822</v>
      </c>
      <c r="K24" s="442">
        <v>32940</v>
      </c>
      <c r="L24" s="442" t="s">
        <v>648</v>
      </c>
      <c r="M24" s="442" t="s">
        <v>648</v>
      </c>
      <c r="N24" s="442" t="s">
        <v>648</v>
      </c>
      <c r="O24" s="442" t="s">
        <v>648</v>
      </c>
      <c r="P24" s="442" t="s">
        <v>648</v>
      </c>
      <c r="Q24" s="442" t="s">
        <v>648</v>
      </c>
      <c r="R24" s="442" t="s">
        <v>648</v>
      </c>
      <c r="S24" s="442" t="s">
        <v>648</v>
      </c>
      <c r="T24" s="442" t="s">
        <v>648</v>
      </c>
      <c r="U24" s="442">
        <v>64750</v>
      </c>
      <c r="V24" s="442" t="s">
        <v>648</v>
      </c>
      <c r="W24" s="447" t="s">
        <v>95</v>
      </c>
    </row>
    <row r="25" spans="1:23" s="442" customFormat="1" ht="9.75" customHeight="1" x14ac:dyDescent="0.15">
      <c r="A25" s="950" t="s">
        <v>783</v>
      </c>
      <c r="B25" s="442">
        <v>1491510</v>
      </c>
      <c r="C25" s="442">
        <v>356688</v>
      </c>
      <c r="D25" s="442">
        <v>78001</v>
      </c>
      <c r="E25" s="442" t="s">
        <v>648</v>
      </c>
      <c r="F25" s="442" t="s">
        <v>648</v>
      </c>
      <c r="G25" s="442">
        <v>40003</v>
      </c>
      <c r="H25" s="442" t="s">
        <v>648</v>
      </c>
      <c r="I25" s="442" t="s">
        <v>648</v>
      </c>
      <c r="J25" s="442">
        <v>98650</v>
      </c>
      <c r="K25" s="442">
        <v>90033</v>
      </c>
      <c r="L25" s="442" t="s">
        <v>648</v>
      </c>
      <c r="M25" s="442">
        <v>50001</v>
      </c>
      <c r="N25" s="442" t="s">
        <v>648</v>
      </c>
      <c r="O25" s="442" t="s">
        <v>648</v>
      </c>
      <c r="P25" s="442" t="s">
        <v>648</v>
      </c>
      <c r="Q25" s="442" t="s">
        <v>648</v>
      </c>
      <c r="R25" s="442" t="s">
        <v>648</v>
      </c>
      <c r="S25" s="442" t="s">
        <v>648</v>
      </c>
      <c r="T25" s="442" t="s">
        <v>648</v>
      </c>
      <c r="U25" s="442">
        <v>124039</v>
      </c>
      <c r="V25" s="442" t="s">
        <v>648</v>
      </c>
      <c r="W25" s="447" t="s">
        <v>96</v>
      </c>
    </row>
    <row r="26" spans="1:23" s="442" customFormat="1" ht="9.75" customHeight="1" x14ac:dyDescent="0.15">
      <c r="A26" s="950" t="s">
        <v>784</v>
      </c>
      <c r="B26" s="442">
        <v>1705205</v>
      </c>
      <c r="C26" s="442">
        <v>490153</v>
      </c>
      <c r="D26" s="442">
        <v>226832</v>
      </c>
      <c r="E26" s="442">
        <v>44890</v>
      </c>
      <c r="F26" s="442" t="s">
        <v>648</v>
      </c>
      <c r="G26" s="442">
        <v>40003</v>
      </c>
      <c r="H26" s="442" t="s">
        <v>648</v>
      </c>
      <c r="I26" s="442" t="s">
        <v>648</v>
      </c>
      <c r="J26" s="442">
        <v>128425</v>
      </c>
      <c r="K26" s="442" t="s">
        <v>648</v>
      </c>
      <c r="L26" s="442" t="s">
        <v>648</v>
      </c>
      <c r="M26" s="442">
        <v>50003</v>
      </c>
      <c r="N26" s="442" t="s">
        <v>648</v>
      </c>
      <c r="O26" s="442" t="s">
        <v>648</v>
      </c>
      <c r="P26" s="442" t="s">
        <v>648</v>
      </c>
      <c r="Q26" s="442" t="s">
        <v>648</v>
      </c>
      <c r="R26" s="442" t="s">
        <v>648</v>
      </c>
      <c r="S26" s="442" t="s">
        <v>648</v>
      </c>
      <c r="T26" s="442" t="s">
        <v>648</v>
      </c>
      <c r="U26" s="442">
        <v>49873</v>
      </c>
      <c r="V26" s="442" t="s">
        <v>648</v>
      </c>
      <c r="W26" s="447" t="s">
        <v>97</v>
      </c>
    </row>
    <row r="27" spans="1:23" s="442" customFormat="1" ht="9.75" customHeight="1" x14ac:dyDescent="0.15">
      <c r="A27" s="950" t="s">
        <v>806</v>
      </c>
      <c r="B27" s="442">
        <v>2162129</v>
      </c>
      <c r="C27" s="442">
        <v>441562</v>
      </c>
      <c r="D27" s="442">
        <v>148123</v>
      </c>
      <c r="E27" s="442" t="s">
        <v>648</v>
      </c>
      <c r="F27" s="442" t="s">
        <v>648</v>
      </c>
      <c r="G27" s="442">
        <v>40004</v>
      </c>
      <c r="H27" s="442" t="s">
        <v>648</v>
      </c>
      <c r="I27" s="442" t="s">
        <v>648</v>
      </c>
      <c r="J27" s="442">
        <v>173385</v>
      </c>
      <c r="K27" s="442">
        <v>80050</v>
      </c>
      <c r="L27" s="442" t="s">
        <v>648</v>
      </c>
      <c r="M27" s="442" t="s">
        <v>648</v>
      </c>
      <c r="N27" s="442" t="s">
        <v>648</v>
      </c>
      <c r="O27" s="442" t="s">
        <v>648</v>
      </c>
      <c r="P27" s="442" t="s">
        <v>648</v>
      </c>
      <c r="Q27" s="442" t="s">
        <v>648</v>
      </c>
      <c r="R27" s="442" t="s">
        <v>648</v>
      </c>
      <c r="S27" s="442" t="s">
        <v>648</v>
      </c>
      <c r="T27" s="442" t="s">
        <v>648</v>
      </c>
      <c r="U27" s="442">
        <v>303357</v>
      </c>
      <c r="V27" s="442" t="s">
        <v>648</v>
      </c>
      <c r="W27" s="447" t="s">
        <v>98</v>
      </c>
    </row>
    <row r="28" spans="1:23" s="442" customFormat="1" ht="9.75" customHeight="1" x14ac:dyDescent="0.15">
      <c r="A28" s="950" t="s">
        <v>786</v>
      </c>
      <c r="B28" s="442">
        <v>2457153</v>
      </c>
      <c r="C28" s="442">
        <v>929541</v>
      </c>
      <c r="D28" s="442">
        <v>227127</v>
      </c>
      <c r="E28" s="442" t="s">
        <v>648</v>
      </c>
      <c r="F28" s="442" t="s">
        <v>648</v>
      </c>
      <c r="G28" s="442">
        <v>87607</v>
      </c>
      <c r="H28" s="442" t="s">
        <v>648</v>
      </c>
      <c r="I28" s="442" t="s">
        <v>648</v>
      </c>
      <c r="J28" s="442">
        <v>424758</v>
      </c>
      <c r="K28" s="442">
        <v>123452</v>
      </c>
      <c r="L28" s="442" t="s">
        <v>648</v>
      </c>
      <c r="M28" s="442">
        <v>66597</v>
      </c>
      <c r="N28" s="442" t="s">
        <v>648</v>
      </c>
      <c r="O28" s="442" t="s">
        <v>648</v>
      </c>
      <c r="P28" s="442" t="s">
        <v>648</v>
      </c>
      <c r="Q28" s="442" t="s">
        <v>648</v>
      </c>
      <c r="R28" s="442" t="s">
        <v>648</v>
      </c>
      <c r="S28" s="442" t="s">
        <v>648</v>
      </c>
      <c r="T28" s="442" t="s">
        <v>648</v>
      </c>
      <c r="U28" s="442">
        <v>191550</v>
      </c>
      <c r="V28" s="442" t="s">
        <v>648</v>
      </c>
      <c r="W28" s="447" t="s">
        <v>99</v>
      </c>
    </row>
    <row r="29" spans="1:23" s="442" customFormat="1" ht="9.75" customHeight="1" x14ac:dyDescent="0.15">
      <c r="A29" s="950" t="s">
        <v>807</v>
      </c>
      <c r="B29" s="442">
        <v>2257111</v>
      </c>
      <c r="C29" s="442">
        <v>1102391</v>
      </c>
      <c r="D29" s="442">
        <v>424574</v>
      </c>
      <c r="E29" s="442">
        <v>52846</v>
      </c>
      <c r="F29" s="442" t="s">
        <v>648</v>
      </c>
      <c r="G29" s="442" t="s">
        <v>648</v>
      </c>
      <c r="H29" s="442" t="s">
        <v>648</v>
      </c>
      <c r="I29" s="442" t="s">
        <v>648</v>
      </c>
      <c r="J29" s="442">
        <v>197812</v>
      </c>
      <c r="K29" s="442">
        <v>286732</v>
      </c>
      <c r="L29" s="442" t="s">
        <v>648</v>
      </c>
      <c r="M29" s="442">
        <v>42050</v>
      </c>
      <c r="N29" s="442" t="s">
        <v>648</v>
      </c>
      <c r="O29" s="442" t="s">
        <v>648</v>
      </c>
      <c r="P29" s="442">
        <v>98377</v>
      </c>
      <c r="Q29" s="442" t="s">
        <v>648</v>
      </c>
      <c r="R29" s="442" t="s">
        <v>648</v>
      </c>
      <c r="S29" s="442" t="s">
        <v>648</v>
      </c>
      <c r="T29" s="442" t="s">
        <v>648</v>
      </c>
      <c r="U29" s="442">
        <v>49800</v>
      </c>
      <c r="V29" s="442" t="s">
        <v>648</v>
      </c>
      <c r="W29" s="447" t="s">
        <v>83</v>
      </c>
    </row>
    <row r="30" spans="1:23" s="442" customFormat="1" ht="9.75" customHeight="1" x14ac:dyDescent="0.15">
      <c r="A30" s="950" t="s">
        <v>788</v>
      </c>
      <c r="B30" s="442">
        <v>1943474</v>
      </c>
      <c r="C30" s="442">
        <v>773803</v>
      </c>
      <c r="D30" s="442">
        <v>347649</v>
      </c>
      <c r="E30" s="442">
        <v>61613</v>
      </c>
      <c r="F30" s="442" t="s">
        <v>648</v>
      </c>
      <c r="G30" s="442" t="s">
        <v>648</v>
      </c>
      <c r="H30" s="442" t="s">
        <v>648</v>
      </c>
      <c r="I30" s="442" t="s">
        <v>648</v>
      </c>
      <c r="J30" s="442">
        <v>197242</v>
      </c>
      <c r="K30" s="442">
        <v>71990</v>
      </c>
      <c r="L30" s="442" t="s">
        <v>648</v>
      </c>
      <c r="M30" s="442">
        <v>95309</v>
      </c>
      <c r="N30" s="442" t="s">
        <v>648</v>
      </c>
      <c r="O30" s="442" t="s">
        <v>648</v>
      </c>
      <c r="P30" s="442" t="s">
        <v>648</v>
      </c>
      <c r="Q30" s="442" t="s">
        <v>648</v>
      </c>
      <c r="R30" s="442" t="s">
        <v>648</v>
      </c>
      <c r="S30" s="442" t="s">
        <v>648</v>
      </c>
      <c r="T30" s="442" t="s">
        <v>648</v>
      </c>
      <c r="U30" s="442">
        <v>49962</v>
      </c>
      <c r="V30" s="442" t="s">
        <v>648</v>
      </c>
      <c r="W30" s="447" t="s">
        <v>84</v>
      </c>
    </row>
    <row r="31" spans="1:23" s="442" customFormat="1" ht="9.75" customHeight="1" x14ac:dyDescent="0.15">
      <c r="A31" s="950" t="s">
        <v>789</v>
      </c>
      <c r="B31" s="442">
        <v>2041962</v>
      </c>
      <c r="C31" s="442">
        <v>711071</v>
      </c>
      <c r="D31" s="442">
        <v>317962</v>
      </c>
      <c r="E31" s="442" t="s">
        <v>648</v>
      </c>
      <c r="F31" s="442" t="s">
        <v>648</v>
      </c>
      <c r="G31" s="442">
        <v>85469</v>
      </c>
      <c r="H31" s="442" t="s">
        <v>648</v>
      </c>
      <c r="I31" s="442" t="s">
        <v>648</v>
      </c>
      <c r="J31" s="442">
        <v>176616</v>
      </c>
      <c r="K31" s="442">
        <v>29153</v>
      </c>
      <c r="L31" s="442" t="s">
        <v>648</v>
      </c>
      <c r="M31" s="442">
        <v>101871</v>
      </c>
      <c r="N31" s="442" t="s">
        <v>648</v>
      </c>
      <c r="O31" s="442" t="s">
        <v>648</v>
      </c>
      <c r="P31" s="442" t="s">
        <v>648</v>
      </c>
      <c r="Q31" s="442" t="s">
        <v>648</v>
      </c>
      <c r="R31" s="442" t="s">
        <v>648</v>
      </c>
      <c r="S31" s="442" t="s">
        <v>648</v>
      </c>
      <c r="T31" s="442" t="s">
        <v>648</v>
      </c>
      <c r="U31" s="442">
        <v>49204</v>
      </c>
      <c r="V31" s="442" t="s">
        <v>648</v>
      </c>
      <c r="W31" s="447" t="s">
        <v>85</v>
      </c>
    </row>
    <row r="32" spans="1:23" s="442" customFormat="1" ht="9.75" customHeight="1" x14ac:dyDescent="0.15">
      <c r="A32" s="950" t="s">
        <v>790</v>
      </c>
      <c r="B32" s="442">
        <v>2567882</v>
      </c>
      <c r="C32" s="442">
        <v>1132135</v>
      </c>
      <c r="D32" s="442">
        <v>470890</v>
      </c>
      <c r="E32" s="442" t="s">
        <v>648</v>
      </c>
      <c r="F32" s="442" t="s">
        <v>648</v>
      </c>
      <c r="G32" s="442" t="s">
        <v>648</v>
      </c>
      <c r="H32" s="442" t="s">
        <v>648</v>
      </c>
      <c r="I32" s="442">
        <v>50051</v>
      </c>
      <c r="J32" s="442">
        <v>267791</v>
      </c>
      <c r="K32" s="442">
        <v>151532</v>
      </c>
      <c r="L32" s="442" t="s">
        <v>648</v>
      </c>
      <c r="M32" s="442">
        <v>118066</v>
      </c>
      <c r="N32" s="442" t="s">
        <v>648</v>
      </c>
      <c r="O32" s="442" t="s">
        <v>648</v>
      </c>
      <c r="P32" s="442">
        <v>50005</v>
      </c>
      <c r="Q32" s="442">
        <v>23800</v>
      </c>
      <c r="R32" s="442" t="s">
        <v>648</v>
      </c>
      <c r="S32" s="442" t="s">
        <v>648</v>
      </c>
      <c r="T32" s="442" t="s">
        <v>648</v>
      </c>
      <c r="U32" s="442">
        <v>111596</v>
      </c>
      <c r="V32" s="442" t="s">
        <v>648</v>
      </c>
      <c r="W32" s="447" t="s">
        <v>791</v>
      </c>
    </row>
    <row r="33" spans="1:23" s="442" customFormat="1" ht="9.75" customHeight="1" x14ac:dyDescent="0.15">
      <c r="A33" s="950" t="s">
        <v>792</v>
      </c>
      <c r="B33" s="442">
        <v>2375048</v>
      </c>
      <c r="C33" s="442">
        <v>1125084</v>
      </c>
      <c r="D33" s="442">
        <v>302623</v>
      </c>
      <c r="E33" s="442">
        <v>28388</v>
      </c>
      <c r="F33" s="442">
        <v>55900</v>
      </c>
      <c r="G33" s="442" t="s">
        <v>648</v>
      </c>
      <c r="H33" s="442">
        <v>42000</v>
      </c>
      <c r="I33" s="442" t="s">
        <v>648</v>
      </c>
      <c r="J33" s="442">
        <v>279271</v>
      </c>
      <c r="K33" s="442">
        <v>120078</v>
      </c>
      <c r="L33" s="442" t="s">
        <v>648</v>
      </c>
      <c r="M33" s="442">
        <v>122333</v>
      </c>
      <c r="N33" s="442" t="s">
        <v>648</v>
      </c>
      <c r="O33" s="442" t="s">
        <v>648</v>
      </c>
      <c r="P33" s="442">
        <v>148991</v>
      </c>
      <c r="Q33" s="442">
        <v>25500</v>
      </c>
      <c r="R33" s="442" t="s">
        <v>648</v>
      </c>
      <c r="S33" s="442" t="s">
        <v>648</v>
      </c>
      <c r="T33" s="442" t="s">
        <v>648</v>
      </c>
      <c r="U33" s="442">
        <v>142507</v>
      </c>
      <c r="V33" s="442" t="s">
        <v>648</v>
      </c>
      <c r="W33" s="447" t="s">
        <v>80</v>
      </c>
    </row>
    <row r="34" spans="1:23" s="442" customFormat="1" ht="9.75" customHeight="1" x14ac:dyDescent="0.15">
      <c r="A34" s="951" t="s">
        <v>793</v>
      </c>
      <c r="B34" s="446">
        <v>2417030</v>
      </c>
      <c r="C34" s="445">
        <v>1088723</v>
      </c>
      <c r="D34" s="445">
        <v>274295</v>
      </c>
      <c r="E34" s="445">
        <v>82269</v>
      </c>
      <c r="F34" s="445" t="s">
        <v>648</v>
      </c>
      <c r="G34" s="445" t="s">
        <v>648</v>
      </c>
      <c r="H34" s="445">
        <v>80280</v>
      </c>
      <c r="I34" s="445" t="s">
        <v>648</v>
      </c>
      <c r="J34" s="445">
        <v>315597</v>
      </c>
      <c r="K34" s="445">
        <v>140253</v>
      </c>
      <c r="L34" s="445" t="s">
        <v>648</v>
      </c>
      <c r="M34" s="445">
        <v>196029</v>
      </c>
      <c r="N34" s="445" t="s">
        <v>648</v>
      </c>
      <c r="O34" s="445" t="s">
        <v>648</v>
      </c>
      <c r="P34" s="445" t="s">
        <v>648</v>
      </c>
      <c r="Q34" s="445" t="s">
        <v>648</v>
      </c>
      <c r="R34" s="445" t="s">
        <v>648</v>
      </c>
      <c r="S34" s="445" t="s">
        <v>648</v>
      </c>
      <c r="T34" s="445" t="s">
        <v>648</v>
      </c>
      <c r="U34" s="445">
        <v>142090</v>
      </c>
      <c r="V34" s="445" t="s">
        <v>648</v>
      </c>
      <c r="W34" s="443" t="s">
        <v>81</v>
      </c>
    </row>
    <row r="35" spans="1:23" ht="12" customHeight="1" x14ac:dyDescent="0.2"/>
    <row r="36" spans="1:23" ht="12" customHeight="1" x14ac:dyDescent="0.2"/>
    <row r="37" spans="1:23" ht="12" customHeight="1" x14ac:dyDescent="0.2">
      <c r="K37" s="457" t="s">
        <v>100</v>
      </c>
    </row>
    <row r="38" spans="1:23" s="453" customFormat="1" ht="21" customHeight="1" x14ac:dyDescent="0.2">
      <c r="A38" s="1089" t="s">
        <v>194</v>
      </c>
      <c r="B38" s="456" t="s">
        <v>348</v>
      </c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1092" t="s">
        <v>86</v>
      </c>
    </row>
    <row r="39" spans="1:23" s="453" customFormat="1" ht="21" customHeight="1" x14ac:dyDescent="0.2">
      <c r="A39" s="1090"/>
      <c r="B39" s="456" t="s">
        <v>1134</v>
      </c>
      <c r="C39" s="455"/>
      <c r="D39" s="917"/>
      <c r="E39" s="918" t="s">
        <v>287</v>
      </c>
      <c r="F39" s="455"/>
      <c r="G39" s="455"/>
      <c r="H39" s="917"/>
      <c r="I39" s="918" t="s">
        <v>271</v>
      </c>
      <c r="J39" s="455"/>
      <c r="K39" s="455"/>
      <c r="L39" s="917"/>
      <c r="M39" s="918" t="s">
        <v>270</v>
      </c>
      <c r="N39" s="455"/>
      <c r="O39" s="455"/>
      <c r="P39" s="455"/>
      <c r="Q39" s="455"/>
      <c r="R39" s="455"/>
      <c r="S39" s="455"/>
      <c r="T39" s="455"/>
      <c r="U39" s="455"/>
      <c r="V39" s="455"/>
      <c r="W39" s="1093"/>
    </row>
    <row r="40" spans="1:23" s="453" customFormat="1" ht="52.5" customHeight="1" x14ac:dyDescent="0.2">
      <c r="A40" s="1091"/>
      <c r="B40" s="454" t="s">
        <v>274</v>
      </c>
      <c r="C40" s="454" t="s">
        <v>334</v>
      </c>
      <c r="D40" s="454" t="s">
        <v>300</v>
      </c>
      <c r="E40" s="920" t="s">
        <v>1090</v>
      </c>
      <c r="F40" s="454" t="s">
        <v>357</v>
      </c>
      <c r="G40" s="454" t="s">
        <v>273</v>
      </c>
      <c r="H40" s="454" t="s">
        <v>356</v>
      </c>
      <c r="I40" s="920" t="s">
        <v>1092</v>
      </c>
      <c r="J40" s="459" t="s">
        <v>1139</v>
      </c>
      <c r="K40" s="454" t="s">
        <v>1140</v>
      </c>
      <c r="L40" s="459" t="s">
        <v>713</v>
      </c>
      <c r="M40" s="920" t="s">
        <v>1094</v>
      </c>
      <c r="N40" s="454" t="s">
        <v>263</v>
      </c>
      <c r="O40" s="454" t="s">
        <v>1095</v>
      </c>
      <c r="P40" s="454" t="s">
        <v>632</v>
      </c>
      <c r="Q40" s="454" t="s">
        <v>354</v>
      </c>
      <c r="R40" s="454" t="s">
        <v>633</v>
      </c>
      <c r="S40" s="454" t="s">
        <v>375</v>
      </c>
      <c r="T40" s="454" t="s">
        <v>374</v>
      </c>
      <c r="U40" s="454" t="s">
        <v>481</v>
      </c>
      <c r="V40" s="458" t="s">
        <v>373</v>
      </c>
      <c r="W40" s="1094"/>
    </row>
    <row r="41" spans="1:23" s="442" customFormat="1" ht="9.75" customHeight="1" x14ac:dyDescent="0.15">
      <c r="A41" s="949" t="s">
        <v>763</v>
      </c>
      <c r="B41" s="452">
        <v>1348599</v>
      </c>
      <c r="C41" s="451">
        <v>382979</v>
      </c>
      <c r="D41" s="451" t="s">
        <v>648</v>
      </c>
      <c r="E41" s="451">
        <v>667181</v>
      </c>
      <c r="F41" s="451" t="s">
        <v>648</v>
      </c>
      <c r="G41" s="451">
        <v>49251</v>
      </c>
      <c r="H41" s="451">
        <v>617930</v>
      </c>
      <c r="I41" s="451" t="s">
        <v>648</v>
      </c>
      <c r="J41" s="451" t="s">
        <v>648</v>
      </c>
      <c r="K41" s="451" t="s">
        <v>648</v>
      </c>
      <c r="L41" s="451" t="s">
        <v>648</v>
      </c>
      <c r="M41" s="451">
        <v>5880996</v>
      </c>
      <c r="N41" s="451">
        <v>5467421</v>
      </c>
      <c r="O41" s="451">
        <v>100614</v>
      </c>
      <c r="P41" s="451" t="s">
        <v>648</v>
      </c>
      <c r="Q41" s="451" t="s">
        <v>648</v>
      </c>
      <c r="R41" s="451" t="s">
        <v>648</v>
      </c>
      <c r="S41" s="451" t="s">
        <v>648</v>
      </c>
      <c r="T41" s="451">
        <v>307236</v>
      </c>
      <c r="U41" s="451">
        <v>5725</v>
      </c>
      <c r="V41" s="451" t="s">
        <v>648</v>
      </c>
      <c r="W41" s="449" t="s">
        <v>464</v>
      </c>
    </row>
    <row r="42" spans="1:23" s="442" customFormat="1" ht="9.75" customHeight="1" x14ac:dyDescent="0.15">
      <c r="A42" s="950" t="s">
        <v>764</v>
      </c>
      <c r="B42" s="442">
        <v>1318447</v>
      </c>
      <c r="C42" s="442">
        <v>391038</v>
      </c>
      <c r="D42" s="442" t="s">
        <v>648</v>
      </c>
      <c r="E42" s="442">
        <v>821241</v>
      </c>
      <c r="F42" s="442">
        <v>40650</v>
      </c>
      <c r="G42" s="442" t="s">
        <v>648</v>
      </c>
      <c r="H42" s="442">
        <v>780591</v>
      </c>
      <c r="I42" s="442">
        <v>55108</v>
      </c>
      <c r="J42" s="442">
        <v>44001</v>
      </c>
      <c r="K42" s="442" t="s">
        <v>648</v>
      </c>
      <c r="L42" s="442">
        <v>11107</v>
      </c>
      <c r="M42" s="442">
        <v>5319644</v>
      </c>
      <c r="N42" s="442">
        <v>4495790</v>
      </c>
      <c r="O42" s="442">
        <v>465062</v>
      </c>
      <c r="P42" s="442" t="s">
        <v>648</v>
      </c>
      <c r="Q42" s="442" t="s">
        <v>648</v>
      </c>
      <c r="R42" s="442" t="s">
        <v>648</v>
      </c>
      <c r="S42" s="442" t="s">
        <v>648</v>
      </c>
      <c r="T42" s="442">
        <v>326056</v>
      </c>
      <c r="U42" s="442">
        <v>32736</v>
      </c>
      <c r="V42" s="442" t="s">
        <v>648</v>
      </c>
      <c r="W42" s="447" t="s">
        <v>489</v>
      </c>
    </row>
    <row r="43" spans="1:23" s="442" customFormat="1" ht="9.75" customHeight="1" x14ac:dyDescent="0.15">
      <c r="A43" s="950" t="s">
        <v>765</v>
      </c>
      <c r="B43" s="442">
        <v>2365901</v>
      </c>
      <c r="C43" s="442">
        <v>149254</v>
      </c>
      <c r="D43" s="442">
        <v>74779</v>
      </c>
      <c r="E43" s="442">
        <v>1698857</v>
      </c>
      <c r="F43" s="442">
        <v>214108</v>
      </c>
      <c r="G43" s="442">
        <v>21650</v>
      </c>
      <c r="H43" s="442">
        <v>1463099</v>
      </c>
      <c r="I43" s="442">
        <v>94050</v>
      </c>
      <c r="J43" s="442">
        <v>94050</v>
      </c>
      <c r="K43" s="442" t="s">
        <v>648</v>
      </c>
      <c r="L43" s="442" t="s">
        <v>648</v>
      </c>
      <c r="M43" s="442">
        <v>7037465</v>
      </c>
      <c r="N43" s="442">
        <v>6264108</v>
      </c>
      <c r="O43" s="442">
        <v>335186</v>
      </c>
      <c r="P43" s="442">
        <v>12543</v>
      </c>
      <c r="Q43" s="442">
        <v>28130</v>
      </c>
      <c r="R43" s="442">
        <v>9956</v>
      </c>
      <c r="S43" s="442">
        <v>22294</v>
      </c>
      <c r="T43" s="442">
        <v>324573</v>
      </c>
      <c r="U43" s="442">
        <v>40675</v>
      </c>
      <c r="V43" s="442" t="s">
        <v>648</v>
      </c>
      <c r="W43" s="447" t="s">
        <v>549</v>
      </c>
    </row>
    <row r="44" spans="1:23" s="442" customFormat="1" ht="9.75" customHeight="1" x14ac:dyDescent="0.15">
      <c r="A44" s="950" t="s">
        <v>766</v>
      </c>
      <c r="B44" s="442">
        <v>959780</v>
      </c>
      <c r="C44" s="442" t="s">
        <v>648</v>
      </c>
      <c r="D44" s="442" t="s">
        <v>648</v>
      </c>
      <c r="E44" s="442">
        <v>83186</v>
      </c>
      <c r="F44" s="442" t="s">
        <v>648</v>
      </c>
      <c r="G44" s="442" t="s">
        <v>648</v>
      </c>
      <c r="H44" s="442">
        <v>83186</v>
      </c>
      <c r="I44" s="442">
        <v>163865</v>
      </c>
      <c r="J44" s="442">
        <v>114000</v>
      </c>
      <c r="K44" s="442">
        <v>49865</v>
      </c>
      <c r="L44" s="442" t="s">
        <v>648</v>
      </c>
      <c r="M44" s="442">
        <v>2585353</v>
      </c>
      <c r="N44" s="442">
        <v>2240733</v>
      </c>
      <c r="O44" s="442">
        <v>205720</v>
      </c>
      <c r="P44" s="442" t="s">
        <v>648</v>
      </c>
      <c r="Q44" s="442" t="s">
        <v>648</v>
      </c>
      <c r="R44" s="442" t="s">
        <v>648</v>
      </c>
      <c r="S44" s="442" t="s">
        <v>648</v>
      </c>
      <c r="T44" s="442">
        <v>131885</v>
      </c>
      <c r="U44" s="442" t="s">
        <v>648</v>
      </c>
      <c r="V44" s="442">
        <v>7015</v>
      </c>
      <c r="W44" s="447" t="s">
        <v>672</v>
      </c>
    </row>
    <row r="45" spans="1:23" s="442" customFormat="1" ht="9.75" customHeight="1" x14ac:dyDescent="0.15">
      <c r="A45" s="950" t="s">
        <v>767</v>
      </c>
      <c r="B45" s="442">
        <v>885368</v>
      </c>
      <c r="C45" s="442">
        <v>49204</v>
      </c>
      <c r="D45" s="442" t="s">
        <v>648</v>
      </c>
      <c r="E45" s="442">
        <v>833501</v>
      </c>
      <c r="F45" s="442">
        <v>136060</v>
      </c>
      <c r="G45" s="442">
        <v>97652</v>
      </c>
      <c r="H45" s="442">
        <v>599789</v>
      </c>
      <c r="I45" s="442">
        <v>122631</v>
      </c>
      <c r="J45" s="442" t="s">
        <v>648</v>
      </c>
      <c r="K45" s="442">
        <v>122631</v>
      </c>
      <c r="L45" s="442" t="s">
        <v>648</v>
      </c>
      <c r="M45" s="442">
        <v>2561014</v>
      </c>
      <c r="N45" s="442">
        <v>2229139</v>
      </c>
      <c r="O45" s="442">
        <v>141069</v>
      </c>
      <c r="P45" s="442" t="s">
        <v>648</v>
      </c>
      <c r="Q45" s="442" t="s">
        <v>648</v>
      </c>
      <c r="R45" s="442" t="s">
        <v>648</v>
      </c>
      <c r="S45" s="442" t="s">
        <v>648</v>
      </c>
      <c r="T45" s="442">
        <v>180476</v>
      </c>
      <c r="U45" s="442">
        <v>10330</v>
      </c>
      <c r="V45" s="442" t="s">
        <v>648</v>
      </c>
      <c r="W45" s="447" t="s">
        <v>768</v>
      </c>
    </row>
    <row r="46" spans="1:23" s="442" customFormat="1" ht="6.75" customHeight="1" x14ac:dyDescent="0.15">
      <c r="A46" s="950"/>
      <c r="W46" s="447"/>
    </row>
    <row r="47" spans="1:23" s="442" customFormat="1" ht="9.75" customHeight="1" x14ac:dyDescent="0.15">
      <c r="A47" s="950" t="s">
        <v>799</v>
      </c>
      <c r="B47" s="442">
        <v>613800</v>
      </c>
      <c r="C47" s="442" t="s">
        <v>648</v>
      </c>
      <c r="D47" s="442" t="s">
        <v>648</v>
      </c>
      <c r="E47" s="442" t="s">
        <v>648</v>
      </c>
      <c r="F47" s="442" t="s">
        <v>648</v>
      </c>
      <c r="G47" s="442" t="s">
        <v>648</v>
      </c>
      <c r="H47" s="442" t="s">
        <v>648</v>
      </c>
      <c r="I47" s="442" t="s">
        <v>648</v>
      </c>
      <c r="J47" s="442" t="s">
        <v>648</v>
      </c>
      <c r="K47" s="442" t="s">
        <v>648</v>
      </c>
      <c r="L47" s="442" t="s">
        <v>648</v>
      </c>
      <c r="M47" s="442">
        <v>1851455</v>
      </c>
      <c r="N47" s="442">
        <v>1575020</v>
      </c>
      <c r="O47" s="442">
        <v>116520</v>
      </c>
      <c r="P47" s="442" t="s">
        <v>648</v>
      </c>
      <c r="Q47" s="442" t="s">
        <v>648</v>
      </c>
      <c r="R47" s="442" t="s">
        <v>648</v>
      </c>
      <c r="S47" s="442" t="s">
        <v>648</v>
      </c>
      <c r="T47" s="442">
        <v>142570</v>
      </c>
      <c r="U47" s="442">
        <v>10330</v>
      </c>
      <c r="V47" s="442">
        <v>7015</v>
      </c>
      <c r="W47" s="447" t="s">
        <v>673</v>
      </c>
    </row>
    <row r="48" spans="1:23" s="442" customFormat="1" ht="9.75" customHeight="1" x14ac:dyDescent="0.15">
      <c r="A48" s="950" t="s">
        <v>800</v>
      </c>
      <c r="B48" s="442">
        <v>1279432</v>
      </c>
      <c r="C48" s="442">
        <v>49204</v>
      </c>
      <c r="D48" s="442" t="s">
        <v>648</v>
      </c>
      <c r="E48" s="442">
        <v>1023287</v>
      </c>
      <c r="F48" s="442">
        <v>181391</v>
      </c>
      <c r="G48" s="442">
        <v>97652</v>
      </c>
      <c r="H48" s="442">
        <v>744244</v>
      </c>
      <c r="I48" s="442">
        <v>170099</v>
      </c>
      <c r="J48" s="442" t="s">
        <v>648</v>
      </c>
      <c r="K48" s="442">
        <v>170099</v>
      </c>
      <c r="L48" s="442" t="s">
        <v>648</v>
      </c>
      <c r="M48" s="442">
        <v>2978649</v>
      </c>
      <c r="N48" s="442">
        <v>2513050</v>
      </c>
      <c r="O48" s="442">
        <v>264898</v>
      </c>
      <c r="P48" s="442" t="s">
        <v>648</v>
      </c>
      <c r="Q48" s="442" t="s">
        <v>648</v>
      </c>
      <c r="R48" s="442" t="s">
        <v>648</v>
      </c>
      <c r="S48" s="442" t="s">
        <v>648</v>
      </c>
      <c r="T48" s="442">
        <v>200701</v>
      </c>
      <c r="U48" s="442" t="s">
        <v>648</v>
      </c>
      <c r="V48" s="442" t="s">
        <v>648</v>
      </c>
      <c r="W48" s="447" t="s">
        <v>771</v>
      </c>
    </row>
    <row r="49" spans="1:23" s="442" customFormat="1" ht="6.75" customHeight="1" x14ac:dyDescent="0.15">
      <c r="A49" s="950"/>
      <c r="W49" s="447"/>
    </row>
    <row r="50" spans="1:23" s="442" customFormat="1" ht="9.75" customHeight="1" x14ac:dyDescent="0.15">
      <c r="A50" s="950" t="s">
        <v>772</v>
      </c>
      <c r="B50" s="442">
        <v>2129</v>
      </c>
      <c r="C50" s="442" t="s">
        <v>648</v>
      </c>
      <c r="D50" s="442" t="s">
        <v>648</v>
      </c>
      <c r="E50" s="442" t="s">
        <v>648</v>
      </c>
      <c r="F50" s="442" t="s">
        <v>648</v>
      </c>
      <c r="G50" s="442" t="s">
        <v>648</v>
      </c>
      <c r="H50" s="442" t="s">
        <v>648</v>
      </c>
      <c r="I50" s="442" t="s">
        <v>648</v>
      </c>
      <c r="J50" s="442" t="s">
        <v>648</v>
      </c>
      <c r="K50" s="442" t="s">
        <v>648</v>
      </c>
      <c r="L50" s="442" t="s">
        <v>648</v>
      </c>
      <c r="M50" s="442">
        <v>603686</v>
      </c>
      <c r="N50" s="442">
        <v>540569</v>
      </c>
      <c r="O50" s="442" t="s">
        <v>648</v>
      </c>
      <c r="P50" s="442" t="s">
        <v>648</v>
      </c>
      <c r="Q50" s="442" t="s">
        <v>648</v>
      </c>
      <c r="R50" s="442" t="s">
        <v>648</v>
      </c>
      <c r="S50" s="442" t="s">
        <v>648</v>
      </c>
      <c r="T50" s="442">
        <v>52787</v>
      </c>
      <c r="U50" s="442">
        <v>10330</v>
      </c>
      <c r="V50" s="442" t="s">
        <v>648</v>
      </c>
      <c r="W50" s="447" t="s">
        <v>674</v>
      </c>
    </row>
    <row r="51" spans="1:23" s="442" customFormat="1" ht="9.75" customHeight="1" x14ac:dyDescent="0.15">
      <c r="A51" s="950" t="s">
        <v>773</v>
      </c>
      <c r="B51" s="442">
        <v>238697</v>
      </c>
      <c r="C51" s="442" t="s">
        <v>648</v>
      </c>
      <c r="D51" s="442" t="s">
        <v>648</v>
      </c>
      <c r="E51" s="442">
        <v>45380</v>
      </c>
      <c r="F51" s="442">
        <v>45380</v>
      </c>
      <c r="G51" s="442" t="s">
        <v>648</v>
      </c>
      <c r="H51" s="442" t="s">
        <v>648</v>
      </c>
      <c r="I51" s="442" t="s">
        <v>648</v>
      </c>
      <c r="J51" s="442" t="s">
        <v>648</v>
      </c>
      <c r="K51" s="442" t="s">
        <v>648</v>
      </c>
      <c r="L51" s="442" t="s">
        <v>648</v>
      </c>
      <c r="M51" s="442">
        <v>271198</v>
      </c>
      <c r="N51" s="442">
        <v>271198</v>
      </c>
      <c r="O51" s="442" t="s">
        <v>648</v>
      </c>
      <c r="P51" s="442" t="s">
        <v>648</v>
      </c>
      <c r="Q51" s="442" t="s">
        <v>648</v>
      </c>
      <c r="R51" s="442" t="s">
        <v>648</v>
      </c>
      <c r="S51" s="442" t="s">
        <v>648</v>
      </c>
      <c r="T51" s="442" t="s">
        <v>648</v>
      </c>
      <c r="U51" s="442" t="s">
        <v>648</v>
      </c>
      <c r="V51" s="442" t="s">
        <v>648</v>
      </c>
      <c r="W51" s="447" t="s">
        <v>92</v>
      </c>
    </row>
    <row r="52" spans="1:23" s="442" customFormat="1" ht="9.75" customHeight="1" x14ac:dyDescent="0.15">
      <c r="A52" s="950" t="s">
        <v>774</v>
      </c>
      <c r="B52" s="442">
        <v>544780</v>
      </c>
      <c r="C52" s="442" t="s">
        <v>648</v>
      </c>
      <c r="D52" s="442" t="s">
        <v>648</v>
      </c>
      <c r="E52" s="442">
        <v>638084</v>
      </c>
      <c r="F52" s="442">
        <v>90680</v>
      </c>
      <c r="G52" s="442">
        <v>97652</v>
      </c>
      <c r="H52" s="442">
        <v>449752</v>
      </c>
      <c r="I52" s="442">
        <v>47073</v>
      </c>
      <c r="J52" s="442" t="s">
        <v>648</v>
      </c>
      <c r="K52" s="442">
        <v>47073</v>
      </c>
      <c r="L52" s="442" t="s">
        <v>648</v>
      </c>
      <c r="M52" s="442">
        <v>847367</v>
      </c>
      <c r="N52" s="442">
        <v>690310</v>
      </c>
      <c r="O52" s="442">
        <v>29368</v>
      </c>
      <c r="P52" s="442" t="s">
        <v>648</v>
      </c>
      <c r="Q52" s="442" t="s">
        <v>648</v>
      </c>
      <c r="R52" s="442" t="s">
        <v>648</v>
      </c>
      <c r="S52" s="442" t="s">
        <v>648</v>
      </c>
      <c r="T52" s="442">
        <v>127689</v>
      </c>
      <c r="U52" s="442" t="s">
        <v>648</v>
      </c>
      <c r="V52" s="442" t="s">
        <v>648</v>
      </c>
      <c r="W52" s="447" t="s">
        <v>93</v>
      </c>
    </row>
    <row r="53" spans="1:23" s="442" customFormat="1" ht="9.75" customHeight="1" x14ac:dyDescent="0.15">
      <c r="A53" s="950" t="s">
        <v>801</v>
      </c>
      <c r="B53" s="442">
        <v>99762</v>
      </c>
      <c r="C53" s="442">
        <v>49204</v>
      </c>
      <c r="D53" s="442" t="s">
        <v>648</v>
      </c>
      <c r="E53" s="442">
        <v>150037</v>
      </c>
      <c r="F53" s="442" t="s">
        <v>648</v>
      </c>
      <c r="G53" s="442" t="s">
        <v>648</v>
      </c>
      <c r="H53" s="442">
        <v>150037</v>
      </c>
      <c r="I53" s="442">
        <v>75558</v>
      </c>
      <c r="J53" s="442" t="s">
        <v>648</v>
      </c>
      <c r="K53" s="442">
        <v>75558</v>
      </c>
      <c r="L53" s="442" t="s">
        <v>648</v>
      </c>
      <c r="M53" s="442">
        <v>838763</v>
      </c>
      <c r="N53" s="442">
        <v>727062</v>
      </c>
      <c r="O53" s="442">
        <v>111701</v>
      </c>
      <c r="P53" s="442" t="s">
        <v>648</v>
      </c>
      <c r="Q53" s="442" t="s">
        <v>648</v>
      </c>
      <c r="R53" s="442" t="s">
        <v>648</v>
      </c>
      <c r="S53" s="442" t="s">
        <v>648</v>
      </c>
      <c r="T53" s="442" t="s">
        <v>648</v>
      </c>
      <c r="U53" s="442" t="s">
        <v>648</v>
      </c>
      <c r="V53" s="442" t="s">
        <v>648</v>
      </c>
      <c r="W53" s="447" t="s">
        <v>94</v>
      </c>
    </row>
    <row r="54" spans="1:23" s="442" customFormat="1" ht="9.75" customHeight="1" x14ac:dyDescent="0.15">
      <c r="A54" s="950" t="s">
        <v>809</v>
      </c>
      <c r="B54" s="442">
        <v>396193</v>
      </c>
      <c r="C54" s="442" t="s">
        <v>648</v>
      </c>
      <c r="D54" s="442" t="s">
        <v>648</v>
      </c>
      <c r="E54" s="442">
        <v>189786</v>
      </c>
      <c r="F54" s="442">
        <v>45331</v>
      </c>
      <c r="G54" s="442" t="s">
        <v>648</v>
      </c>
      <c r="H54" s="442">
        <v>144455</v>
      </c>
      <c r="I54" s="442">
        <v>47468</v>
      </c>
      <c r="J54" s="442" t="s">
        <v>648</v>
      </c>
      <c r="K54" s="442">
        <v>47468</v>
      </c>
      <c r="L54" s="442" t="s">
        <v>648</v>
      </c>
      <c r="M54" s="442">
        <v>1021321</v>
      </c>
      <c r="N54" s="442">
        <v>824480</v>
      </c>
      <c r="O54" s="442">
        <v>123829</v>
      </c>
      <c r="P54" s="442" t="s">
        <v>648</v>
      </c>
      <c r="Q54" s="442" t="s">
        <v>648</v>
      </c>
      <c r="R54" s="442" t="s">
        <v>648</v>
      </c>
      <c r="S54" s="442" t="s">
        <v>648</v>
      </c>
      <c r="T54" s="442">
        <v>73012</v>
      </c>
      <c r="U54" s="442" t="s">
        <v>648</v>
      </c>
      <c r="V54" s="442" t="s">
        <v>648</v>
      </c>
      <c r="W54" s="447" t="s">
        <v>777</v>
      </c>
    </row>
    <row r="55" spans="1:23" s="442" customFormat="1" ht="6.75" customHeight="1" x14ac:dyDescent="0.15">
      <c r="A55" s="950"/>
      <c r="W55" s="447"/>
    </row>
    <row r="56" spans="1:23" s="442" customFormat="1" ht="9.75" customHeight="1" x14ac:dyDescent="0.15">
      <c r="A56" s="950" t="s">
        <v>778</v>
      </c>
      <c r="B56" s="442">
        <v>2129</v>
      </c>
      <c r="C56" s="442" t="s">
        <v>648</v>
      </c>
      <c r="D56" s="442" t="s">
        <v>648</v>
      </c>
      <c r="E56" s="442" t="s">
        <v>648</v>
      </c>
      <c r="F56" s="442" t="s">
        <v>648</v>
      </c>
      <c r="G56" s="442" t="s">
        <v>648</v>
      </c>
      <c r="H56" s="442" t="s">
        <v>648</v>
      </c>
      <c r="I56" s="442" t="s">
        <v>648</v>
      </c>
      <c r="J56" s="442" t="s">
        <v>648</v>
      </c>
      <c r="K56" s="442" t="s">
        <v>648</v>
      </c>
      <c r="L56" s="442" t="s">
        <v>648</v>
      </c>
      <c r="M56" s="442">
        <v>273008</v>
      </c>
      <c r="N56" s="442">
        <v>240062</v>
      </c>
      <c r="O56" s="442" t="s">
        <v>648</v>
      </c>
      <c r="P56" s="442" t="s">
        <v>648</v>
      </c>
      <c r="Q56" s="442" t="s">
        <v>648</v>
      </c>
      <c r="R56" s="442" t="s">
        <v>648</v>
      </c>
      <c r="S56" s="442" t="s">
        <v>648</v>
      </c>
      <c r="T56" s="442">
        <v>32946</v>
      </c>
      <c r="U56" s="442" t="s">
        <v>648</v>
      </c>
      <c r="V56" s="442" t="s">
        <v>648</v>
      </c>
      <c r="W56" s="447" t="s">
        <v>675</v>
      </c>
    </row>
    <row r="57" spans="1:23" s="442" customFormat="1" ht="9.75" customHeight="1" x14ac:dyDescent="0.15">
      <c r="A57" s="950" t="s">
        <v>779</v>
      </c>
      <c r="B57" s="442" t="s">
        <v>648</v>
      </c>
      <c r="C57" s="442" t="s">
        <v>648</v>
      </c>
      <c r="D57" s="442" t="s">
        <v>648</v>
      </c>
      <c r="E57" s="442" t="s">
        <v>648</v>
      </c>
      <c r="F57" s="442" t="s">
        <v>648</v>
      </c>
      <c r="G57" s="442" t="s">
        <v>648</v>
      </c>
      <c r="H57" s="442" t="s">
        <v>648</v>
      </c>
      <c r="I57" s="442" t="s">
        <v>648</v>
      </c>
      <c r="J57" s="442" t="s">
        <v>648</v>
      </c>
      <c r="K57" s="442" t="s">
        <v>648</v>
      </c>
      <c r="L57" s="442" t="s">
        <v>648</v>
      </c>
      <c r="M57" s="442">
        <v>55510</v>
      </c>
      <c r="N57" s="442">
        <v>49950</v>
      </c>
      <c r="O57" s="442" t="s">
        <v>648</v>
      </c>
      <c r="P57" s="442" t="s">
        <v>648</v>
      </c>
      <c r="Q57" s="442" t="s">
        <v>648</v>
      </c>
      <c r="R57" s="442" t="s">
        <v>648</v>
      </c>
      <c r="S57" s="442" t="s">
        <v>648</v>
      </c>
      <c r="T57" s="442" t="s">
        <v>648</v>
      </c>
      <c r="U57" s="442">
        <v>5560</v>
      </c>
      <c r="V57" s="442" t="s">
        <v>648</v>
      </c>
      <c r="W57" s="447" t="s">
        <v>80</v>
      </c>
    </row>
    <row r="58" spans="1:23" s="442" customFormat="1" ht="9.75" customHeight="1" x14ac:dyDescent="0.15">
      <c r="A58" s="950" t="s">
        <v>1141</v>
      </c>
      <c r="B58" s="442" t="s">
        <v>648</v>
      </c>
      <c r="C58" s="442" t="s">
        <v>648</v>
      </c>
      <c r="D58" s="442" t="s">
        <v>648</v>
      </c>
      <c r="E58" s="442" t="s">
        <v>648</v>
      </c>
      <c r="F58" s="442" t="s">
        <v>648</v>
      </c>
      <c r="G58" s="442" t="s">
        <v>648</v>
      </c>
      <c r="H58" s="442" t="s">
        <v>648</v>
      </c>
      <c r="I58" s="442" t="s">
        <v>648</v>
      </c>
      <c r="J58" s="442" t="s">
        <v>648</v>
      </c>
      <c r="K58" s="442" t="s">
        <v>648</v>
      </c>
      <c r="L58" s="442" t="s">
        <v>648</v>
      </c>
      <c r="M58" s="442">
        <v>275168</v>
      </c>
      <c r="N58" s="442">
        <v>250557</v>
      </c>
      <c r="O58" s="442" t="s">
        <v>648</v>
      </c>
      <c r="P58" s="442" t="s">
        <v>648</v>
      </c>
      <c r="Q58" s="442" t="s">
        <v>648</v>
      </c>
      <c r="R58" s="442" t="s">
        <v>648</v>
      </c>
      <c r="S58" s="442" t="s">
        <v>648</v>
      </c>
      <c r="T58" s="442">
        <v>19841</v>
      </c>
      <c r="U58" s="442">
        <v>4770</v>
      </c>
      <c r="V58" s="442" t="s">
        <v>648</v>
      </c>
      <c r="W58" s="447" t="s">
        <v>81</v>
      </c>
    </row>
    <row r="59" spans="1:23" s="442" customFormat="1" ht="9.75" customHeight="1" x14ac:dyDescent="0.15">
      <c r="A59" s="950" t="s">
        <v>781</v>
      </c>
      <c r="B59" s="442">
        <v>49908</v>
      </c>
      <c r="C59" s="442" t="s">
        <v>648</v>
      </c>
      <c r="D59" s="442" t="s">
        <v>648</v>
      </c>
      <c r="E59" s="442" t="s">
        <v>648</v>
      </c>
      <c r="F59" s="442" t="s">
        <v>648</v>
      </c>
      <c r="G59" s="442" t="s">
        <v>648</v>
      </c>
      <c r="H59" s="442" t="s">
        <v>648</v>
      </c>
      <c r="I59" s="442" t="s">
        <v>648</v>
      </c>
      <c r="J59" s="442" t="s">
        <v>648</v>
      </c>
      <c r="K59" s="442" t="s">
        <v>648</v>
      </c>
      <c r="L59" s="442" t="s">
        <v>648</v>
      </c>
      <c r="M59" s="442">
        <v>24683</v>
      </c>
      <c r="N59" s="442">
        <v>24683</v>
      </c>
      <c r="O59" s="442" t="s">
        <v>648</v>
      </c>
      <c r="P59" s="442" t="s">
        <v>648</v>
      </c>
      <c r="Q59" s="442" t="s">
        <v>648</v>
      </c>
      <c r="R59" s="442" t="s">
        <v>648</v>
      </c>
      <c r="S59" s="442" t="s">
        <v>648</v>
      </c>
      <c r="T59" s="442" t="s">
        <v>648</v>
      </c>
      <c r="U59" s="442" t="s">
        <v>648</v>
      </c>
      <c r="V59" s="442" t="s">
        <v>648</v>
      </c>
      <c r="W59" s="447" t="s">
        <v>82</v>
      </c>
    </row>
    <row r="60" spans="1:23" s="442" customFormat="1" ht="9.75" customHeight="1" x14ac:dyDescent="0.15">
      <c r="A60" s="950" t="s">
        <v>782</v>
      </c>
      <c r="B60" s="442">
        <v>64750</v>
      </c>
      <c r="C60" s="442" t="s">
        <v>648</v>
      </c>
      <c r="D60" s="442" t="s">
        <v>648</v>
      </c>
      <c r="E60" s="442" t="s">
        <v>648</v>
      </c>
      <c r="F60" s="442" t="s">
        <v>648</v>
      </c>
      <c r="G60" s="442" t="s">
        <v>648</v>
      </c>
      <c r="H60" s="442" t="s">
        <v>648</v>
      </c>
      <c r="I60" s="442" t="s">
        <v>648</v>
      </c>
      <c r="J60" s="442" t="s">
        <v>648</v>
      </c>
      <c r="K60" s="442" t="s">
        <v>648</v>
      </c>
      <c r="L60" s="442" t="s">
        <v>648</v>
      </c>
      <c r="M60" s="442">
        <v>50002</v>
      </c>
      <c r="N60" s="442">
        <v>50002</v>
      </c>
      <c r="O60" s="442" t="s">
        <v>648</v>
      </c>
      <c r="P60" s="442" t="s">
        <v>648</v>
      </c>
      <c r="Q60" s="442" t="s">
        <v>648</v>
      </c>
      <c r="R60" s="442" t="s">
        <v>648</v>
      </c>
      <c r="S60" s="442" t="s">
        <v>648</v>
      </c>
      <c r="T60" s="442" t="s">
        <v>648</v>
      </c>
      <c r="U60" s="442" t="s">
        <v>648</v>
      </c>
      <c r="V60" s="442" t="s">
        <v>648</v>
      </c>
      <c r="W60" s="447" t="s">
        <v>95</v>
      </c>
    </row>
    <row r="61" spans="1:23" s="442" customFormat="1" ht="9.75" customHeight="1" x14ac:dyDescent="0.15">
      <c r="A61" s="950" t="s">
        <v>783</v>
      </c>
      <c r="B61" s="442">
        <v>124039</v>
      </c>
      <c r="C61" s="442" t="s">
        <v>648</v>
      </c>
      <c r="D61" s="442" t="s">
        <v>648</v>
      </c>
      <c r="E61" s="442">
        <v>45380</v>
      </c>
      <c r="F61" s="442">
        <v>45380</v>
      </c>
      <c r="G61" s="442" t="s">
        <v>648</v>
      </c>
      <c r="H61" s="442" t="s">
        <v>648</v>
      </c>
      <c r="I61" s="442" t="s">
        <v>648</v>
      </c>
      <c r="J61" s="442" t="s">
        <v>648</v>
      </c>
      <c r="K61" s="442" t="s">
        <v>648</v>
      </c>
      <c r="L61" s="442" t="s">
        <v>648</v>
      </c>
      <c r="M61" s="442">
        <v>196513</v>
      </c>
      <c r="N61" s="442">
        <v>196513</v>
      </c>
      <c r="O61" s="442" t="s">
        <v>648</v>
      </c>
      <c r="P61" s="442" t="s">
        <v>648</v>
      </c>
      <c r="Q61" s="442" t="s">
        <v>648</v>
      </c>
      <c r="R61" s="442" t="s">
        <v>648</v>
      </c>
      <c r="S61" s="442" t="s">
        <v>648</v>
      </c>
      <c r="T61" s="442" t="s">
        <v>648</v>
      </c>
      <c r="U61" s="442" t="s">
        <v>648</v>
      </c>
      <c r="V61" s="442" t="s">
        <v>648</v>
      </c>
      <c r="W61" s="447" t="s">
        <v>96</v>
      </c>
    </row>
    <row r="62" spans="1:23" s="442" customFormat="1" ht="9.75" customHeight="1" x14ac:dyDescent="0.15">
      <c r="A62" s="950" t="s">
        <v>784</v>
      </c>
      <c r="B62" s="442">
        <v>49873</v>
      </c>
      <c r="C62" s="442" t="s">
        <v>648</v>
      </c>
      <c r="D62" s="442" t="s">
        <v>648</v>
      </c>
      <c r="E62" s="442">
        <v>47602</v>
      </c>
      <c r="F62" s="442" t="s">
        <v>648</v>
      </c>
      <c r="G62" s="442">
        <v>47602</v>
      </c>
      <c r="H62" s="442" t="s">
        <v>648</v>
      </c>
      <c r="I62" s="442" t="s">
        <v>648</v>
      </c>
      <c r="J62" s="442" t="s">
        <v>648</v>
      </c>
      <c r="K62" s="442" t="s">
        <v>648</v>
      </c>
      <c r="L62" s="442" t="s">
        <v>648</v>
      </c>
      <c r="M62" s="442">
        <v>313226</v>
      </c>
      <c r="N62" s="442">
        <v>267939</v>
      </c>
      <c r="O62" s="442">
        <v>15108</v>
      </c>
      <c r="P62" s="442" t="s">
        <v>648</v>
      </c>
      <c r="Q62" s="442" t="s">
        <v>648</v>
      </c>
      <c r="R62" s="442" t="s">
        <v>648</v>
      </c>
      <c r="S62" s="442" t="s">
        <v>648</v>
      </c>
      <c r="T62" s="442">
        <v>30179</v>
      </c>
      <c r="U62" s="442" t="s">
        <v>648</v>
      </c>
      <c r="V62" s="442" t="s">
        <v>648</v>
      </c>
      <c r="W62" s="447" t="s">
        <v>97</v>
      </c>
    </row>
    <row r="63" spans="1:23" s="442" customFormat="1" ht="9.75" customHeight="1" x14ac:dyDescent="0.15">
      <c r="A63" s="950" t="s">
        <v>806</v>
      </c>
      <c r="B63" s="442">
        <v>303357</v>
      </c>
      <c r="C63" s="442" t="s">
        <v>648</v>
      </c>
      <c r="D63" s="442" t="s">
        <v>648</v>
      </c>
      <c r="E63" s="442">
        <v>440409</v>
      </c>
      <c r="F63" s="442">
        <v>90680</v>
      </c>
      <c r="G63" s="442">
        <v>50050</v>
      </c>
      <c r="H63" s="442">
        <v>299679</v>
      </c>
      <c r="I63" s="442" t="s">
        <v>648</v>
      </c>
      <c r="J63" s="442" t="s">
        <v>648</v>
      </c>
      <c r="K63" s="442" t="s">
        <v>648</v>
      </c>
      <c r="L63" s="442" t="s">
        <v>648</v>
      </c>
      <c r="M63" s="442">
        <v>187177</v>
      </c>
      <c r="N63" s="442">
        <v>100223</v>
      </c>
      <c r="O63" s="442">
        <v>14260</v>
      </c>
      <c r="P63" s="442" t="s">
        <v>648</v>
      </c>
      <c r="Q63" s="442" t="s">
        <v>648</v>
      </c>
      <c r="R63" s="442" t="s">
        <v>648</v>
      </c>
      <c r="S63" s="442" t="s">
        <v>648</v>
      </c>
      <c r="T63" s="442">
        <v>72694</v>
      </c>
      <c r="U63" s="442" t="s">
        <v>648</v>
      </c>
      <c r="V63" s="442" t="s">
        <v>648</v>
      </c>
      <c r="W63" s="447" t="s">
        <v>98</v>
      </c>
    </row>
    <row r="64" spans="1:23" s="442" customFormat="1" ht="9.75" customHeight="1" x14ac:dyDescent="0.15">
      <c r="A64" s="950" t="s">
        <v>786</v>
      </c>
      <c r="B64" s="442">
        <v>191550</v>
      </c>
      <c r="C64" s="442" t="s">
        <v>648</v>
      </c>
      <c r="D64" s="442" t="s">
        <v>648</v>
      </c>
      <c r="E64" s="442">
        <v>150073</v>
      </c>
      <c r="F64" s="442" t="s">
        <v>648</v>
      </c>
      <c r="G64" s="442" t="s">
        <v>648</v>
      </c>
      <c r="H64" s="442">
        <v>150073</v>
      </c>
      <c r="I64" s="442">
        <v>47073</v>
      </c>
      <c r="J64" s="442" t="s">
        <v>648</v>
      </c>
      <c r="K64" s="442">
        <v>47073</v>
      </c>
      <c r="L64" s="442" t="s">
        <v>648</v>
      </c>
      <c r="M64" s="442">
        <v>346964</v>
      </c>
      <c r="N64" s="442">
        <v>322148</v>
      </c>
      <c r="O64" s="442" t="s">
        <v>648</v>
      </c>
      <c r="P64" s="442" t="s">
        <v>648</v>
      </c>
      <c r="Q64" s="442" t="s">
        <v>648</v>
      </c>
      <c r="R64" s="442" t="s">
        <v>648</v>
      </c>
      <c r="S64" s="442" t="s">
        <v>648</v>
      </c>
      <c r="T64" s="442">
        <v>24816</v>
      </c>
      <c r="U64" s="442" t="s">
        <v>648</v>
      </c>
      <c r="V64" s="442" t="s">
        <v>648</v>
      </c>
      <c r="W64" s="447" t="s">
        <v>99</v>
      </c>
    </row>
    <row r="65" spans="1:23" s="442" customFormat="1" ht="9.75" customHeight="1" x14ac:dyDescent="0.15">
      <c r="A65" s="950" t="s">
        <v>807</v>
      </c>
      <c r="B65" s="442">
        <v>49800</v>
      </c>
      <c r="C65" s="442" t="s">
        <v>648</v>
      </c>
      <c r="D65" s="442" t="s">
        <v>648</v>
      </c>
      <c r="E65" s="442" t="s">
        <v>648</v>
      </c>
      <c r="F65" s="442" t="s">
        <v>648</v>
      </c>
      <c r="G65" s="442" t="s">
        <v>648</v>
      </c>
      <c r="H65" s="442" t="s">
        <v>648</v>
      </c>
      <c r="I65" s="442">
        <v>75558</v>
      </c>
      <c r="J65" s="442" t="s">
        <v>648</v>
      </c>
      <c r="K65" s="442">
        <v>75558</v>
      </c>
      <c r="L65" s="442" t="s">
        <v>648</v>
      </c>
      <c r="M65" s="442">
        <v>193220</v>
      </c>
      <c r="N65" s="442">
        <v>193220</v>
      </c>
      <c r="O65" s="442" t="s">
        <v>648</v>
      </c>
      <c r="P65" s="442" t="s">
        <v>648</v>
      </c>
      <c r="Q65" s="442" t="s">
        <v>648</v>
      </c>
      <c r="R65" s="442" t="s">
        <v>648</v>
      </c>
      <c r="S65" s="442" t="s">
        <v>648</v>
      </c>
      <c r="T65" s="442" t="s">
        <v>648</v>
      </c>
      <c r="U65" s="442" t="s">
        <v>648</v>
      </c>
      <c r="V65" s="442" t="s">
        <v>648</v>
      </c>
      <c r="W65" s="447" t="s">
        <v>83</v>
      </c>
    </row>
    <row r="66" spans="1:23" s="442" customFormat="1" ht="9.75" customHeight="1" x14ac:dyDescent="0.15">
      <c r="A66" s="950" t="s">
        <v>788</v>
      </c>
      <c r="B66" s="442">
        <v>49962</v>
      </c>
      <c r="C66" s="442" t="s">
        <v>648</v>
      </c>
      <c r="D66" s="442" t="s">
        <v>648</v>
      </c>
      <c r="E66" s="442">
        <v>50030</v>
      </c>
      <c r="F66" s="442" t="s">
        <v>648</v>
      </c>
      <c r="G66" s="442" t="s">
        <v>648</v>
      </c>
      <c r="H66" s="442">
        <v>50030</v>
      </c>
      <c r="I66" s="442" t="s">
        <v>648</v>
      </c>
      <c r="J66" s="442" t="s">
        <v>648</v>
      </c>
      <c r="K66" s="442" t="s">
        <v>648</v>
      </c>
      <c r="L66" s="442" t="s">
        <v>648</v>
      </c>
      <c r="M66" s="442">
        <v>259398</v>
      </c>
      <c r="N66" s="442">
        <v>211918</v>
      </c>
      <c r="O66" s="442">
        <v>47480</v>
      </c>
      <c r="P66" s="442" t="s">
        <v>648</v>
      </c>
      <c r="Q66" s="442" t="s">
        <v>648</v>
      </c>
      <c r="R66" s="442" t="s">
        <v>648</v>
      </c>
      <c r="S66" s="442" t="s">
        <v>648</v>
      </c>
      <c r="T66" s="442" t="s">
        <v>648</v>
      </c>
      <c r="U66" s="442" t="s">
        <v>648</v>
      </c>
      <c r="V66" s="442" t="s">
        <v>648</v>
      </c>
      <c r="W66" s="447" t="s">
        <v>84</v>
      </c>
    </row>
    <row r="67" spans="1:23" s="442" customFormat="1" ht="9.75" customHeight="1" x14ac:dyDescent="0.15">
      <c r="A67" s="950" t="s">
        <v>789</v>
      </c>
      <c r="B67" s="442" t="s">
        <v>648</v>
      </c>
      <c r="C67" s="442">
        <v>49204</v>
      </c>
      <c r="D67" s="442" t="s">
        <v>648</v>
      </c>
      <c r="E67" s="442">
        <v>100007</v>
      </c>
      <c r="F67" s="442" t="s">
        <v>648</v>
      </c>
      <c r="G67" s="442" t="s">
        <v>648</v>
      </c>
      <c r="H67" s="442">
        <v>100007</v>
      </c>
      <c r="I67" s="442" t="s">
        <v>648</v>
      </c>
      <c r="J67" s="442" t="s">
        <v>648</v>
      </c>
      <c r="K67" s="442" t="s">
        <v>648</v>
      </c>
      <c r="L67" s="442" t="s">
        <v>648</v>
      </c>
      <c r="M67" s="442">
        <v>386145</v>
      </c>
      <c r="N67" s="442">
        <v>321924</v>
      </c>
      <c r="O67" s="442">
        <v>64221</v>
      </c>
      <c r="P67" s="442" t="s">
        <v>648</v>
      </c>
      <c r="Q67" s="442" t="s">
        <v>648</v>
      </c>
      <c r="R67" s="442" t="s">
        <v>648</v>
      </c>
      <c r="S67" s="442" t="s">
        <v>648</v>
      </c>
      <c r="T67" s="442" t="s">
        <v>648</v>
      </c>
      <c r="U67" s="442" t="s">
        <v>648</v>
      </c>
      <c r="V67" s="442" t="s">
        <v>648</v>
      </c>
      <c r="W67" s="447" t="s">
        <v>85</v>
      </c>
    </row>
    <row r="68" spans="1:23" s="442" customFormat="1" ht="9.75" customHeight="1" x14ac:dyDescent="0.15">
      <c r="A68" s="950" t="s">
        <v>1142</v>
      </c>
      <c r="B68" s="442">
        <v>111596</v>
      </c>
      <c r="C68" s="442" t="s">
        <v>648</v>
      </c>
      <c r="D68" s="442" t="s">
        <v>648</v>
      </c>
      <c r="E68" s="442">
        <v>95335</v>
      </c>
      <c r="F68" s="442">
        <v>45331</v>
      </c>
      <c r="G68" s="442" t="s">
        <v>648</v>
      </c>
      <c r="H68" s="442">
        <v>50004</v>
      </c>
      <c r="I68" s="442" t="s">
        <v>648</v>
      </c>
      <c r="J68" s="442" t="s">
        <v>648</v>
      </c>
      <c r="K68" s="442" t="s">
        <v>648</v>
      </c>
      <c r="L68" s="442" t="s">
        <v>648</v>
      </c>
      <c r="M68" s="442">
        <v>401785</v>
      </c>
      <c r="N68" s="442">
        <v>293631</v>
      </c>
      <c r="O68" s="442">
        <v>108154</v>
      </c>
      <c r="P68" s="442" t="s">
        <v>648</v>
      </c>
      <c r="Q68" s="442" t="s">
        <v>648</v>
      </c>
      <c r="R68" s="442" t="s">
        <v>648</v>
      </c>
      <c r="S68" s="442" t="s">
        <v>648</v>
      </c>
      <c r="T68" s="442" t="s">
        <v>648</v>
      </c>
      <c r="U68" s="442" t="s">
        <v>648</v>
      </c>
      <c r="V68" s="442" t="s">
        <v>648</v>
      </c>
      <c r="W68" s="447" t="s">
        <v>791</v>
      </c>
    </row>
    <row r="69" spans="1:23" s="442" customFormat="1" ht="9.75" customHeight="1" x14ac:dyDescent="0.15">
      <c r="A69" s="950" t="s">
        <v>792</v>
      </c>
      <c r="B69" s="442">
        <v>142507</v>
      </c>
      <c r="C69" s="442" t="s">
        <v>648</v>
      </c>
      <c r="D69" s="442" t="s">
        <v>648</v>
      </c>
      <c r="E69" s="442">
        <v>44431</v>
      </c>
      <c r="F69" s="442" t="s">
        <v>648</v>
      </c>
      <c r="G69" s="442" t="s">
        <v>648</v>
      </c>
      <c r="H69" s="442">
        <v>44431</v>
      </c>
      <c r="I69" s="442" t="s">
        <v>648</v>
      </c>
      <c r="J69" s="442" t="s">
        <v>648</v>
      </c>
      <c r="K69" s="442" t="s">
        <v>648</v>
      </c>
      <c r="L69" s="442" t="s">
        <v>648</v>
      </c>
      <c r="M69" s="442">
        <v>360863</v>
      </c>
      <c r="N69" s="442">
        <v>325740</v>
      </c>
      <c r="O69" s="442" t="s">
        <v>648</v>
      </c>
      <c r="P69" s="442" t="s">
        <v>648</v>
      </c>
      <c r="Q69" s="442" t="s">
        <v>648</v>
      </c>
      <c r="R69" s="442" t="s">
        <v>648</v>
      </c>
      <c r="S69" s="442" t="s">
        <v>648</v>
      </c>
      <c r="T69" s="442">
        <v>35123</v>
      </c>
      <c r="U69" s="442" t="s">
        <v>648</v>
      </c>
      <c r="V69" s="442" t="s">
        <v>648</v>
      </c>
      <c r="W69" s="447" t="s">
        <v>80</v>
      </c>
    </row>
    <row r="70" spans="1:23" s="442" customFormat="1" ht="9.75" customHeight="1" x14ac:dyDescent="0.15">
      <c r="A70" s="951" t="s">
        <v>793</v>
      </c>
      <c r="B70" s="446">
        <v>142090</v>
      </c>
      <c r="C70" s="445" t="s">
        <v>648</v>
      </c>
      <c r="D70" s="445" t="s">
        <v>648</v>
      </c>
      <c r="E70" s="445">
        <v>50020</v>
      </c>
      <c r="F70" s="445" t="s">
        <v>648</v>
      </c>
      <c r="G70" s="445" t="s">
        <v>648</v>
      </c>
      <c r="H70" s="445">
        <v>50020</v>
      </c>
      <c r="I70" s="445">
        <v>47468</v>
      </c>
      <c r="J70" s="445" t="s">
        <v>648</v>
      </c>
      <c r="K70" s="445">
        <v>47468</v>
      </c>
      <c r="L70" s="445" t="s">
        <v>648</v>
      </c>
      <c r="M70" s="445">
        <v>258673</v>
      </c>
      <c r="N70" s="445">
        <v>205109</v>
      </c>
      <c r="O70" s="445">
        <v>15675</v>
      </c>
      <c r="P70" s="445" t="s">
        <v>648</v>
      </c>
      <c r="Q70" s="445" t="s">
        <v>648</v>
      </c>
      <c r="R70" s="445" t="s">
        <v>648</v>
      </c>
      <c r="S70" s="445" t="s">
        <v>648</v>
      </c>
      <c r="T70" s="445">
        <v>37889</v>
      </c>
      <c r="U70" s="445" t="s">
        <v>648</v>
      </c>
      <c r="V70" s="445" t="s">
        <v>648</v>
      </c>
      <c r="W70" s="443" t="s">
        <v>81</v>
      </c>
    </row>
    <row r="71" spans="1:23" ht="12" customHeight="1" x14ac:dyDescent="0.2"/>
    <row r="72" spans="1:23" ht="12" customHeight="1" x14ac:dyDescent="0.2"/>
    <row r="73" spans="1:23" ht="12" customHeight="1" x14ac:dyDescent="0.15">
      <c r="K73" s="457" t="s">
        <v>100</v>
      </c>
      <c r="V73" s="460" t="s">
        <v>715</v>
      </c>
    </row>
    <row r="74" spans="1:23" s="453" customFormat="1" ht="21" customHeight="1" x14ac:dyDescent="0.2">
      <c r="A74" s="1089" t="s">
        <v>194</v>
      </c>
      <c r="B74" s="456" t="s">
        <v>348</v>
      </c>
      <c r="C74" s="455"/>
      <c r="D74" s="917"/>
      <c r="E74" s="918" t="s">
        <v>347</v>
      </c>
      <c r="F74" s="455"/>
      <c r="G74" s="455"/>
      <c r="H74" s="455"/>
      <c r="I74" s="455"/>
      <c r="J74" s="455"/>
      <c r="K74" s="455"/>
      <c r="L74" s="455"/>
      <c r="M74" s="455"/>
      <c r="N74" s="455"/>
      <c r="O74" s="455"/>
      <c r="P74" s="455"/>
      <c r="Q74" s="455"/>
      <c r="R74" s="455"/>
      <c r="S74" s="455"/>
      <c r="T74" s="455"/>
      <c r="U74" s="455"/>
      <c r="V74" s="455"/>
      <c r="W74" s="1092" t="s">
        <v>86</v>
      </c>
    </row>
    <row r="75" spans="1:23" s="453" customFormat="1" ht="21" customHeight="1" x14ac:dyDescent="0.2">
      <c r="A75" s="1090"/>
      <c r="B75" s="918" t="s">
        <v>1135</v>
      </c>
      <c r="C75" s="455"/>
      <c r="D75" s="917"/>
      <c r="E75" s="1095" t="s">
        <v>345</v>
      </c>
      <c r="F75" s="918" t="s">
        <v>297</v>
      </c>
      <c r="G75" s="455"/>
      <c r="H75" s="455"/>
      <c r="I75" s="455"/>
      <c r="J75" s="455"/>
      <c r="K75" s="455"/>
      <c r="L75" s="455"/>
      <c r="M75" s="455"/>
      <c r="N75" s="455"/>
      <c r="O75" s="455"/>
      <c r="P75" s="455"/>
      <c r="Q75" s="455"/>
      <c r="R75" s="917"/>
      <c r="S75" s="918" t="s">
        <v>288</v>
      </c>
      <c r="T75" s="455"/>
      <c r="U75" s="917"/>
      <c r="V75" s="918" t="s">
        <v>287</v>
      </c>
      <c r="W75" s="1093"/>
    </row>
    <row r="76" spans="1:23" s="453" customFormat="1" ht="52.5" customHeight="1" x14ac:dyDescent="0.2">
      <c r="A76" s="1091"/>
      <c r="B76" s="920" t="s">
        <v>353</v>
      </c>
      <c r="C76" s="454" t="s">
        <v>372</v>
      </c>
      <c r="D76" s="454" t="s">
        <v>352</v>
      </c>
      <c r="E76" s="1096"/>
      <c r="F76" s="920" t="s">
        <v>1096</v>
      </c>
      <c r="G76" s="454" t="s">
        <v>286</v>
      </c>
      <c r="H76" s="454" t="s">
        <v>1097</v>
      </c>
      <c r="I76" s="454" t="s">
        <v>307</v>
      </c>
      <c r="J76" s="454" t="s">
        <v>363</v>
      </c>
      <c r="K76" s="454" t="s">
        <v>313</v>
      </c>
      <c r="L76" s="454" t="s">
        <v>285</v>
      </c>
      <c r="M76" s="454" t="s">
        <v>284</v>
      </c>
      <c r="N76" s="454" t="s">
        <v>283</v>
      </c>
      <c r="O76" s="454" t="s">
        <v>342</v>
      </c>
      <c r="P76" s="454" t="s">
        <v>318</v>
      </c>
      <c r="Q76" s="454" t="s">
        <v>706</v>
      </c>
      <c r="R76" s="459" t="s">
        <v>1143</v>
      </c>
      <c r="S76" s="920" t="s">
        <v>1089</v>
      </c>
      <c r="T76" s="454" t="s">
        <v>310</v>
      </c>
      <c r="U76" s="454" t="s">
        <v>274</v>
      </c>
      <c r="V76" s="919" t="s">
        <v>1090</v>
      </c>
      <c r="W76" s="1094"/>
    </row>
    <row r="77" spans="1:23" s="442" customFormat="1" ht="9.75" customHeight="1" x14ac:dyDescent="0.15">
      <c r="A77" s="949" t="s">
        <v>763</v>
      </c>
      <c r="B77" s="452">
        <v>12192112</v>
      </c>
      <c r="C77" s="451">
        <v>286640</v>
      </c>
      <c r="D77" s="451">
        <v>11905472</v>
      </c>
      <c r="E77" s="451">
        <v>3909107</v>
      </c>
      <c r="F77" s="451">
        <v>3519463</v>
      </c>
      <c r="G77" s="451">
        <v>1080500</v>
      </c>
      <c r="H77" s="451">
        <v>164658</v>
      </c>
      <c r="I77" s="451">
        <v>57938</v>
      </c>
      <c r="J77" s="451" t="s">
        <v>648</v>
      </c>
      <c r="K77" s="451" t="s">
        <v>648</v>
      </c>
      <c r="L77" s="451">
        <v>1843440</v>
      </c>
      <c r="M77" s="451">
        <v>261951</v>
      </c>
      <c r="N77" s="451" t="s">
        <v>648</v>
      </c>
      <c r="O77" s="451">
        <v>110976</v>
      </c>
      <c r="P77" s="451" t="s">
        <v>648</v>
      </c>
      <c r="Q77" s="451" t="s">
        <v>648</v>
      </c>
      <c r="R77" s="451" t="s">
        <v>648</v>
      </c>
      <c r="S77" s="451">
        <v>127236</v>
      </c>
      <c r="T77" s="451" t="s">
        <v>648</v>
      </c>
      <c r="U77" s="451">
        <v>127236</v>
      </c>
      <c r="V77" s="451" t="s">
        <v>648</v>
      </c>
      <c r="W77" s="449" t="s">
        <v>464</v>
      </c>
    </row>
    <row r="78" spans="1:23" s="442" customFormat="1" ht="9.75" customHeight="1" x14ac:dyDescent="0.15">
      <c r="A78" s="950" t="s">
        <v>764</v>
      </c>
      <c r="B78" s="442">
        <v>12327978</v>
      </c>
      <c r="C78" s="442">
        <v>187193</v>
      </c>
      <c r="D78" s="442">
        <v>12140785</v>
      </c>
      <c r="E78" s="442">
        <v>3282646</v>
      </c>
      <c r="F78" s="442">
        <v>2533500</v>
      </c>
      <c r="G78" s="442">
        <v>839405</v>
      </c>
      <c r="H78" s="442">
        <v>148969</v>
      </c>
      <c r="I78" s="442">
        <v>56858</v>
      </c>
      <c r="J78" s="442" t="s">
        <v>648</v>
      </c>
      <c r="K78" s="442">
        <v>134370</v>
      </c>
      <c r="L78" s="442">
        <v>827998</v>
      </c>
      <c r="M78" s="442">
        <v>399342</v>
      </c>
      <c r="N78" s="442" t="s">
        <v>648</v>
      </c>
      <c r="O78" s="442">
        <v>126558</v>
      </c>
      <c r="P78" s="442" t="s">
        <v>648</v>
      </c>
      <c r="Q78" s="442" t="s">
        <v>648</v>
      </c>
      <c r="R78" s="442" t="s">
        <v>648</v>
      </c>
      <c r="S78" s="442">
        <v>281290</v>
      </c>
      <c r="T78" s="442">
        <v>52182</v>
      </c>
      <c r="U78" s="442">
        <v>229108</v>
      </c>
      <c r="V78" s="442">
        <v>52545</v>
      </c>
      <c r="W78" s="447" t="s">
        <v>489</v>
      </c>
    </row>
    <row r="79" spans="1:23" s="442" customFormat="1" ht="9.75" customHeight="1" x14ac:dyDescent="0.15">
      <c r="A79" s="950" t="s">
        <v>765</v>
      </c>
      <c r="B79" s="442">
        <v>12727539</v>
      </c>
      <c r="C79" s="442">
        <v>201792</v>
      </c>
      <c r="D79" s="442">
        <v>12525747</v>
      </c>
      <c r="E79" s="442">
        <v>3406830</v>
      </c>
      <c r="F79" s="442">
        <v>2107367</v>
      </c>
      <c r="G79" s="442">
        <v>842753</v>
      </c>
      <c r="H79" s="442">
        <v>131902</v>
      </c>
      <c r="I79" s="442">
        <v>126804</v>
      </c>
      <c r="J79" s="442" t="s">
        <v>648</v>
      </c>
      <c r="K79" s="442">
        <v>98400</v>
      </c>
      <c r="L79" s="442">
        <v>521408</v>
      </c>
      <c r="M79" s="442">
        <v>198792</v>
      </c>
      <c r="N79" s="442" t="s">
        <v>648</v>
      </c>
      <c r="O79" s="442">
        <v>107944</v>
      </c>
      <c r="P79" s="442">
        <v>47600</v>
      </c>
      <c r="Q79" s="442" t="s">
        <v>648</v>
      </c>
      <c r="R79" s="442">
        <v>31764</v>
      </c>
      <c r="S79" s="442">
        <v>610652</v>
      </c>
      <c r="T79" s="442" t="s">
        <v>648</v>
      </c>
      <c r="U79" s="442">
        <v>610652</v>
      </c>
      <c r="V79" s="442" t="s">
        <v>648</v>
      </c>
      <c r="W79" s="447" t="s">
        <v>549</v>
      </c>
    </row>
    <row r="80" spans="1:23" s="442" customFormat="1" ht="9.75" customHeight="1" x14ac:dyDescent="0.15">
      <c r="A80" s="950" t="s">
        <v>766</v>
      </c>
      <c r="B80" s="442">
        <v>8772954</v>
      </c>
      <c r="C80" s="442">
        <v>100927</v>
      </c>
      <c r="D80" s="442">
        <v>8672027</v>
      </c>
      <c r="E80" s="442">
        <v>2322527</v>
      </c>
      <c r="F80" s="442">
        <v>1803767</v>
      </c>
      <c r="G80" s="442">
        <v>871366</v>
      </c>
      <c r="H80" s="442">
        <v>91869</v>
      </c>
      <c r="I80" s="442">
        <v>220192</v>
      </c>
      <c r="J80" s="442" t="s">
        <v>648</v>
      </c>
      <c r="K80" s="442">
        <v>45300</v>
      </c>
      <c r="L80" s="442">
        <v>470409</v>
      </c>
      <c r="M80" s="442">
        <v>58810</v>
      </c>
      <c r="N80" s="442">
        <v>45821</v>
      </c>
      <c r="O80" s="442" t="s">
        <v>648</v>
      </c>
      <c r="P80" s="442" t="s">
        <v>648</v>
      </c>
      <c r="Q80" s="442" t="s">
        <v>648</v>
      </c>
      <c r="R80" s="442" t="s">
        <v>648</v>
      </c>
      <c r="S80" s="442">
        <v>76060</v>
      </c>
      <c r="T80" s="442" t="s">
        <v>648</v>
      </c>
      <c r="U80" s="442">
        <v>76060</v>
      </c>
      <c r="V80" s="442" t="s">
        <v>648</v>
      </c>
      <c r="W80" s="447" t="s">
        <v>672</v>
      </c>
    </row>
    <row r="81" spans="1:23" s="442" customFormat="1" ht="9.75" customHeight="1" x14ac:dyDescent="0.15">
      <c r="A81" s="950" t="s">
        <v>767</v>
      </c>
      <c r="B81" s="442">
        <v>9428098</v>
      </c>
      <c r="C81" s="442">
        <v>154626</v>
      </c>
      <c r="D81" s="442">
        <v>9273472</v>
      </c>
      <c r="E81" s="442">
        <v>3344951</v>
      </c>
      <c r="F81" s="442">
        <v>2782497</v>
      </c>
      <c r="G81" s="442">
        <v>1528548</v>
      </c>
      <c r="H81" s="442">
        <v>33364</v>
      </c>
      <c r="I81" s="442" t="s">
        <v>648</v>
      </c>
      <c r="J81" s="442" t="s">
        <v>648</v>
      </c>
      <c r="K81" s="442" t="s">
        <v>648</v>
      </c>
      <c r="L81" s="442">
        <v>819445</v>
      </c>
      <c r="M81" s="442">
        <v>401140</v>
      </c>
      <c r="N81" s="442" t="s">
        <v>648</v>
      </c>
      <c r="O81" s="442" t="s">
        <v>648</v>
      </c>
      <c r="P81" s="442" t="s">
        <v>648</v>
      </c>
      <c r="Q81" s="442" t="s">
        <v>648</v>
      </c>
      <c r="R81" s="442" t="s">
        <v>648</v>
      </c>
      <c r="S81" s="442">
        <v>184359</v>
      </c>
      <c r="T81" s="442" t="s">
        <v>648</v>
      </c>
      <c r="U81" s="442">
        <v>184359</v>
      </c>
      <c r="V81" s="442" t="s">
        <v>648</v>
      </c>
      <c r="W81" s="447" t="s">
        <v>768</v>
      </c>
    </row>
    <row r="82" spans="1:23" s="442" customFormat="1" ht="6.75" customHeight="1" x14ac:dyDescent="0.15">
      <c r="A82" s="950"/>
      <c r="W82" s="447"/>
    </row>
    <row r="83" spans="1:23" s="442" customFormat="1" ht="9.75" customHeight="1" x14ac:dyDescent="0.15">
      <c r="A83" s="950" t="s">
        <v>799</v>
      </c>
      <c r="B83" s="442">
        <v>8266064</v>
      </c>
      <c r="C83" s="442">
        <v>119342</v>
      </c>
      <c r="D83" s="442">
        <v>8146722</v>
      </c>
      <c r="E83" s="442">
        <v>2451485</v>
      </c>
      <c r="F83" s="442">
        <v>2074179</v>
      </c>
      <c r="G83" s="442">
        <v>1032855</v>
      </c>
      <c r="H83" s="442">
        <v>125233</v>
      </c>
      <c r="I83" s="442">
        <v>182173</v>
      </c>
      <c r="J83" s="442" t="s">
        <v>648</v>
      </c>
      <c r="K83" s="442" t="s">
        <v>648</v>
      </c>
      <c r="L83" s="442">
        <v>563257</v>
      </c>
      <c r="M83" s="442">
        <v>124840</v>
      </c>
      <c r="N83" s="442">
        <v>45821</v>
      </c>
      <c r="O83" s="442" t="s">
        <v>648</v>
      </c>
      <c r="P83" s="442" t="s">
        <v>648</v>
      </c>
      <c r="Q83" s="442" t="s">
        <v>648</v>
      </c>
      <c r="R83" s="442" t="s">
        <v>648</v>
      </c>
      <c r="S83" s="442">
        <v>26003</v>
      </c>
      <c r="T83" s="442" t="s">
        <v>648</v>
      </c>
      <c r="U83" s="442">
        <v>26003</v>
      </c>
      <c r="V83" s="442" t="s">
        <v>648</v>
      </c>
      <c r="W83" s="447" t="s">
        <v>673</v>
      </c>
    </row>
    <row r="84" spans="1:23" s="442" customFormat="1" ht="9.75" customHeight="1" x14ac:dyDescent="0.15">
      <c r="A84" s="950" t="s">
        <v>800</v>
      </c>
      <c r="B84" s="442">
        <v>9443197</v>
      </c>
      <c r="C84" s="442">
        <v>127347</v>
      </c>
      <c r="D84" s="442">
        <v>9315850</v>
      </c>
      <c r="E84" s="442">
        <v>3984149</v>
      </c>
      <c r="F84" s="442">
        <v>3235453</v>
      </c>
      <c r="G84" s="442">
        <v>1628108</v>
      </c>
      <c r="H84" s="442" t="s">
        <v>648</v>
      </c>
      <c r="I84" s="442" t="s">
        <v>648</v>
      </c>
      <c r="J84" s="442">
        <v>122280</v>
      </c>
      <c r="K84" s="442" t="s">
        <v>648</v>
      </c>
      <c r="L84" s="442">
        <v>728828</v>
      </c>
      <c r="M84" s="442">
        <v>656568</v>
      </c>
      <c r="N84" s="442" t="s">
        <v>648</v>
      </c>
      <c r="O84" s="442">
        <v>50369</v>
      </c>
      <c r="P84" s="442" t="s">
        <v>648</v>
      </c>
      <c r="Q84" s="442">
        <v>49300</v>
      </c>
      <c r="R84" s="442" t="s">
        <v>648</v>
      </c>
      <c r="S84" s="442">
        <v>361686</v>
      </c>
      <c r="T84" s="442" t="s">
        <v>648</v>
      </c>
      <c r="U84" s="442">
        <v>361686</v>
      </c>
      <c r="V84" s="442" t="s">
        <v>648</v>
      </c>
      <c r="W84" s="447" t="s">
        <v>771</v>
      </c>
    </row>
    <row r="85" spans="1:23" s="442" customFormat="1" ht="6.75" customHeight="1" x14ac:dyDescent="0.15">
      <c r="A85" s="950"/>
      <c r="W85" s="447"/>
    </row>
    <row r="86" spans="1:23" s="442" customFormat="1" ht="9.75" customHeight="1" x14ac:dyDescent="0.15">
      <c r="A86" s="950" t="s">
        <v>772</v>
      </c>
      <c r="B86" s="442">
        <v>2344151</v>
      </c>
      <c r="C86" s="442">
        <v>52019</v>
      </c>
      <c r="D86" s="442">
        <v>2292132</v>
      </c>
      <c r="E86" s="442">
        <v>1153053</v>
      </c>
      <c r="F86" s="442">
        <v>1035936</v>
      </c>
      <c r="G86" s="442">
        <v>535804</v>
      </c>
      <c r="H86" s="442">
        <v>33364</v>
      </c>
      <c r="I86" s="442" t="s">
        <v>648</v>
      </c>
      <c r="J86" s="442" t="s">
        <v>648</v>
      </c>
      <c r="K86" s="442" t="s">
        <v>648</v>
      </c>
      <c r="L86" s="442">
        <v>365768</v>
      </c>
      <c r="M86" s="442">
        <v>101000</v>
      </c>
      <c r="N86" s="442" t="s">
        <v>648</v>
      </c>
      <c r="O86" s="442" t="s">
        <v>648</v>
      </c>
      <c r="P86" s="442" t="s">
        <v>648</v>
      </c>
      <c r="Q86" s="442" t="s">
        <v>648</v>
      </c>
      <c r="R86" s="442" t="s">
        <v>648</v>
      </c>
      <c r="S86" s="442">
        <v>1140</v>
      </c>
      <c r="T86" s="442" t="s">
        <v>648</v>
      </c>
      <c r="U86" s="442">
        <v>1140</v>
      </c>
      <c r="V86" s="442" t="s">
        <v>648</v>
      </c>
      <c r="W86" s="447" t="s">
        <v>674</v>
      </c>
    </row>
    <row r="87" spans="1:23" s="442" customFormat="1" ht="9.75" customHeight="1" x14ac:dyDescent="0.15">
      <c r="A87" s="950" t="s">
        <v>773</v>
      </c>
      <c r="B87" s="442">
        <v>2256062</v>
      </c>
      <c r="C87" s="442">
        <v>19353</v>
      </c>
      <c r="D87" s="442">
        <v>2236709</v>
      </c>
      <c r="E87" s="442">
        <v>272983</v>
      </c>
      <c r="F87" s="442">
        <v>203056</v>
      </c>
      <c r="G87" s="442">
        <v>153026</v>
      </c>
      <c r="H87" s="442" t="s">
        <v>648</v>
      </c>
      <c r="I87" s="442" t="s">
        <v>648</v>
      </c>
      <c r="J87" s="442" t="s">
        <v>648</v>
      </c>
      <c r="K87" s="442" t="s">
        <v>648</v>
      </c>
      <c r="L87" s="442" t="s">
        <v>648</v>
      </c>
      <c r="M87" s="442">
        <v>50030</v>
      </c>
      <c r="N87" s="442" t="s">
        <v>648</v>
      </c>
      <c r="O87" s="442" t="s">
        <v>648</v>
      </c>
      <c r="P87" s="442" t="s">
        <v>648</v>
      </c>
      <c r="Q87" s="442" t="s">
        <v>648</v>
      </c>
      <c r="R87" s="442" t="s">
        <v>648</v>
      </c>
      <c r="S87" s="442">
        <v>24869</v>
      </c>
      <c r="T87" s="442" t="s">
        <v>648</v>
      </c>
      <c r="U87" s="442">
        <v>24869</v>
      </c>
      <c r="V87" s="442" t="s">
        <v>648</v>
      </c>
      <c r="W87" s="447" t="s">
        <v>92</v>
      </c>
    </row>
    <row r="88" spans="1:23" s="442" customFormat="1" ht="9.75" customHeight="1" x14ac:dyDescent="0.15">
      <c r="A88" s="950" t="s">
        <v>774</v>
      </c>
      <c r="B88" s="442">
        <v>2385927</v>
      </c>
      <c r="C88" s="442">
        <v>61407</v>
      </c>
      <c r="D88" s="442">
        <v>2324520</v>
      </c>
      <c r="E88" s="442">
        <v>654506</v>
      </c>
      <c r="F88" s="442">
        <v>498272</v>
      </c>
      <c r="G88" s="442">
        <v>210087</v>
      </c>
      <c r="H88" s="442" t="s">
        <v>648</v>
      </c>
      <c r="I88" s="442" t="s">
        <v>648</v>
      </c>
      <c r="J88" s="442" t="s">
        <v>648</v>
      </c>
      <c r="K88" s="442" t="s">
        <v>648</v>
      </c>
      <c r="L88" s="442">
        <v>236385</v>
      </c>
      <c r="M88" s="442">
        <v>51800</v>
      </c>
      <c r="N88" s="442" t="s">
        <v>648</v>
      </c>
      <c r="O88" s="442" t="s">
        <v>648</v>
      </c>
      <c r="P88" s="442" t="s">
        <v>648</v>
      </c>
      <c r="Q88" s="442" t="s">
        <v>648</v>
      </c>
      <c r="R88" s="442" t="s">
        <v>648</v>
      </c>
      <c r="S88" s="442">
        <v>108388</v>
      </c>
      <c r="T88" s="442" t="s">
        <v>648</v>
      </c>
      <c r="U88" s="442">
        <v>108388</v>
      </c>
      <c r="V88" s="442" t="s">
        <v>648</v>
      </c>
      <c r="W88" s="447" t="s">
        <v>93</v>
      </c>
    </row>
    <row r="89" spans="1:23" s="442" customFormat="1" ht="9.75" customHeight="1" x14ac:dyDescent="0.15">
      <c r="A89" s="950" t="s">
        <v>801</v>
      </c>
      <c r="B89" s="442">
        <v>2441958</v>
      </c>
      <c r="C89" s="442">
        <v>21847</v>
      </c>
      <c r="D89" s="442">
        <v>2420111</v>
      </c>
      <c r="E89" s="442">
        <v>1264409</v>
      </c>
      <c r="F89" s="442">
        <v>1045233</v>
      </c>
      <c r="G89" s="442">
        <v>629631</v>
      </c>
      <c r="H89" s="442" t="s">
        <v>648</v>
      </c>
      <c r="I89" s="442" t="s">
        <v>648</v>
      </c>
      <c r="J89" s="442" t="s">
        <v>648</v>
      </c>
      <c r="K89" s="442" t="s">
        <v>648</v>
      </c>
      <c r="L89" s="442">
        <v>217292</v>
      </c>
      <c r="M89" s="442">
        <v>198310</v>
      </c>
      <c r="N89" s="442" t="s">
        <v>648</v>
      </c>
      <c r="O89" s="442" t="s">
        <v>648</v>
      </c>
      <c r="P89" s="442" t="s">
        <v>648</v>
      </c>
      <c r="Q89" s="442" t="s">
        <v>648</v>
      </c>
      <c r="R89" s="442" t="s">
        <v>648</v>
      </c>
      <c r="S89" s="442">
        <v>49962</v>
      </c>
      <c r="T89" s="442" t="s">
        <v>648</v>
      </c>
      <c r="U89" s="442">
        <v>49962</v>
      </c>
      <c r="V89" s="442" t="s">
        <v>648</v>
      </c>
      <c r="W89" s="447" t="s">
        <v>94</v>
      </c>
    </row>
    <row r="90" spans="1:23" s="442" customFormat="1" ht="9.75" customHeight="1" x14ac:dyDescent="0.15">
      <c r="A90" s="950" t="s">
        <v>809</v>
      </c>
      <c r="B90" s="442">
        <v>2359250</v>
      </c>
      <c r="C90" s="442">
        <v>24740</v>
      </c>
      <c r="D90" s="442">
        <v>2334510</v>
      </c>
      <c r="E90" s="442">
        <v>1792251</v>
      </c>
      <c r="F90" s="442">
        <v>1488892</v>
      </c>
      <c r="G90" s="442">
        <v>635364</v>
      </c>
      <c r="H90" s="442" t="s">
        <v>648</v>
      </c>
      <c r="I90" s="442" t="s">
        <v>648</v>
      </c>
      <c r="J90" s="442">
        <v>122280</v>
      </c>
      <c r="K90" s="442" t="s">
        <v>648</v>
      </c>
      <c r="L90" s="442">
        <v>275151</v>
      </c>
      <c r="M90" s="442">
        <v>356428</v>
      </c>
      <c r="N90" s="442" t="s">
        <v>648</v>
      </c>
      <c r="O90" s="442">
        <v>50369</v>
      </c>
      <c r="P90" s="442" t="s">
        <v>648</v>
      </c>
      <c r="Q90" s="442">
        <v>49300</v>
      </c>
      <c r="R90" s="442" t="s">
        <v>648</v>
      </c>
      <c r="S90" s="442">
        <v>178467</v>
      </c>
      <c r="T90" s="442" t="s">
        <v>648</v>
      </c>
      <c r="U90" s="442">
        <v>178467</v>
      </c>
      <c r="V90" s="442" t="s">
        <v>648</v>
      </c>
      <c r="W90" s="447" t="s">
        <v>777</v>
      </c>
    </row>
    <row r="91" spans="1:23" s="442" customFormat="1" ht="6.75" customHeight="1" x14ac:dyDescent="0.15">
      <c r="A91" s="950"/>
      <c r="W91" s="447"/>
    </row>
    <row r="92" spans="1:23" s="442" customFormat="1" ht="9.75" customHeight="1" x14ac:dyDescent="0.15">
      <c r="A92" s="950" t="s">
        <v>778</v>
      </c>
      <c r="B92" s="442">
        <v>774772</v>
      </c>
      <c r="C92" s="442">
        <v>8545</v>
      </c>
      <c r="D92" s="442">
        <v>766227</v>
      </c>
      <c r="E92" s="442">
        <v>359096</v>
      </c>
      <c r="F92" s="442">
        <v>342370</v>
      </c>
      <c r="G92" s="442">
        <v>149856</v>
      </c>
      <c r="H92" s="442">
        <v>33364</v>
      </c>
      <c r="I92" s="442" t="s">
        <v>648</v>
      </c>
      <c r="J92" s="442" t="s">
        <v>648</v>
      </c>
      <c r="K92" s="442" t="s">
        <v>648</v>
      </c>
      <c r="L92" s="442">
        <v>108150</v>
      </c>
      <c r="M92" s="442">
        <v>51000</v>
      </c>
      <c r="N92" s="442" t="s">
        <v>648</v>
      </c>
      <c r="O92" s="442" t="s">
        <v>648</v>
      </c>
      <c r="P92" s="442" t="s">
        <v>648</v>
      </c>
      <c r="Q92" s="442" t="s">
        <v>648</v>
      </c>
      <c r="R92" s="442" t="s">
        <v>648</v>
      </c>
      <c r="S92" s="442">
        <v>1140</v>
      </c>
      <c r="T92" s="442" t="s">
        <v>648</v>
      </c>
      <c r="U92" s="442">
        <v>1140</v>
      </c>
      <c r="V92" s="442" t="s">
        <v>648</v>
      </c>
      <c r="W92" s="447" t="s">
        <v>675</v>
      </c>
    </row>
    <row r="93" spans="1:23" s="442" customFormat="1" ht="9.75" customHeight="1" x14ac:dyDescent="0.15">
      <c r="A93" s="950" t="s">
        <v>779</v>
      </c>
      <c r="B93" s="442">
        <v>711552</v>
      </c>
      <c r="C93" s="442">
        <v>9091</v>
      </c>
      <c r="D93" s="442">
        <v>702461</v>
      </c>
      <c r="E93" s="442">
        <v>432675</v>
      </c>
      <c r="F93" s="442">
        <v>380900</v>
      </c>
      <c r="G93" s="442">
        <v>196582</v>
      </c>
      <c r="H93" s="442" t="s">
        <v>648</v>
      </c>
      <c r="I93" s="442" t="s">
        <v>648</v>
      </c>
      <c r="J93" s="442" t="s">
        <v>648</v>
      </c>
      <c r="K93" s="442" t="s">
        <v>648</v>
      </c>
      <c r="L93" s="442">
        <v>134318</v>
      </c>
      <c r="M93" s="442">
        <v>50000</v>
      </c>
      <c r="N93" s="442" t="s">
        <v>648</v>
      </c>
      <c r="O93" s="442" t="s">
        <v>648</v>
      </c>
      <c r="P93" s="442" t="s">
        <v>648</v>
      </c>
      <c r="Q93" s="442" t="s">
        <v>648</v>
      </c>
      <c r="R93" s="442" t="s">
        <v>648</v>
      </c>
      <c r="S93" s="442" t="s">
        <v>648</v>
      </c>
      <c r="T93" s="442" t="s">
        <v>648</v>
      </c>
      <c r="U93" s="442" t="s">
        <v>648</v>
      </c>
      <c r="V93" s="442" t="s">
        <v>648</v>
      </c>
      <c r="W93" s="447" t="s">
        <v>80</v>
      </c>
    </row>
    <row r="94" spans="1:23" s="442" customFormat="1" ht="9.75" customHeight="1" x14ac:dyDescent="0.15">
      <c r="A94" s="950" t="s">
        <v>780</v>
      </c>
      <c r="B94" s="442">
        <v>857827</v>
      </c>
      <c r="C94" s="442">
        <v>34383</v>
      </c>
      <c r="D94" s="442">
        <v>823444</v>
      </c>
      <c r="E94" s="442">
        <v>361282</v>
      </c>
      <c r="F94" s="442">
        <v>312666</v>
      </c>
      <c r="G94" s="442">
        <v>189366</v>
      </c>
      <c r="H94" s="442" t="s">
        <v>648</v>
      </c>
      <c r="I94" s="442" t="s">
        <v>648</v>
      </c>
      <c r="J94" s="442" t="s">
        <v>648</v>
      </c>
      <c r="K94" s="442" t="s">
        <v>648</v>
      </c>
      <c r="L94" s="442">
        <v>123300</v>
      </c>
      <c r="M94" s="442" t="s">
        <v>648</v>
      </c>
      <c r="N94" s="442" t="s">
        <v>648</v>
      </c>
      <c r="O94" s="442" t="s">
        <v>648</v>
      </c>
      <c r="P94" s="442" t="s">
        <v>648</v>
      </c>
      <c r="Q94" s="442" t="s">
        <v>648</v>
      </c>
      <c r="R94" s="442" t="s">
        <v>648</v>
      </c>
      <c r="S94" s="442" t="s">
        <v>648</v>
      </c>
      <c r="T94" s="442" t="s">
        <v>648</v>
      </c>
      <c r="U94" s="442" t="s">
        <v>648</v>
      </c>
      <c r="V94" s="442" t="s">
        <v>648</v>
      </c>
      <c r="W94" s="447" t="s">
        <v>81</v>
      </c>
    </row>
    <row r="95" spans="1:23" s="442" customFormat="1" ht="9.75" customHeight="1" x14ac:dyDescent="0.15">
      <c r="A95" s="950" t="s">
        <v>781</v>
      </c>
      <c r="B95" s="442">
        <v>750830</v>
      </c>
      <c r="C95" s="442">
        <v>6958</v>
      </c>
      <c r="D95" s="442">
        <v>743872</v>
      </c>
      <c r="E95" s="442">
        <v>149962</v>
      </c>
      <c r="F95" s="442">
        <v>147786</v>
      </c>
      <c r="G95" s="442">
        <v>147786</v>
      </c>
      <c r="H95" s="442" t="s">
        <v>648</v>
      </c>
      <c r="I95" s="442" t="s">
        <v>648</v>
      </c>
      <c r="J95" s="442" t="s">
        <v>648</v>
      </c>
      <c r="K95" s="442" t="s">
        <v>648</v>
      </c>
      <c r="L95" s="442" t="s">
        <v>648</v>
      </c>
      <c r="M95" s="442" t="s">
        <v>648</v>
      </c>
      <c r="N95" s="442" t="s">
        <v>648</v>
      </c>
      <c r="O95" s="442" t="s">
        <v>648</v>
      </c>
      <c r="P95" s="442" t="s">
        <v>648</v>
      </c>
      <c r="Q95" s="442" t="s">
        <v>648</v>
      </c>
      <c r="R95" s="442" t="s">
        <v>648</v>
      </c>
      <c r="S95" s="442" t="s">
        <v>648</v>
      </c>
      <c r="T95" s="442" t="s">
        <v>648</v>
      </c>
      <c r="U95" s="442" t="s">
        <v>648</v>
      </c>
      <c r="V95" s="442" t="s">
        <v>648</v>
      </c>
      <c r="W95" s="447" t="s">
        <v>82</v>
      </c>
    </row>
    <row r="96" spans="1:23" s="442" customFormat="1" ht="9.75" customHeight="1" x14ac:dyDescent="0.15">
      <c r="A96" s="950" t="s">
        <v>782</v>
      </c>
      <c r="B96" s="442">
        <v>736342</v>
      </c>
      <c r="C96" s="442">
        <v>6373</v>
      </c>
      <c r="D96" s="442">
        <v>729969</v>
      </c>
      <c r="E96" s="442">
        <v>7388</v>
      </c>
      <c r="F96" s="442">
        <v>5240</v>
      </c>
      <c r="G96" s="442">
        <v>5240</v>
      </c>
      <c r="H96" s="442" t="s">
        <v>648</v>
      </c>
      <c r="I96" s="442" t="s">
        <v>648</v>
      </c>
      <c r="J96" s="442" t="s">
        <v>648</v>
      </c>
      <c r="K96" s="442" t="s">
        <v>648</v>
      </c>
      <c r="L96" s="442" t="s">
        <v>648</v>
      </c>
      <c r="M96" s="442" t="s">
        <v>648</v>
      </c>
      <c r="N96" s="442" t="s">
        <v>648</v>
      </c>
      <c r="O96" s="442" t="s">
        <v>648</v>
      </c>
      <c r="P96" s="442" t="s">
        <v>648</v>
      </c>
      <c r="Q96" s="442" t="s">
        <v>648</v>
      </c>
      <c r="R96" s="442" t="s">
        <v>648</v>
      </c>
      <c r="S96" s="442" t="s">
        <v>648</v>
      </c>
      <c r="T96" s="442" t="s">
        <v>648</v>
      </c>
      <c r="U96" s="442" t="s">
        <v>648</v>
      </c>
      <c r="V96" s="442" t="s">
        <v>648</v>
      </c>
      <c r="W96" s="447" t="s">
        <v>95</v>
      </c>
    </row>
    <row r="97" spans="1:23" s="442" customFormat="1" ht="9.75" customHeight="1" x14ac:dyDescent="0.15">
      <c r="A97" s="950" t="s">
        <v>783</v>
      </c>
      <c r="B97" s="442">
        <v>768890</v>
      </c>
      <c r="C97" s="442">
        <v>6022</v>
      </c>
      <c r="D97" s="442">
        <v>762868</v>
      </c>
      <c r="E97" s="442">
        <v>115633</v>
      </c>
      <c r="F97" s="442">
        <v>50030</v>
      </c>
      <c r="G97" s="442" t="s">
        <v>648</v>
      </c>
      <c r="H97" s="442" t="s">
        <v>648</v>
      </c>
      <c r="I97" s="442" t="s">
        <v>648</v>
      </c>
      <c r="J97" s="442" t="s">
        <v>648</v>
      </c>
      <c r="K97" s="442" t="s">
        <v>648</v>
      </c>
      <c r="L97" s="442" t="s">
        <v>648</v>
      </c>
      <c r="M97" s="442">
        <v>50030</v>
      </c>
      <c r="N97" s="442" t="s">
        <v>648</v>
      </c>
      <c r="O97" s="442" t="s">
        <v>648</v>
      </c>
      <c r="P97" s="442" t="s">
        <v>648</v>
      </c>
      <c r="Q97" s="442" t="s">
        <v>648</v>
      </c>
      <c r="R97" s="442" t="s">
        <v>648</v>
      </c>
      <c r="S97" s="442">
        <v>24869</v>
      </c>
      <c r="T97" s="442" t="s">
        <v>648</v>
      </c>
      <c r="U97" s="442">
        <v>24869</v>
      </c>
      <c r="V97" s="442" t="s">
        <v>648</v>
      </c>
      <c r="W97" s="447" t="s">
        <v>96</v>
      </c>
    </row>
    <row r="98" spans="1:23" s="442" customFormat="1" ht="9.75" customHeight="1" x14ac:dyDescent="0.15">
      <c r="A98" s="950" t="s">
        <v>784</v>
      </c>
      <c r="B98" s="442">
        <v>804351</v>
      </c>
      <c r="C98" s="442">
        <v>17821</v>
      </c>
      <c r="D98" s="442">
        <v>786530</v>
      </c>
      <c r="E98" s="442">
        <v>130917</v>
      </c>
      <c r="F98" s="442">
        <v>80207</v>
      </c>
      <c r="G98" s="442">
        <v>30177</v>
      </c>
      <c r="H98" s="442" t="s">
        <v>648</v>
      </c>
      <c r="I98" s="442" t="s">
        <v>648</v>
      </c>
      <c r="J98" s="442" t="s">
        <v>648</v>
      </c>
      <c r="K98" s="442" t="s">
        <v>648</v>
      </c>
      <c r="L98" s="442">
        <v>50030</v>
      </c>
      <c r="M98" s="442" t="s">
        <v>648</v>
      </c>
      <c r="N98" s="442" t="s">
        <v>648</v>
      </c>
      <c r="O98" s="442" t="s">
        <v>648</v>
      </c>
      <c r="P98" s="442" t="s">
        <v>648</v>
      </c>
      <c r="Q98" s="442" t="s">
        <v>648</v>
      </c>
      <c r="R98" s="442" t="s">
        <v>648</v>
      </c>
      <c r="S98" s="442">
        <v>24894</v>
      </c>
      <c r="T98" s="442" t="s">
        <v>648</v>
      </c>
      <c r="U98" s="442">
        <v>24894</v>
      </c>
      <c r="V98" s="442" t="s">
        <v>648</v>
      </c>
      <c r="W98" s="447" t="s">
        <v>97</v>
      </c>
    </row>
    <row r="99" spans="1:23" s="442" customFormat="1" ht="9.75" customHeight="1" x14ac:dyDescent="0.15">
      <c r="A99" s="950" t="s">
        <v>806</v>
      </c>
      <c r="B99" s="442">
        <v>789624</v>
      </c>
      <c r="C99" s="442">
        <v>6796</v>
      </c>
      <c r="D99" s="442">
        <v>782828</v>
      </c>
      <c r="E99" s="442">
        <v>159538</v>
      </c>
      <c r="F99" s="442">
        <v>123747</v>
      </c>
      <c r="G99" s="442">
        <v>73747</v>
      </c>
      <c r="H99" s="442" t="s">
        <v>648</v>
      </c>
      <c r="I99" s="442" t="s">
        <v>648</v>
      </c>
      <c r="J99" s="442" t="s">
        <v>648</v>
      </c>
      <c r="K99" s="442" t="s">
        <v>648</v>
      </c>
      <c r="L99" s="442">
        <v>50000</v>
      </c>
      <c r="M99" s="442" t="s">
        <v>648</v>
      </c>
      <c r="N99" s="442" t="s">
        <v>648</v>
      </c>
      <c r="O99" s="442" t="s">
        <v>648</v>
      </c>
      <c r="P99" s="442" t="s">
        <v>648</v>
      </c>
      <c r="Q99" s="442" t="s">
        <v>648</v>
      </c>
      <c r="R99" s="442" t="s">
        <v>648</v>
      </c>
      <c r="S99" s="442">
        <v>18861</v>
      </c>
      <c r="T99" s="442" t="s">
        <v>648</v>
      </c>
      <c r="U99" s="442">
        <v>18861</v>
      </c>
      <c r="V99" s="442" t="s">
        <v>648</v>
      </c>
      <c r="W99" s="447" t="s">
        <v>98</v>
      </c>
    </row>
    <row r="100" spans="1:23" s="442" customFormat="1" ht="9.75" customHeight="1" x14ac:dyDescent="0.15">
      <c r="A100" s="950" t="s">
        <v>786</v>
      </c>
      <c r="B100" s="442">
        <v>791952</v>
      </c>
      <c r="C100" s="442">
        <v>36790</v>
      </c>
      <c r="D100" s="442">
        <v>755162</v>
      </c>
      <c r="E100" s="442">
        <v>364051</v>
      </c>
      <c r="F100" s="442">
        <v>294318</v>
      </c>
      <c r="G100" s="442">
        <v>106163</v>
      </c>
      <c r="H100" s="442" t="s">
        <v>648</v>
      </c>
      <c r="I100" s="442" t="s">
        <v>648</v>
      </c>
      <c r="J100" s="442" t="s">
        <v>648</v>
      </c>
      <c r="K100" s="442" t="s">
        <v>648</v>
      </c>
      <c r="L100" s="442">
        <v>136355</v>
      </c>
      <c r="M100" s="442">
        <v>51800</v>
      </c>
      <c r="N100" s="442" t="s">
        <v>648</v>
      </c>
      <c r="O100" s="442" t="s">
        <v>648</v>
      </c>
      <c r="P100" s="442" t="s">
        <v>648</v>
      </c>
      <c r="Q100" s="442" t="s">
        <v>648</v>
      </c>
      <c r="R100" s="442" t="s">
        <v>648</v>
      </c>
      <c r="S100" s="442">
        <v>64633</v>
      </c>
      <c r="T100" s="442" t="s">
        <v>648</v>
      </c>
      <c r="U100" s="442">
        <v>64633</v>
      </c>
      <c r="V100" s="442" t="s">
        <v>648</v>
      </c>
      <c r="W100" s="447" t="s">
        <v>99</v>
      </c>
    </row>
    <row r="101" spans="1:23" s="442" customFormat="1" ht="9.75" customHeight="1" x14ac:dyDescent="0.15">
      <c r="A101" s="950" t="s">
        <v>807</v>
      </c>
      <c r="B101" s="442">
        <v>836142</v>
      </c>
      <c r="C101" s="442">
        <v>6414</v>
      </c>
      <c r="D101" s="442">
        <v>829728</v>
      </c>
      <c r="E101" s="442">
        <v>383938</v>
      </c>
      <c r="F101" s="442">
        <v>356494</v>
      </c>
      <c r="G101" s="442">
        <v>205874</v>
      </c>
      <c r="H101" s="442" t="s">
        <v>648</v>
      </c>
      <c r="I101" s="442" t="s">
        <v>648</v>
      </c>
      <c r="J101" s="442" t="s">
        <v>648</v>
      </c>
      <c r="K101" s="442" t="s">
        <v>648</v>
      </c>
      <c r="L101" s="442">
        <v>29700</v>
      </c>
      <c r="M101" s="442">
        <v>120920</v>
      </c>
      <c r="N101" s="442" t="s">
        <v>648</v>
      </c>
      <c r="O101" s="442" t="s">
        <v>648</v>
      </c>
      <c r="P101" s="442" t="s">
        <v>648</v>
      </c>
      <c r="Q101" s="442" t="s">
        <v>648</v>
      </c>
      <c r="R101" s="442" t="s">
        <v>648</v>
      </c>
      <c r="S101" s="442" t="s">
        <v>648</v>
      </c>
      <c r="T101" s="442" t="s">
        <v>648</v>
      </c>
      <c r="U101" s="442" t="s">
        <v>648</v>
      </c>
      <c r="V101" s="442" t="s">
        <v>648</v>
      </c>
      <c r="W101" s="447" t="s">
        <v>83</v>
      </c>
    </row>
    <row r="102" spans="1:23" s="442" customFormat="1" ht="9.75" customHeight="1" x14ac:dyDescent="0.15">
      <c r="A102" s="950" t="s">
        <v>788</v>
      </c>
      <c r="B102" s="442">
        <v>810281</v>
      </c>
      <c r="C102" s="442">
        <v>6897</v>
      </c>
      <c r="D102" s="442">
        <v>803384</v>
      </c>
      <c r="E102" s="442">
        <v>473934</v>
      </c>
      <c r="F102" s="442">
        <v>396368</v>
      </c>
      <c r="G102" s="442">
        <v>226486</v>
      </c>
      <c r="H102" s="442" t="s">
        <v>648</v>
      </c>
      <c r="I102" s="442" t="s">
        <v>648</v>
      </c>
      <c r="J102" s="442" t="s">
        <v>648</v>
      </c>
      <c r="K102" s="442" t="s">
        <v>648</v>
      </c>
      <c r="L102" s="442">
        <v>97892</v>
      </c>
      <c r="M102" s="442">
        <v>71990</v>
      </c>
      <c r="N102" s="442" t="s">
        <v>648</v>
      </c>
      <c r="O102" s="442" t="s">
        <v>648</v>
      </c>
      <c r="P102" s="442" t="s">
        <v>648</v>
      </c>
      <c r="Q102" s="442" t="s">
        <v>648</v>
      </c>
      <c r="R102" s="442" t="s">
        <v>648</v>
      </c>
      <c r="S102" s="442">
        <v>49962</v>
      </c>
      <c r="T102" s="442" t="s">
        <v>648</v>
      </c>
      <c r="U102" s="442">
        <v>49962</v>
      </c>
      <c r="V102" s="442" t="s">
        <v>648</v>
      </c>
      <c r="W102" s="447" t="s">
        <v>84</v>
      </c>
    </row>
    <row r="103" spans="1:23" s="442" customFormat="1" ht="9.75" customHeight="1" x14ac:dyDescent="0.15">
      <c r="A103" s="950" t="s">
        <v>789</v>
      </c>
      <c r="B103" s="442">
        <v>795535</v>
      </c>
      <c r="C103" s="442">
        <v>8536</v>
      </c>
      <c r="D103" s="442">
        <v>786999</v>
      </c>
      <c r="E103" s="442">
        <v>406537</v>
      </c>
      <c r="F103" s="442">
        <v>292371</v>
      </c>
      <c r="G103" s="442">
        <v>197271</v>
      </c>
      <c r="H103" s="442" t="s">
        <v>648</v>
      </c>
      <c r="I103" s="442" t="s">
        <v>648</v>
      </c>
      <c r="J103" s="442" t="s">
        <v>648</v>
      </c>
      <c r="K103" s="442" t="s">
        <v>648</v>
      </c>
      <c r="L103" s="442">
        <v>89700</v>
      </c>
      <c r="M103" s="442">
        <v>5400</v>
      </c>
      <c r="N103" s="442" t="s">
        <v>648</v>
      </c>
      <c r="O103" s="442" t="s">
        <v>648</v>
      </c>
      <c r="P103" s="442" t="s">
        <v>648</v>
      </c>
      <c r="Q103" s="442" t="s">
        <v>648</v>
      </c>
      <c r="R103" s="442" t="s">
        <v>648</v>
      </c>
      <c r="S103" s="442" t="s">
        <v>648</v>
      </c>
      <c r="T103" s="442" t="s">
        <v>648</v>
      </c>
      <c r="U103" s="442" t="s">
        <v>648</v>
      </c>
      <c r="V103" s="442" t="s">
        <v>648</v>
      </c>
      <c r="W103" s="447" t="s">
        <v>85</v>
      </c>
    </row>
    <row r="104" spans="1:23" s="442" customFormat="1" ht="9.75" customHeight="1" x14ac:dyDescent="0.15">
      <c r="A104" s="950" t="s">
        <v>790</v>
      </c>
      <c r="B104" s="442">
        <v>827031</v>
      </c>
      <c r="C104" s="442">
        <v>7909</v>
      </c>
      <c r="D104" s="442">
        <v>819122</v>
      </c>
      <c r="E104" s="442">
        <v>576918</v>
      </c>
      <c r="F104" s="442">
        <v>471940</v>
      </c>
      <c r="G104" s="442">
        <v>186957</v>
      </c>
      <c r="H104" s="442" t="s">
        <v>648</v>
      </c>
      <c r="I104" s="442" t="s">
        <v>648</v>
      </c>
      <c r="J104" s="442" t="s">
        <v>648</v>
      </c>
      <c r="K104" s="442" t="s">
        <v>648</v>
      </c>
      <c r="L104" s="442">
        <v>89651</v>
      </c>
      <c r="M104" s="442">
        <v>151532</v>
      </c>
      <c r="N104" s="442" t="s">
        <v>648</v>
      </c>
      <c r="O104" s="442">
        <v>20000</v>
      </c>
      <c r="P104" s="442" t="s">
        <v>648</v>
      </c>
      <c r="Q104" s="442">
        <v>23800</v>
      </c>
      <c r="R104" s="442" t="s">
        <v>648</v>
      </c>
      <c r="S104" s="442">
        <v>71594</v>
      </c>
      <c r="T104" s="442" t="s">
        <v>648</v>
      </c>
      <c r="U104" s="442">
        <v>71594</v>
      </c>
      <c r="V104" s="442" t="s">
        <v>648</v>
      </c>
      <c r="W104" s="447" t="s">
        <v>791</v>
      </c>
    </row>
    <row r="105" spans="1:23" s="442" customFormat="1" ht="9.75" customHeight="1" x14ac:dyDescent="0.15">
      <c r="A105" s="950" t="s">
        <v>792</v>
      </c>
      <c r="B105" s="442">
        <v>702163</v>
      </c>
      <c r="C105" s="442">
        <v>8361</v>
      </c>
      <c r="D105" s="442">
        <v>693802</v>
      </c>
      <c r="E105" s="442">
        <v>666725</v>
      </c>
      <c r="F105" s="442">
        <v>510584</v>
      </c>
      <c r="G105" s="442">
        <v>223531</v>
      </c>
      <c r="H105" s="442" t="s">
        <v>648</v>
      </c>
      <c r="I105" s="442" t="s">
        <v>648</v>
      </c>
      <c r="J105" s="442">
        <v>42000</v>
      </c>
      <c r="K105" s="442" t="s">
        <v>648</v>
      </c>
      <c r="L105" s="442">
        <v>74190</v>
      </c>
      <c r="M105" s="442">
        <v>120078</v>
      </c>
      <c r="N105" s="442" t="s">
        <v>648</v>
      </c>
      <c r="O105" s="442">
        <v>25285</v>
      </c>
      <c r="P105" s="442" t="s">
        <v>648</v>
      </c>
      <c r="Q105" s="442">
        <v>25500</v>
      </c>
      <c r="R105" s="442" t="s">
        <v>648</v>
      </c>
      <c r="S105" s="442">
        <v>74961</v>
      </c>
      <c r="T105" s="442" t="s">
        <v>648</v>
      </c>
      <c r="U105" s="442">
        <v>74961</v>
      </c>
      <c r="V105" s="442" t="s">
        <v>648</v>
      </c>
      <c r="W105" s="447" t="s">
        <v>80</v>
      </c>
    </row>
    <row r="106" spans="1:23" s="442" customFormat="1" ht="9.75" customHeight="1" x14ac:dyDescent="0.15">
      <c r="A106" s="951" t="s">
        <v>793</v>
      </c>
      <c r="B106" s="446">
        <v>830056</v>
      </c>
      <c r="C106" s="445">
        <v>8470</v>
      </c>
      <c r="D106" s="445">
        <v>821586</v>
      </c>
      <c r="E106" s="445">
        <v>548608</v>
      </c>
      <c r="F106" s="445">
        <v>506368</v>
      </c>
      <c r="G106" s="445">
        <v>224876</v>
      </c>
      <c r="H106" s="445" t="s">
        <v>648</v>
      </c>
      <c r="I106" s="445" t="s">
        <v>648</v>
      </c>
      <c r="J106" s="445">
        <v>80280</v>
      </c>
      <c r="K106" s="445" t="s">
        <v>648</v>
      </c>
      <c r="L106" s="445">
        <v>111310</v>
      </c>
      <c r="M106" s="445">
        <v>84818</v>
      </c>
      <c r="N106" s="445" t="s">
        <v>648</v>
      </c>
      <c r="O106" s="445">
        <v>5084</v>
      </c>
      <c r="P106" s="445" t="s">
        <v>648</v>
      </c>
      <c r="Q106" s="445" t="s">
        <v>648</v>
      </c>
      <c r="R106" s="445" t="s">
        <v>648</v>
      </c>
      <c r="S106" s="445">
        <v>31912</v>
      </c>
      <c r="T106" s="445" t="s">
        <v>648</v>
      </c>
      <c r="U106" s="445">
        <v>31912</v>
      </c>
      <c r="V106" s="445" t="s">
        <v>648</v>
      </c>
      <c r="W106" s="443" t="s">
        <v>81</v>
      </c>
    </row>
    <row r="107" spans="1:23" ht="12" customHeight="1" x14ac:dyDescent="0.2"/>
    <row r="108" spans="1:23" ht="12" customHeight="1" x14ac:dyDescent="0.2"/>
    <row r="109" spans="1:23" ht="12" customHeight="1" x14ac:dyDescent="0.2">
      <c r="K109" s="457" t="s">
        <v>100</v>
      </c>
    </row>
    <row r="110" spans="1:23" s="453" customFormat="1" ht="21" customHeight="1" x14ac:dyDescent="0.2">
      <c r="A110" s="1089" t="s">
        <v>194</v>
      </c>
      <c r="B110" s="456" t="s">
        <v>378</v>
      </c>
      <c r="C110" s="455"/>
      <c r="D110" s="455"/>
      <c r="E110" s="455"/>
      <c r="F110" s="455"/>
      <c r="G110" s="455"/>
      <c r="H110" s="455"/>
      <c r="I110" s="455"/>
      <c r="J110" s="455"/>
      <c r="K110" s="917"/>
      <c r="L110" s="918" t="s">
        <v>346</v>
      </c>
      <c r="M110" s="455"/>
      <c r="N110" s="455"/>
      <c r="O110" s="917"/>
      <c r="P110" s="1014" t="s">
        <v>1144</v>
      </c>
      <c r="Q110" s="455"/>
      <c r="R110" s="455"/>
      <c r="S110" s="455"/>
      <c r="T110" s="455"/>
      <c r="U110" s="455"/>
      <c r="V110" s="455"/>
      <c r="W110" s="1092" t="s">
        <v>86</v>
      </c>
    </row>
    <row r="111" spans="1:23" s="453" customFormat="1" ht="21" customHeight="1" x14ac:dyDescent="0.2">
      <c r="A111" s="1090"/>
      <c r="B111" s="1015" t="s">
        <v>1145</v>
      </c>
      <c r="C111" s="918" t="s">
        <v>271</v>
      </c>
      <c r="D111" s="917"/>
      <c r="E111" s="918" t="s">
        <v>270</v>
      </c>
      <c r="F111" s="455"/>
      <c r="G111" s="455"/>
      <c r="H111" s="455"/>
      <c r="I111" s="917"/>
      <c r="J111" s="918" t="s">
        <v>1135</v>
      </c>
      <c r="K111" s="917"/>
      <c r="L111" s="1095" t="s">
        <v>344</v>
      </c>
      <c r="M111" s="918" t="s">
        <v>297</v>
      </c>
      <c r="N111" s="455"/>
      <c r="O111" s="917"/>
      <c r="P111" s="1095" t="s">
        <v>330</v>
      </c>
      <c r="Q111" s="918" t="s">
        <v>297</v>
      </c>
      <c r="R111" s="455"/>
      <c r="S111" s="455"/>
      <c r="T111" s="455"/>
      <c r="U111" s="455"/>
      <c r="V111" s="455"/>
      <c r="W111" s="1093"/>
    </row>
    <row r="112" spans="1:23" s="453" customFormat="1" ht="52.5" customHeight="1" x14ac:dyDescent="0.2">
      <c r="A112" s="1091"/>
      <c r="B112" s="454" t="s">
        <v>356</v>
      </c>
      <c r="C112" s="920" t="s">
        <v>1092</v>
      </c>
      <c r="D112" s="454" t="s">
        <v>1093</v>
      </c>
      <c r="E112" s="920" t="s">
        <v>1094</v>
      </c>
      <c r="F112" s="454" t="s">
        <v>263</v>
      </c>
      <c r="G112" s="454" t="s">
        <v>1095</v>
      </c>
      <c r="H112" s="454" t="s">
        <v>374</v>
      </c>
      <c r="I112" s="454" t="s">
        <v>373</v>
      </c>
      <c r="J112" s="920" t="s">
        <v>353</v>
      </c>
      <c r="K112" s="454" t="s">
        <v>372</v>
      </c>
      <c r="L112" s="1096"/>
      <c r="M112" s="920" t="s">
        <v>1096</v>
      </c>
      <c r="N112" s="454" t="s">
        <v>1097</v>
      </c>
      <c r="O112" s="454" t="s">
        <v>314</v>
      </c>
      <c r="P112" s="1096"/>
      <c r="Q112" s="920" t="s">
        <v>1096</v>
      </c>
      <c r="R112" s="454" t="s">
        <v>286</v>
      </c>
      <c r="S112" s="454" t="s">
        <v>1097</v>
      </c>
      <c r="T112" s="454" t="s">
        <v>314</v>
      </c>
      <c r="U112" s="454" t="s">
        <v>285</v>
      </c>
      <c r="V112" s="458" t="s">
        <v>284</v>
      </c>
      <c r="W112" s="1094"/>
    </row>
    <row r="113" spans="1:23" s="442" customFormat="1" ht="9.75" customHeight="1" x14ac:dyDescent="0.15">
      <c r="A113" s="949" t="s">
        <v>763</v>
      </c>
      <c r="B113" s="452" t="s">
        <v>648</v>
      </c>
      <c r="C113" s="451" t="s">
        <v>648</v>
      </c>
      <c r="D113" s="451" t="s">
        <v>648</v>
      </c>
      <c r="E113" s="451">
        <v>239134</v>
      </c>
      <c r="F113" s="451">
        <v>149681</v>
      </c>
      <c r="G113" s="451" t="s">
        <v>648</v>
      </c>
      <c r="H113" s="451">
        <v>89453</v>
      </c>
      <c r="I113" s="451" t="s">
        <v>648</v>
      </c>
      <c r="J113" s="451">
        <v>23274</v>
      </c>
      <c r="K113" s="451">
        <v>23274</v>
      </c>
      <c r="L113" s="451">
        <v>51095</v>
      </c>
      <c r="M113" s="451">
        <v>51095</v>
      </c>
      <c r="N113" s="451">
        <v>10094</v>
      </c>
      <c r="O113" s="451">
        <v>41001</v>
      </c>
      <c r="P113" s="451">
        <v>10058468</v>
      </c>
      <c r="Q113" s="451">
        <v>1301119</v>
      </c>
      <c r="R113" s="451">
        <v>199160</v>
      </c>
      <c r="S113" s="451">
        <v>140080</v>
      </c>
      <c r="T113" s="451">
        <v>657460</v>
      </c>
      <c r="U113" s="451">
        <v>273019</v>
      </c>
      <c r="V113" s="451" t="s">
        <v>648</v>
      </c>
      <c r="W113" s="449" t="s">
        <v>464</v>
      </c>
    </row>
    <row r="114" spans="1:23" s="442" customFormat="1" ht="9.75" customHeight="1" x14ac:dyDescent="0.15">
      <c r="A114" s="950" t="s">
        <v>764</v>
      </c>
      <c r="B114" s="442">
        <v>52545</v>
      </c>
      <c r="C114" s="442" t="s">
        <v>648</v>
      </c>
      <c r="D114" s="442" t="s">
        <v>648</v>
      </c>
      <c r="E114" s="442">
        <v>388235</v>
      </c>
      <c r="F114" s="442">
        <v>303415</v>
      </c>
      <c r="G114" s="442" t="s">
        <v>648</v>
      </c>
      <c r="H114" s="442">
        <v>84820</v>
      </c>
      <c r="I114" s="442" t="s">
        <v>648</v>
      </c>
      <c r="J114" s="442">
        <v>27076</v>
      </c>
      <c r="K114" s="442">
        <v>27076</v>
      </c>
      <c r="L114" s="442" t="s">
        <v>648</v>
      </c>
      <c r="M114" s="442" t="s">
        <v>648</v>
      </c>
      <c r="N114" s="442" t="s">
        <v>648</v>
      </c>
      <c r="O114" s="442" t="s">
        <v>648</v>
      </c>
      <c r="P114" s="442">
        <v>10087919</v>
      </c>
      <c r="Q114" s="442">
        <v>822210</v>
      </c>
      <c r="R114" s="442">
        <v>150144</v>
      </c>
      <c r="S114" s="442">
        <v>449491</v>
      </c>
      <c r="T114" s="442">
        <v>168575</v>
      </c>
      <c r="U114" s="442" t="s">
        <v>648</v>
      </c>
      <c r="V114" s="442" t="s">
        <v>648</v>
      </c>
      <c r="W114" s="447" t="s">
        <v>489</v>
      </c>
    </row>
    <row r="115" spans="1:23" s="442" customFormat="1" ht="9.75" customHeight="1" x14ac:dyDescent="0.15">
      <c r="A115" s="950" t="s">
        <v>765</v>
      </c>
      <c r="B115" s="442" t="s">
        <v>648</v>
      </c>
      <c r="C115" s="442" t="s">
        <v>648</v>
      </c>
      <c r="D115" s="442" t="s">
        <v>648</v>
      </c>
      <c r="E115" s="442">
        <v>661618</v>
      </c>
      <c r="F115" s="442">
        <v>513970</v>
      </c>
      <c r="G115" s="442">
        <v>30600</v>
      </c>
      <c r="H115" s="442">
        <v>117048</v>
      </c>
      <c r="I115" s="442" t="s">
        <v>648</v>
      </c>
      <c r="J115" s="442">
        <v>27193</v>
      </c>
      <c r="K115" s="442">
        <v>27193</v>
      </c>
      <c r="L115" s="442">
        <v>3240</v>
      </c>
      <c r="M115" s="442">
        <v>3240</v>
      </c>
      <c r="N115" s="442">
        <v>3240</v>
      </c>
      <c r="O115" s="442" t="s">
        <v>648</v>
      </c>
      <c r="P115" s="442">
        <v>11164796</v>
      </c>
      <c r="Q115" s="442">
        <v>532271</v>
      </c>
      <c r="R115" s="442">
        <v>100706</v>
      </c>
      <c r="S115" s="442">
        <v>215890</v>
      </c>
      <c r="T115" s="442">
        <v>149675</v>
      </c>
      <c r="U115" s="442" t="s">
        <v>648</v>
      </c>
      <c r="V115" s="442">
        <v>50000</v>
      </c>
      <c r="W115" s="447" t="s">
        <v>549</v>
      </c>
    </row>
    <row r="116" spans="1:23" s="442" customFormat="1" ht="9.75" customHeight="1" x14ac:dyDescent="0.15">
      <c r="A116" s="950" t="s">
        <v>766</v>
      </c>
      <c r="B116" s="442" t="s">
        <v>648</v>
      </c>
      <c r="C116" s="442">
        <v>49865</v>
      </c>
      <c r="D116" s="442">
        <v>49865</v>
      </c>
      <c r="E116" s="442">
        <v>367708</v>
      </c>
      <c r="F116" s="442">
        <v>306182</v>
      </c>
      <c r="G116" s="442">
        <v>20000</v>
      </c>
      <c r="H116" s="442">
        <v>40561</v>
      </c>
      <c r="I116" s="442">
        <v>965</v>
      </c>
      <c r="J116" s="442">
        <v>25127</v>
      </c>
      <c r="K116" s="442">
        <v>25127</v>
      </c>
      <c r="L116" s="442" t="s">
        <v>648</v>
      </c>
      <c r="M116" s="442" t="s">
        <v>648</v>
      </c>
      <c r="N116" s="442" t="s">
        <v>648</v>
      </c>
      <c r="O116" s="442" t="s">
        <v>648</v>
      </c>
      <c r="P116" s="442">
        <v>4781020</v>
      </c>
      <c r="Q116" s="442">
        <v>205905</v>
      </c>
      <c r="R116" s="442">
        <v>99963</v>
      </c>
      <c r="S116" s="442">
        <v>50002</v>
      </c>
      <c r="T116" s="442">
        <v>47600</v>
      </c>
      <c r="U116" s="442">
        <v>8340</v>
      </c>
      <c r="V116" s="442" t="s">
        <v>648</v>
      </c>
      <c r="W116" s="447" t="s">
        <v>672</v>
      </c>
    </row>
    <row r="117" spans="1:23" s="442" customFormat="1" ht="9.75" customHeight="1" x14ac:dyDescent="0.15">
      <c r="A117" s="950" t="s">
        <v>767</v>
      </c>
      <c r="B117" s="442" t="s">
        <v>648</v>
      </c>
      <c r="C117" s="442" t="s">
        <v>648</v>
      </c>
      <c r="D117" s="442" t="s">
        <v>648</v>
      </c>
      <c r="E117" s="442">
        <v>352362</v>
      </c>
      <c r="F117" s="442">
        <v>323531</v>
      </c>
      <c r="G117" s="442" t="s">
        <v>648</v>
      </c>
      <c r="H117" s="442">
        <v>28831</v>
      </c>
      <c r="I117" s="442" t="s">
        <v>648</v>
      </c>
      <c r="J117" s="442">
        <v>25733</v>
      </c>
      <c r="K117" s="442">
        <v>25733</v>
      </c>
      <c r="L117" s="442" t="s">
        <v>648</v>
      </c>
      <c r="M117" s="442" t="s">
        <v>648</v>
      </c>
      <c r="N117" s="442" t="s">
        <v>648</v>
      </c>
      <c r="O117" s="442" t="s">
        <v>648</v>
      </c>
      <c r="P117" s="442">
        <v>5327622</v>
      </c>
      <c r="Q117" s="442">
        <v>762702</v>
      </c>
      <c r="R117" s="442">
        <v>364723</v>
      </c>
      <c r="S117" s="442">
        <v>32602</v>
      </c>
      <c r="T117" s="442">
        <v>160014</v>
      </c>
      <c r="U117" s="442">
        <v>85352</v>
      </c>
      <c r="V117" s="442">
        <v>120011</v>
      </c>
      <c r="W117" s="447" t="s">
        <v>768</v>
      </c>
    </row>
    <row r="118" spans="1:23" s="442" customFormat="1" ht="6.75" customHeight="1" x14ac:dyDescent="0.15">
      <c r="A118" s="950"/>
      <c r="W118" s="447"/>
    </row>
    <row r="119" spans="1:23" s="442" customFormat="1" ht="9.75" customHeight="1" x14ac:dyDescent="0.15">
      <c r="A119" s="950" t="s">
        <v>799</v>
      </c>
      <c r="B119" s="442" t="s">
        <v>648</v>
      </c>
      <c r="C119" s="442" t="s">
        <v>648</v>
      </c>
      <c r="D119" s="442" t="s">
        <v>648</v>
      </c>
      <c r="E119" s="442">
        <v>326504</v>
      </c>
      <c r="F119" s="442">
        <v>265404</v>
      </c>
      <c r="G119" s="442">
        <v>20000</v>
      </c>
      <c r="H119" s="442">
        <v>40135</v>
      </c>
      <c r="I119" s="442">
        <v>965</v>
      </c>
      <c r="J119" s="442">
        <v>24799</v>
      </c>
      <c r="K119" s="442">
        <v>24799</v>
      </c>
      <c r="L119" s="442" t="s">
        <v>648</v>
      </c>
      <c r="M119" s="442" t="s">
        <v>648</v>
      </c>
      <c r="N119" s="442" t="s">
        <v>648</v>
      </c>
      <c r="O119" s="442" t="s">
        <v>648</v>
      </c>
      <c r="P119" s="442">
        <v>3780034</v>
      </c>
      <c r="Q119" s="442">
        <v>255905</v>
      </c>
      <c r="R119" s="442">
        <v>149963</v>
      </c>
      <c r="S119" s="442">
        <v>50002</v>
      </c>
      <c r="T119" s="442">
        <v>47600</v>
      </c>
      <c r="U119" s="442">
        <v>8340</v>
      </c>
      <c r="V119" s="442" t="s">
        <v>648</v>
      </c>
      <c r="W119" s="447" t="s">
        <v>673</v>
      </c>
    </row>
    <row r="120" spans="1:23" s="442" customFormat="1" ht="9.75" customHeight="1" x14ac:dyDescent="0.15">
      <c r="A120" s="950" t="s">
        <v>800</v>
      </c>
      <c r="B120" s="442" t="s">
        <v>648</v>
      </c>
      <c r="C120" s="442" t="s">
        <v>648</v>
      </c>
      <c r="D120" s="442" t="s">
        <v>648</v>
      </c>
      <c r="E120" s="442">
        <v>361533</v>
      </c>
      <c r="F120" s="442">
        <v>331627</v>
      </c>
      <c r="G120" s="442" t="s">
        <v>648</v>
      </c>
      <c r="H120" s="442">
        <v>29906</v>
      </c>
      <c r="I120" s="442" t="s">
        <v>648</v>
      </c>
      <c r="J120" s="442">
        <v>25477</v>
      </c>
      <c r="K120" s="442">
        <v>25477</v>
      </c>
      <c r="L120" s="442" t="s">
        <v>648</v>
      </c>
      <c r="M120" s="442" t="s">
        <v>648</v>
      </c>
      <c r="N120" s="442" t="s">
        <v>648</v>
      </c>
      <c r="O120" s="442" t="s">
        <v>648</v>
      </c>
      <c r="P120" s="442">
        <v>5713857</v>
      </c>
      <c r="Q120" s="442">
        <v>788004</v>
      </c>
      <c r="R120" s="442">
        <v>314723</v>
      </c>
      <c r="S120" s="442">
        <v>69904</v>
      </c>
      <c r="T120" s="442">
        <v>160014</v>
      </c>
      <c r="U120" s="442">
        <v>123352</v>
      </c>
      <c r="V120" s="442">
        <v>120011</v>
      </c>
      <c r="W120" s="447" t="s">
        <v>771</v>
      </c>
    </row>
    <row r="121" spans="1:23" s="442" customFormat="1" ht="6.75" customHeight="1" x14ac:dyDescent="0.15">
      <c r="A121" s="950"/>
      <c r="W121" s="447"/>
    </row>
    <row r="122" spans="1:23" s="442" customFormat="1" ht="9.75" customHeight="1" x14ac:dyDescent="0.15">
      <c r="A122" s="950" t="s">
        <v>772</v>
      </c>
      <c r="B122" s="442" t="s">
        <v>648</v>
      </c>
      <c r="C122" s="442" t="s">
        <v>648</v>
      </c>
      <c r="D122" s="442" t="s">
        <v>648</v>
      </c>
      <c r="E122" s="442">
        <v>109585</v>
      </c>
      <c r="F122" s="442">
        <v>95704</v>
      </c>
      <c r="G122" s="442" t="s">
        <v>648</v>
      </c>
      <c r="H122" s="442">
        <v>13881</v>
      </c>
      <c r="I122" s="442" t="s">
        <v>648</v>
      </c>
      <c r="J122" s="442">
        <v>6392</v>
      </c>
      <c r="K122" s="442">
        <v>6392</v>
      </c>
      <c r="L122" s="442" t="s">
        <v>648</v>
      </c>
      <c r="M122" s="442" t="s">
        <v>648</v>
      </c>
      <c r="N122" s="442" t="s">
        <v>648</v>
      </c>
      <c r="O122" s="442" t="s">
        <v>648</v>
      </c>
      <c r="P122" s="442">
        <v>940366</v>
      </c>
      <c r="Q122" s="442">
        <v>50000</v>
      </c>
      <c r="R122" s="442">
        <v>50000</v>
      </c>
      <c r="S122" s="442" t="s">
        <v>648</v>
      </c>
      <c r="T122" s="442" t="s">
        <v>648</v>
      </c>
      <c r="U122" s="442" t="s">
        <v>648</v>
      </c>
      <c r="V122" s="442" t="s">
        <v>648</v>
      </c>
      <c r="W122" s="447" t="s">
        <v>674</v>
      </c>
    </row>
    <row r="123" spans="1:23" s="442" customFormat="1" ht="9.75" customHeight="1" x14ac:dyDescent="0.15">
      <c r="A123" s="950" t="s">
        <v>773</v>
      </c>
      <c r="B123" s="442" t="s">
        <v>648</v>
      </c>
      <c r="C123" s="442" t="s">
        <v>648</v>
      </c>
      <c r="D123" s="442" t="s">
        <v>648</v>
      </c>
      <c r="E123" s="442">
        <v>38703</v>
      </c>
      <c r="F123" s="442">
        <v>38703</v>
      </c>
      <c r="G123" s="442" t="s">
        <v>648</v>
      </c>
      <c r="H123" s="442" t="s">
        <v>648</v>
      </c>
      <c r="I123" s="442" t="s">
        <v>648</v>
      </c>
      <c r="J123" s="442">
        <v>6355</v>
      </c>
      <c r="K123" s="442">
        <v>6355</v>
      </c>
      <c r="L123" s="442" t="s">
        <v>648</v>
      </c>
      <c r="M123" s="442" t="s">
        <v>648</v>
      </c>
      <c r="N123" s="442" t="s">
        <v>648</v>
      </c>
      <c r="O123" s="442" t="s">
        <v>648</v>
      </c>
      <c r="P123" s="442">
        <v>1255990</v>
      </c>
      <c r="Q123" s="442">
        <v>169909</v>
      </c>
      <c r="R123" s="442">
        <v>89903</v>
      </c>
      <c r="S123" s="442" t="s">
        <v>648</v>
      </c>
      <c r="T123" s="442">
        <v>40003</v>
      </c>
      <c r="U123" s="442" t="s">
        <v>648</v>
      </c>
      <c r="V123" s="442">
        <v>40003</v>
      </c>
      <c r="W123" s="447" t="s">
        <v>92</v>
      </c>
    </row>
    <row r="124" spans="1:23" s="442" customFormat="1" ht="9.75" customHeight="1" x14ac:dyDescent="0.15">
      <c r="A124" s="950" t="s">
        <v>774</v>
      </c>
      <c r="B124" s="442" t="s">
        <v>648</v>
      </c>
      <c r="C124" s="442" t="s">
        <v>648</v>
      </c>
      <c r="D124" s="442" t="s">
        <v>648</v>
      </c>
      <c r="E124" s="442">
        <v>41910</v>
      </c>
      <c r="F124" s="442">
        <v>26960</v>
      </c>
      <c r="G124" s="442" t="s">
        <v>648</v>
      </c>
      <c r="H124" s="442">
        <v>14950</v>
      </c>
      <c r="I124" s="442" t="s">
        <v>648</v>
      </c>
      <c r="J124" s="442">
        <v>5936</v>
      </c>
      <c r="K124" s="442">
        <v>5936</v>
      </c>
      <c r="L124" s="442" t="s">
        <v>648</v>
      </c>
      <c r="M124" s="442" t="s">
        <v>648</v>
      </c>
      <c r="N124" s="442" t="s">
        <v>648</v>
      </c>
      <c r="O124" s="442" t="s">
        <v>648</v>
      </c>
      <c r="P124" s="442">
        <v>1687284</v>
      </c>
      <c r="Q124" s="442">
        <v>330687</v>
      </c>
      <c r="R124" s="442">
        <v>125323</v>
      </c>
      <c r="S124" s="442" t="s">
        <v>648</v>
      </c>
      <c r="T124" s="442">
        <v>120011</v>
      </c>
      <c r="U124" s="442">
        <v>45350</v>
      </c>
      <c r="V124" s="442">
        <v>40003</v>
      </c>
      <c r="W124" s="447" t="s">
        <v>93</v>
      </c>
    </row>
    <row r="125" spans="1:23" s="442" customFormat="1" ht="9.75" customHeight="1" x14ac:dyDescent="0.15">
      <c r="A125" s="950" t="s">
        <v>801</v>
      </c>
      <c r="B125" s="442" t="s">
        <v>648</v>
      </c>
      <c r="C125" s="442" t="s">
        <v>648</v>
      </c>
      <c r="D125" s="442" t="s">
        <v>648</v>
      </c>
      <c r="E125" s="442">
        <v>162164</v>
      </c>
      <c r="F125" s="442">
        <v>162164</v>
      </c>
      <c r="G125" s="442" t="s">
        <v>648</v>
      </c>
      <c r="H125" s="442" t="s">
        <v>648</v>
      </c>
      <c r="I125" s="442" t="s">
        <v>648</v>
      </c>
      <c r="J125" s="442">
        <v>7050</v>
      </c>
      <c r="K125" s="442">
        <v>7050</v>
      </c>
      <c r="L125" s="442" t="s">
        <v>648</v>
      </c>
      <c r="M125" s="442" t="s">
        <v>648</v>
      </c>
      <c r="N125" s="442" t="s">
        <v>648</v>
      </c>
      <c r="O125" s="442" t="s">
        <v>648</v>
      </c>
      <c r="P125" s="442">
        <v>1443982</v>
      </c>
      <c r="Q125" s="442">
        <v>212106</v>
      </c>
      <c r="R125" s="442">
        <v>99497</v>
      </c>
      <c r="S125" s="442">
        <v>32602</v>
      </c>
      <c r="T125" s="442" t="s">
        <v>648</v>
      </c>
      <c r="U125" s="442">
        <v>40002</v>
      </c>
      <c r="V125" s="442">
        <v>40005</v>
      </c>
      <c r="W125" s="447" t="s">
        <v>94</v>
      </c>
    </row>
    <row r="126" spans="1:23" s="442" customFormat="1" ht="9.75" customHeight="1" x14ac:dyDescent="0.15">
      <c r="A126" s="950" t="s">
        <v>809</v>
      </c>
      <c r="B126" s="442" t="s">
        <v>648</v>
      </c>
      <c r="C126" s="442" t="s">
        <v>648</v>
      </c>
      <c r="D126" s="442" t="s">
        <v>648</v>
      </c>
      <c r="E126" s="442">
        <v>118756</v>
      </c>
      <c r="F126" s="442">
        <v>103800</v>
      </c>
      <c r="G126" s="442" t="s">
        <v>648</v>
      </c>
      <c r="H126" s="442">
        <v>14956</v>
      </c>
      <c r="I126" s="442" t="s">
        <v>648</v>
      </c>
      <c r="J126" s="442">
        <v>6136</v>
      </c>
      <c r="K126" s="442">
        <v>6136</v>
      </c>
      <c r="L126" s="442" t="s">
        <v>648</v>
      </c>
      <c r="M126" s="442" t="s">
        <v>648</v>
      </c>
      <c r="N126" s="442" t="s">
        <v>648</v>
      </c>
      <c r="O126" s="442" t="s">
        <v>648</v>
      </c>
      <c r="P126" s="442">
        <v>1326601</v>
      </c>
      <c r="Q126" s="442">
        <v>75302</v>
      </c>
      <c r="R126" s="442" t="s">
        <v>648</v>
      </c>
      <c r="S126" s="442">
        <v>37302</v>
      </c>
      <c r="T126" s="442" t="s">
        <v>648</v>
      </c>
      <c r="U126" s="442">
        <v>38000</v>
      </c>
      <c r="V126" s="442" t="s">
        <v>648</v>
      </c>
      <c r="W126" s="447" t="s">
        <v>777</v>
      </c>
    </row>
    <row r="127" spans="1:23" s="442" customFormat="1" ht="6.75" customHeight="1" x14ac:dyDescent="0.15">
      <c r="A127" s="950"/>
      <c r="W127" s="447"/>
    </row>
    <row r="128" spans="1:23" s="442" customFormat="1" ht="9.75" customHeight="1" x14ac:dyDescent="0.15">
      <c r="A128" s="950" t="s">
        <v>778</v>
      </c>
      <c r="B128" s="442" t="s">
        <v>648</v>
      </c>
      <c r="C128" s="442" t="s">
        <v>648</v>
      </c>
      <c r="D128" s="442" t="s">
        <v>648</v>
      </c>
      <c r="E128" s="442">
        <v>13881</v>
      </c>
      <c r="F128" s="442" t="s">
        <v>648</v>
      </c>
      <c r="G128" s="442" t="s">
        <v>648</v>
      </c>
      <c r="H128" s="442">
        <v>13881</v>
      </c>
      <c r="I128" s="442" t="s">
        <v>648</v>
      </c>
      <c r="J128" s="442">
        <v>1705</v>
      </c>
      <c r="K128" s="442">
        <v>1705</v>
      </c>
      <c r="L128" s="442" t="s">
        <v>648</v>
      </c>
      <c r="M128" s="442" t="s">
        <v>648</v>
      </c>
      <c r="N128" s="442" t="s">
        <v>648</v>
      </c>
      <c r="O128" s="442" t="s">
        <v>648</v>
      </c>
      <c r="P128" s="442">
        <v>312308</v>
      </c>
      <c r="Q128" s="442" t="s">
        <v>648</v>
      </c>
      <c r="R128" s="442" t="s">
        <v>648</v>
      </c>
      <c r="S128" s="442" t="s">
        <v>648</v>
      </c>
      <c r="T128" s="442" t="s">
        <v>648</v>
      </c>
      <c r="U128" s="442" t="s">
        <v>648</v>
      </c>
      <c r="V128" s="442" t="s">
        <v>648</v>
      </c>
      <c r="W128" s="447" t="s">
        <v>675</v>
      </c>
    </row>
    <row r="129" spans="1:23" s="442" customFormat="1" ht="9.75" customHeight="1" x14ac:dyDescent="0.15">
      <c r="A129" s="950" t="s">
        <v>779</v>
      </c>
      <c r="B129" s="442" t="s">
        <v>648</v>
      </c>
      <c r="C129" s="442" t="s">
        <v>648</v>
      </c>
      <c r="D129" s="442" t="s">
        <v>648</v>
      </c>
      <c r="E129" s="442">
        <v>49950</v>
      </c>
      <c r="F129" s="442">
        <v>49950</v>
      </c>
      <c r="G129" s="442" t="s">
        <v>648</v>
      </c>
      <c r="H129" s="442" t="s">
        <v>648</v>
      </c>
      <c r="I129" s="442" t="s">
        <v>648</v>
      </c>
      <c r="J129" s="442">
        <v>1825</v>
      </c>
      <c r="K129" s="442">
        <v>1825</v>
      </c>
      <c r="L129" s="442" t="s">
        <v>648</v>
      </c>
      <c r="M129" s="442" t="s">
        <v>648</v>
      </c>
      <c r="N129" s="442" t="s">
        <v>648</v>
      </c>
      <c r="O129" s="442" t="s">
        <v>648</v>
      </c>
      <c r="P129" s="442">
        <v>266005</v>
      </c>
      <c r="Q129" s="442" t="s">
        <v>648</v>
      </c>
      <c r="R129" s="442" t="s">
        <v>648</v>
      </c>
      <c r="S129" s="442" t="s">
        <v>648</v>
      </c>
      <c r="T129" s="442" t="s">
        <v>648</v>
      </c>
      <c r="U129" s="442" t="s">
        <v>648</v>
      </c>
      <c r="V129" s="442" t="s">
        <v>648</v>
      </c>
      <c r="W129" s="447" t="s">
        <v>80</v>
      </c>
    </row>
    <row r="130" spans="1:23" s="442" customFormat="1" ht="9.75" customHeight="1" x14ac:dyDescent="0.15">
      <c r="A130" s="950" t="s">
        <v>780</v>
      </c>
      <c r="B130" s="442" t="s">
        <v>648</v>
      </c>
      <c r="C130" s="442" t="s">
        <v>648</v>
      </c>
      <c r="D130" s="442" t="s">
        <v>648</v>
      </c>
      <c r="E130" s="442">
        <v>45754</v>
      </c>
      <c r="F130" s="442">
        <v>45754</v>
      </c>
      <c r="G130" s="442" t="s">
        <v>648</v>
      </c>
      <c r="H130" s="442" t="s">
        <v>648</v>
      </c>
      <c r="I130" s="442" t="s">
        <v>648</v>
      </c>
      <c r="J130" s="442">
        <v>2862</v>
      </c>
      <c r="K130" s="442">
        <v>2862</v>
      </c>
      <c r="L130" s="442" t="s">
        <v>648</v>
      </c>
      <c r="M130" s="442" t="s">
        <v>648</v>
      </c>
      <c r="N130" s="442" t="s">
        <v>648</v>
      </c>
      <c r="O130" s="442" t="s">
        <v>648</v>
      </c>
      <c r="P130" s="442">
        <v>362053</v>
      </c>
      <c r="Q130" s="442">
        <v>50000</v>
      </c>
      <c r="R130" s="442">
        <v>50000</v>
      </c>
      <c r="S130" s="442" t="s">
        <v>648</v>
      </c>
      <c r="T130" s="442" t="s">
        <v>648</v>
      </c>
      <c r="U130" s="442" t="s">
        <v>648</v>
      </c>
      <c r="V130" s="442" t="s">
        <v>648</v>
      </c>
      <c r="W130" s="447" t="s">
        <v>81</v>
      </c>
    </row>
    <row r="131" spans="1:23" s="442" customFormat="1" ht="9.75" customHeight="1" x14ac:dyDescent="0.15">
      <c r="A131" s="950" t="s">
        <v>781</v>
      </c>
      <c r="B131" s="442" t="s">
        <v>648</v>
      </c>
      <c r="C131" s="442" t="s">
        <v>648</v>
      </c>
      <c r="D131" s="442" t="s">
        <v>648</v>
      </c>
      <c r="E131" s="442" t="s">
        <v>648</v>
      </c>
      <c r="F131" s="442" t="s">
        <v>648</v>
      </c>
      <c r="G131" s="442" t="s">
        <v>648</v>
      </c>
      <c r="H131" s="442" t="s">
        <v>648</v>
      </c>
      <c r="I131" s="442" t="s">
        <v>648</v>
      </c>
      <c r="J131" s="442">
        <v>2176</v>
      </c>
      <c r="K131" s="442">
        <v>2176</v>
      </c>
      <c r="L131" s="442" t="s">
        <v>648</v>
      </c>
      <c r="M131" s="442" t="s">
        <v>648</v>
      </c>
      <c r="N131" s="442" t="s">
        <v>648</v>
      </c>
      <c r="O131" s="442" t="s">
        <v>648</v>
      </c>
      <c r="P131" s="442">
        <v>332471</v>
      </c>
      <c r="Q131" s="442" t="s">
        <v>648</v>
      </c>
      <c r="R131" s="442" t="s">
        <v>648</v>
      </c>
      <c r="S131" s="442" t="s">
        <v>648</v>
      </c>
      <c r="T131" s="442" t="s">
        <v>648</v>
      </c>
      <c r="U131" s="442" t="s">
        <v>648</v>
      </c>
      <c r="V131" s="442" t="s">
        <v>648</v>
      </c>
      <c r="W131" s="447" t="s">
        <v>82</v>
      </c>
    </row>
    <row r="132" spans="1:23" s="442" customFormat="1" ht="9.75" customHeight="1" x14ac:dyDescent="0.15">
      <c r="A132" s="950" t="s">
        <v>782</v>
      </c>
      <c r="B132" s="442" t="s">
        <v>648</v>
      </c>
      <c r="C132" s="442" t="s">
        <v>648</v>
      </c>
      <c r="D132" s="442" t="s">
        <v>648</v>
      </c>
      <c r="E132" s="442" t="s">
        <v>648</v>
      </c>
      <c r="F132" s="442" t="s">
        <v>648</v>
      </c>
      <c r="G132" s="442" t="s">
        <v>648</v>
      </c>
      <c r="H132" s="442" t="s">
        <v>648</v>
      </c>
      <c r="I132" s="442" t="s">
        <v>648</v>
      </c>
      <c r="J132" s="442">
        <v>2148</v>
      </c>
      <c r="K132" s="442">
        <v>2148</v>
      </c>
      <c r="L132" s="442" t="s">
        <v>648</v>
      </c>
      <c r="M132" s="442" t="s">
        <v>648</v>
      </c>
      <c r="N132" s="442" t="s">
        <v>648</v>
      </c>
      <c r="O132" s="442" t="s">
        <v>648</v>
      </c>
      <c r="P132" s="442">
        <v>443661</v>
      </c>
      <c r="Q132" s="442">
        <v>89903</v>
      </c>
      <c r="R132" s="442">
        <v>89903</v>
      </c>
      <c r="S132" s="442" t="s">
        <v>648</v>
      </c>
      <c r="T132" s="442" t="s">
        <v>648</v>
      </c>
      <c r="U132" s="442" t="s">
        <v>648</v>
      </c>
      <c r="V132" s="442" t="s">
        <v>648</v>
      </c>
      <c r="W132" s="447" t="s">
        <v>95</v>
      </c>
    </row>
    <row r="133" spans="1:23" s="442" customFormat="1" ht="9.75" customHeight="1" x14ac:dyDescent="0.15">
      <c r="A133" s="950" t="s">
        <v>783</v>
      </c>
      <c r="B133" s="442" t="s">
        <v>648</v>
      </c>
      <c r="C133" s="442" t="s">
        <v>648</v>
      </c>
      <c r="D133" s="442" t="s">
        <v>648</v>
      </c>
      <c r="E133" s="442">
        <v>38703</v>
      </c>
      <c r="F133" s="442">
        <v>38703</v>
      </c>
      <c r="G133" s="442" t="s">
        <v>648</v>
      </c>
      <c r="H133" s="442" t="s">
        <v>648</v>
      </c>
      <c r="I133" s="442" t="s">
        <v>648</v>
      </c>
      <c r="J133" s="442">
        <v>2031</v>
      </c>
      <c r="K133" s="442">
        <v>2031</v>
      </c>
      <c r="L133" s="442" t="s">
        <v>648</v>
      </c>
      <c r="M133" s="442" t="s">
        <v>648</v>
      </c>
      <c r="N133" s="442" t="s">
        <v>648</v>
      </c>
      <c r="O133" s="442" t="s">
        <v>648</v>
      </c>
      <c r="P133" s="442">
        <v>479858</v>
      </c>
      <c r="Q133" s="442">
        <v>80006</v>
      </c>
      <c r="R133" s="442" t="s">
        <v>648</v>
      </c>
      <c r="S133" s="442" t="s">
        <v>648</v>
      </c>
      <c r="T133" s="442">
        <v>40003</v>
      </c>
      <c r="U133" s="442" t="s">
        <v>648</v>
      </c>
      <c r="V133" s="442">
        <v>40003</v>
      </c>
      <c r="W133" s="447" t="s">
        <v>96</v>
      </c>
    </row>
    <row r="134" spans="1:23" s="442" customFormat="1" ht="9.75" customHeight="1" x14ac:dyDescent="0.15">
      <c r="A134" s="950" t="s">
        <v>784</v>
      </c>
      <c r="B134" s="442" t="s">
        <v>648</v>
      </c>
      <c r="C134" s="442" t="s">
        <v>648</v>
      </c>
      <c r="D134" s="442" t="s">
        <v>648</v>
      </c>
      <c r="E134" s="442">
        <v>23800</v>
      </c>
      <c r="F134" s="442">
        <v>23800</v>
      </c>
      <c r="G134" s="442" t="s">
        <v>648</v>
      </c>
      <c r="H134" s="442" t="s">
        <v>648</v>
      </c>
      <c r="I134" s="442" t="s">
        <v>648</v>
      </c>
      <c r="J134" s="442">
        <v>2016</v>
      </c>
      <c r="K134" s="442">
        <v>2016</v>
      </c>
      <c r="L134" s="442" t="s">
        <v>648</v>
      </c>
      <c r="M134" s="442" t="s">
        <v>648</v>
      </c>
      <c r="N134" s="442" t="s">
        <v>648</v>
      </c>
      <c r="O134" s="442" t="s">
        <v>648</v>
      </c>
      <c r="P134" s="442">
        <v>501218</v>
      </c>
      <c r="Q134" s="442">
        <v>142526</v>
      </c>
      <c r="R134" s="442">
        <v>75323</v>
      </c>
      <c r="S134" s="442" t="s">
        <v>648</v>
      </c>
      <c r="T134" s="442">
        <v>40003</v>
      </c>
      <c r="U134" s="442">
        <v>27200</v>
      </c>
      <c r="V134" s="442" t="s">
        <v>648</v>
      </c>
      <c r="W134" s="447" t="s">
        <v>97</v>
      </c>
    </row>
    <row r="135" spans="1:23" s="442" customFormat="1" ht="9.75" customHeight="1" x14ac:dyDescent="0.15">
      <c r="A135" s="950" t="s">
        <v>806</v>
      </c>
      <c r="B135" s="442" t="s">
        <v>648</v>
      </c>
      <c r="C135" s="442" t="s">
        <v>648</v>
      </c>
      <c r="D135" s="442" t="s">
        <v>648</v>
      </c>
      <c r="E135" s="442">
        <v>14950</v>
      </c>
      <c r="F135" s="442" t="s">
        <v>648</v>
      </c>
      <c r="G135" s="442" t="s">
        <v>648</v>
      </c>
      <c r="H135" s="442">
        <v>14950</v>
      </c>
      <c r="I135" s="442" t="s">
        <v>648</v>
      </c>
      <c r="J135" s="442">
        <v>1980</v>
      </c>
      <c r="K135" s="442">
        <v>1980</v>
      </c>
      <c r="L135" s="442" t="s">
        <v>648</v>
      </c>
      <c r="M135" s="442" t="s">
        <v>648</v>
      </c>
      <c r="N135" s="442" t="s">
        <v>648</v>
      </c>
      <c r="O135" s="442" t="s">
        <v>648</v>
      </c>
      <c r="P135" s="442">
        <v>621871</v>
      </c>
      <c r="Q135" s="442">
        <v>78154</v>
      </c>
      <c r="R135" s="442">
        <v>20000</v>
      </c>
      <c r="S135" s="442" t="s">
        <v>648</v>
      </c>
      <c r="T135" s="442">
        <v>40004</v>
      </c>
      <c r="U135" s="442">
        <v>18150</v>
      </c>
      <c r="V135" s="442" t="s">
        <v>648</v>
      </c>
      <c r="W135" s="447" t="s">
        <v>98</v>
      </c>
    </row>
    <row r="136" spans="1:23" s="442" customFormat="1" ht="9.75" customHeight="1" x14ac:dyDescent="0.15">
      <c r="A136" s="950" t="s">
        <v>786</v>
      </c>
      <c r="B136" s="442" t="s">
        <v>648</v>
      </c>
      <c r="C136" s="442" t="s">
        <v>648</v>
      </c>
      <c r="D136" s="442" t="s">
        <v>648</v>
      </c>
      <c r="E136" s="442">
        <v>3160</v>
      </c>
      <c r="F136" s="442">
        <v>3160</v>
      </c>
      <c r="G136" s="442" t="s">
        <v>648</v>
      </c>
      <c r="H136" s="442" t="s">
        <v>648</v>
      </c>
      <c r="I136" s="442" t="s">
        <v>648</v>
      </c>
      <c r="J136" s="442">
        <v>1940</v>
      </c>
      <c r="K136" s="442">
        <v>1940</v>
      </c>
      <c r="L136" s="442" t="s">
        <v>648</v>
      </c>
      <c r="M136" s="442" t="s">
        <v>648</v>
      </c>
      <c r="N136" s="442" t="s">
        <v>648</v>
      </c>
      <c r="O136" s="442" t="s">
        <v>648</v>
      </c>
      <c r="P136" s="442">
        <v>564195</v>
      </c>
      <c r="Q136" s="442">
        <v>110007</v>
      </c>
      <c r="R136" s="442">
        <v>30000</v>
      </c>
      <c r="S136" s="442" t="s">
        <v>648</v>
      </c>
      <c r="T136" s="442">
        <v>40004</v>
      </c>
      <c r="U136" s="442" t="s">
        <v>648</v>
      </c>
      <c r="V136" s="442">
        <v>40003</v>
      </c>
      <c r="W136" s="447" t="s">
        <v>99</v>
      </c>
    </row>
    <row r="137" spans="1:23" s="442" customFormat="1" ht="9.75" customHeight="1" x14ac:dyDescent="0.15">
      <c r="A137" s="950" t="s">
        <v>807</v>
      </c>
      <c r="B137" s="442" t="s">
        <v>648</v>
      </c>
      <c r="C137" s="442" t="s">
        <v>648</v>
      </c>
      <c r="D137" s="442" t="s">
        <v>648</v>
      </c>
      <c r="E137" s="442">
        <v>25350</v>
      </c>
      <c r="F137" s="442">
        <v>25350</v>
      </c>
      <c r="G137" s="442" t="s">
        <v>648</v>
      </c>
      <c r="H137" s="442" t="s">
        <v>648</v>
      </c>
      <c r="I137" s="442" t="s">
        <v>648</v>
      </c>
      <c r="J137" s="442">
        <v>2094</v>
      </c>
      <c r="K137" s="442">
        <v>2094</v>
      </c>
      <c r="L137" s="442" t="s">
        <v>648</v>
      </c>
      <c r="M137" s="442" t="s">
        <v>648</v>
      </c>
      <c r="N137" s="442" t="s">
        <v>648</v>
      </c>
      <c r="O137" s="442" t="s">
        <v>648</v>
      </c>
      <c r="P137" s="442">
        <v>495187</v>
      </c>
      <c r="Q137" s="442">
        <v>99897</v>
      </c>
      <c r="R137" s="442">
        <v>19890</v>
      </c>
      <c r="S137" s="442" t="s">
        <v>648</v>
      </c>
      <c r="T137" s="442" t="s">
        <v>648</v>
      </c>
      <c r="U137" s="442">
        <v>40002</v>
      </c>
      <c r="V137" s="442">
        <v>40005</v>
      </c>
      <c r="W137" s="447" t="s">
        <v>83</v>
      </c>
    </row>
    <row r="138" spans="1:23" s="442" customFormat="1" ht="9.75" customHeight="1" x14ac:dyDescent="0.15">
      <c r="A138" s="950" t="s">
        <v>788</v>
      </c>
      <c r="B138" s="442" t="s">
        <v>648</v>
      </c>
      <c r="C138" s="442" t="s">
        <v>648</v>
      </c>
      <c r="D138" s="442" t="s">
        <v>648</v>
      </c>
      <c r="E138" s="442">
        <v>25450</v>
      </c>
      <c r="F138" s="442">
        <v>25450</v>
      </c>
      <c r="G138" s="442" t="s">
        <v>648</v>
      </c>
      <c r="H138" s="442" t="s">
        <v>648</v>
      </c>
      <c r="I138" s="442" t="s">
        <v>648</v>
      </c>
      <c r="J138" s="442">
        <v>2154</v>
      </c>
      <c r="K138" s="442">
        <v>2154</v>
      </c>
      <c r="L138" s="442" t="s">
        <v>648</v>
      </c>
      <c r="M138" s="442" t="s">
        <v>648</v>
      </c>
      <c r="N138" s="442" t="s">
        <v>648</v>
      </c>
      <c r="O138" s="442" t="s">
        <v>648</v>
      </c>
      <c r="P138" s="442">
        <v>475412</v>
      </c>
      <c r="Q138" s="442">
        <v>76107</v>
      </c>
      <c r="R138" s="442">
        <v>43505</v>
      </c>
      <c r="S138" s="442">
        <v>32602</v>
      </c>
      <c r="T138" s="442" t="s">
        <v>648</v>
      </c>
      <c r="U138" s="442" t="s">
        <v>648</v>
      </c>
      <c r="V138" s="442" t="s">
        <v>648</v>
      </c>
      <c r="W138" s="447" t="s">
        <v>84</v>
      </c>
    </row>
    <row r="139" spans="1:23" s="442" customFormat="1" ht="9.75" customHeight="1" x14ac:dyDescent="0.15">
      <c r="A139" s="950" t="s">
        <v>789</v>
      </c>
      <c r="B139" s="442" t="s">
        <v>648</v>
      </c>
      <c r="C139" s="442" t="s">
        <v>648</v>
      </c>
      <c r="D139" s="442" t="s">
        <v>648</v>
      </c>
      <c r="E139" s="442">
        <v>111364</v>
      </c>
      <c r="F139" s="442">
        <v>111364</v>
      </c>
      <c r="G139" s="442" t="s">
        <v>648</v>
      </c>
      <c r="H139" s="442" t="s">
        <v>648</v>
      </c>
      <c r="I139" s="442" t="s">
        <v>648</v>
      </c>
      <c r="J139" s="442">
        <v>2802</v>
      </c>
      <c r="K139" s="442">
        <v>2802</v>
      </c>
      <c r="L139" s="442" t="s">
        <v>648</v>
      </c>
      <c r="M139" s="442" t="s">
        <v>648</v>
      </c>
      <c r="N139" s="442" t="s">
        <v>648</v>
      </c>
      <c r="O139" s="442" t="s">
        <v>648</v>
      </c>
      <c r="P139" s="442">
        <v>473383</v>
      </c>
      <c r="Q139" s="442">
        <v>36102</v>
      </c>
      <c r="R139" s="442">
        <v>36102</v>
      </c>
      <c r="S139" s="442" t="s">
        <v>648</v>
      </c>
      <c r="T139" s="442" t="s">
        <v>648</v>
      </c>
      <c r="U139" s="442" t="s">
        <v>648</v>
      </c>
      <c r="V139" s="442" t="s">
        <v>648</v>
      </c>
      <c r="W139" s="447" t="s">
        <v>85</v>
      </c>
    </row>
    <row r="140" spans="1:23" s="442" customFormat="1" ht="9.75" customHeight="1" x14ac:dyDescent="0.15">
      <c r="A140" s="950" t="s">
        <v>790</v>
      </c>
      <c r="B140" s="442" t="s">
        <v>648</v>
      </c>
      <c r="C140" s="442" t="s">
        <v>648</v>
      </c>
      <c r="D140" s="442" t="s">
        <v>648</v>
      </c>
      <c r="E140" s="442">
        <v>31700</v>
      </c>
      <c r="F140" s="442">
        <v>31700</v>
      </c>
      <c r="G140" s="442" t="s">
        <v>648</v>
      </c>
      <c r="H140" s="442" t="s">
        <v>648</v>
      </c>
      <c r="I140" s="442" t="s">
        <v>648</v>
      </c>
      <c r="J140" s="442">
        <v>1684</v>
      </c>
      <c r="K140" s="442">
        <v>1684</v>
      </c>
      <c r="L140" s="442" t="s">
        <v>648</v>
      </c>
      <c r="M140" s="442" t="s">
        <v>648</v>
      </c>
      <c r="N140" s="442" t="s">
        <v>648</v>
      </c>
      <c r="O140" s="442" t="s">
        <v>648</v>
      </c>
      <c r="P140" s="442">
        <v>459582</v>
      </c>
      <c r="Q140" s="442" t="s">
        <v>648</v>
      </c>
      <c r="R140" s="442" t="s">
        <v>648</v>
      </c>
      <c r="S140" s="442" t="s">
        <v>648</v>
      </c>
      <c r="T140" s="442" t="s">
        <v>648</v>
      </c>
      <c r="U140" s="442" t="s">
        <v>648</v>
      </c>
      <c r="V140" s="442" t="s">
        <v>648</v>
      </c>
      <c r="W140" s="447" t="s">
        <v>791</v>
      </c>
    </row>
    <row r="141" spans="1:23" s="442" customFormat="1" ht="9.75" customHeight="1" x14ac:dyDescent="0.15">
      <c r="A141" s="950" t="s">
        <v>792</v>
      </c>
      <c r="B141" s="442" t="s">
        <v>648</v>
      </c>
      <c r="C141" s="442" t="s">
        <v>648</v>
      </c>
      <c r="D141" s="442" t="s">
        <v>648</v>
      </c>
      <c r="E141" s="442">
        <v>78786</v>
      </c>
      <c r="F141" s="442">
        <v>72100</v>
      </c>
      <c r="G141" s="442" t="s">
        <v>648</v>
      </c>
      <c r="H141" s="442">
        <v>6686</v>
      </c>
      <c r="I141" s="442" t="s">
        <v>648</v>
      </c>
      <c r="J141" s="442">
        <v>2394</v>
      </c>
      <c r="K141" s="442">
        <v>2394</v>
      </c>
      <c r="L141" s="442" t="s">
        <v>648</v>
      </c>
      <c r="M141" s="442" t="s">
        <v>648</v>
      </c>
      <c r="N141" s="442" t="s">
        <v>648</v>
      </c>
      <c r="O141" s="442" t="s">
        <v>648</v>
      </c>
      <c r="P141" s="442">
        <v>383995</v>
      </c>
      <c r="Q141" s="442">
        <v>38000</v>
      </c>
      <c r="R141" s="442" t="s">
        <v>648</v>
      </c>
      <c r="S141" s="442" t="s">
        <v>648</v>
      </c>
      <c r="T141" s="442" t="s">
        <v>648</v>
      </c>
      <c r="U141" s="442">
        <v>38000</v>
      </c>
      <c r="V141" s="442" t="s">
        <v>648</v>
      </c>
      <c r="W141" s="447" t="s">
        <v>80</v>
      </c>
    </row>
    <row r="142" spans="1:23" s="442" customFormat="1" ht="9.75" customHeight="1" x14ac:dyDescent="0.15">
      <c r="A142" s="951" t="s">
        <v>793</v>
      </c>
      <c r="B142" s="446" t="s">
        <v>648</v>
      </c>
      <c r="C142" s="445" t="s">
        <v>648</v>
      </c>
      <c r="D142" s="445" t="s">
        <v>648</v>
      </c>
      <c r="E142" s="445">
        <v>8270</v>
      </c>
      <c r="F142" s="445" t="s">
        <v>648</v>
      </c>
      <c r="G142" s="445" t="s">
        <v>648</v>
      </c>
      <c r="H142" s="445">
        <v>8270</v>
      </c>
      <c r="I142" s="445" t="s">
        <v>648</v>
      </c>
      <c r="J142" s="445">
        <v>2058</v>
      </c>
      <c r="K142" s="445">
        <v>2058</v>
      </c>
      <c r="L142" s="445" t="s">
        <v>648</v>
      </c>
      <c r="M142" s="445" t="s">
        <v>648</v>
      </c>
      <c r="N142" s="445" t="s">
        <v>648</v>
      </c>
      <c r="O142" s="445" t="s">
        <v>648</v>
      </c>
      <c r="P142" s="445">
        <v>483024</v>
      </c>
      <c r="Q142" s="445">
        <v>37302</v>
      </c>
      <c r="R142" s="445" t="s">
        <v>648</v>
      </c>
      <c r="S142" s="445">
        <v>37302</v>
      </c>
      <c r="T142" s="445" t="s">
        <v>648</v>
      </c>
      <c r="U142" s="445" t="s">
        <v>648</v>
      </c>
      <c r="V142" s="445" t="s">
        <v>648</v>
      </c>
      <c r="W142" s="443" t="s">
        <v>81</v>
      </c>
    </row>
    <row r="143" spans="1:23" ht="12" customHeight="1" x14ac:dyDescent="0.2"/>
    <row r="144" spans="1:23" ht="12" customHeight="1" x14ac:dyDescent="0.2"/>
    <row r="145" spans="1:23" ht="12" customHeight="1" x14ac:dyDescent="0.15">
      <c r="K145" s="457" t="s">
        <v>100</v>
      </c>
      <c r="V145" s="460" t="s">
        <v>715</v>
      </c>
    </row>
    <row r="146" spans="1:23" s="453" customFormat="1" ht="21" customHeight="1" x14ac:dyDescent="0.2">
      <c r="A146" s="1089" t="s">
        <v>194</v>
      </c>
      <c r="B146" s="456" t="s">
        <v>377</v>
      </c>
      <c r="C146" s="455"/>
      <c r="D146" s="455"/>
      <c r="E146" s="455"/>
      <c r="F146" s="455"/>
      <c r="G146" s="455"/>
      <c r="H146" s="455"/>
      <c r="I146" s="455"/>
      <c r="J146" s="455"/>
      <c r="K146" s="455"/>
      <c r="L146" s="455"/>
      <c r="M146" s="455"/>
      <c r="N146" s="455"/>
      <c r="O146" s="455"/>
      <c r="P146" s="455"/>
      <c r="Q146" s="455"/>
      <c r="R146" s="455"/>
      <c r="S146" s="455"/>
      <c r="T146" s="455"/>
      <c r="U146" s="455"/>
      <c r="V146" s="455"/>
      <c r="W146" s="1092" t="s">
        <v>86</v>
      </c>
    </row>
    <row r="147" spans="1:23" s="453" customFormat="1" ht="21" customHeight="1" x14ac:dyDescent="0.2">
      <c r="A147" s="1090"/>
      <c r="B147" s="456" t="s">
        <v>290</v>
      </c>
      <c r="C147" s="917"/>
      <c r="D147" s="918" t="s">
        <v>289</v>
      </c>
      <c r="E147" s="917"/>
      <c r="F147" s="918" t="s">
        <v>288</v>
      </c>
      <c r="G147" s="455"/>
      <c r="H147" s="455"/>
      <c r="I147" s="917"/>
      <c r="J147" s="918" t="s">
        <v>287</v>
      </c>
      <c r="K147" s="455"/>
      <c r="L147" s="455"/>
      <c r="M147" s="917"/>
      <c r="N147" s="918" t="s">
        <v>271</v>
      </c>
      <c r="O147" s="917"/>
      <c r="P147" s="918" t="s">
        <v>270</v>
      </c>
      <c r="Q147" s="455"/>
      <c r="R147" s="455"/>
      <c r="S147" s="455"/>
      <c r="T147" s="455"/>
      <c r="U147" s="455"/>
      <c r="V147" s="455"/>
      <c r="W147" s="1093"/>
    </row>
    <row r="148" spans="1:23" s="453" customFormat="1" ht="52.5" customHeight="1" x14ac:dyDescent="0.2">
      <c r="A148" s="1091"/>
      <c r="B148" s="454" t="s">
        <v>342</v>
      </c>
      <c r="C148" s="454" t="s">
        <v>282</v>
      </c>
      <c r="D148" s="920" t="s">
        <v>109</v>
      </c>
      <c r="E148" s="459" t="s">
        <v>714</v>
      </c>
      <c r="F148" s="920" t="s">
        <v>1089</v>
      </c>
      <c r="G148" s="454" t="s">
        <v>310</v>
      </c>
      <c r="H148" s="454" t="s">
        <v>274</v>
      </c>
      <c r="I148" s="454" t="s">
        <v>300</v>
      </c>
      <c r="J148" s="920" t="s">
        <v>1090</v>
      </c>
      <c r="K148" s="454" t="s">
        <v>357</v>
      </c>
      <c r="L148" s="454" t="s">
        <v>273</v>
      </c>
      <c r="M148" s="454" t="s">
        <v>356</v>
      </c>
      <c r="N148" s="920" t="s">
        <v>1092</v>
      </c>
      <c r="O148" s="454" t="s">
        <v>1093</v>
      </c>
      <c r="P148" s="920" t="s">
        <v>1094</v>
      </c>
      <c r="Q148" s="454" t="s">
        <v>263</v>
      </c>
      <c r="R148" s="454" t="s">
        <v>1095</v>
      </c>
      <c r="S148" s="454" t="s">
        <v>632</v>
      </c>
      <c r="T148" s="454" t="s">
        <v>354</v>
      </c>
      <c r="U148" s="454" t="s">
        <v>633</v>
      </c>
      <c r="V148" s="458" t="s">
        <v>375</v>
      </c>
      <c r="W148" s="1094"/>
    </row>
    <row r="149" spans="1:23" s="442" customFormat="1" ht="9.75" customHeight="1" x14ac:dyDescent="0.15">
      <c r="A149" s="949" t="s">
        <v>763</v>
      </c>
      <c r="B149" s="452">
        <v>31400</v>
      </c>
      <c r="C149" s="451" t="s">
        <v>648</v>
      </c>
      <c r="D149" s="451" t="s">
        <v>648</v>
      </c>
      <c r="E149" s="451" t="s">
        <v>648</v>
      </c>
      <c r="F149" s="451">
        <v>948867</v>
      </c>
      <c r="G149" s="451" t="s">
        <v>648</v>
      </c>
      <c r="H149" s="451">
        <v>948867</v>
      </c>
      <c r="I149" s="451" t="s">
        <v>648</v>
      </c>
      <c r="J149" s="451">
        <v>127020</v>
      </c>
      <c r="K149" s="451" t="s">
        <v>648</v>
      </c>
      <c r="L149" s="451" t="s">
        <v>648</v>
      </c>
      <c r="M149" s="451">
        <v>127020</v>
      </c>
      <c r="N149" s="451" t="s">
        <v>648</v>
      </c>
      <c r="O149" s="451" t="s">
        <v>648</v>
      </c>
      <c r="P149" s="451">
        <v>308936</v>
      </c>
      <c r="Q149" s="451">
        <v>163071</v>
      </c>
      <c r="R149" s="451">
        <v>7903</v>
      </c>
      <c r="S149" s="451" t="s">
        <v>648</v>
      </c>
      <c r="T149" s="451" t="s">
        <v>648</v>
      </c>
      <c r="U149" s="451" t="s">
        <v>648</v>
      </c>
      <c r="V149" s="451" t="s">
        <v>648</v>
      </c>
      <c r="W149" s="449" t="s">
        <v>464</v>
      </c>
    </row>
    <row r="150" spans="1:23" s="442" customFormat="1" ht="9.75" customHeight="1" x14ac:dyDescent="0.15">
      <c r="A150" s="950" t="s">
        <v>764</v>
      </c>
      <c r="B150" s="442">
        <v>7500</v>
      </c>
      <c r="C150" s="442">
        <v>46500</v>
      </c>
      <c r="D150" s="442" t="s">
        <v>648</v>
      </c>
      <c r="E150" s="442" t="s">
        <v>648</v>
      </c>
      <c r="F150" s="442">
        <v>896842</v>
      </c>
      <c r="G150" s="442" t="s">
        <v>648</v>
      </c>
      <c r="H150" s="442">
        <v>896842</v>
      </c>
      <c r="I150" s="442" t="s">
        <v>648</v>
      </c>
      <c r="J150" s="442">
        <v>154819</v>
      </c>
      <c r="K150" s="442">
        <v>40650</v>
      </c>
      <c r="L150" s="442" t="s">
        <v>648</v>
      </c>
      <c r="M150" s="442">
        <v>114169</v>
      </c>
      <c r="N150" s="442" t="s">
        <v>648</v>
      </c>
      <c r="O150" s="442" t="s">
        <v>648</v>
      </c>
      <c r="P150" s="442">
        <v>946502</v>
      </c>
      <c r="Q150" s="442">
        <v>735403</v>
      </c>
      <c r="R150" s="442">
        <v>95614</v>
      </c>
      <c r="S150" s="442" t="s">
        <v>648</v>
      </c>
      <c r="T150" s="442" t="s">
        <v>648</v>
      </c>
      <c r="U150" s="442" t="s">
        <v>648</v>
      </c>
      <c r="V150" s="442" t="s">
        <v>648</v>
      </c>
      <c r="W150" s="447" t="s">
        <v>489</v>
      </c>
    </row>
    <row r="151" spans="1:23" s="442" customFormat="1" ht="9.75" customHeight="1" x14ac:dyDescent="0.15">
      <c r="A151" s="950" t="s">
        <v>765</v>
      </c>
      <c r="B151" s="442">
        <v>16000</v>
      </c>
      <c r="C151" s="442" t="s">
        <v>648</v>
      </c>
      <c r="D151" s="442" t="s">
        <v>648</v>
      </c>
      <c r="E151" s="442" t="s">
        <v>648</v>
      </c>
      <c r="F151" s="442">
        <v>1619878</v>
      </c>
      <c r="G151" s="442">
        <v>63300</v>
      </c>
      <c r="H151" s="442">
        <v>1510278</v>
      </c>
      <c r="I151" s="442">
        <v>46300</v>
      </c>
      <c r="J151" s="442">
        <v>220829</v>
      </c>
      <c r="K151" s="442">
        <v>49203</v>
      </c>
      <c r="L151" s="442">
        <v>21650</v>
      </c>
      <c r="M151" s="442">
        <v>149976</v>
      </c>
      <c r="N151" s="442" t="s">
        <v>648</v>
      </c>
      <c r="O151" s="442" t="s">
        <v>648</v>
      </c>
      <c r="P151" s="442">
        <v>946409</v>
      </c>
      <c r="Q151" s="442">
        <v>824243</v>
      </c>
      <c r="R151" s="442" t="s">
        <v>648</v>
      </c>
      <c r="S151" s="442">
        <v>512</v>
      </c>
      <c r="T151" s="442">
        <v>6248</v>
      </c>
      <c r="U151" s="442">
        <v>525</v>
      </c>
      <c r="V151" s="442">
        <v>1015</v>
      </c>
      <c r="W151" s="447" t="s">
        <v>549</v>
      </c>
    </row>
    <row r="152" spans="1:23" s="442" customFormat="1" ht="9.75" customHeight="1" x14ac:dyDescent="0.15">
      <c r="A152" s="950" t="s">
        <v>766</v>
      </c>
      <c r="B152" s="442" t="s">
        <v>648</v>
      </c>
      <c r="C152" s="442" t="s">
        <v>648</v>
      </c>
      <c r="D152" s="442">
        <v>129080</v>
      </c>
      <c r="E152" s="442">
        <v>129080</v>
      </c>
      <c r="F152" s="442">
        <v>747389</v>
      </c>
      <c r="G152" s="442" t="s">
        <v>648</v>
      </c>
      <c r="H152" s="442">
        <v>747389</v>
      </c>
      <c r="I152" s="442" t="s">
        <v>648</v>
      </c>
      <c r="J152" s="442" t="s">
        <v>648</v>
      </c>
      <c r="K152" s="442" t="s">
        <v>648</v>
      </c>
      <c r="L152" s="442" t="s">
        <v>648</v>
      </c>
      <c r="M152" s="442" t="s">
        <v>648</v>
      </c>
      <c r="N152" s="442" t="s">
        <v>648</v>
      </c>
      <c r="O152" s="442" t="s">
        <v>648</v>
      </c>
      <c r="P152" s="442">
        <v>215645</v>
      </c>
      <c r="Q152" s="442">
        <v>153894</v>
      </c>
      <c r="R152" s="442" t="s">
        <v>648</v>
      </c>
      <c r="S152" s="442" t="s">
        <v>648</v>
      </c>
      <c r="T152" s="442" t="s">
        <v>648</v>
      </c>
      <c r="U152" s="442" t="s">
        <v>648</v>
      </c>
      <c r="V152" s="442" t="s">
        <v>648</v>
      </c>
      <c r="W152" s="447" t="s">
        <v>672</v>
      </c>
    </row>
    <row r="153" spans="1:23" s="442" customFormat="1" ht="9.75" customHeight="1" x14ac:dyDescent="0.15">
      <c r="A153" s="950" t="s">
        <v>767</v>
      </c>
      <c r="B153" s="442" t="s">
        <v>648</v>
      </c>
      <c r="C153" s="442" t="s">
        <v>648</v>
      </c>
      <c r="D153" s="442" t="s">
        <v>648</v>
      </c>
      <c r="E153" s="442" t="s">
        <v>648</v>
      </c>
      <c r="F153" s="442">
        <v>542189</v>
      </c>
      <c r="G153" s="442" t="s">
        <v>648</v>
      </c>
      <c r="H153" s="442">
        <v>542189</v>
      </c>
      <c r="I153" s="442" t="s">
        <v>648</v>
      </c>
      <c r="J153" s="442" t="s">
        <v>648</v>
      </c>
      <c r="K153" s="442" t="s">
        <v>648</v>
      </c>
      <c r="L153" s="442" t="s">
        <v>648</v>
      </c>
      <c r="M153" s="442" t="s">
        <v>648</v>
      </c>
      <c r="N153" s="442">
        <v>22600</v>
      </c>
      <c r="O153" s="442">
        <v>22600</v>
      </c>
      <c r="P153" s="442">
        <v>144218</v>
      </c>
      <c r="Q153" s="442">
        <v>105267</v>
      </c>
      <c r="R153" s="442" t="s">
        <v>648</v>
      </c>
      <c r="S153" s="442" t="s">
        <v>648</v>
      </c>
      <c r="T153" s="442" t="s">
        <v>648</v>
      </c>
      <c r="U153" s="442" t="s">
        <v>648</v>
      </c>
      <c r="V153" s="442" t="s">
        <v>648</v>
      </c>
      <c r="W153" s="447" t="s">
        <v>768</v>
      </c>
    </row>
    <row r="154" spans="1:23" s="442" customFormat="1" ht="6.75" customHeight="1" x14ac:dyDescent="0.15">
      <c r="A154" s="950"/>
      <c r="W154" s="447"/>
    </row>
    <row r="155" spans="1:23" s="442" customFormat="1" ht="9.75" customHeight="1" x14ac:dyDescent="0.15">
      <c r="A155" s="950" t="s">
        <v>799</v>
      </c>
      <c r="B155" s="442" t="s">
        <v>648</v>
      </c>
      <c r="C155" s="442" t="s">
        <v>648</v>
      </c>
      <c r="D155" s="442">
        <v>129080</v>
      </c>
      <c r="E155" s="442">
        <v>129080</v>
      </c>
      <c r="F155" s="442">
        <v>475488</v>
      </c>
      <c r="G155" s="442" t="s">
        <v>648</v>
      </c>
      <c r="H155" s="442">
        <v>475488</v>
      </c>
      <c r="I155" s="442" t="s">
        <v>648</v>
      </c>
      <c r="J155" s="442" t="s">
        <v>648</v>
      </c>
      <c r="K155" s="442" t="s">
        <v>648</v>
      </c>
      <c r="L155" s="442" t="s">
        <v>648</v>
      </c>
      <c r="M155" s="442" t="s">
        <v>648</v>
      </c>
      <c r="N155" s="442" t="s">
        <v>648</v>
      </c>
      <c r="O155" s="442" t="s">
        <v>648</v>
      </c>
      <c r="P155" s="442">
        <v>93940</v>
      </c>
      <c r="Q155" s="442">
        <v>27104</v>
      </c>
      <c r="R155" s="442" t="s">
        <v>648</v>
      </c>
      <c r="S155" s="442" t="s">
        <v>648</v>
      </c>
      <c r="T155" s="442" t="s">
        <v>648</v>
      </c>
      <c r="U155" s="442" t="s">
        <v>648</v>
      </c>
      <c r="V155" s="442" t="s">
        <v>648</v>
      </c>
      <c r="W155" s="447" t="s">
        <v>673</v>
      </c>
    </row>
    <row r="156" spans="1:23" s="442" customFormat="1" ht="9.75" customHeight="1" x14ac:dyDescent="0.15">
      <c r="A156" s="950" t="s">
        <v>800</v>
      </c>
      <c r="B156" s="442" t="s">
        <v>648</v>
      </c>
      <c r="C156" s="442" t="s">
        <v>648</v>
      </c>
      <c r="D156" s="442" t="s">
        <v>648</v>
      </c>
      <c r="E156" s="442" t="s">
        <v>648</v>
      </c>
      <c r="F156" s="442">
        <v>630066</v>
      </c>
      <c r="G156" s="442" t="s">
        <v>648</v>
      </c>
      <c r="H156" s="442">
        <v>630066</v>
      </c>
      <c r="I156" s="442" t="s">
        <v>648</v>
      </c>
      <c r="J156" s="442" t="s">
        <v>648</v>
      </c>
      <c r="K156" s="442" t="s">
        <v>648</v>
      </c>
      <c r="L156" s="442" t="s">
        <v>648</v>
      </c>
      <c r="M156" s="442" t="s">
        <v>648</v>
      </c>
      <c r="N156" s="442">
        <v>70068</v>
      </c>
      <c r="O156" s="442">
        <v>70068</v>
      </c>
      <c r="P156" s="442">
        <v>196667</v>
      </c>
      <c r="Q156" s="442">
        <v>166073</v>
      </c>
      <c r="R156" s="442" t="s">
        <v>648</v>
      </c>
      <c r="S156" s="442" t="s">
        <v>648</v>
      </c>
      <c r="T156" s="442" t="s">
        <v>648</v>
      </c>
      <c r="U156" s="442" t="s">
        <v>648</v>
      </c>
      <c r="V156" s="442" t="s">
        <v>648</v>
      </c>
      <c r="W156" s="447" t="s">
        <v>771</v>
      </c>
    </row>
    <row r="157" spans="1:23" s="442" customFormat="1" ht="6.75" customHeight="1" x14ac:dyDescent="0.15">
      <c r="A157" s="950"/>
      <c r="W157" s="447"/>
    </row>
    <row r="158" spans="1:23" s="442" customFormat="1" ht="9.75" customHeight="1" x14ac:dyDescent="0.15">
      <c r="A158" s="950" t="s">
        <v>772</v>
      </c>
      <c r="B158" s="442" t="s">
        <v>648</v>
      </c>
      <c r="C158" s="442" t="s">
        <v>648</v>
      </c>
      <c r="D158" s="442" t="s">
        <v>648</v>
      </c>
      <c r="E158" s="442" t="s">
        <v>648</v>
      </c>
      <c r="F158" s="442">
        <v>989</v>
      </c>
      <c r="G158" s="442" t="s">
        <v>648</v>
      </c>
      <c r="H158" s="442">
        <v>989</v>
      </c>
      <c r="I158" s="442" t="s">
        <v>648</v>
      </c>
      <c r="J158" s="442" t="s">
        <v>648</v>
      </c>
      <c r="K158" s="442" t="s">
        <v>648</v>
      </c>
      <c r="L158" s="442" t="s">
        <v>648</v>
      </c>
      <c r="M158" s="442" t="s">
        <v>648</v>
      </c>
      <c r="N158" s="442" t="s">
        <v>648</v>
      </c>
      <c r="O158" s="442" t="s">
        <v>648</v>
      </c>
      <c r="P158" s="442">
        <v>19065</v>
      </c>
      <c r="Q158" s="442" t="s">
        <v>648</v>
      </c>
      <c r="R158" s="442" t="s">
        <v>648</v>
      </c>
      <c r="S158" s="442" t="s">
        <v>648</v>
      </c>
      <c r="T158" s="442" t="s">
        <v>648</v>
      </c>
      <c r="U158" s="442" t="s">
        <v>648</v>
      </c>
      <c r="V158" s="442" t="s">
        <v>648</v>
      </c>
      <c r="W158" s="447" t="s">
        <v>674</v>
      </c>
    </row>
    <row r="159" spans="1:23" s="442" customFormat="1" ht="9.75" customHeight="1" x14ac:dyDescent="0.15">
      <c r="A159" s="950" t="s">
        <v>773</v>
      </c>
      <c r="B159" s="442" t="s">
        <v>648</v>
      </c>
      <c r="C159" s="442" t="s">
        <v>648</v>
      </c>
      <c r="D159" s="442" t="s">
        <v>648</v>
      </c>
      <c r="E159" s="442" t="s">
        <v>648</v>
      </c>
      <c r="F159" s="442">
        <v>176128</v>
      </c>
      <c r="G159" s="442" t="s">
        <v>648</v>
      </c>
      <c r="H159" s="442">
        <v>176128</v>
      </c>
      <c r="I159" s="442" t="s">
        <v>648</v>
      </c>
      <c r="J159" s="442" t="s">
        <v>648</v>
      </c>
      <c r="K159" s="442" t="s">
        <v>648</v>
      </c>
      <c r="L159" s="442" t="s">
        <v>648</v>
      </c>
      <c r="M159" s="442" t="s">
        <v>648</v>
      </c>
      <c r="N159" s="442" t="s">
        <v>648</v>
      </c>
      <c r="O159" s="442" t="s">
        <v>648</v>
      </c>
      <c r="P159" s="442">
        <v>21754</v>
      </c>
      <c r="Q159" s="442">
        <v>21754</v>
      </c>
      <c r="R159" s="442" t="s">
        <v>648</v>
      </c>
      <c r="S159" s="442" t="s">
        <v>648</v>
      </c>
      <c r="T159" s="442" t="s">
        <v>648</v>
      </c>
      <c r="U159" s="442" t="s">
        <v>648</v>
      </c>
      <c r="V159" s="442" t="s">
        <v>648</v>
      </c>
      <c r="W159" s="447" t="s">
        <v>92</v>
      </c>
    </row>
    <row r="160" spans="1:23" s="442" customFormat="1" ht="9.75" customHeight="1" x14ac:dyDescent="0.15">
      <c r="A160" s="950" t="s">
        <v>774</v>
      </c>
      <c r="B160" s="442" t="s">
        <v>648</v>
      </c>
      <c r="C160" s="442" t="s">
        <v>648</v>
      </c>
      <c r="D160" s="442" t="s">
        <v>648</v>
      </c>
      <c r="E160" s="442" t="s">
        <v>648</v>
      </c>
      <c r="F160" s="442">
        <v>365072</v>
      </c>
      <c r="G160" s="442" t="s">
        <v>648</v>
      </c>
      <c r="H160" s="442">
        <v>365072</v>
      </c>
      <c r="I160" s="442" t="s">
        <v>648</v>
      </c>
      <c r="J160" s="442" t="s">
        <v>648</v>
      </c>
      <c r="K160" s="442" t="s">
        <v>648</v>
      </c>
      <c r="L160" s="442" t="s">
        <v>648</v>
      </c>
      <c r="M160" s="442" t="s">
        <v>648</v>
      </c>
      <c r="N160" s="442" t="s">
        <v>648</v>
      </c>
      <c r="O160" s="442" t="s">
        <v>648</v>
      </c>
      <c r="P160" s="442">
        <v>38090</v>
      </c>
      <c r="Q160" s="442">
        <v>18204</v>
      </c>
      <c r="R160" s="442" t="s">
        <v>648</v>
      </c>
      <c r="S160" s="442" t="s">
        <v>648</v>
      </c>
      <c r="T160" s="442" t="s">
        <v>648</v>
      </c>
      <c r="U160" s="442" t="s">
        <v>648</v>
      </c>
      <c r="V160" s="442" t="s">
        <v>648</v>
      </c>
      <c r="W160" s="447" t="s">
        <v>93</v>
      </c>
    </row>
    <row r="161" spans="1:23" s="442" customFormat="1" ht="9.75" customHeight="1" x14ac:dyDescent="0.15">
      <c r="A161" s="950" t="s">
        <v>801</v>
      </c>
      <c r="B161" s="442" t="s">
        <v>648</v>
      </c>
      <c r="C161" s="442" t="s">
        <v>648</v>
      </c>
      <c r="D161" s="442" t="s">
        <v>648</v>
      </c>
      <c r="E161" s="442" t="s">
        <v>648</v>
      </c>
      <c r="F161" s="442" t="s">
        <v>648</v>
      </c>
      <c r="G161" s="442" t="s">
        <v>648</v>
      </c>
      <c r="H161" s="442" t="s">
        <v>648</v>
      </c>
      <c r="I161" s="442" t="s">
        <v>648</v>
      </c>
      <c r="J161" s="442" t="s">
        <v>648</v>
      </c>
      <c r="K161" s="442" t="s">
        <v>648</v>
      </c>
      <c r="L161" s="442" t="s">
        <v>648</v>
      </c>
      <c r="M161" s="442" t="s">
        <v>648</v>
      </c>
      <c r="N161" s="442">
        <v>22600</v>
      </c>
      <c r="O161" s="442">
        <v>22600</v>
      </c>
      <c r="P161" s="442">
        <v>65309</v>
      </c>
      <c r="Q161" s="442">
        <v>65309</v>
      </c>
      <c r="R161" s="442" t="s">
        <v>648</v>
      </c>
      <c r="S161" s="442" t="s">
        <v>648</v>
      </c>
      <c r="T161" s="442" t="s">
        <v>648</v>
      </c>
      <c r="U161" s="442" t="s">
        <v>648</v>
      </c>
      <c r="V161" s="442" t="s">
        <v>648</v>
      </c>
      <c r="W161" s="447" t="s">
        <v>94</v>
      </c>
    </row>
    <row r="162" spans="1:23" s="442" customFormat="1" ht="9.75" customHeight="1" x14ac:dyDescent="0.15">
      <c r="A162" s="950" t="s">
        <v>809</v>
      </c>
      <c r="B162" s="442" t="s">
        <v>648</v>
      </c>
      <c r="C162" s="442" t="s">
        <v>648</v>
      </c>
      <c r="D162" s="442" t="s">
        <v>648</v>
      </c>
      <c r="E162" s="442" t="s">
        <v>648</v>
      </c>
      <c r="F162" s="442">
        <v>88866</v>
      </c>
      <c r="G162" s="442" t="s">
        <v>648</v>
      </c>
      <c r="H162" s="442">
        <v>88866</v>
      </c>
      <c r="I162" s="442" t="s">
        <v>648</v>
      </c>
      <c r="J162" s="442" t="s">
        <v>648</v>
      </c>
      <c r="K162" s="442" t="s">
        <v>648</v>
      </c>
      <c r="L162" s="442" t="s">
        <v>648</v>
      </c>
      <c r="M162" s="442" t="s">
        <v>648</v>
      </c>
      <c r="N162" s="442">
        <v>47468</v>
      </c>
      <c r="O162" s="442">
        <v>47468</v>
      </c>
      <c r="P162" s="442">
        <v>71514</v>
      </c>
      <c r="Q162" s="442">
        <v>60806</v>
      </c>
      <c r="R162" s="442" t="s">
        <v>648</v>
      </c>
      <c r="S162" s="442" t="s">
        <v>648</v>
      </c>
      <c r="T162" s="442" t="s">
        <v>648</v>
      </c>
      <c r="U162" s="442" t="s">
        <v>648</v>
      </c>
      <c r="V162" s="442" t="s">
        <v>648</v>
      </c>
      <c r="W162" s="447" t="s">
        <v>777</v>
      </c>
    </row>
    <row r="163" spans="1:23" s="442" customFormat="1" ht="6.75" customHeight="1" x14ac:dyDescent="0.15">
      <c r="A163" s="950"/>
      <c r="W163" s="447"/>
    </row>
    <row r="164" spans="1:23" s="442" customFormat="1" ht="9.75" customHeight="1" x14ac:dyDescent="0.15">
      <c r="A164" s="950" t="s">
        <v>778</v>
      </c>
      <c r="B164" s="442" t="s">
        <v>648</v>
      </c>
      <c r="C164" s="442" t="s">
        <v>648</v>
      </c>
      <c r="D164" s="442" t="s">
        <v>648</v>
      </c>
      <c r="E164" s="442" t="s">
        <v>648</v>
      </c>
      <c r="F164" s="442">
        <v>989</v>
      </c>
      <c r="G164" s="442" t="s">
        <v>648</v>
      </c>
      <c r="H164" s="442">
        <v>989</v>
      </c>
      <c r="I164" s="442" t="s">
        <v>648</v>
      </c>
      <c r="J164" s="442" t="s">
        <v>648</v>
      </c>
      <c r="K164" s="442" t="s">
        <v>648</v>
      </c>
      <c r="L164" s="442" t="s">
        <v>648</v>
      </c>
      <c r="M164" s="442" t="s">
        <v>648</v>
      </c>
      <c r="N164" s="442" t="s">
        <v>648</v>
      </c>
      <c r="O164" s="442" t="s">
        <v>648</v>
      </c>
      <c r="P164" s="442">
        <v>19065</v>
      </c>
      <c r="Q164" s="442" t="s">
        <v>648</v>
      </c>
      <c r="R164" s="442" t="s">
        <v>648</v>
      </c>
      <c r="S164" s="442" t="s">
        <v>648</v>
      </c>
      <c r="T164" s="442" t="s">
        <v>648</v>
      </c>
      <c r="U164" s="442" t="s">
        <v>648</v>
      </c>
      <c r="V164" s="442" t="s">
        <v>648</v>
      </c>
      <c r="W164" s="447" t="s">
        <v>675</v>
      </c>
    </row>
    <row r="165" spans="1:23" s="442" customFormat="1" ht="9.75" customHeight="1" x14ac:dyDescent="0.15">
      <c r="A165" s="950" t="s">
        <v>779</v>
      </c>
      <c r="B165" s="442" t="s">
        <v>648</v>
      </c>
      <c r="C165" s="442" t="s">
        <v>648</v>
      </c>
      <c r="D165" s="442" t="s">
        <v>648</v>
      </c>
      <c r="E165" s="442" t="s">
        <v>648</v>
      </c>
      <c r="F165" s="442" t="s">
        <v>648</v>
      </c>
      <c r="G165" s="442" t="s">
        <v>648</v>
      </c>
      <c r="H165" s="442" t="s">
        <v>648</v>
      </c>
      <c r="I165" s="442" t="s">
        <v>648</v>
      </c>
      <c r="J165" s="442" t="s">
        <v>648</v>
      </c>
      <c r="K165" s="442" t="s">
        <v>648</v>
      </c>
      <c r="L165" s="442" t="s">
        <v>648</v>
      </c>
      <c r="M165" s="442" t="s">
        <v>648</v>
      </c>
      <c r="N165" s="442" t="s">
        <v>648</v>
      </c>
      <c r="O165" s="442" t="s">
        <v>648</v>
      </c>
      <c r="P165" s="442" t="s">
        <v>648</v>
      </c>
      <c r="Q165" s="442" t="s">
        <v>648</v>
      </c>
      <c r="R165" s="442" t="s">
        <v>648</v>
      </c>
      <c r="S165" s="442" t="s">
        <v>648</v>
      </c>
      <c r="T165" s="442" t="s">
        <v>648</v>
      </c>
      <c r="U165" s="442" t="s">
        <v>648</v>
      </c>
      <c r="V165" s="442" t="s">
        <v>648</v>
      </c>
      <c r="W165" s="447" t="s">
        <v>80</v>
      </c>
    </row>
    <row r="166" spans="1:23" s="442" customFormat="1" ht="9.75" customHeight="1" x14ac:dyDescent="0.15">
      <c r="A166" s="950" t="s">
        <v>780</v>
      </c>
      <c r="B166" s="442" t="s">
        <v>648</v>
      </c>
      <c r="C166" s="442" t="s">
        <v>648</v>
      </c>
      <c r="D166" s="442" t="s">
        <v>648</v>
      </c>
      <c r="E166" s="442" t="s">
        <v>648</v>
      </c>
      <c r="F166" s="442" t="s">
        <v>648</v>
      </c>
      <c r="G166" s="442" t="s">
        <v>648</v>
      </c>
      <c r="H166" s="442" t="s">
        <v>648</v>
      </c>
      <c r="I166" s="442" t="s">
        <v>648</v>
      </c>
      <c r="J166" s="442" t="s">
        <v>648</v>
      </c>
      <c r="K166" s="442" t="s">
        <v>648</v>
      </c>
      <c r="L166" s="442" t="s">
        <v>648</v>
      </c>
      <c r="M166" s="442" t="s">
        <v>648</v>
      </c>
      <c r="N166" s="442" t="s">
        <v>648</v>
      </c>
      <c r="O166" s="442" t="s">
        <v>648</v>
      </c>
      <c r="P166" s="442" t="s">
        <v>648</v>
      </c>
      <c r="Q166" s="442" t="s">
        <v>648</v>
      </c>
      <c r="R166" s="442" t="s">
        <v>648</v>
      </c>
      <c r="S166" s="442" t="s">
        <v>648</v>
      </c>
      <c r="T166" s="442" t="s">
        <v>648</v>
      </c>
      <c r="U166" s="442" t="s">
        <v>648</v>
      </c>
      <c r="V166" s="442" t="s">
        <v>648</v>
      </c>
      <c r="W166" s="447" t="s">
        <v>81</v>
      </c>
    </row>
    <row r="167" spans="1:23" s="442" customFormat="1" ht="9.75" customHeight="1" x14ac:dyDescent="0.15">
      <c r="A167" s="950" t="s">
        <v>781</v>
      </c>
      <c r="B167" s="442" t="s">
        <v>648</v>
      </c>
      <c r="C167" s="442" t="s">
        <v>648</v>
      </c>
      <c r="D167" s="442" t="s">
        <v>648</v>
      </c>
      <c r="E167" s="442" t="s">
        <v>648</v>
      </c>
      <c r="F167" s="442">
        <v>49908</v>
      </c>
      <c r="G167" s="442" t="s">
        <v>648</v>
      </c>
      <c r="H167" s="442">
        <v>49908</v>
      </c>
      <c r="I167" s="442" t="s">
        <v>648</v>
      </c>
      <c r="J167" s="442" t="s">
        <v>648</v>
      </c>
      <c r="K167" s="442" t="s">
        <v>648</v>
      </c>
      <c r="L167" s="442" t="s">
        <v>648</v>
      </c>
      <c r="M167" s="442" t="s">
        <v>648</v>
      </c>
      <c r="N167" s="442" t="s">
        <v>648</v>
      </c>
      <c r="O167" s="442" t="s">
        <v>648</v>
      </c>
      <c r="P167" s="442" t="s">
        <v>648</v>
      </c>
      <c r="Q167" s="442" t="s">
        <v>648</v>
      </c>
      <c r="R167" s="442" t="s">
        <v>648</v>
      </c>
      <c r="S167" s="442" t="s">
        <v>648</v>
      </c>
      <c r="T167" s="442" t="s">
        <v>648</v>
      </c>
      <c r="U167" s="442" t="s">
        <v>648</v>
      </c>
      <c r="V167" s="442" t="s">
        <v>648</v>
      </c>
      <c r="W167" s="447" t="s">
        <v>82</v>
      </c>
    </row>
    <row r="168" spans="1:23" s="442" customFormat="1" ht="9.75" customHeight="1" x14ac:dyDescent="0.15">
      <c r="A168" s="950" t="s">
        <v>782</v>
      </c>
      <c r="B168" s="442" t="s">
        <v>648</v>
      </c>
      <c r="C168" s="442" t="s">
        <v>648</v>
      </c>
      <c r="D168" s="442" t="s">
        <v>648</v>
      </c>
      <c r="E168" s="442" t="s">
        <v>648</v>
      </c>
      <c r="F168" s="442">
        <v>48750</v>
      </c>
      <c r="G168" s="442" t="s">
        <v>648</v>
      </c>
      <c r="H168" s="442">
        <v>48750</v>
      </c>
      <c r="I168" s="442" t="s">
        <v>648</v>
      </c>
      <c r="J168" s="442" t="s">
        <v>648</v>
      </c>
      <c r="K168" s="442" t="s">
        <v>648</v>
      </c>
      <c r="L168" s="442" t="s">
        <v>648</v>
      </c>
      <c r="M168" s="442" t="s">
        <v>648</v>
      </c>
      <c r="N168" s="442" t="s">
        <v>648</v>
      </c>
      <c r="O168" s="442" t="s">
        <v>648</v>
      </c>
      <c r="P168" s="442" t="s">
        <v>648</v>
      </c>
      <c r="Q168" s="442" t="s">
        <v>648</v>
      </c>
      <c r="R168" s="442" t="s">
        <v>648</v>
      </c>
      <c r="S168" s="442" t="s">
        <v>648</v>
      </c>
      <c r="T168" s="442" t="s">
        <v>648</v>
      </c>
      <c r="U168" s="442" t="s">
        <v>648</v>
      </c>
      <c r="V168" s="442" t="s">
        <v>648</v>
      </c>
      <c r="W168" s="447" t="s">
        <v>95</v>
      </c>
    </row>
    <row r="169" spans="1:23" s="442" customFormat="1" ht="9.75" customHeight="1" x14ac:dyDescent="0.15">
      <c r="A169" s="950" t="s">
        <v>783</v>
      </c>
      <c r="B169" s="442" t="s">
        <v>648</v>
      </c>
      <c r="C169" s="442" t="s">
        <v>648</v>
      </c>
      <c r="D169" s="442" t="s">
        <v>648</v>
      </c>
      <c r="E169" s="442" t="s">
        <v>648</v>
      </c>
      <c r="F169" s="442">
        <v>77470</v>
      </c>
      <c r="G169" s="442" t="s">
        <v>648</v>
      </c>
      <c r="H169" s="442">
        <v>77470</v>
      </c>
      <c r="I169" s="442" t="s">
        <v>648</v>
      </c>
      <c r="J169" s="442" t="s">
        <v>648</v>
      </c>
      <c r="K169" s="442" t="s">
        <v>648</v>
      </c>
      <c r="L169" s="442" t="s">
        <v>648</v>
      </c>
      <c r="M169" s="442" t="s">
        <v>648</v>
      </c>
      <c r="N169" s="442" t="s">
        <v>648</v>
      </c>
      <c r="O169" s="442" t="s">
        <v>648</v>
      </c>
      <c r="P169" s="442">
        <v>21754</v>
      </c>
      <c r="Q169" s="442">
        <v>21754</v>
      </c>
      <c r="R169" s="442" t="s">
        <v>648</v>
      </c>
      <c r="S169" s="442" t="s">
        <v>648</v>
      </c>
      <c r="T169" s="442" t="s">
        <v>648</v>
      </c>
      <c r="U169" s="442" t="s">
        <v>648</v>
      </c>
      <c r="V169" s="442" t="s">
        <v>648</v>
      </c>
      <c r="W169" s="447" t="s">
        <v>96</v>
      </c>
    </row>
    <row r="170" spans="1:23" s="442" customFormat="1" ht="9.75" customHeight="1" x14ac:dyDescent="0.15">
      <c r="A170" s="950" t="s">
        <v>784</v>
      </c>
      <c r="B170" s="442" t="s">
        <v>648</v>
      </c>
      <c r="C170" s="442" t="s">
        <v>648</v>
      </c>
      <c r="D170" s="442" t="s">
        <v>648</v>
      </c>
      <c r="E170" s="442" t="s">
        <v>648</v>
      </c>
      <c r="F170" s="442">
        <v>24979</v>
      </c>
      <c r="G170" s="442" t="s">
        <v>648</v>
      </c>
      <c r="H170" s="442">
        <v>24979</v>
      </c>
      <c r="I170" s="442" t="s">
        <v>648</v>
      </c>
      <c r="J170" s="442" t="s">
        <v>648</v>
      </c>
      <c r="K170" s="442" t="s">
        <v>648</v>
      </c>
      <c r="L170" s="442" t="s">
        <v>648</v>
      </c>
      <c r="M170" s="442" t="s">
        <v>648</v>
      </c>
      <c r="N170" s="442" t="s">
        <v>648</v>
      </c>
      <c r="O170" s="442" t="s">
        <v>648</v>
      </c>
      <c r="P170" s="442">
        <v>18204</v>
      </c>
      <c r="Q170" s="442">
        <v>18204</v>
      </c>
      <c r="R170" s="442" t="s">
        <v>648</v>
      </c>
      <c r="S170" s="442" t="s">
        <v>648</v>
      </c>
      <c r="T170" s="442" t="s">
        <v>648</v>
      </c>
      <c r="U170" s="442" t="s">
        <v>648</v>
      </c>
      <c r="V170" s="442" t="s">
        <v>648</v>
      </c>
      <c r="W170" s="447" t="s">
        <v>97</v>
      </c>
    </row>
    <row r="171" spans="1:23" s="442" customFormat="1" ht="9.75" customHeight="1" x14ac:dyDescent="0.15">
      <c r="A171" s="950" t="s">
        <v>806</v>
      </c>
      <c r="B171" s="442" t="s">
        <v>648</v>
      </c>
      <c r="C171" s="442" t="s">
        <v>648</v>
      </c>
      <c r="D171" s="442" t="s">
        <v>648</v>
      </c>
      <c r="E171" s="442" t="s">
        <v>648</v>
      </c>
      <c r="F171" s="442">
        <v>214457</v>
      </c>
      <c r="G171" s="442" t="s">
        <v>648</v>
      </c>
      <c r="H171" s="442">
        <v>214457</v>
      </c>
      <c r="I171" s="442" t="s">
        <v>648</v>
      </c>
      <c r="J171" s="442" t="s">
        <v>648</v>
      </c>
      <c r="K171" s="442" t="s">
        <v>648</v>
      </c>
      <c r="L171" s="442" t="s">
        <v>648</v>
      </c>
      <c r="M171" s="442" t="s">
        <v>648</v>
      </c>
      <c r="N171" s="442" t="s">
        <v>648</v>
      </c>
      <c r="O171" s="442" t="s">
        <v>648</v>
      </c>
      <c r="P171" s="442">
        <v>11119</v>
      </c>
      <c r="Q171" s="442" t="s">
        <v>648</v>
      </c>
      <c r="R171" s="442" t="s">
        <v>648</v>
      </c>
      <c r="S171" s="442" t="s">
        <v>648</v>
      </c>
      <c r="T171" s="442" t="s">
        <v>648</v>
      </c>
      <c r="U171" s="442" t="s">
        <v>648</v>
      </c>
      <c r="V171" s="442" t="s">
        <v>648</v>
      </c>
      <c r="W171" s="447" t="s">
        <v>98</v>
      </c>
    </row>
    <row r="172" spans="1:23" s="442" customFormat="1" ht="9.75" customHeight="1" x14ac:dyDescent="0.15">
      <c r="A172" s="950" t="s">
        <v>786</v>
      </c>
      <c r="B172" s="442" t="s">
        <v>648</v>
      </c>
      <c r="C172" s="442" t="s">
        <v>648</v>
      </c>
      <c r="D172" s="442" t="s">
        <v>648</v>
      </c>
      <c r="E172" s="442" t="s">
        <v>648</v>
      </c>
      <c r="F172" s="442">
        <v>125636</v>
      </c>
      <c r="G172" s="442" t="s">
        <v>648</v>
      </c>
      <c r="H172" s="442">
        <v>125636</v>
      </c>
      <c r="I172" s="442" t="s">
        <v>648</v>
      </c>
      <c r="J172" s="442" t="s">
        <v>648</v>
      </c>
      <c r="K172" s="442" t="s">
        <v>648</v>
      </c>
      <c r="L172" s="442" t="s">
        <v>648</v>
      </c>
      <c r="M172" s="442" t="s">
        <v>648</v>
      </c>
      <c r="N172" s="442" t="s">
        <v>648</v>
      </c>
      <c r="O172" s="442" t="s">
        <v>648</v>
      </c>
      <c r="P172" s="442">
        <v>8767</v>
      </c>
      <c r="Q172" s="442" t="s">
        <v>648</v>
      </c>
      <c r="R172" s="442" t="s">
        <v>648</v>
      </c>
      <c r="S172" s="442" t="s">
        <v>648</v>
      </c>
      <c r="T172" s="442" t="s">
        <v>648</v>
      </c>
      <c r="U172" s="442" t="s">
        <v>648</v>
      </c>
      <c r="V172" s="442" t="s">
        <v>648</v>
      </c>
      <c r="W172" s="447" t="s">
        <v>99</v>
      </c>
    </row>
    <row r="173" spans="1:23" s="442" customFormat="1" ht="9.75" customHeight="1" x14ac:dyDescent="0.15">
      <c r="A173" s="950" t="s">
        <v>807</v>
      </c>
      <c r="B173" s="442" t="s">
        <v>648</v>
      </c>
      <c r="C173" s="442" t="s">
        <v>648</v>
      </c>
      <c r="D173" s="442" t="s">
        <v>648</v>
      </c>
      <c r="E173" s="442" t="s">
        <v>648</v>
      </c>
      <c r="F173" s="442" t="s">
        <v>648</v>
      </c>
      <c r="G173" s="442" t="s">
        <v>648</v>
      </c>
      <c r="H173" s="442" t="s">
        <v>648</v>
      </c>
      <c r="I173" s="442" t="s">
        <v>648</v>
      </c>
      <c r="J173" s="442" t="s">
        <v>648</v>
      </c>
      <c r="K173" s="442" t="s">
        <v>648</v>
      </c>
      <c r="L173" s="442" t="s">
        <v>648</v>
      </c>
      <c r="M173" s="442" t="s">
        <v>648</v>
      </c>
      <c r="N173" s="442">
        <v>22600</v>
      </c>
      <c r="O173" s="442">
        <v>22600</v>
      </c>
      <c r="P173" s="442">
        <v>20902</v>
      </c>
      <c r="Q173" s="442">
        <v>20902</v>
      </c>
      <c r="R173" s="442" t="s">
        <v>648</v>
      </c>
      <c r="S173" s="442" t="s">
        <v>648</v>
      </c>
      <c r="T173" s="442" t="s">
        <v>648</v>
      </c>
      <c r="U173" s="442" t="s">
        <v>648</v>
      </c>
      <c r="V173" s="442" t="s">
        <v>648</v>
      </c>
      <c r="W173" s="447" t="s">
        <v>83</v>
      </c>
    </row>
    <row r="174" spans="1:23" s="442" customFormat="1" ht="9.75" customHeight="1" x14ac:dyDescent="0.15">
      <c r="A174" s="950" t="s">
        <v>788</v>
      </c>
      <c r="B174" s="442" t="s">
        <v>648</v>
      </c>
      <c r="C174" s="442" t="s">
        <v>648</v>
      </c>
      <c r="D174" s="442" t="s">
        <v>648</v>
      </c>
      <c r="E174" s="442" t="s">
        <v>648</v>
      </c>
      <c r="F174" s="442" t="s">
        <v>648</v>
      </c>
      <c r="G174" s="442" t="s">
        <v>648</v>
      </c>
      <c r="H174" s="442" t="s">
        <v>648</v>
      </c>
      <c r="I174" s="442" t="s">
        <v>648</v>
      </c>
      <c r="J174" s="442" t="s">
        <v>648</v>
      </c>
      <c r="K174" s="442" t="s">
        <v>648</v>
      </c>
      <c r="L174" s="442" t="s">
        <v>648</v>
      </c>
      <c r="M174" s="442" t="s">
        <v>648</v>
      </c>
      <c r="N174" s="442" t="s">
        <v>648</v>
      </c>
      <c r="O174" s="442" t="s">
        <v>648</v>
      </c>
      <c r="P174" s="442">
        <v>20602</v>
      </c>
      <c r="Q174" s="442">
        <v>20602</v>
      </c>
      <c r="R174" s="442" t="s">
        <v>648</v>
      </c>
      <c r="S174" s="442" t="s">
        <v>648</v>
      </c>
      <c r="T174" s="442" t="s">
        <v>648</v>
      </c>
      <c r="U174" s="442" t="s">
        <v>648</v>
      </c>
      <c r="V174" s="442" t="s">
        <v>648</v>
      </c>
      <c r="W174" s="447" t="s">
        <v>84</v>
      </c>
    </row>
    <row r="175" spans="1:23" s="442" customFormat="1" ht="9.75" customHeight="1" x14ac:dyDescent="0.15">
      <c r="A175" s="950" t="s">
        <v>789</v>
      </c>
      <c r="B175" s="442" t="s">
        <v>648</v>
      </c>
      <c r="C175" s="442" t="s">
        <v>648</v>
      </c>
      <c r="D175" s="442" t="s">
        <v>648</v>
      </c>
      <c r="E175" s="442" t="s">
        <v>648</v>
      </c>
      <c r="F175" s="442" t="s">
        <v>648</v>
      </c>
      <c r="G175" s="442" t="s">
        <v>648</v>
      </c>
      <c r="H175" s="442" t="s">
        <v>648</v>
      </c>
      <c r="I175" s="442" t="s">
        <v>648</v>
      </c>
      <c r="J175" s="442" t="s">
        <v>648</v>
      </c>
      <c r="K175" s="442" t="s">
        <v>648</v>
      </c>
      <c r="L175" s="442" t="s">
        <v>648</v>
      </c>
      <c r="M175" s="442" t="s">
        <v>648</v>
      </c>
      <c r="N175" s="442" t="s">
        <v>648</v>
      </c>
      <c r="O175" s="442" t="s">
        <v>648</v>
      </c>
      <c r="P175" s="442">
        <v>23805</v>
      </c>
      <c r="Q175" s="442">
        <v>23805</v>
      </c>
      <c r="R175" s="442" t="s">
        <v>648</v>
      </c>
      <c r="S175" s="442" t="s">
        <v>648</v>
      </c>
      <c r="T175" s="442" t="s">
        <v>648</v>
      </c>
      <c r="U175" s="442" t="s">
        <v>648</v>
      </c>
      <c r="V175" s="442" t="s">
        <v>648</v>
      </c>
      <c r="W175" s="447" t="s">
        <v>85</v>
      </c>
    </row>
    <row r="176" spans="1:23" s="442" customFormat="1" ht="9.75" customHeight="1" x14ac:dyDescent="0.15">
      <c r="A176" s="950" t="s">
        <v>790</v>
      </c>
      <c r="B176" s="442" t="s">
        <v>648</v>
      </c>
      <c r="C176" s="442" t="s">
        <v>648</v>
      </c>
      <c r="D176" s="442" t="s">
        <v>648</v>
      </c>
      <c r="E176" s="442" t="s">
        <v>648</v>
      </c>
      <c r="F176" s="442">
        <v>40002</v>
      </c>
      <c r="G176" s="442" t="s">
        <v>648</v>
      </c>
      <c r="H176" s="442">
        <v>40002</v>
      </c>
      <c r="I176" s="442" t="s">
        <v>648</v>
      </c>
      <c r="J176" s="442" t="s">
        <v>648</v>
      </c>
      <c r="K176" s="442" t="s">
        <v>648</v>
      </c>
      <c r="L176" s="442" t="s">
        <v>648</v>
      </c>
      <c r="M176" s="442" t="s">
        <v>648</v>
      </c>
      <c r="N176" s="442" t="s">
        <v>648</v>
      </c>
      <c r="O176" s="442" t="s">
        <v>648</v>
      </c>
      <c r="P176" s="442">
        <v>33303</v>
      </c>
      <c r="Q176" s="442">
        <v>33303</v>
      </c>
      <c r="R176" s="442" t="s">
        <v>648</v>
      </c>
      <c r="S176" s="442" t="s">
        <v>648</v>
      </c>
      <c r="T176" s="442" t="s">
        <v>648</v>
      </c>
      <c r="U176" s="442" t="s">
        <v>648</v>
      </c>
      <c r="V176" s="442" t="s">
        <v>648</v>
      </c>
      <c r="W176" s="447" t="s">
        <v>791</v>
      </c>
    </row>
    <row r="177" spans="1:23" s="442" customFormat="1" ht="9.75" customHeight="1" x14ac:dyDescent="0.15">
      <c r="A177" s="950" t="s">
        <v>792</v>
      </c>
      <c r="B177" s="442" t="s">
        <v>648</v>
      </c>
      <c r="C177" s="442" t="s">
        <v>648</v>
      </c>
      <c r="D177" s="442" t="s">
        <v>648</v>
      </c>
      <c r="E177" s="442" t="s">
        <v>648</v>
      </c>
      <c r="F177" s="442">
        <v>48228</v>
      </c>
      <c r="G177" s="442" t="s">
        <v>648</v>
      </c>
      <c r="H177" s="442">
        <v>48228</v>
      </c>
      <c r="I177" s="442" t="s">
        <v>648</v>
      </c>
      <c r="J177" s="442" t="s">
        <v>648</v>
      </c>
      <c r="K177" s="442" t="s">
        <v>648</v>
      </c>
      <c r="L177" s="442" t="s">
        <v>648</v>
      </c>
      <c r="M177" s="442" t="s">
        <v>648</v>
      </c>
      <c r="N177" s="442" t="s">
        <v>648</v>
      </c>
      <c r="O177" s="442" t="s">
        <v>648</v>
      </c>
      <c r="P177" s="442">
        <v>31667</v>
      </c>
      <c r="Q177" s="442">
        <v>27503</v>
      </c>
      <c r="R177" s="442" t="s">
        <v>648</v>
      </c>
      <c r="S177" s="442" t="s">
        <v>648</v>
      </c>
      <c r="T177" s="442" t="s">
        <v>648</v>
      </c>
      <c r="U177" s="442" t="s">
        <v>648</v>
      </c>
      <c r="V177" s="442" t="s">
        <v>648</v>
      </c>
      <c r="W177" s="447" t="s">
        <v>80</v>
      </c>
    </row>
    <row r="178" spans="1:23" s="442" customFormat="1" ht="9.75" customHeight="1" x14ac:dyDescent="0.15">
      <c r="A178" s="951" t="s">
        <v>793</v>
      </c>
      <c r="B178" s="446" t="s">
        <v>648</v>
      </c>
      <c r="C178" s="445" t="s">
        <v>648</v>
      </c>
      <c r="D178" s="445" t="s">
        <v>648</v>
      </c>
      <c r="E178" s="445" t="s">
        <v>648</v>
      </c>
      <c r="F178" s="445">
        <v>636</v>
      </c>
      <c r="G178" s="445" t="s">
        <v>648</v>
      </c>
      <c r="H178" s="445">
        <v>636</v>
      </c>
      <c r="I178" s="445" t="s">
        <v>648</v>
      </c>
      <c r="J178" s="445" t="s">
        <v>648</v>
      </c>
      <c r="K178" s="445" t="s">
        <v>648</v>
      </c>
      <c r="L178" s="445" t="s">
        <v>648</v>
      </c>
      <c r="M178" s="445" t="s">
        <v>648</v>
      </c>
      <c r="N178" s="445">
        <v>47468</v>
      </c>
      <c r="O178" s="445">
        <v>47468</v>
      </c>
      <c r="P178" s="445">
        <v>6544</v>
      </c>
      <c r="Q178" s="445" t="s">
        <v>648</v>
      </c>
      <c r="R178" s="445" t="s">
        <v>648</v>
      </c>
      <c r="S178" s="445" t="s">
        <v>648</v>
      </c>
      <c r="T178" s="445" t="s">
        <v>648</v>
      </c>
      <c r="U178" s="445" t="s">
        <v>648</v>
      </c>
      <c r="V178" s="445" t="s">
        <v>648</v>
      </c>
      <c r="W178" s="443" t="s">
        <v>81</v>
      </c>
    </row>
    <row r="179" spans="1:23" ht="12" customHeight="1" x14ac:dyDescent="0.2"/>
    <row r="180" spans="1:23" ht="12" customHeight="1" x14ac:dyDescent="0.2"/>
    <row r="181" spans="1:23" ht="12" customHeight="1" x14ac:dyDescent="0.2">
      <c r="K181" s="457" t="s">
        <v>100</v>
      </c>
    </row>
    <row r="182" spans="1:23" s="453" customFormat="1" ht="21" customHeight="1" x14ac:dyDescent="0.2">
      <c r="A182" s="1089" t="s">
        <v>194</v>
      </c>
      <c r="B182" s="456" t="s">
        <v>377</v>
      </c>
      <c r="C182" s="455"/>
      <c r="D182" s="455"/>
      <c r="E182" s="455"/>
      <c r="F182" s="917"/>
      <c r="G182" s="918" t="s">
        <v>332</v>
      </c>
      <c r="H182" s="455"/>
      <c r="I182" s="455"/>
      <c r="J182" s="455"/>
      <c r="K182" s="455"/>
      <c r="L182" s="455"/>
      <c r="M182" s="455"/>
      <c r="N182" s="455"/>
      <c r="O182" s="455"/>
      <c r="P182" s="917"/>
      <c r="Q182" s="918" t="s">
        <v>328</v>
      </c>
      <c r="R182" s="455"/>
      <c r="S182" s="455"/>
      <c r="T182" s="455"/>
      <c r="U182" s="455"/>
      <c r="V182" s="455"/>
      <c r="W182" s="1092" t="s">
        <v>86</v>
      </c>
    </row>
    <row r="183" spans="1:23" s="453" customFormat="1" ht="21" customHeight="1" x14ac:dyDescent="0.2">
      <c r="A183" s="1090"/>
      <c r="B183" s="456" t="s">
        <v>119</v>
      </c>
      <c r="C183" s="917"/>
      <c r="D183" s="918" t="s">
        <v>1135</v>
      </c>
      <c r="E183" s="455"/>
      <c r="F183" s="917"/>
      <c r="G183" s="1095" t="s">
        <v>329</v>
      </c>
      <c r="H183" s="918" t="s">
        <v>297</v>
      </c>
      <c r="I183" s="455"/>
      <c r="J183" s="917"/>
      <c r="K183" s="918" t="s">
        <v>288</v>
      </c>
      <c r="L183" s="917"/>
      <c r="M183" s="918" t="s">
        <v>270</v>
      </c>
      <c r="N183" s="917"/>
      <c r="O183" s="918" t="s">
        <v>1135</v>
      </c>
      <c r="P183" s="917"/>
      <c r="Q183" s="1095" t="s">
        <v>326</v>
      </c>
      <c r="R183" s="918" t="s">
        <v>297</v>
      </c>
      <c r="S183" s="455"/>
      <c r="T183" s="455"/>
      <c r="U183" s="455"/>
      <c r="V183" s="455"/>
      <c r="W183" s="1093"/>
    </row>
    <row r="184" spans="1:23" s="453" customFormat="1" ht="52.5" customHeight="1" x14ac:dyDescent="0.2">
      <c r="A184" s="1091"/>
      <c r="B184" s="454" t="s">
        <v>374</v>
      </c>
      <c r="C184" s="454" t="s">
        <v>481</v>
      </c>
      <c r="D184" s="920" t="s">
        <v>353</v>
      </c>
      <c r="E184" s="454" t="s">
        <v>372</v>
      </c>
      <c r="F184" s="454" t="s">
        <v>352</v>
      </c>
      <c r="G184" s="1096"/>
      <c r="H184" s="920" t="s">
        <v>1096</v>
      </c>
      <c r="I184" s="454" t="s">
        <v>286</v>
      </c>
      <c r="J184" s="454" t="s">
        <v>284</v>
      </c>
      <c r="K184" s="920" t="s">
        <v>1089</v>
      </c>
      <c r="L184" s="454" t="s">
        <v>274</v>
      </c>
      <c r="M184" s="920" t="s">
        <v>1094</v>
      </c>
      <c r="N184" s="454" t="s">
        <v>263</v>
      </c>
      <c r="O184" s="920" t="s">
        <v>353</v>
      </c>
      <c r="P184" s="454" t="s">
        <v>372</v>
      </c>
      <c r="Q184" s="1096"/>
      <c r="R184" s="920" t="s">
        <v>1096</v>
      </c>
      <c r="S184" s="454" t="s">
        <v>286</v>
      </c>
      <c r="T184" s="454" t="s">
        <v>1097</v>
      </c>
      <c r="U184" s="454" t="s">
        <v>307</v>
      </c>
      <c r="V184" s="458" t="s">
        <v>314</v>
      </c>
      <c r="W184" s="1094"/>
    </row>
    <row r="185" spans="1:23" s="442" customFormat="1" ht="9.75" customHeight="1" x14ac:dyDescent="0.15">
      <c r="A185" s="949" t="s">
        <v>763</v>
      </c>
      <c r="B185" s="452">
        <v>132237</v>
      </c>
      <c r="C185" s="451">
        <v>5725</v>
      </c>
      <c r="D185" s="451">
        <v>7372526</v>
      </c>
      <c r="E185" s="451">
        <v>22396</v>
      </c>
      <c r="F185" s="451">
        <v>7350130</v>
      </c>
      <c r="G185" s="451">
        <v>545768</v>
      </c>
      <c r="H185" s="451">
        <v>539214</v>
      </c>
      <c r="I185" s="451">
        <v>539214</v>
      </c>
      <c r="J185" s="451" t="s">
        <v>648</v>
      </c>
      <c r="K185" s="451" t="s">
        <v>648</v>
      </c>
      <c r="L185" s="451" t="s">
        <v>648</v>
      </c>
      <c r="M185" s="451">
        <v>6400</v>
      </c>
      <c r="N185" s="451">
        <v>6400</v>
      </c>
      <c r="O185" s="451">
        <v>154</v>
      </c>
      <c r="P185" s="451">
        <v>154</v>
      </c>
      <c r="Q185" s="451">
        <v>9230666</v>
      </c>
      <c r="R185" s="451">
        <v>2466523</v>
      </c>
      <c r="S185" s="451">
        <v>185602</v>
      </c>
      <c r="T185" s="451">
        <v>15490</v>
      </c>
      <c r="U185" s="451">
        <v>71477</v>
      </c>
      <c r="V185" s="451">
        <v>1008656</v>
      </c>
      <c r="W185" s="449" t="s">
        <v>464</v>
      </c>
    </row>
    <row r="186" spans="1:23" s="442" customFormat="1" ht="9.75" customHeight="1" x14ac:dyDescent="0.15">
      <c r="A186" s="950" t="s">
        <v>764</v>
      </c>
      <c r="B186" s="442">
        <v>115485</v>
      </c>
      <c r="C186" s="442" t="s">
        <v>648</v>
      </c>
      <c r="D186" s="442">
        <v>7267546</v>
      </c>
      <c r="E186" s="442">
        <v>1090</v>
      </c>
      <c r="F186" s="442">
        <v>7266456</v>
      </c>
      <c r="G186" s="442">
        <v>598845</v>
      </c>
      <c r="H186" s="442">
        <v>598731</v>
      </c>
      <c r="I186" s="442">
        <v>598731</v>
      </c>
      <c r="J186" s="442" t="s">
        <v>648</v>
      </c>
      <c r="K186" s="442" t="s">
        <v>648</v>
      </c>
      <c r="L186" s="442" t="s">
        <v>648</v>
      </c>
      <c r="M186" s="442" t="s">
        <v>648</v>
      </c>
      <c r="N186" s="442" t="s">
        <v>648</v>
      </c>
      <c r="O186" s="442">
        <v>114</v>
      </c>
      <c r="P186" s="442">
        <v>114</v>
      </c>
      <c r="Q186" s="442">
        <v>7538463</v>
      </c>
      <c r="R186" s="442">
        <v>2055882</v>
      </c>
      <c r="S186" s="442">
        <v>489464</v>
      </c>
      <c r="T186" s="442">
        <v>144405</v>
      </c>
      <c r="U186" s="442">
        <v>443043</v>
      </c>
      <c r="V186" s="442">
        <v>301646</v>
      </c>
      <c r="W186" s="447" t="s">
        <v>489</v>
      </c>
    </row>
    <row r="187" spans="1:23" s="442" customFormat="1" ht="9.75" customHeight="1" x14ac:dyDescent="0.15">
      <c r="A187" s="950" t="s">
        <v>765</v>
      </c>
      <c r="B187" s="442">
        <v>113866</v>
      </c>
      <c r="C187" s="442" t="s">
        <v>648</v>
      </c>
      <c r="D187" s="442">
        <v>7845409</v>
      </c>
      <c r="E187" s="442">
        <v>12000</v>
      </c>
      <c r="F187" s="442">
        <v>7833409</v>
      </c>
      <c r="G187" s="442">
        <v>955739</v>
      </c>
      <c r="H187" s="442">
        <v>932524</v>
      </c>
      <c r="I187" s="442">
        <v>932524</v>
      </c>
      <c r="J187" s="442" t="s">
        <v>648</v>
      </c>
      <c r="K187" s="442">
        <v>23097</v>
      </c>
      <c r="L187" s="442">
        <v>23097</v>
      </c>
      <c r="M187" s="442" t="s">
        <v>648</v>
      </c>
      <c r="N187" s="442" t="s">
        <v>648</v>
      </c>
      <c r="O187" s="442">
        <v>118</v>
      </c>
      <c r="P187" s="442">
        <v>118</v>
      </c>
      <c r="Q187" s="442">
        <v>9901113</v>
      </c>
      <c r="R187" s="442">
        <v>2472706</v>
      </c>
      <c r="S187" s="442">
        <v>507817</v>
      </c>
      <c r="T187" s="442">
        <v>365579</v>
      </c>
      <c r="U187" s="442">
        <v>638684</v>
      </c>
      <c r="V187" s="442">
        <v>341653</v>
      </c>
      <c r="W187" s="447" t="s">
        <v>549</v>
      </c>
    </row>
    <row r="188" spans="1:23" s="442" customFormat="1" ht="9.75" customHeight="1" x14ac:dyDescent="0.15">
      <c r="A188" s="950" t="s">
        <v>766</v>
      </c>
      <c r="B188" s="442">
        <v>61751</v>
      </c>
      <c r="C188" s="442" t="s">
        <v>648</v>
      </c>
      <c r="D188" s="442">
        <v>3483001</v>
      </c>
      <c r="E188" s="442" t="s">
        <v>648</v>
      </c>
      <c r="F188" s="442">
        <v>3483001</v>
      </c>
      <c r="G188" s="442">
        <v>1313743</v>
      </c>
      <c r="H188" s="442">
        <v>1212529</v>
      </c>
      <c r="I188" s="442">
        <v>1167129</v>
      </c>
      <c r="J188" s="442">
        <v>45400</v>
      </c>
      <c r="K188" s="442">
        <v>101086</v>
      </c>
      <c r="L188" s="442">
        <v>101086</v>
      </c>
      <c r="M188" s="442" t="s">
        <v>648</v>
      </c>
      <c r="N188" s="442" t="s">
        <v>648</v>
      </c>
      <c r="O188" s="442">
        <v>128</v>
      </c>
      <c r="P188" s="442">
        <v>128</v>
      </c>
      <c r="Q188" s="442">
        <v>3962210</v>
      </c>
      <c r="R188" s="442">
        <v>1543658</v>
      </c>
      <c r="S188" s="442">
        <v>801737</v>
      </c>
      <c r="T188" s="442">
        <v>76201</v>
      </c>
      <c r="U188" s="442">
        <v>50000</v>
      </c>
      <c r="V188" s="442">
        <v>127841</v>
      </c>
      <c r="W188" s="447" t="s">
        <v>672</v>
      </c>
    </row>
    <row r="189" spans="1:23" s="442" customFormat="1" ht="9.75" customHeight="1" x14ac:dyDescent="0.15">
      <c r="A189" s="950" t="s">
        <v>767</v>
      </c>
      <c r="B189" s="442">
        <v>38951</v>
      </c>
      <c r="C189" s="442" t="s">
        <v>648</v>
      </c>
      <c r="D189" s="442">
        <v>3855913</v>
      </c>
      <c r="E189" s="442" t="s">
        <v>648</v>
      </c>
      <c r="F189" s="442">
        <v>3855913</v>
      </c>
      <c r="G189" s="442">
        <v>511923</v>
      </c>
      <c r="H189" s="442">
        <v>404064</v>
      </c>
      <c r="I189" s="442">
        <v>404064</v>
      </c>
      <c r="J189" s="442" t="s">
        <v>648</v>
      </c>
      <c r="K189" s="442">
        <v>107739</v>
      </c>
      <c r="L189" s="442">
        <v>107739</v>
      </c>
      <c r="M189" s="442" t="s">
        <v>648</v>
      </c>
      <c r="N189" s="442" t="s">
        <v>648</v>
      </c>
      <c r="O189" s="442">
        <v>120</v>
      </c>
      <c r="P189" s="442">
        <v>120</v>
      </c>
      <c r="Q189" s="442">
        <v>4886875</v>
      </c>
      <c r="R189" s="442">
        <v>1645849</v>
      </c>
      <c r="S189" s="442">
        <v>645041</v>
      </c>
      <c r="T189" s="442">
        <v>113318</v>
      </c>
      <c r="U189" s="442" t="s">
        <v>648</v>
      </c>
      <c r="V189" s="442">
        <v>133072</v>
      </c>
      <c r="W189" s="447" t="s">
        <v>768</v>
      </c>
    </row>
    <row r="190" spans="1:23" s="442" customFormat="1" ht="6.75" customHeight="1" x14ac:dyDescent="0.15">
      <c r="A190" s="950"/>
      <c r="W190" s="447"/>
    </row>
    <row r="191" spans="1:23" s="442" customFormat="1" ht="9.75" customHeight="1" x14ac:dyDescent="0.15">
      <c r="A191" s="950" t="s">
        <v>799</v>
      </c>
      <c r="B191" s="442">
        <v>66836</v>
      </c>
      <c r="C191" s="442" t="s">
        <v>648</v>
      </c>
      <c r="D191" s="442">
        <v>2825621</v>
      </c>
      <c r="E191" s="442" t="s">
        <v>648</v>
      </c>
      <c r="F191" s="442">
        <v>2825621</v>
      </c>
      <c r="G191" s="442">
        <v>1299995</v>
      </c>
      <c r="H191" s="442">
        <v>1198757</v>
      </c>
      <c r="I191" s="442">
        <v>1198757</v>
      </c>
      <c r="J191" s="442" t="s">
        <v>648</v>
      </c>
      <c r="K191" s="442">
        <v>101086</v>
      </c>
      <c r="L191" s="442">
        <v>101086</v>
      </c>
      <c r="M191" s="442" t="s">
        <v>648</v>
      </c>
      <c r="N191" s="442" t="s">
        <v>648</v>
      </c>
      <c r="O191" s="442">
        <v>152</v>
      </c>
      <c r="P191" s="442">
        <v>152</v>
      </c>
      <c r="Q191" s="442">
        <v>2899710</v>
      </c>
      <c r="R191" s="442">
        <v>1351549</v>
      </c>
      <c r="S191" s="442">
        <v>1011349</v>
      </c>
      <c r="T191" s="442">
        <v>94883</v>
      </c>
      <c r="U191" s="442" t="s">
        <v>648</v>
      </c>
      <c r="V191" s="442">
        <v>77801</v>
      </c>
      <c r="W191" s="447" t="s">
        <v>673</v>
      </c>
    </row>
    <row r="192" spans="1:23" s="442" customFormat="1" ht="9.75" customHeight="1" x14ac:dyDescent="0.15">
      <c r="A192" s="950" t="s">
        <v>800</v>
      </c>
      <c r="B192" s="442">
        <v>30594</v>
      </c>
      <c r="C192" s="442" t="s">
        <v>648</v>
      </c>
      <c r="D192" s="442">
        <v>4029052</v>
      </c>
      <c r="E192" s="442" t="s">
        <v>648</v>
      </c>
      <c r="F192" s="442">
        <v>4029052</v>
      </c>
      <c r="G192" s="442">
        <v>384819</v>
      </c>
      <c r="H192" s="442">
        <v>276936</v>
      </c>
      <c r="I192" s="442">
        <v>276936</v>
      </c>
      <c r="J192" s="442" t="s">
        <v>648</v>
      </c>
      <c r="K192" s="442">
        <v>107739</v>
      </c>
      <c r="L192" s="442">
        <v>107739</v>
      </c>
      <c r="M192" s="442" t="s">
        <v>648</v>
      </c>
      <c r="N192" s="442" t="s">
        <v>648</v>
      </c>
      <c r="O192" s="442">
        <v>144</v>
      </c>
      <c r="P192" s="442">
        <v>144</v>
      </c>
      <c r="Q192" s="442">
        <v>5938069</v>
      </c>
      <c r="R192" s="442">
        <v>2152360</v>
      </c>
      <c r="S192" s="442">
        <v>462136</v>
      </c>
      <c r="T192" s="442">
        <v>63435</v>
      </c>
      <c r="U192" s="442" t="s">
        <v>648</v>
      </c>
      <c r="V192" s="442">
        <v>133072</v>
      </c>
      <c r="W192" s="447" t="s">
        <v>771</v>
      </c>
    </row>
    <row r="193" spans="1:23" s="442" customFormat="1" ht="6.75" customHeight="1" x14ac:dyDescent="0.15">
      <c r="A193" s="950"/>
      <c r="W193" s="447"/>
    </row>
    <row r="194" spans="1:23" s="442" customFormat="1" ht="9.75" customHeight="1" x14ac:dyDescent="0.15">
      <c r="A194" s="950" t="s">
        <v>772</v>
      </c>
      <c r="B194" s="442">
        <v>19065</v>
      </c>
      <c r="C194" s="442" t="s">
        <v>648</v>
      </c>
      <c r="D194" s="442">
        <v>870312</v>
      </c>
      <c r="E194" s="442" t="s">
        <v>648</v>
      </c>
      <c r="F194" s="442">
        <v>870312</v>
      </c>
      <c r="G194" s="442">
        <v>284470</v>
      </c>
      <c r="H194" s="442">
        <v>284396</v>
      </c>
      <c r="I194" s="442">
        <v>284396</v>
      </c>
      <c r="J194" s="442" t="s">
        <v>648</v>
      </c>
      <c r="K194" s="442" t="s">
        <v>648</v>
      </c>
      <c r="L194" s="442" t="s">
        <v>648</v>
      </c>
      <c r="M194" s="442" t="s">
        <v>648</v>
      </c>
      <c r="N194" s="442" t="s">
        <v>648</v>
      </c>
      <c r="O194" s="442">
        <v>74</v>
      </c>
      <c r="P194" s="442">
        <v>74</v>
      </c>
      <c r="Q194" s="442">
        <v>933718</v>
      </c>
      <c r="R194" s="442">
        <v>408313</v>
      </c>
      <c r="S194" s="442">
        <v>308354</v>
      </c>
      <c r="T194" s="442">
        <v>49883</v>
      </c>
      <c r="U194" s="442" t="s">
        <v>648</v>
      </c>
      <c r="V194" s="442" t="s">
        <v>648</v>
      </c>
      <c r="W194" s="447" t="s">
        <v>674</v>
      </c>
    </row>
    <row r="195" spans="1:23" s="442" customFormat="1" ht="9.75" customHeight="1" x14ac:dyDescent="0.15">
      <c r="A195" s="950" t="s">
        <v>773</v>
      </c>
      <c r="B195" s="442" t="s">
        <v>648</v>
      </c>
      <c r="C195" s="442" t="s">
        <v>648</v>
      </c>
      <c r="D195" s="442">
        <v>888199</v>
      </c>
      <c r="E195" s="442" t="s">
        <v>648</v>
      </c>
      <c r="F195" s="442">
        <v>888199</v>
      </c>
      <c r="G195" s="442">
        <v>37704</v>
      </c>
      <c r="H195" s="442" t="s">
        <v>648</v>
      </c>
      <c r="I195" s="442" t="s">
        <v>648</v>
      </c>
      <c r="J195" s="442" t="s">
        <v>648</v>
      </c>
      <c r="K195" s="442">
        <v>37700</v>
      </c>
      <c r="L195" s="442">
        <v>37700</v>
      </c>
      <c r="M195" s="442" t="s">
        <v>648</v>
      </c>
      <c r="N195" s="442" t="s">
        <v>648</v>
      </c>
      <c r="O195" s="442">
        <v>4</v>
      </c>
      <c r="P195" s="442">
        <v>4</v>
      </c>
      <c r="Q195" s="442">
        <v>474581</v>
      </c>
      <c r="R195" s="442">
        <v>202725</v>
      </c>
      <c r="S195" s="442">
        <v>142123</v>
      </c>
      <c r="T195" s="442">
        <v>10601</v>
      </c>
      <c r="U195" s="442" t="s">
        <v>648</v>
      </c>
      <c r="V195" s="442" t="s">
        <v>648</v>
      </c>
      <c r="W195" s="447" t="s">
        <v>92</v>
      </c>
    </row>
    <row r="196" spans="1:23" s="442" customFormat="1" ht="9.75" customHeight="1" x14ac:dyDescent="0.15">
      <c r="A196" s="950" t="s">
        <v>774</v>
      </c>
      <c r="B196" s="442">
        <v>19886</v>
      </c>
      <c r="C196" s="442" t="s">
        <v>648</v>
      </c>
      <c r="D196" s="442">
        <v>953435</v>
      </c>
      <c r="E196" s="442" t="s">
        <v>648</v>
      </c>
      <c r="F196" s="442">
        <v>953435</v>
      </c>
      <c r="G196" s="442">
        <v>117725</v>
      </c>
      <c r="H196" s="442">
        <v>47686</v>
      </c>
      <c r="I196" s="442">
        <v>47686</v>
      </c>
      <c r="J196" s="442" t="s">
        <v>648</v>
      </c>
      <c r="K196" s="442">
        <v>70039</v>
      </c>
      <c r="L196" s="442">
        <v>70039</v>
      </c>
      <c r="M196" s="442" t="s">
        <v>648</v>
      </c>
      <c r="N196" s="442" t="s">
        <v>648</v>
      </c>
      <c r="O196" s="442" t="s">
        <v>648</v>
      </c>
      <c r="P196" s="442" t="s">
        <v>648</v>
      </c>
      <c r="Q196" s="442">
        <v>1892808</v>
      </c>
      <c r="R196" s="442">
        <v>380214</v>
      </c>
      <c r="S196" s="442">
        <v>110521</v>
      </c>
      <c r="T196" s="442">
        <v>5390</v>
      </c>
      <c r="U196" s="442" t="s">
        <v>648</v>
      </c>
      <c r="V196" s="442">
        <v>47603</v>
      </c>
      <c r="W196" s="447" t="s">
        <v>93</v>
      </c>
    </row>
    <row r="197" spans="1:23" s="442" customFormat="1" ht="9.75" customHeight="1" x14ac:dyDescent="0.15">
      <c r="A197" s="950" t="s">
        <v>801</v>
      </c>
      <c r="B197" s="442" t="s">
        <v>648</v>
      </c>
      <c r="C197" s="442" t="s">
        <v>648</v>
      </c>
      <c r="D197" s="442">
        <v>1143967</v>
      </c>
      <c r="E197" s="442" t="s">
        <v>648</v>
      </c>
      <c r="F197" s="442">
        <v>1143967</v>
      </c>
      <c r="G197" s="442">
        <v>72024</v>
      </c>
      <c r="H197" s="442">
        <v>71982</v>
      </c>
      <c r="I197" s="442">
        <v>71982</v>
      </c>
      <c r="J197" s="442" t="s">
        <v>648</v>
      </c>
      <c r="K197" s="442" t="s">
        <v>648</v>
      </c>
      <c r="L197" s="442" t="s">
        <v>648</v>
      </c>
      <c r="M197" s="442" t="s">
        <v>648</v>
      </c>
      <c r="N197" s="442" t="s">
        <v>648</v>
      </c>
      <c r="O197" s="442">
        <v>42</v>
      </c>
      <c r="P197" s="442">
        <v>42</v>
      </c>
      <c r="Q197" s="442">
        <v>1585768</v>
      </c>
      <c r="R197" s="442">
        <v>654597</v>
      </c>
      <c r="S197" s="442">
        <v>84043</v>
      </c>
      <c r="T197" s="442">
        <v>47444</v>
      </c>
      <c r="U197" s="442" t="s">
        <v>648</v>
      </c>
      <c r="V197" s="442">
        <v>85469</v>
      </c>
      <c r="W197" s="447" t="s">
        <v>94</v>
      </c>
    </row>
    <row r="198" spans="1:23" s="442" customFormat="1" ht="9.75" customHeight="1" x14ac:dyDescent="0.15">
      <c r="A198" s="950" t="s">
        <v>809</v>
      </c>
      <c r="B198" s="442">
        <v>10708</v>
      </c>
      <c r="C198" s="442" t="s">
        <v>648</v>
      </c>
      <c r="D198" s="442">
        <v>1043451</v>
      </c>
      <c r="E198" s="442" t="s">
        <v>648</v>
      </c>
      <c r="F198" s="442">
        <v>1043451</v>
      </c>
      <c r="G198" s="442">
        <v>157366</v>
      </c>
      <c r="H198" s="442">
        <v>157268</v>
      </c>
      <c r="I198" s="442">
        <v>157268</v>
      </c>
      <c r="J198" s="442" t="s">
        <v>648</v>
      </c>
      <c r="K198" s="442" t="s">
        <v>648</v>
      </c>
      <c r="L198" s="442" t="s">
        <v>648</v>
      </c>
      <c r="M198" s="442" t="s">
        <v>648</v>
      </c>
      <c r="N198" s="442" t="s">
        <v>648</v>
      </c>
      <c r="O198" s="442">
        <v>98</v>
      </c>
      <c r="P198" s="442">
        <v>98</v>
      </c>
      <c r="Q198" s="442">
        <v>1984912</v>
      </c>
      <c r="R198" s="442">
        <v>914824</v>
      </c>
      <c r="S198" s="442">
        <v>125449</v>
      </c>
      <c r="T198" s="442" t="s">
        <v>648</v>
      </c>
      <c r="U198" s="442" t="s">
        <v>648</v>
      </c>
      <c r="V198" s="442" t="s">
        <v>648</v>
      </c>
      <c r="W198" s="447" t="s">
        <v>777</v>
      </c>
    </row>
    <row r="199" spans="1:23" s="442" customFormat="1" ht="6.75" customHeight="1" x14ac:dyDescent="0.15">
      <c r="A199" s="950"/>
      <c r="W199" s="447"/>
    </row>
    <row r="200" spans="1:23" s="442" customFormat="1" ht="9.75" customHeight="1" x14ac:dyDescent="0.15">
      <c r="A200" s="950" t="s">
        <v>778</v>
      </c>
      <c r="B200" s="442">
        <v>19065</v>
      </c>
      <c r="C200" s="442" t="s">
        <v>648</v>
      </c>
      <c r="D200" s="442">
        <v>292254</v>
      </c>
      <c r="E200" s="442" t="s">
        <v>648</v>
      </c>
      <c r="F200" s="442">
        <v>292254</v>
      </c>
      <c r="G200" s="442">
        <v>159991</v>
      </c>
      <c r="H200" s="442">
        <v>159957</v>
      </c>
      <c r="I200" s="442">
        <v>159957</v>
      </c>
      <c r="J200" s="442" t="s">
        <v>648</v>
      </c>
      <c r="K200" s="442" t="s">
        <v>648</v>
      </c>
      <c r="L200" s="442" t="s">
        <v>648</v>
      </c>
      <c r="M200" s="442" t="s">
        <v>648</v>
      </c>
      <c r="N200" s="442" t="s">
        <v>648</v>
      </c>
      <c r="O200" s="442">
        <v>34</v>
      </c>
      <c r="P200" s="442">
        <v>34</v>
      </c>
      <c r="Q200" s="442">
        <v>372233</v>
      </c>
      <c r="R200" s="442">
        <v>123923</v>
      </c>
      <c r="S200" s="442">
        <v>98900</v>
      </c>
      <c r="T200" s="442">
        <v>25023</v>
      </c>
      <c r="U200" s="442" t="s">
        <v>648</v>
      </c>
      <c r="V200" s="442" t="s">
        <v>648</v>
      </c>
      <c r="W200" s="447" t="s">
        <v>675</v>
      </c>
    </row>
    <row r="201" spans="1:23" s="442" customFormat="1" ht="9.75" customHeight="1" x14ac:dyDescent="0.15">
      <c r="A201" s="950" t="s">
        <v>779</v>
      </c>
      <c r="B201" s="442" t="s">
        <v>648</v>
      </c>
      <c r="C201" s="442" t="s">
        <v>648</v>
      </c>
      <c r="D201" s="442">
        <v>266005</v>
      </c>
      <c r="E201" s="442" t="s">
        <v>648</v>
      </c>
      <c r="F201" s="442">
        <v>266005</v>
      </c>
      <c r="G201" s="442">
        <v>74990</v>
      </c>
      <c r="H201" s="442">
        <v>74980</v>
      </c>
      <c r="I201" s="442">
        <v>74980</v>
      </c>
      <c r="J201" s="442" t="s">
        <v>648</v>
      </c>
      <c r="K201" s="442" t="s">
        <v>648</v>
      </c>
      <c r="L201" s="442" t="s">
        <v>648</v>
      </c>
      <c r="M201" s="442" t="s">
        <v>648</v>
      </c>
      <c r="N201" s="442" t="s">
        <v>648</v>
      </c>
      <c r="O201" s="442">
        <v>10</v>
      </c>
      <c r="P201" s="442">
        <v>10</v>
      </c>
      <c r="Q201" s="442">
        <v>150938</v>
      </c>
      <c r="R201" s="442">
        <v>136576</v>
      </c>
      <c r="S201" s="442">
        <v>61640</v>
      </c>
      <c r="T201" s="442">
        <v>24860</v>
      </c>
      <c r="U201" s="442" t="s">
        <v>648</v>
      </c>
      <c r="V201" s="442" t="s">
        <v>648</v>
      </c>
      <c r="W201" s="447" t="s">
        <v>80</v>
      </c>
    </row>
    <row r="202" spans="1:23" s="442" customFormat="1" ht="9.75" customHeight="1" x14ac:dyDescent="0.15">
      <c r="A202" s="950" t="s">
        <v>780</v>
      </c>
      <c r="B202" s="442" t="s">
        <v>648</v>
      </c>
      <c r="C202" s="442" t="s">
        <v>648</v>
      </c>
      <c r="D202" s="442">
        <v>312053</v>
      </c>
      <c r="E202" s="442" t="s">
        <v>648</v>
      </c>
      <c r="F202" s="442">
        <v>312053</v>
      </c>
      <c r="G202" s="442">
        <v>49489</v>
      </c>
      <c r="H202" s="442">
        <v>49459</v>
      </c>
      <c r="I202" s="442">
        <v>49459</v>
      </c>
      <c r="J202" s="442" t="s">
        <v>648</v>
      </c>
      <c r="K202" s="442" t="s">
        <v>648</v>
      </c>
      <c r="L202" s="442" t="s">
        <v>648</v>
      </c>
      <c r="M202" s="442" t="s">
        <v>648</v>
      </c>
      <c r="N202" s="442" t="s">
        <v>648</v>
      </c>
      <c r="O202" s="442">
        <v>30</v>
      </c>
      <c r="P202" s="442">
        <v>30</v>
      </c>
      <c r="Q202" s="442">
        <v>410547</v>
      </c>
      <c r="R202" s="442">
        <v>147814</v>
      </c>
      <c r="S202" s="442">
        <v>147814</v>
      </c>
      <c r="T202" s="442" t="s">
        <v>648</v>
      </c>
      <c r="U202" s="442" t="s">
        <v>648</v>
      </c>
      <c r="V202" s="442" t="s">
        <v>648</v>
      </c>
      <c r="W202" s="447" t="s">
        <v>81</v>
      </c>
    </row>
    <row r="203" spans="1:23" s="442" customFormat="1" ht="9.75" customHeight="1" x14ac:dyDescent="0.15">
      <c r="A203" s="950" t="s">
        <v>781</v>
      </c>
      <c r="B203" s="442" t="s">
        <v>648</v>
      </c>
      <c r="C203" s="442" t="s">
        <v>648</v>
      </c>
      <c r="D203" s="442">
        <v>282563</v>
      </c>
      <c r="E203" s="442" t="s">
        <v>648</v>
      </c>
      <c r="F203" s="442">
        <v>282563</v>
      </c>
      <c r="G203" s="442" t="s">
        <v>648</v>
      </c>
      <c r="H203" s="442" t="s">
        <v>648</v>
      </c>
      <c r="I203" s="442" t="s">
        <v>648</v>
      </c>
      <c r="J203" s="442" t="s">
        <v>648</v>
      </c>
      <c r="K203" s="442" t="s">
        <v>648</v>
      </c>
      <c r="L203" s="442" t="s">
        <v>648</v>
      </c>
      <c r="M203" s="442" t="s">
        <v>648</v>
      </c>
      <c r="N203" s="442" t="s">
        <v>648</v>
      </c>
      <c r="O203" s="442" t="s">
        <v>648</v>
      </c>
      <c r="P203" s="442" t="s">
        <v>648</v>
      </c>
      <c r="Q203" s="442">
        <v>59139</v>
      </c>
      <c r="R203" s="442">
        <v>29336</v>
      </c>
      <c r="S203" s="442">
        <v>29336</v>
      </c>
      <c r="T203" s="442" t="s">
        <v>648</v>
      </c>
      <c r="U203" s="442" t="s">
        <v>648</v>
      </c>
      <c r="V203" s="442" t="s">
        <v>648</v>
      </c>
      <c r="W203" s="447" t="s">
        <v>82</v>
      </c>
    </row>
    <row r="204" spans="1:23" s="442" customFormat="1" ht="9.75" customHeight="1" x14ac:dyDescent="0.15">
      <c r="A204" s="950" t="s">
        <v>782</v>
      </c>
      <c r="B204" s="442" t="s">
        <v>648</v>
      </c>
      <c r="C204" s="442" t="s">
        <v>648</v>
      </c>
      <c r="D204" s="442">
        <v>305008</v>
      </c>
      <c r="E204" s="442" t="s">
        <v>648</v>
      </c>
      <c r="F204" s="442">
        <v>305008</v>
      </c>
      <c r="G204" s="442">
        <v>16000</v>
      </c>
      <c r="H204" s="442" t="s">
        <v>648</v>
      </c>
      <c r="I204" s="442" t="s">
        <v>648</v>
      </c>
      <c r="J204" s="442" t="s">
        <v>648</v>
      </c>
      <c r="K204" s="442">
        <v>16000</v>
      </c>
      <c r="L204" s="442">
        <v>16000</v>
      </c>
      <c r="M204" s="442" t="s">
        <v>648</v>
      </c>
      <c r="N204" s="442" t="s">
        <v>648</v>
      </c>
      <c r="O204" s="442" t="s">
        <v>648</v>
      </c>
      <c r="P204" s="442" t="s">
        <v>648</v>
      </c>
      <c r="Q204" s="442">
        <v>129436</v>
      </c>
      <c r="R204" s="442">
        <v>74088</v>
      </c>
      <c r="S204" s="442">
        <v>63487</v>
      </c>
      <c r="T204" s="442">
        <v>10601</v>
      </c>
      <c r="U204" s="442" t="s">
        <v>648</v>
      </c>
      <c r="V204" s="442" t="s">
        <v>648</v>
      </c>
      <c r="W204" s="447" t="s">
        <v>95</v>
      </c>
    </row>
    <row r="205" spans="1:23" s="442" customFormat="1" ht="9.75" customHeight="1" x14ac:dyDescent="0.15">
      <c r="A205" s="950" t="s">
        <v>783</v>
      </c>
      <c r="B205" s="442" t="s">
        <v>648</v>
      </c>
      <c r="C205" s="442" t="s">
        <v>648</v>
      </c>
      <c r="D205" s="442">
        <v>300628</v>
      </c>
      <c r="E205" s="442" t="s">
        <v>648</v>
      </c>
      <c r="F205" s="442">
        <v>300628</v>
      </c>
      <c r="G205" s="442">
        <v>21704</v>
      </c>
      <c r="H205" s="442" t="s">
        <v>648</v>
      </c>
      <c r="I205" s="442" t="s">
        <v>648</v>
      </c>
      <c r="J205" s="442" t="s">
        <v>648</v>
      </c>
      <c r="K205" s="442">
        <v>21700</v>
      </c>
      <c r="L205" s="442">
        <v>21700</v>
      </c>
      <c r="M205" s="442" t="s">
        <v>648</v>
      </c>
      <c r="N205" s="442" t="s">
        <v>648</v>
      </c>
      <c r="O205" s="442">
        <v>4</v>
      </c>
      <c r="P205" s="442">
        <v>4</v>
      </c>
      <c r="Q205" s="442">
        <v>286006</v>
      </c>
      <c r="R205" s="442">
        <v>99301</v>
      </c>
      <c r="S205" s="442">
        <v>49300</v>
      </c>
      <c r="T205" s="442" t="s">
        <v>648</v>
      </c>
      <c r="U205" s="442" t="s">
        <v>648</v>
      </c>
      <c r="V205" s="442" t="s">
        <v>648</v>
      </c>
      <c r="W205" s="447" t="s">
        <v>96</v>
      </c>
    </row>
    <row r="206" spans="1:23" s="442" customFormat="1" ht="9.75" customHeight="1" x14ac:dyDescent="0.15">
      <c r="A206" s="950" t="s">
        <v>784</v>
      </c>
      <c r="B206" s="442" t="s">
        <v>648</v>
      </c>
      <c r="C206" s="442" t="s">
        <v>648</v>
      </c>
      <c r="D206" s="442">
        <v>315509</v>
      </c>
      <c r="E206" s="442" t="s">
        <v>648</v>
      </c>
      <c r="F206" s="442">
        <v>315509</v>
      </c>
      <c r="G206" s="442">
        <v>47686</v>
      </c>
      <c r="H206" s="442">
        <v>47686</v>
      </c>
      <c r="I206" s="442">
        <v>47686</v>
      </c>
      <c r="J206" s="442" t="s">
        <v>648</v>
      </c>
      <c r="K206" s="442" t="s">
        <v>648</v>
      </c>
      <c r="L206" s="442" t="s">
        <v>648</v>
      </c>
      <c r="M206" s="442" t="s">
        <v>648</v>
      </c>
      <c r="N206" s="442" t="s">
        <v>648</v>
      </c>
      <c r="O206" s="442" t="s">
        <v>648</v>
      </c>
      <c r="P206" s="442" t="s">
        <v>648</v>
      </c>
      <c r="Q206" s="442">
        <v>440078</v>
      </c>
      <c r="R206" s="442">
        <v>104338</v>
      </c>
      <c r="S206" s="442">
        <v>48945</v>
      </c>
      <c r="T206" s="442">
        <v>5390</v>
      </c>
      <c r="U206" s="442" t="s">
        <v>648</v>
      </c>
      <c r="V206" s="442" t="s">
        <v>648</v>
      </c>
      <c r="W206" s="447" t="s">
        <v>97</v>
      </c>
    </row>
    <row r="207" spans="1:23" s="442" customFormat="1" ht="9.75" customHeight="1" x14ac:dyDescent="0.15">
      <c r="A207" s="950" t="s">
        <v>806</v>
      </c>
      <c r="B207" s="442">
        <v>11119</v>
      </c>
      <c r="C207" s="442" t="s">
        <v>648</v>
      </c>
      <c r="D207" s="442">
        <v>318141</v>
      </c>
      <c r="E207" s="442" t="s">
        <v>648</v>
      </c>
      <c r="F207" s="442">
        <v>318141</v>
      </c>
      <c r="G207" s="442">
        <v>70039</v>
      </c>
      <c r="H207" s="442" t="s">
        <v>648</v>
      </c>
      <c r="I207" s="442" t="s">
        <v>648</v>
      </c>
      <c r="J207" s="442" t="s">
        <v>648</v>
      </c>
      <c r="K207" s="442">
        <v>70039</v>
      </c>
      <c r="L207" s="442">
        <v>70039</v>
      </c>
      <c r="M207" s="442" t="s">
        <v>648</v>
      </c>
      <c r="N207" s="442" t="s">
        <v>648</v>
      </c>
      <c r="O207" s="442" t="s">
        <v>648</v>
      </c>
      <c r="P207" s="442" t="s">
        <v>648</v>
      </c>
      <c r="Q207" s="442">
        <v>690962</v>
      </c>
      <c r="R207" s="442">
        <v>82975</v>
      </c>
      <c r="S207" s="442">
        <v>30675</v>
      </c>
      <c r="T207" s="442" t="s">
        <v>648</v>
      </c>
      <c r="U207" s="442" t="s">
        <v>648</v>
      </c>
      <c r="V207" s="442" t="s">
        <v>648</v>
      </c>
      <c r="W207" s="447" t="s">
        <v>98</v>
      </c>
    </row>
    <row r="208" spans="1:23" s="442" customFormat="1" ht="9.75" customHeight="1" x14ac:dyDescent="0.15">
      <c r="A208" s="950" t="s">
        <v>786</v>
      </c>
      <c r="B208" s="442">
        <v>8767</v>
      </c>
      <c r="C208" s="442" t="s">
        <v>648</v>
      </c>
      <c r="D208" s="442">
        <v>319785</v>
      </c>
      <c r="E208" s="442" t="s">
        <v>648</v>
      </c>
      <c r="F208" s="442">
        <v>319785</v>
      </c>
      <c r="G208" s="442" t="s">
        <v>648</v>
      </c>
      <c r="H208" s="442" t="s">
        <v>648</v>
      </c>
      <c r="I208" s="442" t="s">
        <v>648</v>
      </c>
      <c r="J208" s="442" t="s">
        <v>648</v>
      </c>
      <c r="K208" s="442" t="s">
        <v>648</v>
      </c>
      <c r="L208" s="442" t="s">
        <v>648</v>
      </c>
      <c r="M208" s="442" t="s">
        <v>648</v>
      </c>
      <c r="N208" s="442" t="s">
        <v>648</v>
      </c>
      <c r="O208" s="442" t="s">
        <v>648</v>
      </c>
      <c r="P208" s="442" t="s">
        <v>648</v>
      </c>
      <c r="Q208" s="442">
        <v>761768</v>
      </c>
      <c r="R208" s="442">
        <v>192901</v>
      </c>
      <c r="S208" s="442">
        <v>30901</v>
      </c>
      <c r="T208" s="442" t="s">
        <v>648</v>
      </c>
      <c r="U208" s="442" t="s">
        <v>648</v>
      </c>
      <c r="V208" s="442">
        <v>47603</v>
      </c>
      <c r="W208" s="447" t="s">
        <v>99</v>
      </c>
    </row>
    <row r="209" spans="1:23" s="442" customFormat="1" ht="9.75" customHeight="1" x14ac:dyDescent="0.15">
      <c r="A209" s="950" t="s">
        <v>807</v>
      </c>
      <c r="B209" s="442" t="s">
        <v>648</v>
      </c>
      <c r="C209" s="442" t="s">
        <v>648</v>
      </c>
      <c r="D209" s="442">
        <v>351788</v>
      </c>
      <c r="E209" s="442" t="s">
        <v>648</v>
      </c>
      <c r="F209" s="442">
        <v>351788</v>
      </c>
      <c r="G209" s="442">
        <v>24008</v>
      </c>
      <c r="H209" s="442">
        <v>23994</v>
      </c>
      <c r="I209" s="442">
        <v>23994</v>
      </c>
      <c r="J209" s="442" t="s">
        <v>648</v>
      </c>
      <c r="K209" s="442" t="s">
        <v>648</v>
      </c>
      <c r="L209" s="442" t="s">
        <v>648</v>
      </c>
      <c r="M209" s="442" t="s">
        <v>648</v>
      </c>
      <c r="N209" s="442" t="s">
        <v>648</v>
      </c>
      <c r="O209" s="442">
        <v>14</v>
      </c>
      <c r="P209" s="442">
        <v>14</v>
      </c>
      <c r="Q209" s="442">
        <v>591124</v>
      </c>
      <c r="R209" s="442">
        <v>336396</v>
      </c>
      <c r="S209" s="442">
        <v>48491</v>
      </c>
      <c r="T209" s="442">
        <v>47444</v>
      </c>
      <c r="U209" s="442" t="s">
        <v>648</v>
      </c>
      <c r="V209" s="442" t="s">
        <v>648</v>
      </c>
      <c r="W209" s="447" t="s">
        <v>83</v>
      </c>
    </row>
    <row r="210" spans="1:23" s="442" customFormat="1" ht="9.75" customHeight="1" x14ac:dyDescent="0.15">
      <c r="A210" s="950" t="s">
        <v>788</v>
      </c>
      <c r="B210" s="442" t="s">
        <v>648</v>
      </c>
      <c r="C210" s="442" t="s">
        <v>648</v>
      </c>
      <c r="D210" s="442">
        <v>378703</v>
      </c>
      <c r="E210" s="442" t="s">
        <v>648</v>
      </c>
      <c r="F210" s="442">
        <v>378703</v>
      </c>
      <c r="G210" s="442">
        <v>23994</v>
      </c>
      <c r="H210" s="442">
        <v>23994</v>
      </c>
      <c r="I210" s="442">
        <v>23994</v>
      </c>
      <c r="J210" s="442" t="s">
        <v>648</v>
      </c>
      <c r="K210" s="442" t="s">
        <v>648</v>
      </c>
      <c r="L210" s="442" t="s">
        <v>648</v>
      </c>
      <c r="M210" s="442" t="s">
        <v>648</v>
      </c>
      <c r="N210" s="442" t="s">
        <v>648</v>
      </c>
      <c r="O210" s="442" t="s">
        <v>648</v>
      </c>
      <c r="P210" s="442" t="s">
        <v>648</v>
      </c>
      <c r="Q210" s="442">
        <v>364860</v>
      </c>
      <c r="R210" s="442">
        <v>95309</v>
      </c>
      <c r="S210" s="442" t="s">
        <v>648</v>
      </c>
      <c r="T210" s="442" t="s">
        <v>648</v>
      </c>
      <c r="U210" s="442" t="s">
        <v>648</v>
      </c>
      <c r="V210" s="442" t="s">
        <v>648</v>
      </c>
      <c r="W210" s="447" t="s">
        <v>84</v>
      </c>
    </row>
    <row r="211" spans="1:23" s="442" customFormat="1" ht="9.75" customHeight="1" x14ac:dyDescent="0.15">
      <c r="A211" s="950" t="s">
        <v>789</v>
      </c>
      <c r="B211" s="442" t="s">
        <v>648</v>
      </c>
      <c r="C211" s="442" t="s">
        <v>648</v>
      </c>
      <c r="D211" s="442">
        <v>413476</v>
      </c>
      <c r="E211" s="442" t="s">
        <v>648</v>
      </c>
      <c r="F211" s="442">
        <v>413476</v>
      </c>
      <c r="G211" s="442">
        <v>24022</v>
      </c>
      <c r="H211" s="442">
        <v>23994</v>
      </c>
      <c r="I211" s="442">
        <v>23994</v>
      </c>
      <c r="J211" s="442" t="s">
        <v>648</v>
      </c>
      <c r="K211" s="442" t="s">
        <v>648</v>
      </c>
      <c r="L211" s="442" t="s">
        <v>648</v>
      </c>
      <c r="M211" s="442" t="s">
        <v>648</v>
      </c>
      <c r="N211" s="442" t="s">
        <v>648</v>
      </c>
      <c r="O211" s="442">
        <v>28</v>
      </c>
      <c r="P211" s="442">
        <v>28</v>
      </c>
      <c r="Q211" s="442">
        <v>629784</v>
      </c>
      <c r="R211" s="442">
        <v>222892</v>
      </c>
      <c r="S211" s="442">
        <v>35552</v>
      </c>
      <c r="T211" s="442" t="s">
        <v>648</v>
      </c>
      <c r="U211" s="442" t="s">
        <v>648</v>
      </c>
      <c r="V211" s="442">
        <v>85469</v>
      </c>
      <c r="W211" s="447" t="s">
        <v>85</v>
      </c>
    </row>
    <row r="212" spans="1:23" s="442" customFormat="1" ht="9.75" customHeight="1" x14ac:dyDescent="0.15">
      <c r="A212" s="950" t="s">
        <v>790</v>
      </c>
      <c r="B212" s="442" t="s">
        <v>648</v>
      </c>
      <c r="C212" s="442" t="s">
        <v>648</v>
      </c>
      <c r="D212" s="442">
        <v>386277</v>
      </c>
      <c r="E212" s="442" t="s">
        <v>648</v>
      </c>
      <c r="F212" s="442">
        <v>386277</v>
      </c>
      <c r="G212" s="442">
        <v>117430</v>
      </c>
      <c r="H212" s="442">
        <v>117402</v>
      </c>
      <c r="I212" s="442">
        <v>117402</v>
      </c>
      <c r="J212" s="442" t="s">
        <v>648</v>
      </c>
      <c r="K212" s="442" t="s">
        <v>648</v>
      </c>
      <c r="L212" s="442" t="s">
        <v>648</v>
      </c>
      <c r="M212" s="442" t="s">
        <v>648</v>
      </c>
      <c r="N212" s="442" t="s">
        <v>648</v>
      </c>
      <c r="O212" s="442">
        <v>28</v>
      </c>
      <c r="P212" s="442">
        <v>28</v>
      </c>
      <c r="Q212" s="442">
        <v>798732</v>
      </c>
      <c r="R212" s="442">
        <v>358852</v>
      </c>
      <c r="S212" s="442">
        <v>94029</v>
      </c>
      <c r="T212" s="442" t="s">
        <v>648</v>
      </c>
      <c r="U212" s="442" t="s">
        <v>648</v>
      </c>
      <c r="V212" s="442" t="s">
        <v>648</v>
      </c>
      <c r="W212" s="447" t="s">
        <v>791</v>
      </c>
    </row>
    <row r="213" spans="1:23" s="442" customFormat="1" ht="9.75" customHeight="1" x14ac:dyDescent="0.15">
      <c r="A213" s="950" t="s">
        <v>792</v>
      </c>
      <c r="B213" s="442">
        <v>4164</v>
      </c>
      <c r="C213" s="442" t="s">
        <v>648</v>
      </c>
      <c r="D213" s="442">
        <v>266100</v>
      </c>
      <c r="E213" s="442" t="s">
        <v>648</v>
      </c>
      <c r="F213" s="442">
        <v>266100</v>
      </c>
      <c r="G213" s="442">
        <v>39898</v>
      </c>
      <c r="H213" s="442">
        <v>39866</v>
      </c>
      <c r="I213" s="442">
        <v>39866</v>
      </c>
      <c r="J213" s="442" t="s">
        <v>648</v>
      </c>
      <c r="K213" s="442" t="s">
        <v>648</v>
      </c>
      <c r="L213" s="442" t="s">
        <v>648</v>
      </c>
      <c r="M213" s="442" t="s">
        <v>648</v>
      </c>
      <c r="N213" s="442" t="s">
        <v>648</v>
      </c>
      <c r="O213" s="442">
        <v>32</v>
      </c>
      <c r="P213" s="442">
        <v>32</v>
      </c>
      <c r="Q213" s="442">
        <v>566969</v>
      </c>
      <c r="R213" s="442">
        <v>246039</v>
      </c>
      <c r="S213" s="442" t="s">
        <v>648</v>
      </c>
      <c r="T213" s="442" t="s">
        <v>648</v>
      </c>
      <c r="U213" s="442" t="s">
        <v>648</v>
      </c>
      <c r="V213" s="442" t="s">
        <v>648</v>
      </c>
      <c r="W213" s="447" t="s">
        <v>80</v>
      </c>
    </row>
    <row r="214" spans="1:23" s="442" customFormat="1" ht="9.75" customHeight="1" x14ac:dyDescent="0.15">
      <c r="A214" s="951" t="s">
        <v>793</v>
      </c>
      <c r="B214" s="446">
        <v>6544</v>
      </c>
      <c r="C214" s="445" t="s">
        <v>648</v>
      </c>
      <c r="D214" s="445">
        <v>391074</v>
      </c>
      <c r="E214" s="445" t="s">
        <v>648</v>
      </c>
      <c r="F214" s="445">
        <v>391074</v>
      </c>
      <c r="G214" s="445">
        <v>38</v>
      </c>
      <c r="H214" s="445" t="s">
        <v>648</v>
      </c>
      <c r="I214" s="445" t="s">
        <v>648</v>
      </c>
      <c r="J214" s="445" t="s">
        <v>648</v>
      </c>
      <c r="K214" s="445" t="s">
        <v>648</v>
      </c>
      <c r="L214" s="445" t="s">
        <v>648</v>
      </c>
      <c r="M214" s="445" t="s">
        <v>648</v>
      </c>
      <c r="N214" s="445" t="s">
        <v>648</v>
      </c>
      <c r="O214" s="445">
        <v>38</v>
      </c>
      <c r="P214" s="445">
        <v>38</v>
      </c>
      <c r="Q214" s="445">
        <v>619211</v>
      </c>
      <c r="R214" s="445">
        <v>309933</v>
      </c>
      <c r="S214" s="445">
        <v>31420</v>
      </c>
      <c r="T214" s="445" t="s">
        <v>648</v>
      </c>
      <c r="U214" s="445" t="s">
        <v>648</v>
      </c>
      <c r="V214" s="445" t="s">
        <v>648</v>
      </c>
      <c r="W214" s="443" t="s">
        <v>81</v>
      </c>
    </row>
    <row r="215" spans="1:23" ht="12" customHeight="1" x14ac:dyDescent="0.2"/>
    <row r="216" spans="1:23" ht="12" customHeight="1" x14ac:dyDescent="0.2"/>
    <row r="217" spans="1:23" ht="12" customHeight="1" x14ac:dyDescent="0.15">
      <c r="K217" s="457" t="s">
        <v>100</v>
      </c>
      <c r="V217" s="460" t="s">
        <v>715</v>
      </c>
    </row>
    <row r="218" spans="1:23" s="453" customFormat="1" ht="21" customHeight="1" x14ac:dyDescent="0.2">
      <c r="A218" s="1089" t="s">
        <v>194</v>
      </c>
      <c r="B218" s="456" t="s">
        <v>376</v>
      </c>
      <c r="C218" s="455"/>
      <c r="D218" s="455"/>
      <c r="E218" s="455"/>
      <c r="F218" s="455"/>
      <c r="G218" s="455"/>
      <c r="H218" s="455"/>
      <c r="I218" s="455"/>
      <c r="J218" s="455"/>
      <c r="K218" s="455"/>
      <c r="L218" s="455"/>
      <c r="M218" s="455"/>
      <c r="N218" s="455"/>
      <c r="O218" s="455"/>
      <c r="P218" s="455"/>
      <c r="Q218" s="455"/>
      <c r="R218" s="455"/>
      <c r="S218" s="455"/>
      <c r="T218" s="455"/>
      <c r="U218" s="455"/>
      <c r="V218" s="455"/>
      <c r="W218" s="1092" t="s">
        <v>86</v>
      </c>
    </row>
    <row r="219" spans="1:23" s="453" customFormat="1" ht="21" customHeight="1" x14ac:dyDescent="0.2">
      <c r="A219" s="1090"/>
      <c r="B219" s="456" t="s">
        <v>290</v>
      </c>
      <c r="C219" s="455"/>
      <c r="D219" s="455"/>
      <c r="E219" s="455"/>
      <c r="F219" s="917"/>
      <c r="G219" s="918" t="s">
        <v>289</v>
      </c>
      <c r="H219" s="917"/>
      <c r="I219" s="918" t="s">
        <v>288</v>
      </c>
      <c r="J219" s="455"/>
      <c r="K219" s="455"/>
      <c r="L219" s="455"/>
      <c r="M219" s="917"/>
      <c r="N219" s="918" t="s">
        <v>287</v>
      </c>
      <c r="O219" s="455"/>
      <c r="P219" s="455"/>
      <c r="Q219" s="917"/>
      <c r="R219" s="918" t="s">
        <v>271</v>
      </c>
      <c r="S219" s="455"/>
      <c r="T219" s="455"/>
      <c r="U219" s="917"/>
      <c r="V219" s="918" t="s">
        <v>270</v>
      </c>
      <c r="W219" s="1093"/>
    </row>
    <row r="220" spans="1:23" s="453" customFormat="1" ht="52.5" customHeight="1" x14ac:dyDescent="0.2">
      <c r="A220" s="1091"/>
      <c r="B220" s="454" t="s">
        <v>313</v>
      </c>
      <c r="C220" s="454" t="s">
        <v>285</v>
      </c>
      <c r="D220" s="454" t="s">
        <v>284</v>
      </c>
      <c r="E220" s="454" t="s">
        <v>342</v>
      </c>
      <c r="F220" s="454" t="s">
        <v>339</v>
      </c>
      <c r="G220" s="920" t="s">
        <v>109</v>
      </c>
      <c r="H220" s="459" t="s">
        <v>714</v>
      </c>
      <c r="I220" s="920" t="s">
        <v>1089</v>
      </c>
      <c r="J220" s="454" t="s">
        <v>310</v>
      </c>
      <c r="K220" s="454" t="s">
        <v>274</v>
      </c>
      <c r="L220" s="454" t="s">
        <v>334</v>
      </c>
      <c r="M220" s="454" t="s">
        <v>300</v>
      </c>
      <c r="N220" s="920" t="s">
        <v>1090</v>
      </c>
      <c r="O220" s="454" t="s">
        <v>357</v>
      </c>
      <c r="P220" s="454" t="s">
        <v>273</v>
      </c>
      <c r="Q220" s="454" t="s">
        <v>356</v>
      </c>
      <c r="R220" s="920" t="s">
        <v>1092</v>
      </c>
      <c r="S220" s="459" t="s">
        <v>712</v>
      </c>
      <c r="T220" s="454" t="s">
        <v>1093</v>
      </c>
      <c r="U220" s="459" t="s">
        <v>1146</v>
      </c>
      <c r="V220" s="919" t="s">
        <v>1094</v>
      </c>
      <c r="W220" s="1094"/>
    </row>
    <row r="221" spans="1:23" s="442" customFormat="1" ht="9.75" customHeight="1" x14ac:dyDescent="0.15">
      <c r="A221" s="949" t="s">
        <v>763</v>
      </c>
      <c r="B221" s="452">
        <v>25000</v>
      </c>
      <c r="C221" s="451">
        <v>688038</v>
      </c>
      <c r="D221" s="451">
        <v>5300</v>
      </c>
      <c r="E221" s="451">
        <v>466960</v>
      </c>
      <c r="F221" s="451" t="s">
        <v>648</v>
      </c>
      <c r="G221" s="451" t="s">
        <v>648</v>
      </c>
      <c r="H221" s="451" t="s">
        <v>648</v>
      </c>
      <c r="I221" s="451">
        <v>655475</v>
      </c>
      <c r="J221" s="451" t="s">
        <v>648</v>
      </c>
      <c r="K221" s="451">
        <v>272496</v>
      </c>
      <c r="L221" s="451">
        <v>382979</v>
      </c>
      <c r="M221" s="451" t="s">
        <v>648</v>
      </c>
      <c r="N221" s="451">
        <v>540161</v>
      </c>
      <c r="O221" s="451" t="s">
        <v>648</v>
      </c>
      <c r="P221" s="451">
        <v>49251</v>
      </c>
      <c r="Q221" s="451">
        <v>490910</v>
      </c>
      <c r="R221" s="451" t="s">
        <v>648</v>
      </c>
      <c r="S221" s="451" t="s">
        <v>648</v>
      </c>
      <c r="T221" s="451" t="s">
        <v>648</v>
      </c>
      <c r="U221" s="451" t="s">
        <v>648</v>
      </c>
      <c r="V221" s="451">
        <v>5310641</v>
      </c>
      <c r="W221" s="449" t="s">
        <v>464</v>
      </c>
    </row>
    <row r="222" spans="1:23" s="442" customFormat="1" ht="9.75" customHeight="1" x14ac:dyDescent="0.15">
      <c r="A222" s="950" t="s">
        <v>764</v>
      </c>
      <c r="B222" s="442" t="s">
        <v>648</v>
      </c>
      <c r="C222" s="442">
        <v>294382</v>
      </c>
      <c r="D222" s="442">
        <v>45500</v>
      </c>
      <c r="E222" s="442">
        <v>337442</v>
      </c>
      <c r="F222" s="442" t="s">
        <v>648</v>
      </c>
      <c r="G222" s="442" t="s">
        <v>648</v>
      </c>
      <c r="H222" s="442" t="s">
        <v>648</v>
      </c>
      <c r="I222" s="442">
        <v>658071</v>
      </c>
      <c r="J222" s="442">
        <v>74536</v>
      </c>
      <c r="K222" s="442">
        <v>192497</v>
      </c>
      <c r="L222" s="442">
        <v>391038</v>
      </c>
      <c r="M222" s="442" t="s">
        <v>648</v>
      </c>
      <c r="N222" s="442">
        <v>613877</v>
      </c>
      <c r="O222" s="442" t="s">
        <v>648</v>
      </c>
      <c r="P222" s="442" t="s">
        <v>648</v>
      </c>
      <c r="Q222" s="442">
        <v>613877</v>
      </c>
      <c r="R222" s="442">
        <v>55108</v>
      </c>
      <c r="S222" s="442">
        <v>44001</v>
      </c>
      <c r="T222" s="442" t="s">
        <v>648</v>
      </c>
      <c r="U222" s="442">
        <v>11107</v>
      </c>
      <c r="V222" s="442">
        <v>3984907</v>
      </c>
      <c r="W222" s="447" t="s">
        <v>489</v>
      </c>
    </row>
    <row r="223" spans="1:23" s="442" customFormat="1" ht="9.75" customHeight="1" x14ac:dyDescent="0.15">
      <c r="A223" s="950" t="s">
        <v>765</v>
      </c>
      <c r="B223" s="442">
        <v>80107</v>
      </c>
      <c r="C223" s="442">
        <v>198304</v>
      </c>
      <c r="D223" s="442">
        <v>152563</v>
      </c>
      <c r="E223" s="442">
        <v>187999</v>
      </c>
      <c r="F223" s="442" t="s">
        <v>648</v>
      </c>
      <c r="G223" s="442" t="s">
        <v>648</v>
      </c>
      <c r="H223" s="442" t="s">
        <v>648</v>
      </c>
      <c r="I223" s="442">
        <v>246056</v>
      </c>
      <c r="J223" s="442" t="s">
        <v>648</v>
      </c>
      <c r="K223" s="442">
        <v>68323</v>
      </c>
      <c r="L223" s="442">
        <v>149254</v>
      </c>
      <c r="M223" s="442">
        <v>28479</v>
      </c>
      <c r="N223" s="442">
        <v>1478028</v>
      </c>
      <c r="O223" s="442">
        <v>164905</v>
      </c>
      <c r="P223" s="442" t="s">
        <v>648</v>
      </c>
      <c r="Q223" s="442">
        <v>1313123</v>
      </c>
      <c r="R223" s="442">
        <v>94050</v>
      </c>
      <c r="S223" s="442">
        <v>94050</v>
      </c>
      <c r="T223" s="442" t="s">
        <v>648</v>
      </c>
      <c r="U223" s="442" t="s">
        <v>648</v>
      </c>
      <c r="V223" s="442">
        <v>5419197</v>
      </c>
      <c r="W223" s="447" t="s">
        <v>549</v>
      </c>
    </row>
    <row r="224" spans="1:23" s="442" customFormat="1" ht="9.75" customHeight="1" x14ac:dyDescent="0.15">
      <c r="A224" s="950" t="s">
        <v>766</v>
      </c>
      <c r="B224" s="442">
        <v>43901</v>
      </c>
      <c r="C224" s="442">
        <v>85370</v>
      </c>
      <c r="D224" s="442">
        <v>195030</v>
      </c>
      <c r="E224" s="442">
        <v>89701</v>
      </c>
      <c r="F224" s="442">
        <v>73877</v>
      </c>
      <c r="G224" s="442">
        <v>119888</v>
      </c>
      <c r="H224" s="442">
        <v>119888</v>
      </c>
      <c r="I224" s="442">
        <v>12680</v>
      </c>
      <c r="J224" s="442" t="s">
        <v>648</v>
      </c>
      <c r="K224" s="442">
        <v>12680</v>
      </c>
      <c r="L224" s="442" t="s">
        <v>648</v>
      </c>
      <c r="M224" s="442" t="s">
        <v>648</v>
      </c>
      <c r="N224" s="442">
        <v>83186</v>
      </c>
      <c r="O224" s="442" t="s">
        <v>648</v>
      </c>
      <c r="P224" s="442" t="s">
        <v>648</v>
      </c>
      <c r="Q224" s="442">
        <v>83186</v>
      </c>
      <c r="R224" s="442">
        <v>114000</v>
      </c>
      <c r="S224" s="442">
        <v>114000</v>
      </c>
      <c r="T224" s="442" t="s">
        <v>648</v>
      </c>
      <c r="U224" s="442" t="s">
        <v>648</v>
      </c>
      <c r="V224" s="442">
        <v>2002000</v>
      </c>
      <c r="W224" s="447" t="s">
        <v>672</v>
      </c>
    </row>
    <row r="225" spans="1:23" s="442" customFormat="1" ht="9.75" customHeight="1" x14ac:dyDescent="0.15">
      <c r="A225" s="950" t="s">
        <v>1147</v>
      </c>
      <c r="B225" s="442" t="s">
        <v>648</v>
      </c>
      <c r="C225" s="442">
        <v>147880</v>
      </c>
      <c r="D225" s="442">
        <v>102330</v>
      </c>
      <c r="E225" s="442">
        <v>405831</v>
      </c>
      <c r="F225" s="442">
        <v>98377</v>
      </c>
      <c r="G225" s="442" t="s">
        <v>648</v>
      </c>
      <c r="H225" s="442" t="s">
        <v>648</v>
      </c>
      <c r="I225" s="442">
        <v>100285</v>
      </c>
      <c r="J225" s="442" t="s">
        <v>648</v>
      </c>
      <c r="K225" s="442">
        <v>51081</v>
      </c>
      <c r="L225" s="442">
        <v>49204</v>
      </c>
      <c r="M225" s="442" t="s">
        <v>648</v>
      </c>
      <c r="N225" s="442">
        <v>833501</v>
      </c>
      <c r="O225" s="442">
        <v>136060</v>
      </c>
      <c r="P225" s="442">
        <v>97652</v>
      </c>
      <c r="Q225" s="442">
        <v>599789</v>
      </c>
      <c r="R225" s="442">
        <v>100031</v>
      </c>
      <c r="S225" s="442" t="s">
        <v>648</v>
      </c>
      <c r="T225" s="442">
        <v>100031</v>
      </c>
      <c r="U225" s="442" t="s">
        <v>648</v>
      </c>
      <c r="V225" s="442">
        <v>2064434</v>
      </c>
      <c r="W225" s="447" t="s">
        <v>768</v>
      </c>
    </row>
    <row r="226" spans="1:23" s="442" customFormat="1" ht="6.75" customHeight="1" x14ac:dyDescent="0.15">
      <c r="A226" s="950"/>
      <c r="W226" s="447"/>
    </row>
    <row r="227" spans="1:23" s="442" customFormat="1" ht="9.75" customHeight="1" x14ac:dyDescent="0.15">
      <c r="A227" s="950" t="s">
        <v>799</v>
      </c>
      <c r="B227" s="442" t="s">
        <v>648</v>
      </c>
      <c r="C227" s="442">
        <v>90046</v>
      </c>
      <c r="D227" s="442" t="s">
        <v>648</v>
      </c>
      <c r="E227" s="442">
        <v>77470</v>
      </c>
      <c r="F227" s="442" t="s">
        <v>648</v>
      </c>
      <c r="G227" s="442" t="s">
        <v>648</v>
      </c>
      <c r="H227" s="442" t="s">
        <v>648</v>
      </c>
      <c r="I227" s="442">
        <v>11223</v>
      </c>
      <c r="J227" s="442" t="s">
        <v>648</v>
      </c>
      <c r="K227" s="442">
        <v>11223</v>
      </c>
      <c r="L227" s="442" t="s">
        <v>648</v>
      </c>
      <c r="M227" s="442" t="s">
        <v>648</v>
      </c>
      <c r="N227" s="442" t="s">
        <v>648</v>
      </c>
      <c r="O227" s="442" t="s">
        <v>648</v>
      </c>
      <c r="P227" s="442" t="s">
        <v>648</v>
      </c>
      <c r="Q227" s="442" t="s">
        <v>648</v>
      </c>
      <c r="R227" s="442" t="s">
        <v>648</v>
      </c>
      <c r="S227" s="442" t="s">
        <v>648</v>
      </c>
      <c r="T227" s="442" t="s">
        <v>648</v>
      </c>
      <c r="U227" s="442" t="s">
        <v>648</v>
      </c>
      <c r="V227" s="442">
        <v>1431011</v>
      </c>
      <c r="W227" s="447" t="s">
        <v>673</v>
      </c>
    </row>
    <row r="228" spans="1:23" s="442" customFormat="1" ht="9.75" customHeight="1" x14ac:dyDescent="0.15">
      <c r="A228" s="950" t="s">
        <v>800</v>
      </c>
      <c r="B228" s="442">
        <v>50051</v>
      </c>
      <c r="C228" s="442">
        <v>252073</v>
      </c>
      <c r="D228" s="442">
        <v>102330</v>
      </c>
      <c r="E228" s="442">
        <v>791890</v>
      </c>
      <c r="F228" s="442">
        <v>297373</v>
      </c>
      <c r="G228" s="442" t="s">
        <v>648</v>
      </c>
      <c r="H228" s="442" t="s">
        <v>648</v>
      </c>
      <c r="I228" s="442">
        <v>127548</v>
      </c>
      <c r="J228" s="442" t="s">
        <v>648</v>
      </c>
      <c r="K228" s="442">
        <v>78344</v>
      </c>
      <c r="L228" s="442">
        <v>49204</v>
      </c>
      <c r="M228" s="442" t="s">
        <v>648</v>
      </c>
      <c r="N228" s="442">
        <v>1023287</v>
      </c>
      <c r="O228" s="442">
        <v>181391</v>
      </c>
      <c r="P228" s="442">
        <v>97652</v>
      </c>
      <c r="Q228" s="442">
        <v>744244</v>
      </c>
      <c r="R228" s="442">
        <v>100031</v>
      </c>
      <c r="S228" s="442" t="s">
        <v>648</v>
      </c>
      <c r="T228" s="442">
        <v>100031</v>
      </c>
      <c r="U228" s="442" t="s">
        <v>648</v>
      </c>
      <c r="V228" s="442">
        <v>2420449</v>
      </c>
      <c r="W228" s="447" t="s">
        <v>771</v>
      </c>
    </row>
    <row r="229" spans="1:23" s="442" customFormat="1" ht="6.75" customHeight="1" x14ac:dyDescent="0.15">
      <c r="A229" s="950"/>
      <c r="W229" s="447"/>
    </row>
    <row r="230" spans="1:23" s="442" customFormat="1" ht="9.75" customHeight="1" x14ac:dyDescent="0.15">
      <c r="A230" s="950" t="s">
        <v>772</v>
      </c>
      <c r="B230" s="442" t="s">
        <v>648</v>
      </c>
      <c r="C230" s="442">
        <v>50076</v>
      </c>
      <c r="D230" s="442" t="s">
        <v>648</v>
      </c>
      <c r="E230" s="442" t="s">
        <v>648</v>
      </c>
      <c r="F230" s="442" t="s">
        <v>648</v>
      </c>
      <c r="G230" s="442" t="s">
        <v>648</v>
      </c>
      <c r="H230" s="442" t="s">
        <v>648</v>
      </c>
      <c r="I230" s="442" t="s">
        <v>648</v>
      </c>
      <c r="J230" s="442" t="s">
        <v>648</v>
      </c>
      <c r="K230" s="442" t="s">
        <v>648</v>
      </c>
      <c r="L230" s="442" t="s">
        <v>648</v>
      </c>
      <c r="M230" s="442" t="s">
        <v>648</v>
      </c>
      <c r="N230" s="442" t="s">
        <v>648</v>
      </c>
      <c r="O230" s="442" t="s">
        <v>648</v>
      </c>
      <c r="P230" s="442" t="s">
        <v>648</v>
      </c>
      <c r="Q230" s="442" t="s">
        <v>648</v>
      </c>
      <c r="R230" s="442" t="s">
        <v>648</v>
      </c>
      <c r="S230" s="442" t="s">
        <v>648</v>
      </c>
      <c r="T230" s="442" t="s">
        <v>648</v>
      </c>
      <c r="U230" s="442" t="s">
        <v>648</v>
      </c>
      <c r="V230" s="442">
        <v>475036</v>
      </c>
      <c r="W230" s="447" t="s">
        <v>674</v>
      </c>
    </row>
    <row r="231" spans="1:23" s="442" customFormat="1" ht="9.75" customHeight="1" x14ac:dyDescent="0.15">
      <c r="A231" s="950" t="s">
        <v>773</v>
      </c>
      <c r="B231" s="442" t="s">
        <v>648</v>
      </c>
      <c r="C231" s="442" t="s">
        <v>648</v>
      </c>
      <c r="D231" s="442" t="s">
        <v>648</v>
      </c>
      <c r="E231" s="442">
        <v>50001</v>
      </c>
      <c r="F231" s="442" t="s">
        <v>648</v>
      </c>
      <c r="G231" s="442" t="s">
        <v>648</v>
      </c>
      <c r="H231" s="442" t="s">
        <v>648</v>
      </c>
      <c r="I231" s="442" t="s">
        <v>648</v>
      </c>
      <c r="J231" s="442" t="s">
        <v>648</v>
      </c>
      <c r="K231" s="442" t="s">
        <v>648</v>
      </c>
      <c r="L231" s="442" t="s">
        <v>648</v>
      </c>
      <c r="M231" s="442" t="s">
        <v>648</v>
      </c>
      <c r="N231" s="442">
        <v>45380</v>
      </c>
      <c r="O231" s="442">
        <v>45380</v>
      </c>
      <c r="P231" s="442" t="s">
        <v>648</v>
      </c>
      <c r="Q231" s="442" t="s">
        <v>648</v>
      </c>
      <c r="R231" s="442" t="s">
        <v>648</v>
      </c>
      <c r="S231" s="442" t="s">
        <v>648</v>
      </c>
      <c r="T231" s="442" t="s">
        <v>648</v>
      </c>
      <c r="U231" s="442" t="s">
        <v>648</v>
      </c>
      <c r="V231" s="442">
        <v>210741</v>
      </c>
      <c r="W231" s="447" t="s">
        <v>92</v>
      </c>
    </row>
    <row r="232" spans="1:23" s="442" customFormat="1" ht="9.75" customHeight="1" x14ac:dyDescent="0.15">
      <c r="A232" s="950" t="s">
        <v>774</v>
      </c>
      <c r="B232" s="442" t="s">
        <v>648</v>
      </c>
      <c r="C232" s="442">
        <v>47800</v>
      </c>
      <c r="D232" s="442">
        <v>52300</v>
      </c>
      <c r="E232" s="442">
        <v>116600</v>
      </c>
      <c r="F232" s="442" t="s">
        <v>648</v>
      </c>
      <c r="G232" s="442" t="s">
        <v>648</v>
      </c>
      <c r="H232" s="442" t="s">
        <v>648</v>
      </c>
      <c r="I232" s="442">
        <v>1281</v>
      </c>
      <c r="J232" s="442" t="s">
        <v>648</v>
      </c>
      <c r="K232" s="442">
        <v>1281</v>
      </c>
      <c r="L232" s="442" t="s">
        <v>648</v>
      </c>
      <c r="M232" s="442" t="s">
        <v>648</v>
      </c>
      <c r="N232" s="442">
        <v>638084</v>
      </c>
      <c r="O232" s="442">
        <v>90680</v>
      </c>
      <c r="P232" s="442">
        <v>97652</v>
      </c>
      <c r="Q232" s="442">
        <v>449752</v>
      </c>
      <c r="R232" s="442">
        <v>47073</v>
      </c>
      <c r="S232" s="442" t="s">
        <v>648</v>
      </c>
      <c r="T232" s="442">
        <v>47073</v>
      </c>
      <c r="U232" s="442" t="s">
        <v>648</v>
      </c>
      <c r="V232" s="442">
        <v>767367</v>
      </c>
      <c r="W232" s="447" t="s">
        <v>93</v>
      </c>
    </row>
    <row r="233" spans="1:23" s="442" customFormat="1" ht="9.75" customHeight="1" x14ac:dyDescent="0.15">
      <c r="A233" s="950" t="s">
        <v>801</v>
      </c>
      <c r="B233" s="442" t="s">
        <v>648</v>
      </c>
      <c r="C233" s="442">
        <v>50004</v>
      </c>
      <c r="D233" s="442">
        <v>50030</v>
      </c>
      <c r="E233" s="442">
        <v>239230</v>
      </c>
      <c r="F233" s="442">
        <v>98377</v>
      </c>
      <c r="G233" s="442" t="s">
        <v>648</v>
      </c>
      <c r="H233" s="442" t="s">
        <v>648</v>
      </c>
      <c r="I233" s="442">
        <v>99004</v>
      </c>
      <c r="J233" s="442" t="s">
        <v>648</v>
      </c>
      <c r="K233" s="442">
        <v>49800</v>
      </c>
      <c r="L233" s="442">
        <v>49204</v>
      </c>
      <c r="M233" s="442" t="s">
        <v>648</v>
      </c>
      <c r="N233" s="442">
        <v>150037</v>
      </c>
      <c r="O233" s="442" t="s">
        <v>648</v>
      </c>
      <c r="P233" s="442" t="s">
        <v>648</v>
      </c>
      <c r="Q233" s="442">
        <v>150037</v>
      </c>
      <c r="R233" s="442">
        <v>52958</v>
      </c>
      <c r="S233" s="442" t="s">
        <v>648</v>
      </c>
      <c r="T233" s="442">
        <v>52958</v>
      </c>
      <c r="U233" s="442" t="s">
        <v>648</v>
      </c>
      <c r="V233" s="442">
        <v>611290</v>
      </c>
      <c r="W233" s="447" t="s">
        <v>94</v>
      </c>
    </row>
    <row r="234" spans="1:23" s="442" customFormat="1" ht="9.75" customHeight="1" x14ac:dyDescent="0.15">
      <c r="A234" s="950" t="s">
        <v>809</v>
      </c>
      <c r="B234" s="442">
        <v>50051</v>
      </c>
      <c r="C234" s="442">
        <v>154269</v>
      </c>
      <c r="D234" s="442" t="s">
        <v>648</v>
      </c>
      <c r="E234" s="442">
        <v>386059</v>
      </c>
      <c r="F234" s="442">
        <v>198996</v>
      </c>
      <c r="G234" s="442" t="s">
        <v>648</v>
      </c>
      <c r="H234" s="442" t="s">
        <v>648</v>
      </c>
      <c r="I234" s="442">
        <v>27263</v>
      </c>
      <c r="J234" s="442" t="s">
        <v>648</v>
      </c>
      <c r="K234" s="442">
        <v>27263</v>
      </c>
      <c r="L234" s="442" t="s">
        <v>648</v>
      </c>
      <c r="M234" s="442" t="s">
        <v>648</v>
      </c>
      <c r="N234" s="442">
        <v>189786</v>
      </c>
      <c r="O234" s="442">
        <v>45331</v>
      </c>
      <c r="P234" s="442" t="s">
        <v>648</v>
      </c>
      <c r="Q234" s="442">
        <v>144455</v>
      </c>
      <c r="R234" s="442" t="s">
        <v>648</v>
      </c>
      <c r="S234" s="442" t="s">
        <v>648</v>
      </c>
      <c r="T234" s="442" t="s">
        <v>648</v>
      </c>
      <c r="U234" s="442" t="s">
        <v>648</v>
      </c>
      <c r="V234" s="442">
        <v>831051</v>
      </c>
      <c r="W234" s="447" t="s">
        <v>777</v>
      </c>
    </row>
    <row r="235" spans="1:23" s="442" customFormat="1" ht="6.75" customHeight="1" x14ac:dyDescent="0.15">
      <c r="A235" s="950"/>
      <c r="W235" s="447"/>
    </row>
    <row r="236" spans="1:23" s="442" customFormat="1" ht="9.75" customHeight="1" x14ac:dyDescent="0.15">
      <c r="A236" s="950" t="s">
        <v>778</v>
      </c>
      <c r="B236" s="442" t="s">
        <v>648</v>
      </c>
      <c r="C236" s="442" t="s">
        <v>648</v>
      </c>
      <c r="D236" s="442" t="s">
        <v>648</v>
      </c>
      <c r="E236" s="442" t="s">
        <v>648</v>
      </c>
      <c r="F236" s="442" t="s">
        <v>648</v>
      </c>
      <c r="G236" s="442" t="s">
        <v>648</v>
      </c>
      <c r="H236" s="442" t="s">
        <v>648</v>
      </c>
      <c r="I236" s="442" t="s">
        <v>648</v>
      </c>
      <c r="J236" s="442" t="s">
        <v>648</v>
      </c>
      <c r="K236" s="442" t="s">
        <v>648</v>
      </c>
      <c r="L236" s="442" t="s">
        <v>648</v>
      </c>
      <c r="M236" s="442" t="s">
        <v>648</v>
      </c>
      <c r="N236" s="442" t="s">
        <v>648</v>
      </c>
      <c r="O236" s="442" t="s">
        <v>648</v>
      </c>
      <c r="P236" s="442" t="s">
        <v>648</v>
      </c>
      <c r="Q236" s="442" t="s">
        <v>648</v>
      </c>
      <c r="R236" s="442" t="s">
        <v>648</v>
      </c>
      <c r="S236" s="442" t="s">
        <v>648</v>
      </c>
      <c r="T236" s="442" t="s">
        <v>648</v>
      </c>
      <c r="U236" s="442" t="s">
        <v>648</v>
      </c>
      <c r="V236" s="442">
        <v>240062</v>
      </c>
      <c r="W236" s="447" t="s">
        <v>675</v>
      </c>
    </row>
    <row r="237" spans="1:23" s="442" customFormat="1" ht="9.75" customHeight="1" x14ac:dyDescent="0.15">
      <c r="A237" s="950" t="s">
        <v>1148</v>
      </c>
      <c r="B237" s="442" t="s">
        <v>648</v>
      </c>
      <c r="C237" s="442">
        <v>50076</v>
      </c>
      <c r="D237" s="442" t="s">
        <v>648</v>
      </c>
      <c r="E237" s="442" t="s">
        <v>648</v>
      </c>
      <c r="F237" s="442" t="s">
        <v>648</v>
      </c>
      <c r="G237" s="442" t="s">
        <v>648</v>
      </c>
      <c r="H237" s="442" t="s">
        <v>648</v>
      </c>
      <c r="I237" s="442" t="s">
        <v>648</v>
      </c>
      <c r="J237" s="442" t="s">
        <v>648</v>
      </c>
      <c r="K237" s="442" t="s">
        <v>648</v>
      </c>
      <c r="L237" s="442" t="s">
        <v>648</v>
      </c>
      <c r="M237" s="442" t="s">
        <v>648</v>
      </c>
      <c r="N237" s="442" t="s">
        <v>648</v>
      </c>
      <c r="O237" s="442" t="s">
        <v>648</v>
      </c>
      <c r="P237" s="442" t="s">
        <v>648</v>
      </c>
      <c r="Q237" s="442" t="s">
        <v>648</v>
      </c>
      <c r="R237" s="442" t="s">
        <v>648</v>
      </c>
      <c r="S237" s="442" t="s">
        <v>648</v>
      </c>
      <c r="T237" s="442" t="s">
        <v>648</v>
      </c>
      <c r="U237" s="442" t="s">
        <v>648</v>
      </c>
      <c r="V237" s="442">
        <v>5560</v>
      </c>
      <c r="W237" s="447" t="s">
        <v>80</v>
      </c>
    </row>
    <row r="238" spans="1:23" s="442" customFormat="1" ht="9.75" customHeight="1" x14ac:dyDescent="0.15">
      <c r="A238" s="950" t="s">
        <v>780</v>
      </c>
      <c r="B238" s="442" t="s">
        <v>648</v>
      </c>
      <c r="C238" s="442" t="s">
        <v>648</v>
      </c>
      <c r="D238" s="442" t="s">
        <v>648</v>
      </c>
      <c r="E238" s="442" t="s">
        <v>648</v>
      </c>
      <c r="F238" s="442" t="s">
        <v>648</v>
      </c>
      <c r="G238" s="442" t="s">
        <v>648</v>
      </c>
      <c r="H238" s="442" t="s">
        <v>648</v>
      </c>
      <c r="I238" s="442" t="s">
        <v>648</v>
      </c>
      <c r="J238" s="442" t="s">
        <v>648</v>
      </c>
      <c r="K238" s="442" t="s">
        <v>648</v>
      </c>
      <c r="L238" s="442" t="s">
        <v>648</v>
      </c>
      <c r="M238" s="442" t="s">
        <v>648</v>
      </c>
      <c r="N238" s="442" t="s">
        <v>648</v>
      </c>
      <c r="O238" s="442" t="s">
        <v>648</v>
      </c>
      <c r="P238" s="442" t="s">
        <v>648</v>
      </c>
      <c r="Q238" s="442" t="s">
        <v>648</v>
      </c>
      <c r="R238" s="442" t="s">
        <v>648</v>
      </c>
      <c r="S238" s="442" t="s">
        <v>648</v>
      </c>
      <c r="T238" s="442" t="s">
        <v>648</v>
      </c>
      <c r="U238" s="442" t="s">
        <v>648</v>
      </c>
      <c r="V238" s="442">
        <v>229414</v>
      </c>
      <c r="W238" s="447" t="s">
        <v>81</v>
      </c>
    </row>
    <row r="239" spans="1:23" s="442" customFormat="1" ht="9.75" customHeight="1" x14ac:dyDescent="0.15">
      <c r="A239" s="950" t="s">
        <v>781</v>
      </c>
      <c r="B239" s="442" t="s">
        <v>648</v>
      </c>
      <c r="C239" s="442" t="s">
        <v>648</v>
      </c>
      <c r="D239" s="442" t="s">
        <v>648</v>
      </c>
      <c r="E239" s="442" t="s">
        <v>648</v>
      </c>
      <c r="F239" s="442" t="s">
        <v>648</v>
      </c>
      <c r="G239" s="442" t="s">
        <v>648</v>
      </c>
      <c r="H239" s="442" t="s">
        <v>648</v>
      </c>
      <c r="I239" s="442" t="s">
        <v>648</v>
      </c>
      <c r="J239" s="442" t="s">
        <v>648</v>
      </c>
      <c r="K239" s="442" t="s">
        <v>648</v>
      </c>
      <c r="L239" s="442" t="s">
        <v>648</v>
      </c>
      <c r="M239" s="442" t="s">
        <v>648</v>
      </c>
      <c r="N239" s="442" t="s">
        <v>648</v>
      </c>
      <c r="O239" s="442" t="s">
        <v>648</v>
      </c>
      <c r="P239" s="442" t="s">
        <v>648</v>
      </c>
      <c r="Q239" s="442" t="s">
        <v>648</v>
      </c>
      <c r="R239" s="442" t="s">
        <v>648</v>
      </c>
      <c r="S239" s="442" t="s">
        <v>648</v>
      </c>
      <c r="T239" s="442" t="s">
        <v>648</v>
      </c>
      <c r="U239" s="442" t="s">
        <v>648</v>
      </c>
      <c r="V239" s="442">
        <v>24683</v>
      </c>
      <c r="W239" s="447" t="s">
        <v>82</v>
      </c>
    </row>
    <row r="240" spans="1:23" s="442" customFormat="1" ht="9.75" customHeight="1" x14ac:dyDescent="0.15">
      <c r="A240" s="950" t="s">
        <v>782</v>
      </c>
      <c r="B240" s="442" t="s">
        <v>648</v>
      </c>
      <c r="C240" s="442" t="s">
        <v>648</v>
      </c>
      <c r="D240" s="442" t="s">
        <v>648</v>
      </c>
      <c r="E240" s="442" t="s">
        <v>648</v>
      </c>
      <c r="F240" s="442" t="s">
        <v>648</v>
      </c>
      <c r="G240" s="442" t="s">
        <v>648</v>
      </c>
      <c r="H240" s="442" t="s">
        <v>648</v>
      </c>
      <c r="I240" s="442" t="s">
        <v>648</v>
      </c>
      <c r="J240" s="442" t="s">
        <v>648</v>
      </c>
      <c r="K240" s="442" t="s">
        <v>648</v>
      </c>
      <c r="L240" s="442" t="s">
        <v>648</v>
      </c>
      <c r="M240" s="442" t="s">
        <v>648</v>
      </c>
      <c r="N240" s="442" t="s">
        <v>648</v>
      </c>
      <c r="O240" s="442" t="s">
        <v>648</v>
      </c>
      <c r="P240" s="442" t="s">
        <v>648</v>
      </c>
      <c r="Q240" s="442" t="s">
        <v>648</v>
      </c>
      <c r="R240" s="442" t="s">
        <v>648</v>
      </c>
      <c r="S240" s="442" t="s">
        <v>648</v>
      </c>
      <c r="T240" s="442" t="s">
        <v>648</v>
      </c>
      <c r="U240" s="442" t="s">
        <v>648</v>
      </c>
      <c r="V240" s="442">
        <v>50002</v>
      </c>
      <c r="W240" s="447" t="s">
        <v>95</v>
      </c>
    </row>
    <row r="241" spans="1:23" s="442" customFormat="1" ht="9.75" customHeight="1" x14ac:dyDescent="0.15">
      <c r="A241" s="950" t="s">
        <v>783</v>
      </c>
      <c r="B241" s="442" t="s">
        <v>648</v>
      </c>
      <c r="C241" s="442" t="s">
        <v>648</v>
      </c>
      <c r="D241" s="442" t="s">
        <v>648</v>
      </c>
      <c r="E241" s="442">
        <v>50001</v>
      </c>
      <c r="F241" s="442" t="s">
        <v>648</v>
      </c>
      <c r="G241" s="442" t="s">
        <v>648</v>
      </c>
      <c r="H241" s="442" t="s">
        <v>648</v>
      </c>
      <c r="I241" s="442" t="s">
        <v>648</v>
      </c>
      <c r="J241" s="442" t="s">
        <v>648</v>
      </c>
      <c r="K241" s="442" t="s">
        <v>648</v>
      </c>
      <c r="L241" s="442" t="s">
        <v>648</v>
      </c>
      <c r="M241" s="442" t="s">
        <v>648</v>
      </c>
      <c r="N241" s="442">
        <v>45380</v>
      </c>
      <c r="O241" s="442">
        <v>45380</v>
      </c>
      <c r="P241" s="442" t="s">
        <v>648</v>
      </c>
      <c r="Q241" s="442" t="s">
        <v>648</v>
      </c>
      <c r="R241" s="442" t="s">
        <v>648</v>
      </c>
      <c r="S241" s="442" t="s">
        <v>648</v>
      </c>
      <c r="T241" s="442" t="s">
        <v>648</v>
      </c>
      <c r="U241" s="442" t="s">
        <v>648</v>
      </c>
      <c r="V241" s="442">
        <v>136056</v>
      </c>
      <c r="W241" s="447" t="s">
        <v>96</v>
      </c>
    </row>
    <row r="242" spans="1:23" s="442" customFormat="1" ht="9.75" customHeight="1" x14ac:dyDescent="0.15">
      <c r="A242" s="950" t="s">
        <v>784</v>
      </c>
      <c r="B242" s="442" t="s">
        <v>648</v>
      </c>
      <c r="C242" s="442" t="s">
        <v>648</v>
      </c>
      <c r="D242" s="442" t="s">
        <v>648</v>
      </c>
      <c r="E242" s="442">
        <v>50003</v>
      </c>
      <c r="F242" s="442" t="s">
        <v>648</v>
      </c>
      <c r="G242" s="442" t="s">
        <v>648</v>
      </c>
      <c r="H242" s="442" t="s">
        <v>648</v>
      </c>
      <c r="I242" s="442" t="s">
        <v>648</v>
      </c>
      <c r="J242" s="442" t="s">
        <v>648</v>
      </c>
      <c r="K242" s="442" t="s">
        <v>648</v>
      </c>
      <c r="L242" s="442" t="s">
        <v>648</v>
      </c>
      <c r="M242" s="442" t="s">
        <v>648</v>
      </c>
      <c r="N242" s="442">
        <v>47602</v>
      </c>
      <c r="O242" s="442" t="s">
        <v>648</v>
      </c>
      <c r="P242" s="442">
        <v>47602</v>
      </c>
      <c r="Q242" s="442" t="s">
        <v>648</v>
      </c>
      <c r="R242" s="442" t="s">
        <v>648</v>
      </c>
      <c r="S242" s="442" t="s">
        <v>648</v>
      </c>
      <c r="T242" s="442" t="s">
        <v>648</v>
      </c>
      <c r="U242" s="442" t="s">
        <v>648</v>
      </c>
      <c r="V242" s="442">
        <v>271222</v>
      </c>
      <c r="W242" s="447" t="s">
        <v>97</v>
      </c>
    </row>
    <row r="243" spans="1:23" s="442" customFormat="1" ht="9.75" customHeight="1" x14ac:dyDescent="0.15">
      <c r="A243" s="950" t="s">
        <v>806</v>
      </c>
      <c r="B243" s="442" t="s">
        <v>648</v>
      </c>
      <c r="C243" s="442" t="s">
        <v>648</v>
      </c>
      <c r="D243" s="442">
        <v>52300</v>
      </c>
      <c r="E243" s="442" t="s">
        <v>648</v>
      </c>
      <c r="F243" s="442" t="s">
        <v>648</v>
      </c>
      <c r="G243" s="442" t="s">
        <v>648</v>
      </c>
      <c r="H243" s="442" t="s">
        <v>648</v>
      </c>
      <c r="I243" s="442" t="s">
        <v>648</v>
      </c>
      <c r="J243" s="442" t="s">
        <v>648</v>
      </c>
      <c r="K243" s="442" t="s">
        <v>648</v>
      </c>
      <c r="L243" s="442" t="s">
        <v>648</v>
      </c>
      <c r="M243" s="442" t="s">
        <v>648</v>
      </c>
      <c r="N243" s="442">
        <v>440409</v>
      </c>
      <c r="O243" s="442">
        <v>90680</v>
      </c>
      <c r="P243" s="442">
        <v>50050</v>
      </c>
      <c r="Q243" s="442">
        <v>299679</v>
      </c>
      <c r="R243" s="442" t="s">
        <v>648</v>
      </c>
      <c r="S243" s="442" t="s">
        <v>648</v>
      </c>
      <c r="T243" s="442" t="s">
        <v>648</v>
      </c>
      <c r="U243" s="442" t="s">
        <v>648</v>
      </c>
      <c r="V243" s="442">
        <v>161108</v>
      </c>
      <c r="W243" s="447" t="s">
        <v>98</v>
      </c>
    </row>
    <row r="244" spans="1:23" s="442" customFormat="1" ht="9.75" customHeight="1" x14ac:dyDescent="0.15">
      <c r="A244" s="950" t="s">
        <v>786</v>
      </c>
      <c r="B244" s="442" t="s">
        <v>648</v>
      </c>
      <c r="C244" s="442">
        <v>47800</v>
      </c>
      <c r="D244" s="442" t="s">
        <v>648</v>
      </c>
      <c r="E244" s="442">
        <v>66597</v>
      </c>
      <c r="F244" s="442" t="s">
        <v>648</v>
      </c>
      <c r="G244" s="442" t="s">
        <v>648</v>
      </c>
      <c r="H244" s="442" t="s">
        <v>648</v>
      </c>
      <c r="I244" s="442">
        <v>1281</v>
      </c>
      <c r="J244" s="442" t="s">
        <v>648</v>
      </c>
      <c r="K244" s="442">
        <v>1281</v>
      </c>
      <c r="L244" s="442" t="s">
        <v>648</v>
      </c>
      <c r="M244" s="442" t="s">
        <v>648</v>
      </c>
      <c r="N244" s="442">
        <v>150073</v>
      </c>
      <c r="O244" s="442" t="s">
        <v>648</v>
      </c>
      <c r="P244" s="442" t="s">
        <v>648</v>
      </c>
      <c r="Q244" s="442">
        <v>150073</v>
      </c>
      <c r="R244" s="442">
        <v>47073</v>
      </c>
      <c r="S244" s="442" t="s">
        <v>648</v>
      </c>
      <c r="T244" s="442">
        <v>47073</v>
      </c>
      <c r="U244" s="442" t="s">
        <v>648</v>
      </c>
      <c r="V244" s="442">
        <v>335037</v>
      </c>
      <c r="W244" s="447" t="s">
        <v>99</v>
      </c>
    </row>
    <row r="245" spans="1:23" s="442" customFormat="1" ht="9.75" customHeight="1" x14ac:dyDescent="0.15">
      <c r="A245" s="950" t="s">
        <v>807</v>
      </c>
      <c r="B245" s="442" t="s">
        <v>648</v>
      </c>
      <c r="C245" s="442">
        <v>50004</v>
      </c>
      <c r="D245" s="442">
        <v>50030</v>
      </c>
      <c r="E245" s="442">
        <v>42050</v>
      </c>
      <c r="F245" s="442">
        <v>98377</v>
      </c>
      <c r="G245" s="442" t="s">
        <v>648</v>
      </c>
      <c r="H245" s="442" t="s">
        <v>648</v>
      </c>
      <c r="I245" s="442">
        <v>49800</v>
      </c>
      <c r="J245" s="442" t="s">
        <v>648</v>
      </c>
      <c r="K245" s="442">
        <v>49800</v>
      </c>
      <c r="L245" s="442" t="s">
        <v>648</v>
      </c>
      <c r="M245" s="442" t="s">
        <v>648</v>
      </c>
      <c r="N245" s="442" t="s">
        <v>648</v>
      </c>
      <c r="O245" s="442" t="s">
        <v>648</v>
      </c>
      <c r="P245" s="442" t="s">
        <v>648</v>
      </c>
      <c r="Q245" s="442" t="s">
        <v>648</v>
      </c>
      <c r="R245" s="442">
        <v>52958</v>
      </c>
      <c r="S245" s="442" t="s">
        <v>648</v>
      </c>
      <c r="T245" s="442">
        <v>52958</v>
      </c>
      <c r="U245" s="442" t="s">
        <v>648</v>
      </c>
      <c r="V245" s="442">
        <v>146968</v>
      </c>
      <c r="W245" s="447" t="s">
        <v>83</v>
      </c>
    </row>
    <row r="246" spans="1:23" s="442" customFormat="1" ht="9.75" customHeight="1" x14ac:dyDescent="0.15">
      <c r="A246" s="950" t="s">
        <v>788</v>
      </c>
      <c r="B246" s="442" t="s">
        <v>648</v>
      </c>
      <c r="C246" s="442" t="s">
        <v>648</v>
      </c>
      <c r="D246" s="442" t="s">
        <v>648</v>
      </c>
      <c r="E246" s="442">
        <v>95309</v>
      </c>
      <c r="F246" s="442" t="s">
        <v>648</v>
      </c>
      <c r="G246" s="442" t="s">
        <v>648</v>
      </c>
      <c r="H246" s="442" t="s">
        <v>648</v>
      </c>
      <c r="I246" s="442" t="s">
        <v>648</v>
      </c>
      <c r="J246" s="442" t="s">
        <v>648</v>
      </c>
      <c r="K246" s="442" t="s">
        <v>648</v>
      </c>
      <c r="L246" s="442" t="s">
        <v>648</v>
      </c>
      <c r="M246" s="442" t="s">
        <v>648</v>
      </c>
      <c r="N246" s="442">
        <v>50030</v>
      </c>
      <c r="O246" s="442" t="s">
        <v>648</v>
      </c>
      <c r="P246" s="442" t="s">
        <v>648</v>
      </c>
      <c r="Q246" s="442">
        <v>50030</v>
      </c>
      <c r="R246" s="442" t="s">
        <v>648</v>
      </c>
      <c r="S246" s="442" t="s">
        <v>648</v>
      </c>
      <c r="T246" s="442" t="s">
        <v>648</v>
      </c>
      <c r="U246" s="442" t="s">
        <v>648</v>
      </c>
      <c r="V246" s="442">
        <v>213346</v>
      </c>
      <c r="W246" s="447" t="s">
        <v>84</v>
      </c>
    </row>
    <row r="247" spans="1:23" s="442" customFormat="1" ht="9.75" customHeight="1" x14ac:dyDescent="0.15">
      <c r="A247" s="950" t="s">
        <v>789</v>
      </c>
      <c r="B247" s="442" t="s">
        <v>648</v>
      </c>
      <c r="C247" s="442" t="s">
        <v>648</v>
      </c>
      <c r="D247" s="442" t="s">
        <v>648</v>
      </c>
      <c r="E247" s="442">
        <v>101871</v>
      </c>
      <c r="F247" s="442" t="s">
        <v>648</v>
      </c>
      <c r="G247" s="442" t="s">
        <v>648</v>
      </c>
      <c r="H247" s="442" t="s">
        <v>648</v>
      </c>
      <c r="I247" s="442">
        <v>49204</v>
      </c>
      <c r="J247" s="442" t="s">
        <v>648</v>
      </c>
      <c r="K247" s="442" t="s">
        <v>648</v>
      </c>
      <c r="L247" s="442">
        <v>49204</v>
      </c>
      <c r="M247" s="442" t="s">
        <v>648</v>
      </c>
      <c r="N247" s="442">
        <v>100007</v>
      </c>
      <c r="O247" s="442" t="s">
        <v>648</v>
      </c>
      <c r="P247" s="442" t="s">
        <v>648</v>
      </c>
      <c r="Q247" s="442">
        <v>100007</v>
      </c>
      <c r="R247" s="442" t="s">
        <v>648</v>
      </c>
      <c r="S247" s="442" t="s">
        <v>648</v>
      </c>
      <c r="T247" s="442" t="s">
        <v>648</v>
      </c>
      <c r="U247" s="442" t="s">
        <v>648</v>
      </c>
      <c r="V247" s="442">
        <v>250976</v>
      </c>
      <c r="W247" s="447" t="s">
        <v>85</v>
      </c>
    </row>
    <row r="248" spans="1:23" s="442" customFormat="1" ht="9.75" customHeight="1" x14ac:dyDescent="0.15">
      <c r="A248" s="950" t="s">
        <v>790</v>
      </c>
      <c r="B248" s="442">
        <v>50051</v>
      </c>
      <c r="C248" s="442">
        <v>66701</v>
      </c>
      <c r="D248" s="442" t="s">
        <v>648</v>
      </c>
      <c r="E248" s="442">
        <v>98066</v>
      </c>
      <c r="F248" s="442">
        <v>50005</v>
      </c>
      <c r="G248" s="442" t="s">
        <v>648</v>
      </c>
      <c r="H248" s="442" t="s">
        <v>648</v>
      </c>
      <c r="I248" s="442" t="s">
        <v>648</v>
      </c>
      <c r="J248" s="442" t="s">
        <v>648</v>
      </c>
      <c r="K248" s="442" t="s">
        <v>648</v>
      </c>
      <c r="L248" s="442" t="s">
        <v>648</v>
      </c>
      <c r="M248" s="442" t="s">
        <v>648</v>
      </c>
      <c r="N248" s="442">
        <v>95335</v>
      </c>
      <c r="O248" s="442">
        <v>45331</v>
      </c>
      <c r="P248" s="442" t="s">
        <v>648</v>
      </c>
      <c r="Q248" s="442">
        <v>50004</v>
      </c>
      <c r="R248" s="442" t="s">
        <v>648</v>
      </c>
      <c r="S248" s="442" t="s">
        <v>648</v>
      </c>
      <c r="T248" s="442" t="s">
        <v>648</v>
      </c>
      <c r="U248" s="442" t="s">
        <v>648</v>
      </c>
      <c r="V248" s="442">
        <v>336782</v>
      </c>
      <c r="W248" s="447" t="s">
        <v>791</v>
      </c>
    </row>
    <row r="249" spans="1:23" s="442" customFormat="1" ht="9.75" customHeight="1" x14ac:dyDescent="0.15">
      <c r="A249" s="950" t="s">
        <v>792</v>
      </c>
      <c r="B249" s="442" t="s">
        <v>648</v>
      </c>
      <c r="C249" s="442" t="s">
        <v>648</v>
      </c>
      <c r="D249" s="442" t="s">
        <v>648</v>
      </c>
      <c r="E249" s="442">
        <v>97048</v>
      </c>
      <c r="F249" s="442">
        <v>148991</v>
      </c>
      <c r="G249" s="442" t="s">
        <v>648</v>
      </c>
      <c r="H249" s="442" t="s">
        <v>648</v>
      </c>
      <c r="I249" s="442">
        <v>19318</v>
      </c>
      <c r="J249" s="442" t="s">
        <v>648</v>
      </c>
      <c r="K249" s="442">
        <v>19318</v>
      </c>
      <c r="L249" s="442" t="s">
        <v>648</v>
      </c>
      <c r="M249" s="442" t="s">
        <v>648</v>
      </c>
      <c r="N249" s="442">
        <v>44431</v>
      </c>
      <c r="O249" s="442" t="s">
        <v>648</v>
      </c>
      <c r="P249" s="442" t="s">
        <v>648</v>
      </c>
      <c r="Q249" s="442">
        <v>44431</v>
      </c>
      <c r="R249" s="442" t="s">
        <v>648</v>
      </c>
      <c r="S249" s="442" t="s">
        <v>648</v>
      </c>
      <c r="T249" s="442" t="s">
        <v>648</v>
      </c>
      <c r="U249" s="442" t="s">
        <v>648</v>
      </c>
      <c r="V249" s="442">
        <v>250410</v>
      </c>
      <c r="W249" s="447" t="s">
        <v>80</v>
      </c>
    </row>
    <row r="250" spans="1:23" s="442" customFormat="1" ht="9.75" customHeight="1" x14ac:dyDescent="0.15">
      <c r="A250" s="951" t="s">
        <v>793</v>
      </c>
      <c r="B250" s="446" t="s">
        <v>648</v>
      </c>
      <c r="C250" s="445">
        <v>87568</v>
      </c>
      <c r="D250" s="445" t="s">
        <v>648</v>
      </c>
      <c r="E250" s="445">
        <v>190945</v>
      </c>
      <c r="F250" s="445" t="s">
        <v>648</v>
      </c>
      <c r="G250" s="445" t="s">
        <v>648</v>
      </c>
      <c r="H250" s="445" t="s">
        <v>648</v>
      </c>
      <c r="I250" s="445">
        <v>7945</v>
      </c>
      <c r="J250" s="445" t="s">
        <v>648</v>
      </c>
      <c r="K250" s="445">
        <v>7945</v>
      </c>
      <c r="L250" s="445" t="s">
        <v>648</v>
      </c>
      <c r="M250" s="445" t="s">
        <v>648</v>
      </c>
      <c r="N250" s="445">
        <v>50020</v>
      </c>
      <c r="O250" s="445" t="s">
        <v>648</v>
      </c>
      <c r="P250" s="445" t="s">
        <v>648</v>
      </c>
      <c r="Q250" s="445">
        <v>50020</v>
      </c>
      <c r="R250" s="445" t="s">
        <v>648</v>
      </c>
      <c r="S250" s="445" t="s">
        <v>648</v>
      </c>
      <c r="T250" s="445" t="s">
        <v>648</v>
      </c>
      <c r="U250" s="445" t="s">
        <v>648</v>
      </c>
      <c r="V250" s="445">
        <v>243859</v>
      </c>
      <c r="W250" s="443" t="s">
        <v>81</v>
      </c>
    </row>
    <row r="251" spans="1:23" ht="12" customHeight="1" x14ac:dyDescent="0.2"/>
    <row r="252" spans="1:23" ht="12" customHeight="1" x14ac:dyDescent="0.2"/>
    <row r="253" spans="1:23" ht="12" customHeight="1" x14ac:dyDescent="0.2">
      <c r="K253" s="457" t="s">
        <v>100</v>
      </c>
    </row>
    <row r="254" spans="1:23" s="453" customFormat="1" ht="21" customHeight="1" x14ac:dyDescent="0.2">
      <c r="A254" s="1089" t="s">
        <v>194</v>
      </c>
      <c r="B254" s="456" t="s">
        <v>376</v>
      </c>
      <c r="C254" s="455"/>
      <c r="D254" s="455"/>
      <c r="E254" s="455"/>
      <c r="F254" s="455"/>
      <c r="G254" s="455"/>
      <c r="H254" s="455"/>
      <c r="I254" s="455"/>
      <c r="J254" s="455"/>
      <c r="K254" s="455"/>
      <c r="L254" s="455"/>
      <c r="M254" s="917"/>
      <c r="N254" s="918" t="s">
        <v>327</v>
      </c>
      <c r="O254" s="455"/>
      <c r="P254" s="455"/>
      <c r="Q254" s="455"/>
      <c r="R254" s="455"/>
      <c r="S254" s="455"/>
      <c r="T254" s="455"/>
      <c r="U254" s="455"/>
      <c r="V254" s="455"/>
      <c r="W254" s="1092" t="s">
        <v>86</v>
      </c>
    </row>
    <row r="255" spans="1:23" s="453" customFormat="1" ht="21" customHeight="1" x14ac:dyDescent="0.2">
      <c r="A255" s="1090"/>
      <c r="B255" s="456" t="s">
        <v>119</v>
      </c>
      <c r="C255" s="455"/>
      <c r="D255" s="455"/>
      <c r="E255" s="455"/>
      <c r="F255" s="455"/>
      <c r="G255" s="455"/>
      <c r="H255" s="455"/>
      <c r="I255" s="455"/>
      <c r="J255" s="917"/>
      <c r="K255" s="918" t="s">
        <v>1135</v>
      </c>
      <c r="L255" s="455"/>
      <c r="M255" s="917"/>
      <c r="N255" s="1095" t="s">
        <v>325</v>
      </c>
      <c r="O255" s="918" t="s">
        <v>297</v>
      </c>
      <c r="P255" s="455"/>
      <c r="Q255" s="455"/>
      <c r="R255" s="455"/>
      <c r="S255" s="455"/>
      <c r="T255" s="917"/>
      <c r="U255" s="918" t="s">
        <v>1135</v>
      </c>
      <c r="V255" s="455"/>
      <c r="W255" s="1093"/>
    </row>
    <row r="256" spans="1:23" s="453" customFormat="1" ht="52.5" customHeight="1" x14ac:dyDescent="0.2">
      <c r="A256" s="1091"/>
      <c r="B256" s="454" t="s">
        <v>263</v>
      </c>
      <c r="C256" s="454" t="s">
        <v>1095</v>
      </c>
      <c r="D256" s="454" t="s">
        <v>632</v>
      </c>
      <c r="E256" s="454" t="s">
        <v>354</v>
      </c>
      <c r="F256" s="454" t="s">
        <v>633</v>
      </c>
      <c r="G256" s="454" t="s">
        <v>375</v>
      </c>
      <c r="H256" s="454" t="s">
        <v>374</v>
      </c>
      <c r="I256" s="454" t="s">
        <v>481</v>
      </c>
      <c r="J256" s="454" t="s">
        <v>373</v>
      </c>
      <c r="K256" s="920" t="s">
        <v>353</v>
      </c>
      <c r="L256" s="454" t="s">
        <v>372</v>
      </c>
      <c r="M256" s="454" t="s">
        <v>352</v>
      </c>
      <c r="N256" s="1096"/>
      <c r="O256" s="920" t="s">
        <v>1096</v>
      </c>
      <c r="P256" s="454" t="s">
        <v>286</v>
      </c>
      <c r="Q256" s="454" t="s">
        <v>1097</v>
      </c>
      <c r="R256" s="454" t="s">
        <v>285</v>
      </c>
      <c r="S256" s="454" t="s">
        <v>284</v>
      </c>
      <c r="T256" s="454" t="s">
        <v>282</v>
      </c>
      <c r="U256" s="920" t="s">
        <v>353</v>
      </c>
      <c r="V256" s="458" t="s">
        <v>352</v>
      </c>
      <c r="W256" s="1094"/>
    </row>
    <row r="257" spans="1:23" s="442" customFormat="1" ht="9.75" customHeight="1" x14ac:dyDescent="0.15">
      <c r="A257" s="949" t="s">
        <v>763</v>
      </c>
      <c r="B257" s="452">
        <v>5132384</v>
      </c>
      <c r="C257" s="451">
        <v>92711</v>
      </c>
      <c r="D257" s="451" t="s">
        <v>648</v>
      </c>
      <c r="E257" s="451" t="s">
        <v>648</v>
      </c>
      <c r="F257" s="451" t="s">
        <v>648</v>
      </c>
      <c r="G257" s="451" t="s">
        <v>648</v>
      </c>
      <c r="H257" s="451">
        <v>85546</v>
      </c>
      <c r="I257" s="451" t="s">
        <v>648</v>
      </c>
      <c r="J257" s="451" t="s">
        <v>648</v>
      </c>
      <c r="K257" s="451">
        <v>257866</v>
      </c>
      <c r="L257" s="451">
        <v>240816</v>
      </c>
      <c r="M257" s="451">
        <v>17050</v>
      </c>
      <c r="N257" s="451">
        <v>1349403</v>
      </c>
      <c r="O257" s="451">
        <v>1174989</v>
      </c>
      <c r="P257" s="451">
        <v>264266</v>
      </c>
      <c r="Q257" s="451">
        <v>453738</v>
      </c>
      <c r="R257" s="451">
        <v>352009</v>
      </c>
      <c r="S257" s="451">
        <v>104976</v>
      </c>
      <c r="T257" s="451" t="s">
        <v>648</v>
      </c>
      <c r="U257" s="451">
        <v>174414</v>
      </c>
      <c r="V257" s="451">
        <v>174414</v>
      </c>
      <c r="W257" s="449" t="s">
        <v>464</v>
      </c>
    </row>
    <row r="258" spans="1:23" s="442" customFormat="1" ht="9.75" customHeight="1" x14ac:dyDescent="0.15">
      <c r="A258" s="950" t="s">
        <v>764</v>
      </c>
      <c r="B258" s="442">
        <v>3456972</v>
      </c>
      <c r="C258" s="442">
        <v>369448</v>
      </c>
      <c r="D258" s="442" t="s">
        <v>648</v>
      </c>
      <c r="E258" s="442" t="s">
        <v>648</v>
      </c>
      <c r="F258" s="442" t="s">
        <v>648</v>
      </c>
      <c r="G258" s="442" t="s">
        <v>648</v>
      </c>
      <c r="H258" s="442">
        <v>125751</v>
      </c>
      <c r="I258" s="442">
        <v>32736</v>
      </c>
      <c r="J258" s="442" t="s">
        <v>648</v>
      </c>
      <c r="K258" s="442">
        <v>170618</v>
      </c>
      <c r="L258" s="442">
        <v>158913</v>
      </c>
      <c r="M258" s="442">
        <v>11705</v>
      </c>
      <c r="N258" s="442">
        <v>1057505</v>
      </c>
      <c r="O258" s="442">
        <v>916549</v>
      </c>
      <c r="P258" s="442">
        <v>487945</v>
      </c>
      <c r="Q258" s="442">
        <v>283692</v>
      </c>
      <c r="R258" s="442">
        <v>86720</v>
      </c>
      <c r="S258" s="442">
        <v>58192</v>
      </c>
      <c r="T258" s="442" t="s">
        <v>648</v>
      </c>
      <c r="U258" s="442">
        <v>140956</v>
      </c>
      <c r="V258" s="442">
        <v>140956</v>
      </c>
      <c r="W258" s="447" t="s">
        <v>489</v>
      </c>
    </row>
    <row r="259" spans="1:23" s="442" customFormat="1" ht="9.75" customHeight="1" x14ac:dyDescent="0.15">
      <c r="A259" s="950" t="s">
        <v>765</v>
      </c>
      <c r="B259" s="442">
        <v>4925895</v>
      </c>
      <c r="C259" s="442">
        <v>304586</v>
      </c>
      <c r="D259" s="442">
        <v>12031</v>
      </c>
      <c r="E259" s="442">
        <v>11641</v>
      </c>
      <c r="F259" s="442">
        <v>9431</v>
      </c>
      <c r="G259" s="442">
        <v>21279</v>
      </c>
      <c r="H259" s="442">
        <v>93659</v>
      </c>
      <c r="I259" s="442">
        <v>40675</v>
      </c>
      <c r="J259" s="442" t="s">
        <v>648</v>
      </c>
      <c r="K259" s="442">
        <v>191076</v>
      </c>
      <c r="L259" s="442">
        <v>162481</v>
      </c>
      <c r="M259" s="442">
        <v>28595</v>
      </c>
      <c r="N259" s="442">
        <v>1672616</v>
      </c>
      <c r="O259" s="442">
        <v>1552558</v>
      </c>
      <c r="P259" s="442">
        <v>530039</v>
      </c>
      <c r="Q259" s="442">
        <v>363766</v>
      </c>
      <c r="R259" s="442">
        <v>175741</v>
      </c>
      <c r="S259" s="442">
        <v>385663</v>
      </c>
      <c r="T259" s="442">
        <v>97349</v>
      </c>
      <c r="U259" s="442">
        <v>120058</v>
      </c>
      <c r="V259" s="442">
        <v>120058</v>
      </c>
      <c r="W259" s="447" t="s">
        <v>549</v>
      </c>
    </row>
    <row r="260" spans="1:23" s="442" customFormat="1" ht="9.75" customHeight="1" x14ac:dyDescent="0.15">
      <c r="A260" s="950" t="s">
        <v>766</v>
      </c>
      <c r="B260" s="442">
        <v>1780657</v>
      </c>
      <c r="C260" s="442">
        <v>185720</v>
      </c>
      <c r="D260" s="442" t="s">
        <v>648</v>
      </c>
      <c r="E260" s="442" t="s">
        <v>648</v>
      </c>
      <c r="F260" s="442" t="s">
        <v>648</v>
      </c>
      <c r="G260" s="442" t="s">
        <v>648</v>
      </c>
      <c r="H260" s="442">
        <v>29573</v>
      </c>
      <c r="I260" s="442" t="s">
        <v>648</v>
      </c>
      <c r="J260" s="442">
        <v>6050</v>
      </c>
      <c r="K260" s="442">
        <v>86798</v>
      </c>
      <c r="L260" s="442">
        <v>75672</v>
      </c>
      <c r="M260" s="442">
        <v>11126</v>
      </c>
      <c r="N260" s="442">
        <v>1327820</v>
      </c>
      <c r="O260" s="442">
        <v>1261782</v>
      </c>
      <c r="P260" s="442">
        <v>391582</v>
      </c>
      <c r="Q260" s="442">
        <v>259238</v>
      </c>
      <c r="R260" s="442">
        <v>118025</v>
      </c>
      <c r="S260" s="442">
        <v>486497</v>
      </c>
      <c r="T260" s="442">
        <v>6440</v>
      </c>
      <c r="U260" s="442">
        <v>66038</v>
      </c>
      <c r="V260" s="442">
        <v>66038</v>
      </c>
      <c r="W260" s="447" t="s">
        <v>672</v>
      </c>
    </row>
    <row r="261" spans="1:23" s="442" customFormat="1" ht="9.75" customHeight="1" x14ac:dyDescent="0.15">
      <c r="A261" s="950" t="s">
        <v>767</v>
      </c>
      <c r="B261" s="442">
        <v>1800341</v>
      </c>
      <c r="C261" s="442">
        <v>141069</v>
      </c>
      <c r="D261" s="442" t="s">
        <v>648</v>
      </c>
      <c r="E261" s="442" t="s">
        <v>648</v>
      </c>
      <c r="F261" s="442" t="s">
        <v>648</v>
      </c>
      <c r="G261" s="442" t="s">
        <v>648</v>
      </c>
      <c r="H261" s="442">
        <v>112694</v>
      </c>
      <c r="I261" s="442">
        <v>10330</v>
      </c>
      <c r="J261" s="442" t="s">
        <v>648</v>
      </c>
      <c r="K261" s="442">
        <v>142775</v>
      </c>
      <c r="L261" s="442">
        <v>128773</v>
      </c>
      <c r="M261" s="442">
        <v>14002</v>
      </c>
      <c r="N261" s="442">
        <v>775956</v>
      </c>
      <c r="O261" s="442">
        <v>728535</v>
      </c>
      <c r="P261" s="442">
        <v>158221</v>
      </c>
      <c r="Q261" s="442">
        <v>74654</v>
      </c>
      <c r="R261" s="442">
        <v>173230</v>
      </c>
      <c r="S261" s="442">
        <v>170488</v>
      </c>
      <c r="T261" s="442">
        <v>151942</v>
      </c>
      <c r="U261" s="442">
        <v>47421</v>
      </c>
      <c r="V261" s="442">
        <v>47421</v>
      </c>
      <c r="W261" s="447" t="s">
        <v>768</v>
      </c>
    </row>
    <row r="262" spans="1:23" s="442" customFormat="1" ht="6.75" customHeight="1" x14ac:dyDescent="0.15">
      <c r="A262" s="950"/>
      <c r="W262" s="447"/>
    </row>
    <row r="263" spans="1:23" s="442" customFormat="1" ht="9.75" customHeight="1" x14ac:dyDescent="0.15">
      <c r="A263" s="950" t="s">
        <v>799</v>
      </c>
      <c r="B263" s="442">
        <v>1282512</v>
      </c>
      <c r="C263" s="442">
        <v>96520</v>
      </c>
      <c r="D263" s="442" t="s">
        <v>648</v>
      </c>
      <c r="E263" s="442" t="s">
        <v>648</v>
      </c>
      <c r="F263" s="442" t="s">
        <v>648</v>
      </c>
      <c r="G263" s="442" t="s">
        <v>648</v>
      </c>
      <c r="H263" s="442">
        <v>35599</v>
      </c>
      <c r="I263" s="442">
        <v>10330</v>
      </c>
      <c r="J263" s="442">
        <v>6050</v>
      </c>
      <c r="K263" s="442">
        <v>105927</v>
      </c>
      <c r="L263" s="442">
        <v>94391</v>
      </c>
      <c r="M263" s="442">
        <v>11536</v>
      </c>
      <c r="N263" s="442">
        <v>1292047</v>
      </c>
      <c r="O263" s="442">
        <v>1238079</v>
      </c>
      <c r="P263" s="442">
        <v>350376</v>
      </c>
      <c r="Q263" s="442">
        <v>287533</v>
      </c>
      <c r="R263" s="442">
        <v>81963</v>
      </c>
      <c r="S263" s="442">
        <v>372934</v>
      </c>
      <c r="T263" s="442">
        <v>145273</v>
      </c>
      <c r="U263" s="442">
        <v>53968</v>
      </c>
      <c r="V263" s="442">
        <v>53968</v>
      </c>
      <c r="W263" s="447" t="s">
        <v>673</v>
      </c>
    </row>
    <row r="264" spans="1:23" s="442" customFormat="1" ht="9.75" customHeight="1" x14ac:dyDescent="0.15">
      <c r="A264" s="950" t="s">
        <v>800</v>
      </c>
      <c r="B264" s="442">
        <v>2015350</v>
      </c>
      <c r="C264" s="442">
        <v>264898</v>
      </c>
      <c r="D264" s="442" t="s">
        <v>648</v>
      </c>
      <c r="E264" s="442" t="s">
        <v>648</v>
      </c>
      <c r="F264" s="442" t="s">
        <v>648</v>
      </c>
      <c r="G264" s="442" t="s">
        <v>648</v>
      </c>
      <c r="H264" s="442">
        <v>140201</v>
      </c>
      <c r="I264" s="442" t="s">
        <v>648</v>
      </c>
      <c r="J264" s="442" t="s">
        <v>648</v>
      </c>
      <c r="K264" s="442">
        <v>114394</v>
      </c>
      <c r="L264" s="442">
        <v>101726</v>
      </c>
      <c r="M264" s="442">
        <v>12668</v>
      </c>
      <c r="N264" s="442">
        <v>446974</v>
      </c>
      <c r="O264" s="442">
        <v>408960</v>
      </c>
      <c r="P264" s="442">
        <v>128488</v>
      </c>
      <c r="Q264" s="442">
        <v>41939</v>
      </c>
      <c r="R264" s="442">
        <v>143994</v>
      </c>
      <c r="S264" s="442">
        <v>87870</v>
      </c>
      <c r="T264" s="442">
        <v>6669</v>
      </c>
      <c r="U264" s="442">
        <v>38014</v>
      </c>
      <c r="V264" s="442">
        <v>38014</v>
      </c>
      <c r="W264" s="447" t="s">
        <v>771</v>
      </c>
    </row>
    <row r="265" spans="1:23" s="442" customFormat="1" ht="6.75" customHeight="1" x14ac:dyDescent="0.15">
      <c r="A265" s="950"/>
      <c r="W265" s="447"/>
    </row>
    <row r="266" spans="1:23" s="442" customFormat="1" ht="9.75" customHeight="1" x14ac:dyDescent="0.15">
      <c r="A266" s="950" t="s">
        <v>772</v>
      </c>
      <c r="B266" s="442">
        <v>444865</v>
      </c>
      <c r="C266" s="442" t="s">
        <v>648</v>
      </c>
      <c r="D266" s="442" t="s">
        <v>648</v>
      </c>
      <c r="E266" s="442" t="s">
        <v>648</v>
      </c>
      <c r="F266" s="442" t="s">
        <v>648</v>
      </c>
      <c r="G266" s="442" t="s">
        <v>648</v>
      </c>
      <c r="H266" s="442">
        <v>19841</v>
      </c>
      <c r="I266" s="442">
        <v>10330</v>
      </c>
      <c r="J266" s="442" t="s">
        <v>648</v>
      </c>
      <c r="K266" s="442">
        <v>50369</v>
      </c>
      <c r="L266" s="442">
        <v>45553</v>
      </c>
      <c r="M266" s="442">
        <v>4816</v>
      </c>
      <c r="N266" s="442">
        <v>401925</v>
      </c>
      <c r="O266" s="442">
        <v>387314</v>
      </c>
      <c r="P266" s="442">
        <v>59758</v>
      </c>
      <c r="Q266" s="442">
        <v>32715</v>
      </c>
      <c r="R266" s="442">
        <v>43436</v>
      </c>
      <c r="S266" s="442">
        <v>106132</v>
      </c>
      <c r="T266" s="442">
        <v>145273</v>
      </c>
      <c r="U266" s="442">
        <v>14611</v>
      </c>
      <c r="V266" s="442">
        <v>14611</v>
      </c>
      <c r="W266" s="447" t="s">
        <v>674</v>
      </c>
    </row>
    <row r="267" spans="1:23" s="442" customFormat="1" ht="9.75" customHeight="1" x14ac:dyDescent="0.15">
      <c r="A267" s="950" t="s">
        <v>773</v>
      </c>
      <c r="B267" s="442">
        <v>210741</v>
      </c>
      <c r="C267" s="442" t="s">
        <v>648</v>
      </c>
      <c r="D267" s="442" t="s">
        <v>648</v>
      </c>
      <c r="E267" s="442" t="s">
        <v>648</v>
      </c>
      <c r="F267" s="442" t="s">
        <v>648</v>
      </c>
      <c r="G267" s="442" t="s">
        <v>648</v>
      </c>
      <c r="H267" s="442" t="s">
        <v>648</v>
      </c>
      <c r="I267" s="442" t="s">
        <v>648</v>
      </c>
      <c r="J267" s="442" t="s">
        <v>648</v>
      </c>
      <c r="K267" s="442">
        <v>15735</v>
      </c>
      <c r="L267" s="442">
        <v>12994</v>
      </c>
      <c r="M267" s="442">
        <v>2741</v>
      </c>
      <c r="N267" s="442">
        <v>136633</v>
      </c>
      <c r="O267" s="442">
        <v>122393</v>
      </c>
      <c r="P267" s="442">
        <v>55778</v>
      </c>
      <c r="Q267" s="442">
        <v>31237</v>
      </c>
      <c r="R267" s="442" t="s">
        <v>648</v>
      </c>
      <c r="S267" s="442">
        <v>28709</v>
      </c>
      <c r="T267" s="442">
        <v>6669</v>
      </c>
      <c r="U267" s="442">
        <v>14240</v>
      </c>
      <c r="V267" s="442">
        <v>14240</v>
      </c>
      <c r="W267" s="447" t="s">
        <v>92</v>
      </c>
    </row>
    <row r="268" spans="1:23" s="442" customFormat="1" ht="9.75" customHeight="1" x14ac:dyDescent="0.15">
      <c r="A268" s="950" t="s">
        <v>774</v>
      </c>
      <c r="B268" s="442">
        <v>645146</v>
      </c>
      <c r="C268" s="442">
        <v>29368</v>
      </c>
      <c r="D268" s="442" t="s">
        <v>648</v>
      </c>
      <c r="E268" s="442" t="s">
        <v>648</v>
      </c>
      <c r="F268" s="442" t="s">
        <v>648</v>
      </c>
      <c r="G268" s="442" t="s">
        <v>648</v>
      </c>
      <c r="H268" s="442">
        <v>92853</v>
      </c>
      <c r="I268" s="442" t="s">
        <v>648</v>
      </c>
      <c r="J268" s="442" t="s">
        <v>648</v>
      </c>
      <c r="K268" s="442">
        <v>58789</v>
      </c>
      <c r="L268" s="442">
        <v>55471</v>
      </c>
      <c r="M268" s="442">
        <v>3318</v>
      </c>
      <c r="N268" s="442">
        <v>137612</v>
      </c>
      <c r="O268" s="442">
        <v>130083</v>
      </c>
      <c r="P268" s="442">
        <v>28455</v>
      </c>
      <c r="Q268" s="442" t="s">
        <v>648</v>
      </c>
      <c r="R268" s="442">
        <v>65981</v>
      </c>
      <c r="S268" s="442">
        <v>35647</v>
      </c>
      <c r="T268" s="442" t="s">
        <v>648</v>
      </c>
      <c r="U268" s="442">
        <v>7529</v>
      </c>
      <c r="V268" s="442">
        <v>7529</v>
      </c>
      <c r="W268" s="447" t="s">
        <v>93</v>
      </c>
    </row>
    <row r="269" spans="1:23" s="442" customFormat="1" ht="9.75" customHeight="1" x14ac:dyDescent="0.15">
      <c r="A269" s="950" t="s">
        <v>801</v>
      </c>
      <c r="B269" s="442">
        <v>499589</v>
      </c>
      <c r="C269" s="442">
        <v>111701</v>
      </c>
      <c r="D269" s="442" t="s">
        <v>648</v>
      </c>
      <c r="E269" s="442" t="s">
        <v>648</v>
      </c>
      <c r="F269" s="442" t="s">
        <v>648</v>
      </c>
      <c r="G269" s="442" t="s">
        <v>648</v>
      </c>
      <c r="H269" s="442" t="s">
        <v>648</v>
      </c>
      <c r="I269" s="442" t="s">
        <v>648</v>
      </c>
      <c r="J269" s="442" t="s">
        <v>648</v>
      </c>
      <c r="K269" s="442">
        <v>17882</v>
      </c>
      <c r="L269" s="442">
        <v>14755</v>
      </c>
      <c r="M269" s="442">
        <v>3127</v>
      </c>
      <c r="N269" s="442">
        <v>99786</v>
      </c>
      <c r="O269" s="442">
        <v>88745</v>
      </c>
      <c r="P269" s="442">
        <v>14230</v>
      </c>
      <c r="Q269" s="442">
        <v>10702</v>
      </c>
      <c r="R269" s="442">
        <v>63813</v>
      </c>
      <c r="S269" s="442" t="s">
        <v>648</v>
      </c>
      <c r="T269" s="442" t="s">
        <v>648</v>
      </c>
      <c r="U269" s="442">
        <v>11041</v>
      </c>
      <c r="V269" s="442">
        <v>11041</v>
      </c>
      <c r="W269" s="447" t="s">
        <v>94</v>
      </c>
    </row>
    <row r="270" spans="1:23" s="442" customFormat="1" ht="9.75" customHeight="1" x14ac:dyDescent="0.15">
      <c r="A270" s="950" t="s">
        <v>809</v>
      </c>
      <c r="B270" s="442">
        <v>659874</v>
      </c>
      <c r="C270" s="442">
        <v>123829</v>
      </c>
      <c r="D270" s="442" t="s">
        <v>648</v>
      </c>
      <c r="E270" s="442" t="s">
        <v>648</v>
      </c>
      <c r="F270" s="442" t="s">
        <v>648</v>
      </c>
      <c r="G270" s="442" t="s">
        <v>648</v>
      </c>
      <c r="H270" s="442">
        <v>47348</v>
      </c>
      <c r="I270" s="442" t="s">
        <v>648</v>
      </c>
      <c r="J270" s="442" t="s">
        <v>648</v>
      </c>
      <c r="K270" s="442">
        <v>21988</v>
      </c>
      <c r="L270" s="442">
        <v>18506</v>
      </c>
      <c r="M270" s="442">
        <v>3482</v>
      </c>
      <c r="N270" s="442">
        <v>72943</v>
      </c>
      <c r="O270" s="442">
        <v>67739</v>
      </c>
      <c r="P270" s="442">
        <v>30025</v>
      </c>
      <c r="Q270" s="442" t="s">
        <v>648</v>
      </c>
      <c r="R270" s="442">
        <v>14200</v>
      </c>
      <c r="S270" s="442">
        <v>23514</v>
      </c>
      <c r="T270" s="442" t="s">
        <v>648</v>
      </c>
      <c r="U270" s="442">
        <v>5204</v>
      </c>
      <c r="V270" s="442">
        <v>5204</v>
      </c>
      <c r="W270" s="447" t="s">
        <v>777</v>
      </c>
    </row>
    <row r="271" spans="1:23" s="442" customFormat="1" ht="6.75" customHeight="1" x14ac:dyDescent="0.15">
      <c r="A271" s="950"/>
      <c r="W271" s="447"/>
    </row>
    <row r="272" spans="1:23" s="442" customFormat="1" ht="9.75" customHeight="1" x14ac:dyDescent="0.15">
      <c r="A272" s="950" t="s">
        <v>778</v>
      </c>
      <c r="B272" s="442">
        <v>240062</v>
      </c>
      <c r="C272" s="442" t="s">
        <v>648</v>
      </c>
      <c r="D272" s="442" t="s">
        <v>648</v>
      </c>
      <c r="E272" s="442" t="s">
        <v>648</v>
      </c>
      <c r="F272" s="442" t="s">
        <v>648</v>
      </c>
      <c r="G272" s="442" t="s">
        <v>648</v>
      </c>
      <c r="H272" s="442" t="s">
        <v>648</v>
      </c>
      <c r="I272" s="442" t="s">
        <v>648</v>
      </c>
      <c r="J272" s="442" t="s">
        <v>648</v>
      </c>
      <c r="K272" s="442">
        <v>8248</v>
      </c>
      <c r="L272" s="442">
        <v>6806</v>
      </c>
      <c r="M272" s="442">
        <v>1442</v>
      </c>
      <c r="N272" s="442">
        <v>142492</v>
      </c>
      <c r="O272" s="442">
        <v>138206</v>
      </c>
      <c r="P272" s="442">
        <v>16320</v>
      </c>
      <c r="Q272" s="442">
        <v>14335</v>
      </c>
      <c r="R272" s="442">
        <v>22201</v>
      </c>
      <c r="S272" s="442">
        <v>59800</v>
      </c>
      <c r="T272" s="442">
        <v>25550</v>
      </c>
      <c r="U272" s="442">
        <v>4286</v>
      </c>
      <c r="V272" s="442">
        <v>4286</v>
      </c>
      <c r="W272" s="447" t="s">
        <v>675</v>
      </c>
    </row>
    <row r="273" spans="1:23" s="442" customFormat="1" ht="9.75" customHeight="1" x14ac:dyDescent="0.15">
      <c r="A273" s="950" t="s">
        <v>779</v>
      </c>
      <c r="B273" s="442" t="s">
        <v>648</v>
      </c>
      <c r="C273" s="442" t="s">
        <v>648</v>
      </c>
      <c r="D273" s="442" t="s">
        <v>648</v>
      </c>
      <c r="E273" s="442" t="s">
        <v>648</v>
      </c>
      <c r="F273" s="442" t="s">
        <v>648</v>
      </c>
      <c r="G273" s="442" t="s">
        <v>648</v>
      </c>
      <c r="H273" s="442" t="s">
        <v>648</v>
      </c>
      <c r="I273" s="442">
        <v>5560</v>
      </c>
      <c r="J273" s="442" t="s">
        <v>648</v>
      </c>
      <c r="K273" s="442">
        <v>8802</v>
      </c>
      <c r="L273" s="442">
        <v>7256</v>
      </c>
      <c r="M273" s="442">
        <v>1546</v>
      </c>
      <c r="N273" s="442">
        <v>124453</v>
      </c>
      <c r="O273" s="442">
        <v>119349</v>
      </c>
      <c r="P273" s="442">
        <v>21169</v>
      </c>
      <c r="Q273" s="442">
        <v>6000</v>
      </c>
      <c r="R273" s="442" t="s">
        <v>648</v>
      </c>
      <c r="S273" s="442">
        <v>46332</v>
      </c>
      <c r="T273" s="442">
        <v>45848</v>
      </c>
      <c r="U273" s="442">
        <v>5104</v>
      </c>
      <c r="V273" s="442">
        <v>5104</v>
      </c>
      <c r="W273" s="447" t="s">
        <v>80</v>
      </c>
    </row>
    <row r="274" spans="1:23" s="442" customFormat="1" ht="9.75" customHeight="1" x14ac:dyDescent="0.15">
      <c r="A274" s="950" t="s">
        <v>780</v>
      </c>
      <c r="B274" s="442">
        <v>204803</v>
      </c>
      <c r="C274" s="442" t="s">
        <v>648</v>
      </c>
      <c r="D274" s="442" t="s">
        <v>648</v>
      </c>
      <c r="E274" s="442" t="s">
        <v>648</v>
      </c>
      <c r="F274" s="442" t="s">
        <v>648</v>
      </c>
      <c r="G274" s="442" t="s">
        <v>648</v>
      </c>
      <c r="H274" s="442">
        <v>19841</v>
      </c>
      <c r="I274" s="442">
        <v>4770</v>
      </c>
      <c r="J274" s="442" t="s">
        <v>648</v>
      </c>
      <c r="K274" s="442">
        <v>33319</v>
      </c>
      <c r="L274" s="442">
        <v>31491</v>
      </c>
      <c r="M274" s="442">
        <v>1828</v>
      </c>
      <c r="N274" s="442">
        <v>134980</v>
      </c>
      <c r="O274" s="442">
        <v>129759</v>
      </c>
      <c r="P274" s="442">
        <v>22269</v>
      </c>
      <c r="Q274" s="442">
        <v>12380</v>
      </c>
      <c r="R274" s="442">
        <v>21235</v>
      </c>
      <c r="S274" s="442" t="s">
        <v>648</v>
      </c>
      <c r="T274" s="442">
        <v>73875</v>
      </c>
      <c r="U274" s="442">
        <v>5221</v>
      </c>
      <c r="V274" s="442">
        <v>5221</v>
      </c>
      <c r="W274" s="447" t="s">
        <v>81</v>
      </c>
    </row>
    <row r="275" spans="1:23" s="442" customFormat="1" ht="9.75" customHeight="1" x14ac:dyDescent="0.15">
      <c r="A275" s="950" t="s">
        <v>781</v>
      </c>
      <c r="B275" s="442">
        <v>24683</v>
      </c>
      <c r="C275" s="442" t="s">
        <v>648</v>
      </c>
      <c r="D275" s="442" t="s">
        <v>648</v>
      </c>
      <c r="E275" s="442" t="s">
        <v>648</v>
      </c>
      <c r="F275" s="442" t="s">
        <v>648</v>
      </c>
      <c r="G275" s="442" t="s">
        <v>648</v>
      </c>
      <c r="H275" s="442" t="s">
        <v>648</v>
      </c>
      <c r="I275" s="442" t="s">
        <v>648</v>
      </c>
      <c r="J275" s="442" t="s">
        <v>648</v>
      </c>
      <c r="K275" s="442">
        <v>5120</v>
      </c>
      <c r="L275" s="442">
        <v>4782</v>
      </c>
      <c r="M275" s="442">
        <v>338</v>
      </c>
      <c r="N275" s="442">
        <v>83135</v>
      </c>
      <c r="O275" s="442">
        <v>77756</v>
      </c>
      <c r="P275" s="442">
        <v>42378</v>
      </c>
      <c r="Q275" s="442" t="s">
        <v>648</v>
      </c>
      <c r="R275" s="442" t="s">
        <v>648</v>
      </c>
      <c r="S275" s="442">
        <v>28709</v>
      </c>
      <c r="T275" s="442">
        <v>6669</v>
      </c>
      <c r="U275" s="442">
        <v>5379</v>
      </c>
      <c r="V275" s="442">
        <v>5379</v>
      </c>
      <c r="W275" s="447" t="s">
        <v>82</v>
      </c>
    </row>
    <row r="276" spans="1:23" s="442" customFormat="1" ht="9.75" customHeight="1" x14ac:dyDescent="0.15">
      <c r="A276" s="950" t="s">
        <v>782</v>
      </c>
      <c r="B276" s="442">
        <v>50002</v>
      </c>
      <c r="C276" s="442" t="s">
        <v>648</v>
      </c>
      <c r="D276" s="442" t="s">
        <v>648</v>
      </c>
      <c r="E276" s="442" t="s">
        <v>648</v>
      </c>
      <c r="F276" s="442" t="s">
        <v>648</v>
      </c>
      <c r="G276" s="442" t="s">
        <v>648</v>
      </c>
      <c r="H276" s="442" t="s">
        <v>648</v>
      </c>
      <c r="I276" s="442" t="s">
        <v>648</v>
      </c>
      <c r="J276" s="442" t="s">
        <v>648</v>
      </c>
      <c r="K276" s="442">
        <v>5346</v>
      </c>
      <c r="L276" s="442">
        <v>4225</v>
      </c>
      <c r="M276" s="442">
        <v>1121</v>
      </c>
      <c r="N276" s="442">
        <v>41228</v>
      </c>
      <c r="O276" s="442">
        <v>35937</v>
      </c>
      <c r="P276" s="442">
        <v>4700</v>
      </c>
      <c r="Q276" s="442">
        <v>31237</v>
      </c>
      <c r="R276" s="442" t="s">
        <v>648</v>
      </c>
      <c r="S276" s="442" t="s">
        <v>648</v>
      </c>
      <c r="T276" s="442" t="s">
        <v>648</v>
      </c>
      <c r="U276" s="442">
        <v>5291</v>
      </c>
      <c r="V276" s="442">
        <v>5291</v>
      </c>
      <c r="W276" s="447" t="s">
        <v>95</v>
      </c>
    </row>
    <row r="277" spans="1:23" s="442" customFormat="1" ht="9.75" customHeight="1" x14ac:dyDescent="0.15">
      <c r="A277" s="950" t="s">
        <v>783</v>
      </c>
      <c r="B277" s="442">
        <v>136056</v>
      </c>
      <c r="C277" s="442" t="s">
        <v>648</v>
      </c>
      <c r="D277" s="442" t="s">
        <v>648</v>
      </c>
      <c r="E277" s="442" t="s">
        <v>648</v>
      </c>
      <c r="F277" s="442" t="s">
        <v>648</v>
      </c>
      <c r="G277" s="442" t="s">
        <v>648</v>
      </c>
      <c r="H277" s="442" t="s">
        <v>648</v>
      </c>
      <c r="I277" s="442" t="s">
        <v>648</v>
      </c>
      <c r="J277" s="442" t="s">
        <v>648</v>
      </c>
      <c r="K277" s="442">
        <v>5269</v>
      </c>
      <c r="L277" s="442">
        <v>3987</v>
      </c>
      <c r="M277" s="442">
        <v>1282</v>
      </c>
      <c r="N277" s="442">
        <v>12270</v>
      </c>
      <c r="O277" s="442">
        <v>8700</v>
      </c>
      <c r="P277" s="442">
        <v>8700</v>
      </c>
      <c r="Q277" s="442" t="s">
        <v>648</v>
      </c>
      <c r="R277" s="442" t="s">
        <v>648</v>
      </c>
      <c r="S277" s="442" t="s">
        <v>648</v>
      </c>
      <c r="T277" s="442" t="s">
        <v>648</v>
      </c>
      <c r="U277" s="442">
        <v>3570</v>
      </c>
      <c r="V277" s="442">
        <v>3570</v>
      </c>
      <c r="W277" s="447" t="s">
        <v>96</v>
      </c>
    </row>
    <row r="278" spans="1:23" s="442" customFormat="1" ht="9.75" customHeight="1" x14ac:dyDescent="0.15">
      <c r="A278" s="950" t="s">
        <v>784</v>
      </c>
      <c r="B278" s="442">
        <v>225935</v>
      </c>
      <c r="C278" s="442">
        <v>15108</v>
      </c>
      <c r="D278" s="442" t="s">
        <v>648</v>
      </c>
      <c r="E278" s="442" t="s">
        <v>648</v>
      </c>
      <c r="F278" s="442" t="s">
        <v>648</v>
      </c>
      <c r="G278" s="442" t="s">
        <v>648</v>
      </c>
      <c r="H278" s="442">
        <v>30179</v>
      </c>
      <c r="I278" s="442" t="s">
        <v>648</v>
      </c>
      <c r="J278" s="442" t="s">
        <v>648</v>
      </c>
      <c r="K278" s="442">
        <v>16916</v>
      </c>
      <c r="L278" s="442">
        <v>15805</v>
      </c>
      <c r="M278" s="442">
        <v>1111</v>
      </c>
      <c r="N278" s="442">
        <v>7890</v>
      </c>
      <c r="O278" s="442">
        <v>4700</v>
      </c>
      <c r="P278" s="442">
        <v>4700</v>
      </c>
      <c r="Q278" s="442" t="s">
        <v>648</v>
      </c>
      <c r="R278" s="442" t="s">
        <v>648</v>
      </c>
      <c r="S278" s="442" t="s">
        <v>648</v>
      </c>
      <c r="T278" s="442" t="s">
        <v>648</v>
      </c>
      <c r="U278" s="442">
        <v>3190</v>
      </c>
      <c r="V278" s="442">
        <v>3190</v>
      </c>
      <c r="W278" s="447" t="s">
        <v>97</v>
      </c>
    </row>
    <row r="279" spans="1:23" s="442" customFormat="1" ht="9.75" customHeight="1" x14ac:dyDescent="0.15">
      <c r="A279" s="950" t="s">
        <v>806</v>
      </c>
      <c r="B279" s="442">
        <v>100223</v>
      </c>
      <c r="C279" s="442">
        <v>14260</v>
      </c>
      <c r="D279" s="442" t="s">
        <v>648</v>
      </c>
      <c r="E279" s="442" t="s">
        <v>648</v>
      </c>
      <c r="F279" s="442" t="s">
        <v>648</v>
      </c>
      <c r="G279" s="442" t="s">
        <v>648</v>
      </c>
      <c r="H279" s="442">
        <v>46625</v>
      </c>
      <c r="I279" s="442" t="s">
        <v>648</v>
      </c>
      <c r="J279" s="442" t="s">
        <v>648</v>
      </c>
      <c r="K279" s="442">
        <v>6470</v>
      </c>
      <c r="L279" s="442">
        <v>4816</v>
      </c>
      <c r="M279" s="442">
        <v>1654</v>
      </c>
      <c r="N279" s="442">
        <v>46816</v>
      </c>
      <c r="O279" s="442">
        <v>44950</v>
      </c>
      <c r="P279" s="442">
        <v>4700</v>
      </c>
      <c r="Q279" s="442" t="s">
        <v>648</v>
      </c>
      <c r="R279" s="442">
        <v>12500</v>
      </c>
      <c r="S279" s="442">
        <v>27750</v>
      </c>
      <c r="T279" s="442" t="s">
        <v>648</v>
      </c>
      <c r="U279" s="442">
        <v>1866</v>
      </c>
      <c r="V279" s="442">
        <v>1866</v>
      </c>
      <c r="W279" s="447" t="s">
        <v>98</v>
      </c>
    </row>
    <row r="280" spans="1:23" s="442" customFormat="1" ht="9.75" customHeight="1" x14ac:dyDescent="0.15">
      <c r="A280" s="950" t="s">
        <v>786</v>
      </c>
      <c r="B280" s="442">
        <v>318988</v>
      </c>
      <c r="C280" s="442" t="s">
        <v>648</v>
      </c>
      <c r="D280" s="442" t="s">
        <v>648</v>
      </c>
      <c r="E280" s="442" t="s">
        <v>648</v>
      </c>
      <c r="F280" s="442" t="s">
        <v>648</v>
      </c>
      <c r="G280" s="442" t="s">
        <v>648</v>
      </c>
      <c r="H280" s="442">
        <v>16049</v>
      </c>
      <c r="I280" s="442" t="s">
        <v>648</v>
      </c>
      <c r="J280" s="442" t="s">
        <v>648</v>
      </c>
      <c r="K280" s="442">
        <v>35403</v>
      </c>
      <c r="L280" s="442">
        <v>34850</v>
      </c>
      <c r="M280" s="442">
        <v>553</v>
      </c>
      <c r="N280" s="442">
        <v>82906</v>
      </c>
      <c r="O280" s="442">
        <v>80433</v>
      </c>
      <c r="P280" s="442">
        <v>19055</v>
      </c>
      <c r="Q280" s="442" t="s">
        <v>648</v>
      </c>
      <c r="R280" s="442">
        <v>53481</v>
      </c>
      <c r="S280" s="442">
        <v>7897</v>
      </c>
      <c r="T280" s="442" t="s">
        <v>648</v>
      </c>
      <c r="U280" s="442">
        <v>2473</v>
      </c>
      <c r="V280" s="442">
        <v>2473</v>
      </c>
      <c r="W280" s="447" t="s">
        <v>99</v>
      </c>
    </row>
    <row r="281" spans="1:23" s="442" customFormat="1" ht="9.75" customHeight="1" x14ac:dyDescent="0.15">
      <c r="A281" s="950" t="s">
        <v>1149</v>
      </c>
      <c r="B281" s="442">
        <v>146968</v>
      </c>
      <c r="C281" s="442" t="s">
        <v>648</v>
      </c>
      <c r="D281" s="442" t="s">
        <v>648</v>
      </c>
      <c r="E281" s="442" t="s">
        <v>648</v>
      </c>
      <c r="F281" s="442" t="s">
        <v>648</v>
      </c>
      <c r="G281" s="442" t="s">
        <v>648</v>
      </c>
      <c r="H281" s="442" t="s">
        <v>648</v>
      </c>
      <c r="I281" s="442" t="s">
        <v>648</v>
      </c>
      <c r="J281" s="442" t="s">
        <v>648</v>
      </c>
      <c r="K281" s="442">
        <v>5002</v>
      </c>
      <c r="L281" s="442">
        <v>4306</v>
      </c>
      <c r="M281" s="442">
        <v>696</v>
      </c>
      <c r="N281" s="442">
        <v>35684</v>
      </c>
      <c r="O281" s="442">
        <v>31327</v>
      </c>
      <c r="P281" s="442">
        <v>9530</v>
      </c>
      <c r="Q281" s="442">
        <v>5402</v>
      </c>
      <c r="R281" s="442">
        <v>16395</v>
      </c>
      <c r="S281" s="442" t="s">
        <v>648</v>
      </c>
      <c r="T281" s="442" t="s">
        <v>648</v>
      </c>
      <c r="U281" s="442">
        <v>4357</v>
      </c>
      <c r="V281" s="442">
        <v>4357</v>
      </c>
      <c r="W281" s="447" t="s">
        <v>83</v>
      </c>
    </row>
    <row r="282" spans="1:23" s="442" customFormat="1" ht="9.75" customHeight="1" x14ac:dyDescent="0.15">
      <c r="A282" s="950" t="s">
        <v>1150</v>
      </c>
      <c r="B282" s="442">
        <v>165866</v>
      </c>
      <c r="C282" s="442">
        <v>47480</v>
      </c>
      <c r="D282" s="442" t="s">
        <v>648</v>
      </c>
      <c r="E282" s="442" t="s">
        <v>648</v>
      </c>
      <c r="F282" s="442" t="s">
        <v>648</v>
      </c>
      <c r="G282" s="442" t="s">
        <v>648</v>
      </c>
      <c r="H282" s="442" t="s">
        <v>648</v>
      </c>
      <c r="I282" s="442" t="s">
        <v>648</v>
      </c>
      <c r="J282" s="442" t="s">
        <v>648</v>
      </c>
      <c r="K282" s="442">
        <v>6175</v>
      </c>
      <c r="L282" s="442">
        <v>4743</v>
      </c>
      <c r="M282" s="442">
        <v>1432</v>
      </c>
      <c r="N282" s="442">
        <v>43189</v>
      </c>
      <c r="O282" s="442">
        <v>39502</v>
      </c>
      <c r="P282" s="442">
        <v>4700</v>
      </c>
      <c r="Q282" s="442">
        <v>5300</v>
      </c>
      <c r="R282" s="442">
        <v>29502</v>
      </c>
      <c r="S282" s="442" t="s">
        <v>648</v>
      </c>
      <c r="T282" s="442" t="s">
        <v>648</v>
      </c>
      <c r="U282" s="442">
        <v>3687</v>
      </c>
      <c r="V282" s="442">
        <v>3687</v>
      </c>
      <c r="W282" s="447" t="s">
        <v>84</v>
      </c>
    </row>
    <row r="283" spans="1:23" s="442" customFormat="1" ht="9.75" customHeight="1" x14ac:dyDescent="0.15">
      <c r="A283" s="950" t="s">
        <v>789</v>
      </c>
      <c r="B283" s="442">
        <v>186755</v>
      </c>
      <c r="C283" s="442">
        <v>64221</v>
      </c>
      <c r="D283" s="442" t="s">
        <v>648</v>
      </c>
      <c r="E283" s="442" t="s">
        <v>648</v>
      </c>
      <c r="F283" s="442" t="s">
        <v>648</v>
      </c>
      <c r="G283" s="442" t="s">
        <v>648</v>
      </c>
      <c r="H283" s="442" t="s">
        <v>648</v>
      </c>
      <c r="I283" s="442" t="s">
        <v>648</v>
      </c>
      <c r="J283" s="442" t="s">
        <v>648</v>
      </c>
      <c r="K283" s="442">
        <v>6705</v>
      </c>
      <c r="L283" s="442">
        <v>5706</v>
      </c>
      <c r="M283" s="442">
        <v>999</v>
      </c>
      <c r="N283" s="442">
        <v>20913</v>
      </c>
      <c r="O283" s="442">
        <v>17916</v>
      </c>
      <c r="P283" s="442" t="s">
        <v>648</v>
      </c>
      <c r="Q283" s="442" t="s">
        <v>648</v>
      </c>
      <c r="R283" s="442">
        <v>17916</v>
      </c>
      <c r="S283" s="442" t="s">
        <v>648</v>
      </c>
      <c r="T283" s="442" t="s">
        <v>648</v>
      </c>
      <c r="U283" s="442">
        <v>2997</v>
      </c>
      <c r="V283" s="442">
        <v>2997</v>
      </c>
      <c r="W283" s="447" t="s">
        <v>85</v>
      </c>
    </row>
    <row r="284" spans="1:23" s="442" customFormat="1" ht="9.75" customHeight="1" x14ac:dyDescent="0.15">
      <c r="A284" s="950" t="s">
        <v>1142</v>
      </c>
      <c r="B284" s="442">
        <v>228628</v>
      </c>
      <c r="C284" s="442">
        <v>108154</v>
      </c>
      <c r="D284" s="442" t="s">
        <v>648</v>
      </c>
      <c r="E284" s="442" t="s">
        <v>648</v>
      </c>
      <c r="F284" s="442" t="s">
        <v>648</v>
      </c>
      <c r="G284" s="442" t="s">
        <v>648</v>
      </c>
      <c r="H284" s="442" t="s">
        <v>648</v>
      </c>
      <c r="I284" s="442" t="s">
        <v>648</v>
      </c>
      <c r="J284" s="442" t="s">
        <v>648</v>
      </c>
      <c r="K284" s="442">
        <v>7763</v>
      </c>
      <c r="L284" s="442">
        <v>6197</v>
      </c>
      <c r="M284" s="442">
        <v>1566</v>
      </c>
      <c r="N284" s="442">
        <v>14000</v>
      </c>
      <c r="O284" s="442">
        <v>12801</v>
      </c>
      <c r="P284" s="442">
        <v>12801</v>
      </c>
      <c r="Q284" s="442" t="s">
        <v>648</v>
      </c>
      <c r="R284" s="442" t="s">
        <v>648</v>
      </c>
      <c r="S284" s="442" t="s">
        <v>648</v>
      </c>
      <c r="T284" s="442" t="s">
        <v>648</v>
      </c>
      <c r="U284" s="442">
        <v>1199</v>
      </c>
      <c r="V284" s="442">
        <v>1199</v>
      </c>
      <c r="W284" s="447" t="s">
        <v>791</v>
      </c>
    </row>
    <row r="285" spans="1:23" s="442" customFormat="1" ht="9.75" customHeight="1" x14ac:dyDescent="0.15">
      <c r="A285" s="950" t="s">
        <v>792</v>
      </c>
      <c r="B285" s="442">
        <v>226137</v>
      </c>
      <c r="C285" s="442" t="s">
        <v>648</v>
      </c>
      <c r="D285" s="442" t="s">
        <v>648</v>
      </c>
      <c r="E285" s="442" t="s">
        <v>648</v>
      </c>
      <c r="F285" s="442" t="s">
        <v>648</v>
      </c>
      <c r="G285" s="442" t="s">
        <v>648</v>
      </c>
      <c r="H285" s="442">
        <v>24273</v>
      </c>
      <c r="I285" s="442" t="s">
        <v>648</v>
      </c>
      <c r="J285" s="442" t="s">
        <v>648</v>
      </c>
      <c r="K285" s="442">
        <v>6771</v>
      </c>
      <c r="L285" s="442">
        <v>5935</v>
      </c>
      <c r="M285" s="442">
        <v>836</v>
      </c>
      <c r="N285" s="442">
        <v>30572</v>
      </c>
      <c r="O285" s="442">
        <v>28425</v>
      </c>
      <c r="P285" s="442">
        <v>14225</v>
      </c>
      <c r="Q285" s="442" t="s">
        <v>648</v>
      </c>
      <c r="R285" s="442">
        <v>14200</v>
      </c>
      <c r="S285" s="442" t="s">
        <v>648</v>
      </c>
      <c r="T285" s="442" t="s">
        <v>648</v>
      </c>
      <c r="U285" s="442">
        <v>2147</v>
      </c>
      <c r="V285" s="442">
        <v>2147</v>
      </c>
      <c r="W285" s="447" t="s">
        <v>80</v>
      </c>
    </row>
    <row r="286" spans="1:23" s="442" customFormat="1" ht="9.75" customHeight="1" x14ac:dyDescent="0.15">
      <c r="A286" s="951" t="s">
        <v>793</v>
      </c>
      <c r="B286" s="446">
        <v>205109</v>
      </c>
      <c r="C286" s="445">
        <v>15675</v>
      </c>
      <c r="D286" s="445" t="s">
        <v>648</v>
      </c>
      <c r="E286" s="445" t="s">
        <v>648</v>
      </c>
      <c r="F286" s="445" t="s">
        <v>648</v>
      </c>
      <c r="G286" s="445" t="s">
        <v>648</v>
      </c>
      <c r="H286" s="445">
        <v>23075</v>
      </c>
      <c r="I286" s="445" t="s">
        <v>648</v>
      </c>
      <c r="J286" s="445" t="s">
        <v>648</v>
      </c>
      <c r="K286" s="445">
        <v>7454</v>
      </c>
      <c r="L286" s="445">
        <v>6374</v>
      </c>
      <c r="M286" s="445">
        <v>1080</v>
      </c>
      <c r="N286" s="445">
        <v>28371</v>
      </c>
      <c r="O286" s="445">
        <v>26513</v>
      </c>
      <c r="P286" s="445">
        <v>2999</v>
      </c>
      <c r="Q286" s="445" t="s">
        <v>648</v>
      </c>
      <c r="R286" s="445" t="s">
        <v>648</v>
      </c>
      <c r="S286" s="445">
        <v>23514</v>
      </c>
      <c r="T286" s="445" t="s">
        <v>648</v>
      </c>
      <c r="U286" s="445">
        <v>1858</v>
      </c>
      <c r="V286" s="445">
        <v>1858</v>
      </c>
      <c r="W286" s="443" t="s">
        <v>81</v>
      </c>
    </row>
    <row r="287" spans="1:23" ht="12" customHeight="1" x14ac:dyDescent="0.2"/>
    <row r="288" spans="1:23" ht="12" customHeight="1" x14ac:dyDescent="0.2"/>
    <row r="289" spans="1:23" ht="12" customHeight="1" x14ac:dyDescent="0.15">
      <c r="K289" s="457" t="s">
        <v>100</v>
      </c>
      <c r="V289" s="460" t="s">
        <v>715</v>
      </c>
    </row>
    <row r="290" spans="1:23" s="453" customFormat="1" ht="21" customHeight="1" x14ac:dyDescent="0.2">
      <c r="A290" s="1089" t="s">
        <v>194</v>
      </c>
      <c r="B290" s="918" t="s">
        <v>1099</v>
      </c>
      <c r="C290" s="455"/>
      <c r="D290" s="455"/>
      <c r="E290" s="455"/>
      <c r="F290" s="455"/>
      <c r="G290" s="455"/>
      <c r="H290" s="455"/>
      <c r="I290" s="455"/>
      <c r="J290" s="455"/>
      <c r="K290" s="455"/>
      <c r="L290" s="455"/>
      <c r="M290" s="455"/>
      <c r="N290" s="455"/>
      <c r="O290" s="455"/>
      <c r="P290" s="455"/>
      <c r="Q290" s="917"/>
      <c r="R290" s="918" t="s">
        <v>324</v>
      </c>
      <c r="S290" s="455"/>
      <c r="T290" s="455"/>
      <c r="U290" s="455"/>
      <c r="V290" s="455"/>
      <c r="W290" s="1092" t="s">
        <v>86</v>
      </c>
    </row>
    <row r="291" spans="1:23" s="453" customFormat="1" ht="21" customHeight="1" x14ac:dyDescent="0.2">
      <c r="A291" s="1090"/>
      <c r="B291" s="1095" t="s">
        <v>709</v>
      </c>
      <c r="C291" s="918" t="s">
        <v>297</v>
      </c>
      <c r="D291" s="455"/>
      <c r="E291" s="455"/>
      <c r="F291" s="455"/>
      <c r="G291" s="455"/>
      <c r="H291" s="455"/>
      <c r="I291" s="455"/>
      <c r="J291" s="917"/>
      <c r="K291" s="918" t="s">
        <v>288</v>
      </c>
      <c r="L291" s="917"/>
      <c r="M291" s="918" t="s">
        <v>270</v>
      </c>
      <c r="N291" s="455"/>
      <c r="O291" s="917"/>
      <c r="P291" s="918" t="s">
        <v>1135</v>
      </c>
      <c r="Q291" s="917"/>
      <c r="R291" s="1095" t="s">
        <v>323</v>
      </c>
      <c r="S291" s="918" t="s">
        <v>297</v>
      </c>
      <c r="T291" s="455"/>
      <c r="U291" s="455"/>
      <c r="V291" s="455"/>
      <c r="W291" s="1093"/>
    </row>
    <row r="292" spans="1:23" s="453" customFormat="1" ht="52.5" customHeight="1" x14ac:dyDescent="0.2">
      <c r="A292" s="1091"/>
      <c r="B292" s="1096"/>
      <c r="C292" s="920" t="s">
        <v>1096</v>
      </c>
      <c r="D292" s="454" t="s">
        <v>286</v>
      </c>
      <c r="E292" s="454" t="s">
        <v>1097</v>
      </c>
      <c r="F292" s="454" t="s">
        <v>307</v>
      </c>
      <c r="G292" s="454" t="s">
        <v>314</v>
      </c>
      <c r="H292" s="454" t="s">
        <v>285</v>
      </c>
      <c r="I292" s="454" t="s">
        <v>284</v>
      </c>
      <c r="J292" s="454" t="s">
        <v>282</v>
      </c>
      <c r="K292" s="920" t="s">
        <v>1089</v>
      </c>
      <c r="L292" s="454" t="s">
        <v>274</v>
      </c>
      <c r="M292" s="920" t="s">
        <v>1094</v>
      </c>
      <c r="N292" s="454" t="s">
        <v>263</v>
      </c>
      <c r="O292" s="454" t="s">
        <v>354</v>
      </c>
      <c r="P292" s="920" t="s">
        <v>353</v>
      </c>
      <c r="Q292" s="454" t="s">
        <v>352</v>
      </c>
      <c r="R292" s="1096"/>
      <c r="S292" s="920" t="s">
        <v>1096</v>
      </c>
      <c r="T292" s="454" t="s">
        <v>286</v>
      </c>
      <c r="U292" s="454" t="s">
        <v>1097</v>
      </c>
      <c r="V292" s="458" t="s">
        <v>307</v>
      </c>
      <c r="W292" s="1094"/>
    </row>
    <row r="293" spans="1:23" s="442" customFormat="1" ht="9.75" customHeight="1" x14ac:dyDescent="0.15">
      <c r="A293" s="949" t="s">
        <v>763</v>
      </c>
      <c r="B293" s="452">
        <v>6946576</v>
      </c>
      <c r="C293" s="451">
        <v>2566813</v>
      </c>
      <c r="D293" s="451">
        <v>377828</v>
      </c>
      <c r="E293" s="451">
        <v>952835</v>
      </c>
      <c r="F293" s="451" t="s">
        <v>648</v>
      </c>
      <c r="G293" s="451">
        <v>249693</v>
      </c>
      <c r="H293" s="451">
        <v>770314</v>
      </c>
      <c r="I293" s="451">
        <v>216143</v>
      </c>
      <c r="J293" s="451" t="s">
        <v>648</v>
      </c>
      <c r="K293" s="451" t="s">
        <v>648</v>
      </c>
      <c r="L293" s="451" t="s">
        <v>648</v>
      </c>
      <c r="M293" s="451">
        <v>15885</v>
      </c>
      <c r="N293" s="451">
        <v>15885</v>
      </c>
      <c r="O293" s="451" t="s">
        <v>648</v>
      </c>
      <c r="P293" s="451">
        <v>4363878</v>
      </c>
      <c r="Q293" s="451">
        <v>4363878</v>
      </c>
      <c r="R293" s="451">
        <v>800803</v>
      </c>
      <c r="S293" s="451">
        <v>754159</v>
      </c>
      <c r="T293" s="451">
        <v>136552</v>
      </c>
      <c r="U293" s="451">
        <v>175225</v>
      </c>
      <c r="V293" s="451">
        <v>55728</v>
      </c>
      <c r="W293" s="449" t="s">
        <v>464</v>
      </c>
    </row>
    <row r="294" spans="1:23" s="442" customFormat="1" ht="9.75" customHeight="1" x14ac:dyDescent="0.15">
      <c r="A294" s="950" t="s">
        <v>764</v>
      </c>
      <c r="B294" s="442">
        <v>7883344</v>
      </c>
      <c r="C294" s="442">
        <v>3161676</v>
      </c>
      <c r="D294" s="442">
        <v>456923</v>
      </c>
      <c r="E294" s="442">
        <v>1141541</v>
      </c>
      <c r="F294" s="442" t="s">
        <v>648</v>
      </c>
      <c r="G294" s="442">
        <v>275844</v>
      </c>
      <c r="H294" s="442">
        <v>811185</v>
      </c>
      <c r="I294" s="442">
        <v>476183</v>
      </c>
      <c r="J294" s="442" t="s">
        <v>648</v>
      </c>
      <c r="K294" s="442" t="s">
        <v>648</v>
      </c>
      <c r="L294" s="442" t="s">
        <v>648</v>
      </c>
      <c r="M294" s="442" t="s">
        <v>648</v>
      </c>
      <c r="N294" s="442" t="s">
        <v>648</v>
      </c>
      <c r="O294" s="442" t="s">
        <v>648</v>
      </c>
      <c r="P294" s="442">
        <v>4721668</v>
      </c>
      <c r="Q294" s="442">
        <v>4721668</v>
      </c>
      <c r="R294" s="442">
        <v>981798</v>
      </c>
      <c r="S294" s="442">
        <v>935247</v>
      </c>
      <c r="T294" s="442">
        <v>149188</v>
      </c>
      <c r="U294" s="442">
        <v>181351</v>
      </c>
      <c r="V294" s="442">
        <v>54560</v>
      </c>
      <c r="W294" s="447" t="s">
        <v>489</v>
      </c>
    </row>
    <row r="295" spans="1:23" s="442" customFormat="1" ht="9.75" customHeight="1" x14ac:dyDescent="0.15">
      <c r="A295" s="950" t="s">
        <v>765</v>
      </c>
      <c r="B295" s="442">
        <v>6964735</v>
      </c>
      <c r="C295" s="442">
        <v>2257258</v>
      </c>
      <c r="D295" s="442">
        <v>327861</v>
      </c>
      <c r="E295" s="442">
        <v>1032009</v>
      </c>
      <c r="F295" s="442" t="s">
        <v>648</v>
      </c>
      <c r="G295" s="442">
        <v>91913</v>
      </c>
      <c r="H295" s="442">
        <v>699774</v>
      </c>
      <c r="I295" s="442">
        <v>105701</v>
      </c>
      <c r="J295" s="442" t="s">
        <v>648</v>
      </c>
      <c r="K295" s="442">
        <v>153551</v>
      </c>
      <c r="L295" s="442">
        <v>153551</v>
      </c>
      <c r="M295" s="442">
        <v>10241</v>
      </c>
      <c r="N295" s="442" t="s">
        <v>648</v>
      </c>
      <c r="O295" s="442">
        <v>10241</v>
      </c>
      <c r="P295" s="442">
        <v>4543685</v>
      </c>
      <c r="Q295" s="442">
        <v>4543685</v>
      </c>
      <c r="R295" s="442">
        <v>839240</v>
      </c>
      <c r="S295" s="442">
        <v>795062</v>
      </c>
      <c r="T295" s="442">
        <v>114636</v>
      </c>
      <c r="U295" s="442">
        <v>150822</v>
      </c>
      <c r="V295" s="442">
        <v>38220</v>
      </c>
      <c r="W295" s="447" t="s">
        <v>549</v>
      </c>
    </row>
    <row r="296" spans="1:23" s="442" customFormat="1" ht="9.75" customHeight="1" x14ac:dyDescent="0.15">
      <c r="A296" s="950" t="s">
        <v>766</v>
      </c>
      <c r="B296" s="442">
        <v>7623042</v>
      </c>
      <c r="C296" s="442">
        <v>2488615</v>
      </c>
      <c r="D296" s="442">
        <v>666325</v>
      </c>
      <c r="E296" s="442">
        <v>374103</v>
      </c>
      <c r="F296" s="442" t="s">
        <v>648</v>
      </c>
      <c r="G296" s="442" t="s">
        <v>648</v>
      </c>
      <c r="H296" s="442">
        <v>920692</v>
      </c>
      <c r="I296" s="442">
        <v>509745</v>
      </c>
      <c r="J296" s="442">
        <v>17750</v>
      </c>
      <c r="K296" s="442">
        <v>22565</v>
      </c>
      <c r="L296" s="442">
        <v>22565</v>
      </c>
      <c r="M296" s="442" t="s">
        <v>648</v>
      </c>
      <c r="N296" s="442" t="s">
        <v>648</v>
      </c>
      <c r="O296" s="442" t="s">
        <v>648</v>
      </c>
      <c r="P296" s="442">
        <v>5111862</v>
      </c>
      <c r="Q296" s="442">
        <v>5111862</v>
      </c>
      <c r="R296" s="442">
        <v>749232</v>
      </c>
      <c r="S296" s="442">
        <v>711893</v>
      </c>
      <c r="T296" s="442">
        <v>115989</v>
      </c>
      <c r="U296" s="442">
        <v>132449</v>
      </c>
      <c r="V296" s="442">
        <v>35919</v>
      </c>
      <c r="W296" s="447" t="s">
        <v>672</v>
      </c>
    </row>
    <row r="297" spans="1:23" s="442" customFormat="1" ht="9.75" customHeight="1" x14ac:dyDescent="0.15">
      <c r="A297" s="950" t="s">
        <v>767</v>
      </c>
      <c r="B297" s="442">
        <v>7383184</v>
      </c>
      <c r="C297" s="442">
        <v>2027048</v>
      </c>
      <c r="D297" s="442">
        <v>583734</v>
      </c>
      <c r="E297" s="442">
        <v>94875</v>
      </c>
      <c r="F297" s="442" t="s">
        <v>648</v>
      </c>
      <c r="G297" s="442" t="s">
        <v>648</v>
      </c>
      <c r="H297" s="442">
        <v>993440</v>
      </c>
      <c r="I297" s="442">
        <v>354999</v>
      </c>
      <c r="J297" s="442" t="s">
        <v>648</v>
      </c>
      <c r="K297" s="442" t="s">
        <v>648</v>
      </c>
      <c r="L297" s="442" t="s">
        <v>648</v>
      </c>
      <c r="M297" s="442" t="s">
        <v>648</v>
      </c>
      <c r="N297" s="442" t="s">
        <v>648</v>
      </c>
      <c r="O297" s="442" t="s">
        <v>648</v>
      </c>
      <c r="P297" s="442">
        <v>5356136</v>
      </c>
      <c r="Q297" s="442">
        <v>5356136</v>
      </c>
      <c r="R297" s="442">
        <v>766211</v>
      </c>
      <c r="S297" s="442">
        <v>726285</v>
      </c>
      <c r="T297" s="442">
        <v>117046</v>
      </c>
      <c r="U297" s="442">
        <v>153485</v>
      </c>
      <c r="V297" s="442">
        <v>35061</v>
      </c>
      <c r="W297" s="447" t="s">
        <v>768</v>
      </c>
    </row>
    <row r="298" spans="1:23" s="442" customFormat="1" ht="6.75" customHeight="1" x14ac:dyDescent="0.15">
      <c r="A298" s="950"/>
      <c r="W298" s="447"/>
    </row>
    <row r="299" spans="1:23" s="442" customFormat="1" ht="9.75" customHeight="1" x14ac:dyDescent="0.15">
      <c r="A299" s="950" t="s">
        <v>799</v>
      </c>
      <c r="B299" s="442">
        <v>6760125</v>
      </c>
      <c r="C299" s="442">
        <v>1504528</v>
      </c>
      <c r="D299" s="442">
        <v>444205</v>
      </c>
      <c r="E299" s="442">
        <v>146572</v>
      </c>
      <c r="F299" s="442" t="s">
        <v>648</v>
      </c>
      <c r="G299" s="442" t="s">
        <v>648</v>
      </c>
      <c r="H299" s="442">
        <v>467332</v>
      </c>
      <c r="I299" s="442">
        <v>446419</v>
      </c>
      <c r="J299" s="442" t="s">
        <v>648</v>
      </c>
      <c r="K299" s="442" t="s">
        <v>648</v>
      </c>
      <c r="L299" s="442" t="s">
        <v>648</v>
      </c>
      <c r="M299" s="442" t="s">
        <v>648</v>
      </c>
      <c r="N299" s="442" t="s">
        <v>648</v>
      </c>
      <c r="O299" s="442" t="s">
        <v>648</v>
      </c>
      <c r="P299" s="442">
        <v>5255597</v>
      </c>
      <c r="Q299" s="442">
        <v>5255597</v>
      </c>
      <c r="R299" s="442">
        <v>812851</v>
      </c>
      <c r="S299" s="442">
        <v>774860</v>
      </c>
      <c r="T299" s="442">
        <v>127518</v>
      </c>
      <c r="U299" s="442">
        <v>150813</v>
      </c>
      <c r="V299" s="442">
        <v>37915</v>
      </c>
      <c r="W299" s="447" t="s">
        <v>673</v>
      </c>
    </row>
    <row r="300" spans="1:23" s="442" customFormat="1" ht="9.75" customHeight="1" x14ac:dyDescent="0.15">
      <c r="A300" s="950" t="s">
        <v>800</v>
      </c>
      <c r="B300" s="442">
        <v>7473126</v>
      </c>
      <c r="C300" s="442">
        <v>2135413</v>
      </c>
      <c r="D300" s="442">
        <v>475807</v>
      </c>
      <c r="E300" s="442">
        <v>136566</v>
      </c>
      <c r="F300" s="442">
        <v>55900</v>
      </c>
      <c r="G300" s="442" t="s">
        <v>648</v>
      </c>
      <c r="H300" s="442">
        <v>1202480</v>
      </c>
      <c r="I300" s="442">
        <v>264660</v>
      </c>
      <c r="J300" s="442" t="s">
        <v>648</v>
      </c>
      <c r="K300" s="442">
        <v>101597</v>
      </c>
      <c r="L300" s="442">
        <v>101597</v>
      </c>
      <c r="M300" s="442" t="s">
        <v>648</v>
      </c>
      <c r="N300" s="442" t="s">
        <v>648</v>
      </c>
      <c r="O300" s="442" t="s">
        <v>648</v>
      </c>
      <c r="P300" s="442">
        <v>5236116</v>
      </c>
      <c r="Q300" s="442">
        <v>5236116</v>
      </c>
      <c r="R300" s="442">
        <v>723422</v>
      </c>
      <c r="S300" s="442">
        <v>686598</v>
      </c>
      <c r="T300" s="442">
        <v>105893</v>
      </c>
      <c r="U300" s="442">
        <v>148649</v>
      </c>
      <c r="V300" s="442">
        <v>36502</v>
      </c>
      <c r="W300" s="447" t="s">
        <v>771</v>
      </c>
    </row>
    <row r="301" spans="1:23" s="442" customFormat="1" ht="6.75" customHeight="1" x14ac:dyDescent="0.15">
      <c r="A301" s="950"/>
      <c r="W301" s="447"/>
    </row>
    <row r="302" spans="1:23" s="442" customFormat="1" ht="9.75" customHeight="1" x14ac:dyDescent="0.15">
      <c r="A302" s="950" t="s">
        <v>772</v>
      </c>
      <c r="B302" s="442">
        <v>1935945</v>
      </c>
      <c r="C302" s="442">
        <v>533552</v>
      </c>
      <c r="D302" s="442">
        <v>207629</v>
      </c>
      <c r="E302" s="442">
        <v>31664</v>
      </c>
      <c r="F302" s="442" t="s">
        <v>648</v>
      </c>
      <c r="G302" s="442" t="s">
        <v>648</v>
      </c>
      <c r="H302" s="442">
        <v>171999</v>
      </c>
      <c r="I302" s="442">
        <v>122260</v>
      </c>
      <c r="J302" s="442" t="s">
        <v>648</v>
      </c>
      <c r="K302" s="442" t="s">
        <v>648</v>
      </c>
      <c r="L302" s="442" t="s">
        <v>648</v>
      </c>
      <c r="M302" s="442" t="s">
        <v>648</v>
      </c>
      <c r="N302" s="442" t="s">
        <v>648</v>
      </c>
      <c r="O302" s="442" t="s">
        <v>648</v>
      </c>
      <c r="P302" s="442">
        <v>1402393</v>
      </c>
      <c r="Q302" s="442">
        <v>1402393</v>
      </c>
      <c r="R302" s="442">
        <v>246676</v>
      </c>
      <c r="S302" s="442">
        <v>234776</v>
      </c>
      <c r="T302" s="442">
        <v>39916</v>
      </c>
      <c r="U302" s="442">
        <v>41355</v>
      </c>
      <c r="V302" s="442">
        <v>8472</v>
      </c>
      <c r="W302" s="447" t="s">
        <v>674</v>
      </c>
    </row>
    <row r="303" spans="1:23" s="442" customFormat="1" ht="9.75" customHeight="1" x14ac:dyDescent="0.15">
      <c r="A303" s="950" t="s">
        <v>773</v>
      </c>
      <c r="B303" s="442">
        <v>1836109</v>
      </c>
      <c r="C303" s="442">
        <v>504580</v>
      </c>
      <c r="D303" s="442">
        <v>105293</v>
      </c>
      <c r="E303" s="442" t="s">
        <v>648</v>
      </c>
      <c r="F303" s="442" t="s">
        <v>648</v>
      </c>
      <c r="G303" s="442" t="s">
        <v>648</v>
      </c>
      <c r="H303" s="442">
        <v>289830</v>
      </c>
      <c r="I303" s="442">
        <v>109457</v>
      </c>
      <c r="J303" s="442" t="s">
        <v>648</v>
      </c>
      <c r="K303" s="442" t="s">
        <v>648</v>
      </c>
      <c r="L303" s="442" t="s">
        <v>648</v>
      </c>
      <c r="M303" s="442" t="s">
        <v>648</v>
      </c>
      <c r="N303" s="442" t="s">
        <v>648</v>
      </c>
      <c r="O303" s="442" t="s">
        <v>648</v>
      </c>
      <c r="P303" s="442">
        <v>1331529</v>
      </c>
      <c r="Q303" s="442">
        <v>1331529</v>
      </c>
      <c r="R303" s="442">
        <v>170031</v>
      </c>
      <c r="S303" s="442">
        <v>160252</v>
      </c>
      <c r="T303" s="442">
        <v>27501</v>
      </c>
      <c r="U303" s="442">
        <v>42529</v>
      </c>
      <c r="V303" s="442">
        <v>8623</v>
      </c>
      <c r="W303" s="447" t="s">
        <v>92</v>
      </c>
    </row>
    <row r="304" spans="1:23" s="442" customFormat="1" ht="9.75" customHeight="1" x14ac:dyDescent="0.15">
      <c r="A304" s="950" t="s">
        <v>774</v>
      </c>
      <c r="B304" s="442">
        <v>1834552</v>
      </c>
      <c r="C304" s="442">
        <v>474314</v>
      </c>
      <c r="D304" s="442">
        <v>80010</v>
      </c>
      <c r="E304" s="442">
        <v>39500</v>
      </c>
      <c r="F304" s="442" t="s">
        <v>648</v>
      </c>
      <c r="G304" s="442" t="s">
        <v>648</v>
      </c>
      <c r="H304" s="442">
        <v>331052</v>
      </c>
      <c r="I304" s="442">
        <v>23752</v>
      </c>
      <c r="J304" s="442" t="s">
        <v>648</v>
      </c>
      <c r="K304" s="442" t="s">
        <v>648</v>
      </c>
      <c r="L304" s="442" t="s">
        <v>648</v>
      </c>
      <c r="M304" s="442" t="s">
        <v>648</v>
      </c>
      <c r="N304" s="442" t="s">
        <v>648</v>
      </c>
      <c r="O304" s="442" t="s">
        <v>648</v>
      </c>
      <c r="P304" s="442">
        <v>1360238</v>
      </c>
      <c r="Q304" s="442">
        <v>1360238</v>
      </c>
      <c r="R304" s="442">
        <v>199321</v>
      </c>
      <c r="S304" s="442">
        <v>190869</v>
      </c>
      <c r="T304" s="442">
        <v>26265</v>
      </c>
      <c r="U304" s="442">
        <v>36232</v>
      </c>
      <c r="V304" s="442">
        <v>9062</v>
      </c>
      <c r="W304" s="447" t="s">
        <v>93</v>
      </c>
    </row>
    <row r="305" spans="1:23" s="442" customFormat="1" ht="9.75" customHeight="1" x14ac:dyDescent="0.15">
      <c r="A305" s="950" t="s">
        <v>801</v>
      </c>
      <c r="B305" s="442">
        <v>1776578</v>
      </c>
      <c r="C305" s="442">
        <v>514602</v>
      </c>
      <c r="D305" s="442">
        <v>190802</v>
      </c>
      <c r="E305" s="442">
        <v>23711</v>
      </c>
      <c r="F305" s="442" t="s">
        <v>648</v>
      </c>
      <c r="G305" s="442" t="s">
        <v>648</v>
      </c>
      <c r="H305" s="442">
        <v>200559</v>
      </c>
      <c r="I305" s="442">
        <v>99530</v>
      </c>
      <c r="J305" s="442" t="s">
        <v>648</v>
      </c>
      <c r="K305" s="442" t="s">
        <v>648</v>
      </c>
      <c r="L305" s="442" t="s">
        <v>648</v>
      </c>
      <c r="M305" s="442" t="s">
        <v>648</v>
      </c>
      <c r="N305" s="442" t="s">
        <v>648</v>
      </c>
      <c r="O305" s="442" t="s">
        <v>648</v>
      </c>
      <c r="P305" s="442">
        <v>1261976</v>
      </c>
      <c r="Q305" s="442">
        <v>1261976</v>
      </c>
      <c r="R305" s="442">
        <v>150183</v>
      </c>
      <c r="S305" s="442">
        <v>140388</v>
      </c>
      <c r="T305" s="442">
        <v>23364</v>
      </c>
      <c r="U305" s="442">
        <v>33369</v>
      </c>
      <c r="V305" s="442">
        <v>8904</v>
      </c>
      <c r="W305" s="447" t="s">
        <v>94</v>
      </c>
    </row>
    <row r="306" spans="1:23" s="442" customFormat="1" ht="9.75" customHeight="1" x14ac:dyDescent="0.15">
      <c r="A306" s="950" t="s">
        <v>1151</v>
      </c>
      <c r="B306" s="442">
        <v>2025887</v>
      </c>
      <c r="C306" s="442">
        <v>641917</v>
      </c>
      <c r="D306" s="442">
        <v>99702</v>
      </c>
      <c r="E306" s="442">
        <v>73355</v>
      </c>
      <c r="F306" s="442">
        <v>55900</v>
      </c>
      <c r="G306" s="442" t="s">
        <v>648</v>
      </c>
      <c r="H306" s="442">
        <v>381039</v>
      </c>
      <c r="I306" s="442">
        <v>31921</v>
      </c>
      <c r="J306" s="442" t="s">
        <v>648</v>
      </c>
      <c r="K306" s="442">
        <v>101597</v>
      </c>
      <c r="L306" s="442">
        <v>101597</v>
      </c>
      <c r="M306" s="442" t="s">
        <v>648</v>
      </c>
      <c r="N306" s="442" t="s">
        <v>648</v>
      </c>
      <c r="O306" s="442" t="s">
        <v>648</v>
      </c>
      <c r="P306" s="442">
        <v>1282373</v>
      </c>
      <c r="Q306" s="442">
        <v>1282373</v>
      </c>
      <c r="R306" s="442">
        <v>203887</v>
      </c>
      <c r="S306" s="442">
        <v>195089</v>
      </c>
      <c r="T306" s="442">
        <v>28763</v>
      </c>
      <c r="U306" s="442">
        <v>36519</v>
      </c>
      <c r="V306" s="442">
        <v>9913</v>
      </c>
      <c r="W306" s="447" t="s">
        <v>777</v>
      </c>
    </row>
    <row r="307" spans="1:23" s="442" customFormat="1" ht="6.75" customHeight="1" x14ac:dyDescent="0.15">
      <c r="A307" s="950"/>
      <c r="W307" s="447"/>
    </row>
    <row r="308" spans="1:23" s="442" customFormat="1" ht="9.75" customHeight="1" x14ac:dyDescent="0.15">
      <c r="A308" s="950" t="s">
        <v>778</v>
      </c>
      <c r="B308" s="442">
        <v>554836</v>
      </c>
      <c r="C308" s="442">
        <v>86591</v>
      </c>
      <c r="D308" s="442">
        <v>86591</v>
      </c>
      <c r="E308" s="442" t="s">
        <v>648</v>
      </c>
      <c r="F308" s="442" t="s">
        <v>648</v>
      </c>
      <c r="G308" s="442" t="s">
        <v>648</v>
      </c>
      <c r="H308" s="442" t="s">
        <v>648</v>
      </c>
      <c r="I308" s="442" t="s">
        <v>648</v>
      </c>
      <c r="J308" s="442" t="s">
        <v>648</v>
      </c>
      <c r="K308" s="442" t="s">
        <v>648</v>
      </c>
      <c r="L308" s="442" t="s">
        <v>648</v>
      </c>
      <c r="M308" s="442" t="s">
        <v>648</v>
      </c>
      <c r="N308" s="442" t="s">
        <v>648</v>
      </c>
      <c r="O308" s="442" t="s">
        <v>648</v>
      </c>
      <c r="P308" s="442">
        <v>468245</v>
      </c>
      <c r="Q308" s="442">
        <v>468245</v>
      </c>
      <c r="R308" s="442">
        <v>94814</v>
      </c>
      <c r="S308" s="442">
        <v>91657</v>
      </c>
      <c r="T308" s="442">
        <v>12939</v>
      </c>
      <c r="U308" s="442">
        <v>14349</v>
      </c>
      <c r="V308" s="442">
        <v>3641</v>
      </c>
      <c r="W308" s="447" t="s">
        <v>675</v>
      </c>
    </row>
    <row r="309" spans="1:23" s="442" customFormat="1" ht="9.75" customHeight="1" x14ac:dyDescent="0.15">
      <c r="A309" s="950" t="s">
        <v>779</v>
      </c>
      <c r="B309" s="442">
        <v>616875</v>
      </c>
      <c r="C309" s="442">
        <v>187069</v>
      </c>
      <c r="D309" s="442">
        <v>48737</v>
      </c>
      <c r="E309" s="442" t="s">
        <v>648</v>
      </c>
      <c r="F309" s="442" t="s">
        <v>648</v>
      </c>
      <c r="G309" s="442" t="s">
        <v>648</v>
      </c>
      <c r="H309" s="442">
        <v>49976</v>
      </c>
      <c r="I309" s="442">
        <v>88356</v>
      </c>
      <c r="J309" s="442" t="s">
        <v>648</v>
      </c>
      <c r="K309" s="442" t="s">
        <v>648</v>
      </c>
      <c r="L309" s="442" t="s">
        <v>648</v>
      </c>
      <c r="M309" s="442" t="s">
        <v>648</v>
      </c>
      <c r="N309" s="442" t="s">
        <v>648</v>
      </c>
      <c r="O309" s="442" t="s">
        <v>648</v>
      </c>
      <c r="P309" s="442">
        <v>429806</v>
      </c>
      <c r="Q309" s="442">
        <v>429806</v>
      </c>
      <c r="R309" s="442">
        <v>81900</v>
      </c>
      <c r="S309" s="442">
        <v>77404</v>
      </c>
      <c r="T309" s="442">
        <v>13280</v>
      </c>
      <c r="U309" s="442">
        <v>13998</v>
      </c>
      <c r="V309" s="442">
        <v>3329</v>
      </c>
      <c r="W309" s="447" t="s">
        <v>80</v>
      </c>
    </row>
    <row r="310" spans="1:23" s="442" customFormat="1" ht="9.75" customHeight="1" x14ac:dyDescent="0.15">
      <c r="A310" s="950" t="s">
        <v>1141</v>
      </c>
      <c r="B310" s="442">
        <v>764234</v>
      </c>
      <c r="C310" s="442">
        <v>259892</v>
      </c>
      <c r="D310" s="442">
        <v>72301</v>
      </c>
      <c r="E310" s="442">
        <v>31664</v>
      </c>
      <c r="F310" s="442" t="s">
        <v>648</v>
      </c>
      <c r="G310" s="442" t="s">
        <v>648</v>
      </c>
      <c r="H310" s="442">
        <v>122023</v>
      </c>
      <c r="I310" s="442">
        <v>33904</v>
      </c>
      <c r="J310" s="442" t="s">
        <v>648</v>
      </c>
      <c r="K310" s="442" t="s">
        <v>648</v>
      </c>
      <c r="L310" s="442" t="s">
        <v>648</v>
      </c>
      <c r="M310" s="442" t="s">
        <v>648</v>
      </c>
      <c r="N310" s="442" t="s">
        <v>648</v>
      </c>
      <c r="O310" s="442" t="s">
        <v>648</v>
      </c>
      <c r="P310" s="442">
        <v>504342</v>
      </c>
      <c r="Q310" s="442">
        <v>504342</v>
      </c>
      <c r="R310" s="442">
        <v>69962</v>
      </c>
      <c r="S310" s="442">
        <v>65715</v>
      </c>
      <c r="T310" s="442">
        <v>13697</v>
      </c>
      <c r="U310" s="442">
        <v>13008</v>
      </c>
      <c r="V310" s="442">
        <v>1502</v>
      </c>
      <c r="W310" s="447" t="s">
        <v>81</v>
      </c>
    </row>
    <row r="311" spans="1:23" s="442" customFormat="1" ht="9.75" customHeight="1" x14ac:dyDescent="0.15">
      <c r="A311" s="950" t="s">
        <v>781</v>
      </c>
      <c r="B311" s="442">
        <v>663758</v>
      </c>
      <c r="C311" s="442">
        <v>208166</v>
      </c>
      <c r="D311" s="442">
        <v>65291</v>
      </c>
      <c r="E311" s="442" t="s">
        <v>648</v>
      </c>
      <c r="F311" s="442" t="s">
        <v>648</v>
      </c>
      <c r="G311" s="442" t="s">
        <v>648</v>
      </c>
      <c r="H311" s="442">
        <v>66358</v>
      </c>
      <c r="I311" s="442">
        <v>76517</v>
      </c>
      <c r="J311" s="442" t="s">
        <v>648</v>
      </c>
      <c r="K311" s="442" t="s">
        <v>648</v>
      </c>
      <c r="L311" s="442" t="s">
        <v>648</v>
      </c>
      <c r="M311" s="442" t="s">
        <v>648</v>
      </c>
      <c r="N311" s="442" t="s">
        <v>648</v>
      </c>
      <c r="O311" s="442" t="s">
        <v>648</v>
      </c>
      <c r="P311" s="442">
        <v>455592</v>
      </c>
      <c r="Q311" s="442">
        <v>455592</v>
      </c>
      <c r="R311" s="442">
        <v>65535</v>
      </c>
      <c r="S311" s="442">
        <v>61629</v>
      </c>
      <c r="T311" s="442">
        <v>10132</v>
      </c>
      <c r="U311" s="442">
        <v>17871</v>
      </c>
      <c r="V311" s="442">
        <v>2711</v>
      </c>
      <c r="W311" s="447" t="s">
        <v>82</v>
      </c>
    </row>
    <row r="312" spans="1:23" s="442" customFormat="1" ht="9.75" customHeight="1" x14ac:dyDescent="0.15">
      <c r="A312" s="950" t="s">
        <v>782</v>
      </c>
      <c r="B312" s="442">
        <v>596312</v>
      </c>
      <c r="C312" s="442">
        <v>177763</v>
      </c>
      <c r="D312" s="442">
        <v>20001</v>
      </c>
      <c r="E312" s="442" t="s">
        <v>648</v>
      </c>
      <c r="F312" s="442" t="s">
        <v>648</v>
      </c>
      <c r="G312" s="442" t="s">
        <v>648</v>
      </c>
      <c r="H312" s="442">
        <v>124822</v>
      </c>
      <c r="I312" s="442">
        <v>32940</v>
      </c>
      <c r="J312" s="442" t="s">
        <v>648</v>
      </c>
      <c r="K312" s="442" t="s">
        <v>648</v>
      </c>
      <c r="L312" s="442" t="s">
        <v>648</v>
      </c>
      <c r="M312" s="442" t="s">
        <v>648</v>
      </c>
      <c r="N312" s="442" t="s">
        <v>648</v>
      </c>
      <c r="O312" s="442" t="s">
        <v>648</v>
      </c>
      <c r="P312" s="442">
        <v>418549</v>
      </c>
      <c r="Q312" s="442">
        <v>418549</v>
      </c>
      <c r="R312" s="442">
        <v>38029</v>
      </c>
      <c r="S312" s="442">
        <v>35724</v>
      </c>
      <c r="T312" s="442">
        <v>7956</v>
      </c>
      <c r="U312" s="442">
        <v>11104</v>
      </c>
      <c r="V312" s="442">
        <v>2729</v>
      </c>
      <c r="W312" s="447" t="s">
        <v>95</v>
      </c>
    </row>
    <row r="313" spans="1:23" s="442" customFormat="1" ht="9.75" customHeight="1" x14ac:dyDescent="0.15">
      <c r="A313" s="950" t="s">
        <v>783</v>
      </c>
      <c r="B313" s="442">
        <v>576039</v>
      </c>
      <c r="C313" s="442">
        <v>118651</v>
      </c>
      <c r="D313" s="442">
        <v>20001</v>
      </c>
      <c r="E313" s="442" t="s">
        <v>648</v>
      </c>
      <c r="F313" s="442" t="s">
        <v>648</v>
      </c>
      <c r="G313" s="442" t="s">
        <v>648</v>
      </c>
      <c r="H313" s="442">
        <v>98650</v>
      </c>
      <c r="I313" s="442" t="s">
        <v>648</v>
      </c>
      <c r="J313" s="442" t="s">
        <v>648</v>
      </c>
      <c r="K313" s="442" t="s">
        <v>648</v>
      </c>
      <c r="L313" s="442" t="s">
        <v>648</v>
      </c>
      <c r="M313" s="442" t="s">
        <v>648</v>
      </c>
      <c r="N313" s="442" t="s">
        <v>648</v>
      </c>
      <c r="O313" s="442" t="s">
        <v>648</v>
      </c>
      <c r="P313" s="442">
        <v>457388</v>
      </c>
      <c r="Q313" s="442">
        <v>457388</v>
      </c>
      <c r="R313" s="442">
        <v>66467</v>
      </c>
      <c r="S313" s="442">
        <v>62899</v>
      </c>
      <c r="T313" s="442">
        <v>9413</v>
      </c>
      <c r="U313" s="442">
        <v>13554</v>
      </c>
      <c r="V313" s="442">
        <v>3183</v>
      </c>
      <c r="W313" s="447" t="s">
        <v>96</v>
      </c>
    </row>
    <row r="314" spans="1:23" s="442" customFormat="1" ht="9.75" customHeight="1" x14ac:dyDescent="0.15">
      <c r="A314" s="950" t="s">
        <v>784</v>
      </c>
      <c r="B314" s="442">
        <v>577416</v>
      </c>
      <c r="C314" s="442">
        <v>110696</v>
      </c>
      <c r="D314" s="442">
        <v>20001</v>
      </c>
      <c r="E314" s="442">
        <v>39500</v>
      </c>
      <c r="F314" s="442" t="s">
        <v>648</v>
      </c>
      <c r="G314" s="442" t="s">
        <v>648</v>
      </c>
      <c r="H314" s="442">
        <v>51195</v>
      </c>
      <c r="I314" s="442" t="s">
        <v>648</v>
      </c>
      <c r="J314" s="442" t="s">
        <v>648</v>
      </c>
      <c r="K314" s="442" t="s">
        <v>648</v>
      </c>
      <c r="L314" s="442" t="s">
        <v>648</v>
      </c>
      <c r="M314" s="442" t="s">
        <v>648</v>
      </c>
      <c r="N314" s="442" t="s">
        <v>648</v>
      </c>
      <c r="O314" s="442" t="s">
        <v>648</v>
      </c>
      <c r="P314" s="442">
        <v>466720</v>
      </c>
      <c r="Q314" s="442">
        <v>466720</v>
      </c>
      <c r="R314" s="442">
        <v>77167</v>
      </c>
      <c r="S314" s="442">
        <v>74222</v>
      </c>
      <c r="T314" s="442">
        <v>9024</v>
      </c>
      <c r="U314" s="442">
        <v>16903</v>
      </c>
      <c r="V314" s="442">
        <v>3600</v>
      </c>
      <c r="W314" s="447" t="s">
        <v>97</v>
      </c>
    </row>
    <row r="315" spans="1:23" s="442" customFormat="1" ht="9.75" customHeight="1" x14ac:dyDescent="0.15">
      <c r="A315" s="950" t="s">
        <v>806</v>
      </c>
      <c r="B315" s="442">
        <v>572903</v>
      </c>
      <c r="C315" s="442">
        <v>111736</v>
      </c>
      <c r="D315" s="442">
        <v>19001</v>
      </c>
      <c r="E315" s="442" t="s">
        <v>648</v>
      </c>
      <c r="F315" s="442" t="s">
        <v>648</v>
      </c>
      <c r="G315" s="442" t="s">
        <v>648</v>
      </c>
      <c r="H315" s="442">
        <v>92735</v>
      </c>
      <c r="I315" s="442" t="s">
        <v>648</v>
      </c>
      <c r="J315" s="442" t="s">
        <v>648</v>
      </c>
      <c r="K315" s="442" t="s">
        <v>648</v>
      </c>
      <c r="L315" s="442" t="s">
        <v>648</v>
      </c>
      <c r="M315" s="442" t="s">
        <v>648</v>
      </c>
      <c r="N315" s="442" t="s">
        <v>648</v>
      </c>
      <c r="O315" s="442" t="s">
        <v>648</v>
      </c>
      <c r="P315" s="442">
        <v>461167</v>
      </c>
      <c r="Q315" s="442">
        <v>461167</v>
      </c>
      <c r="R315" s="442">
        <v>64546</v>
      </c>
      <c r="S315" s="442">
        <v>61901</v>
      </c>
      <c r="T315" s="442">
        <v>10057</v>
      </c>
      <c r="U315" s="442">
        <v>6162</v>
      </c>
      <c r="V315" s="442">
        <v>2136</v>
      </c>
      <c r="W315" s="447" t="s">
        <v>98</v>
      </c>
    </row>
    <row r="316" spans="1:23" s="442" customFormat="1" ht="9.75" customHeight="1" x14ac:dyDescent="0.15">
      <c r="A316" s="950" t="s">
        <v>786</v>
      </c>
      <c r="B316" s="442">
        <v>684233</v>
      </c>
      <c r="C316" s="442">
        <v>251882</v>
      </c>
      <c r="D316" s="442">
        <v>41008</v>
      </c>
      <c r="E316" s="442" t="s">
        <v>648</v>
      </c>
      <c r="F316" s="442" t="s">
        <v>648</v>
      </c>
      <c r="G316" s="442" t="s">
        <v>648</v>
      </c>
      <c r="H316" s="442">
        <v>187122</v>
      </c>
      <c r="I316" s="442">
        <v>23752</v>
      </c>
      <c r="J316" s="442" t="s">
        <v>648</v>
      </c>
      <c r="K316" s="442" t="s">
        <v>648</v>
      </c>
      <c r="L316" s="442" t="s">
        <v>648</v>
      </c>
      <c r="M316" s="442" t="s">
        <v>648</v>
      </c>
      <c r="N316" s="442" t="s">
        <v>648</v>
      </c>
      <c r="O316" s="442" t="s">
        <v>648</v>
      </c>
      <c r="P316" s="442">
        <v>432351</v>
      </c>
      <c r="Q316" s="442">
        <v>432351</v>
      </c>
      <c r="R316" s="442">
        <v>57608</v>
      </c>
      <c r="S316" s="442">
        <v>54746</v>
      </c>
      <c r="T316" s="442">
        <v>7184</v>
      </c>
      <c r="U316" s="442">
        <v>13167</v>
      </c>
      <c r="V316" s="442">
        <v>3326</v>
      </c>
      <c r="W316" s="447" t="s">
        <v>99</v>
      </c>
    </row>
    <row r="317" spans="1:23" s="442" customFormat="1" ht="9.75" customHeight="1" x14ac:dyDescent="0.15">
      <c r="A317" s="950" t="s">
        <v>1149</v>
      </c>
      <c r="B317" s="442">
        <v>727170</v>
      </c>
      <c r="C317" s="442">
        <v>254283</v>
      </c>
      <c r="D317" s="442">
        <v>116795</v>
      </c>
      <c r="E317" s="442" t="s">
        <v>648</v>
      </c>
      <c r="F317" s="442" t="s">
        <v>648</v>
      </c>
      <c r="G317" s="442" t="s">
        <v>648</v>
      </c>
      <c r="H317" s="442">
        <v>61711</v>
      </c>
      <c r="I317" s="442">
        <v>75777</v>
      </c>
      <c r="J317" s="442" t="s">
        <v>648</v>
      </c>
      <c r="K317" s="442" t="s">
        <v>648</v>
      </c>
      <c r="L317" s="442" t="s">
        <v>648</v>
      </c>
      <c r="M317" s="442" t="s">
        <v>648</v>
      </c>
      <c r="N317" s="442" t="s">
        <v>648</v>
      </c>
      <c r="O317" s="442" t="s">
        <v>648</v>
      </c>
      <c r="P317" s="442">
        <v>472887</v>
      </c>
      <c r="Q317" s="442">
        <v>472887</v>
      </c>
      <c r="R317" s="442">
        <v>41073</v>
      </c>
      <c r="S317" s="442">
        <v>38064</v>
      </c>
      <c r="T317" s="442">
        <v>11402</v>
      </c>
      <c r="U317" s="442">
        <v>8516</v>
      </c>
      <c r="V317" s="442">
        <v>3368</v>
      </c>
      <c r="W317" s="447" t="s">
        <v>83</v>
      </c>
    </row>
    <row r="318" spans="1:23" s="442" customFormat="1" ht="9.75" customHeight="1" x14ac:dyDescent="0.15">
      <c r="A318" s="950" t="s">
        <v>788</v>
      </c>
      <c r="B318" s="442">
        <v>562085</v>
      </c>
      <c r="C318" s="442">
        <v>142523</v>
      </c>
      <c r="D318" s="442">
        <v>48964</v>
      </c>
      <c r="E318" s="442">
        <v>23711</v>
      </c>
      <c r="F318" s="442" t="s">
        <v>648</v>
      </c>
      <c r="G318" s="442" t="s">
        <v>648</v>
      </c>
      <c r="H318" s="442">
        <v>69848</v>
      </c>
      <c r="I318" s="442" t="s">
        <v>648</v>
      </c>
      <c r="J318" s="442" t="s">
        <v>648</v>
      </c>
      <c r="K318" s="442" t="s">
        <v>648</v>
      </c>
      <c r="L318" s="442" t="s">
        <v>648</v>
      </c>
      <c r="M318" s="442" t="s">
        <v>648</v>
      </c>
      <c r="N318" s="442" t="s">
        <v>648</v>
      </c>
      <c r="O318" s="442" t="s">
        <v>648</v>
      </c>
      <c r="P318" s="442">
        <v>419562</v>
      </c>
      <c r="Q318" s="442">
        <v>419562</v>
      </c>
      <c r="R318" s="442">
        <v>53885</v>
      </c>
      <c r="S318" s="442">
        <v>50077</v>
      </c>
      <c r="T318" s="442">
        <v>5363</v>
      </c>
      <c r="U318" s="442">
        <v>12056</v>
      </c>
      <c r="V318" s="442">
        <v>4403</v>
      </c>
      <c r="W318" s="447" t="s">
        <v>84</v>
      </c>
    </row>
    <row r="319" spans="1:23" s="442" customFormat="1" ht="9.75" customHeight="1" x14ac:dyDescent="0.15">
      <c r="A319" s="950" t="s">
        <v>789</v>
      </c>
      <c r="B319" s="442">
        <v>487323</v>
      </c>
      <c r="C319" s="442">
        <v>117796</v>
      </c>
      <c r="D319" s="442">
        <v>25043</v>
      </c>
      <c r="E319" s="442" t="s">
        <v>648</v>
      </c>
      <c r="F319" s="442" t="s">
        <v>648</v>
      </c>
      <c r="G319" s="442" t="s">
        <v>648</v>
      </c>
      <c r="H319" s="442">
        <v>69000</v>
      </c>
      <c r="I319" s="442">
        <v>23753</v>
      </c>
      <c r="J319" s="442" t="s">
        <v>648</v>
      </c>
      <c r="K319" s="442" t="s">
        <v>648</v>
      </c>
      <c r="L319" s="442" t="s">
        <v>648</v>
      </c>
      <c r="M319" s="442" t="s">
        <v>648</v>
      </c>
      <c r="N319" s="442" t="s">
        <v>648</v>
      </c>
      <c r="O319" s="442" t="s">
        <v>648</v>
      </c>
      <c r="P319" s="442">
        <v>369527</v>
      </c>
      <c r="Q319" s="442">
        <v>369527</v>
      </c>
      <c r="R319" s="442">
        <v>55225</v>
      </c>
      <c r="S319" s="442">
        <v>52247</v>
      </c>
      <c r="T319" s="442">
        <v>6599</v>
      </c>
      <c r="U319" s="442">
        <v>12797</v>
      </c>
      <c r="V319" s="442">
        <v>1133</v>
      </c>
      <c r="W319" s="447" t="s">
        <v>85</v>
      </c>
    </row>
    <row r="320" spans="1:23" s="442" customFormat="1" ht="9.75" customHeight="1" x14ac:dyDescent="0.15">
      <c r="A320" s="950" t="s">
        <v>790</v>
      </c>
      <c r="B320" s="442">
        <v>601220</v>
      </c>
      <c r="C320" s="442">
        <v>171140</v>
      </c>
      <c r="D320" s="442">
        <v>59701</v>
      </c>
      <c r="E320" s="442" t="s">
        <v>648</v>
      </c>
      <c r="F320" s="442" t="s">
        <v>648</v>
      </c>
      <c r="G320" s="442" t="s">
        <v>648</v>
      </c>
      <c r="H320" s="442">
        <v>111439</v>
      </c>
      <c r="I320" s="442" t="s">
        <v>648</v>
      </c>
      <c r="J320" s="442" t="s">
        <v>648</v>
      </c>
      <c r="K320" s="442" t="s">
        <v>648</v>
      </c>
      <c r="L320" s="442" t="s">
        <v>648</v>
      </c>
      <c r="M320" s="442" t="s">
        <v>648</v>
      </c>
      <c r="N320" s="442" t="s">
        <v>648</v>
      </c>
      <c r="O320" s="442" t="s">
        <v>648</v>
      </c>
      <c r="P320" s="442">
        <v>430080</v>
      </c>
      <c r="Q320" s="442">
        <v>430080</v>
      </c>
      <c r="R320" s="442">
        <v>58029</v>
      </c>
      <c r="S320" s="442">
        <v>55609</v>
      </c>
      <c r="T320" s="442">
        <v>7668</v>
      </c>
      <c r="U320" s="442">
        <v>10371</v>
      </c>
      <c r="V320" s="442">
        <v>2714</v>
      </c>
      <c r="W320" s="447" t="s">
        <v>791</v>
      </c>
    </row>
    <row r="321" spans="1:23" s="442" customFormat="1" ht="9.75" customHeight="1" x14ac:dyDescent="0.15">
      <c r="A321" s="950" t="s">
        <v>792</v>
      </c>
      <c r="B321" s="442">
        <v>686889</v>
      </c>
      <c r="C321" s="442">
        <v>262170</v>
      </c>
      <c r="D321" s="442">
        <v>25001</v>
      </c>
      <c r="E321" s="442">
        <v>28388</v>
      </c>
      <c r="F321" s="442">
        <v>55900</v>
      </c>
      <c r="G321" s="442" t="s">
        <v>648</v>
      </c>
      <c r="H321" s="442">
        <v>152881</v>
      </c>
      <c r="I321" s="442" t="s">
        <v>648</v>
      </c>
      <c r="J321" s="442" t="s">
        <v>648</v>
      </c>
      <c r="K321" s="442" t="s">
        <v>648</v>
      </c>
      <c r="L321" s="442" t="s">
        <v>648</v>
      </c>
      <c r="M321" s="442" t="s">
        <v>648</v>
      </c>
      <c r="N321" s="442" t="s">
        <v>648</v>
      </c>
      <c r="O321" s="442" t="s">
        <v>648</v>
      </c>
      <c r="P321" s="442">
        <v>424719</v>
      </c>
      <c r="Q321" s="442">
        <v>424719</v>
      </c>
      <c r="R321" s="442">
        <v>61837</v>
      </c>
      <c r="S321" s="442">
        <v>58726</v>
      </c>
      <c r="T321" s="442">
        <v>10196</v>
      </c>
      <c r="U321" s="442">
        <v>13214</v>
      </c>
      <c r="V321" s="442">
        <v>1173</v>
      </c>
      <c r="W321" s="447" t="s">
        <v>80</v>
      </c>
    </row>
    <row r="322" spans="1:23" s="442" customFormat="1" ht="9.75" customHeight="1" x14ac:dyDescent="0.15">
      <c r="A322" s="951" t="s">
        <v>793</v>
      </c>
      <c r="B322" s="446">
        <v>737778</v>
      </c>
      <c r="C322" s="445">
        <v>208607</v>
      </c>
      <c r="D322" s="445">
        <v>15000</v>
      </c>
      <c r="E322" s="445">
        <v>44967</v>
      </c>
      <c r="F322" s="445" t="s">
        <v>648</v>
      </c>
      <c r="G322" s="445" t="s">
        <v>648</v>
      </c>
      <c r="H322" s="445">
        <v>116719</v>
      </c>
      <c r="I322" s="445">
        <v>31921</v>
      </c>
      <c r="J322" s="445" t="s">
        <v>648</v>
      </c>
      <c r="K322" s="445">
        <v>101597</v>
      </c>
      <c r="L322" s="445">
        <v>101597</v>
      </c>
      <c r="M322" s="445" t="s">
        <v>648</v>
      </c>
      <c r="N322" s="445" t="s">
        <v>648</v>
      </c>
      <c r="O322" s="445" t="s">
        <v>648</v>
      </c>
      <c r="P322" s="445">
        <v>427574</v>
      </c>
      <c r="Q322" s="445">
        <v>427574</v>
      </c>
      <c r="R322" s="445">
        <v>84021</v>
      </c>
      <c r="S322" s="445">
        <v>80754</v>
      </c>
      <c r="T322" s="445">
        <v>10899</v>
      </c>
      <c r="U322" s="445">
        <v>12934</v>
      </c>
      <c r="V322" s="445">
        <v>6026</v>
      </c>
      <c r="W322" s="443" t="s">
        <v>81</v>
      </c>
    </row>
    <row r="323" spans="1:23" ht="12" customHeight="1" x14ac:dyDescent="0.2"/>
    <row r="324" spans="1:23" ht="12" customHeight="1" x14ac:dyDescent="0.2"/>
    <row r="325" spans="1:23" ht="12" customHeight="1" x14ac:dyDescent="0.2">
      <c r="K325" s="457" t="s">
        <v>100</v>
      </c>
    </row>
    <row r="326" spans="1:23" s="453" customFormat="1" ht="21" customHeight="1" x14ac:dyDescent="0.2">
      <c r="A326" s="1089" t="s">
        <v>194</v>
      </c>
      <c r="B326" s="456" t="s">
        <v>321</v>
      </c>
      <c r="C326" s="455"/>
      <c r="D326" s="455"/>
      <c r="E326" s="455"/>
      <c r="F326" s="455"/>
      <c r="G326" s="455"/>
      <c r="H326" s="455"/>
      <c r="I326" s="455"/>
      <c r="J326" s="455"/>
      <c r="K326" s="455"/>
      <c r="L326" s="455"/>
      <c r="M326" s="455"/>
      <c r="N326" s="455"/>
      <c r="O326" s="455"/>
      <c r="P326" s="455"/>
      <c r="Q326" s="455"/>
      <c r="R326" s="455"/>
      <c r="S326" s="455"/>
      <c r="T326" s="455"/>
      <c r="U326" s="455"/>
      <c r="V326" s="455"/>
      <c r="W326" s="1092" t="s">
        <v>86</v>
      </c>
    </row>
    <row r="327" spans="1:23" s="453" customFormat="1" ht="21" customHeight="1" x14ac:dyDescent="0.2">
      <c r="A327" s="1090"/>
      <c r="B327" s="456" t="s">
        <v>290</v>
      </c>
      <c r="C327" s="455"/>
      <c r="D327" s="455"/>
      <c r="E327" s="455"/>
      <c r="F327" s="455"/>
      <c r="G327" s="455"/>
      <c r="H327" s="455"/>
      <c r="I327" s="455"/>
      <c r="J327" s="455"/>
      <c r="K327" s="455"/>
      <c r="L327" s="455"/>
      <c r="M327" s="455"/>
      <c r="N327" s="455"/>
      <c r="O327" s="455"/>
      <c r="P327" s="455"/>
      <c r="Q327" s="455"/>
      <c r="R327" s="455"/>
      <c r="S327" s="455"/>
      <c r="T327" s="455"/>
      <c r="U327" s="455"/>
      <c r="V327" s="455"/>
      <c r="W327" s="1093"/>
    </row>
    <row r="328" spans="1:23" s="453" customFormat="1" ht="52.5" customHeight="1" x14ac:dyDescent="0.2">
      <c r="A328" s="1091"/>
      <c r="B328" s="454" t="s">
        <v>371</v>
      </c>
      <c r="C328" s="454" t="s">
        <v>314</v>
      </c>
      <c r="D328" s="454" t="s">
        <v>363</v>
      </c>
      <c r="E328" s="454" t="s">
        <v>313</v>
      </c>
      <c r="F328" s="454" t="s">
        <v>285</v>
      </c>
      <c r="G328" s="454" t="s">
        <v>284</v>
      </c>
      <c r="H328" s="454" t="s">
        <v>342</v>
      </c>
      <c r="I328" s="454" t="s">
        <v>282</v>
      </c>
      <c r="J328" s="454" t="s">
        <v>370</v>
      </c>
      <c r="K328" s="454" t="s">
        <v>318</v>
      </c>
      <c r="L328" s="454" t="s">
        <v>341</v>
      </c>
      <c r="M328" s="454" t="s">
        <v>339</v>
      </c>
      <c r="N328" s="454" t="s">
        <v>294</v>
      </c>
      <c r="O328" s="454" t="s">
        <v>293</v>
      </c>
      <c r="P328" s="454" t="s">
        <v>292</v>
      </c>
      <c r="Q328" s="454" t="s">
        <v>281</v>
      </c>
      <c r="R328" s="454" t="s">
        <v>280</v>
      </c>
      <c r="S328" s="454" t="s">
        <v>369</v>
      </c>
      <c r="T328" s="454" t="s">
        <v>368</v>
      </c>
      <c r="U328" s="459" t="s">
        <v>1087</v>
      </c>
      <c r="V328" s="458" t="s">
        <v>1136</v>
      </c>
      <c r="W328" s="1094"/>
    </row>
    <row r="329" spans="1:23" s="442" customFormat="1" ht="9.75" customHeight="1" x14ac:dyDescent="0.15">
      <c r="A329" s="949" t="s">
        <v>763</v>
      </c>
      <c r="B329" s="452">
        <v>139</v>
      </c>
      <c r="C329" s="451">
        <v>7091</v>
      </c>
      <c r="D329" s="451">
        <v>33355</v>
      </c>
      <c r="E329" s="451">
        <v>89367</v>
      </c>
      <c r="F329" s="451">
        <v>219357</v>
      </c>
      <c r="G329" s="451">
        <v>16777</v>
      </c>
      <c r="H329" s="451">
        <v>6105</v>
      </c>
      <c r="I329" s="451">
        <v>9204</v>
      </c>
      <c r="J329" s="451">
        <v>12</v>
      </c>
      <c r="K329" s="451">
        <v>2718</v>
      </c>
      <c r="L329" s="451" t="s">
        <v>648</v>
      </c>
      <c r="M329" s="451">
        <v>3</v>
      </c>
      <c r="N329" s="451">
        <v>16</v>
      </c>
      <c r="O329" s="451" t="s">
        <v>648</v>
      </c>
      <c r="P329" s="451" t="s">
        <v>648</v>
      </c>
      <c r="Q329" s="451">
        <v>1</v>
      </c>
      <c r="R329" s="451">
        <v>3</v>
      </c>
      <c r="S329" s="451">
        <v>1</v>
      </c>
      <c r="T329" s="451">
        <v>1</v>
      </c>
      <c r="U329" s="451">
        <v>2459</v>
      </c>
      <c r="V329" s="451">
        <v>45</v>
      </c>
      <c r="W329" s="449" t="s">
        <v>464</v>
      </c>
    </row>
    <row r="330" spans="1:23" s="442" customFormat="1" ht="9.75" customHeight="1" x14ac:dyDescent="0.15">
      <c r="A330" s="950" t="s">
        <v>764</v>
      </c>
      <c r="B330" s="442">
        <v>97</v>
      </c>
      <c r="C330" s="442">
        <v>5854</v>
      </c>
      <c r="D330" s="442">
        <v>55655</v>
      </c>
      <c r="E330" s="442">
        <v>104925</v>
      </c>
      <c r="F330" s="442">
        <v>349856</v>
      </c>
      <c r="G330" s="442">
        <v>17929</v>
      </c>
      <c r="H330" s="442">
        <v>1854</v>
      </c>
      <c r="I330" s="442">
        <v>9839</v>
      </c>
      <c r="J330" s="442">
        <v>164</v>
      </c>
      <c r="K330" s="442">
        <v>3120</v>
      </c>
      <c r="L330" s="442" t="s">
        <v>648</v>
      </c>
      <c r="M330" s="442">
        <v>48</v>
      </c>
      <c r="N330" s="442">
        <v>16</v>
      </c>
      <c r="O330" s="442">
        <v>3</v>
      </c>
      <c r="P330" s="442">
        <v>24</v>
      </c>
      <c r="Q330" s="442" t="s">
        <v>648</v>
      </c>
      <c r="R330" s="442" t="s">
        <v>648</v>
      </c>
      <c r="S330" s="442">
        <v>3</v>
      </c>
      <c r="T330" s="442">
        <v>1</v>
      </c>
      <c r="U330" s="442">
        <v>760</v>
      </c>
      <c r="V330" s="442" t="s">
        <v>648</v>
      </c>
      <c r="W330" s="447" t="s">
        <v>489</v>
      </c>
    </row>
    <row r="331" spans="1:23" s="442" customFormat="1" ht="9.75" customHeight="1" x14ac:dyDescent="0.15">
      <c r="A331" s="950" t="s">
        <v>765</v>
      </c>
      <c r="B331" s="442">
        <v>103</v>
      </c>
      <c r="C331" s="442">
        <v>2326</v>
      </c>
      <c r="D331" s="442">
        <v>20499</v>
      </c>
      <c r="E331" s="442">
        <v>67022</v>
      </c>
      <c r="F331" s="442">
        <v>372238</v>
      </c>
      <c r="G331" s="442">
        <v>12606</v>
      </c>
      <c r="H331" s="442">
        <v>3757</v>
      </c>
      <c r="I331" s="442">
        <v>9030</v>
      </c>
      <c r="J331" s="442">
        <v>6</v>
      </c>
      <c r="K331" s="442">
        <v>2824</v>
      </c>
      <c r="L331" s="442">
        <v>1</v>
      </c>
      <c r="M331" s="442">
        <v>32</v>
      </c>
      <c r="N331" s="442">
        <v>6</v>
      </c>
      <c r="O331" s="442">
        <v>13</v>
      </c>
      <c r="P331" s="442" t="s">
        <v>648</v>
      </c>
      <c r="Q331" s="442" t="s">
        <v>648</v>
      </c>
      <c r="R331" s="442" t="s">
        <v>648</v>
      </c>
      <c r="S331" s="442">
        <v>6</v>
      </c>
      <c r="T331" s="442" t="s">
        <v>648</v>
      </c>
      <c r="U331" s="442">
        <v>659</v>
      </c>
      <c r="V331" s="442">
        <v>256</v>
      </c>
      <c r="W331" s="447" t="s">
        <v>549</v>
      </c>
    </row>
    <row r="332" spans="1:23" s="442" customFormat="1" ht="9.75" customHeight="1" x14ac:dyDescent="0.15">
      <c r="A332" s="950" t="s">
        <v>766</v>
      </c>
      <c r="B332" s="442">
        <v>66</v>
      </c>
      <c r="C332" s="442">
        <v>6381</v>
      </c>
      <c r="D332" s="442">
        <v>24349</v>
      </c>
      <c r="E332" s="442">
        <v>44811</v>
      </c>
      <c r="F332" s="442">
        <v>327748</v>
      </c>
      <c r="G332" s="442">
        <v>11745</v>
      </c>
      <c r="H332" s="442">
        <v>2717</v>
      </c>
      <c r="I332" s="442">
        <v>6836</v>
      </c>
      <c r="J332" s="442">
        <v>3</v>
      </c>
      <c r="K332" s="442">
        <v>2442</v>
      </c>
      <c r="L332" s="442">
        <v>3</v>
      </c>
      <c r="M332" s="442" t="s">
        <v>648</v>
      </c>
      <c r="N332" s="442">
        <v>4</v>
      </c>
      <c r="O332" s="442" t="s">
        <v>648</v>
      </c>
      <c r="P332" s="442" t="s">
        <v>648</v>
      </c>
      <c r="Q332" s="442" t="s">
        <v>648</v>
      </c>
      <c r="R332" s="442" t="s">
        <v>648</v>
      </c>
      <c r="S332" s="442">
        <v>3</v>
      </c>
      <c r="T332" s="442">
        <v>2</v>
      </c>
      <c r="U332" s="442">
        <v>202</v>
      </c>
      <c r="V332" s="442">
        <v>224</v>
      </c>
      <c r="W332" s="447" t="s">
        <v>672</v>
      </c>
    </row>
    <row r="333" spans="1:23" s="442" customFormat="1" ht="9.75" customHeight="1" x14ac:dyDescent="0.15">
      <c r="A333" s="950" t="s">
        <v>767</v>
      </c>
      <c r="B333" s="442">
        <v>60</v>
      </c>
      <c r="C333" s="442">
        <v>9758</v>
      </c>
      <c r="D333" s="442">
        <v>23855</v>
      </c>
      <c r="E333" s="442">
        <v>53273</v>
      </c>
      <c r="F333" s="442">
        <v>302197</v>
      </c>
      <c r="G333" s="442">
        <v>11340</v>
      </c>
      <c r="H333" s="442">
        <v>3308</v>
      </c>
      <c r="I333" s="442">
        <v>11239</v>
      </c>
      <c r="J333" s="442" t="s">
        <v>648</v>
      </c>
      <c r="K333" s="442">
        <v>5017</v>
      </c>
      <c r="L333" s="442">
        <v>6</v>
      </c>
      <c r="M333" s="442" t="s">
        <v>648</v>
      </c>
      <c r="N333" s="442">
        <v>34</v>
      </c>
      <c r="O333" s="442">
        <v>14</v>
      </c>
      <c r="P333" s="442" t="s">
        <v>648</v>
      </c>
      <c r="Q333" s="442" t="s">
        <v>648</v>
      </c>
      <c r="R333" s="442" t="s">
        <v>648</v>
      </c>
      <c r="S333" s="442">
        <v>3</v>
      </c>
      <c r="T333" s="442" t="s">
        <v>648</v>
      </c>
      <c r="U333" s="442">
        <v>189</v>
      </c>
      <c r="V333" s="442">
        <v>400</v>
      </c>
      <c r="W333" s="447" t="s">
        <v>768</v>
      </c>
    </row>
    <row r="334" spans="1:23" s="442" customFormat="1" ht="6.75" customHeight="1" x14ac:dyDescent="0.15">
      <c r="A334" s="950"/>
      <c r="W334" s="447"/>
    </row>
    <row r="335" spans="1:23" s="442" customFormat="1" ht="9.75" customHeight="1" x14ac:dyDescent="0.15">
      <c r="A335" s="950" t="s">
        <v>799</v>
      </c>
      <c r="B335" s="442">
        <v>60</v>
      </c>
      <c r="C335" s="442">
        <v>7006</v>
      </c>
      <c r="D335" s="442">
        <v>18258</v>
      </c>
      <c r="E335" s="442">
        <v>47247</v>
      </c>
      <c r="F335" s="442">
        <v>362297</v>
      </c>
      <c r="G335" s="442">
        <v>10656</v>
      </c>
      <c r="H335" s="442">
        <v>1758</v>
      </c>
      <c r="I335" s="442">
        <v>7240</v>
      </c>
      <c r="J335" s="442">
        <v>3</v>
      </c>
      <c r="K335" s="442">
        <v>3581</v>
      </c>
      <c r="L335" s="442">
        <v>3</v>
      </c>
      <c r="M335" s="442" t="s">
        <v>648</v>
      </c>
      <c r="N335" s="442">
        <v>4</v>
      </c>
      <c r="O335" s="442" t="s">
        <v>648</v>
      </c>
      <c r="P335" s="442" t="s">
        <v>648</v>
      </c>
      <c r="Q335" s="442" t="s">
        <v>648</v>
      </c>
      <c r="R335" s="442" t="s">
        <v>648</v>
      </c>
      <c r="S335" s="442">
        <v>2</v>
      </c>
      <c r="T335" s="442">
        <v>2</v>
      </c>
      <c r="U335" s="442">
        <v>209</v>
      </c>
      <c r="V335" s="442">
        <v>288</v>
      </c>
      <c r="W335" s="447" t="s">
        <v>673</v>
      </c>
    </row>
    <row r="336" spans="1:23" s="442" customFormat="1" ht="9.75" customHeight="1" x14ac:dyDescent="0.15">
      <c r="A336" s="950" t="s">
        <v>800</v>
      </c>
      <c r="B336" s="442">
        <v>80</v>
      </c>
      <c r="C336" s="442">
        <v>10463</v>
      </c>
      <c r="D336" s="442">
        <v>31220</v>
      </c>
      <c r="E336" s="442">
        <v>50904</v>
      </c>
      <c r="F336" s="442">
        <v>273872</v>
      </c>
      <c r="G336" s="442">
        <v>10546</v>
      </c>
      <c r="H336" s="442">
        <v>3155</v>
      </c>
      <c r="I336" s="442">
        <v>10763</v>
      </c>
      <c r="J336" s="442" t="s">
        <v>648</v>
      </c>
      <c r="K336" s="442">
        <v>3848</v>
      </c>
      <c r="L336" s="442">
        <v>6</v>
      </c>
      <c r="M336" s="442" t="s">
        <v>648</v>
      </c>
      <c r="N336" s="442">
        <v>34</v>
      </c>
      <c r="O336" s="442">
        <v>14</v>
      </c>
      <c r="P336" s="442" t="s">
        <v>648</v>
      </c>
      <c r="Q336" s="442" t="s">
        <v>648</v>
      </c>
      <c r="R336" s="442" t="s">
        <v>648</v>
      </c>
      <c r="S336" s="442">
        <v>4</v>
      </c>
      <c r="T336" s="442" t="s">
        <v>648</v>
      </c>
      <c r="U336" s="442">
        <v>213</v>
      </c>
      <c r="V336" s="442">
        <v>432</v>
      </c>
      <c r="W336" s="447" t="s">
        <v>771</v>
      </c>
    </row>
    <row r="337" spans="1:23" s="442" customFormat="1" ht="6.75" customHeight="1" x14ac:dyDescent="0.15">
      <c r="A337" s="950"/>
      <c r="W337" s="447"/>
    </row>
    <row r="338" spans="1:23" s="442" customFormat="1" ht="9.75" customHeight="1" x14ac:dyDescent="0.15">
      <c r="A338" s="950" t="s">
        <v>772</v>
      </c>
      <c r="B338" s="442">
        <v>6</v>
      </c>
      <c r="C338" s="442">
        <v>1196</v>
      </c>
      <c r="D338" s="442">
        <v>3324</v>
      </c>
      <c r="E338" s="442">
        <v>17464</v>
      </c>
      <c r="F338" s="442">
        <v>115638</v>
      </c>
      <c r="G338" s="442">
        <v>2273</v>
      </c>
      <c r="H338" s="442">
        <v>220</v>
      </c>
      <c r="I338" s="442">
        <v>2590</v>
      </c>
      <c r="J338" s="442" t="s">
        <v>648</v>
      </c>
      <c r="K338" s="442">
        <v>2145</v>
      </c>
      <c r="L338" s="442" t="s">
        <v>648</v>
      </c>
      <c r="M338" s="442" t="s">
        <v>648</v>
      </c>
      <c r="N338" s="442" t="s">
        <v>648</v>
      </c>
      <c r="O338" s="442" t="s">
        <v>648</v>
      </c>
      <c r="P338" s="442" t="s">
        <v>648</v>
      </c>
      <c r="Q338" s="442" t="s">
        <v>648</v>
      </c>
      <c r="R338" s="442" t="s">
        <v>648</v>
      </c>
      <c r="S338" s="442" t="s">
        <v>648</v>
      </c>
      <c r="T338" s="442" t="s">
        <v>648</v>
      </c>
      <c r="U338" s="442">
        <v>49</v>
      </c>
      <c r="V338" s="442">
        <v>128</v>
      </c>
      <c r="W338" s="447" t="s">
        <v>674</v>
      </c>
    </row>
    <row r="339" spans="1:23" s="442" customFormat="1" ht="9.75" customHeight="1" x14ac:dyDescent="0.15">
      <c r="A339" s="950" t="s">
        <v>773</v>
      </c>
      <c r="B339" s="442">
        <v>14</v>
      </c>
      <c r="C339" s="442">
        <v>3980</v>
      </c>
      <c r="D339" s="442">
        <v>4942</v>
      </c>
      <c r="E339" s="442">
        <v>13236</v>
      </c>
      <c r="F339" s="442">
        <v>49361</v>
      </c>
      <c r="G339" s="442">
        <v>4077</v>
      </c>
      <c r="H339" s="442">
        <v>166</v>
      </c>
      <c r="I339" s="442">
        <v>4131</v>
      </c>
      <c r="J339" s="442" t="s">
        <v>648</v>
      </c>
      <c r="K339" s="442">
        <v>1547</v>
      </c>
      <c r="L339" s="442" t="s">
        <v>648</v>
      </c>
      <c r="M339" s="442" t="s">
        <v>648</v>
      </c>
      <c r="N339" s="442">
        <v>18</v>
      </c>
      <c r="O339" s="442">
        <v>14</v>
      </c>
      <c r="P339" s="442" t="s">
        <v>648</v>
      </c>
      <c r="Q339" s="442" t="s">
        <v>648</v>
      </c>
      <c r="R339" s="442" t="s">
        <v>648</v>
      </c>
      <c r="S339" s="442">
        <v>1</v>
      </c>
      <c r="T339" s="442" t="s">
        <v>648</v>
      </c>
      <c r="U339" s="442">
        <v>48</v>
      </c>
      <c r="V339" s="442">
        <v>64</v>
      </c>
      <c r="W339" s="447" t="s">
        <v>92</v>
      </c>
    </row>
    <row r="340" spans="1:23" s="442" customFormat="1" ht="9.75" customHeight="1" x14ac:dyDescent="0.15">
      <c r="A340" s="950" t="s">
        <v>774</v>
      </c>
      <c r="B340" s="442">
        <v>14</v>
      </c>
      <c r="C340" s="442">
        <v>1498</v>
      </c>
      <c r="D340" s="442">
        <v>5786</v>
      </c>
      <c r="E340" s="442">
        <v>13458</v>
      </c>
      <c r="F340" s="442">
        <v>89515</v>
      </c>
      <c r="G340" s="442">
        <v>3130</v>
      </c>
      <c r="H340" s="442">
        <v>2580</v>
      </c>
      <c r="I340" s="442">
        <v>2448</v>
      </c>
      <c r="J340" s="442" t="s">
        <v>648</v>
      </c>
      <c r="K340" s="442">
        <v>757</v>
      </c>
      <c r="L340" s="442">
        <v>6</v>
      </c>
      <c r="M340" s="442" t="s">
        <v>648</v>
      </c>
      <c r="N340" s="442" t="s">
        <v>648</v>
      </c>
      <c r="O340" s="442" t="s">
        <v>648</v>
      </c>
      <c r="P340" s="442" t="s">
        <v>648</v>
      </c>
      <c r="Q340" s="442" t="s">
        <v>648</v>
      </c>
      <c r="R340" s="442" t="s">
        <v>648</v>
      </c>
      <c r="S340" s="442" t="s">
        <v>648</v>
      </c>
      <c r="T340" s="442" t="s">
        <v>648</v>
      </c>
      <c r="U340" s="442">
        <v>38</v>
      </c>
      <c r="V340" s="442">
        <v>80</v>
      </c>
      <c r="W340" s="447" t="s">
        <v>93</v>
      </c>
    </row>
    <row r="341" spans="1:23" s="442" customFormat="1" ht="9.75" customHeight="1" x14ac:dyDescent="0.15">
      <c r="A341" s="950" t="s">
        <v>801</v>
      </c>
      <c r="B341" s="442">
        <v>26</v>
      </c>
      <c r="C341" s="442">
        <v>3084</v>
      </c>
      <c r="D341" s="442">
        <v>9803</v>
      </c>
      <c r="E341" s="442">
        <v>9115</v>
      </c>
      <c r="F341" s="442">
        <v>47683</v>
      </c>
      <c r="G341" s="442">
        <v>1860</v>
      </c>
      <c r="H341" s="442">
        <v>342</v>
      </c>
      <c r="I341" s="442">
        <v>2070</v>
      </c>
      <c r="J341" s="442" t="s">
        <v>648</v>
      </c>
      <c r="K341" s="442">
        <v>568</v>
      </c>
      <c r="L341" s="442" t="s">
        <v>648</v>
      </c>
      <c r="M341" s="442" t="s">
        <v>648</v>
      </c>
      <c r="N341" s="442">
        <v>16</v>
      </c>
      <c r="O341" s="442" t="s">
        <v>648</v>
      </c>
      <c r="P341" s="442" t="s">
        <v>648</v>
      </c>
      <c r="Q341" s="442" t="s">
        <v>648</v>
      </c>
      <c r="R341" s="442" t="s">
        <v>648</v>
      </c>
      <c r="S341" s="442">
        <v>2</v>
      </c>
      <c r="T341" s="442" t="s">
        <v>648</v>
      </c>
      <c r="U341" s="442">
        <v>54</v>
      </c>
      <c r="V341" s="442">
        <v>128</v>
      </c>
      <c r="W341" s="447" t="s">
        <v>94</v>
      </c>
    </row>
    <row r="342" spans="1:23" s="442" customFormat="1" ht="9.75" customHeight="1" x14ac:dyDescent="0.15">
      <c r="A342" s="950" t="s">
        <v>1151</v>
      </c>
      <c r="B342" s="442">
        <v>26</v>
      </c>
      <c r="C342" s="442">
        <v>1901</v>
      </c>
      <c r="D342" s="442">
        <v>10689</v>
      </c>
      <c r="E342" s="442">
        <v>15095</v>
      </c>
      <c r="F342" s="442">
        <v>87313</v>
      </c>
      <c r="G342" s="442">
        <v>1479</v>
      </c>
      <c r="H342" s="442">
        <v>67</v>
      </c>
      <c r="I342" s="442">
        <v>2114</v>
      </c>
      <c r="J342" s="442" t="s">
        <v>648</v>
      </c>
      <c r="K342" s="442">
        <v>976</v>
      </c>
      <c r="L342" s="442" t="s">
        <v>648</v>
      </c>
      <c r="M342" s="442" t="s">
        <v>648</v>
      </c>
      <c r="N342" s="442" t="s">
        <v>648</v>
      </c>
      <c r="O342" s="442" t="s">
        <v>648</v>
      </c>
      <c r="P342" s="442" t="s">
        <v>648</v>
      </c>
      <c r="Q342" s="442" t="s">
        <v>648</v>
      </c>
      <c r="R342" s="442" t="s">
        <v>648</v>
      </c>
      <c r="S342" s="442">
        <v>1</v>
      </c>
      <c r="T342" s="442" t="s">
        <v>648</v>
      </c>
      <c r="U342" s="442">
        <v>73</v>
      </c>
      <c r="V342" s="442">
        <v>160</v>
      </c>
      <c r="W342" s="447" t="s">
        <v>777</v>
      </c>
    </row>
    <row r="343" spans="1:23" s="442" customFormat="1" ht="6.75" customHeight="1" x14ac:dyDescent="0.15">
      <c r="A343" s="950"/>
      <c r="W343" s="447"/>
    </row>
    <row r="344" spans="1:23" s="442" customFormat="1" ht="9.75" customHeight="1" x14ac:dyDescent="0.15">
      <c r="A344" s="950" t="s">
        <v>778</v>
      </c>
      <c r="B344" s="442" t="s">
        <v>648</v>
      </c>
      <c r="C344" s="442">
        <v>31</v>
      </c>
      <c r="D344" s="442">
        <v>359</v>
      </c>
      <c r="E344" s="442">
        <v>6311</v>
      </c>
      <c r="F344" s="442">
        <v>52308</v>
      </c>
      <c r="G344" s="442">
        <v>693</v>
      </c>
      <c r="H344" s="442">
        <v>103</v>
      </c>
      <c r="I344" s="442">
        <v>588</v>
      </c>
      <c r="J344" s="442" t="s">
        <v>648</v>
      </c>
      <c r="K344" s="442">
        <v>281</v>
      </c>
      <c r="L344" s="442" t="s">
        <v>648</v>
      </c>
      <c r="M344" s="442" t="s">
        <v>648</v>
      </c>
      <c r="N344" s="442" t="s">
        <v>648</v>
      </c>
      <c r="O344" s="442" t="s">
        <v>648</v>
      </c>
      <c r="P344" s="442" t="s">
        <v>648</v>
      </c>
      <c r="Q344" s="442" t="s">
        <v>648</v>
      </c>
      <c r="R344" s="442" t="s">
        <v>648</v>
      </c>
      <c r="S344" s="442" t="s">
        <v>648</v>
      </c>
      <c r="T344" s="442" t="s">
        <v>648</v>
      </c>
      <c r="U344" s="442">
        <v>22</v>
      </c>
      <c r="V344" s="442">
        <v>32</v>
      </c>
      <c r="W344" s="447" t="s">
        <v>675</v>
      </c>
    </row>
    <row r="345" spans="1:23" s="442" customFormat="1" ht="9.75" customHeight="1" x14ac:dyDescent="0.15">
      <c r="A345" s="950" t="s">
        <v>779</v>
      </c>
      <c r="B345" s="442">
        <v>3</v>
      </c>
      <c r="C345" s="442">
        <v>1155</v>
      </c>
      <c r="D345" s="442">
        <v>2177</v>
      </c>
      <c r="E345" s="442">
        <v>5272</v>
      </c>
      <c r="F345" s="442">
        <v>36175</v>
      </c>
      <c r="G345" s="442">
        <v>720</v>
      </c>
      <c r="H345" s="442">
        <v>45</v>
      </c>
      <c r="I345" s="442">
        <v>738</v>
      </c>
      <c r="J345" s="442" t="s">
        <v>648</v>
      </c>
      <c r="K345" s="442">
        <v>506</v>
      </c>
      <c r="L345" s="442" t="s">
        <v>648</v>
      </c>
      <c r="M345" s="442" t="s">
        <v>648</v>
      </c>
      <c r="N345" s="442" t="s">
        <v>648</v>
      </c>
      <c r="O345" s="442" t="s">
        <v>648</v>
      </c>
      <c r="P345" s="442" t="s">
        <v>648</v>
      </c>
      <c r="Q345" s="442" t="s">
        <v>648</v>
      </c>
      <c r="R345" s="442" t="s">
        <v>648</v>
      </c>
      <c r="S345" s="442" t="s">
        <v>648</v>
      </c>
      <c r="T345" s="442" t="s">
        <v>648</v>
      </c>
      <c r="U345" s="442">
        <v>6</v>
      </c>
      <c r="V345" s="442" t="s">
        <v>648</v>
      </c>
      <c r="W345" s="447" t="s">
        <v>80</v>
      </c>
    </row>
    <row r="346" spans="1:23" s="442" customFormat="1" ht="9.75" customHeight="1" x14ac:dyDescent="0.15">
      <c r="A346" s="950" t="s">
        <v>780</v>
      </c>
      <c r="B346" s="442">
        <v>3</v>
      </c>
      <c r="C346" s="442">
        <v>10</v>
      </c>
      <c r="D346" s="442">
        <v>788</v>
      </c>
      <c r="E346" s="442">
        <v>5881</v>
      </c>
      <c r="F346" s="442">
        <v>27155</v>
      </c>
      <c r="G346" s="442">
        <v>860</v>
      </c>
      <c r="H346" s="442">
        <v>72</v>
      </c>
      <c r="I346" s="442">
        <v>1264</v>
      </c>
      <c r="J346" s="442" t="s">
        <v>648</v>
      </c>
      <c r="K346" s="442">
        <v>1358</v>
      </c>
      <c r="L346" s="442" t="s">
        <v>648</v>
      </c>
      <c r="M346" s="442" t="s">
        <v>648</v>
      </c>
      <c r="N346" s="442" t="s">
        <v>648</v>
      </c>
      <c r="O346" s="442" t="s">
        <v>648</v>
      </c>
      <c r="P346" s="442" t="s">
        <v>648</v>
      </c>
      <c r="Q346" s="442" t="s">
        <v>648</v>
      </c>
      <c r="R346" s="442" t="s">
        <v>648</v>
      </c>
      <c r="S346" s="442" t="s">
        <v>648</v>
      </c>
      <c r="T346" s="442" t="s">
        <v>648</v>
      </c>
      <c r="U346" s="442">
        <v>21</v>
      </c>
      <c r="V346" s="442">
        <v>96</v>
      </c>
      <c r="W346" s="447" t="s">
        <v>81</v>
      </c>
    </row>
    <row r="347" spans="1:23" s="442" customFormat="1" ht="9.75" customHeight="1" x14ac:dyDescent="0.15">
      <c r="A347" s="950" t="s">
        <v>781</v>
      </c>
      <c r="B347" s="442">
        <v>7</v>
      </c>
      <c r="C347" s="442">
        <v>1379</v>
      </c>
      <c r="D347" s="442">
        <v>1862</v>
      </c>
      <c r="E347" s="442">
        <v>6469</v>
      </c>
      <c r="F347" s="442">
        <v>17033</v>
      </c>
      <c r="G347" s="442">
        <v>1874</v>
      </c>
      <c r="H347" s="442">
        <v>93</v>
      </c>
      <c r="I347" s="442">
        <v>1340</v>
      </c>
      <c r="J347" s="442" t="s">
        <v>648</v>
      </c>
      <c r="K347" s="442">
        <v>838</v>
      </c>
      <c r="L347" s="442" t="s">
        <v>648</v>
      </c>
      <c r="M347" s="442" t="s">
        <v>648</v>
      </c>
      <c r="N347" s="442">
        <v>18</v>
      </c>
      <c r="O347" s="442" t="s">
        <v>648</v>
      </c>
      <c r="P347" s="442" t="s">
        <v>648</v>
      </c>
      <c r="Q347" s="442" t="s">
        <v>648</v>
      </c>
      <c r="R347" s="442" t="s">
        <v>648</v>
      </c>
      <c r="S347" s="442" t="s">
        <v>648</v>
      </c>
      <c r="T347" s="442" t="s">
        <v>648</v>
      </c>
      <c r="U347" s="442">
        <v>2</v>
      </c>
      <c r="V347" s="442" t="s">
        <v>648</v>
      </c>
      <c r="W347" s="447" t="s">
        <v>82</v>
      </c>
    </row>
    <row r="348" spans="1:23" s="442" customFormat="1" ht="9.75" customHeight="1" x14ac:dyDescent="0.15">
      <c r="A348" s="950" t="s">
        <v>782</v>
      </c>
      <c r="B348" s="442">
        <v>4</v>
      </c>
      <c r="C348" s="442">
        <v>2601</v>
      </c>
      <c r="D348" s="442">
        <v>626</v>
      </c>
      <c r="E348" s="442">
        <v>3038</v>
      </c>
      <c r="F348" s="442">
        <v>4662</v>
      </c>
      <c r="G348" s="442">
        <v>1156</v>
      </c>
      <c r="H348" s="442">
        <v>15</v>
      </c>
      <c r="I348" s="442">
        <v>1262</v>
      </c>
      <c r="J348" s="442" t="s">
        <v>648</v>
      </c>
      <c r="K348" s="442">
        <v>471</v>
      </c>
      <c r="L348" s="442" t="s">
        <v>648</v>
      </c>
      <c r="M348" s="442" t="s">
        <v>648</v>
      </c>
      <c r="N348" s="442" t="s">
        <v>648</v>
      </c>
      <c r="O348" s="442">
        <v>14</v>
      </c>
      <c r="P348" s="442" t="s">
        <v>648</v>
      </c>
      <c r="Q348" s="442" t="s">
        <v>648</v>
      </c>
      <c r="R348" s="442" t="s">
        <v>648</v>
      </c>
      <c r="S348" s="442" t="s">
        <v>648</v>
      </c>
      <c r="T348" s="442" t="s">
        <v>648</v>
      </c>
      <c r="U348" s="442">
        <v>22</v>
      </c>
      <c r="V348" s="442">
        <v>64</v>
      </c>
      <c r="W348" s="447" t="s">
        <v>95</v>
      </c>
    </row>
    <row r="349" spans="1:23" s="442" customFormat="1" ht="9.75" customHeight="1" x14ac:dyDescent="0.15">
      <c r="A349" s="950" t="s">
        <v>783</v>
      </c>
      <c r="B349" s="442">
        <v>3</v>
      </c>
      <c r="C349" s="442" t="s">
        <v>648</v>
      </c>
      <c r="D349" s="442">
        <v>2454</v>
      </c>
      <c r="E349" s="442">
        <v>3729</v>
      </c>
      <c r="F349" s="442">
        <v>27666</v>
      </c>
      <c r="G349" s="442">
        <v>1047</v>
      </c>
      <c r="H349" s="442">
        <v>58</v>
      </c>
      <c r="I349" s="442">
        <v>1529</v>
      </c>
      <c r="J349" s="442" t="s">
        <v>648</v>
      </c>
      <c r="K349" s="442">
        <v>238</v>
      </c>
      <c r="L349" s="442" t="s">
        <v>648</v>
      </c>
      <c r="M349" s="442" t="s">
        <v>648</v>
      </c>
      <c r="N349" s="442" t="s">
        <v>648</v>
      </c>
      <c r="O349" s="442" t="s">
        <v>648</v>
      </c>
      <c r="P349" s="442" t="s">
        <v>648</v>
      </c>
      <c r="Q349" s="442" t="s">
        <v>648</v>
      </c>
      <c r="R349" s="442" t="s">
        <v>648</v>
      </c>
      <c r="S349" s="442">
        <v>1</v>
      </c>
      <c r="T349" s="442" t="s">
        <v>648</v>
      </c>
      <c r="U349" s="442">
        <v>24</v>
      </c>
      <c r="V349" s="442" t="s">
        <v>648</v>
      </c>
      <c r="W349" s="447" t="s">
        <v>96</v>
      </c>
    </row>
    <row r="350" spans="1:23" s="442" customFormat="1" ht="9.75" customHeight="1" x14ac:dyDescent="0.15">
      <c r="A350" s="950" t="s">
        <v>784</v>
      </c>
      <c r="B350" s="442">
        <v>3</v>
      </c>
      <c r="C350" s="442">
        <v>18</v>
      </c>
      <c r="D350" s="442">
        <v>666</v>
      </c>
      <c r="E350" s="442">
        <v>4129</v>
      </c>
      <c r="F350" s="442">
        <v>35147</v>
      </c>
      <c r="G350" s="442">
        <v>1371</v>
      </c>
      <c r="H350" s="442">
        <v>2287</v>
      </c>
      <c r="I350" s="442">
        <v>749</v>
      </c>
      <c r="J350" s="442" t="s">
        <v>648</v>
      </c>
      <c r="K350" s="442">
        <v>310</v>
      </c>
      <c r="L350" s="442">
        <v>6</v>
      </c>
      <c r="M350" s="442" t="s">
        <v>648</v>
      </c>
      <c r="N350" s="442" t="s">
        <v>648</v>
      </c>
      <c r="O350" s="442" t="s">
        <v>648</v>
      </c>
      <c r="P350" s="442" t="s">
        <v>648</v>
      </c>
      <c r="Q350" s="442" t="s">
        <v>648</v>
      </c>
      <c r="R350" s="442" t="s">
        <v>648</v>
      </c>
      <c r="S350" s="442" t="s">
        <v>648</v>
      </c>
      <c r="T350" s="442" t="s">
        <v>648</v>
      </c>
      <c r="U350" s="442">
        <v>9</v>
      </c>
      <c r="V350" s="442" t="s">
        <v>648</v>
      </c>
      <c r="W350" s="447" t="s">
        <v>97</v>
      </c>
    </row>
    <row r="351" spans="1:23" s="442" customFormat="1" ht="9.75" customHeight="1" x14ac:dyDescent="0.15">
      <c r="A351" s="950" t="s">
        <v>806</v>
      </c>
      <c r="B351" s="442">
        <v>5</v>
      </c>
      <c r="C351" s="442">
        <v>1463</v>
      </c>
      <c r="D351" s="442">
        <v>2302</v>
      </c>
      <c r="E351" s="442">
        <v>5936</v>
      </c>
      <c r="F351" s="442">
        <v>32047</v>
      </c>
      <c r="G351" s="442">
        <v>707</v>
      </c>
      <c r="H351" s="442">
        <v>35</v>
      </c>
      <c r="I351" s="442">
        <v>807</v>
      </c>
      <c r="J351" s="442" t="s">
        <v>648</v>
      </c>
      <c r="K351" s="442">
        <v>167</v>
      </c>
      <c r="L351" s="442" t="s">
        <v>648</v>
      </c>
      <c r="M351" s="442" t="s">
        <v>648</v>
      </c>
      <c r="N351" s="442" t="s">
        <v>648</v>
      </c>
      <c r="O351" s="442" t="s">
        <v>648</v>
      </c>
      <c r="P351" s="442" t="s">
        <v>648</v>
      </c>
      <c r="Q351" s="442" t="s">
        <v>648</v>
      </c>
      <c r="R351" s="442" t="s">
        <v>648</v>
      </c>
      <c r="S351" s="442" t="s">
        <v>648</v>
      </c>
      <c r="T351" s="442" t="s">
        <v>648</v>
      </c>
      <c r="U351" s="442">
        <v>13</v>
      </c>
      <c r="V351" s="442">
        <v>64</v>
      </c>
      <c r="W351" s="447" t="s">
        <v>98</v>
      </c>
    </row>
    <row r="352" spans="1:23" s="442" customFormat="1" ht="9.75" customHeight="1" x14ac:dyDescent="0.15">
      <c r="A352" s="950" t="s">
        <v>786</v>
      </c>
      <c r="B352" s="442">
        <v>6</v>
      </c>
      <c r="C352" s="442">
        <v>17</v>
      </c>
      <c r="D352" s="442">
        <v>2818</v>
      </c>
      <c r="E352" s="442">
        <v>3393</v>
      </c>
      <c r="F352" s="442">
        <v>22321</v>
      </c>
      <c r="G352" s="442">
        <v>1052</v>
      </c>
      <c r="H352" s="442">
        <v>258</v>
      </c>
      <c r="I352" s="442">
        <v>892</v>
      </c>
      <c r="J352" s="442" t="s">
        <v>648</v>
      </c>
      <c r="K352" s="442">
        <v>280</v>
      </c>
      <c r="L352" s="442" t="s">
        <v>648</v>
      </c>
      <c r="M352" s="442" t="s">
        <v>648</v>
      </c>
      <c r="N352" s="442" t="s">
        <v>648</v>
      </c>
      <c r="O352" s="442" t="s">
        <v>648</v>
      </c>
      <c r="P352" s="442" t="s">
        <v>648</v>
      </c>
      <c r="Q352" s="442" t="s">
        <v>648</v>
      </c>
      <c r="R352" s="442" t="s">
        <v>648</v>
      </c>
      <c r="S352" s="442" t="s">
        <v>648</v>
      </c>
      <c r="T352" s="442" t="s">
        <v>648</v>
      </c>
      <c r="U352" s="442">
        <v>16</v>
      </c>
      <c r="V352" s="442">
        <v>16</v>
      </c>
      <c r="W352" s="447" t="s">
        <v>99</v>
      </c>
    </row>
    <row r="353" spans="1:23" s="442" customFormat="1" ht="9.75" customHeight="1" x14ac:dyDescent="0.15">
      <c r="A353" s="950" t="s">
        <v>807</v>
      </c>
      <c r="B353" s="442">
        <v>6</v>
      </c>
      <c r="C353" s="442">
        <v>16</v>
      </c>
      <c r="D353" s="442">
        <v>371</v>
      </c>
      <c r="E353" s="442">
        <v>3216</v>
      </c>
      <c r="F353" s="442">
        <v>9142</v>
      </c>
      <c r="G353" s="442">
        <v>742</v>
      </c>
      <c r="H353" s="442">
        <v>189</v>
      </c>
      <c r="I353" s="442">
        <v>868</v>
      </c>
      <c r="J353" s="442" t="s">
        <v>648</v>
      </c>
      <c r="K353" s="442">
        <v>194</v>
      </c>
      <c r="L353" s="442" t="s">
        <v>648</v>
      </c>
      <c r="M353" s="442" t="s">
        <v>648</v>
      </c>
      <c r="N353" s="442" t="s">
        <v>648</v>
      </c>
      <c r="O353" s="442" t="s">
        <v>648</v>
      </c>
      <c r="P353" s="442" t="s">
        <v>648</v>
      </c>
      <c r="Q353" s="442" t="s">
        <v>648</v>
      </c>
      <c r="R353" s="442" t="s">
        <v>648</v>
      </c>
      <c r="S353" s="442">
        <v>1</v>
      </c>
      <c r="T353" s="442" t="s">
        <v>648</v>
      </c>
      <c r="U353" s="442">
        <v>33</v>
      </c>
      <c r="V353" s="442" t="s">
        <v>648</v>
      </c>
      <c r="W353" s="447" t="s">
        <v>83</v>
      </c>
    </row>
    <row r="354" spans="1:23" s="442" customFormat="1" ht="9.75" customHeight="1" x14ac:dyDescent="0.15">
      <c r="A354" s="950" t="s">
        <v>788</v>
      </c>
      <c r="B354" s="442">
        <v>4</v>
      </c>
      <c r="C354" s="442">
        <v>3052</v>
      </c>
      <c r="D354" s="442">
        <v>5983</v>
      </c>
      <c r="E354" s="442">
        <v>2398</v>
      </c>
      <c r="F354" s="442">
        <v>15430</v>
      </c>
      <c r="G354" s="442">
        <v>386</v>
      </c>
      <c r="H354" s="442">
        <v>140</v>
      </c>
      <c r="I354" s="442">
        <v>570</v>
      </c>
      <c r="J354" s="442" t="s">
        <v>648</v>
      </c>
      <c r="K354" s="442">
        <v>149</v>
      </c>
      <c r="L354" s="442" t="s">
        <v>648</v>
      </c>
      <c r="M354" s="442" t="s">
        <v>648</v>
      </c>
      <c r="N354" s="442" t="s">
        <v>648</v>
      </c>
      <c r="O354" s="442" t="s">
        <v>648</v>
      </c>
      <c r="P354" s="442" t="s">
        <v>648</v>
      </c>
      <c r="Q354" s="442" t="s">
        <v>648</v>
      </c>
      <c r="R354" s="442" t="s">
        <v>648</v>
      </c>
      <c r="S354" s="442" t="s">
        <v>648</v>
      </c>
      <c r="T354" s="442" t="s">
        <v>648</v>
      </c>
      <c r="U354" s="442">
        <v>15</v>
      </c>
      <c r="V354" s="442">
        <v>128</v>
      </c>
      <c r="W354" s="447" t="s">
        <v>84</v>
      </c>
    </row>
    <row r="355" spans="1:23" s="442" customFormat="1" ht="9.75" customHeight="1" x14ac:dyDescent="0.15">
      <c r="A355" s="950" t="s">
        <v>789</v>
      </c>
      <c r="B355" s="442">
        <v>16</v>
      </c>
      <c r="C355" s="442">
        <v>16</v>
      </c>
      <c r="D355" s="442">
        <v>3449</v>
      </c>
      <c r="E355" s="442">
        <v>3501</v>
      </c>
      <c r="F355" s="442">
        <v>23111</v>
      </c>
      <c r="G355" s="442">
        <v>732</v>
      </c>
      <c r="H355" s="442">
        <v>13</v>
      </c>
      <c r="I355" s="442">
        <v>632</v>
      </c>
      <c r="J355" s="442" t="s">
        <v>648</v>
      </c>
      <c r="K355" s="442">
        <v>225</v>
      </c>
      <c r="L355" s="442" t="s">
        <v>648</v>
      </c>
      <c r="M355" s="442" t="s">
        <v>648</v>
      </c>
      <c r="N355" s="442">
        <v>16</v>
      </c>
      <c r="O355" s="442" t="s">
        <v>648</v>
      </c>
      <c r="P355" s="442" t="s">
        <v>648</v>
      </c>
      <c r="Q355" s="442" t="s">
        <v>648</v>
      </c>
      <c r="R355" s="442" t="s">
        <v>648</v>
      </c>
      <c r="S355" s="442">
        <v>1</v>
      </c>
      <c r="T355" s="442" t="s">
        <v>648</v>
      </c>
      <c r="U355" s="442">
        <v>6</v>
      </c>
      <c r="V355" s="442" t="s">
        <v>648</v>
      </c>
      <c r="W355" s="447" t="s">
        <v>85</v>
      </c>
    </row>
    <row r="356" spans="1:23" s="442" customFormat="1" ht="9.75" customHeight="1" x14ac:dyDescent="0.15">
      <c r="A356" s="950" t="s">
        <v>790</v>
      </c>
      <c r="B356" s="442">
        <v>3</v>
      </c>
      <c r="C356" s="442">
        <v>980</v>
      </c>
      <c r="D356" s="442">
        <v>273</v>
      </c>
      <c r="E356" s="442">
        <v>4004</v>
      </c>
      <c r="F356" s="442">
        <v>27868</v>
      </c>
      <c r="G356" s="442">
        <v>482</v>
      </c>
      <c r="H356" s="442">
        <v>16</v>
      </c>
      <c r="I356" s="442">
        <v>885</v>
      </c>
      <c r="J356" s="442" t="s">
        <v>648</v>
      </c>
      <c r="K356" s="442">
        <v>254</v>
      </c>
      <c r="L356" s="442" t="s">
        <v>648</v>
      </c>
      <c r="M356" s="442" t="s">
        <v>648</v>
      </c>
      <c r="N356" s="442" t="s">
        <v>648</v>
      </c>
      <c r="O356" s="442" t="s">
        <v>648</v>
      </c>
      <c r="P356" s="442" t="s">
        <v>648</v>
      </c>
      <c r="Q356" s="442" t="s">
        <v>648</v>
      </c>
      <c r="R356" s="442" t="s">
        <v>648</v>
      </c>
      <c r="S356" s="442">
        <v>1</v>
      </c>
      <c r="T356" s="442" t="s">
        <v>648</v>
      </c>
      <c r="U356" s="442">
        <v>26</v>
      </c>
      <c r="V356" s="442">
        <v>64</v>
      </c>
      <c r="W356" s="447" t="s">
        <v>791</v>
      </c>
    </row>
    <row r="357" spans="1:23" s="442" customFormat="1" ht="9.75" customHeight="1" x14ac:dyDescent="0.15">
      <c r="A357" s="950" t="s">
        <v>792</v>
      </c>
      <c r="B357" s="442">
        <v>12</v>
      </c>
      <c r="C357" s="442">
        <v>19</v>
      </c>
      <c r="D357" s="442">
        <v>4643</v>
      </c>
      <c r="E357" s="442">
        <v>2699</v>
      </c>
      <c r="F357" s="442">
        <v>25327</v>
      </c>
      <c r="G357" s="442">
        <v>547</v>
      </c>
      <c r="H357" s="442">
        <v>19</v>
      </c>
      <c r="I357" s="442">
        <v>494</v>
      </c>
      <c r="J357" s="442" t="s">
        <v>648</v>
      </c>
      <c r="K357" s="442">
        <v>337</v>
      </c>
      <c r="L357" s="442" t="s">
        <v>648</v>
      </c>
      <c r="M357" s="442" t="s">
        <v>648</v>
      </c>
      <c r="N357" s="442" t="s">
        <v>648</v>
      </c>
      <c r="O357" s="442" t="s">
        <v>648</v>
      </c>
      <c r="P357" s="442" t="s">
        <v>648</v>
      </c>
      <c r="Q357" s="442" t="s">
        <v>648</v>
      </c>
      <c r="R357" s="442" t="s">
        <v>648</v>
      </c>
      <c r="S357" s="442" t="s">
        <v>648</v>
      </c>
      <c r="T357" s="442" t="s">
        <v>648</v>
      </c>
      <c r="U357" s="442">
        <v>30</v>
      </c>
      <c r="V357" s="442">
        <v>16</v>
      </c>
      <c r="W357" s="447" t="s">
        <v>80</v>
      </c>
    </row>
    <row r="358" spans="1:23" s="442" customFormat="1" ht="9.75" customHeight="1" x14ac:dyDescent="0.15">
      <c r="A358" s="951" t="s">
        <v>793</v>
      </c>
      <c r="B358" s="446">
        <v>11</v>
      </c>
      <c r="C358" s="445">
        <v>902</v>
      </c>
      <c r="D358" s="445">
        <v>5773</v>
      </c>
      <c r="E358" s="445">
        <v>8392</v>
      </c>
      <c r="F358" s="445">
        <v>34118</v>
      </c>
      <c r="G358" s="445">
        <v>450</v>
      </c>
      <c r="H358" s="445">
        <v>32</v>
      </c>
      <c r="I358" s="445">
        <v>735</v>
      </c>
      <c r="J358" s="445" t="s">
        <v>648</v>
      </c>
      <c r="K358" s="445">
        <v>385</v>
      </c>
      <c r="L358" s="445" t="s">
        <v>648</v>
      </c>
      <c r="M358" s="445" t="s">
        <v>648</v>
      </c>
      <c r="N358" s="445" t="s">
        <v>648</v>
      </c>
      <c r="O358" s="445" t="s">
        <v>648</v>
      </c>
      <c r="P358" s="445" t="s">
        <v>648</v>
      </c>
      <c r="Q358" s="445" t="s">
        <v>648</v>
      </c>
      <c r="R358" s="445" t="s">
        <v>648</v>
      </c>
      <c r="S358" s="445" t="s">
        <v>648</v>
      </c>
      <c r="T358" s="445" t="s">
        <v>648</v>
      </c>
      <c r="U358" s="445">
        <v>17</v>
      </c>
      <c r="V358" s="445">
        <v>80</v>
      </c>
      <c r="W358" s="443" t="s">
        <v>81</v>
      </c>
    </row>
    <row r="359" spans="1:23" ht="12" customHeight="1" x14ac:dyDescent="0.2"/>
    <row r="360" spans="1:23" ht="12" customHeight="1" x14ac:dyDescent="0.2"/>
    <row r="361" spans="1:23" ht="12" customHeight="1" x14ac:dyDescent="0.15">
      <c r="K361" s="457" t="s">
        <v>100</v>
      </c>
      <c r="V361" s="460" t="s">
        <v>715</v>
      </c>
    </row>
    <row r="362" spans="1:23" s="453" customFormat="1" ht="21" customHeight="1" x14ac:dyDescent="0.2">
      <c r="A362" s="1089" t="s">
        <v>194</v>
      </c>
      <c r="B362" s="456" t="s">
        <v>321</v>
      </c>
      <c r="C362" s="455"/>
      <c r="D362" s="455"/>
      <c r="E362" s="455"/>
      <c r="F362" s="455"/>
      <c r="G362" s="455"/>
      <c r="H362" s="455"/>
      <c r="I362" s="455"/>
      <c r="J362" s="455"/>
      <c r="K362" s="455"/>
      <c r="L362" s="455"/>
      <c r="M362" s="455"/>
      <c r="N362" s="455"/>
      <c r="O362" s="455"/>
      <c r="P362" s="455"/>
      <c r="Q362" s="455"/>
      <c r="R362" s="455"/>
      <c r="S362" s="455"/>
      <c r="T362" s="455"/>
      <c r="U362" s="455"/>
      <c r="V362" s="455"/>
      <c r="W362" s="1092" t="s">
        <v>86</v>
      </c>
    </row>
    <row r="363" spans="1:23" s="453" customFormat="1" ht="21" customHeight="1" x14ac:dyDescent="0.2">
      <c r="A363" s="1090"/>
      <c r="B363" s="918" t="s">
        <v>289</v>
      </c>
      <c r="C363" s="455"/>
      <c r="D363" s="455"/>
      <c r="E363" s="455"/>
      <c r="F363" s="455"/>
      <c r="G363" s="455"/>
      <c r="H363" s="455"/>
      <c r="I363" s="455"/>
      <c r="J363" s="455"/>
      <c r="K363" s="455"/>
      <c r="L363" s="455"/>
      <c r="M363" s="455"/>
      <c r="N363" s="455"/>
      <c r="O363" s="455"/>
      <c r="P363" s="455"/>
      <c r="Q363" s="455"/>
      <c r="R363" s="455"/>
      <c r="S363" s="917"/>
      <c r="T363" s="918" t="s">
        <v>288</v>
      </c>
      <c r="U363" s="455"/>
      <c r="V363" s="455"/>
      <c r="W363" s="1093"/>
    </row>
    <row r="364" spans="1:23" s="453" customFormat="1" ht="52.5" customHeight="1" x14ac:dyDescent="0.2">
      <c r="A364" s="1091"/>
      <c r="B364" s="920" t="s">
        <v>109</v>
      </c>
      <c r="C364" s="454" t="s">
        <v>634</v>
      </c>
      <c r="D364" s="454" t="s">
        <v>367</v>
      </c>
      <c r="E364" s="454" t="s">
        <v>279</v>
      </c>
      <c r="F364" s="454" t="s">
        <v>322</v>
      </c>
      <c r="G364" s="454" t="s">
        <v>161</v>
      </c>
      <c r="H364" s="454" t="s">
        <v>278</v>
      </c>
      <c r="I364" s="454" t="s">
        <v>277</v>
      </c>
      <c r="J364" s="454" t="s">
        <v>312</v>
      </c>
      <c r="K364" s="454" t="s">
        <v>276</v>
      </c>
      <c r="L364" s="454" t="s">
        <v>317</v>
      </c>
      <c r="M364" s="454" t="s">
        <v>366</v>
      </c>
      <c r="N364" s="454" t="s">
        <v>275</v>
      </c>
      <c r="O364" s="454" t="s">
        <v>513</v>
      </c>
      <c r="P364" s="454" t="s">
        <v>311</v>
      </c>
      <c r="Q364" s="454" t="s">
        <v>635</v>
      </c>
      <c r="R364" s="454" t="s">
        <v>335</v>
      </c>
      <c r="S364" s="454" t="s">
        <v>365</v>
      </c>
      <c r="T364" s="920" t="s">
        <v>1089</v>
      </c>
      <c r="U364" s="454" t="s">
        <v>274</v>
      </c>
      <c r="V364" s="458" t="s">
        <v>334</v>
      </c>
      <c r="W364" s="1094"/>
    </row>
    <row r="365" spans="1:23" s="442" customFormat="1" ht="9.75" customHeight="1" x14ac:dyDescent="0.15">
      <c r="A365" s="949" t="s">
        <v>763</v>
      </c>
      <c r="B365" s="452">
        <v>29749</v>
      </c>
      <c r="C365" s="451" t="s">
        <v>648</v>
      </c>
      <c r="D365" s="451">
        <v>41</v>
      </c>
      <c r="E365" s="451">
        <v>16</v>
      </c>
      <c r="F365" s="451">
        <v>392</v>
      </c>
      <c r="G365" s="451">
        <v>21191</v>
      </c>
      <c r="H365" s="451">
        <v>1442</v>
      </c>
      <c r="I365" s="451">
        <v>12</v>
      </c>
      <c r="J365" s="451">
        <v>1772</v>
      </c>
      <c r="K365" s="451">
        <v>33</v>
      </c>
      <c r="L365" s="451">
        <v>1</v>
      </c>
      <c r="M365" s="451" t="s">
        <v>648</v>
      </c>
      <c r="N365" s="451">
        <v>4792</v>
      </c>
      <c r="O365" s="451" t="s">
        <v>648</v>
      </c>
      <c r="P365" s="451" t="s">
        <v>648</v>
      </c>
      <c r="Q365" s="451" t="s">
        <v>648</v>
      </c>
      <c r="R365" s="451" t="s">
        <v>648</v>
      </c>
      <c r="S365" s="451">
        <v>57</v>
      </c>
      <c r="T365" s="451">
        <v>5530</v>
      </c>
      <c r="U365" s="451">
        <v>5234</v>
      </c>
      <c r="V365" s="451">
        <v>296</v>
      </c>
      <c r="W365" s="449" t="s">
        <v>464</v>
      </c>
    </row>
    <row r="366" spans="1:23" s="442" customFormat="1" ht="9.75" customHeight="1" x14ac:dyDescent="0.15">
      <c r="A366" s="950" t="s">
        <v>764</v>
      </c>
      <c r="B366" s="442">
        <v>32485</v>
      </c>
      <c r="C366" s="442" t="s">
        <v>648</v>
      </c>
      <c r="D366" s="442">
        <v>56</v>
      </c>
      <c r="E366" s="442" t="s">
        <v>648</v>
      </c>
      <c r="F366" s="442">
        <v>415</v>
      </c>
      <c r="G366" s="442">
        <v>21001</v>
      </c>
      <c r="H366" s="442">
        <v>1524</v>
      </c>
      <c r="I366" s="442">
        <v>14</v>
      </c>
      <c r="J366" s="442">
        <v>2280</v>
      </c>
      <c r="K366" s="442">
        <v>28</v>
      </c>
      <c r="L366" s="442" t="s">
        <v>648</v>
      </c>
      <c r="M366" s="442" t="s">
        <v>648</v>
      </c>
      <c r="N366" s="442">
        <v>6860</v>
      </c>
      <c r="O366" s="442">
        <v>17</v>
      </c>
      <c r="P366" s="442">
        <v>236</v>
      </c>
      <c r="Q366" s="442" t="s">
        <v>648</v>
      </c>
      <c r="R366" s="442">
        <v>14</v>
      </c>
      <c r="S366" s="442">
        <v>40</v>
      </c>
      <c r="T366" s="442">
        <v>4735</v>
      </c>
      <c r="U366" s="442">
        <v>4306</v>
      </c>
      <c r="V366" s="442">
        <v>429</v>
      </c>
      <c r="W366" s="447" t="s">
        <v>489</v>
      </c>
    </row>
    <row r="367" spans="1:23" s="442" customFormat="1" ht="9.75" customHeight="1" x14ac:dyDescent="0.15">
      <c r="A367" s="950" t="s">
        <v>765</v>
      </c>
      <c r="B367" s="442">
        <v>33103</v>
      </c>
      <c r="C367" s="442">
        <v>28</v>
      </c>
      <c r="D367" s="442">
        <v>68</v>
      </c>
      <c r="E367" s="442" t="s">
        <v>648</v>
      </c>
      <c r="F367" s="442">
        <v>345</v>
      </c>
      <c r="G367" s="442">
        <v>17904</v>
      </c>
      <c r="H367" s="442">
        <v>1453</v>
      </c>
      <c r="I367" s="442">
        <v>8</v>
      </c>
      <c r="J367" s="442">
        <v>605</v>
      </c>
      <c r="K367" s="442">
        <v>22</v>
      </c>
      <c r="L367" s="442" t="s">
        <v>648</v>
      </c>
      <c r="M367" s="442">
        <v>10</v>
      </c>
      <c r="N367" s="442">
        <v>10581</v>
      </c>
      <c r="O367" s="442" t="s">
        <v>648</v>
      </c>
      <c r="P367" s="442">
        <v>1829</v>
      </c>
      <c r="Q367" s="442">
        <v>236</v>
      </c>
      <c r="R367" s="442" t="s">
        <v>648</v>
      </c>
      <c r="S367" s="442">
        <v>14</v>
      </c>
      <c r="T367" s="442">
        <v>4848</v>
      </c>
      <c r="U367" s="442">
        <v>4295</v>
      </c>
      <c r="V367" s="442">
        <v>552</v>
      </c>
      <c r="W367" s="447" t="s">
        <v>549</v>
      </c>
    </row>
    <row r="368" spans="1:23" s="442" customFormat="1" ht="9.75" customHeight="1" x14ac:dyDescent="0.15">
      <c r="A368" s="950" t="s">
        <v>766</v>
      </c>
      <c r="B368" s="442">
        <v>28684</v>
      </c>
      <c r="C368" s="442" t="s">
        <v>648</v>
      </c>
      <c r="D368" s="442">
        <v>45</v>
      </c>
      <c r="E368" s="442" t="s">
        <v>648</v>
      </c>
      <c r="F368" s="442">
        <v>224</v>
      </c>
      <c r="G368" s="442">
        <v>16760</v>
      </c>
      <c r="H368" s="442">
        <v>471</v>
      </c>
      <c r="I368" s="442">
        <v>6</v>
      </c>
      <c r="J368" s="442">
        <v>2471</v>
      </c>
      <c r="K368" s="442">
        <v>25</v>
      </c>
      <c r="L368" s="442" t="s">
        <v>648</v>
      </c>
      <c r="M368" s="442" t="s">
        <v>648</v>
      </c>
      <c r="N368" s="442">
        <v>6389</v>
      </c>
      <c r="O368" s="442" t="s">
        <v>648</v>
      </c>
      <c r="P368" s="442">
        <v>1793</v>
      </c>
      <c r="Q368" s="442">
        <v>500</v>
      </c>
      <c r="R368" s="442" t="s">
        <v>648</v>
      </c>
      <c r="S368" s="442" t="s">
        <v>648</v>
      </c>
      <c r="T368" s="442">
        <v>3840</v>
      </c>
      <c r="U368" s="442">
        <v>3252</v>
      </c>
      <c r="V368" s="442">
        <v>588</v>
      </c>
      <c r="W368" s="447" t="s">
        <v>672</v>
      </c>
    </row>
    <row r="369" spans="1:23" s="442" customFormat="1" ht="9.75" customHeight="1" x14ac:dyDescent="0.15">
      <c r="A369" s="950" t="s">
        <v>767</v>
      </c>
      <c r="B369" s="442">
        <v>30626</v>
      </c>
      <c r="C369" s="442" t="s">
        <v>648</v>
      </c>
      <c r="D369" s="442">
        <v>47</v>
      </c>
      <c r="E369" s="442" t="s">
        <v>648</v>
      </c>
      <c r="F369" s="442">
        <v>161</v>
      </c>
      <c r="G369" s="442">
        <v>17882</v>
      </c>
      <c r="H369" s="442" t="s">
        <v>648</v>
      </c>
      <c r="I369" s="442">
        <v>12</v>
      </c>
      <c r="J369" s="442">
        <v>2584</v>
      </c>
      <c r="K369" s="442">
        <v>18</v>
      </c>
      <c r="L369" s="442" t="s">
        <v>648</v>
      </c>
      <c r="M369" s="442" t="s">
        <v>648</v>
      </c>
      <c r="N369" s="442">
        <v>9221</v>
      </c>
      <c r="O369" s="442" t="s">
        <v>648</v>
      </c>
      <c r="P369" s="442">
        <v>417</v>
      </c>
      <c r="Q369" s="442">
        <v>284</v>
      </c>
      <c r="R369" s="442" t="s">
        <v>648</v>
      </c>
      <c r="S369" s="442" t="s">
        <v>648</v>
      </c>
      <c r="T369" s="442">
        <v>4954</v>
      </c>
      <c r="U369" s="442">
        <v>3834</v>
      </c>
      <c r="V369" s="442">
        <v>1120</v>
      </c>
      <c r="W369" s="447" t="s">
        <v>768</v>
      </c>
    </row>
    <row r="370" spans="1:23" s="442" customFormat="1" ht="6.75" customHeight="1" x14ac:dyDescent="0.15">
      <c r="A370" s="950"/>
      <c r="W370" s="447"/>
    </row>
    <row r="371" spans="1:23" s="442" customFormat="1" ht="9.75" customHeight="1" x14ac:dyDescent="0.15">
      <c r="A371" s="950" t="s">
        <v>799</v>
      </c>
      <c r="B371" s="442">
        <v>29400</v>
      </c>
      <c r="C371" s="442" t="s">
        <v>648</v>
      </c>
      <c r="D371" s="442">
        <v>16</v>
      </c>
      <c r="E371" s="442" t="s">
        <v>648</v>
      </c>
      <c r="F371" s="442">
        <v>92</v>
      </c>
      <c r="G371" s="442">
        <v>17882</v>
      </c>
      <c r="H371" s="442">
        <v>161</v>
      </c>
      <c r="I371" s="442">
        <v>9</v>
      </c>
      <c r="J371" s="442">
        <v>2869</v>
      </c>
      <c r="K371" s="442">
        <v>18</v>
      </c>
      <c r="L371" s="442" t="s">
        <v>648</v>
      </c>
      <c r="M371" s="442" t="s">
        <v>648</v>
      </c>
      <c r="N371" s="442">
        <v>7392</v>
      </c>
      <c r="O371" s="442" t="s">
        <v>648</v>
      </c>
      <c r="P371" s="442">
        <v>500</v>
      </c>
      <c r="Q371" s="442">
        <v>461</v>
      </c>
      <c r="R371" s="442" t="s">
        <v>648</v>
      </c>
      <c r="S371" s="442" t="s">
        <v>648</v>
      </c>
      <c r="T371" s="442">
        <v>3889</v>
      </c>
      <c r="U371" s="442">
        <v>3169</v>
      </c>
      <c r="V371" s="442">
        <v>720</v>
      </c>
      <c r="W371" s="447" t="s">
        <v>673</v>
      </c>
    </row>
    <row r="372" spans="1:23" s="442" customFormat="1" ht="9.75" customHeight="1" x14ac:dyDescent="0.15">
      <c r="A372" s="950" t="s">
        <v>800</v>
      </c>
      <c r="B372" s="442">
        <v>27874</v>
      </c>
      <c r="C372" s="442">
        <v>15</v>
      </c>
      <c r="D372" s="442">
        <v>31</v>
      </c>
      <c r="E372" s="442" t="s">
        <v>648</v>
      </c>
      <c r="F372" s="442">
        <v>207</v>
      </c>
      <c r="G372" s="442">
        <v>15879</v>
      </c>
      <c r="H372" s="442" t="s">
        <v>648</v>
      </c>
      <c r="I372" s="442">
        <v>9</v>
      </c>
      <c r="J372" s="442">
        <v>2371</v>
      </c>
      <c r="K372" s="442">
        <v>37</v>
      </c>
      <c r="L372" s="442" t="s">
        <v>648</v>
      </c>
      <c r="M372" s="442" t="s">
        <v>648</v>
      </c>
      <c r="N372" s="442">
        <v>8762</v>
      </c>
      <c r="O372" s="442" t="s">
        <v>648</v>
      </c>
      <c r="P372" s="442">
        <v>211</v>
      </c>
      <c r="Q372" s="442">
        <v>352</v>
      </c>
      <c r="R372" s="442" t="s">
        <v>648</v>
      </c>
      <c r="S372" s="442" t="s">
        <v>648</v>
      </c>
      <c r="T372" s="442">
        <v>4701</v>
      </c>
      <c r="U372" s="442">
        <v>3759</v>
      </c>
      <c r="V372" s="442">
        <v>942</v>
      </c>
      <c r="W372" s="447" t="s">
        <v>771</v>
      </c>
    </row>
    <row r="373" spans="1:23" s="442" customFormat="1" ht="6.75" customHeight="1" x14ac:dyDescent="0.15">
      <c r="A373" s="950"/>
      <c r="W373" s="447"/>
    </row>
    <row r="374" spans="1:23" s="442" customFormat="1" ht="9.75" customHeight="1" x14ac:dyDescent="0.15">
      <c r="A374" s="950" t="s">
        <v>772</v>
      </c>
      <c r="B374" s="442">
        <v>9506</v>
      </c>
      <c r="C374" s="442" t="s">
        <v>648</v>
      </c>
      <c r="D374" s="442">
        <v>16</v>
      </c>
      <c r="E374" s="442" t="s">
        <v>648</v>
      </c>
      <c r="F374" s="442">
        <v>46</v>
      </c>
      <c r="G374" s="442">
        <v>5857</v>
      </c>
      <c r="H374" s="442" t="s">
        <v>648</v>
      </c>
      <c r="I374" s="442">
        <v>3</v>
      </c>
      <c r="J374" s="442">
        <v>918</v>
      </c>
      <c r="K374" s="442">
        <v>1</v>
      </c>
      <c r="L374" s="442" t="s">
        <v>648</v>
      </c>
      <c r="M374" s="442" t="s">
        <v>648</v>
      </c>
      <c r="N374" s="442">
        <v>2340</v>
      </c>
      <c r="O374" s="442" t="s">
        <v>648</v>
      </c>
      <c r="P374" s="442">
        <v>253</v>
      </c>
      <c r="Q374" s="442">
        <v>72</v>
      </c>
      <c r="R374" s="442" t="s">
        <v>648</v>
      </c>
      <c r="S374" s="442" t="s">
        <v>648</v>
      </c>
      <c r="T374" s="442">
        <v>1232</v>
      </c>
      <c r="U374" s="442">
        <v>890</v>
      </c>
      <c r="V374" s="442">
        <v>342</v>
      </c>
      <c r="W374" s="447" t="s">
        <v>674</v>
      </c>
    </row>
    <row r="375" spans="1:23" s="442" customFormat="1" ht="9.75" customHeight="1" x14ac:dyDescent="0.15">
      <c r="A375" s="950" t="s">
        <v>773</v>
      </c>
      <c r="B375" s="442">
        <v>7547</v>
      </c>
      <c r="C375" s="442" t="s">
        <v>648</v>
      </c>
      <c r="D375" s="442" t="s">
        <v>648</v>
      </c>
      <c r="E375" s="442" t="s">
        <v>648</v>
      </c>
      <c r="F375" s="442" t="s">
        <v>648</v>
      </c>
      <c r="G375" s="442">
        <v>4490</v>
      </c>
      <c r="H375" s="442" t="s">
        <v>648</v>
      </c>
      <c r="I375" s="442">
        <v>5</v>
      </c>
      <c r="J375" s="442">
        <v>165</v>
      </c>
      <c r="K375" s="442">
        <v>4</v>
      </c>
      <c r="L375" s="442" t="s">
        <v>648</v>
      </c>
      <c r="M375" s="442" t="s">
        <v>648</v>
      </c>
      <c r="N375" s="442">
        <v>2838</v>
      </c>
      <c r="O375" s="442" t="s">
        <v>648</v>
      </c>
      <c r="P375" s="442" t="s">
        <v>648</v>
      </c>
      <c r="Q375" s="442">
        <v>45</v>
      </c>
      <c r="R375" s="442" t="s">
        <v>648</v>
      </c>
      <c r="S375" s="442" t="s">
        <v>648</v>
      </c>
      <c r="T375" s="442">
        <v>1136</v>
      </c>
      <c r="U375" s="442">
        <v>828</v>
      </c>
      <c r="V375" s="442">
        <v>308</v>
      </c>
      <c r="W375" s="447" t="s">
        <v>92</v>
      </c>
    </row>
    <row r="376" spans="1:23" s="442" customFormat="1" ht="9.75" customHeight="1" x14ac:dyDescent="0.15">
      <c r="A376" s="950" t="s">
        <v>774</v>
      </c>
      <c r="B376" s="442">
        <v>6220</v>
      </c>
      <c r="C376" s="442" t="s">
        <v>648</v>
      </c>
      <c r="D376" s="442">
        <v>31</v>
      </c>
      <c r="E376" s="442" t="s">
        <v>648</v>
      </c>
      <c r="F376" s="442">
        <v>46</v>
      </c>
      <c r="G376" s="442">
        <v>3447</v>
      </c>
      <c r="H376" s="442" t="s">
        <v>648</v>
      </c>
      <c r="I376" s="442">
        <v>4</v>
      </c>
      <c r="J376" s="442">
        <v>593</v>
      </c>
      <c r="K376" s="442">
        <v>10</v>
      </c>
      <c r="L376" s="442" t="s">
        <v>648</v>
      </c>
      <c r="M376" s="442" t="s">
        <v>648</v>
      </c>
      <c r="N376" s="442">
        <v>1888</v>
      </c>
      <c r="O376" s="442" t="s">
        <v>648</v>
      </c>
      <c r="P376" s="442">
        <v>70</v>
      </c>
      <c r="Q376" s="442">
        <v>131</v>
      </c>
      <c r="R376" s="442" t="s">
        <v>648</v>
      </c>
      <c r="S376" s="442" t="s">
        <v>648</v>
      </c>
      <c r="T376" s="442">
        <v>1264</v>
      </c>
      <c r="U376" s="442">
        <v>1034</v>
      </c>
      <c r="V376" s="442">
        <v>230</v>
      </c>
      <c r="W376" s="447" t="s">
        <v>93</v>
      </c>
    </row>
    <row r="377" spans="1:23" s="442" customFormat="1" ht="9.75" customHeight="1" x14ac:dyDescent="0.15">
      <c r="A377" s="950" t="s">
        <v>801</v>
      </c>
      <c r="B377" s="442">
        <v>7353</v>
      </c>
      <c r="C377" s="442" t="s">
        <v>648</v>
      </c>
      <c r="D377" s="442" t="s">
        <v>648</v>
      </c>
      <c r="E377" s="442" t="s">
        <v>648</v>
      </c>
      <c r="F377" s="442">
        <v>69</v>
      </c>
      <c r="G377" s="442">
        <v>4088</v>
      </c>
      <c r="H377" s="442" t="s">
        <v>648</v>
      </c>
      <c r="I377" s="442" t="s">
        <v>648</v>
      </c>
      <c r="J377" s="442">
        <v>908</v>
      </c>
      <c r="K377" s="442">
        <v>3</v>
      </c>
      <c r="L377" s="442" t="s">
        <v>648</v>
      </c>
      <c r="M377" s="442" t="s">
        <v>648</v>
      </c>
      <c r="N377" s="442">
        <v>2155</v>
      </c>
      <c r="O377" s="442" t="s">
        <v>648</v>
      </c>
      <c r="P377" s="442">
        <v>94</v>
      </c>
      <c r="Q377" s="442">
        <v>36</v>
      </c>
      <c r="R377" s="442" t="s">
        <v>648</v>
      </c>
      <c r="S377" s="442" t="s">
        <v>648</v>
      </c>
      <c r="T377" s="442">
        <v>1322</v>
      </c>
      <c r="U377" s="442">
        <v>1082</v>
      </c>
      <c r="V377" s="442">
        <v>240</v>
      </c>
      <c r="W377" s="447" t="s">
        <v>94</v>
      </c>
    </row>
    <row r="378" spans="1:23" s="442" customFormat="1" ht="9.75" customHeight="1" x14ac:dyDescent="0.15">
      <c r="A378" s="950" t="s">
        <v>809</v>
      </c>
      <c r="B378" s="442">
        <v>6754</v>
      </c>
      <c r="C378" s="442">
        <v>15</v>
      </c>
      <c r="D378" s="442" t="s">
        <v>648</v>
      </c>
      <c r="E378" s="442" t="s">
        <v>648</v>
      </c>
      <c r="F378" s="442">
        <v>92</v>
      </c>
      <c r="G378" s="442">
        <v>3854</v>
      </c>
      <c r="H378" s="442" t="s">
        <v>648</v>
      </c>
      <c r="I378" s="442" t="s">
        <v>648</v>
      </c>
      <c r="J378" s="442">
        <v>705</v>
      </c>
      <c r="K378" s="442">
        <v>20</v>
      </c>
      <c r="L378" s="442" t="s">
        <v>648</v>
      </c>
      <c r="M378" s="442" t="s">
        <v>648</v>
      </c>
      <c r="N378" s="442">
        <v>1881</v>
      </c>
      <c r="O378" s="442" t="s">
        <v>648</v>
      </c>
      <c r="P378" s="442">
        <v>47</v>
      </c>
      <c r="Q378" s="442">
        <v>140</v>
      </c>
      <c r="R378" s="442" t="s">
        <v>648</v>
      </c>
      <c r="S378" s="442" t="s">
        <v>648</v>
      </c>
      <c r="T378" s="442">
        <v>979</v>
      </c>
      <c r="U378" s="442">
        <v>815</v>
      </c>
      <c r="V378" s="442">
        <v>164</v>
      </c>
      <c r="W378" s="447" t="s">
        <v>777</v>
      </c>
    </row>
    <row r="379" spans="1:23" s="442" customFormat="1" ht="6.75" customHeight="1" x14ac:dyDescent="0.15">
      <c r="A379" s="950"/>
      <c r="W379" s="447"/>
    </row>
    <row r="380" spans="1:23" s="442" customFormat="1" ht="9.75" customHeight="1" x14ac:dyDescent="0.15">
      <c r="A380" s="950" t="s">
        <v>778</v>
      </c>
      <c r="B380" s="442">
        <v>2300</v>
      </c>
      <c r="C380" s="442" t="s">
        <v>648</v>
      </c>
      <c r="D380" s="442">
        <v>16</v>
      </c>
      <c r="E380" s="442" t="s">
        <v>648</v>
      </c>
      <c r="F380" s="442">
        <v>23</v>
      </c>
      <c r="G380" s="442">
        <v>1502</v>
      </c>
      <c r="H380" s="442" t="s">
        <v>648</v>
      </c>
      <c r="I380" s="442" t="s">
        <v>648</v>
      </c>
      <c r="J380" s="442">
        <v>255</v>
      </c>
      <c r="K380" s="442">
        <v>1</v>
      </c>
      <c r="L380" s="442" t="s">
        <v>648</v>
      </c>
      <c r="M380" s="442" t="s">
        <v>648</v>
      </c>
      <c r="N380" s="442">
        <v>365</v>
      </c>
      <c r="O380" s="442" t="s">
        <v>648</v>
      </c>
      <c r="P380" s="442">
        <v>138</v>
      </c>
      <c r="Q380" s="442" t="s">
        <v>648</v>
      </c>
      <c r="R380" s="442" t="s">
        <v>648</v>
      </c>
      <c r="S380" s="442" t="s">
        <v>648</v>
      </c>
      <c r="T380" s="442">
        <v>363</v>
      </c>
      <c r="U380" s="442">
        <v>229</v>
      </c>
      <c r="V380" s="442">
        <v>134</v>
      </c>
      <c r="W380" s="447" t="s">
        <v>675</v>
      </c>
    </row>
    <row r="381" spans="1:23" s="442" customFormat="1" ht="9.75" customHeight="1" x14ac:dyDescent="0.15">
      <c r="A381" s="950" t="s">
        <v>779</v>
      </c>
      <c r="B381" s="442">
        <v>3791</v>
      </c>
      <c r="C381" s="442" t="s">
        <v>648</v>
      </c>
      <c r="D381" s="442" t="s">
        <v>648</v>
      </c>
      <c r="E381" s="442" t="s">
        <v>648</v>
      </c>
      <c r="F381" s="442">
        <v>23</v>
      </c>
      <c r="G381" s="442">
        <v>2140</v>
      </c>
      <c r="H381" s="442" t="s">
        <v>648</v>
      </c>
      <c r="I381" s="442">
        <v>1</v>
      </c>
      <c r="J381" s="442">
        <v>267</v>
      </c>
      <c r="K381" s="442" t="s">
        <v>648</v>
      </c>
      <c r="L381" s="442" t="s">
        <v>648</v>
      </c>
      <c r="M381" s="442" t="s">
        <v>648</v>
      </c>
      <c r="N381" s="442">
        <v>1242</v>
      </c>
      <c r="O381" s="442" t="s">
        <v>648</v>
      </c>
      <c r="P381" s="442">
        <v>46</v>
      </c>
      <c r="Q381" s="442">
        <v>72</v>
      </c>
      <c r="R381" s="442" t="s">
        <v>648</v>
      </c>
      <c r="S381" s="442" t="s">
        <v>648</v>
      </c>
      <c r="T381" s="442">
        <v>386</v>
      </c>
      <c r="U381" s="442">
        <v>280</v>
      </c>
      <c r="V381" s="442">
        <v>106</v>
      </c>
      <c r="W381" s="447" t="s">
        <v>80</v>
      </c>
    </row>
    <row r="382" spans="1:23" s="442" customFormat="1" ht="9.75" customHeight="1" x14ac:dyDescent="0.15">
      <c r="A382" s="950" t="s">
        <v>780</v>
      </c>
      <c r="B382" s="442">
        <v>3415</v>
      </c>
      <c r="C382" s="442" t="s">
        <v>648</v>
      </c>
      <c r="D382" s="442" t="s">
        <v>648</v>
      </c>
      <c r="E382" s="442" t="s">
        <v>648</v>
      </c>
      <c r="F382" s="442" t="s">
        <v>648</v>
      </c>
      <c r="G382" s="442">
        <v>2215</v>
      </c>
      <c r="H382" s="442" t="s">
        <v>648</v>
      </c>
      <c r="I382" s="442">
        <v>2</v>
      </c>
      <c r="J382" s="442">
        <v>396</v>
      </c>
      <c r="K382" s="442" t="s">
        <v>648</v>
      </c>
      <c r="L382" s="442" t="s">
        <v>648</v>
      </c>
      <c r="M382" s="442" t="s">
        <v>648</v>
      </c>
      <c r="N382" s="442">
        <v>733</v>
      </c>
      <c r="O382" s="442" t="s">
        <v>648</v>
      </c>
      <c r="P382" s="442">
        <v>69</v>
      </c>
      <c r="Q382" s="442" t="s">
        <v>648</v>
      </c>
      <c r="R382" s="442" t="s">
        <v>648</v>
      </c>
      <c r="S382" s="442" t="s">
        <v>648</v>
      </c>
      <c r="T382" s="442">
        <v>483</v>
      </c>
      <c r="U382" s="442">
        <v>381</v>
      </c>
      <c r="V382" s="442">
        <v>102</v>
      </c>
      <c r="W382" s="447" t="s">
        <v>81</v>
      </c>
    </row>
    <row r="383" spans="1:23" s="442" customFormat="1" ht="9.75" customHeight="1" x14ac:dyDescent="0.15">
      <c r="A383" s="950" t="s">
        <v>1152</v>
      </c>
      <c r="B383" s="442">
        <v>3226</v>
      </c>
      <c r="C383" s="442" t="s">
        <v>648</v>
      </c>
      <c r="D383" s="442" t="s">
        <v>648</v>
      </c>
      <c r="E383" s="442" t="s">
        <v>648</v>
      </c>
      <c r="F383" s="442" t="s">
        <v>648</v>
      </c>
      <c r="G383" s="442">
        <v>1925</v>
      </c>
      <c r="H383" s="442" t="s">
        <v>648</v>
      </c>
      <c r="I383" s="442">
        <v>2</v>
      </c>
      <c r="J383" s="442">
        <v>8</v>
      </c>
      <c r="K383" s="442">
        <v>4</v>
      </c>
      <c r="L383" s="442" t="s">
        <v>648</v>
      </c>
      <c r="M383" s="442" t="s">
        <v>648</v>
      </c>
      <c r="N383" s="442">
        <v>1250</v>
      </c>
      <c r="O383" s="442" t="s">
        <v>648</v>
      </c>
      <c r="P383" s="442" t="s">
        <v>648</v>
      </c>
      <c r="Q383" s="442">
        <v>37</v>
      </c>
      <c r="R383" s="442" t="s">
        <v>648</v>
      </c>
      <c r="S383" s="442" t="s">
        <v>648</v>
      </c>
      <c r="T383" s="442">
        <v>362</v>
      </c>
      <c r="U383" s="442">
        <v>218</v>
      </c>
      <c r="V383" s="442">
        <v>144</v>
      </c>
      <c r="W383" s="447" t="s">
        <v>82</v>
      </c>
    </row>
    <row r="384" spans="1:23" s="442" customFormat="1" ht="9.75" customHeight="1" x14ac:dyDescent="0.15">
      <c r="A384" s="950" t="s">
        <v>1153</v>
      </c>
      <c r="B384" s="442">
        <v>1657</v>
      </c>
      <c r="C384" s="442" t="s">
        <v>648</v>
      </c>
      <c r="D384" s="442" t="s">
        <v>648</v>
      </c>
      <c r="E384" s="442" t="s">
        <v>648</v>
      </c>
      <c r="F384" s="442" t="s">
        <v>648</v>
      </c>
      <c r="G384" s="442">
        <v>940</v>
      </c>
      <c r="H384" s="442" t="s">
        <v>648</v>
      </c>
      <c r="I384" s="442">
        <v>1</v>
      </c>
      <c r="J384" s="442">
        <v>3</v>
      </c>
      <c r="K384" s="442" t="s">
        <v>648</v>
      </c>
      <c r="L384" s="442" t="s">
        <v>648</v>
      </c>
      <c r="M384" s="442" t="s">
        <v>648</v>
      </c>
      <c r="N384" s="442">
        <v>705</v>
      </c>
      <c r="O384" s="442" t="s">
        <v>648</v>
      </c>
      <c r="P384" s="442" t="s">
        <v>648</v>
      </c>
      <c r="Q384" s="442">
        <v>8</v>
      </c>
      <c r="R384" s="442" t="s">
        <v>648</v>
      </c>
      <c r="S384" s="442" t="s">
        <v>648</v>
      </c>
      <c r="T384" s="442">
        <v>330</v>
      </c>
      <c r="U384" s="442">
        <v>237</v>
      </c>
      <c r="V384" s="442">
        <v>93</v>
      </c>
      <c r="W384" s="447" t="s">
        <v>95</v>
      </c>
    </row>
    <row r="385" spans="1:23" s="442" customFormat="1" ht="9.75" customHeight="1" x14ac:dyDescent="0.15">
      <c r="A385" s="950" t="s">
        <v>783</v>
      </c>
      <c r="B385" s="442">
        <v>2664</v>
      </c>
      <c r="C385" s="442" t="s">
        <v>648</v>
      </c>
      <c r="D385" s="442" t="s">
        <v>648</v>
      </c>
      <c r="E385" s="442" t="s">
        <v>648</v>
      </c>
      <c r="F385" s="442" t="s">
        <v>648</v>
      </c>
      <c r="G385" s="442">
        <v>1625</v>
      </c>
      <c r="H385" s="442" t="s">
        <v>648</v>
      </c>
      <c r="I385" s="442">
        <v>2</v>
      </c>
      <c r="J385" s="442">
        <v>154</v>
      </c>
      <c r="K385" s="442" t="s">
        <v>648</v>
      </c>
      <c r="L385" s="442" t="s">
        <v>648</v>
      </c>
      <c r="M385" s="442" t="s">
        <v>648</v>
      </c>
      <c r="N385" s="442">
        <v>883</v>
      </c>
      <c r="O385" s="442" t="s">
        <v>648</v>
      </c>
      <c r="P385" s="442" t="s">
        <v>648</v>
      </c>
      <c r="Q385" s="442" t="s">
        <v>648</v>
      </c>
      <c r="R385" s="442" t="s">
        <v>648</v>
      </c>
      <c r="S385" s="442" t="s">
        <v>648</v>
      </c>
      <c r="T385" s="442">
        <v>444</v>
      </c>
      <c r="U385" s="442">
        <v>373</v>
      </c>
      <c r="V385" s="442">
        <v>71</v>
      </c>
      <c r="W385" s="447" t="s">
        <v>96</v>
      </c>
    </row>
    <row r="386" spans="1:23" s="442" customFormat="1" ht="9.75" customHeight="1" x14ac:dyDescent="0.15">
      <c r="A386" s="950" t="s">
        <v>784</v>
      </c>
      <c r="B386" s="442">
        <v>2514</v>
      </c>
      <c r="C386" s="442" t="s">
        <v>648</v>
      </c>
      <c r="D386" s="442">
        <v>31</v>
      </c>
      <c r="E386" s="442" t="s">
        <v>648</v>
      </c>
      <c r="F386" s="442" t="s">
        <v>648</v>
      </c>
      <c r="G386" s="442">
        <v>1359</v>
      </c>
      <c r="H386" s="442" t="s">
        <v>648</v>
      </c>
      <c r="I386" s="442">
        <v>4</v>
      </c>
      <c r="J386" s="442">
        <v>176</v>
      </c>
      <c r="K386" s="442">
        <v>10</v>
      </c>
      <c r="L386" s="442" t="s">
        <v>648</v>
      </c>
      <c r="M386" s="442" t="s">
        <v>648</v>
      </c>
      <c r="N386" s="442">
        <v>894</v>
      </c>
      <c r="O386" s="442" t="s">
        <v>648</v>
      </c>
      <c r="P386" s="442">
        <v>23</v>
      </c>
      <c r="Q386" s="442">
        <v>17</v>
      </c>
      <c r="R386" s="442" t="s">
        <v>648</v>
      </c>
      <c r="S386" s="442" t="s">
        <v>648</v>
      </c>
      <c r="T386" s="442">
        <v>226</v>
      </c>
      <c r="U386" s="442">
        <v>182</v>
      </c>
      <c r="V386" s="442">
        <v>44</v>
      </c>
      <c r="W386" s="447" t="s">
        <v>97</v>
      </c>
    </row>
    <row r="387" spans="1:23" s="442" customFormat="1" ht="9.75" customHeight="1" x14ac:dyDescent="0.15">
      <c r="A387" s="950" t="s">
        <v>806</v>
      </c>
      <c r="B387" s="442">
        <v>1633</v>
      </c>
      <c r="C387" s="442" t="s">
        <v>648</v>
      </c>
      <c r="D387" s="442" t="s">
        <v>648</v>
      </c>
      <c r="E387" s="442" t="s">
        <v>648</v>
      </c>
      <c r="F387" s="442">
        <v>23</v>
      </c>
      <c r="G387" s="442">
        <v>975</v>
      </c>
      <c r="H387" s="442" t="s">
        <v>648</v>
      </c>
      <c r="I387" s="442" t="s">
        <v>648</v>
      </c>
      <c r="J387" s="442">
        <v>204</v>
      </c>
      <c r="K387" s="442" t="s">
        <v>648</v>
      </c>
      <c r="L387" s="442" t="s">
        <v>648</v>
      </c>
      <c r="M387" s="442" t="s">
        <v>648</v>
      </c>
      <c r="N387" s="442">
        <v>407</v>
      </c>
      <c r="O387" s="442" t="s">
        <v>648</v>
      </c>
      <c r="P387" s="442">
        <v>24</v>
      </c>
      <c r="Q387" s="442" t="s">
        <v>648</v>
      </c>
      <c r="R387" s="442" t="s">
        <v>648</v>
      </c>
      <c r="S387" s="442" t="s">
        <v>648</v>
      </c>
      <c r="T387" s="442">
        <v>515</v>
      </c>
      <c r="U387" s="442">
        <v>437</v>
      </c>
      <c r="V387" s="442">
        <v>78</v>
      </c>
      <c r="W387" s="447" t="s">
        <v>98</v>
      </c>
    </row>
    <row r="388" spans="1:23" s="442" customFormat="1" ht="9.75" customHeight="1" x14ac:dyDescent="0.15">
      <c r="A388" s="950" t="s">
        <v>786</v>
      </c>
      <c r="B388" s="442">
        <v>2073</v>
      </c>
      <c r="C388" s="442" t="s">
        <v>648</v>
      </c>
      <c r="D388" s="442" t="s">
        <v>648</v>
      </c>
      <c r="E388" s="442" t="s">
        <v>648</v>
      </c>
      <c r="F388" s="442">
        <v>23</v>
      </c>
      <c r="G388" s="442">
        <v>1113</v>
      </c>
      <c r="H388" s="442" t="s">
        <v>648</v>
      </c>
      <c r="I388" s="442" t="s">
        <v>648</v>
      </c>
      <c r="J388" s="442">
        <v>213</v>
      </c>
      <c r="K388" s="442" t="s">
        <v>648</v>
      </c>
      <c r="L388" s="442" t="s">
        <v>648</v>
      </c>
      <c r="M388" s="442" t="s">
        <v>648</v>
      </c>
      <c r="N388" s="442">
        <v>587</v>
      </c>
      <c r="O388" s="442" t="s">
        <v>648</v>
      </c>
      <c r="P388" s="442">
        <v>23</v>
      </c>
      <c r="Q388" s="442">
        <v>114</v>
      </c>
      <c r="R388" s="442" t="s">
        <v>648</v>
      </c>
      <c r="S388" s="442" t="s">
        <v>648</v>
      </c>
      <c r="T388" s="442">
        <v>523</v>
      </c>
      <c r="U388" s="442">
        <v>415</v>
      </c>
      <c r="V388" s="442">
        <v>108</v>
      </c>
      <c r="W388" s="447" t="s">
        <v>99</v>
      </c>
    </row>
    <row r="389" spans="1:23" s="442" customFormat="1" ht="9.75" customHeight="1" x14ac:dyDescent="0.15">
      <c r="A389" s="950" t="s">
        <v>807</v>
      </c>
      <c r="B389" s="442">
        <v>2202</v>
      </c>
      <c r="C389" s="442" t="s">
        <v>648</v>
      </c>
      <c r="D389" s="442" t="s">
        <v>648</v>
      </c>
      <c r="E389" s="442" t="s">
        <v>648</v>
      </c>
      <c r="F389" s="442">
        <v>46</v>
      </c>
      <c r="G389" s="442">
        <v>1381</v>
      </c>
      <c r="H389" s="442" t="s">
        <v>648</v>
      </c>
      <c r="I389" s="442" t="s">
        <v>648</v>
      </c>
      <c r="J389" s="442">
        <v>345</v>
      </c>
      <c r="K389" s="442" t="s">
        <v>648</v>
      </c>
      <c r="L389" s="442" t="s">
        <v>648</v>
      </c>
      <c r="M389" s="442" t="s">
        <v>648</v>
      </c>
      <c r="N389" s="442">
        <v>369</v>
      </c>
      <c r="O389" s="442" t="s">
        <v>648</v>
      </c>
      <c r="P389" s="442">
        <v>46</v>
      </c>
      <c r="Q389" s="442">
        <v>15</v>
      </c>
      <c r="R389" s="442" t="s">
        <v>648</v>
      </c>
      <c r="S389" s="442" t="s">
        <v>648</v>
      </c>
      <c r="T389" s="442">
        <v>512</v>
      </c>
      <c r="U389" s="442">
        <v>449</v>
      </c>
      <c r="V389" s="442">
        <v>63</v>
      </c>
      <c r="W389" s="447" t="s">
        <v>83</v>
      </c>
    </row>
    <row r="390" spans="1:23" s="442" customFormat="1" ht="9.75" customHeight="1" x14ac:dyDescent="0.15">
      <c r="A390" s="950" t="s">
        <v>788</v>
      </c>
      <c r="B390" s="442">
        <v>2747</v>
      </c>
      <c r="C390" s="442" t="s">
        <v>648</v>
      </c>
      <c r="D390" s="442" t="s">
        <v>648</v>
      </c>
      <c r="E390" s="442" t="s">
        <v>648</v>
      </c>
      <c r="F390" s="442" t="s">
        <v>648</v>
      </c>
      <c r="G390" s="442">
        <v>1334</v>
      </c>
      <c r="H390" s="442" t="s">
        <v>648</v>
      </c>
      <c r="I390" s="442" t="s">
        <v>648</v>
      </c>
      <c r="J390" s="442">
        <v>256</v>
      </c>
      <c r="K390" s="442" t="s">
        <v>648</v>
      </c>
      <c r="L390" s="442" t="s">
        <v>648</v>
      </c>
      <c r="M390" s="442" t="s">
        <v>648</v>
      </c>
      <c r="N390" s="442">
        <v>1111</v>
      </c>
      <c r="O390" s="442" t="s">
        <v>648</v>
      </c>
      <c r="P390" s="442">
        <v>46</v>
      </c>
      <c r="Q390" s="442" t="s">
        <v>648</v>
      </c>
      <c r="R390" s="442" t="s">
        <v>648</v>
      </c>
      <c r="S390" s="442" t="s">
        <v>648</v>
      </c>
      <c r="T390" s="442">
        <v>528</v>
      </c>
      <c r="U390" s="442">
        <v>420</v>
      </c>
      <c r="V390" s="442">
        <v>108</v>
      </c>
      <c r="W390" s="447" t="s">
        <v>84</v>
      </c>
    </row>
    <row r="391" spans="1:23" s="442" customFormat="1" ht="9.75" customHeight="1" x14ac:dyDescent="0.15">
      <c r="A391" s="950" t="s">
        <v>789</v>
      </c>
      <c r="B391" s="442">
        <v>2404</v>
      </c>
      <c r="C391" s="442" t="s">
        <v>648</v>
      </c>
      <c r="D391" s="442" t="s">
        <v>648</v>
      </c>
      <c r="E391" s="442" t="s">
        <v>648</v>
      </c>
      <c r="F391" s="442">
        <v>23</v>
      </c>
      <c r="G391" s="442">
        <v>1373</v>
      </c>
      <c r="H391" s="442" t="s">
        <v>648</v>
      </c>
      <c r="I391" s="442" t="s">
        <v>648</v>
      </c>
      <c r="J391" s="442">
        <v>307</v>
      </c>
      <c r="K391" s="442">
        <v>3</v>
      </c>
      <c r="L391" s="442" t="s">
        <v>648</v>
      </c>
      <c r="M391" s="442" t="s">
        <v>648</v>
      </c>
      <c r="N391" s="442">
        <v>675</v>
      </c>
      <c r="O391" s="442" t="s">
        <v>648</v>
      </c>
      <c r="P391" s="442">
        <v>2</v>
      </c>
      <c r="Q391" s="442">
        <v>21</v>
      </c>
      <c r="R391" s="442" t="s">
        <v>648</v>
      </c>
      <c r="S391" s="442" t="s">
        <v>648</v>
      </c>
      <c r="T391" s="442">
        <v>282</v>
      </c>
      <c r="U391" s="442">
        <v>213</v>
      </c>
      <c r="V391" s="442">
        <v>69</v>
      </c>
      <c r="W391" s="447" t="s">
        <v>85</v>
      </c>
    </row>
    <row r="392" spans="1:23" s="442" customFormat="1" ht="9.75" customHeight="1" x14ac:dyDescent="0.15">
      <c r="A392" s="950" t="s">
        <v>1142</v>
      </c>
      <c r="B392" s="442">
        <v>1896</v>
      </c>
      <c r="C392" s="442" t="s">
        <v>648</v>
      </c>
      <c r="D392" s="442" t="s">
        <v>648</v>
      </c>
      <c r="E392" s="442" t="s">
        <v>648</v>
      </c>
      <c r="F392" s="442">
        <v>46</v>
      </c>
      <c r="G392" s="442">
        <v>1140</v>
      </c>
      <c r="H392" s="442" t="s">
        <v>648</v>
      </c>
      <c r="I392" s="442" t="s">
        <v>648</v>
      </c>
      <c r="J392" s="442">
        <v>229</v>
      </c>
      <c r="K392" s="442">
        <v>7</v>
      </c>
      <c r="L392" s="442" t="s">
        <v>648</v>
      </c>
      <c r="M392" s="442" t="s">
        <v>648</v>
      </c>
      <c r="N392" s="442">
        <v>473</v>
      </c>
      <c r="O392" s="442" t="s">
        <v>648</v>
      </c>
      <c r="P392" s="442">
        <v>1</v>
      </c>
      <c r="Q392" s="442" t="s">
        <v>648</v>
      </c>
      <c r="R392" s="442" t="s">
        <v>648</v>
      </c>
      <c r="S392" s="442" t="s">
        <v>648</v>
      </c>
      <c r="T392" s="442">
        <v>253</v>
      </c>
      <c r="U392" s="442">
        <v>199</v>
      </c>
      <c r="V392" s="442">
        <v>54</v>
      </c>
      <c r="W392" s="447" t="s">
        <v>791</v>
      </c>
    </row>
    <row r="393" spans="1:23" s="442" customFormat="1" ht="9.75" customHeight="1" x14ac:dyDescent="0.15">
      <c r="A393" s="950" t="s">
        <v>792</v>
      </c>
      <c r="B393" s="442">
        <v>2456</v>
      </c>
      <c r="C393" s="442" t="s">
        <v>648</v>
      </c>
      <c r="D393" s="442" t="s">
        <v>648</v>
      </c>
      <c r="E393" s="442" t="s">
        <v>648</v>
      </c>
      <c r="F393" s="442">
        <v>46</v>
      </c>
      <c r="G393" s="442">
        <v>1502</v>
      </c>
      <c r="H393" s="442" t="s">
        <v>648</v>
      </c>
      <c r="I393" s="442" t="s">
        <v>648</v>
      </c>
      <c r="J393" s="442">
        <v>128</v>
      </c>
      <c r="K393" s="442">
        <v>7</v>
      </c>
      <c r="L393" s="442" t="s">
        <v>648</v>
      </c>
      <c r="M393" s="442" t="s">
        <v>648</v>
      </c>
      <c r="N393" s="442">
        <v>703</v>
      </c>
      <c r="O393" s="442" t="s">
        <v>648</v>
      </c>
      <c r="P393" s="442">
        <v>46</v>
      </c>
      <c r="Q393" s="442">
        <v>24</v>
      </c>
      <c r="R393" s="442" t="s">
        <v>648</v>
      </c>
      <c r="S393" s="442" t="s">
        <v>648</v>
      </c>
      <c r="T393" s="442">
        <v>263</v>
      </c>
      <c r="U393" s="442">
        <v>205</v>
      </c>
      <c r="V393" s="442">
        <v>58</v>
      </c>
      <c r="W393" s="447" t="s">
        <v>80</v>
      </c>
    </row>
    <row r="394" spans="1:23" s="442" customFormat="1" ht="9.75" customHeight="1" x14ac:dyDescent="0.15">
      <c r="A394" s="951" t="s">
        <v>793</v>
      </c>
      <c r="B394" s="446">
        <v>2402</v>
      </c>
      <c r="C394" s="445">
        <v>15</v>
      </c>
      <c r="D394" s="445" t="s">
        <v>648</v>
      </c>
      <c r="E394" s="445" t="s">
        <v>648</v>
      </c>
      <c r="F394" s="445" t="s">
        <v>648</v>
      </c>
      <c r="G394" s="445">
        <v>1212</v>
      </c>
      <c r="H394" s="445" t="s">
        <v>648</v>
      </c>
      <c r="I394" s="445" t="s">
        <v>648</v>
      </c>
      <c r="J394" s="445">
        <v>348</v>
      </c>
      <c r="K394" s="445">
        <v>6</v>
      </c>
      <c r="L394" s="445" t="s">
        <v>648</v>
      </c>
      <c r="M394" s="445" t="s">
        <v>648</v>
      </c>
      <c r="N394" s="445">
        <v>705</v>
      </c>
      <c r="O394" s="445" t="s">
        <v>648</v>
      </c>
      <c r="P394" s="445" t="s">
        <v>648</v>
      </c>
      <c r="Q394" s="445">
        <v>116</v>
      </c>
      <c r="R394" s="445" t="s">
        <v>648</v>
      </c>
      <c r="S394" s="445" t="s">
        <v>648</v>
      </c>
      <c r="T394" s="445">
        <v>463</v>
      </c>
      <c r="U394" s="445">
        <v>411</v>
      </c>
      <c r="V394" s="445">
        <v>52</v>
      </c>
      <c r="W394" s="443" t="s">
        <v>81</v>
      </c>
    </row>
    <row r="395" spans="1:23" ht="12" customHeight="1" x14ac:dyDescent="0.2"/>
    <row r="396" spans="1:23" ht="12" customHeight="1" x14ac:dyDescent="0.2"/>
    <row r="397" spans="1:23" ht="12" customHeight="1" x14ac:dyDescent="0.2">
      <c r="K397" s="457" t="s">
        <v>100</v>
      </c>
    </row>
    <row r="398" spans="1:23" s="453" customFormat="1" ht="21" customHeight="1" x14ac:dyDescent="0.2">
      <c r="A398" s="1089" t="s">
        <v>194</v>
      </c>
      <c r="B398" s="456" t="s">
        <v>321</v>
      </c>
      <c r="C398" s="455"/>
      <c r="D398" s="455"/>
      <c r="E398" s="455"/>
      <c r="F398" s="455"/>
      <c r="G398" s="455"/>
      <c r="H398" s="455"/>
      <c r="I398" s="455"/>
      <c r="J398" s="455"/>
      <c r="K398" s="455"/>
      <c r="L398" s="455"/>
      <c r="M398" s="455"/>
      <c r="N398" s="455"/>
      <c r="O398" s="455"/>
      <c r="P398" s="455"/>
      <c r="Q398" s="455"/>
      <c r="R398" s="455"/>
      <c r="S398" s="917"/>
      <c r="T398" s="461" t="s">
        <v>320</v>
      </c>
      <c r="U398" s="455"/>
      <c r="V398" s="455"/>
      <c r="W398" s="1092" t="s">
        <v>86</v>
      </c>
    </row>
    <row r="399" spans="1:23" s="453" customFormat="1" ht="21" customHeight="1" x14ac:dyDescent="0.2">
      <c r="A399" s="1090"/>
      <c r="B399" s="1015" t="s">
        <v>1102</v>
      </c>
      <c r="C399" s="918" t="s">
        <v>287</v>
      </c>
      <c r="D399" s="455"/>
      <c r="E399" s="455"/>
      <c r="F399" s="455"/>
      <c r="G399" s="455"/>
      <c r="H399" s="455"/>
      <c r="I399" s="455"/>
      <c r="J399" s="917"/>
      <c r="K399" s="918" t="s">
        <v>271</v>
      </c>
      <c r="L399" s="455"/>
      <c r="M399" s="455"/>
      <c r="N399" s="917"/>
      <c r="O399" s="918" t="s">
        <v>270</v>
      </c>
      <c r="P399" s="455"/>
      <c r="Q399" s="917"/>
      <c r="R399" s="918" t="s">
        <v>1135</v>
      </c>
      <c r="S399" s="917"/>
      <c r="T399" s="1095" t="s">
        <v>319</v>
      </c>
      <c r="U399" s="918" t="s">
        <v>297</v>
      </c>
      <c r="V399" s="455"/>
      <c r="W399" s="1093"/>
    </row>
    <row r="400" spans="1:23" s="453" customFormat="1" ht="52.5" customHeight="1" x14ac:dyDescent="0.2">
      <c r="A400" s="1091"/>
      <c r="B400" s="454" t="s">
        <v>636</v>
      </c>
      <c r="C400" s="920" t="s">
        <v>1090</v>
      </c>
      <c r="D400" s="454" t="s">
        <v>358</v>
      </c>
      <c r="E400" s="454" t="s">
        <v>357</v>
      </c>
      <c r="F400" s="454" t="s">
        <v>273</v>
      </c>
      <c r="G400" s="454" t="s">
        <v>514</v>
      </c>
      <c r="H400" s="454" t="s">
        <v>356</v>
      </c>
      <c r="I400" s="454" t="s">
        <v>269</v>
      </c>
      <c r="J400" s="454" t="s">
        <v>291</v>
      </c>
      <c r="K400" s="920" t="s">
        <v>1092</v>
      </c>
      <c r="L400" s="454" t="s">
        <v>1154</v>
      </c>
      <c r="M400" s="459" t="s">
        <v>712</v>
      </c>
      <c r="N400" s="454" t="s">
        <v>1093</v>
      </c>
      <c r="O400" s="920" t="s">
        <v>1094</v>
      </c>
      <c r="P400" s="454" t="s">
        <v>263</v>
      </c>
      <c r="Q400" s="454" t="s">
        <v>1095</v>
      </c>
      <c r="R400" s="920" t="s">
        <v>353</v>
      </c>
      <c r="S400" s="454" t="s">
        <v>352</v>
      </c>
      <c r="T400" s="1096"/>
      <c r="U400" s="920" t="s">
        <v>1096</v>
      </c>
      <c r="V400" s="458" t="s">
        <v>286</v>
      </c>
      <c r="W400" s="1094"/>
    </row>
    <row r="401" spans="1:23" s="442" customFormat="1" ht="9.75" customHeight="1" x14ac:dyDescent="0.15">
      <c r="A401" s="949" t="s">
        <v>763</v>
      </c>
      <c r="B401" s="452" t="s">
        <v>648</v>
      </c>
      <c r="C401" s="451">
        <v>1449</v>
      </c>
      <c r="D401" s="451">
        <v>8</v>
      </c>
      <c r="E401" s="451" t="s">
        <v>648</v>
      </c>
      <c r="F401" s="451">
        <v>312</v>
      </c>
      <c r="G401" s="451" t="s">
        <v>648</v>
      </c>
      <c r="H401" s="451">
        <v>10</v>
      </c>
      <c r="I401" s="451">
        <v>1006</v>
      </c>
      <c r="J401" s="451">
        <v>113</v>
      </c>
      <c r="K401" s="451">
        <v>576</v>
      </c>
      <c r="L401" s="451">
        <v>80</v>
      </c>
      <c r="M401" s="451" t="s">
        <v>648</v>
      </c>
      <c r="N401" s="451">
        <v>496</v>
      </c>
      <c r="O401" s="451">
        <v>1982</v>
      </c>
      <c r="P401" s="451">
        <v>1601</v>
      </c>
      <c r="Q401" s="451">
        <v>381</v>
      </c>
      <c r="R401" s="451">
        <v>7358</v>
      </c>
      <c r="S401" s="451">
        <v>7358</v>
      </c>
      <c r="T401" s="451">
        <v>79259</v>
      </c>
      <c r="U401" s="451">
        <v>79259</v>
      </c>
      <c r="V401" s="451" t="s">
        <v>648</v>
      </c>
      <c r="W401" s="449" t="s">
        <v>464</v>
      </c>
    </row>
    <row r="402" spans="1:23" s="442" customFormat="1" ht="9.75" customHeight="1" x14ac:dyDescent="0.15">
      <c r="A402" s="950" t="s">
        <v>764</v>
      </c>
      <c r="B402" s="442" t="s">
        <v>648</v>
      </c>
      <c r="C402" s="442">
        <v>1534</v>
      </c>
      <c r="D402" s="442">
        <v>8</v>
      </c>
      <c r="E402" s="442" t="s">
        <v>648</v>
      </c>
      <c r="F402" s="442">
        <v>364</v>
      </c>
      <c r="G402" s="442">
        <v>1</v>
      </c>
      <c r="H402" s="442" t="s">
        <v>648</v>
      </c>
      <c r="I402" s="442">
        <v>985</v>
      </c>
      <c r="J402" s="442">
        <v>176</v>
      </c>
      <c r="K402" s="442">
        <v>773</v>
      </c>
      <c r="L402" s="442">
        <v>58</v>
      </c>
      <c r="M402" s="442" t="s">
        <v>648</v>
      </c>
      <c r="N402" s="442">
        <v>715</v>
      </c>
      <c r="O402" s="442">
        <v>1196</v>
      </c>
      <c r="P402" s="442">
        <v>722</v>
      </c>
      <c r="Q402" s="442">
        <v>474</v>
      </c>
      <c r="R402" s="442">
        <v>5828</v>
      </c>
      <c r="S402" s="442">
        <v>5828</v>
      </c>
      <c r="T402" s="442">
        <v>86688</v>
      </c>
      <c r="U402" s="442">
        <v>86688</v>
      </c>
      <c r="V402" s="442">
        <v>9002</v>
      </c>
      <c r="W402" s="447" t="s">
        <v>489</v>
      </c>
    </row>
    <row r="403" spans="1:23" s="442" customFormat="1" ht="9.75" customHeight="1" x14ac:dyDescent="0.15">
      <c r="A403" s="950" t="s">
        <v>765</v>
      </c>
      <c r="B403" s="442">
        <v>1</v>
      </c>
      <c r="C403" s="442">
        <v>961</v>
      </c>
      <c r="D403" s="442">
        <v>16</v>
      </c>
      <c r="E403" s="442" t="s">
        <v>648</v>
      </c>
      <c r="F403" s="442">
        <v>66</v>
      </c>
      <c r="G403" s="442" t="s">
        <v>648</v>
      </c>
      <c r="H403" s="442">
        <v>5</v>
      </c>
      <c r="I403" s="442">
        <v>576</v>
      </c>
      <c r="J403" s="442">
        <v>298</v>
      </c>
      <c r="K403" s="442">
        <v>663</v>
      </c>
      <c r="L403" s="442">
        <v>12</v>
      </c>
      <c r="M403" s="442" t="s">
        <v>648</v>
      </c>
      <c r="N403" s="442">
        <v>651</v>
      </c>
      <c r="O403" s="442">
        <v>1194</v>
      </c>
      <c r="P403" s="442">
        <v>718</v>
      </c>
      <c r="Q403" s="442">
        <v>476</v>
      </c>
      <c r="R403" s="442">
        <v>3409</v>
      </c>
      <c r="S403" s="442">
        <v>3409</v>
      </c>
      <c r="T403" s="442">
        <v>59956</v>
      </c>
      <c r="U403" s="442">
        <v>59956</v>
      </c>
      <c r="V403" s="442" t="s">
        <v>648</v>
      </c>
      <c r="W403" s="447" t="s">
        <v>549</v>
      </c>
    </row>
    <row r="404" spans="1:23" s="442" customFormat="1" ht="9.75" customHeight="1" x14ac:dyDescent="0.15">
      <c r="A404" s="950" t="s">
        <v>766</v>
      </c>
      <c r="B404" s="442" t="s">
        <v>648</v>
      </c>
      <c r="C404" s="442">
        <v>217</v>
      </c>
      <c r="D404" s="442" t="s">
        <v>648</v>
      </c>
      <c r="E404" s="442">
        <v>1</v>
      </c>
      <c r="F404" s="442">
        <v>1</v>
      </c>
      <c r="G404" s="442" t="s">
        <v>648</v>
      </c>
      <c r="H404" s="442" t="s">
        <v>648</v>
      </c>
      <c r="I404" s="442">
        <v>215</v>
      </c>
      <c r="J404" s="442" t="s">
        <v>648</v>
      </c>
      <c r="K404" s="442">
        <v>500</v>
      </c>
      <c r="L404" s="442">
        <v>32</v>
      </c>
      <c r="M404" s="442" t="s">
        <v>648</v>
      </c>
      <c r="N404" s="442">
        <v>468</v>
      </c>
      <c r="O404" s="442">
        <v>1225</v>
      </c>
      <c r="P404" s="442">
        <v>917</v>
      </c>
      <c r="Q404" s="442">
        <v>308</v>
      </c>
      <c r="R404" s="442">
        <v>2873</v>
      </c>
      <c r="S404" s="442">
        <v>2873</v>
      </c>
      <c r="T404" s="442">
        <v>23765</v>
      </c>
      <c r="U404" s="442">
        <v>23765</v>
      </c>
      <c r="V404" s="442" t="s">
        <v>648</v>
      </c>
      <c r="W404" s="447" t="s">
        <v>672</v>
      </c>
    </row>
    <row r="405" spans="1:23" s="442" customFormat="1" ht="9.75" customHeight="1" x14ac:dyDescent="0.15">
      <c r="A405" s="950" t="s">
        <v>767</v>
      </c>
      <c r="B405" s="442" t="s">
        <v>648</v>
      </c>
      <c r="C405" s="442">
        <v>454</v>
      </c>
      <c r="D405" s="442" t="s">
        <v>648</v>
      </c>
      <c r="E405" s="442" t="s">
        <v>648</v>
      </c>
      <c r="F405" s="442" t="s">
        <v>648</v>
      </c>
      <c r="G405" s="442" t="s">
        <v>648</v>
      </c>
      <c r="H405" s="442" t="s">
        <v>648</v>
      </c>
      <c r="I405" s="442">
        <v>454</v>
      </c>
      <c r="J405" s="442" t="s">
        <v>648</v>
      </c>
      <c r="K405" s="442">
        <v>367</v>
      </c>
      <c r="L405" s="442">
        <v>19</v>
      </c>
      <c r="M405" s="442" t="s">
        <v>648</v>
      </c>
      <c r="N405" s="442">
        <v>348</v>
      </c>
      <c r="O405" s="442">
        <v>871</v>
      </c>
      <c r="P405" s="442">
        <v>743</v>
      </c>
      <c r="Q405" s="442">
        <v>128</v>
      </c>
      <c r="R405" s="442">
        <v>2654</v>
      </c>
      <c r="S405" s="442">
        <v>2654</v>
      </c>
      <c r="T405" s="442">
        <v>14830</v>
      </c>
      <c r="U405" s="442">
        <v>14830</v>
      </c>
      <c r="V405" s="442" t="s">
        <v>648</v>
      </c>
      <c r="W405" s="447" t="s">
        <v>768</v>
      </c>
    </row>
    <row r="406" spans="1:23" s="442" customFormat="1" ht="6.75" customHeight="1" x14ac:dyDescent="0.15">
      <c r="A406" s="950"/>
      <c r="W406" s="447"/>
    </row>
    <row r="407" spans="1:23" s="442" customFormat="1" ht="9.75" customHeight="1" x14ac:dyDescent="0.15">
      <c r="A407" s="950" t="s">
        <v>799</v>
      </c>
      <c r="B407" s="442" t="s">
        <v>648</v>
      </c>
      <c r="C407" s="442">
        <v>290</v>
      </c>
      <c r="D407" s="442" t="s">
        <v>648</v>
      </c>
      <c r="E407" s="442">
        <v>1</v>
      </c>
      <c r="F407" s="442">
        <v>1</v>
      </c>
      <c r="G407" s="442" t="s">
        <v>648</v>
      </c>
      <c r="H407" s="442" t="s">
        <v>648</v>
      </c>
      <c r="I407" s="442">
        <v>288</v>
      </c>
      <c r="J407" s="442" t="s">
        <v>648</v>
      </c>
      <c r="K407" s="442">
        <v>403</v>
      </c>
      <c r="L407" s="442">
        <v>35</v>
      </c>
      <c r="M407" s="442" t="s">
        <v>648</v>
      </c>
      <c r="N407" s="442">
        <v>368</v>
      </c>
      <c r="O407" s="442">
        <v>1145</v>
      </c>
      <c r="P407" s="442">
        <v>821</v>
      </c>
      <c r="Q407" s="442">
        <v>324</v>
      </c>
      <c r="R407" s="442">
        <v>2864</v>
      </c>
      <c r="S407" s="442">
        <v>2864</v>
      </c>
      <c r="T407" s="442">
        <v>17765</v>
      </c>
      <c r="U407" s="442">
        <v>17765</v>
      </c>
      <c r="V407" s="442" t="s">
        <v>648</v>
      </c>
      <c r="W407" s="447" t="s">
        <v>673</v>
      </c>
    </row>
    <row r="408" spans="1:23" s="442" customFormat="1" ht="9.75" customHeight="1" x14ac:dyDescent="0.15">
      <c r="A408" s="950" t="s">
        <v>800</v>
      </c>
      <c r="B408" s="442" t="s">
        <v>648</v>
      </c>
      <c r="C408" s="442">
        <v>465</v>
      </c>
      <c r="D408" s="442" t="s">
        <v>648</v>
      </c>
      <c r="E408" s="442" t="s">
        <v>648</v>
      </c>
      <c r="F408" s="442" t="s">
        <v>648</v>
      </c>
      <c r="G408" s="442" t="s">
        <v>648</v>
      </c>
      <c r="H408" s="442" t="s">
        <v>648</v>
      </c>
      <c r="I408" s="442">
        <v>465</v>
      </c>
      <c r="J408" s="442" t="s">
        <v>648</v>
      </c>
      <c r="K408" s="442">
        <v>291</v>
      </c>
      <c r="L408" s="442">
        <v>28</v>
      </c>
      <c r="M408" s="442">
        <v>11</v>
      </c>
      <c r="N408" s="442">
        <v>252</v>
      </c>
      <c r="O408" s="442">
        <v>757</v>
      </c>
      <c r="P408" s="442">
        <v>725</v>
      </c>
      <c r="Q408" s="442">
        <v>32</v>
      </c>
      <c r="R408" s="442">
        <v>2736</v>
      </c>
      <c r="S408" s="442">
        <v>2736</v>
      </c>
      <c r="T408" s="442">
        <v>14830</v>
      </c>
      <c r="U408" s="442">
        <v>14830</v>
      </c>
      <c r="V408" s="442" t="s">
        <v>648</v>
      </c>
      <c r="W408" s="447" t="s">
        <v>771</v>
      </c>
    </row>
    <row r="409" spans="1:23" s="442" customFormat="1" ht="6.75" customHeight="1" x14ac:dyDescent="0.15">
      <c r="A409" s="950"/>
      <c r="W409" s="447"/>
    </row>
    <row r="410" spans="1:23" s="442" customFormat="1" ht="9.75" customHeight="1" x14ac:dyDescent="0.15">
      <c r="A410" s="950" t="s">
        <v>772</v>
      </c>
      <c r="B410" s="442" t="s">
        <v>648</v>
      </c>
      <c r="C410" s="442">
        <v>149</v>
      </c>
      <c r="D410" s="442" t="s">
        <v>648</v>
      </c>
      <c r="E410" s="442" t="s">
        <v>648</v>
      </c>
      <c r="F410" s="442" t="s">
        <v>648</v>
      </c>
      <c r="G410" s="442" t="s">
        <v>648</v>
      </c>
      <c r="H410" s="442" t="s">
        <v>648</v>
      </c>
      <c r="I410" s="442">
        <v>149</v>
      </c>
      <c r="J410" s="442" t="s">
        <v>648</v>
      </c>
      <c r="K410" s="442">
        <v>135</v>
      </c>
      <c r="L410" s="442">
        <v>7</v>
      </c>
      <c r="M410" s="442" t="s">
        <v>648</v>
      </c>
      <c r="N410" s="442">
        <v>128</v>
      </c>
      <c r="O410" s="442">
        <v>288</v>
      </c>
      <c r="P410" s="442">
        <v>192</v>
      </c>
      <c r="Q410" s="442">
        <v>96</v>
      </c>
      <c r="R410" s="442">
        <v>590</v>
      </c>
      <c r="S410" s="442">
        <v>590</v>
      </c>
      <c r="T410" s="442" t="s">
        <v>648</v>
      </c>
      <c r="U410" s="442" t="s">
        <v>648</v>
      </c>
      <c r="V410" s="442" t="s">
        <v>648</v>
      </c>
      <c r="W410" s="447" t="s">
        <v>674</v>
      </c>
    </row>
    <row r="411" spans="1:23" s="442" customFormat="1" ht="9.75" customHeight="1" x14ac:dyDescent="0.15">
      <c r="A411" s="950" t="s">
        <v>773</v>
      </c>
      <c r="B411" s="442" t="s">
        <v>648</v>
      </c>
      <c r="C411" s="442">
        <v>130</v>
      </c>
      <c r="D411" s="442" t="s">
        <v>648</v>
      </c>
      <c r="E411" s="442" t="s">
        <v>648</v>
      </c>
      <c r="F411" s="442" t="s">
        <v>648</v>
      </c>
      <c r="G411" s="442" t="s">
        <v>648</v>
      </c>
      <c r="H411" s="442" t="s">
        <v>648</v>
      </c>
      <c r="I411" s="442">
        <v>130</v>
      </c>
      <c r="J411" s="442" t="s">
        <v>648</v>
      </c>
      <c r="K411" s="442" t="s">
        <v>648</v>
      </c>
      <c r="L411" s="442" t="s">
        <v>648</v>
      </c>
      <c r="M411" s="442" t="s">
        <v>648</v>
      </c>
      <c r="N411" s="442" t="s">
        <v>648</v>
      </c>
      <c r="O411" s="442">
        <v>258</v>
      </c>
      <c r="P411" s="442">
        <v>226</v>
      </c>
      <c r="Q411" s="442">
        <v>32</v>
      </c>
      <c r="R411" s="442">
        <v>708</v>
      </c>
      <c r="S411" s="442">
        <v>708</v>
      </c>
      <c r="T411" s="442">
        <v>14830</v>
      </c>
      <c r="U411" s="442">
        <v>14830</v>
      </c>
      <c r="V411" s="442" t="s">
        <v>648</v>
      </c>
      <c r="W411" s="447" t="s">
        <v>92</v>
      </c>
    </row>
    <row r="412" spans="1:23" s="442" customFormat="1" ht="9.75" customHeight="1" x14ac:dyDescent="0.15">
      <c r="A412" s="950" t="s">
        <v>774</v>
      </c>
      <c r="B412" s="442" t="s">
        <v>648</v>
      </c>
      <c r="C412" s="442">
        <v>55</v>
      </c>
      <c r="D412" s="442" t="s">
        <v>648</v>
      </c>
      <c r="E412" s="442" t="s">
        <v>648</v>
      </c>
      <c r="F412" s="442" t="s">
        <v>648</v>
      </c>
      <c r="G412" s="442" t="s">
        <v>648</v>
      </c>
      <c r="H412" s="442" t="s">
        <v>648</v>
      </c>
      <c r="I412" s="442">
        <v>55</v>
      </c>
      <c r="J412" s="442" t="s">
        <v>648</v>
      </c>
      <c r="K412" s="442">
        <v>99</v>
      </c>
      <c r="L412" s="442" t="s">
        <v>648</v>
      </c>
      <c r="M412" s="442" t="s">
        <v>648</v>
      </c>
      <c r="N412" s="442">
        <v>99</v>
      </c>
      <c r="O412" s="442">
        <v>169</v>
      </c>
      <c r="P412" s="442">
        <v>169</v>
      </c>
      <c r="Q412" s="442" t="s">
        <v>648</v>
      </c>
      <c r="R412" s="442">
        <v>645</v>
      </c>
      <c r="S412" s="442">
        <v>645</v>
      </c>
      <c r="T412" s="442" t="s">
        <v>648</v>
      </c>
      <c r="U412" s="442" t="s">
        <v>648</v>
      </c>
      <c r="V412" s="442" t="s">
        <v>648</v>
      </c>
      <c r="W412" s="447" t="s">
        <v>93</v>
      </c>
    </row>
    <row r="413" spans="1:23" s="442" customFormat="1" ht="9.75" customHeight="1" x14ac:dyDescent="0.15">
      <c r="A413" s="950" t="s">
        <v>1155</v>
      </c>
      <c r="B413" s="442" t="s">
        <v>648</v>
      </c>
      <c r="C413" s="442">
        <v>120</v>
      </c>
      <c r="D413" s="442" t="s">
        <v>648</v>
      </c>
      <c r="E413" s="442" t="s">
        <v>648</v>
      </c>
      <c r="F413" s="442" t="s">
        <v>648</v>
      </c>
      <c r="G413" s="442" t="s">
        <v>648</v>
      </c>
      <c r="H413" s="442" t="s">
        <v>648</v>
      </c>
      <c r="I413" s="442">
        <v>120</v>
      </c>
      <c r="J413" s="442" t="s">
        <v>648</v>
      </c>
      <c r="K413" s="442">
        <v>133</v>
      </c>
      <c r="L413" s="442">
        <v>12</v>
      </c>
      <c r="M413" s="442" t="s">
        <v>648</v>
      </c>
      <c r="N413" s="442">
        <v>121</v>
      </c>
      <c r="O413" s="442">
        <v>156</v>
      </c>
      <c r="P413" s="442">
        <v>156</v>
      </c>
      <c r="Q413" s="442" t="s">
        <v>648</v>
      </c>
      <c r="R413" s="442">
        <v>711</v>
      </c>
      <c r="S413" s="442">
        <v>711</v>
      </c>
      <c r="T413" s="442" t="s">
        <v>648</v>
      </c>
      <c r="U413" s="442" t="s">
        <v>648</v>
      </c>
      <c r="V413" s="442" t="s">
        <v>648</v>
      </c>
      <c r="W413" s="447" t="s">
        <v>94</v>
      </c>
    </row>
    <row r="414" spans="1:23" s="442" customFormat="1" ht="9.75" customHeight="1" x14ac:dyDescent="0.15">
      <c r="A414" s="950" t="s">
        <v>809</v>
      </c>
      <c r="B414" s="442" t="s">
        <v>648</v>
      </c>
      <c r="C414" s="442">
        <v>160</v>
      </c>
      <c r="D414" s="442" t="s">
        <v>648</v>
      </c>
      <c r="E414" s="442" t="s">
        <v>648</v>
      </c>
      <c r="F414" s="442" t="s">
        <v>648</v>
      </c>
      <c r="G414" s="442" t="s">
        <v>648</v>
      </c>
      <c r="H414" s="442" t="s">
        <v>648</v>
      </c>
      <c r="I414" s="442">
        <v>160</v>
      </c>
      <c r="J414" s="442" t="s">
        <v>648</v>
      </c>
      <c r="K414" s="442">
        <v>59</v>
      </c>
      <c r="L414" s="442">
        <v>16</v>
      </c>
      <c r="M414" s="442">
        <v>11</v>
      </c>
      <c r="N414" s="442">
        <v>32</v>
      </c>
      <c r="O414" s="442">
        <v>174</v>
      </c>
      <c r="P414" s="442">
        <v>174</v>
      </c>
      <c r="Q414" s="442" t="s">
        <v>648</v>
      </c>
      <c r="R414" s="442">
        <v>672</v>
      </c>
      <c r="S414" s="442">
        <v>672</v>
      </c>
      <c r="T414" s="442" t="s">
        <v>648</v>
      </c>
      <c r="U414" s="442" t="s">
        <v>648</v>
      </c>
      <c r="V414" s="442" t="s">
        <v>648</v>
      </c>
      <c r="W414" s="447" t="s">
        <v>777</v>
      </c>
    </row>
    <row r="415" spans="1:23" s="442" customFormat="1" ht="6.75" customHeight="1" x14ac:dyDescent="0.15">
      <c r="A415" s="950"/>
      <c r="W415" s="447"/>
    </row>
    <row r="416" spans="1:23" s="442" customFormat="1" ht="9.75" customHeight="1" x14ac:dyDescent="0.15">
      <c r="A416" s="950" t="s">
        <v>778</v>
      </c>
      <c r="B416" s="442" t="s">
        <v>648</v>
      </c>
      <c r="C416" s="442">
        <v>65</v>
      </c>
      <c r="D416" s="442" t="s">
        <v>648</v>
      </c>
      <c r="E416" s="442" t="s">
        <v>648</v>
      </c>
      <c r="F416" s="442" t="s">
        <v>648</v>
      </c>
      <c r="G416" s="442" t="s">
        <v>648</v>
      </c>
      <c r="H416" s="442" t="s">
        <v>648</v>
      </c>
      <c r="I416" s="442">
        <v>65</v>
      </c>
      <c r="J416" s="442" t="s">
        <v>648</v>
      </c>
      <c r="K416" s="442">
        <v>96</v>
      </c>
      <c r="L416" s="442" t="s">
        <v>648</v>
      </c>
      <c r="M416" s="442" t="s">
        <v>648</v>
      </c>
      <c r="N416" s="442">
        <v>96</v>
      </c>
      <c r="O416" s="442">
        <v>84</v>
      </c>
      <c r="P416" s="442">
        <v>84</v>
      </c>
      <c r="Q416" s="442" t="s">
        <v>648</v>
      </c>
      <c r="R416" s="442">
        <v>249</v>
      </c>
      <c r="S416" s="442">
        <v>249</v>
      </c>
      <c r="T416" s="442" t="s">
        <v>648</v>
      </c>
      <c r="U416" s="442" t="s">
        <v>648</v>
      </c>
      <c r="V416" s="442" t="s">
        <v>648</v>
      </c>
      <c r="W416" s="447" t="s">
        <v>675</v>
      </c>
    </row>
    <row r="417" spans="1:23" s="442" customFormat="1" ht="9.75" customHeight="1" x14ac:dyDescent="0.15">
      <c r="A417" s="950" t="s">
        <v>779</v>
      </c>
      <c r="B417" s="442" t="s">
        <v>648</v>
      </c>
      <c r="C417" s="442">
        <v>32</v>
      </c>
      <c r="D417" s="442" t="s">
        <v>648</v>
      </c>
      <c r="E417" s="442" t="s">
        <v>648</v>
      </c>
      <c r="F417" s="442" t="s">
        <v>648</v>
      </c>
      <c r="G417" s="442" t="s">
        <v>648</v>
      </c>
      <c r="H417" s="442" t="s">
        <v>648</v>
      </c>
      <c r="I417" s="442">
        <v>32</v>
      </c>
      <c r="J417" s="442" t="s">
        <v>648</v>
      </c>
      <c r="K417" s="442" t="s">
        <v>648</v>
      </c>
      <c r="L417" s="442" t="s">
        <v>648</v>
      </c>
      <c r="M417" s="442" t="s">
        <v>648</v>
      </c>
      <c r="N417" s="442" t="s">
        <v>648</v>
      </c>
      <c r="O417" s="442">
        <v>108</v>
      </c>
      <c r="P417" s="442">
        <v>44</v>
      </c>
      <c r="Q417" s="442">
        <v>64</v>
      </c>
      <c r="R417" s="442">
        <v>179</v>
      </c>
      <c r="S417" s="442">
        <v>179</v>
      </c>
      <c r="T417" s="442" t="s">
        <v>648</v>
      </c>
      <c r="U417" s="442" t="s">
        <v>648</v>
      </c>
      <c r="V417" s="442" t="s">
        <v>648</v>
      </c>
      <c r="W417" s="447" t="s">
        <v>80</v>
      </c>
    </row>
    <row r="418" spans="1:23" s="442" customFormat="1" ht="9.75" customHeight="1" x14ac:dyDescent="0.15">
      <c r="A418" s="950" t="s">
        <v>780</v>
      </c>
      <c r="B418" s="442" t="s">
        <v>648</v>
      </c>
      <c r="C418" s="442">
        <v>52</v>
      </c>
      <c r="D418" s="442" t="s">
        <v>648</v>
      </c>
      <c r="E418" s="442" t="s">
        <v>648</v>
      </c>
      <c r="F418" s="442" t="s">
        <v>648</v>
      </c>
      <c r="G418" s="442" t="s">
        <v>648</v>
      </c>
      <c r="H418" s="442" t="s">
        <v>648</v>
      </c>
      <c r="I418" s="442">
        <v>52</v>
      </c>
      <c r="J418" s="442" t="s">
        <v>648</v>
      </c>
      <c r="K418" s="442">
        <v>39</v>
      </c>
      <c r="L418" s="442">
        <v>7</v>
      </c>
      <c r="M418" s="442" t="s">
        <v>648</v>
      </c>
      <c r="N418" s="442">
        <v>32</v>
      </c>
      <c r="O418" s="442">
        <v>96</v>
      </c>
      <c r="P418" s="442">
        <v>64</v>
      </c>
      <c r="Q418" s="442">
        <v>32</v>
      </c>
      <c r="R418" s="442">
        <v>162</v>
      </c>
      <c r="S418" s="442">
        <v>162</v>
      </c>
      <c r="T418" s="442" t="s">
        <v>648</v>
      </c>
      <c r="U418" s="442" t="s">
        <v>648</v>
      </c>
      <c r="V418" s="442" t="s">
        <v>648</v>
      </c>
      <c r="W418" s="447" t="s">
        <v>81</v>
      </c>
    </row>
    <row r="419" spans="1:23" s="442" customFormat="1" ht="9.75" customHeight="1" x14ac:dyDescent="0.15">
      <c r="A419" s="950" t="s">
        <v>781</v>
      </c>
      <c r="B419" s="442" t="s">
        <v>648</v>
      </c>
      <c r="C419" s="442">
        <v>5</v>
      </c>
      <c r="D419" s="442" t="s">
        <v>648</v>
      </c>
      <c r="E419" s="442" t="s">
        <v>648</v>
      </c>
      <c r="F419" s="442" t="s">
        <v>648</v>
      </c>
      <c r="G419" s="442" t="s">
        <v>648</v>
      </c>
      <c r="H419" s="442" t="s">
        <v>648</v>
      </c>
      <c r="I419" s="442">
        <v>5</v>
      </c>
      <c r="J419" s="442" t="s">
        <v>648</v>
      </c>
      <c r="K419" s="442" t="s">
        <v>648</v>
      </c>
      <c r="L419" s="442" t="s">
        <v>648</v>
      </c>
      <c r="M419" s="442" t="s">
        <v>648</v>
      </c>
      <c r="N419" s="442" t="s">
        <v>648</v>
      </c>
      <c r="O419" s="442">
        <v>86</v>
      </c>
      <c r="P419" s="442">
        <v>54</v>
      </c>
      <c r="Q419" s="442">
        <v>32</v>
      </c>
      <c r="R419" s="442">
        <v>227</v>
      </c>
      <c r="S419" s="442">
        <v>227</v>
      </c>
      <c r="T419" s="442">
        <v>5900</v>
      </c>
      <c r="U419" s="442">
        <v>5900</v>
      </c>
      <c r="V419" s="442" t="s">
        <v>648</v>
      </c>
      <c r="W419" s="447" t="s">
        <v>82</v>
      </c>
    </row>
    <row r="420" spans="1:23" s="442" customFormat="1" ht="9.75" customHeight="1" x14ac:dyDescent="0.15">
      <c r="A420" s="950" t="s">
        <v>782</v>
      </c>
      <c r="B420" s="442" t="s">
        <v>648</v>
      </c>
      <c r="C420" s="442">
        <v>83</v>
      </c>
      <c r="D420" s="442" t="s">
        <v>648</v>
      </c>
      <c r="E420" s="442" t="s">
        <v>648</v>
      </c>
      <c r="F420" s="442" t="s">
        <v>648</v>
      </c>
      <c r="G420" s="442" t="s">
        <v>648</v>
      </c>
      <c r="H420" s="442" t="s">
        <v>648</v>
      </c>
      <c r="I420" s="442">
        <v>83</v>
      </c>
      <c r="J420" s="442" t="s">
        <v>648</v>
      </c>
      <c r="K420" s="442" t="s">
        <v>648</v>
      </c>
      <c r="L420" s="442" t="s">
        <v>648</v>
      </c>
      <c r="M420" s="442" t="s">
        <v>648</v>
      </c>
      <c r="N420" s="442" t="s">
        <v>648</v>
      </c>
      <c r="O420" s="442">
        <v>75</v>
      </c>
      <c r="P420" s="442">
        <v>75</v>
      </c>
      <c r="Q420" s="442" t="s">
        <v>648</v>
      </c>
      <c r="R420" s="442">
        <v>160</v>
      </c>
      <c r="S420" s="442">
        <v>160</v>
      </c>
      <c r="T420" s="442">
        <v>5950</v>
      </c>
      <c r="U420" s="442">
        <v>5950</v>
      </c>
      <c r="V420" s="442" t="s">
        <v>648</v>
      </c>
      <c r="W420" s="447" t="s">
        <v>95</v>
      </c>
    </row>
    <row r="421" spans="1:23" s="442" customFormat="1" ht="9.75" customHeight="1" x14ac:dyDescent="0.15">
      <c r="A421" s="950" t="s">
        <v>783</v>
      </c>
      <c r="B421" s="442" t="s">
        <v>648</v>
      </c>
      <c r="C421" s="442">
        <v>42</v>
      </c>
      <c r="D421" s="442" t="s">
        <v>648</v>
      </c>
      <c r="E421" s="442" t="s">
        <v>648</v>
      </c>
      <c r="F421" s="442" t="s">
        <v>648</v>
      </c>
      <c r="G421" s="442" t="s">
        <v>648</v>
      </c>
      <c r="H421" s="442" t="s">
        <v>648</v>
      </c>
      <c r="I421" s="442">
        <v>42</v>
      </c>
      <c r="J421" s="442" t="s">
        <v>648</v>
      </c>
      <c r="K421" s="442" t="s">
        <v>648</v>
      </c>
      <c r="L421" s="442" t="s">
        <v>648</v>
      </c>
      <c r="M421" s="442" t="s">
        <v>648</v>
      </c>
      <c r="N421" s="442" t="s">
        <v>648</v>
      </c>
      <c r="O421" s="442">
        <v>97</v>
      </c>
      <c r="P421" s="442">
        <v>97</v>
      </c>
      <c r="Q421" s="442" t="s">
        <v>648</v>
      </c>
      <c r="R421" s="442">
        <v>321</v>
      </c>
      <c r="S421" s="442">
        <v>321</v>
      </c>
      <c r="T421" s="442">
        <v>2980</v>
      </c>
      <c r="U421" s="442">
        <v>2980</v>
      </c>
      <c r="V421" s="442" t="s">
        <v>648</v>
      </c>
      <c r="W421" s="447" t="s">
        <v>96</v>
      </c>
    </row>
    <row r="422" spans="1:23" s="442" customFormat="1" ht="9.75" customHeight="1" x14ac:dyDescent="0.15">
      <c r="A422" s="950" t="s">
        <v>1156</v>
      </c>
      <c r="B422" s="442" t="s">
        <v>648</v>
      </c>
      <c r="C422" s="442">
        <v>6</v>
      </c>
      <c r="D422" s="442" t="s">
        <v>648</v>
      </c>
      <c r="E422" s="442" t="s">
        <v>648</v>
      </c>
      <c r="F422" s="442" t="s">
        <v>648</v>
      </c>
      <c r="G422" s="442" t="s">
        <v>648</v>
      </c>
      <c r="H422" s="442" t="s">
        <v>648</v>
      </c>
      <c r="I422" s="442">
        <v>6</v>
      </c>
      <c r="J422" s="442" t="s">
        <v>648</v>
      </c>
      <c r="K422" s="442">
        <v>32</v>
      </c>
      <c r="L422" s="442" t="s">
        <v>648</v>
      </c>
      <c r="M422" s="442" t="s">
        <v>648</v>
      </c>
      <c r="N422" s="442">
        <v>32</v>
      </c>
      <c r="O422" s="442">
        <v>44</v>
      </c>
      <c r="P422" s="442">
        <v>44</v>
      </c>
      <c r="Q422" s="442" t="s">
        <v>648</v>
      </c>
      <c r="R422" s="442">
        <v>123</v>
      </c>
      <c r="S422" s="442">
        <v>123</v>
      </c>
      <c r="T422" s="442" t="s">
        <v>648</v>
      </c>
      <c r="U422" s="442" t="s">
        <v>648</v>
      </c>
      <c r="V422" s="442" t="s">
        <v>648</v>
      </c>
      <c r="W422" s="447" t="s">
        <v>97</v>
      </c>
    </row>
    <row r="423" spans="1:23" s="442" customFormat="1" ht="9.75" customHeight="1" x14ac:dyDescent="0.15">
      <c r="A423" s="950" t="s">
        <v>806</v>
      </c>
      <c r="B423" s="442" t="s">
        <v>648</v>
      </c>
      <c r="C423" s="442">
        <v>25</v>
      </c>
      <c r="D423" s="442" t="s">
        <v>648</v>
      </c>
      <c r="E423" s="442" t="s">
        <v>648</v>
      </c>
      <c r="F423" s="442" t="s">
        <v>648</v>
      </c>
      <c r="G423" s="442" t="s">
        <v>648</v>
      </c>
      <c r="H423" s="442" t="s">
        <v>648</v>
      </c>
      <c r="I423" s="442">
        <v>25</v>
      </c>
      <c r="J423" s="442" t="s">
        <v>648</v>
      </c>
      <c r="K423" s="442">
        <v>35</v>
      </c>
      <c r="L423" s="442" t="s">
        <v>648</v>
      </c>
      <c r="M423" s="442" t="s">
        <v>648</v>
      </c>
      <c r="N423" s="442">
        <v>35</v>
      </c>
      <c r="O423" s="442">
        <v>37</v>
      </c>
      <c r="P423" s="442">
        <v>37</v>
      </c>
      <c r="Q423" s="442" t="s">
        <v>648</v>
      </c>
      <c r="R423" s="442">
        <v>400</v>
      </c>
      <c r="S423" s="442">
        <v>400</v>
      </c>
      <c r="T423" s="442" t="s">
        <v>648</v>
      </c>
      <c r="U423" s="442" t="s">
        <v>648</v>
      </c>
      <c r="V423" s="442" t="s">
        <v>648</v>
      </c>
      <c r="W423" s="447" t="s">
        <v>98</v>
      </c>
    </row>
    <row r="424" spans="1:23" s="442" customFormat="1" ht="9.75" customHeight="1" x14ac:dyDescent="0.15">
      <c r="A424" s="950" t="s">
        <v>786</v>
      </c>
      <c r="B424" s="442" t="s">
        <v>648</v>
      </c>
      <c r="C424" s="442">
        <v>24</v>
      </c>
      <c r="D424" s="442" t="s">
        <v>648</v>
      </c>
      <c r="E424" s="442" t="s">
        <v>648</v>
      </c>
      <c r="F424" s="442" t="s">
        <v>648</v>
      </c>
      <c r="G424" s="442" t="s">
        <v>648</v>
      </c>
      <c r="H424" s="442" t="s">
        <v>648</v>
      </c>
      <c r="I424" s="442">
        <v>24</v>
      </c>
      <c r="J424" s="442" t="s">
        <v>648</v>
      </c>
      <c r="K424" s="442">
        <v>32</v>
      </c>
      <c r="L424" s="442" t="s">
        <v>648</v>
      </c>
      <c r="M424" s="442" t="s">
        <v>648</v>
      </c>
      <c r="N424" s="442">
        <v>32</v>
      </c>
      <c r="O424" s="442">
        <v>88</v>
      </c>
      <c r="P424" s="442">
        <v>88</v>
      </c>
      <c r="Q424" s="442" t="s">
        <v>648</v>
      </c>
      <c r="R424" s="442">
        <v>122</v>
      </c>
      <c r="S424" s="442">
        <v>122</v>
      </c>
      <c r="T424" s="442" t="s">
        <v>648</v>
      </c>
      <c r="U424" s="442" t="s">
        <v>648</v>
      </c>
      <c r="V424" s="442" t="s">
        <v>648</v>
      </c>
      <c r="W424" s="447" t="s">
        <v>99</v>
      </c>
    </row>
    <row r="425" spans="1:23" s="442" customFormat="1" ht="9.75" customHeight="1" x14ac:dyDescent="0.15">
      <c r="A425" s="950" t="s">
        <v>807</v>
      </c>
      <c r="B425" s="442" t="s">
        <v>648</v>
      </c>
      <c r="C425" s="442">
        <v>57</v>
      </c>
      <c r="D425" s="442" t="s">
        <v>648</v>
      </c>
      <c r="E425" s="442" t="s">
        <v>648</v>
      </c>
      <c r="F425" s="442" t="s">
        <v>648</v>
      </c>
      <c r="G425" s="442" t="s">
        <v>648</v>
      </c>
      <c r="H425" s="442" t="s">
        <v>648</v>
      </c>
      <c r="I425" s="442">
        <v>57</v>
      </c>
      <c r="J425" s="442" t="s">
        <v>648</v>
      </c>
      <c r="K425" s="442">
        <v>53</v>
      </c>
      <c r="L425" s="442" t="s">
        <v>648</v>
      </c>
      <c r="M425" s="442" t="s">
        <v>648</v>
      </c>
      <c r="N425" s="442">
        <v>53</v>
      </c>
      <c r="O425" s="442">
        <v>64</v>
      </c>
      <c r="P425" s="442">
        <v>64</v>
      </c>
      <c r="Q425" s="442" t="s">
        <v>648</v>
      </c>
      <c r="R425" s="442">
        <v>121</v>
      </c>
      <c r="S425" s="442">
        <v>121</v>
      </c>
      <c r="T425" s="442" t="s">
        <v>648</v>
      </c>
      <c r="U425" s="442" t="s">
        <v>648</v>
      </c>
      <c r="V425" s="442" t="s">
        <v>648</v>
      </c>
      <c r="W425" s="447" t="s">
        <v>83</v>
      </c>
    </row>
    <row r="426" spans="1:23" s="442" customFormat="1" ht="9.75" customHeight="1" x14ac:dyDescent="0.15">
      <c r="A426" s="950" t="s">
        <v>788</v>
      </c>
      <c r="B426" s="442" t="s">
        <v>648</v>
      </c>
      <c r="C426" s="442">
        <v>29</v>
      </c>
      <c r="D426" s="442" t="s">
        <v>648</v>
      </c>
      <c r="E426" s="442" t="s">
        <v>648</v>
      </c>
      <c r="F426" s="442" t="s">
        <v>648</v>
      </c>
      <c r="G426" s="442" t="s">
        <v>648</v>
      </c>
      <c r="H426" s="442" t="s">
        <v>648</v>
      </c>
      <c r="I426" s="442">
        <v>29</v>
      </c>
      <c r="J426" s="442" t="s">
        <v>648</v>
      </c>
      <c r="K426" s="442">
        <v>80</v>
      </c>
      <c r="L426" s="442">
        <v>12</v>
      </c>
      <c r="M426" s="442" t="s">
        <v>648</v>
      </c>
      <c r="N426" s="442">
        <v>68</v>
      </c>
      <c r="O426" s="442">
        <v>38</v>
      </c>
      <c r="P426" s="442">
        <v>38</v>
      </c>
      <c r="Q426" s="442" t="s">
        <v>648</v>
      </c>
      <c r="R426" s="442">
        <v>386</v>
      </c>
      <c r="S426" s="442">
        <v>386</v>
      </c>
      <c r="T426" s="442" t="s">
        <v>648</v>
      </c>
      <c r="U426" s="442" t="s">
        <v>648</v>
      </c>
      <c r="V426" s="442" t="s">
        <v>648</v>
      </c>
      <c r="W426" s="447" t="s">
        <v>84</v>
      </c>
    </row>
    <row r="427" spans="1:23" s="442" customFormat="1" ht="9.75" customHeight="1" x14ac:dyDescent="0.15">
      <c r="A427" s="950" t="s">
        <v>789</v>
      </c>
      <c r="B427" s="442" t="s">
        <v>648</v>
      </c>
      <c r="C427" s="442">
        <v>34</v>
      </c>
      <c r="D427" s="442" t="s">
        <v>648</v>
      </c>
      <c r="E427" s="442" t="s">
        <v>648</v>
      </c>
      <c r="F427" s="442" t="s">
        <v>648</v>
      </c>
      <c r="G427" s="442" t="s">
        <v>648</v>
      </c>
      <c r="H427" s="442" t="s">
        <v>648</v>
      </c>
      <c r="I427" s="442">
        <v>34</v>
      </c>
      <c r="J427" s="442" t="s">
        <v>648</v>
      </c>
      <c r="K427" s="442" t="s">
        <v>648</v>
      </c>
      <c r="L427" s="442" t="s">
        <v>648</v>
      </c>
      <c r="M427" s="442" t="s">
        <v>648</v>
      </c>
      <c r="N427" s="442" t="s">
        <v>648</v>
      </c>
      <c r="O427" s="442">
        <v>54</v>
      </c>
      <c r="P427" s="442">
        <v>54</v>
      </c>
      <c r="Q427" s="442" t="s">
        <v>648</v>
      </c>
      <c r="R427" s="442">
        <v>204</v>
      </c>
      <c r="S427" s="442">
        <v>204</v>
      </c>
      <c r="T427" s="442" t="s">
        <v>648</v>
      </c>
      <c r="U427" s="442" t="s">
        <v>648</v>
      </c>
      <c r="V427" s="442" t="s">
        <v>648</v>
      </c>
      <c r="W427" s="447" t="s">
        <v>85</v>
      </c>
    </row>
    <row r="428" spans="1:23" s="442" customFormat="1" ht="9.75" customHeight="1" x14ac:dyDescent="0.15">
      <c r="A428" s="950" t="s">
        <v>790</v>
      </c>
      <c r="B428" s="442" t="s">
        <v>648</v>
      </c>
      <c r="C428" s="442">
        <v>20</v>
      </c>
      <c r="D428" s="442" t="s">
        <v>648</v>
      </c>
      <c r="E428" s="442" t="s">
        <v>648</v>
      </c>
      <c r="F428" s="442" t="s">
        <v>648</v>
      </c>
      <c r="G428" s="442" t="s">
        <v>648</v>
      </c>
      <c r="H428" s="442" t="s">
        <v>648</v>
      </c>
      <c r="I428" s="442">
        <v>20</v>
      </c>
      <c r="J428" s="442" t="s">
        <v>648</v>
      </c>
      <c r="K428" s="442">
        <v>43</v>
      </c>
      <c r="L428" s="442" t="s">
        <v>648</v>
      </c>
      <c r="M428" s="442">
        <v>11</v>
      </c>
      <c r="N428" s="442">
        <v>32</v>
      </c>
      <c r="O428" s="442">
        <v>37</v>
      </c>
      <c r="P428" s="442">
        <v>37</v>
      </c>
      <c r="Q428" s="442" t="s">
        <v>648</v>
      </c>
      <c r="R428" s="442">
        <v>171</v>
      </c>
      <c r="S428" s="442">
        <v>171</v>
      </c>
      <c r="T428" s="442" t="s">
        <v>648</v>
      </c>
      <c r="U428" s="442" t="s">
        <v>648</v>
      </c>
      <c r="V428" s="442" t="s">
        <v>648</v>
      </c>
      <c r="W428" s="447" t="s">
        <v>791</v>
      </c>
    </row>
    <row r="429" spans="1:23" s="442" customFormat="1" ht="9.75" customHeight="1" x14ac:dyDescent="0.15">
      <c r="A429" s="950" t="s">
        <v>792</v>
      </c>
      <c r="B429" s="442" t="s">
        <v>648</v>
      </c>
      <c r="C429" s="442">
        <v>77</v>
      </c>
      <c r="D429" s="442" t="s">
        <v>648</v>
      </c>
      <c r="E429" s="442" t="s">
        <v>648</v>
      </c>
      <c r="F429" s="442" t="s">
        <v>648</v>
      </c>
      <c r="G429" s="442" t="s">
        <v>648</v>
      </c>
      <c r="H429" s="442" t="s">
        <v>648</v>
      </c>
      <c r="I429" s="442">
        <v>77</v>
      </c>
      <c r="J429" s="442" t="s">
        <v>648</v>
      </c>
      <c r="K429" s="442">
        <v>16</v>
      </c>
      <c r="L429" s="442">
        <v>16</v>
      </c>
      <c r="M429" s="442" t="s">
        <v>648</v>
      </c>
      <c r="N429" s="442" t="s">
        <v>648</v>
      </c>
      <c r="O429" s="442">
        <v>81</v>
      </c>
      <c r="P429" s="442">
        <v>81</v>
      </c>
      <c r="Q429" s="442" t="s">
        <v>648</v>
      </c>
      <c r="R429" s="442">
        <v>218</v>
      </c>
      <c r="S429" s="442">
        <v>218</v>
      </c>
      <c r="T429" s="442" t="s">
        <v>648</v>
      </c>
      <c r="U429" s="442" t="s">
        <v>648</v>
      </c>
      <c r="V429" s="442" t="s">
        <v>648</v>
      </c>
      <c r="W429" s="447" t="s">
        <v>80</v>
      </c>
    </row>
    <row r="430" spans="1:23" s="442" customFormat="1" ht="9.75" customHeight="1" x14ac:dyDescent="0.15">
      <c r="A430" s="951" t="s">
        <v>793</v>
      </c>
      <c r="B430" s="446" t="s">
        <v>648</v>
      </c>
      <c r="C430" s="445">
        <v>63</v>
      </c>
      <c r="D430" s="445" t="s">
        <v>648</v>
      </c>
      <c r="E430" s="445" t="s">
        <v>648</v>
      </c>
      <c r="F430" s="445" t="s">
        <v>648</v>
      </c>
      <c r="G430" s="445" t="s">
        <v>648</v>
      </c>
      <c r="H430" s="445" t="s">
        <v>648</v>
      </c>
      <c r="I430" s="445">
        <v>63</v>
      </c>
      <c r="J430" s="445" t="s">
        <v>648</v>
      </c>
      <c r="K430" s="445" t="s">
        <v>648</v>
      </c>
      <c r="L430" s="445" t="s">
        <v>648</v>
      </c>
      <c r="M430" s="445" t="s">
        <v>648</v>
      </c>
      <c r="N430" s="445" t="s">
        <v>648</v>
      </c>
      <c r="O430" s="445">
        <v>56</v>
      </c>
      <c r="P430" s="445">
        <v>56</v>
      </c>
      <c r="Q430" s="445" t="s">
        <v>648</v>
      </c>
      <c r="R430" s="445">
        <v>283</v>
      </c>
      <c r="S430" s="445">
        <v>283</v>
      </c>
      <c r="T430" s="445" t="s">
        <v>648</v>
      </c>
      <c r="U430" s="445" t="s">
        <v>648</v>
      </c>
      <c r="V430" s="445" t="s">
        <v>648</v>
      </c>
      <c r="W430" s="443" t="s">
        <v>81</v>
      </c>
    </row>
    <row r="431" spans="1:23" ht="12" customHeight="1" x14ac:dyDescent="0.2"/>
    <row r="432" spans="1:23" ht="12" customHeight="1" x14ac:dyDescent="0.2"/>
    <row r="433" spans="1:23" ht="12" customHeight="1" x14ac:dyDescent="0.15">
      <c r="K433" s="457" t="s">
        <v>100</v>
      </c>
      <c r="V433" s="460" t="s">
        <v>715</v>
      </c>
    </row>
    <row r="434" spans="1:23" s="453" customFormat="1" ht="21" customHeight="1" x14ac:dyDescent="0.2">
      <c r="A434" s="1089" t="s">
        <v>194</v>
      </c>
      <c r="B434" s="456" t="s">
        <v>637</v>
      </c>
      <c r="C434" s="455"/>
      <c r="D434" s="455"/>
      <c r="E434" s="917"/>
      <c r="F434" s="918" t="s">
        <v>316</v>
      </c>
      <c r="G434" s="455"/>
      <c r="H434" s="455"/>
      <c r="I434" s="455"/>
      <c r="J434" s="455"/>
      <c r="K434" s="455"/>
      <c r="L434" s="455"/>
      <c r="M434" s="455"/>
      <c r="N434" s="455"/>
      <c r="O434" s="455"/>
      <c r="P434" s="455"/>
      <c r="Q434" s="455"/>
      <c r="R434" s="455"/>
      <c r="S434" s="455"/>
      <c r="T434" s="455"/>
      <c r="U434" s="455"/>
      <c r="V434" s="455"/>
      <c r="W434" s="1092" t="s">
        <v>86</v>
      </c>
    </row>
    <row r="435" spans="1:23" s="453" customFormat="1" ht="21" customHeight="1" x14ac:dyDescent="0.2">
      <c r="A435" s="1090"/>
      <c r="B435" s="456" t="s">
        <v>290</v>
      </c>
      <c r="C435" s="455"/>
      <c r="D435" s="455"/>
      <c r="E435" s="917"/>
      <c r="F435" s="1095" t="s">
        <v>315</v>
      </c>
      <c r="G435" s="918" t="s">
        <v>297</v>
      </c>
      <c r="H435" s="455"/>
      <c r="I435" s="455"/>
      <c r="J435" s="455"/>
      <c r="K435" s="455"/>
      <c r="L435" s="455"/>
      <c r="M435" s="455"/>
      <c r="N435" s="455"/>
      <c r="O435" s="455"/>
      <c r="P435" s="455"/>
      <c r="Q435" s="917"/>
      <c r="R435" s="918" t="s">
        <v>289</v>
      </c>
      <c r="S435" s="455"/>
      <c r="T435" s="455"/>
      <c r="U435" s="455"/>
      <c r="V435" s="455"/>
      <c r="W435" s="1093"/>
    </row>
    <row r="436" spans="1:23" s="453" customFormat="1" ht="52.5" customHeight="1" x14ac:dyDescent="0.2">
      <c r="A436" s="1091"/>
      <c r="B436" s="454" t="s">
        <v>1097</v>
      </c>
      <c r="C436" s="454" t="s">
        <v>307</v>
      </c>
      <c r="D436" s="454" t="s">
        <v>314</v>
      </c>
      <c r="E436" s="454" t="s">
        <v>285</v>
      </c>
      <c r="F436" s="1096"/>
      <c r="G436" s="920" t="s">
        <v>1096</v>
      </c>
      <c r="H436" s="454" t="s">
        <v>286</v>
      </c>
      <c r="I436" s="454" t="s">
        <v>1097</v>
      </c>
      <c r="J436" s="454" t="s">
        <v>307</v>
      </c>
      <c r="K436" s="454" t="s">
        <v>363</v>
      </c>
      <c r="L436" s="454" t="s">
        <v>313</v>
      </c>
      <c r="M436" s="454" t="s">
        <v>285</v>
      </c>
      <c r="N436" s="454" t="s">
        <v>284</v>
      </c>
      <c r="O436" s="454" t="s">
        <v>342</v>
      </c>
      <c r="P436" s="454" t="s">
        <v>282</v>
      </c>
      <c r="Q436" s="454" t="s">
        <v>318</v>
      </c>
      <c r="R436" s="920" t="s">
        <v>109</v>
      </c>
      <c r="S436" s="454" t="s">
        <v>161</v>
      </c>
      <c r="T436" s="454" t="s">
        <v>312</v>
      </c>
      <c r="U436" s="454" t="s">
        <v>275</v>
      </c>
      <c r="V436" s="458" t="s">
        <v>362</v>
      </c>
      <c r="W436" s="1094"/>
    </row>
    <row r="437" spans="1:23" s="442" customFormat="1" ht="9.75" customHeight="1" x14ac:dyDescent="0.15">
      <c r="A437" s="949" t="s">
        <v>763</v>
      </c>
      <c r="B437" s="452">
        <v>76305</v>
      </c>
      <c r="C437" s="451">
        <v>2954</v>
      </c>
      <c r="D437" s="451" t="s">
        <v>648</v>
      </c>
      <c r="E437" s="451" t="s">
        <v>648</v>
      </c>
      <c r="F437" s="451">
        <v>1098</v>
      </c>
      <c r="G437" s="451">
        <v>996</v>
      </c>
      <c r="H437" s="451">
        <v>67</v>
      </c>
      <c r="I437" s="451">
        <v>293</v>
      </c>
      <c r="J437" s="451">
        <v>78</v>
      </c>
      <c r="K437" s="451">
        <v>80</v>
      </c>
      <c r="L437" s="451">
        <v>208</v>
      </c>
      <c r="M437" s="451">
        <v>35</v>
      </c>
      <c r="N437" s="451">
        <v>25</v>
      </c>
      <c r="O437" s="451">
        <v>2</v>
      </c>
      <c r="P437" s="451">
        <v>103</v>
      </c>
      <c r="Q437" s="451">
        <v>105</v>
      </c>
      <c r="R437" s="451">
        <v>24</v>
      </c>
      <c r="S437" s="451">
        <v>11</v>
      </c>
      <c r="T437" s="451">
        <v>6</v>
      </c>
      <c r="U437" s="451">
        <v>7</v>
      </c>
      <c r="V437" s="451" t="s">
        <v>648</v>
      </c>
      <c r="W437" s="449" t="s">
        <v>464</v>
      </c>
    </row>
    <row r="438" spans="1:23" s="442" customFormat="1" ht="9.75" customHeight="1" x14ac:dyDescent="0.15">
      <c r="A438" s="950" t="s">
        <v>764</v>
      </c>
      <c r="B438" s="442">
        <v>38848</v>
      </c>
      <c r="C438" s="442">
        <v>3000</v>
      </c>
      <c r="D438" s="442">
        <v>2890</v>
      </c>
      <c r="E438" s="442">
        <v>32948</v>
      </c>
      <c r="F438" s="442">
        <v>841</v>
      </c>
      <c r="G438" s="442">
        <v>758</v>
      </c>
      <c r="H438" s="442">
        <v>52</v>
      </c>
      <c r="I438" s="442">
        <v>232</v>
      </c>
      <c r="J438" s="442">
        <v>37</v>
      </c>
      <c r="K438" s="442">
        <v>12</v>
      </c>
      <c r="L438" s="442">
        <v>158</v>
      </c>
      <c r="M438" s="442">
        <v>41</v>
      </c>
      <c r="N438" s="442">
        <v>3</v>
      </c>
      <c r="O438" s="442" t="s">
        <v>648</v>
      </c>
      <c r="P438" s="442">
        <v>132</v>
      </c>
      <c r="Q438" s="442">
        <v>91</v>
      </c>
      <c r="R438" s="442">
        <v>50</v>
      </c>
      <c r="S438" s="442">
        <v>25</v>
      </c>
      <c r="T438" s="442">
        <v>18</v>
      </c>
      <c r="U438" s="442">
        <v>7</v>
      </c>
      <c r="V438" s="442" t="s">
        <v>648</v>
      </c>
      <c r="W438" s="447" t="s">
        <v>489</v>
      </c>
    </row>
    <row r="439" spans="1:23" s="442" customFormat="1" ht="9.75" customHeight="1" x14ac:dyDescent="0.15">
      <c r="A439" s="950" t="s">
        <v>765</v>
      </c>
      <c r="B439" s="442">
        <v>53953</v>
      </c>
      <c r="C439" s="442" t="s">
        <v>648</v>
      </c>
      <c r="D439" s="442" t="s">
        <v>648</v>
      </c>
      <c r="E439" s="442">
        <v>6003</v>
      </c>
      <c r="F439" s="442">
        <v>923</v>
      </c>
      <c r="G439" s="442">
        <v>873</v>
      </c>
      <c r="H439" s="442">
        <v>40</v>
      </c>
      <c r="I439" s="442">
        <v>329</v>
      </c>
      <c r="J439" s="442">
        <v>10</v>
      </c>
      <c r="K439" s="442">
        <v>26</v>
      </c>
      <c r="L439" s="442">
        <v>107</v>
      </c>
      <c r="M439" s="442">
        <v>36</v>
      </c>
      <c r="N439" s="442">
        <v>3</v>
      </c>
      <c r="O439" s="442" t="s">
        <v>648</v>
      </c>
      <c r="P439" s="442">
        <v>214</v>
      </c>
      <c r="Q439" s="442">
        <v>108</v>
      </c>
      <c r="R439" s="442">
        <v>35</v>
      </c>
      <c r="S439" s="442">
        <v>34</v>
      </c>
      <c r="T439" s="442" t="s">
        <v>648</v>
      </c>
      <c r="U439" s="442" t="s">
        <v>648</v>
      </c>
      <c r="V439" s="442">
        <v>1</v>
      </c>
      <c r="W439" s="447" t="s">
        <v>549</v>
      </c>
    </row>
    <row r="440" spans="1:23" s="442" customFormat="1" ht="9.75" customHeight="1" x14ac:dyDescent="0.15">
      <c r="A440" s="950" t="s">
        <v>766</v>
      </c>
      <c r="B440" s="442">
        <v>23765</v>
      </c>
      <c r="C440" s="442" t="s">
        <v>648</v>
      </c>
      <c r="D440" s="442" t="s">
        <v>648</v>
      </c>
      <c r="E440" s="442" t="s">
        <v>648</v>
      </c>
      <c r="F440" s="442">
        <v>633</v>
      </c>
      <c r="G440" s="442">
        <v>588</v>
      </c>
      <c r="H440" s="442">
        <v>27</v>
      </c>
      <c r="I440" s="442">
        <v>307</v>
      </c>
      <c r="J440" s="442">
        <v>5</v>
      </c>
      <c r="K440" s="442">
        <v>18</v>
      </c>
      <c r="L440" s="442">
        <v>43</v>
      </c>
      <c r="M440" s="442">
        <v>6</v>
      </c>
      <c r="N440" s="442" t="s">
        <v>648</v>
      </c>
      <c r="O440" s="442">
        <v>4</v>
      </c>
      <c r="P440" s="442">
        <v>148</v>
      </c>
      <c r="Q440" s="442">
        <v>30</v>
      </c>
      <c r="R440" s="442">
        <v>34</v>
      </c>
      <c r="S440" s="442">
        <v>32</v>
      </c>
      <c r="T440" s="442" t="s">
        <v>648</v>
      </c>
      <c r="U440" s="442">
        <v>2</v>
      </c>
      <c r="V440" s="442" t="s">
        <v>648</v>
      </c>
      <c r="W440" s="447" t="s">
        <v>672</v>
      </c>
    </row>
    <row r="441" spans="1:23" s="442" customFormat="1" ht="9.75" customHeight="1" x14ac:dyDescent="0.15">
      <c r="A441" s="950" t="s">
        <v>767</v>
      </c>
      <c r="B441" s="442">
        <v>14830</v>
      </c>
      <c r="C441" s="442" t="s">
        <v>648</v>
      </c>
      <c r="D441" s="442" t="s">
        <v>648</v>
      </c>
      <c r="E441" s="442" t="s">
        <v>648</v>
      </c>
      <c r="F441" s="442">
        <v>831</v>
      </c>
      <c r="G441" s="442">
        <v>771</v>
      </c>
      <c r="H441" s="442">
        <v>45</v>
      </c>
      <c r="I441" s="442">
        <v>305</v>
      </c>
      <c r="J441" s="442">
        <v>33</v>
      </c>
      <c r="K441" s="442">
        <v>33</v>
      </c>
      <c r="L441" s="442">
        <v>100</v>
      </c>
      <c r="M441" s="442">
        <v>11</v>
      </c>
      <c r="N441" s="442">
        <v>6</v>
      </c>
      <c r="O441" s="442">
        <v>2</v>
      </c>
      <c r="P441" s="442">
        <v>152</v>
      </c>
      <c r="Q441" s="442">
        <v>84</v>
      </c>
      <c r="R441" s="442">
        <v>37</v>
      </c>
      <c r="S441" s="442">
        <v>23</v>
      </c>
      <c r="T441" s="442">
        <v>9</v>
      </c>
      <c r="U441" s="442">
        <v>5</v>
      </c>
      <c r="V441" s="442" t="s">
        <v>648</v>
      </c>
      <c r="W441" s="447" t="s">
        <v>768</v>
      </c>
    </row>
    <row r="442" spans="1:23" s="442" customFormat="1" ht="6.75" customHeight="1" x14ac:dyDescent="0.15">
      <c r="A442" s="950"/>
      <c r="W442" s="447"/>
    </row>
    <row r="443" spans="1:23" s="442" customFormat="1" ht="9.75" customHeight="1" x14ac:dyDescent="0.15">
      <c r="A443" s="950" t="s">
        <v>799</v>
      </c>
      <c r="B443" s="442">
        <v>17765</v>
      </c>
      <c r="C443" s="442" t="s">
        <v>648</v>
      </c>
      <c r="D443" s="442" t="s">
        <v>648</v>
      </c>
      <c r="E443" s="442" t="s">
        <v>648</v>
      </c>
      <c r="F443" s="442">
        <v>671</v>
      </c>
      <c r="G443" s="442">
        <v>622</v>
      </c>
      <c r="H443" s="442">
        <v>34</v>
      </c>
      <c r="I443" s="442">
        <v>318</v>
      </c>
      <c r="J443" s="442">
        <v>3</v>
      </c>
      <c r="K443" s="442">
        <v>11</v>
      </c>
      <c r="L443" s="442">
        <v>54</v>
      </c>
      <c r="M443" s="442">
        <v>9</v>
      </c>
      <c r="N443" s="442">
        <v>2</v>
      </c>
      <c r="O443" s="442" t="s">
        <v>648</v>
      </c>
      <c r="P443" s="442">
        <v>137</v>
      </c>
      <c r="Q443" s="442">
        <v>54</v>
      </c>
      <c r="R443" s="442">
        <v>34</v>
      </c>
      <c r="S443" s="442">
        <v>27</v>
      </c>
      <c r="T443" s="442">
        <v>4</v>
      </c>
      <c r="U443" s="442">
        <v>3</v>
      </c>
      <c r="V443" s="442" t="s">
        <v>648</v>
      </c>
      <c r="W443" s="447" t="s">
        <v>673</v>
      </c>
    </row>
    <row r="444" spans="1:23" s="442" customFormat="1" ht="9.75" customHeight="1" x14ac:dyDescent="0.15">
      <c r="A444" s="950" t="s">
        <v>800</v>
      </c>
      <c r="B444" s="442">
        <v>14830</v>
      </c>
      <c r="C444" s="442" t="s">
        <v>648</v>
      </c>
      <c r="D444" s="442" t="s">
        <v>648</v>
      </c>
      <c r="E444" s="442" t="s">
        <v>648</v>
      </c>
      <c r="F444" s="442">
        <v>807</v>
      </c>
      <c r="G444" s="442">
        <v>755</v>
      </c>
      <c r="H444" s="442">
        <v>32</v>
      </c>
      <c r="I444" s="442">
        <v>282</v>
      </c>
      <c r="J444" s="442">
        <v>43</v>
      </c>
      <c r="K444" s="442">
        <v>44</v>
      </c>
      <c r="L444" s="442">
        <v>98</v>
      </c>
      <c r="M444" s="442">
        <v>8</v>
      </c>
      <c r="N444" s="442">
        <v>4</v>
      </c>
      <c r="O444" s="442">
        <v>9</v>
      </c>
      <c r="P444" s="442">
        <v>161</v>
      </c>
      <c r="Q444" s="442">
        <v>74</v>
      </c>
      <c r="R444" s="442">
        <v>30</v>
      </c>
      <c r="S444" s="442">
        <v>21</v>
      </c>
      <c r="T444" s="442">
        <v>5</v>
      </c>
      <c r="U444" s="442">
        <v>4</v>
      </c>
      <c r="V444" s="442" t="s">
        <v>648</v>
      </c>
      <c r="W444" s="447" t="s">
        <v>771</v>
      </c>
    </row>
    <row r="445" spans="1:23" s="442" customFormat="1" ht="6.75" customHeight="1" x14ac:dyDescent="0.15">
      <c r="A445" s="950"/>
      <c r="W445" s="447"/>
    </row>
    <row r="446" spans="1:23" s="442" customFormat="1" ht="9.75" customHeight="1" x14ac:dyDescent="0.15">
      <c r="A446" s="950" t="s">
        <v>772</v>
      </c>
      <c r="B446" s="442" t="s">
        <v>648</v>
      </c>
      <c r="C446" s="442" t="s">
        <v>648</v>
      </c>
      <c r="D446" s="442" t="s">
        <v>648</v>
      </c>
      <c r="E446" s="442" t="s">
        <v>648</v>
      </c>
      <c r="F446" s="442">
        <v>200</v>
      </c>
      <c r="G446" s="442">
        <v>183</v>
      </c>
      <c r="H446" s="442">
        <v>17</v>
      </c>
      <c r="I446" s="442">
        <v>73</v>
      </c>
      <c r="J446" s="442" t="s">
        <v>648</v>
      </c>
      <c r="K446" s="442">
        <v>5</v>
      </c>
      <c r="L446" s="442">
        <v>23</v>
      </c>
      <c r="M446" s="442">
        <v>3</v>
      </c>
      <c r="N446" s="442">
        <v>2</v>
      </c>
      <c r="O446" s="442" t="s">
        <v>648</v>
      </c>
      <c r="P446" s="442">
        <v>29</v>
      </c>
      <c r="Q446" s="442">
        <v>31</v>
      </c>
      <c r="R446" s="442">
        <v>11</v>
      </c>
      <c r="S446" s="442">
        <v>6</v>
      </c>
      <c r="T446" s="442">
        <v>4</v>
      </c>
      <c r="U446" s="442">
        <v>1</v>
      </c>
      <c r="V446" s="442" t="s">
        <v>648</v>
      </c>
      <c r="W446" s="447" t="s">
        <v>674</v>
      </c>
    </row>
    <row r="447" spans="1:23" s="442" customFormat="1" ht="9.75" customHeight="1" x14ac:dyDescent="0.15">
      <c r="A447" s="950" t="s">
        <v>773</v>
      </c>
      <c r="B447" s="442">
        <v>14830</v>
      </c>
      <c r="C447" s="442" t="s">
        <v>648</v>
      </c>
      <c r="D447" s="442" t="s">
        <v>648</v>
      </c>
      <c r="E447" s="442" t="s">
        <v>648</v>
      </c>
      <c r="F447" s="442">
        <v>258</v>
      </c>
      <c r="G447" s="442">
        <v>241</v>
      </c>
      <c r="H447" s="442">
        <v>13</v>
      </c>
      <c r="I447" s="442">
        <v>119</v>
      </c>
      <c r="J447" s="442">
        <v>5</v>
      </c>
      <c r="K447" s="442">
        <v>5</v>
      </c>
      <c r="L447" s="442">
        <v>33</v>
      </c>
      <c r="M447" s="442" t="s">
        <v>648</v>
      </c>
      <c r="N447" s="442">
        <v>2</v>
      </c>
      <c r="O447" s="442" t="s">
        <v>648</v>
      </c>
      <c r="P447" s="442">
        <v>43</v>
      </c>
      <c r="Q447" s="442">
        <v>21</v>
      </c>
      <c r="R447" s="442">
        <v>11</v>
      </c>
      <c r="S447" s="442">
        <v>6</v>
      </c>
      <c r="T447" s="442">
        <v>5</v>
      </c>
      <c r="U447" s="442" t="s">
        <v>648</v>
      </c>
      <c r="V447" s="442" t="s">
        <v>648</v>
      </c>
      <c r="W447" s="447" t="s">
        <v>92</v>
      </c>
    </row>
    <row r="448" spans="1:23" s="442" customFormat="1" ht="9.75" customHeight="1" x14ac:dyDescent="0.15">
      <c r="A448" s="950" t="s">
        <v>774</v>
      </c>
      <c r="B448" s="442" t="s">
        <v>648</v>
      </c>
      <c r="C448" s="442" t="s">
        <v>648</v>
      </c>
      <c r="D448" s="442" t="s">
        <v>648</v>
      </c>
      <c r="E448" s="442" t="s">
        <v>648</v>
      </c>
      <c r="F448" s="442">
        <v>201</v>
      </c>
      <c r="G448" s="442">
        <v>186</v>
      </c>
      <c r="H448" s="442">
        <v>2</v>
      </c>
      <c r="I448" s="442">
        <v>70</v>
      </c>
      <c r="J448" s="442">
        <v>16</v>
      </c>
      <c r="K448" s="442">
        <v>15</v>
      </c>
      <c r="L448" s="442">
        <v>24</v>
      </c>
      <c r="M448" s="442">
        <v>8</v>
      </c>
      <c r="N448" s="442">
        <v>2</v>
      </c>
      <c r="O448" s="442">
        <v>2</v>
      </c>
      <c r="P448" s="442">
        <v>30</v>
      </c>
      <c r="Q448" s="442">
        <v>17</v>
      </c>
      <c r="R448" s="442">
        <v>7</v>
      </c>
      <c r="S448" s="442">
        <v>6</v>
      </c>
      <c r="T448" s="442" t="s">
        <v>648</v>
      </c>
      <c r="U448" s="442">
        <v>1</v>
      </c>
      <c r="V448" s="442" t="s">
        <v>648</v>
      </c>
      <c r="W448" s="447" t="s">
        <v>93</v>
      </c>
    </row>
    <row r="449" spans="1:23" s="442" customFormat="1" ht="9.75" customHeight="1" x14ac:dyDescent="0.15">
      <c r="A449" s="950" t="s">
        <v>801</v>
      </c>
      <c r="B449" s="442" t="s">
        <v>648</v>
      </c>
      <c r="C449" s="442" t="s">
        <v>648</v>
      </c>
      <c r="D449" s="442" t="s">
        <v>648</v>
      </c>
      <c r="E449" s="442" t="s">
        <v>648</v>
      </c>
      <c r="F449" s="442">
        <v>172</v>
      </c>
      <c r="G449" s="442">
        <v>161</v>
      </c>
      <c r="H449" s="442">
        <v>13</v>
      </c>
      <c r="I449" s="442">
        <v>43</v>
      </c>
      <c r="J449" s="442">
        <v>12</v>
      </c>
      <c r="K449" s="442">
        <v>8</v>
      </c>
      <c r="L449" s="442">
        <v>20</v>
      </c>
      <c r="M449" s="442" t="s">
        <v>648</v>
      </c>
      <c r="N449" s="442" t="s">
        <v>648</v>
      </c>
      <c r="O449" s="442" t="s">
        <v>648</v>
      </c>
      <c r="P449" s="442">
        <v>50</v>
      </c>
      <c r="Q449" s="442">
        <v>15</v>
      </c>
      <c r="R449" s="442">
        <v>8</v>
      </c>
      <c r="S449" s="442">
        <v>5</v>
      </c>
      <c r="T449" s="442" t="s">
        <v>648</v>
      </c>
      <c r="U449" s="442">
        <v>3</v>
      </c>
      <c r="V449" s="442" t="s">
        <v>648</v>
      </c>
      <c r="W449" s="447" t="s">
        <v>94</v>
      </c>
    </row>
    <row r="450" spans="1:23" s="442" customFormat="1" ht="9.75" customHeight="1" x14ac:dyDescent="0.15">
      <c r="A450" s="950" t="s">
        <v>809</v>
      </c>
      <c r="B450" s="442" t="s">
        <v>648</v>
      </c>
      <c r="C450" s="442" t="s">
        <v>648</v>
      </c>
      <c r="D450" s="442" t="s">
        <v>648</v>
      </c>
      <c r="E450" s="442" t="s">
        <v>648</v>
      </c>
      <c r="F450" s="442">
        <v>176</v>
      </c>
      <c r="G450" s="442">
        <v>167</v>
      </c>
      <c r="H450" s="442">
        <v>4</v>
      </c>
      <c r="I450" s="442">
        <v>50</v>
      </c>
      <c r="J450" s="442">
        <v>10</v>
      </c>
      <c r="K450" s="442">
        <v>16</v>
      </c>
      <c r="L450" s="442">
        <v>21</v>
      </c>
      <c r="M450" s="442" t="s">
        <v>648</v>
      </c>
      <c r="N450" s="442" t="s">
        <v>648</v>
      </c>
      <c r="O450" s="442">
        <v>7</v>
      </c>
      <c r="P450" s="442">
        <v>38</v>
      </c>
      <c r="Q450" s="442">
        <v>21</v>
      </c>
      <c r="R450" s="442">
        <v>4</v>
      </c>
      <c r="S450" s="442">
        <v>4</v>
      </c>
      <c r="T450" s="442" t="s">
        <v>648</v>
      </c>
      <c r="U450" s="442" t="s">
        <v>648</v>
      </c>
      <c r="V450" s="442" t="s">
        <v>648</v>
      </c>
      <c r="W450" s="447" t="s">
        <v>777</v>
      </c>
    </row>
    <row r="451" spans="1:23" s="442" customFormat="1" ht="6.75" customHeight="1" x14ac:dyDescent="0.15">
      <c r="A451" s="950"/>
      <c r="W451" s="447"/>
    </row>
    <row r="452" spans="1:23" s="442" customFormat="1" ht="9.75" customHeight="1" x14ac:dyDescent="0.15">
      <c r="A452" s="950" t="s">
        <v>778</v>
      </c>
      <c r="B452" s="442" t="s">
        <v>648</v>
      </c>
      <c r="C452" s="442" t="s">
        <v>648</v>
      </c>
      <c r="D452" s="442" t="s">
        <v>648</v>
      </c>
      <c r="E452" s="442" t="s">
        <v>648</v>
      </c>
      <c r="F452" s="442">
        <v>51</v>
      </c>
      <c r="G452" s="442">
        <v>43</v>
      </c>
      <c r="H452" s="442">
        <v>5</v>
      </c>
      <c r="I452" s="442">
        <v>19</v>
      </c>
      <c r="J452" s="442" t="s">
        <v>648</v>
      </c>
      <c r="K452" s="442">
        <v>4</v>
      </c>
      <c r="L452" s="442">
        <v>5</v>
      </c>
      <c r="M452" s="442" t="s">
        <v>648</v>
      </c>
      <c r="N452" s="442">
        <v>1</v>
      </c>
      <c r="O452" s="442" t="s">
        <v>648</v>
      </c>
      <c r="P452" s="442">
        <v>5</v>
      </c>
      <c r="Q452" s="442">
        <v>4</v>
      </c>
      <c r="R452" s="442">
        <v>7</v>
      </c>
      <c r="S452" s="442">
        <v>2</v>
      </c>
      <c r="T452" s="442">
        <v>4</v>
      </c>
      <c r="U452" s="442">
        <v>1</v>
      </c>
      <c r="V452" s="442" t="s">
        <v>648</v>
      </c>
      <c r="W452" s="447" t="s">
        <v>675</v>
      </c>
    </row>
    <row r="453" spans="1:23" s="442" customFormat="1" ht="9.75" customHeight="1" x14ac:dyDescent="0.15">
      <c r="A453" s="950" t="s">
        <v>779</v>
      </c>
      <c r="B453" s="442" t="s">
        <v>648</v>
      </c>
      <c r="C453" s="442" t="s">
        <v>648</v>
      </c>
      <c r="D453" s="442" t="s">
        <v>648</v>
      </c>
      <c r="E453" s="442" t="s">
        <v>648</v>
      </c>
      <c r="F453" s="442">
        <v>61</v>
      </c>
      <c r="G453" s="442">
        <v>55</v>
      </c>
      <c r="H453" s="442">
        <v>4</v>
      </c>
      <c r="I453" s="442">
        <v>17</v>
      </c>
      <c r="J453" s="442" t="s">
        <v>648</v>
      </c>
      <c r="K453" s="442" t="s">
        <v>648</v>
      </c>
      <c r="L453" s="442">
        <v>10</v>
      </c>
      <c r="M453" s="442">
        <v>3</v>
      </c>
      <c r="N453" s="442">
        <v>1</v>
      </c>
      <c r="O453" s="442" t="s">
        <v>648</v>
      </c>
      <c r="P453" s="442">
        <v>13</v>
      </c>
      <c r="Q453" s="442">
        <v>7</v>
      </c>
      <c r="R453" s="442">
        <v>1</v>
      </c>
      <c r="S453" s="442">
        <v>1</v>
      </c>
      <c r="T453" s="442" t="s">
        <v>648</v>
      </c>
      <c r="U453" s="442" t="s">
        <v>648</v>
      </c>
      <c r="V453" s="442" t="s">
        <v>648</v>
      </c>
      <c r="W453" s="447" t="s">
        <v>80</v>
      </c>
    </row>
    <row r="454" spans="1:23" s="442" customFormat="1" ht="9.75" customHeight="1" x14ac:dyDescent="0.15">
      <c r="A454" s="950" t="s">
        <v>780</v>
      </c>
      <c r="B454" s="442" t="s">
        <v>648</v>
      </c>
      <c r="C454" s="442" t="s">
        <v>648</v>
      </c>
      <c r="D454" s="442" t="s">
        <v>648</v>
      </c>
      <c r="E454" s="442" t="s">
        <v>648</v>
      </c>
      <c r="F454" s="442">
        <v>88</v>
      </c>
      <c r="G454" s="442">
        <v>85</v>
      </c>
      <c r="H454" s="442">
        <v>8</v>
      </c>
      <c r="I454" s="442">
        <v>37</v>
      </c>
      <c r="J454" s="442" t="s">
        <v>648</v>
      </c>
      <c r="K454" s="442">
        <v>1</v>
      </c>
      <c r="L454" s="442">
        <v>8</v>
      </c>
      <c r="M454" s="442" t="s">
        <v>648</v>
      </c>
      <c r="N454" s="442" t="s">
        <v>648</v>
      </c>
      <c r="O454" s="442" t="s">
        <v>648</v>
      </c>
      <c r="P454" s="442">
        <v>11</v>
      </c>
      <c r="Q454" s="442">
        <v>20</v>
      </c>
      <c r="R454" s="442">
        <v>3</v>
      </c>
      <c r="S454" s="442">
        <v>3</v>
      </c>
      <c r="T454" s="442" t="s">
        <v>648</v>
      </c>
      <c r="U454" s="442" t="s">
        <v>648</v>
      </c>
      <c r="V454" s="442" t="s">
        <v>648</v>
      </c>
      <c r="W454" s="447" t="s">
        <v>81</v>
      </c>
    </row>
    <row r="455" spans="1:23" s="442" customFormat="1" ht="9.75" customHeight="1" x14ac:dyDescent="0.15">
      <c r="A455" s="950" t="s">
        <v>781</v>
      </c>
      <c r="B455" s="442">
        <v>5900</v>
      </c>
      <c r="C455" s="442" t="s">
        <v>648</v>
      </c>
      <c r="D455" s="442" t="s">
        <v>648</v>
      </c>
      <c r="E455" s="442" t="s">
        <v>648</v>
      </c>
      <c r="F455" s="442">
        <v>93</v>
      </c>
      <c r="G455" s="442">
        <v>88</v>
      </c>
      <c r="H455" s="442">
        <v>5</v>
      </c>
      <c r="I455" s="442">
        <v>47</v>
      </c>
      <c r="J455" s="442" t="s">
        <v>648</v>
      </c>
      <c r="K455" s="442">
        <v>2</v>
      </c>
      <c r="L455" s="442">
        <v>15</v>
      </c>
      <c r="M455" s="442" t="s">
        <v>648</v>
      </c>
      <c r="N455" s="442">
        <v>1</v>
      </c>
      <c r="O455" s="442" t="s">
        <v>648</v>
      </c>
      <c r="P455" s="442">
        <v>11</v>
      </c>
      <c r="Q455" s="442">
        <v>7</v>
      </c>
      <c r="R455" s="442">
        <v>1</v>
      </c>
      <c r="S455" s="442">
        <v>1</v>
      </c>
      <c r="T455" s="442" t="s">
        <v>648</v>
      </c>
      <c r="U455" s="442" t="s">
        <v>648</v>
      </c>
      <c r="V455" s="442" t="s">
        <v>648</v>
      </c>
      <c r="W455" s="447" t="s">
        <v>82</v>
      </c>
    </row>
    <row r="456" spans="1:23" s="442" customFormat="1" ht="9.75" customHeight="1" x14ac:dyDescent="0.15">
      <c r="A456" s="950" t="s">
        <v>1153</v>
      </c>
      <c r="B456" s="442">
        <v>5950</v>
      </c>
      <c r="C456" s="442" t="s">
        <v>648</v>
      </c>
      <c r="D456" s="442" t="s">
        <v>648</v>
      </c>
      <c r="E456" s="442" t="s">
        <v>648</v>
      </c>
      <c r="F456" s="442">
        <v>85</v>
      </c>
      <c r="G456" s="442">
        <v>82</v>
      </c>
      <c r="H456" s="442">
        <v>4</v>
      </c>
      <c r="I456" s="442">
        <v>37</v>
      </c>
      <c r="J456" s="442">
        <v>2</v>
      </c>
      <c r="K456" s="442" t="s">
        <v>648</v>
      </c>
      <c r="L456" s="442">
        <v>13</v>
      </c>
      <c r="M456" s="442" t="s">
        <v>648</v>
      </c>
      <c r="N456" s="442" t="s">
        <v>648</v>
      </c>
      <c r="O456" s="442" t="s">
        <v>648</v>
      </c>
      <c r="P456" s="442">
        <v>21</v>
      </c>
      <c r="Q456" s="442">
        <v>5</v>
      </c>
      <c r="R456" s="442">
        <v>2</v>
      </c>
      <c r="S456" s="442">
        <v>2</v>
      </c>
      <c r="T456" s="442" t="s">
        <v>648</v>
      </c>
      <c r="U456" s="442" t="s">
        <v>648</v>
      </c>
      <c r="V456" s="442" t="s">
        <v>648</v>
      </c>
      <c r="W456" s="447" t="s">
        <v>95</v>
      </c>
    </row>
    <row r="457" spans="1:23" s="442" customFormat="1" ht="9.75" customHeight="1" x14ac:dyDescent="0.15">
      <c r="A457" s="950" t="s">
        <v>783</v>
      </c>
      <c r="B457" s="442">
        <v>2980</v>
      </c>
      <c r="C457" s="442" t="s">
        <v>648</v>
      </c>
      <c r="D457" s="442" t="s">
        <v>648</v>
      </c>
      <c r="E457" s="442" t="s">
        <v>648</v>
      </c>
      <c r="F457" s="442">
        <v>80</v>
      </c>
      <c r="G457" s="442">
        <v>71</v>
      </c>
      <c r="H457" s="442">
        <v>4</v>
      </c>
      <c r="I457" s="442">
        <v>35</v>
      </c>
      <c r="J457" s="442">
        <v>3</v>
      </c>
      <c r="K457" s="442">
        <v>3</v>
      </c>
      <c r="L457" s="442">
        <v>5</v>
      </c>
      <c r="M457" s="442" t="s">
        <v>648</v>
      </c>
      <c r="N457" s="442">
        <v>1</v>
      </c>
      <c r="O457" s="442" t="s">
        <v>648</v>
      </c>
      <c r="P457" s="442">
        <v>11</v>
      </c>
      <c r="Q457" s="442">
        <v>9</v>
      </c>
      <c r="R457" s="442">
        <v>8</v>
      </c>
      <c r="S457" s="442">
        <v>3</v>
      </c>
      <c r="T457" s="442">
        <v>5</v>
      </c>
      <c r="U457" s="442" t="s">
        <v>648</v>
      </c>
      <c r="V457" s="442" t="s">
        <v>648</v>
      </c>
      <c r="W457" s="447" t="s">
        <v>96</v>
      </c>
    </row>
    <row r="458" spans="1:23" s="442" customFormat="1" ht="9.75" customHeight="1" x14ac:dyDescent="0.15">
      <c r="A458" s="950" t="s">
        <v>784</v>
      </c>
      <c r="B458" s="442" t="s">
        <v>648</v>
      </c>
      <c r="C458" s="442" t="s">
        <v>648</v>
      </c>
      <c r="D458" s="442" t="s">
        <v>648</v>
      </c>
      <c r="E458" s="442" t="s">
        <v>648</v>
      </c>
      <c r="F458" s="442">
        <v>91</v>
      </c>
      <c r="G458" s="442">
        <v>88</v>
      </c>
      <c r="H458" s="442">
        <v>2</v>
      </c>
      <c r="I458" s="442">
        <v>43</v>
      </c>
      <c r="J458" s="442">
        <v>6</v>
      </c>
      <c r="K458" s="442" t="s">
        <v>648</v>
      </c>
      <c r="L458" s="442">
        <v>18</v>
      </c>
      <c r="M458" s="442">
        <v>4</v>
      </c>
      <c r="N458" s="442">
        <v>1</v>
      </c>
      <c r="O458" s="442">
        <v>2</v>
      </c>
      <c r="P458" s="442">
        <v>5</v>
      </c>
      <c r="Q458" s="442">
        <v>7</v>
      </c>
      <c r="R458" s="442">
        <v>2</v>
      </c>
      <c r="S458" s="442">
        <v>2</v>
      </c>
      <c r="T458" s="442" t="s">
        <v>648</v>
      </c>
      <c r="U458" s="442" t="s">
        <v>648</v>
      </c>
      <c r="V458" s="442" t="s">
        <v>648</v>
      </c>
      <c r="W458" s="447" t="s">
        <v>97</v>
      </c>
    </row>
    <row r="459" spans="1:23" s="442" customFormat="1" ht="9.75" customHeight="1" x14ac:dyDescent="0.15">
      <c r="A459" s="950" t="s">
        <v>806</v>
      </c>
      <c r="B459" s="442" t="s">
        <v>648</v>
      </c>
      <c r="C459" s="442" t="s">
        <v>648</v>
      </c>
      <c r="D459" s="442" t="s">
        <v>648</v>
      </c>
      <c r="E459" s="442" t="s">
        <v>648</v>
      </c>
      <c r="F459" s="442">
        <v>55</v>
      </c>
      <c r="G459" s="442">
        <v>48</v>
      </c>
      <c r="H459" s="442" t="s">
        <v>648</v>
      </c>
      <c r="I459" s="442">
        <v>5</v>
      </c>
      <c r="J459" s="442">
        <v>4</v>
      </c>
      <c r="K459" s="442">
        <v>13</v>
      </c>
      <c r="L459" s="442">
        <v>2</v>
      </c>
      <c r="M459" s="442">
        <v>2</v>
      </c>
      <c r="N459" s="442" t="s">
        <v>648</v>
      </c>
      <c r="O459" s="442" t="s">
        <v>648</v>
      </c>
      <c r="P459" s="442">
        <v>14</v>
      </c>
      <c r="Q459" s="442">
        <v>8</v>
      </c>
      <c r="R459" s="442">
        <v>2</v>
      </c>
      <c r="S459" s="442">
        <v>2</v>
      </c>
      <c r="T459" s="442" t="s">
        <v>648</v>
      </c>
      <c r="U459" s="442" t="s">
        <v>648</v>
      </c>
      <c r="V459" s="442" t="s">
        <v>648</v>
      </c>
      <c r="W459" s="447" t="s">
        <v>98</v>
      </c>
    </row>
    <row r="460" spans="1:23" s="442" customFormat="1" ht="9.75" customHeight="1" x14ac:dyDescent="0.15">
      <c r="A460" s="950" t="s">
        <v>786</v>
      </c>
      <c r="B460" s="442" t="s">
        <v>648</v>
      </c>
      <c r="C460" s="442" t="s">
        <v>648</v>
      </c>
      <c r="D460" s="442" t="s">
        <v>648</v>
      </c>
      <c r="E460" s="442" t="s">
        <v>648</v>
      </c>
      <c r="F460" s="442">
        <v>55</v>
      </c>
      <c r="G460" s="442">
        <v>50</v>
      </c>
      <c r="H460" s="442" t="s">
        <v>648</v>
      </c>
      <c r="I460" s="442">
        <v>22</v>
      </c>
      <c r="J460" s="442">
        <v>6</v>
      </c>
      <c r="K460" s="442">
        <v>2</v>
      </c>
      <c r="L460" s="442">
        <v>4</v>
      </c>
      <c r="M460" s="442">
        <v>2</v>
      </c>
      <c r="N460" s="442">
        <v>1</v>
      </c>
      <c r="O460" s="442" t="s">
        <v>648</v>
      </c>
      <c r="P460" s="442">
        <v>11</v>
      </c>
      <c r="Q460" s="442">
        <v>2</v>
      </c>
      <c r="R460" s="442">
        <v>3</v>
      </c>
      <c r="S460" s="442">
        <v>2</v>
      </c>
      <c r="T460" s="442" t="s">
        <v>648</v>
      </c>
      <c r="U460" s="442">
        <v>1</v>
      </c>
      <c r="V460" s="442" t="s">
        <v>648</v>
      </c>
      <c r="W460" s="447" t="s">
        <v>99</v>
      </c>
    </row>
    <row r="461" spans="1:23" s="442" customFormat="1" ht="9.75" customHeight="1" x14ac:dyDescent="0.15">
      <c r="A461" s="950" t="s">
        <v>807</v>
      </c>
      <c r="B461" s="442" t="s">
        <v>648</v>
      </c>
      <c r="C461" s="442" t="s">
        <v>648</v>
      </c>
      <c r="D461" s="442" t="s">
        <v>648</v>
      </c>
      <c r="E461" s="442" t="s">
        <v>648</v>
      </c>
      <c r="F461" s="442">
        <v>62</v>
      </c>
      <c r="G461" s="442">
        <v>55</v>
      </c>
      <c r="H461" s="442">
        <v>4</v>
      </c>
      <c r="I461" s="442">
        <v>13</v>
      </c>
      <c r="J461" s="442">
        <v>1</v>
      </c>
      <c r="K461" s="442">
        <v>7</v>
      </c>
      <c r="L461" s="442">
        <v>8</v>
      </c>
      <c r="M461" s="442" t="s">
        <v>648</v>
      </c>
      <c r="N461" s="442" t="s">
        <v>648</v>
      </c>
      <c r="O461" s="442" t="s">
        <v>648</v>
      </c>
      <c r="P461" s="442">
        <v>16</v>
      </c>
      <c r="Q461" s="442">
        <v>6</v>
      </c>
      <c r="R461" s="442">
        <v>4</v>
      </c>
      <c r="S461" s="442">
        <v>3</v>
      </c>
      <c r="T461" s="442" t="s">
        <v>648</v>
      </c>
      <c r="U461" s="442">
        <v>1</v>
      </c>
      <c r="V461" s="442" t="s">
        <v>648</v>
      </c>
      <c r="W461" s="447" t="s">
        <v>83</v>
      </c>
    </row>
    <row r="462" spans="1:23" s="442" customFormat="1" ht="9.75" customHeight="1" x14ac:dyDescent="0.15">
      <c r="A462" s="950" t="s">
        <v>788</v>
      </c>
      <c r="B462" s="442" t="s">
        <v>648</v>
      </c>
      <c r="C462" s="442" t="s">
        <v>648</v>
      </c>
      <c r="D462" s="442" t="s">
        <v>648</v>
      </c>
      <c r="E462" s="442" t="s">
        <v>648</v>
      </c>
      <c r="F462" s="442">
        <v>49</v>
      </c>
      <c r="G462" s="442">
        <v>48</v>
      </c>
      <c r="H462" s="442">
        <v>9</v>
      </c>
      <c r="I462" s="442">
        <v>3</v>
      </c>
      <c r="J462" s="442">
        <v>2</v>
      </c>
      <c r="K462" s="442">
        <v>1</v>
      </c>
      <c r="L462" s="442">
        <v>10</v>
      </c>
      <c r="M462" s="442" t="s">
        <v>648</v>
      </c>
      <c r="N462" s="442" t="s">
        <v>648</v>
      </c>
      <c r="O462" s="442" t="s">
        <v>648</v>
      </c>
      <c r="P462" s="442">
        <v>21</v>
      </c>
      <c r="Q462" s="442">
        <v>2</v>
      </c>
      <c r="R462" s="442">
        <v>1</v>
      </c>
      <c r="S462" s="442">
        <v>1</v>
      </c>
      <c r="T462" s="442" t="s">
        <v>648</v>
      </c>
      <c r="U462" s="442" t="s">
        <v>648</v>
      </c>
      <c r="V462" s="442" t="s">
        <v>648</v>
      </c>
      <c r="W462" s="447" t="s">
        <v>84</v>
      </c>
    </row>
    <row r="463" spans="1:23" s="442" customFormat="1" ht="9.75" customHeight="1" x14ac:dyDescent="0.15">
      <c r="A463" s="950" t="s">
        <v>789</v>
      </c>
      <c r="B463" s="442" t="s">
        <v>648</v>
      </c>
      <c r="C463" s="442" t="s">
        <v>648</v>
      </c>
      <c r="D463" s="442" t="s">
        <v>648</v>
      </c>
      <c r="E463" s="442" t="s">
        <v>648</v>
      </c>
      <c r="F463" s="442">
        <v>61</v>
      </c>
      <c r="G463" s="442">
        <v>58</v>
      </c>
      <c r="H463" s="442" t="s">
        <v>648</v>
      </c>
      <c r="I463" s="442">
        <v>27</v>
      </c>
      <c r="J463" s="442">
        <v>9</v>
      </c>
      <c r="K463" s="442" t="s">
        <v>648</v>
      </c>
      <c r="L463" s="442">
        <v>2</v>
      </c>
      <c r="M463" s="442" t="s">
        <v>648</v>
      </c>
      <c r="N463" s="442" t="s">
        <v>648</v>
      </c>
      <c r="O463" s="442" t="s">
        <v>648</v>
      </c>
      <c r="P463" s="442">
        <v>13</v>
      </c>
      <c r="Q463" s="442">
        <v>7</v>
      </c>
      <c r="R463" s="442">
        <v>3</v>
      </c>
      <c r="S463" s="442">
        <v>1</v>
      </c>
      <c r="T463" s="442" t="s">
        <v>648</v>
      </c>
      <c r="U463" s="442">
        <v>2</v>
      </c>
      <c r="V463" s="442" t="s">
        <v>648</v>
      </c>
      <c r="W463" s="447" t="s">
        <v>85</v>
      </c>
    </row>
    <row r="464" spans="1:23" s="442" customFormat="1" ht="9.75" customHeight="1" x14ac:dyDescent="0.15">
      <c r="A464" s="950" t="s">
        <v>790</v>
      </c>
      <c r="B464" s="442" t="s">
        <v>648</v>
      </c>
      <c r="C464" s="442" t="s">
        <v>648</v>
      </c>
      <c r="D464" s="442" t="s">
        <v>648</v>
      </c>
      <c r="E464" s="442" t="s">
        <v>648</v>
      </c>
      <c r="F464" s="442">
        <v>68</v>
      </c>
      <c r="G464" s="442">
        <v>64</v>
      </c>
      <c r="H464" s="442" t="s">
        <v>648</v>
      </c>
      <c r="I464" s="442">
        <v>25</v>
      </c>
      <c r="J464" s="442" t="s">
        <v>648</v>
      </c>
      <c r="K464" s="442">
        <v>5</v>
      </c>
      <c r="L464" s="442">
        <v>17</v>
      </c>
      <c r="M464" s="442" t="s">
        <v>648</v>
      </c>
      <c r="N464" s="442" t="s">
        <v>648</v>
      </c>
      <c r="O464" s="442" t="s">
        <v>648</v>
      </c>
      <c r="P464" s="442">
        <v>7</v>
      </c>
      <c r="Q464" s="442">
        <v>10</v>
      </c>
      <c r="R464" s="442">
        <v>1</v>
      </c>
      <c r="S464" s="442">
        <v>1</v>
      </c>
      <c r="T464" s="442" t="s">
        <v>648</v>
      </c>
      <c r="U464" s="442" t="s">
        <v>648</v>
      </c>
      <c r="V464" s="442" t="s">
        <v>648</v>
      </c>
      <c r="W464" s="447" t="s">
        <v>791</v>
      </c>
    </row>
    <row r="465" spans="1:23" s="442" customFormat="1" ht="9.75" customHeight="1" x14ac:dyDescent="0.15">
      <c r="A465" s="950" t="s">
        <v>792</v>
      </c>
      <c r="B465" s="442" t="s">
        <v>648</v>
      </c>
      <c r="C465" s="442" t="s">
        <v>648</v>
      </c>
      <c r="D465" s="442" t="s">
        <v>648</v>
      </c>
      <c r="E465" s="442" t="s">
        <v>648</v>
      </c>
      <c r="F465" s="442">
        <v>55</v>
      </c>
      <c r="G465" s="442">
        <v>54</v>
      </c>
      <c r="H465" s="442" t="s">
        <v>648</v>
      </c>
      <c r="I465" s="442">
        <v>12</v>
      </c>
      <c r="J465" s="442">
        <v>8</v>
      </c>
      <c r="K465" s="442">
        <v>9</v>
      </c>
      <c r="L465" s="442">
        <v>1</v>
      </c>
      <c r="M465" s="442" t="s">
        <v>648</v>
      </c>
      <c r="N465" s="442" t="s">
        <v>648</v>
      </c>
      <c r="O465" s="442">
        <v>7</v>
      </c>
      <c r="P465" s="442">
        <v>13</v>
      </c>
      <c r="Q465" s="442">
        <v>4</v>
      </c>
      <c r="R465" s="442">
        <v>1</v>
      </c>
      <c r="S465" s="442">
        <v>1</v>
      </c>
      <c r="T465" s="442" t="s">
        <v>648</v>
      </c>
      <c r="U465" s="442" t="s">
        <v>648</v>
      </c>
      <c r="V465" s="442" t="s">
        <v>648</v>
      </c>
      <c r="W465" s="447" t="s">
        <v>80</v>
      </c>
    </row>
    <row r="466" spans="1:23" s="442" customFormat="1" ht="9.75" customHeight="1" x14ac:dyDescent="0.15">
      <c r="A466" s="951" t="s">
        <v>793</v>
      </c>
      <c r="B466" s="446" t="s">
        <v>648</v>
      </c>
      <c r="C466" s="445" t="s">
        <v>648</v>
      </c>
      <c r="D466" s="445" t="s">
        <v>648</v>
      </c>
      <c r="E466" s="445" t="s">
        <v>648</v>
      </c>
      <c r="F466" s="445">
        <v>53</v>
      </c>
      <c r="G466" s="445">
        <v>49</v>
      </c>
      <c r="H466" s="445">
        <v>4</v>
      </c>
      <c r="I466" s="445">
        <v>13</v>
      </c>
      <c r="J466" s="445">
        <v>2</v>
      </c>
      <c r="K466" s="445">
        <v>2</v>
      </c>
      <c r="L466" s="445">
        <v>3</v>
      </c>
      <c r="M466" s="445" t="s">
        <v>648</v>
      </c>
      <c r="N466" s="445" t="s">
        <v>648</v>
      </c>
      <c r="O466" s="445" t="s">
        <v>648</v>
      </c>
      <c r="P466" s="445">
        <v>18</v>
      </c>
      <c r="Q466" s="445">
        <v>7</v>
      </c>
      <c r="R466" s="445">
        <v>2</v>
      </c>
      <c r="S466" s="445">
        <v>2</v>
      </c>
      <c r="T466" s="445" t="s">
        <v>648</v>
      </c>
      <c r="U466" s="445" t="s">
        <v>648</v>
      </c>
      <c r="V466" s="445" t="s">
        <v>648</v>
      </c>
      <c r="W466" s="443" t="s">
        <v>81</v>
      </c>
    </row>
    <row r="467" spans="1:23" ht="12" customHeight="1" x14ac:dyDescent="0.2"/>
    <row r="468" spans="1:23" ht="12" customHeight="1" x14ac:dyDescent="0.2"/>
    <row r="469" spans="1:23" ht="12" customHeight="1" x14ac:dyDescent="0.2">
      <c r="K469" s="457" t="s">
        <v>100</v>
      </c>
    </row>
    <row r="470" spans="1:23" s="453" customFormat="1" ht="21" customHeight="1" x14ac:dyDescent="0.2">
      <c r="A470" s="1089" t="s">
        <v>194</v>
      </c>
      <c r="B470" s="456" t="s">
        <v>364</v>
      </c>
      <c r="C470" s="455"/>
      <c r="D470" s="455"/>
      <c r="E470" s="455"/>
      <c r="F470" s="455"/>
      <c r="G470" s="455"/>
      <c r="H470" s="455"/>
      <c r="I470" s="917"/>
      <c r="J470" s="918" t="s">
        <v>1157</v>
      </c>
      <c r="K470" s="455"/>
      <c r="L470" s="455"/>
      <c r="M470" s="455"/>
      <c r="N470" s="455"/>
      <c r="O470" s="455"/>
      <c r="P470" s="455"/>
      <c r="Q470" s="455"/>
      <c r="R470" s="455"/>
      <c r="S470" s="455"/>
      <c r="T470" s="455"/>
      <c r="U470" s="455"/>
      <c r="V470" s="455"/>
      <c r="W470" s="1092" t="s">
        <v>86</v>
      </c>
    </row>
    <row r="471" spans="1:23" s="453" customFormat="1" ht="21" customHeight="1" x14ac:dyDescent="0.2">
      <c r="A471" s="1090"/>
      <c r="B471" s="918" t="s">
        <v>288</v>
      </c>
      <c r="C471" s="455"/>
      <c r="D471" s="455"/>
      <c r="E471" s="917"/>
      <c r="F471" s="918" t="s">
        <v>287</v>
      </c>
      <c r="G471" s="917"/>
      <c r="H471" s="918" t="s">
        <v>1135</v>
      </c>
      <c r="I471" s="917"/>
      <c r="J471" s="1095" t="s">
        <v>309</v>
      </c>
      <c r="K471" s="918" t="s">
        <v>297</v>
      </c>
      <c r="L471" s="455"/>
      <c r="M471" s="455"/>
      <c r="N471" s="455"/>
      <c r="O471" s="455"/>
      <c r="P471" s="455"/>
      <c r="Q471" s="455"/>
      <c r="R471" s="455"/>
      <c r="S471" s="455"/>
      <c r="T471" s="455"/>
      <c r="U471" s="455"/>
      <c r="V471" s="455"/>
      <c r="W471" s="1093"/>
    </row>
    <row r="472" spans="1:23" s="453" customFormat="1" ht="52.5" customHeight="1" x14ac:dyDescent="0.2">
      <c r="A472" s="1091"/>
      <c r="B472" s="920" t="s">
        <v>1089</v>
      </c>
      <c r="C472" s="454" t="s">
        <v>310</v>
      </c>
      <c r="D472" s="454" t="s">
        <v>274</v>
      </c>
      <c r="E472" s="454" t="s">
        <v>334</v>
      </c>
      <c r="F472" s="920" t="s">
        <v>1090</v>
      </c>
      <c r="G472" s="454" t="s">
        <v>269</v>
      </c>
      <c r="H472" s="920" t="s">
        <v>353</v>
      </c>
      <c r="I472" s="454" t="s">
        <v>352</v>
      </c>
      <c r="J472" s="1096"/>
      <c r="K472" s="920" t="s">
        <v>1096</v>
      </c>
      <c r="L472" s="454" t="s">
        <v>286</v>
      </c>
      <c r="M472" s="454" t="s">
        <v>1097</v>
      </c>
      <c r="N472" s="454" t="s">
        <v>307</v>
      </c>
      <c r="O472" s="454" t="s">
        <v>314</v>
      </c>
      <c r="P472" s="454" t="s">
        <v>363</v>
      </c>
      <c r="Q472" s="454" t="s">
        <v>313</v>
      </c>
      <c r="R472" s="454" t="s">
        <v>285</v>
      </c>
      <c r="S472" s="454" t="s">
        <v>284</v>
      </c>
      <c r="T472" s="454" t="s">
        <v>342</v>
      </c>
      <c r="U472" s="454" t="s">
        <v>282</v>
      </c>
      <c r="V472" s="458" t="s">
        <v>318</v>
      </c>
      <c r="W472" s="1094"/>
    </row>
    <row r="473" spans="1:23" s="442" customFormat="1" ht="9.75" customHeight="1" x14ac:dyDescent="0.15">
      <c r="A473" s="949" t="s">
        <v>763</v>
      </c>
      <c r="B473" s="452">
        <v>31</v>
      </c>
      <c r="C473" s="451">
        <v>12</v>
      </c>
      <c r="D473" s="451">
        <v>18</v>
      </c>
      <c r="E473" s="451">
        <v>1</v>
      </c>
      <c r="F473" s="451">
        <v>1</v>
      </c>
      <c r="G473" s="451">
        <v>1</v>
      </c>
      <c r="H473" s="451">
        <v>46</v>
      </c>
      <c r="I473" s="451">
        <v>46</v>
      </c>
      <c r="J473" s="451">
        <v>44515</v>
      </c>
      <c r="K473" s="451">
        <v>14997</v>
      </c>
      <c r="L473" s="451">
        <v>2734</v>
      </c>
      <c r="M473" s="451">
        <v>1558</v>
      </c>
      <c r="N473" s="451">
        <v>2553</v>
      </c>
      <c r="O473" s="451">
        <v>6</v>
      </c>
      <c r="P473" s="451">
        <v>495</v>
      </c>
      <c r="Q473" s="451">
        <v>5510</v>
      </c>
      <c r="R473" s="451">
        <v>60</v>
      </c>
      <c r="S473" s="451">
        <v>6</v>
      </c>
      <c r="T473" s="451">
        <v>116</v>
      </c>
      <c r="U473" s="451">
        <v>350</v>
      </c>
      <c r="V473" s="451">
        <v>870</v>
      </c>
      <c r="W473" s="449" t="s">
        <v>464</v>
      </c>
    </row>
    <row r="474" spans="1:23" s="442" customFormat="1" ht="9.75" customHeight="1" x14ac:dyDescent="0.15">
      <c r="A474" s="950" t="s">
        <v>764</v>
      </c>
      <c r="B474" s="442">
        <v>17</v>
      </c>
      <c r="C474" s="442" t="s">
        <v>648</v>
      </c>
      <c r="D474" s="442">
        <v>16</v>
      </c>
      <c r="E474" s="442">
        <v>1</v>
      </c>
      <c r="F474" s="442">
        <v>3</v>
      </c>
      <c r="G474" s="442">
        <v>3</v>
      </c>
      <c r="H474" s="442">
        <v>13</v>
      </c>
      <c r="I474" s="442">
        <v>13</v>
      </c>
      <c r="J474" s="442">
        <v>38725</v>
      </c>
      <c r="K474" s="442">
        <v>16728</v>
      </c>
      <c r="L474" s="442">
        <v>2368</v>
      </c>
      <c r="M474" s="442">
        <v>1724</v>
      </c>
      <c r="N474" s="442">
        <v>3245</v>
      </c>
      <c r="O474" s="442">
        <v>11</v>
      </c>
      <c r="P474" s="442">
        <v>396</v>
      </c>
      <c r="Q474" s="442">
        <v>6561</v>
      </c>
      <c r="R474" s="442">
        <v>77</v>
      </c>
      <c r="S474" s="442">
        <v>5</v>
      </c>
      <c r="T474" s="442">
        <v>164</v>
      </c>
      <c r="U474" s="442">
        <v>387</v>
      </c>
      <c r="V474" s="442">
        <v>1123</v>
      </c>
      <c r="W474" s="447" t="s">
        <v>489</v>
      </c>
    </row>
    <row r="475" spans="1:23" s="442" customFormat="1" ht="9.75" customHeight="1" x14ac:dyDescent="0.15">
      <c r="A475" s="950" t="s">
        <v>765</v>
      </c>
      <c r="B475" s="442">
        <v>15</v>
      </c>
      <c r="C475" s="442" t="s">
        <v>648</v>
      </c>
      <c r="D475" s="442">
        <v>15</v>
      </c>
      <c r="E475" s="442" t="s">
        <v>648</v>
      </c>
      <c r="F475" s="442" t="s">
        <v>648</v>
      </c>
      <c r="G475" s="442" t="s">
        <v>648</v>
      </c>
      <c r="H475" s="442" t="s">
        <v>648</v>
      </c>
      <c r="I475" s="442" t="s">
        <v>648</v>
      </c>
      <c r="J475" s="442">
        <v>36055</v>
      </c>
      <c r="K475" s="442">
        <v>15105</v>
      </c>
      <c r="L475" s="442">
        <v>2099</v>
      </c>
      <c r="M475" s="442">
        <v>1840</v>
      </c>
      <c r="N475" s="442">
        <v>2731</v>
      </c>
      <c r="O475" s="442">
        <v>16</v>
      </c>
      <c r="P475" s="442">
        <v>123</v>
      </c>
      <c r="Q475" s="442">
        <v>5907</v>
      </c>
      <c r="R475" s="442">
        <v>36</v>
      </c>
      <c r="S475" s="442">
        <v>4</v>
      </c>
      <c r="T475" s="442">
        <v>138</v>
      </c>
      <c r="U475" s="442">
        <v>376</v>
      </c>
      <c r="V475" s="442">
        <v>1140</v>
      </c>
      <c r="W475" s="447" t="s">
        <v>549</v>
      </c>
    </row>
    <row r="476" spans="1:23" s="442" customFormat="1" ht="9.75" customHeight="1" x14ac:dyDescent="0.15">
      <c r="A476" s="950" t="s">
        <v>766</v>
      </c>
      <c r="B476" s="442">
        <v>11</v>
      </c>
      <c r="C476" s="442">
        <v>1</v>
      </c>
      <c r="D476" s="442">
        <v>9</v>
      </c>
      <c r="E476" s="442">
        <v>1</v>
      </c>
      <c r="F476" s="442" t="s">
        <v>648</v>
      </c>
      <c r="G476" s="442" t="s">
        <v>648</v>
      </c>
      <c r="H476" s="442" t="s">
        <v>648</v>
      </c>
      <c r="I476" s="442" t="s">
        <v>648</v>
      </c>
      <c r="J476" s="442">
        <v>42715</v>
      </c>
      <c r="K476" s="442">
        <v>15731</v>
      </c>
      <c r="L476" s="442">
        <v>2068</v>
      </c>
      <c r="M476" s="442">
        <v>1815</v>
      </c>
      <c r="N476" s="442">
        <v>2546</v>
      </c>
      <c r="O476" s="442">
        <v>25</v>
      </c>
      <c r="P476" s="442">
        <v>158</v>
      </c>
      <c r="Q476" s="442">
        <v>7527</v>
      </c>
      <c r="R476" s="442">
        <v>26</v>
      </c>
      <c r="S476" s="442">
        <v>22</v>
      </c>
      <c r="T476" s="442">
        <v>130</v>
      </c>
      <c r="U476" s="442">
        <v>77</v>
      </c>
      <c r="V476" s="442">
        <v>784</v>
      </c>
      <c r="W476" s="447" t="s">
        <v>672</v>
      </c>
    </row>
    <row r="477" spans="1:23" s="442" customFormat="1" ht="9.75" customHeight="1" x14ac:dyDescent="0.15">
      <c r="A477" s="950" t="s">
        <v>767</v>
      </c>
      <c r="B477" s="442">
        <v>23</v>
      </c>
      <c r="C477" s="442">
        <v>5</v>
      </c>
      <c r="D477" s="442">
        <v>15</v>
      </c>
      <c r="E477" s="442">
        <v>3</v>
      </c>
      <c r="F477" s="442" t="s">
        <v>648</v>
      </c>
      <c r="G477" s="442" t="s">
        <v>648</v>
      </c>
      <c r="H477" s="442" t="s">
        <v>648</v>
      </c>
      <c r="I477" s="442" t="s">
        <v>648</v>
      </c>
      <c r="J477" s="442">
        <v>44158</v>
      </c>
      <c r="K477" s="442">
        <v>19467</v>
      </c>
      <c r="L477" s="442">
        <v>2544</v>
      </c>
      <c r="M477" s="442">
        <v>1832</v>
      </c>
      <c r="N477" s="442">
        <v>2874</v>
      </c>
      <c r="O477" s="442">
        <v>29</v>
      </c>
      <c r="P477" s="442">
        <v>86</v>
      </c>
      <c r="Q477" s="442">
        <v>10535</v>
      </c>
      <c r="R477" s="442">
        <v>16</v>
      </c>
      <c r="S477" s="442">
        <v>5</v>
      </c>
      <c r="T477" s="442">
        <v>114</v>
      </c>
      <c r="U477" s="442">
        <v>134</v>
      </c>
      <c r="V477" s="442">
        <v>590</v>
      </c>
      <c r="W477" s="447" t="s">
        <v>768</v>
      </c>
    </row>
    <row r="478" spans="1:23" s="442" customFormat="1" ht="6.75" customHeight="1" x14ac:dyDescent="0.15">
      <c r="A478" s="950"/>
      <c r="W478" s="447"/>
    </row>
    <row r="479" spans="1:23" s="442" customFormat="1" ht="9.75" customHeight="1" x14ac:dyDescent="0.15">
      <c r="A479" s="950" t="s">
        <v>799</v>
      </c>
      <c r="B479" s="442">
        <v>15</v>
      </c>
      <c r="C479" s="442">
        <v>3</v>
      </c>
      <c r="D479" s="442">
        <v>10</v>
      </c>
      <c r="E479" s="442">
        <v>2</v>
      </c>
      <c r="F479" s="442" t="s">
        <v>648</v>
      </c>
      <c r="G479" s="442" t="s">
        <v>648</v>
      </c>
      <c r="H479" s="442" t="s">
        <v>648</v>
      </c>
      <c r="I479" s="442" t="s">
        <v>648</v>
      </c>
      <c r="J479" s="442">
        <v>49705</v>
      </c>
      <c r="K479" s="442">
        <v>15652</v>
      </c>
      <c r="L479" s="442">
        <v>2066</v>
      </c>
      <c r="M479" s="442">
        <v>1997</v>
      </c>
      <c r="N479" s="442">
        <v>2139</v>
      </c>
      <c r="O479" s="442">
        <v>25</v>
      </c>
      <c r="P479" s="442">
        <v>167</v>
      </c>
      <c r="Q479" s="442">
        <v>7751</v>
      </c>
      <c r="R479" s="442">
        <v>25</v>
      </c>
      <c r="S479" s="442">
        <v>5</v>
      </c>
      <c r="T479" s="442">
        <v>114</v>
      </c>
      <c r="U479" s="442">
        <v>89</v>
      </c>
      <c r="V479" s="442">
        <v>747</v>
      </c>
      <c r="W479" s="447" t="s">
        <v>673</v>
      </c>
    </row>
    <row r="480" spans="1:23" s="442" customFormat="1" ht="9.75" customHeight="1" x14ac:dyDescent="0.15">
      <c r="A480" s="950" t="s">
        <v>800</v>
      </c>
      <c r="B480" s="442">
        <v>22</v>
      </c>
      <c r="C480" s="442">
        <v>3</v>
      </c>
      <c r="D480" s="442">
        <v>15</v>
      </c>
      <c r="E480" s="442">
        <v>4</v>
      </c>
      <c r="F480" s="442" t="s">
        <v>648</v>
      </c>
      <c r="G480" s="442" t="s">
        <v>648</v>
      </c>
      <c r="H480" s="442" t="s">
        <v>648</v>
      </c>
      <c r="I480" s="442" t="s">
        <v>648</v>
      </c>
      <c r="J480" s="442">
        <v>46346</v>
      </c>
      <c r="K480" s="442">
        <v>20419</v>
      </c>
      <c r="L480" s="442">
        <v>2669</v>
      </c>
      <c r="M480" s="442">
        <v>1681</v>
      </c>
      <c r="N480" s="442">
        <v>2992</v>
      </c>
      <c r="O480" s="442">
        <v>33</v>
      </c>
      <c r="P480" s="442">
        <v>51</v>
      </c>
      <c r="Q480" s="442">
        <v>11438</v>
      </c>
      <c r="R480" s="442">
        <v>16</v>
      </c>
      <c r="S480" s="442">
        <v>4</v>
      </c>
      <c r="T480" s="442">
        <v>129</v>
      </c>
      <c r="U480" s="442">
        <v>144</v>
      </c>
      <c r="V480" s="442">
        <v>599</v>
      </c>
      <c r="W480" s="447" t="s">
        <v>771</v>
      </c>
    </row>
    <row r="481" spans="1:23" s="442" customFormat="1" ht="6.75" customHeight="1" x14ac:dyDescent="0.15">
      <c r="A481" s="950"/>
      <c r="W481" s="447"/>
    </row>
    <row r="482" spans="1:23" s="442" customFormat="1" ht="9.75" customHeight="1" x14ac:dyDescent="0.15">
      <c r="A482" s="950" t="s">
        <v>772</v>
      </c>
      <c r="B482" s="442">
        <v>6</v>
      </c>
      <c r="C482" s="442">
        <v>2</v>
      </c>
      <c r="D482" s="442">
        <v>3</v>
      </c>
      <c r="E482" s="442">
        <v>1</v>
      </c>
      <c r="F482" s="442" t="s">
        <v>648</v>
      </c>
      <c r="G482" s="442" t="s">
        <v>648</v>
      </c>
      <c r="H482" s="442" t="s">
        <v>648</v>
      </c>
      <c r="I482" s="442" t="s">
        <v>648</v>
      </c>
      <c r="J482" s="442">
        <v>13574</v>
      </c>
      <c r="K482" s="442">
        <v>4097</v>
      </c>
      <c r="L482" s="442">
        <v>536</v>
      </c>
      <c r="M482" s="442">
        <v>551</v>
      </c>
      <c r="N482" s="442">
        <v>236</v>
      </c>
      <c r="O482" s="442">
        <v>7</v>
      </c>
      <c r="P482" s="442">
        <v>57</v>
      </c>
      <c r="Q482" s="442">
        <v>2378</v>
      </c>
      <c r="R482" s="442" t="s">
        <v>648</v>
      </c>
      <c r="S482" s="442">
        <v>1</v>
      </c>
      <c r="T482" s="442">
        <v>41</v>
      </c>
      <c r="U482" s="442">
        <v>34</v>
      </c>
      <c r="V482" s="442">
        <v>53</v>
      </c>
      <c r="W482" s="447" t="s">
        <v>674</v>
      </c>
    </row>
    <row r="483" spans="1:23" s="442" customFormat="1" ht="9.75" customHeight="1" x14ac:dyDescent="0.15">
      <c r="A483" s="950" t="s">
        <v>773</v>
      </c>
      <c r="B483" s="442">
        <v>6</v>
      </c>
      <c r="C483" s="442">
        <v>1</v>
      </c>
      <c r="D483" s="442">
        <v>4</v>
      </c>
      <c r="E483" s="442">
        <v>1</v>
      </c>
      <c r="F483" s="442" t="s">
        <v>648</v>
      </c>
      <c r="G483" s="442" t="s">
        <v>648</v>
      </c>
      <c r="H483" s="442" t="s">
        <v>648</v>
      </c>
      <c r="I483" s="442" t="s">
        <v>648</v>
      </c>
      <c r="J483" s="442">
        <v>8251</v>
      </c>
      <c r="K483" s="442">
        <v>4620</v>
      </c>
      <c r="L483" s="442">
        <v>727</v>
      </c>
      <c r="M483" s="442">
        <v>496</v>
      </c>
      <c r="N483" s="442">
        <v>770</v>
      </c>
      <c r="O483" s="442" t="s">
        <v>648</v>
      </c>
      <c r="P483" s="442">
        <v>25</v>
      </c>
      <c r="Q483" s="442">
        <v>2246</v>
      </c>
      <c r="R483" s="442">
        <v>16</v>
      </c>
      <c r="S483" s="442">
        <v>3</v>
      </c>
      <c r="T483" s="442">
        <v>16</v>
      </c>
      <c r="U483" s="442">
        <v>24</v>
      </c>
      <c r="V483" s="442">
        <v>111</v>
      </c>
      <c r="W483" s="447" t="s">
        <v>92</v>
      </c>
    </row>
    <row r="484" spans="1:23" s="442" customFormat="1" ht="9.75" customHeight="1" x14ac:dyDescent="0.15">
      <c r="A484" s="950" t="s">
        <v>774</v>
      </c>
      <c r="B484" s="442">
        <v>8</v>
      </c>
      <c r="C484" s="442">
        <v>2</v>
      </c>
      <c r="D484" s="442">
        <v>6</v>
      </c>
      <c r="E484" s="442" t="s">
        <v>648</v>
      </c>
      <c r="F484" s="442" t="s">
        <v>648</v>
      </c>
      <c r="G484" s="442" t="s">
        <v>648</v>
      </c>
      <c r="H484" s="442" t="s">
        <v>648</v>
      </c>
      <c r="I484" s="442" t="s">
        <v>648</v>
      </c>
      <c r="J484" s="442">
        <v>10178</v>
      </c>
      <c r="K484" s="442">
        <v>5032</v>
      </c>
      <c r="L484" s="442">
        <v>391</v>
      </c>
      <c r="M484" s="442">
        <v>388</v>
      </c>
      <c r="N484" s="442">
        <v>638</v>
      </c>
      <c r="O484" s="442">
        <v>11</v>
      </c>
      <c r="P484" s="442" t="s">
        <v>648</v>
      </c>
      <c r="Q484" s="442">
        <v>3172</v>
      </c>
      <c r="R484" s="442" t="s">
        <v>648</v>
      </c>
      <c r="S484" s="442" t="s">
        <v>648</v>
      </c>
      <c r="T484" s="442">
        <v>16</v>
      </c>
      <c r="U484" s="442">
        <v>55</v>
      </c>
      <c r="V484" s="442">
        <v>243</v>
      </c>
      <c r="W484" s="447" t="s">
        <v>93</v>
      </c>
    </row>
    <row r="485" spans="1:23" s="442" customFormat="1" ht="9.75" customHeight="1" x14ac:dyDescent="0.15">
      <c r="A485" s="950" t="s">
        <v>801</v>
      </c>
      <c r="B485" s="442">
        <v>3</v>
      </c>
      <c r="C485" s="442" t="s">
        <v>648</v>
      </c>
      <c r="D485" s="442">
        <v>2</v>
      </c>
      <c r="E485" s="442">
        <v>1</v>
      </c>
      <c r="F485" s="442" t="s">
        <v>648</v>
      </c>
      <c r="G485" s="442" t="s">
        <v>648</v>
      </c>
      <c r="H485" s="442" t="s">
        <v>648</v>
      </c>
      <c r="I485" s="442" t="s">
        <v>648</v>
      </c>
      <c r="J485" s="442">
        <v>12155</v>
      </c>
      <c r="K485" s="442">
        <v>5718</v>
      </c>
      <c r="L485" s="442">
        <v>890</v>
      </c>
      <c r="M485" s="442">
        <v>397</v>
      </c>
      <c r="N485" s="442">
        <v>1230</v>
      </c>
      <c r="O485" s="442">
        <v>11</v>
      </c>
      <c r="P485" s="442">
        <v>4</v>
      </c>
      <c r="Q485" s="442">
        <v>2739</v>
      </c>
      <c r="R485" s="442" t="s">
        <v>648</v>
      </c>
      <c r="S485" s="442">
        <v>1</v>
      </c>
      <c r="T485" s="442">
        <v>41</v>
      </c>
      <c r="U485" s="442">
        <v>21</v>
      </c>
      <c r="V485" s="442">
        <v>183</v>
      </c>
      <c r="W485" s="447" t="s">
        <v>94</v>
      </c>
    </row>
    <row r="486" spans="1:23" s="442" customFormat="1" ht="9.75" customHeight="1" x14ac:dyDescent="0.15">
      <c r="A486" s="950" t="s">
        <v>809</v>
      </c>
      <c r="B486" s="442">
        <v>5</v>
      </c>
      <c r="C486" s="442" t="s">
        <v>648</v>
      </c>
      <c r="D486" s="442">
        <v>3</v>
      </c>
      <c r="E486" s="442">
        <v>2</v>
      </c>
      <c r="F486" s="442" t="s">
        <v>648</v>
      </c>
      <c r="G486" s="442" t="s">
        <v>648</v>
      </c>
      <c r="H486" s="442" t="s">
        <v>648</v>
      </c>
      <c r="I486" s="442" t="s">
        <v>648</v>
      </c>
      <c r="J486" s="442">
        <v>15762</v>
      </c>
      <c r="K486" s="442">
        <v>5049</v>
      </c>
      <c r="L486" s="442">
        <v>661</v>
      </c>
      <c r="M486" s="442">
        <v>400</v>
      </c>
      <c r="N486" s="442">
        <v>354</v>
      </c>
      <c r="O486" s="442">
        <v>11</v>
      </c>
      <c r="P486" s="442">
        <v>22</v>
      </c>
      <c r="Q486" s="442">
        <v>3281</v>
      </c>
      <c r="R486" s="442" t="s">
        <v>648</v>
      </c>
      <c r="S486" s="442" t="s">
        <v>648</v>
      </c>
      <c r="T486" s="442">
        <v>56</v>
      </c>
      <c r="U486" s="442">
        <v>44</v>
      </c>
      <c r="V486" s="442">
        <v>62</v>
      </c>
      <c r="W486" s="447" t="s">
        <v>777</v>
      </c>
    </row>
    <row r="487" spans="1:23" s="442" customFormat="1" ht="6.75" customHeight="1" x14ac:dyDescent="0.15">
      <c r="A487" s="950"/>
      <c r="W487" s="447"/>
    </row>
    <row r="488" spans="1:23" s="442" customFormat="1" ht="9.75" customHeight="1" x14ac:dyDescent="0.15">
      <c r="A488" s="950" t="s">
        <v>778</v>
      </c>
      <c r="B488" s="442">
        <v>1</v>
      </c>
      <c r="C488" s="442" t="s">
        <v>648</v>
      </c>
      <c r="D488" s="442">
        <v>1</v>
      </c>
      <c r="E488" s="442" t="s">
        <v>648</v>
      </c>
      <c r="F488" s="442" t="s">
        <v>648</v>
      </c>
      <c r="G488" s="442" t="s">
        <v>648</v>
      </c>
      <c r="H488" s="442" t="s">
        <v>648</v>
      </c>
      <c r="I488" s="442" t="s">
        <v>648</v>
      </c>
      <c r="J488" s="442">
        <v>2137</v>
      </c>
      <c r="K488" s="442">
        <v>1145</v>
      </c>
      <c r="L488" s="442">
        <v>95</v>
      </c>
      <c r="M488" s="442">
        <v>133</v>
      </c>
      <c r="N488" s="442">
        <v>156</v>
      </c>
      <c r="O488" s="442" t="s">
        <v>648</v>
      </c>
      <c r="P488" s="442">
        <v>5</v>
      </c>
      <c r="Q488" s="442">
        <v>623</v>
      </c>
      <c r="R488" s="442" t="s">
        <v>648</v>
      </c>
      <c r="S488" s="442" t="s">
        <v>648</v>
      </c>
      <c r="T488" s="442" t="s">
        <v>648</v>
      </c>
      <c r="U488" s="442">
        <v>12</v>
      </c>
      <c r="V488" s="442" t="s">
        <v>648</v>
      </c>
      <c r="W488" s="447" t="s">
        <v>675</v>
      </c>
    </row>
    <row r="489" spans="1:23" s="442" customFormat="1" ht="9.75" customHeight="1" x14ac:dyDescent="0.15">
      <c r="A489" s="950" t="s">
        <v>779</v>
      </c>
      <c r="B489" s="442">
        <v>5</v>
      </c>
      <c r="C489" s="442">
        <v>2</v>
      </c>
      <c r="D489" s="442">
        <v>2</v>
      </c>
      <c r="E489" s="442">
        <v>1</v>
      </c>
      <c r="F489" s="442" t="s">
        <v>648</v>
      </c>
      <c r="G489" s="442" t="s">
        <v>648</v>
      </c>
      <c r="H489" s="442" t="s">
        <v>648</v>
      </c>
      <c r="I489" s="442" t="s">
        <v>648</v>
      </c>
      <c r="J489" s="442">
        <v>4147</v>
      </c>
      <c r="K489" s="442">
        <v>1695</v>
      </c>
      <c r="L489" s="442">
        <v>320</v>
      </c>
      <c r="M489" s="442">
        <v>142</v>
      </c>
      <c r="N489" s="442">
        <v>36</v>
      </c>
      <c r="O489" s="442" t="s">
        <v>648</v>
      </c>
      <c r="P489" s="442">
        <v>17</v>
      </c>
      <c r="Q489" s="442">
        <v>1012</v>
      </c>
      <c r="R489" s="442" t="s">
        <v>648</v>
      </c>
      <c r="S489" s="442" t="s">
        <v>648</v>
      </c>
      <c r="T489" s="442">
        <v>41</v>
      </c>
      <c r="U489" s="442">
        <v>11</v>
      </c>
      <c r="V489" s="442">
        <v>52</v>
      </c>
      <c r="W489" s="447" t="s">
        <v>80</v>
      </c>
    </row>
    <row r="490" spans="1:23" s="442" customFormat="1" ht="9.75" customHeight="1" x14ac:dyDescent="0.15">
      <c r="A490" s="950" t="s">
        <v>780</v>
      </c>
      <c r="B490" s="442" t="s">
        <v>648</v>
      </c>
      <c r="C490" s="442" t="s">
        <v>648</v>
      </c>
      <c r="D490" s="442" t="s">
        <v>648</v>
      </c>
      <c r="E490" s="442" t="s">
        <v>648</v>
      </c>
      <c r="F490" s="442" t="s">
        <v>648</v>
      </c>
      <c r="G490" s="442" t="s">
        <v>648</v>
      </c>
      <c r="H490" s="442" t="s">
        <v>648</v>
      </c>
      <c r="I490" s="442" t="s">
        <v>648</v>
      </c>
      <c r="J490" s="442">
        <v>7290</v>
      </c>
      <c r="K490" s="442">
        <v>1257</v>
      </c>
      <c r="L490" s="442">
        <v>121</v>
      </c>
      <c r="M490" s="442">
        <v>276</v>
      </c>
      <c r="N490" s="442">
        <v>44</v>
      </c>
      <c r="O490" s="442">
        <v>7</v>
      </c>
      <c r="P490" s="442">
        <v>35</v>
      </c>
      <c r="Q490" s="442">
        <v>743</v>
      </c>
      <c r="R490" s="442" t="s">
        <v>648</v>
      </c>
      <c r="S490" s="442">
        <v>1</v>
      </c>
      <c r="T490" s="442" t="s">
        <v>648</v>
      </c>
      <c r="U490" s="442">
        <v>11</v>
      </c>
      <c r="V490" s="442">
        <v>1</v>
      </c>
      <c r="W490" s="447" t="s">
        <v>81</v>
      </c>
    </row>
    <row r="491" spans="1:23" s="442" customFormat="1" ht="9.75" customHeight="1" x14ac:dyDescent="0.15">
      <c r="A491" s="950" t="s">
        <v>781</v>
      </c>
      <c r="B491" s="442">
        <v>4</v>
      </c>
      <c r="C491" s="442">
        <v>1</v>
      </c>
      <c r="D491" s="442">
        <v>3</v>
      </c>
      <c r="E491" s="442" t="s">
        <v>648</v>
      </c>
      <c r="F491" s="442" t="s">
        <v>648</v>
      </c>
      <c r="G491" s="442" t="s">
        <v>648</v>
      </c>
      <c r="H491" s="442" t="s">
        <v>648</v>
      </c>
      <c r="I491" s="442" t="s">
        <v>648</v>
      </c>
      <c r="J491" s="442">
        <v>3468</v>
      </c>
      <c r="K491" s="442">
        <v>2008</v>
      </c>
      <c r="L491" s="442">
        <v>225</v>
      </c>
      <c r="M491" s="442">
        <v>121</v>
      </c>
      <c r="N491" s="442">
        <v>366</v>
      </c>
      <c r="O491" s="442" t="s">
        <v>648</v>
      </c>
      <c r="P491" s="442">
        <v>21</v>
      </c>
      <c r="Q491" s="442">
        <v>1157</v>
      </c>
      <c r="R491" s="442" t="s">
        <v>648</v>
      </c>
      <c r="S491" s="442" t="s">
        <v>648</v>
      </c>
      <c r="T491" s="442" t="s">
        <v>648</v>
      </c>
      <c r="U491" s="442" t="s">
        <v>648</v>
      </c>
      <c r="V491" s="442">
        <v>18</v>
      </c>
      <c r="W491" s="447" t="s">
        <v>82</v>
      </c>
    </row>
    <row r="492" spans="1:23" s="442" customFormat="1" ht="9.75" customHeight="1" x14ac:dyDescent="0.15">
      <c r="A492" s="950" t="s">
        <v>782</v>
      </c>
      <c r="B492" s="442">
        <v>1</v>
      </c>
      <c r="C492" s="442" t="s">
        <v>648</v>
      </c>
      <c r="D492" s="442" t="s">
        <v>648</v>
      </c>
      <c r="E492" s="442">
        <v>1</v>
      </c>
      <c r="F492" s="442" t="s">
        <v>648</v>
      </c>
      <c r="G492" s="442" t="s">
        <v>648</v>
      </c>
      <c r="H492" s="442" t="s">
        <v>648</v>
      </c>
      <c r="I492" s="442" t="s">
        <v>648</v>
      </c>
      <c r="J492" s="442">
        <v>2691</v>
      </c>
      <c r="K492" s="442">
        <v>1619</v>
      </c>
      <c r="L492" s="442">
        <v>276</v>
      </c>
      <c r="M492" s="442">
        <v>269</v>
      </c>
      <c r="N492" s="442">
        <v>72</v>
      </c>
      <c r="O492" s="442" t="s">
        <v>648</v>
      </c>
      <c r="P492" s="442">
        <v>4</v>
      </c>
      <c r="Q492" s="442">
        <v>846</v>
      </c>
      <c r="R492" s="442" t="s">
        <v>648</v>
      </c>
      <c r="S492" s="442" t="s">
        <v>648</v>
      </c>
      <c r="T492" s="442">
        <v>16</v>
      </c>
      <c r="U492" s="442">
        <v>1</v>
      </c>
      <c r="V492" s="442">
        <v>75</v>
      </c>
      <c r="W492" s="447" t="s">
        <v>95</v>
      </c>
    </row>
    <row r="493" spans="1:23" s="442" customFormat="1" ht="9.75" customHeight="1" x14ac:dyDescent="0.15">
      <c r="A493" s="950" t="s">
        <v>783</v>
      </c>
      <c r="B493" s="442">
        <v>1</v>
      </c>
      <c r="C493" s="442" t="s">
        <v>648</v>
      </c>
      <c r="D493" s="442">
        <v>1</v>
      </c>
      <c r="E493" s="442" t="s">
        <v>648</v>
      </c>
      <c r="F493" s="442" t="s">
        <v>648</v>
      </c>
      <c r="G493" s="442" t="s">
        <v>648</v>
      </c>
      <c r="H493" s="442" t="s">
        <v>648</v>
      </c>
      <c r="I493" s="442" t="s">
        <v>648</v>
      </c>
      <c r="J493" s="442">
        <v>2092</v>
      </c>
      <c r="K493" s="442">
        <v>993</v>
      </c>
      <c r="L493" s="442">
        <v>226</v>
      </c>
      <c r="M493" s="442">
        <v>106</v>
      </c>
      <c r="N493" s="442">
        <v>332</v>
      </c>
      <c r="O493" s="442" t="s">
        <v>648</v>
      </c>
      <c r="P493" s="442" t="s">
        <v>648</v>
      </c>
      <c r="Q493" s="442">
        <v>243</v>
      </c>
      <c r="R493" s="442">
        <v>16</v>
      </c>
      <c r="S493" s="442">
        <v>3</v>
      </c>
      <c r="T493" s="442" t="s">
        <v>648</v>
      </c>
      <c r="U493" s="442">
        <v>23</v>
      </c>
      <c r="V493" s="442">
        <v>18</v>
      </c>
      <c r="W493" s="447" t="s">
        <v>96</v>
      </c>
    </row>
    <row r="494" spans="1:23" s="442" customFormat="1" ht="9.75" customHeight="1" x14ac:dyDescent="0.15">
      <c r="A494" s="950" t="s">
        <v>784</v>
      </c>
      <c r="B494" s="442">
        <v>1</v>
      </c>
      <c r="C494" s="442" t="s">
        <v>648</v>
      </c>
      <c r="D494" s="442">
        <v>1</v>
      </c>
      <c r="E494" s="442" t="s">
        <v>648</v>
      </c>
      <c r="F494" s="442" t="s">
        <v>648</v>
      </c>
      <c r="G494" s="442" t="s">
        <v>648</v>
      </c>
      <c r="H494" s="442" t="s">
        <v>648</v>
      </c>
      <c r="I494" s="442" t="s">
        <v>648</v>
      </c>
      <c r="J494" s="442">
        <v>3280</v>
      </c>
      <c r="K494" s="442">
        <v>2277</v>
      </c>
      <c r="L494" s="442">
        <v>136</v>
      </c>
      <c r="M494" s="442">
        <v>159</v>
      </c>
      <c r="N494" s="442">
        <v>436</v>
      </c>
      <c r="O494" s="442">
        <v>11</v>
      </c>
      <c r="P494" s="442" t="s">
        <v>648</v>
      </c>
      <c r="Q494" s="442">
        <v>1325</v>
      </c>
      <c r="R494" s="442" t="s">
        <v>648</v>
      </c>
      <c r="S494" s="442" t="s">
        <v>648</v>
      </c>
      <c r="T494" s="442">
        <v>16</v>
      </c>
      <c r="U494" s="442">
        <v>11</v>
      </c>
      <c r="V494" s="442">
        <v>130</v>
      </c>
      <c r="W494" s="447" t="s">
        <v>97</v>
      </c>
    </row>
    <row r="495" spans="1:23" s="442" customFormat="1" ht="9.75" customHeight="1" x14ac:dyDescent="0.15">
      <c r="A495" s="950" t="s">
        <v>806</v>
      </c>
      <c r="B495" s="442">
        <v>5</v>
      </c>
      <c r="C495" s="442">
        <v>1</v>
      </c>
      <c r="D495" s="442">
        <v>4</v>
      </c>
      <c r="E495" s="442" t="s">
        <v>648</v>
      </c>
      <c r="F495" s="442" t="s">
        <v>648</v>
      </c>
      <c r="G495" s="442" t="s">
        <v>648</v>
      </c>
      <c r="H495" s="442" t="s">
        <v>648</v>
      </c>
      <c r="I495" s="442" t="s">
        <v>648</v>
      </c>
      <c r="J495" s="442">
        <v>3820</v>
      </c>
      <c r="K495" s="442">
        <v>1228</v>
      </c>
      <c r="L495" s="442">
        <v>77</v>
      </c>
      <c r="M495" s="442">
        <v>47</v>
      </c>
      <c r="N495" s="442">
        <v>49</v>
      </c>
      <c r="O495" s="442" t="s">
        <v>648</v>
      </c>
      <c r="P495" s="442" t="s">
        <v>648</v>
      </c>
      <c r="Q495" s="442">
        <v>935</v>
      </c>
      <c r="R495" s="442" t="s">
        <v>648</v>
      </c>
      <c r="S495" s="442" t="s">
        <v>648</v>
      </c>
      <c r="T495" s="442" t="s">
        <v>648</v>
      </c>
      <c r="U495" s="442">
        <v>22</v>
      </c>
      <c r="V495" s="442">
        <v>50</v>
      </c>
      <c r="W495" s="447" t="s">
        <v>98</v>
      </c>
    </row>
    <row r="496" spans="1:23" s="442" customFormat="1" ht="9.75" customHeight="1" x14ac:dyDescent="0.15">
      <c r="A496" s="950" t="s">
        <v>1158</v>
      </c>
      <c r="B496" s="442">
        <v>2</v>
      </c>
      <c r="C496" s="442">
        <v>1</v>
      </c>
      <c r="D496" s="442">
        <v>1</v>
      </c>
      <c r="E496" s="442" t="s">
        <v>648</v>
      </c>
      <c r="F496" s="442" t="s">
        <v>648</v>
      </c>
      <c r="G496" s="442" t="s">
        <v>648</v>
      </c>
      <c r="H496" s="442" t="s">
        <v>648</v>
      </c>
      <c r="I496" s="442" t="s">
        <v>648</v>
      </c>
      <c r="J496" s="442">
        <v>3078</v>
      </c>
      <c r="K496" s="442">
        <v>1527</v>
      </c>
      <c r="L496" s="442">
        <v>178</v>
      </c>
      <c r="M496" s="442">
        <v>182</v>
      </c>
      <c r="N496" s="442">
        <v>153</v>
      </c>
      <c r="O496" s="442" t="s">
        <v>648</v>
      </c>
      <c r="P496" s="442" t="s">
        <v>648</v>
      </c>
      <c r="Q496" s="442">
        <v>912</v>
      </c>
      <c r="R496" s="442" t="s">
        <v>648</v>
      </c>
      <c r="S496" s="442" t="s">
        <v>648</v>
      </c>
      <c r="T496" s="442" t="s">
        <v>648</v>
      </c>
      <c r="U496" s="442">
        <v>22</v>
      </c>
      <c r="V496" s="442">
        <v>63</v>
      </c>
      <c r="W496" s="447" t="s">
        <v>99</v>
      </c>
    </row>
    <row r="497" spans="1:23" s="442" customFormat="1" ht="9.75" customHeight="1" x14ac:dyDescent="0.15">
      <c r="A497" s="950" t="s">
        <v>1149</v>
      </c>
      <c r="B497" s="442">
        <v>3</v>
      </c>
      <c r="C497" s="442" t="s">
        <v>648</v>
      </c>
      <c r="D497" s="442">
        <v>2</v>
      </c>
      <c r="E497" s="442">
        <v>1</v>
      </c>
      <c r="F497" s="442" t="s">
        <v>648</v>
      </c>
      <c r="G497" s="442" t="s">
        <v>648</v>
      </c>
      <c r="H497" s="442" t="s">
        <v>648</v>
      </c>
      <c r="I497" s="442" t="s">
        <v>648</v>
      </c>
      <c r="J497" s="442">
        <v>5241</v>
      </c>
      <c r="K497" s="442">
        <v>2016</v>
      </c>
      <c r="L497" s="442">
        <v>294</v>
      </c>
      <c r="M497" s="442">
        <v>122</v>
      </c>
      <c r="N497" s="442">
        <v>502</v>
      </c>
      <c r="O497" s="442">
        <v>11</v>
      </c>
      <c r="P497" s="442" t="s">
        <v>648</v>
      </c>
      <c r="Q497" s="442">
        <v>847</v>
      </c>
      <c r="R497" s="442" t="s">
        <v>648</v>
      </c>
      <c r="S497" s="442" t="s">
        <v>648</v>
      </c>
      <c r="T497" s="442">
        <v>25</v>
      </c>
      <c r="U497" s="442" t="s">
        <v>648</v>
      </c>
      <c r="V497" s="442">
        <v>120</v>
      </c>
      <c r="W497" s="447" t="s">
        <v>83</v>
      </c>
    </row>
    <row r="498" spans="1:23" s="442" customFormat="1" ht="9.75" customHeight="1" x14ac:dyDescent="0.15">
      <c r="A498" s="950" t="s">
        <v>788</v>
      </c>
      <c r="B498" s="442" t="s">
        <v>648</v>
      </c>
      <c r="C498" s="442" t="s">
        <v>648</v>
      </c>
      <c r="D498" s="442" t="s">
        <v>648</v>
      </c>
      <c r="E498" s="442" t="s">
        <v>648</v>
      </c>
      <c r="F498" s="442" t="s">
        <v>648</v>
      </c>
      <c r="G498" s="442" t="s">
        <v>648</v>
      </c>
      <c r="H498" s="442" t="s">
        <v>648</v>
      </c>
      <c r="I498" s="442" t="s">
        <v>648</v>
      </c>
      <c r="J498" s="442">
        <v>3899</v>
      </c>
      <c r="K498" s="442">
        <v>2018</v>
      </c>
      <c r="L498" s="442">
        <v>308</v>
      </c>
      <c r="M498" s="442">
        <v>104</v>
      </c>
      <c r="N498" s="442">
        <v>500</v>
      </c>
      <c r="O498" s="442" t="s">
        <v>648</v>
      </c>
      <c r="P498" s="442">
        <v>4</v>
      </c>
      <c r="Q498" s="442">
        <v>1062</v>
      </c>
      <c r="R498" s="442" t="s">
        <v>648</v>
      </c>
      <c r="S498" s="442">
        <v>1</v>
      </c>
      <c r="T498" s="442">
        <v>16</v>
      </c>
      <c r="U498" s="442">
        <v>11</v>
      </c>
      <c r="V498" s="442">
        <v>11</v>
      </c>
      <c r="W498" s="447" t="s">
        <v>84</v>
      </c>
    </row>
    <row r="499" spans="1:23" s="442" customFormat="1" ht="9.75" customHeight="1" x14ac:dyDescent="0.15">
      <c r="A499" s="950" t="s">
        <v>789</v>
      </c>
      <c r="B499" s="442" t="s">
        <v>648</v>
      </c>
      <c r="C499" s="442" t="s">
        <v>648</v>
      </c>
      <c r="D499" s="442" t="s">
        <v>648</v>
      </c>
      <c r="E499" s="442" t="s">
        <v>648</v>
      </c>
      <c r="F499" s="442" t="s">
        <v>648</v>
      </c>
      <c r="G499" s="442" t="s">
        <v>648</v>
      </c>
      <c r="H499" s="442" t="s">
        <v>648</v>
      </c>
      <c r="I499" s="442" t="s">
        <v>648</v>
      </c>
      <c r="J499" s="442">
        <v>3015</v>
      </c>
      <c r="K499" s="442">
        <v>1684</v>
      </c>
      <c r="L499" s="442">
        <v>288</v>
      </c>
      <c r="M499" s="442">
        <v>171</v>
      </c>
      <c r="N499" s="442">
        <v>228</v>
      </c>
      <c r="O499" s="442" t="s">
        <v>648</v>
      </c>
      <c r="P499" s="442" t="s">
        <v>648</v>
      </c>
      <c r="Q499" s="442">
        <v>830</v>
      </c>
      <c r="R499" s="442" t="s">
        <v>648</v>
      </c>
      <c r="S499" s="442" t="s">
        <v>648</v>
      </c>
      <c r="T499" s="442" t="s">
        <v>648</v>
      </c>
      <c r="U499" s="442">
        <v>10</v>
      </c>
      <c r="V499" s="442">
        <v>52</v>
      </c>
      <c r="W499" s="447" t="s">
        <v>85</v>
      </c>
    </row>
    <row r="500" spans="1:23" s="442" customFormat="1" ht="9.75" customHeight="1" x14ac:dyDescent="0.15">
      <c r="A500" s="950" t="s">
        <v>790</v>
      </c>
      <c r="B500" s="442">
        <v>3</v>
      </c>
      <c r="C500" s="442" t="s">
        <v>648</v>
      </c>
      <c r="D500" s="442">
        <v>2</v>
      </c>
      <c r="E500" s="442">
        <v>1</v>
      </c>
      <c r="F500" s="442" t="s">
        <v>648</v>
      </c>
      <c r="G500" s="442" t="s">
        <v>648</v>
      </c>
      <c r="H500" s="442" t="s">
        <v>648</v>
      </c>
      <c r="I500" s="442" t="s">
        <v>648</v>
      </c>
      <c r="J500" s="442">
        <v>4723</v>
      </c>
      <c r="K500" s="442">
        <v>1001</v>
      </c>
      <c r="L500" s="442">
        <v>138</v>
      </c>
      <c r="M500" s="442">
        <v>109</v>
      </c>
      <c r="N500" s="442">
        <v>3</v>
      </c>
      <c r="O500" s="442" t="s">
        <v>648</v>
      </c>
      <c r="P500" s="442" t="s">
        <v>648</v>
      </c>
      <c r="Q500" s="442">
        <v>603</v>
      </c>
      <c r="R500" s="442" t="s">
        <v>648</v>
      </c>
      <c r="S500" s="442" t="s">
        <v>648</v>
      </c>
      <c r="T500" s="442" t="s">
        <v>648</v>
      </c>
      <c r="U500" s="442">
        <v>33</v>
      </c>
      <c r="V500" s="442">
        <v>45</v>
      </c>
      <c r="W500" s="447" t="s">
        <v>791</v>
      </c>
    </row>
    <row r="501" spans="1:23" s="442" customFormat="1" ht="9.75" customHeight="1" x14ac:dyDescent="0.15">
      <c r="A501" s="950" t="s">
        <v>792</v>
      </c>
      <c r="B501" s="442" t="s">
        <v>648</v>
      </c>
      <c r="C501" s="442" t="s">
        <v>648</v>
      </c>
      <c r="D501" s="442" t="s">
        <v>648</v>
      </c>
      <c r="E501" s="442" t="s">
        <v>648</v>
      </c>
      <c r="F501" s="442" t="s">
        <v>648</v>
      </c>
      <c r="G501" s="442" t="s">
        <v>648</v>
      </c>
      <c r="H501" s="442" t="s">
        <v>648</v>
      </c>
      <c r="I501" s="442" t="s">
        <v>648</v>
      </c>
      <c r="J501" s="442">
        <v>5923</v>
      </c>
      <c r="K501" s="442">
        <v>2152</v>
      </c>
      <c r="L501" s="442">
        <v>192</v>
      </c>
      <c r="M501" s="442">
        <v>134</v>
      </c>
      <c r="N501" s="442">
        <v>348</v>
      </c>
      <c r="O501" s="442" t="s">
        <v>648</v>
      </c>
      <c r="P501" s="442">
        <v>22</v>
      </c>
      <c r="Q501" s="442">
        <v>1369</v>
      </c>
      <c r="R501" s="442" t="s">
        <v>648</v>
      </c>
      <c r="S501" s="442" t="s">
        <v>648</v>
      </c>
      <c r="T501" s="442" t="s">
        <v>648</v>
      </c>
      <c r="U501" s="442" t="s">
        <v>648</v>
      </c>
      <c r="V501" s="442">
        <v>17</v>
      </c>
      <c r="W501" s="447" t="s">
        <v>80</v>
      </c>
    </row>
    <row r="502" spans="1:23" s="442" customFormat="1" ht="9.75" customHeight="1" x14ac:dyDescent="0.15">
      <c r="A502" s="951" t="s">
        <v>793</v>
      </c>
      <c r="B502" s="446">
        <v>2</v>
      </c>
      <c r="C502" s="445" t="s">
        <v>648</v>
      </c>
      <c r="D502" s="445">
        <v>1</v>
      </c>
      <c r="E502" s="445">
        <v>1</v>
      </c>
      <c r="F502" s="445" t="s">
        <v>648</v>
      </c>
      <c r="G502" s="445" t="s">
        <v>648</v>
      </c>
      <c r="H502" s="445" t="s">
        <v>648</v>
      </c>
      <c r="I502" s="445" t="s">
        <v>648</v>
      </c>
      <c r="J502" s="445">
        <v>5116</v>
      </c>
      <c r="K502" s="445">
        <v>1896</v>
      </c>
      <c r="L502" s="445">
        <v>331</v>
      </c>
      <c r="M502" s="445">
        <v>157</v>
      </c>
      <c r="N502" s="445">
        <v>3</v>
      </c>
      <c r="O502" s="445">
        <v>11</v>
      </c>
      <c r="P502" s="445" t="s">
        <v>648</v>
      </c>
      <c r="Q502" s="445">
        <v>1309</v>
      </c>
      <c r="R502" s="445" t="s">
        <v>648</v>
      </c>
      <c r="S502" s="445" t="s">
        <v>648</v>
      </c>
      <c r="T502" s="445">
        <v>56</v>
      </c>
      <c r="U502" s="445">
        <v>11</v>
      </c>
      <c r="V502" s="445" t="s">
        <v>648</v>
      </c>
      <c r="W502" s="443" t="s">
        <v>81</v>
      </c>
    </row>
    <row r="503" spans="1:23" ht="12" customHeight="1" x14ac:dyDescent="0.2"/>
    <row r="504" spans="1:23" ht="12" customHeight="1" x14ac:dyDescent="0.2"/>
    <row r="505" spans="1:23" ht="12" customHeight="1" x14ac:dyDescent="0.15">
      <c r="K505" s="457" t="s">
        <v>100</v>
      </c>
      <c r="V505" s="460" t="s">
        <v>715</v>
      </c>
    </row>
    <row r="506" spans="1:23" s="453" customFormat="1" ht="21" customHeight="1" x14ac:dyDescent="0.2">
      <c r="A506" s="1089" t="s">
        <v>194</v>
      </c>
      <c r="B506" s="456" t="s">
        <v>360</v>
      </c>
      <c r="C506" s="455"/>
      <c r="D506" s="455"/>
      <c r="E506" s="455"/>
      <c r="F506" s="455"/>
      <c r="G506" s="455"/>
      <c r="H506" s="455"/>
      <c r="I506" s="455"/>
      <c r="J506" s="455"/>
      <c r="K506" s="455"/>
      <c r="L506" s="455"/>
      <c r="M506" s="455"/>
      <c r="N506" s="455"/>
      <c r="O506" s="455"/>
      <c r="P506" s="455"/>
      <c r="Q506" s="455"/>
      <c r="R506" s="455"/>
      <c r="S506" s="455"/>
      <c r="T506" s="455"/>
      <c r="U506" s="455"/>
      <c r="V506" s="455"/>
      <c r="W506" s="1092" t="s">
        <v>86</v>
      </c>
    </row>
    <row r="507" spans="1:23" s="453" customFormat="1" ht="21" customHeight="1" x14ac:dyDescent="0.2">
      <c r="A507" s="1090"/>
      <c r="B507" s="456" t="s">
        <v>290</v>
      </c>
      <c r="C507" s="455"/>
      <c r="D507" s="455"/>
      <c r="E507" s="455"/>
      <c r="F507" s="917"/>
      <c r="G507" s="918" t="s">
        <v>289</v>
      </c>
      <c r="H507" s="455"/>
      <c r="I507" s="455"/>
      <c r="J507" s="455"/>
      <c r="K507" s="455"/>
      <c r="L507" s="455"/>
      <c r="M507" s="455"/>
      <c r="N507" s="455"/>
      <c r="O507" s="917"/>
      <c r="P507" s="918" t="s">
        <v>288</v>
      </c>
      <c r="Q507" s="455"/>
      <c r="R507" s="455"/>
      <c r="S507" s="455"/>
      <c r="T507" s="455"/>
      <c r="U507" s="455"/>
      <c r="V507" s="455"/>
      <c r="W507" s="1093"/>
    </row>
    <row r="508" spans="1:23" s="453" customFormat="1" ht="52.5" customHeight="1" x14ac:dyDescent="0.2">
      <c r="A508" s="1091"/>
      <c r="B508" s="454" t="s">
        <v>341</v>
      </c>
      <c r="C508" s="454" t="s">
        <v>340</v>
      </c>
      <c r="D508" s="454" t="s">
        <v>339</v>
      </c>
      <c r="E508" s="454" t="s">
        <v>294</v>
      </c>
      <c r="F508" s="459" t="s">
        <v>1087</v>
      </c>
      <c r="G508" s="920" t="s">
        <v>109</v>
      </c>
      <c r="H508" s="454" t="s">
        <v>161</v>
      </c>
      <c r="I508" s="454" t="s">
        <v>1137</v>
      </c>
      <c r="J508" s="459" t="s">
        <v>714</v>
      </c>
      <c r="K508" s="454" t="s">
        <v>312</v>
      </c>
      <c r="L508" s="454" t="s">
        <v>276</v>
      </c>
      <c r="M508" s="454" t="s">
        <v>362</v>
      </c>
      <c r="N508" s="454" t="s">
        <v>337</v>
      </c>
      <c r="O508" s="454" t="s">
        <v>311</v>
      </c>
      <c r="P508" s="920" t="s">
        <v>1089</v>
      </c>
      <c r="Q508" s="454" t="s">
        <v>310</v>
      </c>
      <c r="R508" s="454" t="s">
        <v>274</v>
      </c>
      <c r="S508" s="454" t="s">
        <v>334</v>
      </c>
      <c r="T508" s="454" t="s">
        <v>361</v>
      </c>
      <c r="U508" s="454" t="s">
        <v>300</v>
      </c>
      <c r="V508" s="458" t="s">
        <v>1159</v>
      </c>
      <c r="W508" s="1094"/>
    </row>
    <row r="509" spans="1:23" s="442" customFormat="1" ht="9.75" customHeight="1" x14ac:dyDescent="0.15">
      <c r="A509" s="949" t="s">
        <v>763</v>
      </c>
      <c r="B509" s="452">
        <v>35</v>
      </c>
      <c r="C509" s="451">
        <v>692</v>
      </c>
      <c r="D509" s="451">
        <v>4</v>
      </c>
      <c r="E509" s="451">
        <v>8</v>
      </c>
      <c r="F509" s="451" t="s">
        <v>648</v>
      </c>
      <c r="G509" s="451">
        <v>4721</v>
      </c>
      <c r="H509" s="451">
        <v>2</v>
      </c>
      <c r="I509" s="451" t="s">
        <v>648</v>
      </c>
      <c r="J509" s="451">
        <v>36</v>
      </c>
      <c r="K509" s="451">
        <v>4117</v>
      </c>
      <c r="L509" s="451">
        <v>35</v>
      </c>
      <c r="M509" s="451">
        <v>269</v>
      </c>
      <c r="N509" s="451" t="s">
        <v>648</v>
      </c>
      <c r="O509" s="451">
        <v>262</v>
      </c>
      <c r="P509" s="451">
        <v>23387</v>
      </c>
      <c r="Q509" s="451" t="s">
        <v>648</v>
      </c>
      <c r="R509" s="451">
        <v>22300</v>
      </c>
      <c r="S509" s="451">
        <v>17</v>
      </c>
      <c r="T509" s="451">
        <v>69</v>
      </c>
      <c r="U509" s="451">
        <v>17</v>
      </c>
      <c r="V509" s="451">
        <v>397</v>
      </c>
      <c r="W509" s="449" t="s">
        <v>464</v>
      </c>
    </row>
    <row r="510" spans="1:23" s="442" customFormat="1" ht="9.75" customHeight="1" x14ac:dyDescent="0.15">
      <c r="A510" s="950" t="s">
        <v>764</v>
      </c>
      <c r="B510" s="442">
        <v>107</v>
      </c>
      <c r="C510" s="442">
        <v>544</v>
      </c>
      <c r="D510" s="442">
        <v>8</v>
      </c>
      <c r="E510" s="442">
        <v>8</v>
      </c>
      <c r="F510" s="442" t="s">
        <v>648</v>
      </c>
      <c r="G510" s="442">
        <v>1442</v>
      </c>
      <c r="H510" s="442">
        <v>3</v>
      </c>
      <c r="I510" s="442">
        <v>5</v>
      </c>
      <c r="J510" s="442">
        <v>18</v>
      </c>
      <c r="K510" s="442">
        <v>946</v>
      </c>
      <c r="L510" s="442">
        <v>11</v>
      </c>
      <c r="M510" s="442">
        <v>336</v>
      </c>
      <c r="N510" s="442" t="s">
        <v>648</v>
      </c>
      <c r="O510" s="442">
        <v>123</v>
      </c>
      <c r="P510" s="442">
        <v>19309</v>
      </c>
      <c r="Q510" s="442">
        <v>189</v>
      </c>
      <c r="R510" s="442">
        <v>18622</v>
      </c>
      <c r="S510" s="442">
        <v>17</v>
      </c>
      <c r="T510" s="442" t="s">
        <v>648</v>
      </c>
      <c r="U510" s="442" t="s">
        <v>648</v>
      </c>
      <c r="V510" s="442">
        <v>481</v>
      </c>
      <c r="W510" s="447" t="s">
        <v>489</v>
      </c>
    </row>
    <row r="511" spans="1:23" s="442" customFormat="1" ht="9.75" customHeight="1" x14ac:dyDescent="0.15">
      <c r="A511" s="950" t="s">
        <v>765</v>
      </c>
      <c r="B511" s="442">
        <v>89</v>
      </c>
      <c r="C511" s="442">
        <v>580</v>
      </c>
      <c r="D511" s="442">
        <v>10</v>
      </c>
      <c r="E511" s="442">
        <v>16</v>
      </c>
      <c r="F511" s="442" t="s">
        <v>648</v>
      </c>
      <c r="G511" s="442">
        <v>3781</v>
      </c>
      <c r="H511" s="442">
        <v>3</v>
      </c>
      <c r="I511" s="442">
        <v>2</v>
      </c>
      <c r="J511" s="442">
        <v>18</v>
      </c>
      <c r="K511" s="442">
        <v>3302</v>
      </c>
      <c r="L511" s="442">
        <v>11</v>
      </c>
      <c r="M511" s="442">
        <v>313</v>
      </c>
      <c r="N511" s="442" t="s">
        <v>648</v>
      </c>
      <c r="O511" s="442">
        <v>132</v>
      </c>
      <c r="P511" s="442">
        <v>16208</v>
      </c>
      <c r="Q511" s="442">
        <v>198</v>
      </c>
      <c r="R511" s="442">
        <v>15597</v>
      </c>
      <c r="S511" s="442" t="s">
        <v>648</v>
      </c>
      <c r="T511" s="442" t="s">
        <v>648</v>
      </c>
      <c r="U511" s="442" t="s">
        <v>648</v>
      </c>
      <c r="V511" s="442">
        <v>310</v>
      </c>
      <c r="W511" s="447" t="s">
        <v>549</v>
      </c>
    </row>
    <row r="512" spans="1:23" s="442" customFormat="1" ht="9.75" customHeight="1" x14ac:dyDescent="0.15">
      <c r="A512" s="950" t="s">
        <v>766</v>
      </c>
      <c r="B512" s="442">
        <v>55</v>
      </c>
      <c r="C512" s="442">
        <v>478</v>
      </c>
      <c r="D512" s="442">
        <v>9</v>
      </c>
      <c r="E512" s="442">
        <v>8</v>
      </c>
      <c r="F512" s="442">
        <v>3</v>
      </c>
      <c r="G512" s="442">
        <v>3630</v>
      </c>
      <c r="H512" s="442">
        <v>4</v>
      </c>
      <c r="I512" s="442">
        <v>4</v>
      </c>
      <c r="J512" s="442">
        <v>54</v>
      </c>
      <c r="K512" s="442">
        <v>3028</v>
      </c>
      <c r="L512" s="442">
        <v>12</v>
      </c>
      <c r="M512" s="442">
        <v>336</v>
      </c>
      <c r="N512" s="442" t="s">
        <v>648</v>
      </c>
      <c r="O512" s="442">
        <v>192</v>
      </c>
      <c r="P512" s="442">
        <v>18200</v>
      </c>
      <c r="Q512" s="442">
        <v>198</v>
      </c>
      <c r="R512" s="442">
        <v>16111</v>
      </c>
      <c r="S512" s="442" t="s">
        <v>648</v>
      </c>
      <c r="T512" s="442">
        <v>14</v>
      </c>
      <c r="U512" s="442" t="s">
        <v>648</v>
      </c>
      <c r="V512" s="442">
        <v>1463</v>
      </c>
      <c r="W512" s="447" t="s">
        <v>672</v>
      </c>
    </row>
    <row r="513" spans="1:23" s="442" customFormat="1" ht="9.75" customHeight="1" x14ac:dyDescent="0.15">
      <c r="A513" s="950" t="s">
        <v>767</v>
      </c>
      <c r="B513" s="442">
        <v>139</v>
      </c>
      <c r="C513" s="442">
        <v>554</v>
      </c>
      <c r="D513" s="442">
        <v>5</v>
      </c>
      <c r="E513" s="442">
        <v>8</v>
      </c>
      <c r="F513" s="442">
        <v>2</v>
      </c>
      <c r="G513" s="442">
        <v>8081</v>
      </c>
      <c r="H513" s="442">
        <v>3</v>
      </c>
      <c r="I513" s="442">
        <v>6</v>
      </c>
      <c r="J513" s="442">
        <v>122</v>
      </c>
      <c r="K513" s="442">
        <v>7294</v>
      </c>
      <c r="L513" s="442">
        <v>116</v>
      </c>
      <c r="M513" s="442">
        <v>178</v>
      </c>
      <c r="N513" s="442">
        <v>99</v>
      </c>
      <c r="O513" s="442">
        <v>263</v>
      </c>
      <c r="P513" s="442">
        <v>15415</v>
      </c>
      <c r="Q513" s="442">
        <v>252</v>
      </c>
      <c r="R513" s="442">
        <v>12778</v>
      </c>
      <c r="S513" s="442" t="s">
        <v>648</v>
      </c>
      <c r="T513" s="442" t="s">
        <v>648</v>
      </c>
      <c r="U513" s="442" t="s">
        <v>648</v>
      </c>
      <c r="V513" s="442">
        <v>2385</v>
      </c>
      <c r="W513" s="447" t="s">
        <v>768</v>
      </c>
    </row>
    <row r="514" spans="1:23" s="442" customFormat="1" ht="6.75" customHeight="1" x14ac:dyDescent="0.15">
      <c r="A514" s="950"/>
      <c r="W514" s="447"/>
    </row>
    <row r="515" spans="1:23" s="442" customFormat="1" ht="9.75" customHeight="1" x14ac:dyDescent="0.15">
      <c r="A515" s="950" t="s">
        <v>799</v>
      </c>
      <c r="B515" s="442">
        <v>65</v>
      </c>
      <c r="C515" s="442">
        <v>442</v>
      </c>
      <c r="D515" s="442">
        <v>9</v>
      </c>
      <c r="E515" s="442">
        <v>8</v>
      </c>
      <c r="F515" s="442">
        <v>3</v>
      </c>
      <c r="G515" s="442">
        <v>4659</v>
      </c>
      <c r="H515" s="442">
        <v>4</v>
      </c>
      <c r="I515" s="442" t="s">
        <v>648</v>
      </c>
      <c r="J515" s="442">
        <v>54</v>
      </c>
      <c r="K515" s="442">
        <v>4128</v>
      </c>
      <c r="L515" s="442">
        <v>6</v>
      </c>
      <c r="M515" s="442">
        <v>268</v>
      </c>
      <c r="N515" s="442" t="s">
        <v>648</v>
      </c>
      <c r="O515" s="442">
        <v>199</v>
      </c>
      <c r="P515" s="442">
        <v>24211</v>
      </c>
      <c r="Q515" s="442">
        <v>288</v>
      </c>
      <c r="R515" s="442">
        <v>20496</v>
      </c>
      <c r="S515" s="442" t="s">
        <v>648</v>
      </c>
      <c r="T515" s="442" t="s">
        <v>648</v>
      </c>
      <c r="U515" s="442" t="s">
        <v>648</v>
      </c>
      <c r="V515" s="442">
        <v>3013</v>
      </c>
      <c r="W515" s="447" t="s">
        <v>673</v>
      </c>
    </row>
    <row r="516" spans="1:23" s="442" customFormat="1" ht="9.75" customHeight="1" x14ac:dyDescent="0.15">
      <c r="A516" s="950" t="s">
        <v>800</v>
      </c>
      <c r="B516" s="442">
        <v>135</v>
      </c>
      <c r="C516" s="442">
        <v>513</v>
      </c>
      <c r="D516" s="442">
        <v>5</v>
      </c>
      <c r="E516" s="442">
        <v>8</v>
      </c>
      <c r="F516" s="442">
        <v>2</v>
      </c>
      <c r="G516" s="442">
        <v>10511</v>
      </c>
      <c r="H516" s="442">
        <v>3</v>
      </c>
      <c r="I516" s="442">
        <v>10</v>
      </c>
      <c r="J516" s="442">
        <v>174</v>
      </c>
      <c r="K516" s="442">
        <v>7708</v>
      </c>
      <c r="L516" s="442">
        <v>2108</v>
      </c>
      <c r="M516" s="442">
        <v>134</v>
      </c>
      <c r="N516" s="442">
        <v>99</v>
      </c>
      <c r="O516" s="442">
        <v>275</v>
      </c>
      <c r="P516" s="442">
        <v>14301</v>
      </c>
      <c r="Q516" s="442">
        <v>216</v>
      </c>
      <c r="R516" s="442">
        <v>13311</v>
      </c>
      <c r="S516" s="442" t="s">
        <v>648</v>
      </c>
      <c r="T516" s="442" t="s">
        <v>648</v>
      </c>
      <c r="U516" s="442" t="s">
        <v>648</v>
      </c>
      <c r="V516" s="442">
        <v>774</v>
      </c>
      <c r="W516" s="447" t="s">
        <v>771</v>
      </c>
    </row>
    <row r="517" spans="1:23" s="442" customFormat="1" ht="6.75" customHeight="1" x14ac:dyDescent="0.15">
      <c r="A517" s="950"/>
      <c r="W517" s="447"/>
    </row>
    <row r="518" spans="1:23" s="442" customFormat="1" ht="9.75" customHeight="1" x14ac:dyDescent="0.15">
      <c r="A518" s="950" t="s">
        <v>772</v>
      </c>
      <c r="B518" s="442">
        <v>39</v>
      </c>
      <c r="C518" s="442">
        <v>164</v>
      </c>
      <c r="D518" s="442" t="s">
        <v>648</v>
      </c>
      <c r="E518" s="442" t="s">
        <v>648</v>
      </c>
      <c r="F518" s="442" t="s">
        <v>648</v>
      </c>
      <c r="G518" s="442">
        <v>1751</v>
      </c>
      <c r="H518" s="442">
        <v>1</v>
      </c>
      <c r="I518" s="442" t="s">
        <v>648</v>
      </c>
      <c r="J518" s="442" t="s">
        <v>648</v>
      </c>
      <c r="K518" s="442">
        <v>1651</v>
      </c>
      <c r="L518" s="442" t="s">
        <v>648</v>
      </c>
      <c r="M518" s="442">
        <v>44</v>
      </c>
      <c r="N518" s="442" t="s">
        <v>648</v>
      </c>
      <c r="O518" s="442">
        <v>55</v>
      </c>
      <c r="P518" s="442">
        <v>7363</v>
      </c>
      <c r="Q518" s="442">
        <v>108</v>
      </c>
      <c r="R518" s="442">
        <v>5618</v>
      </c>
      <c r="S518" s="442" t="s">
        <v>648</v>
      </c>
      <c r="T518" s="442" t="s">
        <v>648</v>
      </c>
      <c r="U518" s="442" t="s">
        <v>648</v>
      </c>
      <c r="V518" s="442">
        <v>1637</v>
      </c>
      <c r="W518" s="447" t="s">
        <v>674</v>
      </c>
    </row>
    <row r="519" spans="1:23" s="442" customFormat="1" ht="9.75" customHeight="1" x14ac:dyDescent="0.15">
      <c r="A519" s="950" t="s">
        <v>773</v>
      </c>
      <c r="B519" s="442">
        <v>31</v>
      </c>
      <c r="C519" s="442">
        <v>147</v>
      </c>
      <c r="D519" s="442" t="s">
        <v>648</v>
      </c>
      <c r="E519" s="442">
        <v>8</v>
      </c>
      <c r="F519" s="442" t="s">
        <v>648</v>
      </c>
      <c r="G519" s="442">
        <v>1289</v>
      </c>
      <c r="H519" s="442" t="s">
        <v>648</v>
      </c>
      <c r="I519" s="442">
        <v>3</v>
      </c>
      <c r="J519" s="442">
        <v>17</v>
      </c>
      <c r="K519" s="442">
        <v>1100</v>
      </c>
      <c r="L519" s="442">
        <v>53</v>
      </c>
      <c r="M519" s="442">
        <v>68</v>
      </c>
      <c r="N519" s="442">
        <v>4</v>
      </c>
      <c r="O519" s="442">
        <v>44</v>
      </c>
      <c r="P519" s="442">
        <v>2042</v>
      </c>
      <c r="Q519" s="442" t="s">
        <v>648</v>
      </c>
      <c r="R519" s="442">
        <v>1681</v>
      </c>
      <c r="S519" s="442" t="s">
        <v>648</v>
      </c>
      <c r="T519" s="442" t="s">
        <v>648</v>
      </c>
      <c r="U519" s="442" t="s">
        <v>648</v>
      </c>
      <c r="V519" s="442">
        <v>361</v>
      </c>
      <c r="W519" s="447" t="s">
        <v>92</v>
      </c>
    </row>
    <row r="520" spans="1:23" s="442" customFormat="1" ht="9.75" customHeight="1" x14ac:dyDescent="0.15">
      <c r="A520" s="950" t="s">
        <v>774</v>
      </c>
      <c r="B520" s="442">
        <v>35</v>
      </c>
      <c r="C520" s="442">
        <v>78</v>
      </c>
      <c r="D520" s="442">
        <v>5</v>
      </c>
      <c r="E520" s="442" t="s">
        <v>648</v>
      </c>
      <c r="F520" s="442" t="s">
        <v>648</v>
      </c>
      <c r="G520" s="442">
        <v>2066</v>
      </c>
      <c r="H520" s="442">
        <v>1</v>
      </c>
      <c r="I520" s="442">
        <v>3</v>
      </c>
      <c r="J520" s="442">
        <v>35</v>
      </c>
      <c r="K520" s="442">
        <v>1858</v>
      </c>
      <c r="L520" s="442" t="s">
        <v>648</v>
      </c>
      <c r="M520" s="442">
        <v>44</v>
      </c>
      <c r="N520" s="442">
        <v>47</v>
      </c>
      <c r="O520" s="442">
        <v>78</v>
      </c>
      <c r="P520" s="442">
        <v>2843</v>
      </c>
      <c r="Q520" s="442">
        <v>54</v>
      </c>
      <c r="R520" s="442">
        <v>2660</v>
      </c>
      <c r="S520" s="442" t="s">
        <v>648</v>
      </c>
      <c r="T520" s="442" t="s">
        <v>648</v>
      </c>
      <c r="U520" s="442" t="s">
        <v>648</v>
      </c>
      <c r="V520" s="442">
        <v>129</v>
      </c>
      <c r="W520" s="447" t="s">
        <v>93</v>
      </c>
    </row>
    <row r="521" spans="1:23" s="442" customFormat="1" ht="9.75" customHeight="1" x14ac:dyDescent="0.15">
      <c r="A521" s="950" t="s">
        <v>1155</v>
      </c>
      <c r="B521" s="442">
        <v>34</v>
      </c>
      <c r="C521" s="442">
        <v>165</v>
      </c>
      <c r="D521" s="442" t="s">
        <v>648</v>
      </c>
      <c r="E521" s="442" t="s">
        <v>648</v>
      </c>
      <c r="F521" s="442">
        <v>2</v>
      </c>
      <c r="G521" s="442">
        <v>2975</v>
      </c>
      <c r="H521" s="442">
        <v>1</v>
      </c>
      <c r="I521" s="442" t="s">
        <v>648</v>
      </c>
      <c r="J521" s="442">
        <v>70</v>
      </c>
      <c r="K521" s="442">
        <v>2685</v>
      </c>
      <c r="L521" s="442">
        <v>63</v>
      </c>
      <c r="M521" s="442">
        <v>22</v>
      </c>
      <c r="N521" s="442">
        <v>48</v>
      </c>
      <c r="O521" s="442">
        <v>86</v>
      </c>
      <c r="P521" s="442">
        <v>3167</v>
      </c>
      <c r="Q521" s="442">
        <v>90</v>
      </c>
      <c r="R521" s="442">
        <v>2819</v>
      </c>
      <c r="S521" s="442" t="s">
        <v>648</v>
      </c>
      <c r="T521" s="442" t="s">
        <v>648</v>
      </c>
      <c r="U521" s="442" t="s">
        <v>648</v>
      </c>
      <c r="V521" s="442">
        <v>258</v>
      </c>
      <c r="W521" s="447" t="s">
        <v>94</v>
      </c>
    </row>
    <row r="522" spans="1:23" s="442" customFormat="1" ht="9.75" customHeight="1" x14ac:dyDescent="0.15">
      <c r="A522" s="950" t="s">
        <v>809</v>
      </c>
      <c r="B522" s="442">
        <v>35</v>
      </c>
      <c r="C522" s="442">
        <v>123</v>
      </c>
      <c r="D522" s="442" t="s">
        <v>648</v>
      </c>
      <c r="E522" s="442" t="s">
        <v>648</v>
      </c>
      <c r="F522" s="442" t="s">
        <v>648</v>
      </c>
      <c r="G522" s="442">
        <v>4181</v>
      </c>
      <c r="H522" s="442">
        <v>1</v>
      </c>
      <c r="I522" s="442">
        <v>4</v>
      </c>
      <c r="J522" s="442">
        <v>52</v>
      </c>
      <c r="K522" s="442">
        <v>2065</v>
      </c>
      <c r="L522" s="442">
        <v>1992</v>
      </c>
      <c r="M522" s="442" t="s">
        <v>648</v>
      </c>
      <c r="N522" s="442" t="s">
        <v>648</v>
      </c>
      <c r="O522" s="442">
        <v>67</v>
      </c>
      <c r="P522" s="442">
        <v>6249</v>
      </c>
      <c r="Q522" s="442">
        <v>72</v>
      </c>
      <c r="R522" s="442">
        <v>6151</v>
      </c>
      <c r="S522" s="442" t="s">
        <v>648</v>
      </c>
      <c r="T522" s="442" t="s">
        <v>648</v>
      </c>
      <c r="U522" s="442" t="s">
        <v>648</v>
      </c>
      <c r="V522" s="442">
        <v>26</v>
      </c>
      <c r="W522" s="447" t="s">
        <v>777</v>
      </c>
    </row>
    <row r="523" spans="1:23" s="442" customFormat="1" ht="6.75" customHeight="1" x14ac:dyDescent="0.15">
      <c r="A523" s="950"/>
      <c r="W523" s="447"/>
    </row>
    <row r="524" spans="1:23" s="442" customFormat="1" ht="9.75" customHeight="1" x14ac:dyDescent="0.15">
      <c r="A524" s="950" t="s">
        <v>778</v>
      </c>
      <c r="B524" s="442" t="s">
        <v>648</v>
      </c>
      <c r="C524" s="442">
        <v>121</v>
      </c>
      <c r="D524" s="442" t="s">
        <v>648</v>
      </c>
      <c r="E524" s="442" t="s">
        <v>648</v>
      </c>
      <c r="F524" s="442" t="s">
        <v>648</v>
      </c>
      <c r="G524" s="442">
        <v>319</v>
      </c>
      <c r="H524" s="442" t="s">
        <v>648</v>
      </c>
      <c r="I524" s="442" t="s">
        <v>648</v>
      </c>
      <c r="J524" s="442" t="s">
        <v>648</v>
      </c>
      <c r="K524" s="442">
        <v>275</v>
      </c>
      <c r="L524" s="442" t="s">
        <v>648</v>
      </c>
      <c r="M524" s="442">
        <v>22</v>
      </c>
      <c r="N524" s="442" t="s">
        <v>648</v>
      </c>
      <c r="O524" s="442">
        <v>22</v>
      </c>
      <c r="P524" s="442">
        <v>621</v>
      </c>
      <c r="Q524" s="442">
        <v>18</v>
      </c>
      <c r="R524" s="442">
        <v>481</v>
      </c>
      <c r="S524" s="442" t="s">
        <v>648</v>
      </c>
      <c r="T524" s="442" t="s">
        <v>648</v>
      </c>
      <c r="U524" s="442" t="s">
        <v>648</v>
      </c>
      <c r="V524" s="442">
        <v>122</v>
      </c>
      <c r="W524" s="447" t="s">
        <v>675</v>
      </c>
    </row>
    <row r="525" spans="1:23" s="442" customFormat="1" ht="9.75" customHeight="1" x14ac:dyDescent="0.15">
      <c r="A525" s="950" t="s">
        <v>779</v>
      </c>
      <c r="B525" s="442">
        <v>21</v>
      </c>
      <c r="C525" s="442">
        <v>43</v>
      </c>
      <c r="D525" s="442" t="s">
        <v>648</v>
      </c>
      <c r="E525" s="442" t="s">
        <v>648</v>
      </c>
      <c r="F525" s="442" t="s">
        <v>648</v>
      </c>
      <c r="G525" s="442">
        <v>457</v>
      </c>
      <c r="H525" s="442" t="s">
        <v>648</v>
      </c>
      <c r="I525" s="442" t="s">
        <v>648</v>
      </c>
      <c r="J525" s="442" t="s">
        <v>648</v>
      </c>
      <c r="K525" s="442">
        <v>413</v>
      </c>
      <c r="L525" s="442" t="s">
        <v>648</v>
      </c>
      <c r="M525" s="442">
        <v>22</v>
      </c>
      <c r="N525" s="442" t="s">
        <v>648</v>
      </c>
      <c r="O525" s="442">
        <v>22</v>
      </c>
      <c r="P525" s="442">
        <v>1947</v>
      </c>
      <c r="Q525" s="442">
        <v>36</v>
      </c>
      <c r="R525" s="442">
        <v>1635</v>
      </c>
      <c r="S525" s="442" t="s">
        <v>648</v>
      </c>
      <c r="T525" s="442" t="s">
        <v>648</v>
      </c>
      <c r="U525" s="442" t="s">
        <v>648</v>
      </c>
      <c r="V525" s="442">
        <v>276</v>
      </c>
      <c r="W525" s="447" t="s">
        <v>80</v>
      </c>
    </row>
    <row r="526" spans="1:23" s="442" customFormat="1" ht="9.75" customHeight="1" x14ac:dyDescent="0.15">
      <c r="A526" s="950" t="s">
        <v>780</v>
      </c>
      <c r="B526" s="442">
        <v>18</v>
      </c>
      <c r="C526" s="442" t="s">
        <v>648</v>
      </c>
      <c r="D526" s="442" t="s">
        <v>648</v>
      </c>
      <c r="E526" s="442" t="s">
        <v>648</v>
      </c>
      <c r="F526" s="442" t="s">
        <v>648</v>
      </c>
      <c r="G526" s="442">
        <v>975</v>
      </c>
      <c r="H526" s="442">
        <v>1</v>
      </c>
      <c r="I526" s="442" t="s">
        <v>648</v>
      </c>
      <c r="J526" s="442" t="s">
        <v>648</v>
      </c>
      <c r="K526" s="442">
        <v>963</v>
      </c>
      <c r="L526" s="442" t="s">
        <v>648</v>
      </c>
      <c r="M526" s="442" t="s">
        <v>648</v>
      </c>
      <c r="N526" s="442" t="s">
        <v>648</v>
      </c>
      <c r="O526" s="442">
        <v>11</v>
      </c>
      <c r="P526" s="442">
        <v>4795</v>
      </c>
      <c r="Q526" s="442">
        <v>54</v>
      </c>
      <c r="R526" s="442">
        <v>3502</v>
      </c>
      <c r="S526" s="442" t="s">
        <v>648</v>
      </c>
      <c r="T526" s="442" t="s">
        <v>648</v>
      </c>
      <c r="U526" s="442" t="s">
        <v>648</v>
      </c>
      <c r="V526" s="442">
        <v>1239</v>
      </c>
      <c r="W526" s="447" t="s">
        <v>81</v>
      </c>
    </row>
    <row r="527" spans="1:23" s="442" customFormat="1" ht="9.75" customHeight="1" x14ac:dyDescent="0.15">
      <c r="A527" s="950" t="s">
        <v>781</v>
      </c>
      <c r="B527" s="442">
        <v>31</v>
      </c>
      <c r="C527" s="442">
        <v>69</v>
      </c>
      <c r="D527" s="442" t="s">
        <v>648</v>
      </c>
      <c r="E527" s="442" t="s">
        <v>648</v>
      </c>
      <c r="F527" s="442" t="s">
        <v>648</v>
      </c>
      <c r="G527" s="442">
        <v>662</v>
      </c>
      <c r="H527" s="442" t="s">
        <v>648</v>
      </c>
      <c r="I527" s="442">
        <v>3</v>
      </c>
      <c r="J527" s="442" t="s">
        <v>648</v>
      </c>
      <c r="K527" s="442">
        <v>550</v>
      </c>
      <c r="L527" s="442">
        <v>53</v>
      </c>
      <c r="M527" s="442">
        <v>45</v>
      </c>
      <c r="N527" s="442" t="s">
        <v>648</v>
      </c>
      <c r="O527" s="442">
        <v>11</v>
      </c>
      <c r="P527" s="442">
        <v>713</v>
      </c>
      <c r="Q527" s="442" t="s">
        <v>648</v>
      </c>
      <c r="R527" s="442">
        <v>636</v>
      </c>
      <c r="S527" s="442" t="s">
        <v>648</v>
      </c>
      <c r="T527" s="442" t="s">
        <v>648</v>
      </c>
      <c r="U527" s="442" t="s">
        <v>648</v>
      </c>
      <c r="V527" s="442">
        <v>77</v>
      </c>
      <c r="W527" s="447" t="s">
        <v>82</v>
      </c>
    </row>
    <row r="528" spans="1:23" s="442" customFormat="1" ht="9.75" customHeight="1" x14ac:dyDescent="0.15">
      <c r="A528" s="950" t="s">
        <v>782</v>
      </c>
      <c r="B528" s="442" t="s">
        <v>648</v>
      </c>
      <c r="C528" s="442">
        <v>52</v>
      </c>
      <c r="D528" s="442" t="s">
        <v>648</v>
      </c>
      <c r="E528" s="442">
        <v>8</v>
      </c>
      <c r="F528" s="442" t="s">
        <v>648</v>
      </c>
      <c r="G528" s="442">
        <v>337</v>
      </c>
      <c r="H528" s="442" t="s">
        <v>648</v>
      </c>
      <c r="I528" s="442" t="s">
        <v>648</v>
      </c>
      <c r="J528" s="442" t="s">
        <v>648</v>
      </c>
      <c r="K528" s="442">
        <v>292</v>
      </c>
      <c r="L528" s="442" t="s">
        <v>648</v>
      </c>
      <c r="M528" s="442">
        <v>23</v>
      </c>
      <c r="N528" s="442" t="s">
        <v>648</v>
      </c>
      <c r="O528" s="442">
        <v>22</v>
      </c>
      <c r="P528" s="442">
        <v>618</v>
      </c>
      <c r="Q528" s="442" t="s">
        <v>648</v>
      </c>
      <c r="R528" s="442">
        <v>515</v>
      </c>
      <c r="S528" s="442" t="s">
        <v>648</v>
      </c>
      <c r="T528" s="442" t="s">
        <v>648</v>
      </c>
      <c r="U528" s="442" t="s">
        <v>648</v>
      </c>
      <c r="V528" s="442">
        <v>103</v>
      </c>
      <c r="W528" s="447" t="s">
        <v>95</v>
      </c>
    </row>
    <row r="529" spans="1:23" s="442" customFormat="1" ht="9.75" customHeight="1" x14ac:dyDescent="0.15">
      <c r="A529" s="950" t="s">
        <v>783</v>
      </c>
      <c r="B529" s="442" t="s">
        <v>648</v>
      </c>
      <c r="C529" s="442">
        <v>26</v>
      </c>
      <c r="D529" s="442" t="s">
        <v>648</v>
      </c>
      <c r="E529" s="442" t="s">
        <v>648</v>
      </c>
      <c r="F529" s="442" t="s">
        <v>648</v>
      </c>
      <c r="G529" s="442">
        <v>290</v>
      </c>
      <c r="H529" s="442" t="s">
        <v>648</v>
      </c>
      <c r="I529" s="442" t="s">
        <v>648</v>
      </c>
      <c r="J529" s="442">
        <v>17</v>
      </c>
      <c r="K529" s="442">
        <v>258</v>
      </c>
      <c r="L529" s="442" t="s">
        <v>648</v>
      </c>
      <c r="M529" s="442" t="s">
        <v>648</v>
      </c>
      <c r="N529" s="442">
        <v>4</v>
      </c>
      <c r="O529" s="442">
        <v>11</v>
      </c>
      <c r="P529" s="442">
        <v>711</v>
      </c>
      <c r="Q529" s="442" t="s">
        <v>648</v>
      </c>
      <c r="R529" s="442">
        <v>530</v>
      </c>
      <c r="S529" s="442" t="s">
        <v>648</v>
      </c>
      <c r="T529" s="442" t="s">
        <v>648</v>
      </c>
      <c r="U529" s="442" t="s">
        <v>648</v>
      </c>
      <c r="V529" s="442">
        <v>181</v>
      </c>
      <c r="W529" s="447" t="s">
        <v>96</v>
      </c>
    </row>
    <row r="530" spans="1:23" s="442" customFormat="1" ht="9.75" customHeight="1" x14ac:dyDescent="0.15">
      <c r="A530" s="950" t="s">
        <v>784</v>
      </c>
      <c r="B530" s="442">
        <v>18</v>
      </c>
      <c r="C530" s="442">
        <v>35</v>
      </c>
      <c r="D530" s="442" t="s">
        <v>648</v>
      </c>
      <c r="E530" s="442" t="s">
        <v>648</v>
      </c>
      <c r="F530" s="442" t="s">
        <v>648</v>
      </c>
      <c r="G530" s="442">
        <v>630</v>
      </c>
      <c r="H530" s="442" t="s">
        <v>648</v>
      </c>
      <c r="I530" s="442" t="s">
        <v>648</v>
      </c>
      <c r="J530" s="442" t="s">
        <v>648</v>
      </c>
      <c r="K530" s="442">
        <v>516</v>
      </c>
      <c r="L530" s="442" t="s">
        <v>648</v>
      </c>
      <c r="M530" s="442">
        <v>22</v>
      </c>
      <c r="N530" s="442">
        <v>47</v>
      </c>
      <c r="O530" s="442">
        <v>45</v>
      </c>
      <c r="P530" s="442">
        <v>288</v>
      </c>
      <c r="Q530" s="442" t="s">
        <v>648</v>
      </c>
      <c r="R530" s="442">
        <v>159</v>
      </c>
      <c r="S530" s="442" t="s">
        <v>648</v>
      </c>
      <c r="T530" s="442" t="s">
        <v>648</v>
      </c>
      <c r="U530" s="442" t="s">
        <v>648</v>
      </c>
      <c r="V530" s="442">
        <v>129</v>
      </c>
      <c r="W530" s="447" t="s">
        <v>97</v>
      </c>
    </row>
    <row r="531" spans="1:23" s="442" customFormat="1" ht="9.75" customHeight="1" x14ac:dyDescent="0.15">
      <c r="A531" s="950" t="s">
        <v>806</v>
      </c>
      <c r="B531" s="442" t="s">
        <v>648</v>
      </c>
      <c r="C531" s="442">
        <v>43</v>
      </c>
      <c r="D531" s="442">
        <v>5</v>
      </c>
      <c r="E531" s="442" t="s">
        <v>648</v>
      </c>
      <c r="F531" s="442" t="s">
        <v>648</v>
      </c>
      <c r="G531" s="442">
        <v>392</v>
      </c>
      <c r="H531" s="442">
        <v>1</v>
      </c>
      <c r="I531" s="442">
        <v>3</v>
      </c>
      <c r="J531" s="442">
        <v>17</v>
      </c>
      <c r="K531" s="442">
        <v>327</v>
      </c>
      <c r="L531" s="442" t="s">
        <v>648</v>
      </c>
      <c r="M531" s="442">
        <v>22</v>
      </c>
      <c r="N531" s="442" t="s">
        <v>648</v>
      </c>
      <c r="O531" s="442">
        <v>22</v>
      </c>
      <c r="P531" s="442">
        <v>2151</v>
      </c>
      <c r="Q531" s="442" t="s">
        <v>648</v>
      </c>
      <c r="R531" s="442">
        <v>2151</v>
      </c>
      <c r="S531" s="442" t="s">
        <v>648</v>
      </c>
      <c r="T531" s="442" t="s">
        <v>648</v>
      </c>
      <c r="U531" s="442" t="s">
        <v>648</v>
      </c>
      <c r="V531" s="442" t="s">
        <v>648</v>
      </c>
      <c r="W531" s="447" t="s">
        <v>98</v>
      </c>
    </row>
    <row r="532" spans="1:23" s="442" customFormat="1" ht="9.75" customHeight="1" x14ac:dyDescent="0.15">
      <c r="A532" s="950" t="s">
        <v>786</v>
      </c>
      <c r="B532" s="442">
        <v>17</v>
      </c>
      <c r="C532" s="442" t="s">
        <v>648</v>
      </c>
      <c r="D532" s="442" t="s">
        <v>648</v>
      </c>
      <c r="E532" s="442" t="s">
        <v>648</v>
      </c>
      <c r="F532" s="442" t="s">
        <v>648</v>
      </c>
      <c r="G532" s="442">
        <v>1044</v>
      </c>
      <c r="H532" s="442" t="s">
        <v>648</v>
      </c>
      <c r="I532" s="442" t="s">
        <v>648</v>
      </c>
      <c r="J532" s="442">
        <v>18</v>
      </c>
      <c r="K532" s="442">
        <v>1015</v>
      </c>
      <c r="L532" s="442" t="s">
        <v>648</v>
      </c>
      <c r="M532" s="442" t="s">
        <v>648</v>
      </c>
      <c r="N532" s="442" t="s">
        <v>648</v>
      </c>
      <c r="O532" s="442">
        <v>11</v>
      </c>
      <c r="P532" s="442">
        <v>404</v>
      </c>
      <c r="Q532" s="442">
        <v>54</v>
      </c>
      <c r="R532" s="442">
        <v>350</v>
      </c>
      <c r="S532" s="442" t="s">
        <v>648</v>
      </c>
      <c r="T532" s="442" t="s">
        <v>648</v>
      </c>
      <c r="U532" s="442" t="s">
        <v>648</v>
      </c>
      <c r="V532" s="442" t="s">
        <v>648</v>
      </c>
      <c r="W532" s="447" t="s">
        <v>99</v>
      </c>
    </row>
    <row r="533" spans="1:23" s="442" customFormat="1" ht="9.75" customHeight="1" x14ac:dyDescent="0.15">
      <c r="A533" s="950" t="s">
        <v>807</v>
      </c>
      <c r="B533" s="442">
        <v>17</v>
      </c>
      <c r="C533" s="442">
        <v>78</v>
      </c>
      <c r="D533" s="442" t="s">
        <v>648</v>
      </c>
      <c r="E533" s="442" t="s">
        <v>648</v>
      </c>
      <c r="F533" s="442" t="s">
        <v>648</v>
      </c>
      <c r="G533" s="442">
        <v>886</v>
      </c>
      <c r="H533" s="442" t="s">
        <v>648</v>
      </c>
      <c r="I533" s="442" t="s">
        <v>648</v>
      </c>
      <c r="J533" s="442" t="s">
        <v>648</v>
      </c>
      <c r="K533" s="442">
        <v>826</v>
      </c>
      <c r="L533" s="442" t="s">
        <v>648</v>
      </c>
      <c r="M533" s="442">
        <v>22</v>
      </c>
      <c r="N533" s="442">
        <v>16</v>
      </c>
      <c r="O533" s="442">
        <v>22</v>
      </c>
      <c r="P533" s="442">
        <v>2244</v>
      </c>
      <c r="Q533" s="442">
        <v>18</v>
      </c>
      <c r="R533" s="442">
        <v>2226</v>
      </c>
      <c r="S533" s="442" t="s">
        <v>648</v>
      </c>
      <c r="T533" s="442" t="s">
        <v>648</v>
      </c>
      <c r="U533" s="442" t="s">
        <v>648</v>
      </c>
      <c r="V533" s="442" t="s">
        <v>648</v>
      </c>
      <c r="W533" s="447" t="s">
        <v>83</v>
      </c>
    </row>
    <row r="534" spans="1:23" s="442" customFormat="1" ht="9.75" customHeight="1" x14ac:dyDescent="0.15">
      <c r="A534" s="950" t="s">
        <v>788</v>
      </c>
      <c r="B534" s="442" t="s">
        <v>648</v>
      </c>
      <c r="C534" s="442" t="s">
        <v>648</v>
      </c>
      <c r="D534" s="442" t="s">
        <v>648</v>
      </c>
      <c r="E534" s="442" t="s">
        <v>648</v>
      </c>
      <c r="F534" s="442">
        <v>1</v>
      </c>
      <c r="G534" s="442">
        <v>1169</v>
      </c>
      <c r="H534" s="442" t="s">
        <v>648</v>
      </c>
      <c r="I534" s="442" t="s">
        <v>648</v>
      </c>
      <c r="J534" s="442">
        <v>35</v>
      </c>
      <c r="K534" s="442">
        <v>1033</v>
      </c>
      <c r="L534" s="442">
        <v>52</v>
      </c>
      <c r="M534" s="442" t="s">
        <v>648</v>
      </c>
      <c r="N534" s="442">
        <v>16</v>
      </c>
      <c r="O534" s="442">
        <v>33</v>
      </c>
      <c r="P534" s="442">
        <v>644</v>
      </c>
      <c r="Q534" s="442">
        <v>36</v>
      </c>
      <c r="R534" s="442">
        <v>402</v>
      </c>
      <c r="S534" s="442" t="s">
        <v>648</v>
      </c>
      <c r="T534" s="442" t="s">
        <v>648</v>
      </c>
      <c r="U534" s="442" t="s">
        <v>648</v>
      </c>
      <c r="V534" s="442">
        <v>206</v>
      </c>
      <c r="W534" s="447" t="s">
        <v>84</v>
      </c>
    </row>
    <row r="535" spans="1:23" s="442" customFormat="1" ht="9.75" customHeight="1" x14ac:dyDescent="0.15">
      <c r="A535" s="950" t="s">
        <v>789</v>
      </c>
      <c r="B535" s="442">
        <v>17</v>
      </c>
      <c r="C535" s="442">
        <v>87</v>
      </c>
      <c r="D535" s="442" t="s">
        <v>648</v>
      </c>
      <c r="E535" s="442" t="s">
        <v>648</v>
      </c>
      <c r="F535" s="442">
        <v>1</v>
      </c>
      <c r="G535" s="442">
        <v>920</v>
      </c>
      <c r="H535" s="442">
        <v>1</v>
      </c>
      <c r="I535" s="442" t="s">
        <v>648</v>
      </c>
      <c r="J535" s="442">
        <v>35</v>
      </c>
      <c r="K535" s="442">
        <v>826</v>
      </c>
      <c r="L535" s="442">
        <v>11</v>
      </c>
      <c r="M535" s="442" t="s">
        <v>648</v>
      </c>
      <c r="N535" s="442">
        <v>16</v>
      </c>
      <c r="O535" s="442">
        <v>31</v>
      </c>
      <c r="P535" s="442">
        <v>279</v>
      </c>
      <c r="Q535" s="442">
        <v>36</v>
      </c>
      <c r="R535" s="442">
        <v>191</v>
      </c>
      <c r="S535" s="442" t="s">
        <v>648</v>
      </c>
      <c r="T535" s="442" t="s">
        <v>648</v>
      </c>
      <c r="U535" s="442" t="s">
        <v>648</v>
      </c>
      <c r="V535" s="442">
        <v>52</v>
      </c>
      <c r="W535" s="447" t="s">
        <v>85</v>
      </c>
    </row>
    <row r="536" spans="1:23" s="442" customFormat="1" ht="9.75" customHeight="1" x14ac:dyDescent="0.15">
      <c r="A536" s="950" t="s">
        <v>790</v>
      </c>
      <c r="B536" s="442">
        <v>35</v>
      </c>
      <c r="C536" s="442">
        <v>35</v>
      </c>
      <c r="D536" s="442" t="s">
        <v>648</v>
      </c>
      <c r="E536" s="442" t="s">
        <v>648</v>
      </c>
      <c r="F536" s="442" t="s">
        <v>648</v>
      </c>
      <c r="G536" s="442">
        <v>259</v>
      </c>
      <c r="H536" s="442" t="s">
        <v>648</v>
      </c>
      <c r="I536" s="442" t="s">
        <v>648</v>
      </c>
      <c r="J536" s="442">
        <v>17</v>
      </c>
      <c r="K536" s="442">
        <v>207</v>
      </c>
      <c r="L536" s="442">
        <v>1</v>
      </c>
      <c r="M536" s="442" t="s">
        <v>648</v>
      </c>
      <c r="N536" s="442" t="s">
        <v>648</v>
      </c>
      <c r="O536" s="442">
        <v>34</v>
      </c>
      <c r="P536" s="442">
        <v>3355</v>
      </c>
      <c r="Q536" s="442" t="s">
        <v>648</v>
      </c>
      <c r="R536" s="442">
        <v>3355</v>
      </c>
      <c r="S536" s="442" t="s">
        <v>648</v>
      </c>
      <c r="T536" s="442" t="s">
        <v>648</v>
      </c>
      <c r="U536" s="442" t="s">
        <v>648</v>
      </c>
      <c r="V536" s="442" t="s">
        <v>648</v>
      </c>
      <c r="W536" s="447" t="s">
        <v>791</v>
      </c>
    </row>
    <row r="537" spans="1:23" s="442" customFormat="1" ht="9.75" customHeight="1" x14ac:dyDescent="0.15">
      <c r="A537" s="950" t="s">
        <v>792</v>
      </c>
      <c r="B537" s="442" t="s">
        <v>648</v>
      </c>
      <c r="C537" s="442">
        <v>70</v>
      </c>
      <c r="D537" s="442" t="s">
        <v>648</v>
      </c>
      <c r="E537" s="442" t="s">
        <v>648</v>
      </c>
      <c r="F537" s="442" t="s">
        <v>648</v>
      </c>
      <c r="G537" s="442">
        <v>3056</v>
      </c>
      <c r="H537" s="442">
        <v>1</v>
      </c>
      <c r="I537" s="442">
        <v>4</v>
      </c>
      <c r="J537" s="442">
        <v>17</v>
      </c>
      <c r="K537" s="442">
        <v>1032</v>
      </c>
      <c r="L537" s="442">
        <v>1991</v>
      </c>
      <c r="M537" s="442" t="s">
        <v>648</v>
      </c>
      <c r="N537" s="442" t="s">
        <v>648</v>
      </c>
      <c r="O537" s="442">
        <v>11</v>
      </c>
      <c r="P537" s="442">
        <v>620</v>
      </c>
      <c r="Q537" s="442">
        <v>36</v>
      </c>
      <c r="R537" s="442">
        <v>558</v>
      </c>
      <c r="S537" s="442" t="s">
        <v>648</v>
      </c>
      <c r="T537" s="442" t="s">
        <v>648</v>
      </c>
      <c r="U537" s="442" t="s">
        <v>648</v>
      </c>
      <c r="V537" s="442">
        <v>26</v>
      </c>
      <c r="W537" s="447" t="s">
        <v>80</v>
      </c>
    </row>
    <row r="538" spans="1:23" s="442" customFormat="1" ht="9.75" customHeight="1" x14ac:dyDescent="0.15">
      <c r="A538" s="951" t="s">
        <v>793</v>
      </c>
      <c r="B538" s="446" t="s">
        <v>648</v>
      </c>
      <c r="C538" s="445">
        <v>18</v>
      </c>
      <c r="D538" s="445" t="s">
        <v>648</v>
      </c>
      <c r="E538" s="445" t="s">
        <v>648</v>
      </c>
      <c r="F538" s="445" t="s">
        <v>648</v>
      </c>
      <c r="G538" s="445">
        <v>866</v>
      </c>
      <c r="H538" s="445" t="s">
        <v>648</v>
      </c>
      <c r="I538" s="445" t="s">
        <v>648</v>
      </c>
      <c r="J538" s="445">
        <v>18</v>
      </c>
      <c r="K538" s="445">
        <v>826</v>
      </c>
      <c r="L538" s="445" t="s">
        <v>648</v>
      </c>
      <c r="M538" s="445" t="s">
        <v>648</v>
      </c>
      <c r="N538" s="445" t="s">
        <v>648</v>
      </c>
      <c r="O538" s="445">
        <v>22</v>
      </c>
      <c r="P538" s="445">
        <v>2274</v>
      </c>
      <c r="Q538" s="445">
        <v>36</v>
      </c>
      <c r="R538" s="445">
        <v>2238</v>
      </c>
      <c r="S538" s="445" t="s">
        <v>648</v>
      </c>
      <c r="T538" s="445" t="s">
        <v>648</v>
      </c>
      <c r="U538" s="445" t="s">
        <v>648</v>
      </c>
      <c r="V538" s="445" t="s">
        <v>648</v>
      </c>
      <c r="W538" s="443" t="s">
        <v>81</v>
      </c>
    </row>
    <row r="539" spans="1:23" ht="12" customHeight="1" x14ac:dyDescent="0.2"/>
    <row r="540" spans="1:23" ht="12" customHeight="1" x14ac:dyDescent="0.2"/>
    <row r="541" spans="1:23" ht="12" customHeight="1" x14ac:dyDescent="0.2">
      <c r="K541" s="457" t="s">
        <v>100</v>
      </c>
    </row>
    <row r="542" spans="1:23" s="453" customFormat="1" ht="21" customHeight="1" x14ac:dyDescent="0.2">
      <c r="A542" s="1089" t="s">
        <v>194</v>
      </c>
      <c r="B542" s="456" t="s">
        <v>360</v>
      </c>
      <c r="C542" s="455"/>
      <c r="D542" s="455"/>
      <c r="E542" s="455"/>
      <c r="F542" s="455"/>
      <c r="G542" s="455"/>
      <c r="H542" s="455"/>
      <c r="I542" s="455"/>
      <c r="J542" s="455"/>
      <c r="K542" s="455"/>
      <c r="L542" s="455"/>
      <c r="M542" s="455"/>
      <c r="N542" s="455"/>
      <c r="O542" s="455"/>
      <c r="P542" s="455"/>
      <c r="Q542" s="917"/>
      <c r="R542" s="461" t="s">
        <v>1105</v>
      </c>
      <c r="S542" s="455"/>
      <c r="T542" s="455"/>
      <c r="U542" s="455"/>
      <c r="V542" s="455"/>
      <c r="W542" s="1092" t="s">
        <v>86</v>
      </c>
    </row>
    <row r="543" spans="1:23" s="453" customFormat="1" ht="21" customHeight="1" x14ac:dyDescent="0.2">
      <c r="A543" s="1090"/>
      <c r="B543" s="1015" t="s">
        <v>1102</v>
      </c>
      <c r="C543" s="918" t="s">
        <v>287</v>
      </c>
      <c r="D543" s="455"/>
      <c r="E543" s="455"/>
      <c r="F543" s="455"/>
      <c r="G543" s="455"/>
      <c r="H543" s="455"/>
      <c r="I543" s="455"/>
      <c r="J543" s="455"/>
      <c r="K543" s="917"/>
      <c r="L543" s="918" t="s">
        <v>271</v>
      </c>
      <c r="M543" s="455"/>
      <c r="N543" s="917"/>
      <c r="O543" s="918" t="s">
        <v>270</v>
      </c>
      <c r="P543" s="455"/>
      <c r="Q543" s="917"/>
      <c r="R543" s="1095" t="s">
        <v>308</v>
      </c>
      <c r="S543" s="918" t="s">
        <v>297</v>
      </c>
      <c r="T543" s="455"/>
      <c r="U543" s="455"/>
      <c r="V543" s="455"/>
      <c r="W543" s="1093"/>
    </row>
    <row r="544" spans="1:23" s="453" customFormat="1" ht="52.5" customHeight="1" x14ac:dyDescent="0.2">
      <c r="A544" s="1091"/>
      <c r="B544" s="454" t="s">
        <v>359</v>
      </c>
      <c r="C544" s="920" t="s">
        <v>1090</v>
      </c>
      <c r="D544" s="454" t="s">
        <v>358</v>
      </c>
      <c r="E544" s="454" t="s">
        <v>1160</v>
      </c>
      <c r="F544" s="454" t="s">
        <v>357</v>
      </c>
      <c r="G544" s="454" t="s">
        <v>273</v>
      </c>
      <c r="H544" s="454" t="s">
        <v>356</v>
      </c>
      <c r="I544" s="454" t="s">
        <v>269</v>
      </c>
      <c r="J544" s="454" t="s">
        <v>638</v>
      </c>
      <c r="K544" s="454" t="s">
        <v>291</v>
      </c>
      <c r="L544" s="920" t="s">
        <v>1092</v>
      </c>
      <c r="M544" s="454" t="s">
        <v>355</v>
      </c>
      <c r="N544" s="454" t="s">
        <v>1093</v>
      </c>
      <c r="O544" s="920" t="s">
        <v>1094</v>
      </c>
      <c r="P544" s="454" t="s">
        <v>263</v>
      </c>
      <c r="Q544" s="454" t="s">
        <v>1095</v>
      </c>
      <c r="R544" s="1096"/>
      <c r="S544" s="920" t="s">
        <v>1096</v>
      </c>
      <c r="T544" s="454" t="s">
        <v>286</v>
      </c>
      <c r="U544" s="454" t="s">
        <v>1097</v>
      </c>
      <c r="V544" s="458" t="s">
        <v>307</v>
      </c>
      <c r="W544" s="1094"/>
    </row>
    <row r="545" spans="1:23" s="442" customFormat="1" ht="9.75" customHeight="1" x14ac:dyDescent="0.15">
      <c r="A545" s="949" t="s">
        <v>763</v>
      </c>
      <c r="B545" s="452">
        <v>587</v>
      </c>
      <c r="C545" s="451">
        <v>639</v>
      </c>
      <c r="D545" s="451">
        <v>131</v>
      </c>
      <c r="E545" s="451" t="s">
        <v>648</v>
      </c>
      <c r="F545" s="451">
        <v>70</v>
      </c>
      <c r="G545" s="451">
        <v>226</v>
      </c>
      <c r="H545" s="451">
        <v>122</v>
      </c>
      <c r="I545" s="451">
        <v>90</v>
      </c>
      <c r="J545" s="451" t="s">
        <v>648</v>
      </c>
      <c r="K545" s="451" t="s">
        <v>648</v>
      </c>
      <c r="L545" s="451">
        <v>408</v>
      </c>
      <c r="M545" s="451">
        <v>87</v>
      </c>
      <c r="N545" s="451">
        <v>321</v>
      </c>
      <c r="O545" s="451">
        <v>363</v>
      </c>
      <c r="P545" s="451">
        <v>227</v>
      </c>
      <c r="Q545" s="451">
        <v>136</v>
      </c>
      <c r="R545" s="451">
        <v>200018</v>
      </c>
      <c r="S545" s="451">
        <v>200018</v>
      </c>
      <c r="T545" s="451">
        <v>68304</v>
      </c>
      <c r="U545" s="451">
        <v>106360</v>
      </c>
      <c r="V545" s="451">
        <v>4364</v>
      </c>
      <c r="W545" s="449" t="s">
        <v>464</v>
      </c>
    </row>
    <row r="546" spans="1:23" s="442" customFormat="1" ht="9.75" customHeight="1" x14ac:dyDescent="0.15">
      <c r="A546" s="950" t="s">
        <v>1161</v>
      </c>
      <c r="B546" s="442" t="s">
        <v>648</v>
      </c>
      <c r="C546" s="442">
        <v>517</v>
      </c>
      <c r="D546" s="442">
        <v>69</v>
      </c>
      <c r="E546" s="442" t="s">
        <v>648</v>
      </c>
      <c r="F546" s="442">
        <v>52</v>
      </c>
      <c r="G546" s="442">
        <v>9</v>
      </c>
      <c r="H546" s="442">
        <v>192</v>
      </c>
      <c r="I546" s="442">
        <v>56</v>
      </c>
      <c r="J546" s="442" t="s">
        <v>648</v>
      </c>
      <c r="K546" s="442">
        <v>139</v>
      </c>
      <c r="L546" s="442">
        <v>406</v>
      </c>
      <c r="M546" s="442">
        <v>140</v>
      </c>
      <c r="N546" s="442">
        <v>266</v>
      </c>
      <c r="O546" s="442">
        <v>323</v>
      </c>
      <c r="P546" s="442">
        <v>209</v>
      </c>
      <c r="Q546" s="442">
        <v>114</v>
      </c>
      <c r="R546" s="442">
        <v>259632</v>
      </c>
      <c r="S546" s="442">
        <v>259632</v>
      </c>
      <c r="T546" s="442">
        <v>48920</v>
      </c>
      <c r="U546" s="442">
        <v>206047</v>
      </c>
      <c r="V546" s="442">
        <v>4665</v>
      </c>
      <c r="W546" s="447" t="s">
        <v>489</v>
      </c>
    </row>
    <row r="547" spans="1:23" s="442" customFormat="1" ht="9.75" customHeight="1" x14ac:dyDescent="0.15">
      <c r="A547" s="950" t="s">
        <v>765</v>
      </c>
      <c r="B547" s="442">
        <v>103</v>
      </c>
      <c r="C547" s="442">
        <v>350</v>
      </c>
      <c r="D547" s="442">
        <v>99</v>
      </c>
      <c r="E547" s="442" t="s">
        <v>648</v>
      </c>
      <c r="F547" s="442">
        <v>24</v>
      </c>
      <c r="G547" s="442" t="s">
        <v>648</v>
      </c>
      <c r="H547" s="442">
        <v>156</v>
      </c>
      <c r="I547" s="442" t="s">
        <v>648</v>
      </c>
      <c r="J547" s="442" t="s">
        <v>648</v>
      </c>
      <c r="K547" s="442">
        <v>71</v>
      </c>
      <c r="L547" s="442">
        <v>307</v>
      </c>
      <c r="M547" s="442">
        <v>87</v>
      </c>
      <c r="N547" s="442">
        <v>220</v>
      </c>
      <c r="O547" s="442">
        <v>304</v>
      </c>
      <c r="P547" s="442">
        <v>184</v>
      </c>
      <c r="Q547" s="442">
        <v>120</v>
      </c>
      <c r="R547" s="442">
        <v>186335</v>
      </c>
      <c r="S547" s="442">
        <v>186078</v>
      </c>
      <c r="T547" s="442">
        <v>16613</v>
      </c>
      <c r="U547" s="442">
        <v>169465</v>
      </c>
      <c r="V547" s="442" t="s">
        <v>648</v>
      </c>
      <c r="W547" s="447" t="s">
        <v>549</v>
      </c>
    </row>
    <row r="548" spans="1:23" s="442" customFormat="1" ht="9.75" customHeight="1" x14ac:dyDescent="0.15">
      <c r="A548" s="950" t="s">
        <v>1162</v>
      </c>
      <c r="B548" s="442">
        <v>414</v>
      </c>
      <c r="C548" s="442">
        <v>4652</v>
      </c>
      <c r="D548" s="442">
        <v>72</v>
      </c>
      <c r="E548" s="442">
        <v>129</v>
      </c>
      <c r="F548" s="442">
        <v>36</v>
      </c>
      <c r="G548" s="442">
        <v>86</v>
      </c>
      <c r="H548" s="442">
        <v>173</v>
      </c>
      <c r="I548" s="442">
        <v>4036</v>
      </c>
      <c r="J548" s="442">
        <v>34</v>
      </c>
      <c r="K548" s="442">
        <v>86</v>
      </c>
      <c r="L548" s="442">
        <v>191</v>
      </c>
      <c r="M548" s="442">
        <v>34</v>
      </c>
      <c r="N548" s="442">
        <v>157</v>
      </c>
      <c r="O548" s="442">
        <v>311</v>
      </c>
      <c r="P548" s="442">
        <v>190</v>
      </c>
      <c r="Q548" s="442">
        <v>121</v>
      </c>
      <c r="R548" s="442">
        <v>133245</v>
      </c>
      <c r="S548" s="442">
        <v>133245</v>
      </c>
      <c r="T548" s="442">
        <v>26131</v>
      </c>
      <c r="U548" s="442">
        <v>93639</v>
      </c>
      <c r="V548" s="442">
        <v>13475</v>
      </c>
      <c r="W548" s="447" t="s">
        <v>672</v>
      </c>
    </row>
    <row r="549" spans="1:23" s="442" customFormat="1" ht="9.75" customHeight="1" x14ac:dyDescent="0.15">
      <c r="A549" s="950" t="s">
        <v>767</v>
      </c>
      <c r="B549" s="442" t="s">
        <v>648</v>
      </c>
      <c r="C549" s="442">
        <v>577</v>
      </c>
      <c r="D549" s="442">
        <v>75</v>
      </c>
      <c r="E549" s="442" t="s">
        <v>648</v>
      </c>
      <c r="F549" s="442">
        <v>29</v>
      </c>
      <c r="G549" s="442">
        <v>137</v>
      </c>
      <c r="H549" s="442">
        <v>122</v>
      </c>
      <c r="I549" s="442">
        <v>129</v>
      </c>
      <c r="J549" s="442">
        <v>52</v>
      </c>
      <c r="K549" s="442">
        <v>33</v>
      </c>
      <c r="L549" s="442">
        <v>356</v>
      </c>
      <c r="M549" s="442">
        <v>104</v>
      </c>
      <c r="N549" s="442">
        <v>252</v>
      </c>
      <c r="O549" s="442">
        <v>262</v>
      </c>
      <c r="P549" s="442">
        <v>124</v>
      </c>
      <c r="Q549" s="442">
        <v>138</v>
      </c>
      <c r="R549" s="442">
        <v>147278</v>
      </c>
      <c r="S549" s="442">
        <v>147278</v>
      </c>
      <c r="T549" s="442">
        <v>14309</v>
      </c>
      <c r="U549" s="442">
        <v>106158</v>
      </c>
      <c r="V549" s="442">
        <v>26811</v>
      </c>
      <c r="W549" s="447" t="s">
        <v>768</v>
      </c>
    </row>
    <row r="550" spans="1:23" s="442" customFormat="1" ht="6.75" customHeight="1" x14ac:dyDescent="0.15">
      <c r="A550" s="950"/>
      <c r="W550" s="447"/>
    </row>
    <row r="551" spans="1:23" s="442" customFormat="1" ht="9.75" customHeight="1" x14ac:dyDescent="0.15">
      <c r="A551" s="950" t="s">
        <v>799</v>
      </c>
      <c r="B551" s="442">
        <v>414</v>
      </c>
      <c r="C551" s="442">
        <v>4763</v>
      </c>
      <c r="D551" s="442">
        <v>55</v>
      </c>
      <c r="E551" s="442">
        <v>129</v>
      </c>
      <c r="F551" s="442">
        <v>18</v>
      </c>
      <c r="G551" s="442">
        <v>86</v>
      </c>
      <c r="H551" s="442">
        <v>191</v>
      </c>
      <c r="I551" s="442">
        <v>4165</v>
      </c>
      <c r="J551" s="442">
        <v>17</v>
      </c>
      <c r="K551" s="442">
        <v>102</v>
      </c>
      <c r="L551" s="442">
        <v>128</v>
      </c>
      <c r="M551" s="442">
        <v>17</v>
      </c>
      <c r="N551" s="442">
        <v>111</v>
      </c>
      <c r="O551" s="442">
        <v>292</v>
      </c>
      <c r="P551" s="442">
        <v>171</v>
      </c>
      <c r="Q551" s="442">
        <v>121</v>
      </c>
      <c r="R551" s="442">
        <v>117480</v>
      </c>
      <c r="S551" s="442">
        <v>117480</v>
      </c>
      <c r="T551" s="442">
        <v>25458</v>
      </c>
      <c r="U551" s="442">
        <v>80100</v>
      </c>
      <c r="V551" s="442">
        <v>11922</v>
      </c>
      <c r="W551" s="447" t="s">
        <v>673</v>
      </c>
    </row>
    <row r="552" spans="1:23" s="442" customFormat="1" ht="9.75" customHeight="1" x14ac:dyDescent="0.15">
      <c r="A552" s="950" t="s">
        <v>800</v>
      </c>
      <c r="B552" s="442" t="s">
        <v>648</v>
      </c>
      <c r="C552" s="442">
        <v>467</v>
      </c>
      <c r="D552" s="442">
        <v>138</v>
      </c>
      <c r="E552" s="442" t="s">
        <v>648</v>
      </c>
      <c r="F552" s="442">
        <v>47</v>
      </c>
      <c r="G552" s="442">
        <v>125</v>
      </c>
      <c r="H552" s="442">
        <v>87</v>
      </c>
      <c r="I552" s="442" t="s">
        <v>648</v>
      </c>
      <c r="J552" s="442">
        <v>70</v>
      </c>
      <c r="K552" s="442" t="s">
        <v>648</v>
      </c>
      <c r="L552" s="442">
        <v>371</v>
      </c>
      <c r="M552" s="442">
        <v>104</v>
      </c>
      <c r="N552" s="442">
        <v>267</v>
      </c>
      <c r="O552" s="442">
        <v>277</v>
      </c>
      <c r="P552" s="442">
        <v>124</v>
      </c>
      <c r="Q552" s="442">
        <v>153</v>
      </c>
      <c r="R552" s="442">
        <v>183639</v>
      </c>
      <c r="S552" s="442">
        <v>183639</v>
      </c>
      <c r="T552" s="442">
        <v>13978</v>
      </c>
      <c r="U552" s="442">
        <v>126880</v>
      </c>
      <c r="V552" s="442">
        <v>42781</v>
      </c>
      <c r="W552" s="447" t="s">
        <v>771</v>
      </c>
    </row>
    <row r="553" spans="1:23" s="442" customFormat="1" ht="6.75" customHeight="1" x14ac:dyDescent="0.15">
      <c r="A553" s="950"/>
      <c r="W553" s="447"/>
    </row>
    <row r="554" spans="1:23" s="442" customFormat="1" ht="9.75" customHeight="1" x14ac:dyDescent="0.15">
      <c r="A554" s="950" t="s">
        <v>772</v>
      </c>
      <c r="B554" s="442" t="s">
        <v>648</v>
      </c>
      <c r="C554" s="442">
        <v>266</v>
      </c>
      <c r="D554" s="442" t="s">
        <v>648</v>
      </c>
      <c r="E554" s="442" t="s">
        <v>648</v>
      </c>
      <c r="F554" s="442" t="s">
        <v>648</v>
      </c>
      <c r="G554" s="442">
        <v>34</v>
      </c>
      <c r="H554" s="442">
        <v>70</v>
      </c>
      <c r="I554" s="442">
        <v>129</v>
      </c>
      <c r="J554" s="442" t="s">
        <v>648</v>
      </c>
      <c r="K554" s="442">
        <v>33</v>
      </c>
      <c r="L554" s="442">
        <v>32</v>
      </c>
      <c r="M554" s="442" t="s">
        <v>648</v>
      </c>
      <c r="N554" s="442">
        <v>32</v>
      </c>
      <c r="O554" s="442">
        <v>65</v>
      </c>
      <c r="P554" s="442">
        <v>30</v>
      </c>
      <c r="Q554" s="442">
        <v>35</v>
      </c>
      <c r="R554" s="442">
        <v>9894</v>
      </c>
      <c r="S554" s="442">
        <v>9894</v>
      </c>
      <c r="T554" s="442">
        <v>3937</v>
      </c>
      <c r="U554" s="442">
        <v>5957</v>
      </c>
      <c r="V554" s="442" t="s">
        <v>648</v>
      </c>
      <c r="W554" s="447" t="s">
        <v>674</v>
      </c>
    </row>
    <row r="555" spans="1:23" s="442" customFormat="1" ht="9.75" customHeight="1" x14ac:dyDescent="0.15">
      <c r="A555" s="950" t="s">
        <v>773</v>
      </c>
      <c r="B555" s="442" t="s">
        <v>648</v>
      </c>
      <c r="C555" s="442">
        <v>104</v>
      </c>
      <c r="D555" s="442">
        <v>17</v>
      </c>
      <c r="E555" s="442" t="s">
        <v>648</v>
      </c>
      <c r="F555" s="442">
        <v>18</v>
      </c>
      <c r="G555" s="442">
        <v>34</v>
      </c>
      <c r="H555" s="442">
        <v>35</v>
      </c>
      <c r="I555" s="442" t="s">
        <v>648</v>
      </c>
      <c r="J555" s="442" t="s">
        <v>648</v>
      </c>
      <c r="K555" s="442" t="s">
        <v>648</v>
      </c>
      <c r="L555" s="442">
        <v>114</v>
      </c>
      <c r="M555" s="442">
        <v>52</v>
      </c>
      <c r="N555" s="442">
        <v>62</v>
      </c>
      <c r="O555" s="442">
        <v>82</v>
      </c>
      <c r="P555" s="442">
        <v>47</v>
      </c>
      <c r="Q555" s="442">
        <v>35</v>
      </c>
      <c r="R555" s="442">
        <v>10860</v>
      </c>
      <c r="S555" s="442">
        <v>10860</v>
      </c>
      <c r="T555" s="442">
        <v>3566</v>
      </c>
      <c r="U555" s="442">
        <v>7294</v>
      </c>
      <c r="V555" s="442" t="s">
        <v>648</v>
      </c>
      <c r="W555" s="447" t="s">
        <v>92</v>
      </c>
    </row>
    <row r="556" spans="1:23" s="442" customFormat="1" ht="9.75" customHeight="1" x14ac:dyDescent="0.15">
      <c r="A556" s="950" t="s">
        <v>774</v>
      </c>
      <c r="B556" s="442" t="s">
        <v>648</v>
      </c>
      <c r="C556" s="442">
        <v>105</v>
      </c>
      <c r="D556" s="442">
        <v>18</v>
      </c>
      <c r="E556" s="442" t="s">
        <v>648</v>
      </c>
      <c r="F556" s="442" t="s">
        <v>648</v>
      </c>
      <c r="G556" s="442">
        <v>52</v>
      </c>
      <c r="H556" s="442" t="s">
        <v>648</v>
      </c>
      <c r="I556" s="442" t="s">
        <v>648</v>
      </c>
      <c r="J556" s="442">
        <v>35</v>
      </c>
      <c r="K556" s="442" t="s">
        <v>648</v>
      </c>
      <c r="L556" s="442">
        <v>83</v>
      </c>
      <c r="M556" s="442">
        <v>35</v>
      </c>
      <c r="N556" s="442">
        <v>48</v>
      </c>
      <c r="O556" s="442">
        <v>49</v>
      </c>
      <c r="P556" s="442">
        <v>32</v>
      </c>
      <c r="Q556" s="442">
        <v>17</v>
      </c>
      <c r="R556" s="442">
        <v>61784</v>
      </c>
      <c r="S556" s="442">
        <v>61784</v>
      </c>
      <c r="T556" s="442">
        <v>2303</v>
      </c>
      <c r="U556" s="442">
        <v>45198</v>
      </c>
      <c r="V556" s="442">
        <v>14283</v>
      </c>
      <c r="W556" s="447" t="s">
        <v>93</v>
      </c>
    </row>
    <row r="557" spans="1:23" s="442" customFormat="1" ht="9.75" customHeight="1" x14ac:dyDescent="0.15">
      <c r="A557" s="950" t="s">
        <v>801</v>
      </c>
      <c r="B557" s="442" t="s">
        <v>648</v>
      </c>
      <c r="C557" s="442">
        <v>102</v>
      </c>
      <c r="D557" s="442">
        <v>40</v>
      </c>
      <c r="E557" s="442" t="s">
        <v>648</v>
      </c>
      <c r="F557" s="442">
        <v>11</v>
      </c>
      <c r="G557" s="442">
        <v>17</v>
      </c>
      <c r="H557" s="442">
        <v>17</v>
      </c>
      <c r="I557" s="442" t="s">
        <v>648</v>
      </c>
      <c r="J557" s="442">
        <v>17</v>
      </c>
      <c r="K557" s="442" t="s">
        <v>648</v>
      </c>
      <c r="L557" s="442">
        <v>127</v>
      </c>
      <c r="M557" s="442">
        <v>17</v>
      </c>
      <c r="N557" s="442">
        <v>110</v>
      </c>
      <c r="O557" s="442">
        <v>66</v>
      </c>
      <c r="P557" s="442">
        <v>15</v>
      </c>
      <c r="Q557" s="442">
        <v>51</v>
      </c>
      <c r="R557" s="442">
        <v>64740</v>
      </c>
      <c r="S557" s="442">
        <v>64740</v>
      </c>
      <c r="T557" s="442">
        <v>4503</v>
      </c>
      <c r="U557" s="442">
        <v>47709</v>
      </c>
      <c r="V557" s="442">
        <v>12528</v>
      </c>
      <c r="W557" s="447" t="s">
        <v>94</v>
      </c>
    </row>
    <row r="558" spans="1:23" s="442" customFormat="1" ht="9.75" customHeight="1" x14ac:dyDescent="0.15">
      <c r="A558" s="950" t="s">
        <v>809</v>
      </c>
      <c r="B558" s="442" t="s">
        <v>648</v>
      </c>
      <c r="C558" s="442">
        <v>156</v>
      </c>
      <c r="D558" s="442">
        <v>63</v>
      </c>
      <c r="E558" s="442" t="s">
        <v>648</v>
      </c>
      <c r="F558" s="442">
        <v>18</v>
      </c>
      <c r="G558" s="442">
        <v>22</v>
      </c>
      <c r="H558" s="442">
        <v>35</v>
      </c>
      <c r="I558" s="442" t="s">
        <v>648</v>
      </c>
      <c r="J558" s="442">
        <v>18</v>
      </c>
      <c r="K558" s="442" t="s">
        <v>648</v>
      </c>
      <c r="L558" s="442">
        <v>47</v>
      </c>
      <c r="M558" s="442" t="s">
        <v>648</v>
      </c>
      <c r="N558" s="442">
        <v>47</v>
      </c>
      <c r="O558" s="442">
        <v>80</v>
      </c>
      <c r="P558" s="442">
        <v>30</v>
      </c>
      <c r="Q558" s="442">
        <v>50</v>
      </c>
      <c r="R558" s="442">
        <v>46255</v>
      </c>
      <c r="S558" s="442">
        <v>46255</v>
      </c>
      <c r="T558" s="442">
        <v>3606</v>
      </c>
      <c r="U558" s="442">
        <v>26679</v>
      </c>
      <c r="V558" s="442">
        <v>15970</v>
      </c>
      <c r="W558" s="447" t="s">
        <v>777</v>
      </c>
    </row>
    <row r="559" spans="1:23" s="442" customFormat="1" ht="6.75" customHeight="1" x14ac:dyDescent="0.15">
      <c r="A559" s="950"/>
      <c r="W559" s="447"/>
    </row>
    <row r="560" spans="1:23" s="442" customFormat="1" ht="9.75" customHeight="1" x14ac:dyDescent="0.15">
      <c r="A560" s="950" t="s">
        <v>778</v>
      </c>
      <c r="B560" s="442" t="s">
        <v>648</v>
      </c>
      <c r="C560" s="442">
        <v>52</v>
      </c>
      <c r="D560" s="442" t="s">
        <v>648</v>
      </c>
      <c r="E560" s="442" t="s">
        <v>648</v>
      </c>
      <c r="F560" s="442" t="s">
        <v>648</v>
      </c>
      <c r="G560" s="442">
        <v>17</v>
      </c>
      <c r="H560" s="442">
        <v>35</v>
      </c>
      <c r="I560" s="442" t="s">
        <v>648</v>
      </c>
      <c r="J560" s="442" t="s">
        <v>648</v>
      </c>
      <c r="K560" s="442" t="s">
        <v>648</v>
      </c>
      <c r="L560" s="442" t="s">
        <v>648</v>
      </c>
      <c r="M560" s="442" t="s">
        <v>648</v>
      </c>
      <c r="N560" s="442" t="s">
        <v>648</v>
      </c>
      <c r="O560" s="442" t="s">
        <v>648</v>
      </c>
      <c r="P560" s="442" t="s">
        <v>648</v>
      </c>
      <c r="Q560" s="442" t="s">
        <v>648</v>
      </c>
      <c r="R560" s="442">
        <v>5957</v>
      </c>
      <c r="S560" s="442">
        <v>5957</v>
      </c>
      <c r="T560" s="442">
        <v>1456</v>
      </c>
      <c r="U560" s="442">
        <v>4501</v>
      </c>
      <c r="V560" s="442" t="s">
        <v>648</v>
      </c>
      <c r="W560" s="447" t="s">
        <v>675</v>
      </c>
    </row>
    <row r="561" spans="1:23" s="442" customFormat="1" ht="9.75" customHeight="1" x14ac:dyDescent="0.15">
      <c r="A561" s="950" t="s">
        <v>779</v>
      </c>
      <c r="B561" s="442" t="s">
        <v>648</v>
      </c>
      <c r="C561" s="442">
        <v>17</v>
      </c>
      <c r="D561" s="442" t="s">
        <v>648</v>
      </c>
      <c r="E561" s="442" t="s">
        <v>648</v>
      </c>
      <c r="F561" s="442" t="s">
        <v>648</v>
      </c>
      <c r="G561" s="442">
        <v>17</v>
      </c>
      <c r="H561" s="442" t="s">
        <v>648</v>
      </c>
      <c r="I561" s="442" t="s">
        <v>648</v>
      </c>
      <c r="J561" s="442" t="s">
        <v>648</v>
      </c>
      <c r="K561" s="442" t="s">
        <v>648</v>
      </c>
      <c r="L561" s="442">
        <v>16</v>
      </c>
      <c r="M561" s="442" t="s">
        <v>648</v>
      </c>
      <c r="N561" s="442">
        <v>16</v>
      </c>
      <c r="O561" s="442">
        <v>15</v>
      </c>
      <c r="P561" s="442">
        <v>15</v>
      </c>
      <c r="Q561" s="442" t="s">
        <v>648</v>
      </c>
      <c r="R561" s="442" t="s">
        <v>648</v>
      </c>
      <c r="S561" s="442" t="s">
        <v>648</v>
      </c>
      <c r="T561" s="442" t="s">
        <v>648</v>
      </c>
      <c r="U561" s="442" t="s">
        <v>648</v>
      </c>
      <c r="V561" s="442" t="s">
        <v>648</v>
      </c>
      <c r="W561" s="447" t="s">
        <v>80</v>
      </c>
    </row>
    <row r="562" spans="1:23" s="442" customFormat="1" ht="9.75" customHeight="1" x14ac:dyDescent="0.15">
      <c r="A562" s="950" t="s">
        <v>780</v>
      </c>
      <c r="B562" s="442" t="s">
        <v>648</v>
      </c>
      <c r="C562" s="442">
        <v>197</v>
      </c>
      <c r="D562" s="442" t="s">
        <v>648</v>
      </c>
      <c r="E562" s="442" t="s">
        <v>648</v>
      </c>
      <c r="F562" s="442" t="s">
        <v>648</v>
      </c>
      <c r="G562" s="442" t="s">
        <v>648</v>
      </c>
      <c r="H562" s="442">
        <v>35</v>
      </c>
      <c r="I562" s="442">
        <v>129</v>
      </c>
      <c r="J562" s="442" t="s">
        <v>648</v>
      </c>
      <c r="K562" s="442">
        <v>33</v>
      </c>
      <c r="L562" s="442">
        <v>16</v>
      </c>
      <c r="M562" s="442" t="s">
        <v>648</v>
      </c>
      <c r="N562" s="442">
        <v>16</v>
      </c>
      <c r="O562" s="442">
        <v>50</v>
      </c>
      <c r="P562" s="442">
        <v>15</v>
      </c>
      <c r="Q562" s="442">
        <v>35</v>
      </c>
      <c r="R562" s="442">
        <v>3937</v>
      </c>
      <c r="S562" s="442">
        <v>3937</v>
      </c>
      <c r="T562" s="442">
        <v>2481</v>
      </c>
      <c r="U562" s="442">
        <v>1456</v>
      </c>
      <c r="V562" s="442" t="s">
        <v>648</v>
      </c>
      <c r="W562" s="447" t="s">
        <v>81</v>
      </c>
    </row>
    <row r="563" spans="1:23" s="442" customFormat="1" ht="9.75" customHeight="1" x14ac:dyDescent="0.15">
      <c r="A563" s="950" t="s">
        <v>781</v>
      </c>
      <c r="B563" s="442" t="s">
        <v>648</v>
      </c>
      <c r="C563" s="442">
        <v>52</v>
      </c>
      <c r="D563" s="442">
        <v>17</v>
      </c>
      <c r="E563" s="442" t="s">
        <v>648</v>
      </c>
      <c r="F563" s="442" t="s">
        <v>648</v>
      </c>
      <c r="G563" s="442">
        <v>17</v>
      </c>
      <c r="H563" s="442">
        <v>18</v>
      </c>
      <c r="I563" s="442" t="s">
        <v>648</v>
      </c>
      <c r="J563" s="442" t="s">
        <v>648</v>
      </c>
      <c r="K563" s="442" t="s">
        <v>648</v>
      </c>
      <c r="L563" s="442" t="s">
        <v>648</v>
      </c>
      <c r="M563" s="442" t="s">
        <v>648</v>
      </c>
      <c r="N563" s="442" t="s">
        <v>648</v>
      </c>
      <c r="O563" s="442">
        <v>33</v>
      </c>
      <c r="P563" s="442">
        <v>15</v>
      </c>
      <c r="Q563" s="442">
        <v>18</v>
      </c>
      <c r="R563" s="442">
        <v>3064</v>
      </c>
      <c r="S563" s="442">
        <v>3064</v>
      </c>
      <c r="T563" s="442">
        <v>3064</v>
      </c>
      <c r="U563" s="442" t="s">
        <v>648</v>
      </c>
      <c r="V563" s="442" t="s">
        <v>648</v>
      </c>
      <c r="W563" s="447" t="s">
        <v>82</v>
      </c>
    </row>
    <row r="564" spans="1:23" s="442" customFormat="1" ht="9.75" customHeight="1" x14ac:dyDescent="0.15">
      <c r="A564" s="950" t="s">
        <v>1153</v>
      </c>
      <c r="B564" s="442" t="s">
        <v>648</v>
      </c>
      <c r="C564" s="442">
        <v>35</v>
      </c>
      <c r="D564" s="442" t="s">
        <v>648</v>
      </c>
      <c r="E564" s="442" t="s">
        <v>648</v>
      </c>
      <c r="F564" s="442">
        <v>18</v>
      </c>
      <c r="G564" s="442" t="s">
        <v>648</v>
      </c>
      <c r="H564" s="442">
        <v>17</v>
      </c>
      <c r="I564" s="442" t="s">
        <v>648</v>
      </c>
      <c r="J564" s="442" t="s">
        <v>648</v>
      </c>
      <c r="K564" s="442" t="s">
        <v>648</v>
      </c>
      <c r="L564" s="442">
        <v>48</v>
      </c>
      <c r="M564" s="442">
        <v>17</v>
      </c>
      <c r="N564" s="442">
        <v>31</v>
      </c>
      <c r="O564" s="442">
        <v>34</v>
      </c>
      <c r="P564" s="442">
        <v>17</v>
      </c>
      <c r="Q564" s="442">
        <v>17</v>
      </c>
      <c r="R564" s="442">
        <v>2942</v>
      </c>
      <c r="S564" s="442">
        <v>2942</v>
      </c>
      <c r="T564" s="442" t="s">
        <v>648</v>
      </c>
      <c r="U564" s="442">
        <v>2942</v>
      </c>
      <c r="V564" s="442" t="s">
        <v>648</v>
      </c>
      <c r="W564" s="447" t="s">
        <v>95</v>
      </c>
    </row>
    <row r="565" spans="1:23" s="442" customFormat="1" ht="9.75" customHeight="1" x14ac:dyDescent="0.15">
      <c r="A565" s="950" t="s">
        <v>783</v>
      </c>
      <c r="B565" s="442" t="s">
        <v>648</v>
      </c>
      <c r="C565" s="442">
        <v>17</v>
      </c>
      <c r="D565" s="442" t="s">
        <v>648</v>
      </c>
      <c r="E565" s="442" t="s">
        <v>648</v>
      </c>
      <c r="F565" s="442" t="s">
        <v>648</v>
      </c>
      <c r="G565" s="442">
        <v>17</v>
      </c>
      <c r="H565" s="442" t="s">
        <v>648</v>
      </c>
      <c r="I565" s="442" t="s">
        <v>648</v>
      </c>
      <c r="J565" s="442" t="s">
        <v>648</v>
      </c>
      <c r="K565" s="442" t="s">
        <v>648</v>
      </c>
      <c r="L565" s="442">
        <v>66</v>
      </c>
      <c r="M565" s="442">
        <v>35</v>
      </c>
      <c r="N565" s="442">
        <v>31</v>
      </c>
      <c r="O565" s="442">
        <v>15</v>
      </c>
      <c r="P565" s="442">
        <v>15</v>
      </c>
      <c r="Q565" s="442" t="s">
        <v>648</v>
      </c>
      <c r="R565" s="442">
        <v>4854</v>
      </c>
      <c r="S565" s="442">
        <v>4854</v>
      </c>
      <c r="T565" s="442">
        <v>502</v>
      </c>
      <c r="U565" s="442">
        <v>4352</v>
      </c>
      <c r="V565" s="442" t="s">
        <v>648</v>
      </c>
      <c r="W565" s="447" t="s">
        <v>96</v>
      </c>
    </row>
    <row r="566" spans="1:23" s="442" customFormat="1" ht="9.75" customHeight="1" x14ac:dyDescent="0.15">
      <c r="A566" s="950" t="s">
        <v>784</v>
      </c>
      <c r="B566" s="442" t="s">
        <v>648</v>
      </c>
      <c r="C566" s="442">
        <v>34</v>
      </c>
      <c r="D566" s="442">
        <v>17</v>
      </c>
      <c r="E566" s="442" t="s">
        <v>648</v>
      </c>
      <c r="F566" s="442" t="s">
        <v>648</v>
      </c>
      <c r="G566" s="442">
        <v>17</v>
      </c>
      <c r="H566" s="442" t="s">
        <v>648</v>
      </c>
      <c r="I566" s="442" t="s">
        <v>648</v>
      </c>
      <c r="J566" s="442" t="s">
        <v>648</v>
      </c>
      <c r="K566" s="442" t="s">
        <v>648</v>
      </c>
      <c r="L566" s="442">
        <v>51</v>
      </c>
      <c r="M566" s="442">
        <v>35</v>
      </c>
      <c r="N566" s="442">
        <v>16</v>
      </c>
      <c r="O566" s="442" t="s">
        <v>648</v>
      </c>
      <c r="P566" s="442" t="s">
        <v>648</v>
      </c>
      <c r="Q566" s="442" t="s">
        <v>648</v>
      </c>
      <c r="R566" s="442">
        <v>14170</v>
      </c>
      <c r="S566" s="442">
        <v>14170</v>
      </c>
      <c r="T566" s="442" t="s">
        <v>648</v>
      </c>
      <c r="U566" s="442">
        <v>9410</v>
      </c>
      <c r="V566" s="442">
        <v>4760</v>
      </c>
      <c r="W566" s="447" t="s">
        <v>97</v>
      </c>
    </row>
    <row r="567" spans="1:23" s="442" customFormat="1" ht="9.75" customHeight="1" x14ac:dyDescent="0.15">
      <c r="A567" s="950" t="s">
        <v>806</v>
      </c>
      <c r="B567" s="442" t="s">
        <v>648</v>
      </c>
      <c r="C567" s="442">
        <v>18</v>
      </c>
      <c r="D567" s="442">
        <v>1</v>
      </c>
      <c r="E567" s="442" t="s">
        <v>648</v>
      </c>
      <c r="F567" s="442" t="s">
        <v>648</v>
      </c>
      <c r="G567" s="442">
        <v>17</v>
      </c>
      <c r="H567" s="442" t="s">
        <v>648</v>
      </c>
      <c r="I567" s="442" t="s">
        <v>648</v>
      </c>
      <c r="J567" s="442" t="s">
        <v>648</v>
      </c>
      <c r="K567" s="442" t="s">
        <v>648</v>
      </c>
      <c r="L567" s="442">
        <v>16</v>
      </c>
      <c r="M567" s="442" t="s">
        <v>648</v>
      </c>
      <c r="N567" s="442">
        <v>16</v>
      </c>
      <c r="O567" s="442">
        <v>15</v>
      </c>
      <c r="P567" s="442">
        <v>15</v>
      </c>
      <c r="Q567" s="442" t="s">
        <v>648</v>
      </c>
      <c r="R567" s="442">
        <v>28879</v>
      </c>
      <c r="S567" s="442">
        <v>28879</v>
      </c>
      <c r="T567" s="442">
        <v>2303</v>
      </c>
      <c r="U567" s="442">
        <v>21816</v>
      </c>
      <c r="V567" s="442">
        <v>4760</v>
      </c>
      <c r="W567" s="447" t="s">
        <v>98</v>
      </c>
    </row>
    <row r="568" spans="1:23" s="442" customFormat="1" ht="9.75" customHeight="1" x14ac:dyDescent="0.15">
      <c r="A568" s="950" t="s">
        <v>786</v>
      </c>
      <c r="B568" s="442" t="s">
        <v>648</v>
      </c>
      <c r="C568" s="442">
        <v>53</v>
      </c>
      <c r="D568" s="442" t="s">
        <v>648</v>
      </c>
      <c r="E568" s="442" t="s">
        <v>648</v>
      </c>
      <c r="F568" s="442" t="s">
        <v>648</v>
      </c>
      <c r="G568" s="442">
        <v>18</v>
      </c>
      <c r="H568" s="442" t="s">
        <v>648</v>
      </c>
      <c r="I568" s="442" t="s">
        <v>648</v>
      </c>
      <c r="J568" s="442">
        <v>35</v>
      </c>
      <c r="K568" s="442" t="s">
        <v>648</v>
      </c>
      <c r="L568" s="442">
        <v>16</v>
      </c>
      <c r="M568" s="442" t="s">
        <v>648</v>
      </c>
      <c r="N568" s="442">
        <v>16</v>
      </c>
      <c r="O568" s="442">
        <v>34</v>
      </c>
      <c r="P568" s="442">
        <v>17</v>
      </c>
      <c r="Q568" s="442">
        <v>17</v>
      </c>
      <c r="R568" s="442">
        <v>18735</v>
      </c>
      <c r="S568" s="442">
        <v>18735</v>
      </c>
      <c r="T568" s="442" t="s">
        <v>648</v>
      </c>
      <c r="U568" s="442">
        <v>13972</v>
      </c>
      <c r="V568" s="442">
        <v>4763</v>
      </c>
      <c r="W568" s="447" t="s">
        <v>99</v>
      </c>
    </row>
    <row r="569" spans="1:23" s="442" customFormat="1" ht="9.75" customHeight="1" x14ac:dyDescent="0.15">
      <c r="A569" s="950" t="s">
        <v>807</v>
      </c>
      <c r="B569" s="442" t="s">
        <v>648</v>
      </c>
      <c r="C569" s="442">
        <v>14</v>
      </c>
      <c r="D569" s="442">
        <v>3</v>
      </c>
      <c r="E569" s="442" t="s">
        <v>648</v>
      </c>
      <c r="F569" s="442">
        <v>11</v>
      </c>
      <c r="G569" s="442" t="s">
        <v>648</v>
      </c>
      <c r="H569" s="442" t="s">
        <v>648</v>
      </c>
      <c r="I569" s="442" t="s">
        <v>648</v>
      </c>
      <c r="J569" s="442" t="s">
        <v>648</v>
      </c>
      <c r="K569" s="442" t="s">
        <v>648</v>
      </c>
      <c r="L569" s="442">
        <v>47</v>
      </c>
      <c r="M569" s="442" t="s">
        <v>648</v>
      </c>
      <c r="N569" s="442">
        <v>47</v>
      </c>
      <c r="O569" s="442">
        <v>34</v>
      </c>
      <c r="P569" s="442" t="s">
        <v>648</v>
      </c>
      <c r="Q569" s="442">
        <v>34</v>
      </c>
      <c r="R569" s="442">
        <v>16848</v>
      </c>
      <c r="S569" s="442">
        <v>16848</v>
      </c>
      <c r="T569" s="442">
        <v>2863</v>
      </c>
      <c r="U569" s="442">
        <v>9223</v>
      </c>
      <c r="V569" s="442">
        <v>4762</v>
      </c>
      <c r="W569" s="447" t="s">
        <v>83</v>
      </c>
    </row>
    <row r="570" spans="1:23" s="442" customFormat="1" ht="9.75" customHeight="1" x14ac:dyDescent="0.15">
      <c r="A570" s="950" t="s">
        <v>788</v>
      </c>
      <c r="B570" s="442" t="s">
        <v>648</v>
      </c>
      <c r="C570" s="442">
        <v>37</v>
      </c>
      <c r="D570" s="442">
        <v>20</v>
      </c>
      <c r="E570" s="442" t="s">
        <v>648</v>
      </c>
      <c r="F570" s="442" t="s">
        <v>648</v>
      </c>
      <c r="G570" s="442">
        <v>17</v>
      </c>
      <c r="H570" s="442" t="s">
        <v>648</v>
      </c>
      <c r="I570" s="442" t="s">
        <v>648</v>
      </c>
      <c r="J570" s="442" t="s">
        <v>648</v>
      </c>
      <c r="K570" s="442" t="s">
        <v>648</v>
      </c>
      <c r="L570" s="442">
        <v>31</v>
      </c>
      <c r="M570" s="442" t="s">
        <v>648</v>
      </c>
      <c r="N570" s="442">
        <v>31</v>
      </c>
      <c r="O570" s="442" t="s">
        <v>648</v>
      </c>
      <c r="P570" s="442" t="s">
        <v>648</v>
      </c>
      <c r="Q570" s="442" t="s">
        <v>648</v>
      </c>
      <c r="R570" s="442">
        <v>21647</v>
      </c>
      <c r="S570" s="442">
        <v>21647</v>
      </c>
      <c r="T570" s="442" t="s">
        <v>648</v>
      </c>
      <c r="U570" s="442">
        <v>16886</v>
      </c>
      <c r="V570" s="442">
        <v>4761</v>
      </c>
      <c r="W570" s="447" t="s">
        <v>84</v>
      </c>
    </row>
    <row r="571" spans="1:23" s="442" customFormat="1" ht="9.75" customHeight="1" x14ac:dyDescent="0.15">
      <c r="A571" s="950" t="s">
        <v>1163</v>
      </c>
      <c r="B571" s="442" t="s">
        <v>648</v>
      </c>
      <c r="C571" s="442">
        <v>51</v>
      </c>
      <c r="D571" s="442">
        <v>17</v>
      </c>
      <c r="E571" s="442" t="s">
        <v>648</v>
      </c>
      <c r="F571" s="442" t="s">
        <v>648</v>
      </c>
      <c r="G571" s="442" t="s">
        <v>648</v>
      </c>
      <c r="H571" s="442">
        <v>17</v>
      </c>
      <c r="I571" s="442" t="s">
        <v>648</v>
      </c>
      <c r="J571" s="442">
        <v>17</v>
      </c>
      <c r="K571" s="442" t="s">
        <v>648</v>
      </c>
      <c r="L571" s="442">
        <v>49</v>
      </c>
      <c r="M571" s="442">
        <v>17</v>
      </c>
      <c r="N571" s="442">
        <v>32</v>
      </c>
      <c r="O571" s="442">
        <v>32</v>
      </c>
      <c r="P571" s="442">
        <v>15</v>
      </c>
      <c r="Q571" s="442">
        <v>17</v>
      </c>
      <c r="R571" s="442">
        <v>26245</v>
      </c>
      <c r="S571" s="442">
        <v>26245</v>
      </c>
      <c r="T571" s="442">
        <v>1640</v>
      </c>
      <c r="U571" s="442">
        <v>21600</v>
      </c>
      <c r="V571" s="442">
        <v>3005</v>
      </c>
      <c r="W571" s="447" t="s">
        <v>85</v>
      </c>
    </row>
    <row r="572" spans="1:23" s="442" customFormat="1" ht="9.75" customHeight="1" x14ac:dyDescent="0.15">
      <c r="A572" s="950" t="s">
        <v>790</v>
      </c>
      <c r="B572" s="442" t="s">
        <v>648</v>
      </c>
      <c r="C572" s="442">
        <v>73</v>
      </c>
      <c r="D572" s="442">
        <v>16</v>
      </c>
      <c r="E572" s="442" t="s">
        <v>648</v>
      </c>
      <c r="F572" s="442" t="s">
        <v>648</v>
      </c>
      <c r="G572" s="442">
        <v>22</v>
      </c>
      <c r="H572" s="442">
        <v>35</v>
      </c>
      <c r="I572" s="442" t="s">
        <v>648</v>
      </c>
      <c r="J572" s="442" t="s">
        <v>648</v>
      </c>
      <c r="K572" s="442" t="s">
        <v>648</v>
      </c>
      <c r="L572" s="442" t="s">
        <v>648</v>
      </c>
      <c r="M572" s="442" t="s">
        <v>648</v>
      </c>
      <c r="N572" s="442" t="s">
        <v>648</v>
      </c>
      <c r="O572" s="442">
        <v>35</v>
      </c>
      <c r="P572" s="442" t="s">
        <v>648</v>
      </c>
      <c r="Q572" s="442">
        <v>35</v>
      </c>
      <c r="R572" s="442">
        <v>10679</v>
      </c>
      <c r="S572" s="442">
        <v>10679</v>
      </c>
      <c r="T572" s="442" t="s">
        <v>648</v>
      </c>
      <c r="U572" s="442">
        <v>4466</v>
      </c>
      <c r="V572" s="442">
        <v>6213</v>
      </c>
      <c r="W572" s="447" t="s">
        <v>791</v>
      </c>
    </row>
    <row r="573" spans="1:23" s="442" customFormat="1" ht="9.75" customHeight="1" x14ac:dyDescent="0.15">
      <c r="A573" s="950" t="s">
        <v>792</v>
      </c>
      <c r="B573" s="442" t="s">
        <v>648</v>
      </c>
      <c r="C573" s="442">
        <v>19</v>
      </c>
      <c r="D573" s="442">
        <v>1</v>
      </c>
      <c r="E573" s="442" t="s">
        <v>648</v>
      </c>
      <c r="F573" s="442" t="s">
        <v>648</v>
      </c>
      <c r="G573" s="442" t="s">
        <v>648</v>
      </c>
      <c r="H573" s="442" t="s">
        <v>648</v>
      </c>
      <c r="I573" s="442" t="s">
        <v>648</v>
      </c>
      <c r="J573" s="442">
        <v>18</v>
      </c>
      <c r="K573" s="442" t="s">
        <v>648</v>
      </c>
      <c r="L573" s="442">
        <v>31</v>
      </c>
      <c r="M573" s="442" t="s">
        <v>648</v>
      </c>
      <c r="N573" s="442">
        <v>31</v>
      </c>
      <c r="O573" s="442">
        <v>45</v>
      </c>
      <c r="P573" s="442">
        <v>30</v>
      </c>
      <c r="Q573" s="442">
        <v>15</v>
      </c>
      <c r="R573" s="442">
        <v>11494</v>
      </c>
      <c r="S573" s="442">
        <v>11494</v>
      </c>
      <c r="T573" s="442">
        <v>601</v>
      </c>
      <c r="U573" s="442">
        <v>6133</v>
      </c>
      <c r="V573" s="442">
        <v>4760</v>
      </c>
      <c r="W573" s="447" t="s">
        <v>80</v>
      </c>
    </row>
    <row r="574" spans="1:23" s="442" customFormat="1" ht="9.75" customHeight="1" x14ac:dyDescent="0.15">
      <c r="A574" s="951" t="s">
        <v>793</v>
      </c>
      <c r="B574" s="446" t="s">
        <v>648</v>
      </c>
      <c r="C574" s="445">
        <v>64</v>
      </c>
      <c r="D574" s="445">
        <v>46</v>
      </c>
      <c r="E574" s="445" t="s">
        <v>648</v>
      </c>
      <c r="F574" s="445">
        <v>18</v>
      </c>
      <c r="G574" s="445" t="s">
        <v>648</v>
      </c>
      <c r="H574" s="445" t="s">
        <v>648</v>
      </c>
      <c r="I574" s="445" t="s">
        <v>648</v>
      </c>
      <c r="J574" s="445" t="s">
        <v>648</v>
      </c>
      <c r="K574" s="445" t="s">
        <v>648</v>
      </c>
      <c r="L574" s="445">
        <v>16</v>
      </c>
      <c r="M574" s="445" t="s">
        <v>648</v>
      </c>
      <c r="N574" s="445">
        <v>16</v>
      </c>
      <c r="O574" s="445" t="s">
        <v>648</v>
      </c>
      <c r="P574" s="445" t="s">
        <v>648</v>
      </c>
      <c r="Q574" s="445" t="s">
        <v>648</v>
      </c>
      <c r="R574" s="445">
        <v>24082</v>
      </c>
      <c r="S574" s="445">
        <v>24082</v>
      </c>
      <c r="T574" s="445">
        <v>3005</v>
      </c>
      <c r="U574" s="445">
        <v>16080</v>
      </c>
      <c r="V574" s="445">
        <v>4997</v>
      </c>
      <c r="W574" s="443" t="s">
        <v>81</v>
      </c>
    </row>
    <row r="575" spans="1:23" ht="12" customHeight="1" x14ac:dyDescent="0.2"/>
    <row r="576" spans="1:23" ht="12" customHeight="1" x14ac:dyDescent="0.2"/>
    <row r="577" spans="1:18" ht="12" customHeight="1" x14ac:dyDescent="0.15">
      <c r="K577" s="457" t="s">
        <v>100</v>
      </c>
      <c r="R577" s="460" t="s">
        <v>715</v>
      </c>
    </row>
    <row r="578" spans="1:18" s="453" customFormat="1" ht="21" customHeight="1" x14ac:dyDescent="0.2">
      <c r="A578" s="1089" t="s">
        <v>194</v>
      </c>
      <c r="B578" s="456" t="s">
        <v>306</v>
      </c>
      <c r="C578" s="455"/>
      <c r="D578" s="917"/>
      <c r="E578" s="918" t="s">
        <v>305</v>
      </c>
      <c r="F578" s="455"/>
      <c r="G578" s="455"/>
      <c r="H578" s="455"/>
      <c r="I578" s="455"/>
      <c r="J578" s="455"/>
      <c r="K578" s="455"/>
      <c r="L578" s="917"/>
      <c r="M578" s="918" t="s">
        <v>302</v>
      </c>
      <c r="N578" s="455"/>
      <c r="O578" s="455"/>
      <c r="P578" s="455"/>
      <c r="Q578" s="917"/>
      <c r="R578" s="1092" t="s">
        <v>86</v>
      </c>
    </row>
    <row r="579" spans="1:18" s="453" customFormat="1" ht="21" customHeight="1" x14ac:dyDescent="0.2">
      <c r="A579" s="1090"/>
      <c r="B579" s="864" t="s">
        <v>290</v>
      </c>
      <c r="C579" s="918" t="s">
        <v>1135</v>
      </c>
      <c r="D579" s="917"/>
      <c r="E579" s="1095" t="s">
        <v>304</v>
      </c>
      <c r="F579" s="918" t="s">
        <v>297</v>
      </c>
      <c r="G579" s="455"/>
      <c r="H579" s="455"/>
      <c r="I579" s="455"/>
      <c r="J579" s="917"/>
      <c r="K579" s="918" t="s">
        <v>1135</v>
      </c>
      <c r="L579" s="917"/>
      <c r="M579" s="1095" t="s">
        <v>301</v>
      </c>
      <c r="N579" s="918" t="s">
        <v>297</v>
      </c>
      <c r="O579" s="455"/>
      <c r="P579" s="455"/>
      <c r="Q579" s="917"/>
      <c r="R579" s="1093"/>
    </row>
    <row r="580" spans="1:18" s="453" customFormat="1" ht="52.5" customHeight="1" x14ac:dyDescent="0.2">
      <c r="A580" s="1091"/>
      <c r="B580" s="454" t="s">
        <v>342</v>
      </c>
      <c r="C580" s="920" t="s">
        <v>353</v>
      </c>
      <c r="D580" s="454" t="s">
        <v>352</v>
      </c>
      <c r="E580" s="1096"/>
      <c r="F580" s="920" t="s">
        <v>1096</v>
      </c>
      <c r="G580" s="454" t="s">
        <v>286</v>
      </c>
      <c r="H580" s="454" t="s">
        <v>1097</v>
      </c>
      <c r="I580" s="454" t="s">
        <v>307</v>
      </c>
      <c r="J580" s="454" t="s">
        <v>342</v>
      </c>
      <c r="K580" s="920" t="s">
        <v>353</v>
      </c>
      <c r="L580" s="454" t="s">
        <v>352</v>
      </c>
      <c r="M580" s="1096"/>
      <c r="N580" s="920" t="s">
        <v>1096</v>
      </c>
      <c r="O580" s="454" t="s">
        <v>286</v>
      </c>
      <c r="P580" s="454" t="s">
        <v>1097</v>
      </c>
      <c r="Q580" s="454" t="s">
        <v>342</v>
      </c>
      <c r="R580" s="1094"/>
    </row>
    <row r="581" spans="1:18" s="442" customFormat="1" ht="9.75" customHeight="1" x14ac:dyDescent="0.15">
      <c r="A581" s="949" t="s">
        <v>763</v>
      </c>
      <c r="B581" s="452">
        <v>20990</v>
      </c>
      <c r="C581" s="451" t="s">
        <v>648</v>
      </c>
      <c r="D581" s="451" t="s">
        <v>648</v>
      </c>
      <c r="E581" s="451">
        <v>146301</v>
      </c>
      <c r="F581" s="451">
        <v>146301</v>
      </c>
      <c r="G581" s="451">
        <v>46828</v>
      </c>
      <c r="H581" s="451">
        <v>84613</v>
      </c>
      <c r="I581" s="451">
        <v>4364</v>
      </c>
      <c r="J581" s="451">
        <v>10496</v>
      </c>
      <c r="K581" s="451" t="s">
        <v>648</v>
      </c>
      <c r="L581" s="451" t="s">
        <v>648</v>
      </c>
      <c r="M581" s="451">
        <v>53717</v>
      </c>
      <c r="N581" s="451">
        <v>53717</v>
      </c>
      <c r="O581" s="451">
        <v>21476</v>
      </c>
      <c r="P581" s="451">
        <v>21747</v>
      </c>
      <c r="Q581" s="450">
        <v>10494</v>
      </c>
      <c r="R581" s="449" t="s">
        <v>464</v>
      </c>
    </row>
    <row r="582" spans="1:18" s="442" customFormat="1" ht="9.75" customHeight="1" x14ac:dyDescent="0.15">
      <c r="A582" s="950" t="s">
        <v>764</v>
      </c>
      <c r="B582" s="442" t="s">
        <v>648</v>
      </c>
      <c r="C582" s="442" t="s">
        <v>648</v>
      </c>
      <c r="D582" s="442" t="s">
        <v>648</v>
      </c>
      <c r="E582" s="442">
        <v>210580</v>
      </c>
      <c r="F582" s="442">
        <v>210580</v>
      </c>
      <c r="G582" s="442">
        <v>22346</v>
      </c>
      <c r="H582" s="442">
        <v>183569</v>
      </c>
      <c r="I582" s="442">
        <v>4665</v>
      </c>
      <c r="J582" s="442" t="s">
        <v>648</v>
      </c>
      <c r="K582" s="442" t="s">
        <v>648</v>
      </c>
      <c r="L582" s="442" t="s">
        <v>648</v>
      </c>
      <c r="M582" s="442">
        <v>49052</v>
      </c>
      <c r="N582" s="442">
        <v>49052</v>
      </c>
      <c r="O582" s="442">
        <v>26574</v>
      </c>
      <c r="P582" s="442">
        <v>22478</v>
      </c>
      <c r="Q582" s="448" t="s">
        <v>648</v>
      </c>
      <c r="R582" s="447" t="s">
        <v>489</v>
      </c>
    </row>
    <row r="583" spans="1:18" s="442" customFormat="1" ht="9.75" customHeight="1" x14ac:dyDescent="0.15">
      <c r="A583" s="950" t="s">
        <v>765</v>
      </c>
      <c r="B583" s="442" t="s">
        <v>648</v>
      </c>
      <c r="C583" s="442">
        <v>257</v>
      </c>
      <c r="D583" s="442">
        <v>257</v>
      </c>
      <c r="E583" s="442">
        <v>163822</v>
      </c>
      <c r="F583" s="442">
        <v>163565</v>
      </c>
      <c r="G583" s="442">
        <v>6107</v>
      </c>
      <c r="H583" s="442">
        <v>157458</v>
      </c>
      <c r="I583" s="442" t="s">
        <v>648</v>
      </c>
      <c r="J583" s="442" t="s">
        <v>648</v>
      </c>
      <c r="K583" s="442">
        <v>257</v>
      </c>
      <c r="L583" s="442">
        <v>257</v>
      </c>
      <c r="M583" s="442">
        <v>22513</v>
      </c>
      <c r="N583" s="442">
        <v>22513</v>
      </c>
      <c r="O583" s="442">
        <v>10506</v>
      </c>
      <c r="P583" s="442">
        <v>12007</v>
      </c>
      <c r="Q583" s="448" t="s">
        <v>648</v>
      </c>
      <c r="R583" s="447" t="s">
        <v>549</v>
      </c>
    </row>
    <row r="584" spans="1:18" s="442" customFormat="1" ht="9.75" customHeight="1" x14ac:dyDescent="0.15">
      <c r="A584" s="950" t="s">
        <v>766</v>
      </c>
      <c r="B584" s="442" t="s">
        <v>648</v>
      </c>
      <c r="C584" s="442" t="s">
        <v>648</v>
      </c>
      <c r="D584" s="442" t="s">
        <v>648</v>
      </c>
      <c r="E584" s="442">
        <v>110328</v>
      </c>
      <c r="F584" s="442">
        <v>110328</v>
      </c>
      <c r="G584" s="442">
        <v>9217</v>
      </c>
      <c r="H584" s="442">
        <v>87636</v>
      </c>
      <c r="I584" s="442">
        <v>13475</v>
      </c>
      <c r="J584" s="442" t="s">
        <v>648</v>
      </c>
      <c r="K584" s="442" t="s">
        <v>648</v>
      </c>
      <c r="L584" s="442" t="s">
        <v>648</v>
      </c>
      <c r="M584" s="442">
        <v>22917</v>
      </c>
      <c r="N584" s="442">
        <v>22917</v>
      </c>
      <c r="O584" s="442">
        <v>16914</v>
      </c>
      <c r="P584" s="442">
        <v>6003</v>
      </c>
      <c r="Q584" s="448" t="s">
        <v>648</v>
      </c>
      <c r="R584" s="447" t="s">
        <v>672</v>
      </c>
    </row>
    <row r="585" spans="1:18" s="442" customFormat="1" ht="9.75" customHeight="1" x14ac:dyDescent="0.15">
      <c r="A585" s="950" t="s">
        <v>767</v>
      </c>
      <c r="B585" s="442" t="s">
        <v>648</v>
      </c>
      <c r="C585" s="442" t="s">
        <v>648</v>
      </c>
      <c r="D585" s="442" t="s">
        <v>648</v>
      </c>
      <c r="E585" s="442">
        <v>133767</v>
      </c>
      <c r="F585" s="442">
        <v>133767</v>
      </c>
      <c r="G585" s="442">
        <v>3740</v>
      </c>
      <c r="H585" s="442">
        <v>103216</v>
      </c>
      <c r="I585" s="442">
        <v>26811</v>
      </c>
      <c r="J585" s="442" t="s">
        <v>648</v>
      </c>
      <c r="K585" s="442" t="s">
        <v>648</v>
      </c>
      <c r="L585" s="442" t="s">
        <v>648</v>
      </c>
      <c r="M585" s="442">
        <v>13511</v>
      </c>
      <c r="N585" s="442">
        <v>13511</v>
      </c>
      <c r="O585" s="442">
        <v>10569</v>
      </c>
      <c r="P585" s="442">
        <v>2942</v>
      </c>
      <c r="Q585" s="448" t="s">
        <v>648</v>
      </c>
      <c r="R585" s="447" t="s">
        <v>768</v>
      </c>
    </row>
    <row r="586" spans="1:18" s="442" customFormat="1" ht="6.75" customHeight="1" x14ac:dyDescent="0.15">
      <c r="A586" s="950"/>
      <c r="Q586" s="448"/>
      <c r="R586" s="447"/>
    </row>
    <row r="587" spans="1:18" s="442" customFormat="1" ht="9.75" customHeight="1" x14ac:dyDescent="0.15">
      <c r="A587" s="950" t="s">
        <v>799</v>
      </c>
      <c r="B587" s="442" t="s">
        <v>648</v>
      </c>
      <c r="C587" s="442" t="s">
        <v>648</v>
      </c>
      <c r="D587" s="442" t="s">
        <v>648</v>
      </c>
      <c r="E587" s="442">
        <v>94562</v>
      </c>
      <c r="F587" s="442">
        <v>94562</v>
      </c>
      <c r="G587" s="442">
        <v>8543</v>
      </c>
      <c r="H587" s="442">
        <v>74097</v>
      </c>
      <c r="I587" s="442">
        <v>11922</v>
      </c>
      <c r="J587" s="442" t="s">
        <v>648</v>
      </c>
      <c r="K587" s="442" t="s">
        <v>648</v>
      </c>
      <c r="L587" s="442" t="s">
        <v>648</v>
      </c>
      <c r="M587" s="442">
        <v>22918</v>
      </c>
      <c r="N587" s="442">
        <v>22918</v>
      </c>
      <c r="O587" s="442">
        <v>16915</v>
      </c>
      <c r="P587" s="442">
        <v>6003</v>
      </c>
      <c r="Q587" s="448" t="s">
        <v>648</v>
      </c>
      <c r="R587" s="447" t="s">
        <v>673</v>
      </c>
    </row>
    <row r="588" spans="1:18" s="442" customFormat="1" ht="9.75" customHeight="1" x14ac:dyDescent="0.15">
      <c r="A588" s="950" t="s">
        <v>1164</v>
      </c>
      <c r="B588" s="442" t="s">
        <v>648</v>
      </c>
      <c r="C588" s="442" t="s">
        <v>648</v>
      </c>
      <c r="D588" s="442" t="s">
        <v>648</v>
      </c>
      <c r="E588" s="442">
        <v>168625</v>
      </c>
      <c r="F588" s="442">
        <v>168625</v>
      </c>
      <c r="G588" s="442">
        <v>1906</v>
      </c>
      <c r="H588" s="442">
        <v>123938</v>
      </c>
      <c r="I588" s="442">
        <v>42781</v>
      </c>
      <c r="J588" s="442" t="s">
        <v>648</v>
      </c>
      <c r="K588" s="442" t="s">
        <v>648</v>
      </c>
      <c r="L588" s="442" t="s">
        <v>648</v>
      </c>
      <c r="M588" s="442">
        <v>15014</v>
      </c>
      <c r="N588" s="442">
        <v>15014</v>
      </c>
      <c r="O588" s="442">
        <v>12072</v>
      </c>
      <c r="P588" s="442">
        <v>2942</v>
      </c>
      <c r="Q588" s="448" t="s">
        <v>648</v>
      </c>
      <c r="R588" s="447" t="s">
        <v>771</v>
      </c>
    </row>
    <row r="589" spans="1:18" s="442" customFormat="1" ht="6.75" customHeight="1" x14ac:dyDescent="0.15">
      <c r="A589" s="950"/>
      <c r="Q589" s="448"/>
      <c r="R589" s="447"/>
    </row>
    <row r="590" spans="1:18" s="442" customFormat="1" ht="9.75" customHeight="1" x14ac:dyDescent="0.15">
      <c r="A590" s="950" t="s">
        <v>772</v>
      </c>
      <c r="B590" s="442" t="s">
        <v>648</v>
      </c>
      <c r="C590" s="442" t="s">
        <v>648</v>
      </c>
      <c r="D590" s="442" t="s">
        <v>648</v>
      </c>
      <c r="E590" s="442">
        <v>8392</v>
      </c>
      <c r="F590" s="442">
        <v>8392</v>
      </c>
      <c r="G590" s="442">
        <v>2435</v>
      </c>
      <c r="H590" s="442">
        <v>5957</v>
      </c>
      <c r="I590" s="442" t="s">
        <v>648</v>
      </c>
      <c r="J590" s="442" t="s">
        <v>648</v>
      </c>
      <c r="K590" s="442" t="s">
        <v>648</v>
      </c>
      <c r="L590" s="442" t="s">
        <v>648</v>
      </c>
      <c r="M590" s="442">
        <v>1502</v>
      </c>
      <c r="N590" s="442">
        <v>1502</v>
      </c>
      <c r="O590" s="442">
        <v>1502</v>
      </c>
      <c r="P590" s="442" t="s">
        <v>648</v>
      </c>
      <c r="Q590" s="448" t="s">
        <v>648</v>
      </c>
      <c r="R590" s="447" t="s">
        <v>674</v>
      </c>
    </row>
    <row r="591" spans="1:18" s="442" customFormat="1" ht="9.75" customHeight="1" x14ac:dyDescent="0.15">
      <c r="A591" s="950" t="s">
        <v>773</v>
      </c>
      <c r="B591" s="442" t="s">
        <v>648</v>
      </c>
      <c r="C591" s="442" t="s">
        <v>648</v>
      </c>
      <c r="D591" s="442" t="s">
        <v>648</v>
      </c>
      <c r="E591" s="442">
        <v>4854</v>
      </c>
      <c r="F591" s="442">
        <v>4854</v>
      </c>
      <c r="G591" s="442">
        <v>502</v>
      </c>
      <c r="H591" s="442">
        <v>4352</v>
      </c>
      <c r="I591" s="442" t="s">
        <v>648</v>
      </c>
      <c r="J591" s="442" t="s">
        <v>648</v>
      </c>
      <c r="K591" s="442" t="s">
        <v>648</v>
      </c>
      <c r="L591" s="442" t="s">
        <v>648</v>
      </c>
      <c r="M591" s="442">
        <v>6006</v>
      </c>
      <c r="N591" s="442">
        <v>6006</v>
      </c>
      <c r="O591" s="442">
        <v>3064</v>
      </c>
      <c r="P591" s="442">
        <v>2942</v>
      </c>
      <c r="Q591" s="448" t="s">
        <v>648</v>
      </c>
      <c r="R591" s="447" t="s">
        <v>92</v>
      </c>
    </row>
    <row r="592" spans="1:18" s="442" customFormat="1" ht="9.75" customHeight="1" x14ac:dyDescent="0.15">
      <c r="A592" s="950" t="s">
        <v>774</v>
      </c>
      <c r="B592" s="442" t="s">
        <v>648</v>
      </c>
      <c r="C592" s="442" t="s">
        <v>648</v>
      </c>
      <c r="D592" s="442" t="s">
        <v>648</v>
      </c>
      <c r="E592" s="442">
        <v>60284</v>
      </c>
      <c r="F592" s="442">
        <v>60284</v>
      </c>
      <c r="G592" s="442">
        <v>803</v>
      </c>
      <c r="H592" s="442">
        <v>45198</v>
      </c>
      <c r="I592" s="442">
        <v>14283</v>
      </c>
      <c r="J592" s="442" t="s">
        <v>648</v>
      </c>
      <c r="K592" s="442" t="s">
        <v>648</v>
      </c>
      <c r="L592" s="442" t="s">
        <v>648</v>
      </c>
      <c r="M592" s="442">
        <v>1500</v>
      </c>
      <c r="N592" s="442">
        <v>1500</v>
      </c>
      <c r="O592" s="442">
        <v>1500</v>
      </c>
      <c r="P592" s="442" t="s">
        <v>648</v>
      </c>
      <c r="Q592" s="448" t="s">
        <v>648</v>
      </c>
      <c r="R592" s="447" t="s">
        <v>93</v>
      </c>
    </row>
    <row r="593" spans="1:18" s="442" customFormat="1" ht="9.75" customHeight="1" x14ac:dyDescent="0.15">
      <c r="A593" s="950" t="s">
        <v>801</v>
      </c>
      <c r="B593" s="442" t="s">
        <v>648</v>
      </c>
      <c r="C593" s="442" t="s">
        <v>648</v>
      </c>
      <c r="D593" s="442" t="s">
        <v>648</v>
      </c>
      <c r="E593" s="442">
        <v>60237</v>
      </c>
      <c r="F593" s="442">
        <v>60237</v>
      </c>
      <c r="G593" s="442" t="s">
        <v>648</v>
      </c>
      <c r="H593" s="442">
        <v>47709</v>
      </c>
      <c r="I593" s="442">
        <v>12528</v>
      </c>
      <c r="J593" s="442" t="s">
        <v>648</v>
      </c>
      <c r="K593" s="442" t="s">
        <v>648</v>
      </c>
      <c r="L593" s="442" t="s">
        <v>648</v>
      </c>
      <c r="M593" s="442">
        <v>4503</v>
      </c>
      <c r="N593" s="442">
        <v>4503</v>
      </c>
      <c r="O593" s="442">
        <v>4503</v>
      </c>
      <c r="P593" s="442" t="s">
        <v>648</v>
      </c>
      <c r="Q593" s="448" t="s">
        <v>648</v>
      </c>
      <c r="R593" s="447" t="s">
        <v>94</v>
      </c>
    </row>
    <row r="594" spans="1:18" s="442" customFormat="1" ht="9.75" customHeight="1" x14ac:dyDescent="0.15">
      <c r="A594" s="950" t="s">
        <v>809</v>
      </c>
      <c r="B594" s="442" t="s">
        <v>648</v>
      </c>
      <c r="C594" s="442" t="s">
        <v>648</v>
      </c>
      <c r="D594" s="442" t="s">
        <v>648</v>
      </c>
      <c r="E594" s="442">
        <v>43250</v>
      </c>
      <c r="F594" s="442">
        <v>43250</v>
      </c>
      <c r="G594" s="442">
        <v>601</v>
      </c>
      <c r="H594" s="442">
        <v>26679</v>
      </c>
      <c r="I594" s="442">
        <v>15970</v>
      </c>
      <c r="J594" s="442" t="s">
        <v>648</v>
      </c>
      <c r="K594" s="442" t="s">
        <v>648</v>
      </c>
      <c r="L594" s="442" t="s">
        <v>648</v>
      </c>
      <c r="M594" s="442">
        <v>3005</v>
      </c>
      <c r="N594" s="442">
        <v>3005</v>
      </c>
      <c r="O594" s="442">
        <v>3005</v>
      </c>
      <c r="P594" s="442" t="s">
        <v>648</v>
      </c>
      <c r="Q594" s="448" t="s">
        <v>648</v>
      </c>
      <c r="R594" s="447" t="s">
        <v>777</v>
      </c>
    </row>
    <row r="595" spans="1:18" s="442" customFormat="1" ht="6.75" customHeight="1" x14ac:dyDescent="0.15">
      <c r="A595" s="950"/>
      <c r="Q595" s="448"/>
      <c r="R595" s="447"/>
    </row>
    <row r="596" spans="1:18" s="442" customFormat="1" ht="9.75" customHeight="1" x14ac:dyDescent="0.15">
      <c r="A596" s="950" t="s">
        <v>1165</v>
      </c>
      <c r="B596" s="442" t="s">
        <v>648</v>
      </c>
      <c r="C596" s="442" t="s">
        <v>648</v>
      </c>
      <c r="D596" s="442" t="s">
        <v>648</v>
      </c>
      <c r="E596" s="442">
        <v>5957</v>
      </c>
      <c r="F596" s="442">
        <v>5957</v>
      </c>
      <c r="G596" s="442">
        <v>1456</v>
      </c>
      <c r="H596" s="442">
        <v>4501</v>
      </c>
      <c r="I596" s="442" t="s">
        <v>648</v>
      </c>
      <c r="J596" s="442" t="s">
        <v>648</v>
      </c>
      <c r="K596" s="442" t="s">
        <v>648</v>
      </c>
      <c r="L596" s="442" t="s">
        <v>648</v>
      </c>
      <c r="M596" s="442" t="s">
        <v>648</v>
      </c>
      <c r="N596" s="442" t="s">
        <v>648</v>
      </c>
      <c r="O596" s="442" t="s">
        <v>648</v>
      </c>
      <c r="P596" s="442" t="s">
        <v>648</v>
      </c>
      <c r="Q596" s="448" t="s">
        <v>648</v>
      </c>
      <c r="R596" s="447" t="s">
        <v>675</v>
      </c>
    </row>
    <row r="597" spans="1:18" s="442" customFormat="1" ht="9.75" customHeight="1" x14ac:dyDescent="0.15">
      <c r="A597" s="950" t="s">
        <v>779</v>
      </c>
      <c r="B597" s="442" t="s">
        <v>648</v>
      </c>
      <c r="C597" s="442" t="s">
        <v>648</v>
      </c>
      <c r="D597" s="442" t="s">
        <v>648</v>
      </c>
      <c r="E597" s="442" t="s">
        <v>648</v>
      </c>
      <c r="F597" s="442" t="s">
        <v>648</v>
      </c>
      <c r="G597" s="442" t="s">
        <v>648</v>
      </c>
      <c r="H597" s="442" t="s">
        <v>648</v>
      </c>
      <c r="I597" s="442" t="s">
        <v>648</v>
      </c>
      <c r="J597" s="442" t="s">
        <v>648</v>
      </c>
      <c r="K597" s="442" t="s">
        <v>648</v>
      </c>
      <c r="L597" s="442" t="s">
        <v>648</v>
      </c>
      <c r="M597" s="442" t="s">
        <v>648</v>
      </c>
      <c r="N597" s="442" t="s">
        <v>648</v>
      </c>
      <c r="O597" s="442" t="s">
        <v>648</v>
      </c>
      <c r="P597" s="442" t="s">
        <v>648</v>
      </c>
      <c r="Q597" s="448" t="s">
        <v>648</v>
      </c>
      <c r="R597" s="447" t="s">
        <v>80</v>
      </c>
    </row>
    <row r="598" spans="1:18" s="442" customFormat="1" ht="9.75" customHeight="1" x14ac:dyDescent="0.15">
      <c r="A598" s="950" t="s">
        <v>780</v>
      </c>
      <c r="B598" s="442" t="s">
        <v>648</v>
      </c>
      <c r="C598" s="442" t="s">
        <v>648</v>
      </c>
      <c r="D598" s="442" t="s">
        <v>648</v>
      </c>
      <c r="E598" s="442">
        <v>2435</v>
      </c>
      <c r="F598" s="442">
        <v>2435</v>
      </c>
      <c r="G598" s="442">
        <v>979</v>
      </c>
      <c r="H598" s="442">
        <v>1456</v>
      </c>
      <c r="I598" s="442" t="s">
        <v>648</v>
      </c>
      <c r="J598" s="442" t="s">
        <v>648</v>
      </c>
      <c r="K598" s="442" t="s">
        <v>648</v>
      </c>
      <c r="L598" s="442" t="s">
        <v>648</v>
      </c>
      <c r="M598" s="442">
        <v>1502</v>
      </c>
      <c r="N598" s="442">
        <v>1502</v>
      </c>
      <c r="O598" s="442">
        <v>1502</v>
      </c>
      <c r="P598" s="442" t="s">
        <v>648</v>
      </c>
      <c r="Q598" s="448" t="s">
        <v>648</v>
      </c>
      <c r="R598" s="447" t="s">
        <v>81</v>
      </c>
    </row>
    <row r="599" spans="1:18" s="442" customFormat="1" ht="9.75" customHeight="1" x14ac:dyDescent="0.15">
      <c r="A599" s="950" t="s">
        <v>781</v>
      </c>
      <c r="B599" s="442" t="s">
        <v>648</v>
      </c>
      <c r="C599" s="442" t="s">
        <v>648</v>
      </c>
      <c r="D599" s="442" t="s">
        <v>648</v>
      </c>
      <c r="E599" s="442" t="s">
        <v>648</v>
      </c>
      <c r="F599" s="442" t="s">
        <v>648</v>
      </c>
      <c r="G599" s="442" t="s">
        <v>648</v>
      </c>
      <c r="H599" s="442" t="s">
        <v>648</v>
      </c>
      <c r="I599" s="442" t="s">
        <v>648</v>
      </c>
      <c r="J599" s="442" t="s">
        <v>648</v>
      </c>
      <c r="K599" s="442" t="s">
        <v>648</v>
      </c>
      <c r="L599" s="442" t="s">
        <v>648</v>
      </c>
      <c r="M599" s="442">
        <v>3064</v>
      </c>
      <c r="N599" s="442">
        <v>3064</v>
      </c>
      <c r="O599" s="442">
        <v>3064</v>
      </c>
      <c r="P599" s="442" t="s">
        <v>648</v>
      </c>
      <c r="Q599" s="448" t="s">
        <v>648</v>
      </c>
      <c r="R599" s="447" t="s">
        <v>82</v>
      </c>
    </row>
    <row r="600" spans="1:18" s="442" customFormat="1" ht="9.75" customHeight="1" x14ac:dyDescent="0.15">
      <c r="A600" s="950" t="s">
        <v>782</v>
      </c>
      <c r="B600" s="442" t="s">
        <v>648</v>
      </c>
      <c r="C600" s="442" t="s">
        <v>648</v>
      </c>
      <c r="D600" s="442" t="s">
        <v>648</v>
      </c>
      <c r="E600" s="442" t="s">
        <v>648</v>
      </c>
      <c r="F600" s="442" t="s">
        <v>648</v>
      </c>
      <c r="G600" s="442" t="s">
        <v>648</v>
      </c>
      <c r="H600" s="442" t="s">
        <v>648</v>
      </c>
      <c r="I600" s="442" t="s">
        <v>648</v>
      </c>
      <c r="J600" s="442" t="s">
        <v>648</v>
      </c>
      <c r="K600" s="442" t="s">
        <v>648</v>
      </c>
      <c r="L600" s="442" t="s">
        <v>648</v>
      </c>
      <c r="M600" s="442">
        <v>2942</v>
      </c>
      <c r="N600" s="442">
        <v>2942</v>
      </c>
      <c r="O600" s="442" t="s">
        <v>648</v>
      </c>
      <c r="P600" s="442">
        <v>2942</v>
      </c>
      <c r="Q600" s="448" t="s">
        <v>648</v>
      </c>
      <c r="R600" s="447" t="s">
        <v>95</v>
      </c>
    </row>
    <row r="601" spans="1:18" s="442" customFormat="1" ht="9.75" customHeight="1" x14ac:dyDescent="0.15">
      <c r="A601" s="950" t="s">
        <v>783</v>
      </c>
      <c r="B601" s="442" t="s">
        <v>648</v>
      </c>
      <c r="C601" s="442" t="s">
        <v>648</v>
      </c>
      <c r="D601" s="442" t="s">
        <v>648</v>
      </c>
      <c r="E601" s="442">
        <v>4854</v>
      </c>
      <c r="F601" s="442">
        <v>4854</v>
      </c>
      <c r="G601" s="442">
        <v>502</v>
      </c>
      <c r="H601" s="442">
        <v>4352</v>
      </c>
      <c r="I601" s="442" t="s">
        <v>648</v>
      </c>
      <c r="J601" s="442" t="s">
        <v>648</v>
      </c>
      <c r="K601" s="442" t="s">
        <v>648</v>
      </c>
      <c r="L601" s="442" t="s">
        <v>648</v>
      </c>
      <c r="M601" s="442" t="s">
        <v>648</v>
      </c>
      <c r="N601" s="442" t="s">
        <v>648</v>
      </c>
      <c r="O601" s="442" t="s">
        <v>648</v>
      </c>
      <c r="P601" s="442" t="s">
        <v>648</v>
      </c>
      <c r="Q601" s="448" t="s">
        <v>648</v>
      </c>
      <c r="R601" s="447" t="s">
        <v>96</v>
      </c>
    </row>
    <row r="602" spans="1:18" s="442" customFormat="1" ht="9.75" customHeight="1" x14ac:dyDescent="0.15">
      <c r="A602" s="950" t="s">
        <v>784</v>
      </c>
      <c r="B602" s="442" t="s">
        <v>648</v>
      </c>
      <c r="C602" s="442" t="s">
        <v>648</v>
      </c>
      <c r="D602" s="442" t="s">
        <v>648</v>
      </c>
      <c r="E602" s="442">
        <v>14170</v>
      </c>
      <c r="F602" s="442">
        <v>14170</v>
      </c>
      <c r="G602" s="442" t="s">
        <v>648</v>
      </c>
      <c r="H602" s="442">
        <v>9410</v>
      </c>
      <c r="I602" s="442">
        <v>4760</v>
      </c>
      <c r="J602" s="442" t="s">
        <v>648</v>
      </c>
      <c r="K602" s="442" t="s">
        <v>648</v>
      </c>
      <c r="L602" s="442" t="s">
        <v>648</v>
      </c>
      <c r="M602" s="442" t="s">
        <v>648</v>
      </c>
      <c r="N602" s="442" t="s">
        <v>648</v>
      </c>
      <c r="O602" s="442" t="s">
        <v>648</v>
      </c>
      <c r="P602" s="442" t="s">
        <v>648</v>
      </c>
      <c r="Q602" s="448" t="s">
        <v>648</v>
      </c>
      <c r="R602" s="447" t="s">
        <v>97</v>
      </c>
    </row>
    <row r="603" spans="1:18" s="442" customFormat="1" ht="9.75" customHeight="1" x14ac:dyDescent="0.15">
      <c r="A603" s="950" t="s">
        <v>806</v>
      </c>
      <c r="B603" s="442" t="s">
        <v>648</v>
      </c>
      <c r="C603" s="442" t="s">
        <v>648</v>
      </c>
      <c r="D603" s="442" t="s">
        <v>648</v>
      </c>
      <c r="E603" s="442">
        <v>27379</v>
      </c>
      <c r="F603" s="442">
        <v>27379</v>
      </c>
      <c r="G603" s="442">
        <v>803</v>
      </c>
      <c r="H603" s="442">
        <v>21816</v>
      </c>
      <c r="I603" s="442">
        <v>4760</v>
      </c>
      <c r="J603" s="442" t="s">
        <v>648</v>
      </c>
      <c r="K603" s="442" t="s">
        <v>648</v>
      </c>
      <c r="L603" s="442" t="s">
        <v>648</v>
      </c>
      <c r="M603" s="442">
        <v>1500</v>
      </c>
      <c r="N603" s="442">
        <v>1500</v>
      </c>
      <c r="O603" s="442">
        <v>1500</v>
      </c>
      <c r="P603" s="442" t="s">
        <v>648</v>
      </c>
      <c r="Q603" s="448" t="s">
        <v>648</v>
      </c>
      <c r="R603" s="447" t="s">
        <v>98</v>
      </c>
    </row>
    <row r="604" spans="1:18" s="442" customFormat="1" ht="9.75" customHeight="1" x14ac:dyDescent="0.15">
      <c r="A604" s="950" t="s">
        <v>786</v>
      </c>
      <c r="B604" s="442" t="s">
        <v>648</v>
      </c>
      <c r="C604" s="442" t="s">
        <v>648</v>
      </c>
      <c r="D604" s="442" t="s">
        <v>648</v>
      </c>
      <c r="E604" s="442">
        <v>18735</v>
      </c>
      <c r="F604" s="442">
        <v>18735</v>
      </c>
      <c r="G604" s="442" t="s">
        <v>648</v>
      </c>
      <c r="H604" s="442">
        <v>13972</v>
      </c>
      <c r="I604" s="442">
        <v>4763</v>
      </c>
      <c r="J604" s="442" t="s">
        <v>648</v>
      </c>
      <c r="K604" s="442" t="s">
        <v>648</v>
      </c>
      <c r="L604" s="442" t="s">
        <v>648</v>
      </c>
      <c r="M604" s="442" t="s">
        <v>648</v>
      </c>
      <c r="N604" s="442" t="s">
        <v>648</v>
      </c>
      <c r="O604" s="442" t="s">
        <v>648</v>
      </c>
      <c r="P604" s="442" t="s">
        <v>648</v>
      </c>
      <c r="Q604" s="448" t="s">
        <v>648</v>
      </c>
      <c r="R604" s="447" t="s">
        <v>99</v>
      </c>
    </row>
    <row r="605" spans="1:18" s="442" customFormat="1" ht="9.75" customHeight="1" x14ac:dyDescent="0.15">
      <c r="A605" s="950" t="s">
        <v>807</v>
      </c>
      <c r="B605" s="442" t="s">
        <v>648</v>
      </c>
      <c r="C605" s="442" t="s">
        <v>648</v>
      </c>
      <c r="D605" s="442" t="s">
        <v>648</v>
      </c>
      <c r="E605" s="442">
        <v>13985</v>
      </c>
      <c r="F605" s="442">
        <v>13985</v>
      </c>
      <c r="G605" s="442" t="s">
        <v>648</v>
      </c>
      <c r="H605" s="442">
        <v>9223</v>
      </c>
      <c r="I605" s="442">
        <v>4762</v>
      </c>
      <c r="J605" s="442" t="s">
        <v>648</v>
      </c>
      <c r="K605" s="442" t="s">
        <v>648</v>
      </c>
      <c r="L605" s="442" t="s">
        <v>648</v>
      </c>
      <c r="M605" s="442">
        <v>2863</v>
      </c>
      <c r="N605" s="442">
        <v>2863</v>
      </c>
      <c r="O605" s="442">
        <v>2863</v>
      </c>
      <c r="P605" s="442" t="s">
        <v>648</v>
      </c>
      <c r="Q605" s="448" t="s">
        <v>648</v>
      </c>
      <c r="R605" s="447" t="s">
        <v>83</v>
      </c>
    </row>
    <row r="606" spans="1:18" s="442" customFormat="1" ht="9.75" customHeight="1" x14ac:dyDescent="0.15">
      <c r="A606" s="950" t="s">
        <v>788</v>
      </c>
      <c r="B606" s="442" t="s">
        <v>648</v>
      </c>
      <c r="C606" s="442" t="s">
        <v>648</v>
      </c>
      <c r="D606" s="442" t="s">
        <v>648</v>
      </c>
      <c r="E606" s="442">
        <v>21647</v>
      </c>
      <c r="F606" s="442">
        <v>21647</v>
      </c>
      <c r="G606" s="442" t="s">
        <v>648</v>
      </c>
      <c r="H606" s="442">
        <v>16886</v>
      </c>
      <c r="I606" s="442">
        <v>4761</v>
      </c>
      <c r="J606" s="442" t="s">
        <v>648</v>
      </c>
      <c r="K606" s="442" t="s">
        <v>648</v>
      </c>
      <c r="L606" s="442" t="s">
        <v>648</v>
      </c>
      <c r="M606" s="442" t="s">
        <v>648</v>
      </c>
      <c r="N606" s="442" t="s">
        <v>648</v>
      </c>
      <c r="O606" s="442" t="s">
        <v>648</v>
      </c>
      <c r="P606" s="442" t="s">
        <v>648</v>
      </c>
      <c r="Q606" s="448" t="s">
        <v>648</v>
      </c>
      <c r="R606" s="447" t="s">
        <v>84</v>
      </c>
    </row>
    <row r="607" spans="1:18" s="442" customFormat="1" ht="9.75" customHeight="1" x14ac:dyDescent="0.15">
      <c r="A607" s="950" t="s">
        <v>789</v>
      </c>
      <c r="B607" s="442" t="s">
        <v>648</v>
      </c>
      <c r="C607" s="442" t="s">
        <v>648</v>
      </c>
      <c r="D607" s="442" t="s">
        <v>648</v>
      </c>
      <c r="E607" s="442">
        <v>24605</v>
      </c>
      <c r="F607" s="442">
        <v>24605</v>
      </c>
      <c r="G607" s="442" t="s">
        <v>648</v>
      </c>
      <c r="H607" s="442">
        <v>21600</v>
      </c>
      <c r="I607" s="442">
        <v>3005</v>
      </c>
      <c r="J607" s="442" t="s">
        <v>648</v>
      </c>
      <c r="K607" s="442" t="s">
        <v>648</v>
      </c>
      <c r="L607" s="442" t="s">
        <v>648</v>
      </c>
      <c r="M607" s="442">
        <v>1640</v>
      </c>
      <c r="N607" s="442">
        <v>1640</v>
      </c>
      <c r="O607" s="442">
        <v>1640</v>
      </c>
      <c r="P607" s="442" t="s">
        <v>648</v>
      </c>
      <c r="Q607" s="448" t="s">
        <v>648</v>
      </c>
      <c r="R607" s="447" t="s">
        <v>85</v>
      </c>
    </row>
    <row r="608" spans="1:18" s="442" customFormat="1" ht="9.75" customHeight="1" x14ac:dyDescent="0.15">
      <c r="A608" s="950" t="s">
        <v>790</v>
      </c>
      <c r="B608" s="442" t="s">
        <v>648</v>
      </c>
      <c r="C608" s="442" t="s">
        <v>648</v>
      </c>
      <c r="D608" s="442" t="s">
        <v>648</v>
      </c>
      <c r="E608" s="442">
        <v>10679</v>
      </c>
      <c r="F608" s="442">
        <v>10679</v>
      </c>
      <c r="G608" s="442" t="s">
        <v>648</v>
      </c>
      <c r="H608" s="442">
        <v>4466</v>
      </c>
      <c r="I608" s="442">
        <v>6213</v>
      </c>
      <c r="J608" s="442" t="s">
        <v>648</v>
      </c>
      <c r="K608" s="442" t="s">
        <v>648</v>
      </c>
      <c r="L608" s="442" t="s">
        <v>648</v>
      </c>
      <c r="M608" s="442" t="s">
        <v>648</v>
      </c>
      <c r="N608" s="442" t="s">
        <v>648</v>
      </c>
      <c r="O608" s="442" t="s">
        <v>648</v>
      </c>
      <c r="P608" s="442" t="s">
        <v>648</v>
      </c>
      <c r="Q608" s="448" t="s">
        <v>648</v>
      </c>
      <c r="R608" s="447" t="s">
        <v>791</v>
      </c>
    </row>
    <row r="609" spans="1:18" s="442" customFormat="1" ht="9.75" customHeight="1" x14ac:dyDescent="0.15">
      <c r="A609" s="950" t="s">
        <v>792</v>
      </c>
      <c r="B609" s="442" t="s">
        <v>648</v>
      </c>
      <c r="C609" s="442" t="s">
        <v>648</v>
      </c>
      <c r="D609" s="442" t="s">
        <v>648</v>
      </c>
      <c r="E609" s="442">
        <v>11494</v>
      </c>
      <c r="F609" s="442">
        <v>11494</v>
      </c>
      <c r="G609" s="442">
        <v>601</v>
      </c>
      <c r="H609" s="442">
        <v>6133</v>
      </c>
      <c r="I609" s="442">
        <v>4760</v>
      </c>
      <c r="J609" s="442" t="s">
        <v>648</v>
      </c>
      <c r="K609" s="442" t="s">
        <v>648</v>
      </c>
      <c r="L609" s="442" t="s">
        <v>648</v>
      </c>
      <c r="M609" s="442" t="s">
        <v>648</v>
      </c>
      <c r="N609" s="442" t="s">
        <v>648</v>
      </c>
      <c r="O609" s="442" t="s">
        <v>648</v>
      </c>
      <c r="P609" s="442" t="s">
        <v>648</v>
      </c>
      <c r="Q609" s="448" t="s">
        <v>648</v>
      </c>
      <c r="R609" s="447" t="s">
        <v>80</v>
      </c>
    </row>
    <row r="610" spans="1:18" s="442" customFormat="1" ht="9.75" customHeight="1" x14ac:dyDescent="0.15">
      <c r="A610" s="951" t="s">
        <v>793</v>
      </c>
      <c r="B610" s="446" t="s">
        <v>648</v>
      </c>
      <c r="C610" s="445" t="s">
        <v>648</v>
      </c>
      <c r="D610" s="445" t="s">
        <v>648</v>
      </c>
      <c r="E610" s="445">
        <v>21077</v>
      </c>
      <c r="F610" s="445">
        <v>21077</v>
      </c>
      <c r="G610" s="445" t="s">
        <v>648</v>
      </c>
      <c r="H610" s="445">
        <v>16080</v>
      </c>
      <c r="I610" s="445">
        <v>4997</v>
      </c>
      <c r="J610" s="445" t="s">
        <v>648</v>
      </c>
      <c r="K610" s="445" t="s">
        <v>648</v>
      </c>
      <c r="L610" s="445" t="s">
        <v>648</v>
      </c>
      <c r="M610" s="445">
        <v>3005</v>
      </c>
      <c r="N610" s="445">
        <v>3005</v>
      </c>
      <c r="O610" s="445">
        <v>3005</v>
      </c>
      <c r="P610" s="445" t="s">
        <v>648</v>
      </c>
      <c r="Q610" s="444" t="s">
        <v>648</v>
      </c>
      <c r="R610" s="443" t="s">
        <v>81</v>
      </c>
    </row>
    <row r="611" spans="1:18" ht="12" customHeight="1" x14ac:dyDescent="0.2"/>
    <row r="612" spans="1:18" ht="12" customHeight="1" x14ac:dyDescent="0.2"/>
    <row r="613" spans="1:18" ht="12" customHeight="1" x14ac:dyDescent="0.2"/>
  </sheetData>
  <mergeCells count="49">
    <mergeCell ref="A542:A544"/>
    <mergeCell ref="W542:W544"/>
    <mergeCell ref="R543:R544"/>
    <mergeCell ref="A578:A580"/>
    <mergeCell ref="R578:R580"/>
    <mergeCell ref="E579:E580"/>
    <mergeCell ref="M579:M580"/>
    <mergeCell ref="A434:A436"/>
    <mergeCell ref="A506:A508"/>
    <mergeCell ref="W434:W436"/>
    <mergeCell ref="F435:F436"/>
    <mergeCell ref="A470:A472"/>
    <mergeCell ref="W470:W472"/>
    <mergeCell ref="J471:J472"/>
    <mergeCell ref="W506:W508"/>
    <mergeCell ref="A326:A328"/>
    <mergeCell ref="W326:W328"/>
    <mergeCell ref="A362:A364"/>
    <mergeCell ref="W362:W364"/>
    <mergeCell ref="A398:A400"/>
    <mergeCell ref="W398:W400"/>
    <mergeCell ref="T399:T400"/>
    <mergeCell ref="A254:A256"/>
    <mergeCell ref="W254:W256"/>
    <mergeCell ref="N255:N256"/>
    <mergeCell ref="A290:A292"/>
    <mergeCell ref="W290:W292"/>
    <mergeCell ref="B291:B292"/>
    <mergeCell ref="R291:R292"/>
    <mergeCell ref="A182:A184"/>
    <mergeCell ref="W182:W184"/>
    <mergeCell ref="G183:G184"/>
    <mergeCell ref="Q183:Q184"/>
    <mergeCell ref="A218:A220"/>
    <mergeCell ref="W218:W220"/>
    <mergeCell ref="A110:A112"/>
    <mergeCell ref="W110:W112"/>
    <mergeCell ref="L111:L112"/>
    <mergeCell ref="P111:P112"/>
    <mergeCell ref="A146:A148"/>
    <mergeCell ref="W146:W148"/>
    <mergeCell ref="A74:A76"/>
    <mergeCell ref="W74:W76"/>
    <mergeCell ref="E75:E76"/>
    <mergeCell ref="A2:A4"/>
    <mergeCell ref="W2:W4"/>
    <mergeCell ref="B3:B4"/>
    <mergeCell ref="A38:A40"/>
    <mergeCell ref="W38:W40"/>
  </mergeCells>
  <phoneticPr fontId="30"/>
  <pageMargins left="0.59055118110236227" right="0.59055118110236227" top="0.59055118110236227" bottom="0.59055118110236227" header="0.51181102362204722" footer="0.51181102362204722"/>
  <pageSetup paperSize="9" scale="90" pageOrder="overThenDown" orientation="portrait" r:id="rId1"/>
  <headerFooter alignWithMargins="0"/>
  <rowBreaks count="8" manualBreakCount="8">
    <brk id="72" max="22" man="1"/>
    <brk id="144" max="22" man="1"/>
    <brk id="216" max="22" man="1"/>
    <brk id="288" max="22" man="1"/>
    <brk id="360" max="22" man="1"/>
    <brk id="432" max="22" man="1"/>
    <brk id="504" max="22" man="1"/>
    <brk id="576" max="22" man="1"/>
  </rowBreaks>
  <colBreaks count="1" manualBreakCount="1">
    <brk id="11" max="60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60"/>
  <sheetViews>
    <sheetView view="pageBreakPreview" topLeftCell="A3" zoomScaleNormal="75" zoomScaleSheetLayoutView="100" workbookViewId="0">
      <pane xSplit="5" ySplit="8" topLeftCell="F11" activePane="bottomRight" state="frozen"/>
      <selection activeCell="A3" sqref="A3"/>
      <selection pane="topRight" activeCell="G3" sqref="G3"/>
      <selection pane="bottomLeft" activeCell="A12" sqref="A12"/>
      <selection pane="bottomRight" activeCell="A4" sqref="A4"/>
    </sheetView>
  </sheetViews>
  <sheetFormatPr defaultColWidth="9" defaultRowHeight="13" x14ac:dyDescent="0.2"/>
  <cols>
    <col min="1" max="1" width="2.6328125" style="189" customWidth="1"/>
    <col min="2" max="2" width="3.6328125" style="189" customWidth="1"/>
    <col min="3" max="3" width="11.6328125" style="189" customWidth="1"/>
    <col min="4" max="4" width="0.90625" style="189" customWidth="1"/>
    <col min="5" max="5" width="9.54296875" style="189" customWidth="1"/>
    <col min="6" max="7" width="8.54296875" style="189" customWidth="1"/>
    <col min="8" max="8" width="8.08984375" style="189" customWidth="1"/>
    <col min="9" max="11" width="9.1796875" style="189" customWidth="1"/>
    <col min="12" max="12" width="8.08984375" style="189" customWidth="1"/>
    <col min="13" max="13" width="8.81640625" style="189" customWidth="1"/>
    <col min="14" max="17" width="8.08984375" style="189" customWidth="1"/>
    <col min="18" max="19" width="8.6328125" style="189" customWidth="1"/>
    <col min="20" max="20" width="8.08984375" style="189" customWidth="1"/>
    <col min="21" max="21" width="9.26953125" style="189" customWidth="1"/>
    <col min="22" max="22" width="12.36328125" style="189" customWidth="1"/>
    <col min="23" max="23" width="2.6328125" style="190" customWidth="1"/>
    <col min="24" max="16384" width="9" style="189"/>
  </cols>
  <sheetData>
    <row r="1" spans="1:25" ht="25" customHeight="1" x14ac:dyDescent="0.2"/>
    <row r="2" spans="1:25" ht="30" customHeight="1" x14ac:dyDescent="0.25">
      <c r="A2" s="526" t="s">
        <v>385</v>
      </c>
      <c r="B2" s="542"/>
      <c r="C2" s="542"/>
      <c r="D2" s="542"/>
      <c r="E2" s="538"/>
      <c r="F2" s="538"/>
      <c r="G2" s="538"/>
      <c r="H2" s="538"/>
      <c r="I2" s="541"/>
      <c r="J2" s="540"/>
      <c r="K2" s="540"/>
      <c r="L2" s="540"/>
      <c r="M2" s="540"/>
      <c r="N2" s="540"/>
      <c r="O2" s="540"/>
      <c r="P2" s="540"/>
      <c r="Q2" s="540"/>
      <c r="R2" s="539"/>
      <c r="S2" s="539"/>
      <c r="T2" s="539"/>
      <c r="U2" s="539"/>
      <c r="V2" s="538"/>
      <c r="W2" s="538"/>
    </row>
    <row r="3" spans="1:25" ht="17.149999999999999" customHeight="1" x14ac:dyDescent="0.2">
      <c r="I3" s="537"/>
      <c r="J3" s="537"/>
      <c r="K3" s="537"/>
      <c r="L3" s="537"/>
      <c r="M3" s="537"/>
      <c r="N3" s="537"/>
      <c r="O3" s="537"/>
      <c r="P3" s="537"/>
      <c r="Q3" s="537"/>
      <c r="W3" s="189"/>
    </row>
    <row r="4" spans="1:25" s="531" customFormat="1" ht="14.9" customHeight="1" x14ac:dyDescent="0.2">
      <c r="A4" s="536"/>
      <c r="B4" s="535"/>
      <c r="G4" s="524"/>
      <c r="H4" s="532"/>
      <c r="I4" s="532"/>
      <c r="J4" s="532"/>
      <c r="K4" s="532"/>
      <c r="M4" s="534"/>
      <c r="N4" s="524"/>
      <c r="O4" s="524"/>
      <c r="P4" s="524"/>
      <c r="Q4" s="524"/>
      <c r="R4" s="534"/>
      <c r="S4" s="524"/>
      <c r="T4" s="533"/>
      <c r="U4" s="533"/>
      <c r="V4" s="524"/>
      <c r="W4" s="532"/>
    </row>
    <row r="5" spans="1:25" ht="14.9" customHeight="1" x14ac:dyDescent="0.25">
      <c r="A5" s="530"/>
      <c r="B5" s="529"/>
      <c r="G5" s="524"/>
      <c r="H5" s="528"/>
      <c r="I5" s="528"/>
      <c r="J5" s="528"/>
      <c r="K5" s="528"/>
      <c r="L5" s="524"/>
      <c r="M5" s="524"/>
      <c r="N5" s="524"/>
      <c r="O5" s="509"/>
      <c r="P5" s="524"/>
      <c r="Q5" s="524"/>
      <c r="R5" s="527"/>
      <c r="S5" s="526"/>
      <c r="T5" s="525"/>
      <c r="U5" s="525"/>
      <c r="V5" s="524"/>
    </row>
    <row r="6" spans="1:25" ht="14.9" customHeight="1" x14ac:dyDescent="0.3">
      <c r="A6" s="1019"/>
      <c r="B6" s="350" t="s">
        <v>384</v>
      </c>
      <c r="C6" s="1020"/>
      <c r="D6" s="1020"/>
      <c r="E6" s="1020"/>
      <c r="F6" s="1020"/>
      <c r="G6" s="1020"/>
      <c r="H6" s="1021"/>
      <c r="I6" s="1021"/>
      <c r="J6" s="1020"/>
      <c r="K6" s="1020"/>
      <c r="L6" s="1020"/>
      <c r="M6" s="1022"/>
      <c r="N6" s="1022"/>
      <c r="O6" s="349"/>
      <c r="P6" s="977"/>
      <c r="Q6" s="1023"/>
      <c r="S6" s="1024"/>
      <c r="T6" s="1025"/>
      <c r="U6" s="165" t="s">
        <v>993</v>
      </c>
      <c r="V6" s="349"/>
      <c r="W6" s="348"/>
    </row>
    <row r="7" spans="1:25" s="191" customFormat="1" ht="14.9" customHeight="1" x14ac:dyDescent="0.15">
      <c r="A7" s="185"/>
      <c r="B7" s="909"/>
      <c r="C7" s="909"/>
      <c r="D7" s="523"/>
      <c r="E7" s="476"/>
      <c r="F7" s="229"/>
      <c r="G7" s="229"/>
      <c r="H7" s="229"/>
      <c r="I7" s="229"/>
      <c r="J7" s="229"/>
      <c r="K7" s="229"/>
      <c r="L7" s="229"/>
      <c r="M7" s="228"/>
      <c r="N7" s="227"/>
      <c r="O7" s="226"/>
      <c r="P7" s="226"/>
      <c r="Q7" s="226"/>
      <c r="R7" s="522"/>
      <c r="S7" s="225"/>
      <c r="T7" s="280"/>
      <c r="U7" s="521"/>
      <c r="V7" s="1097" t="s">
        <v>728</v>
      </c>
      <c r="W7" s="516"/>
    </row>
    <row r="8" spans="1:25" s="191" customFormat="1" ht="21.75" customHeight="1" x14ac:dyDescent="0.15">
      <c r="A8" s="185"/>
      <c r="B8" s="1071" t="s">
        <v>571</v>
      </c>
      <c r="C8" s="1071"/>
      <c r="D8" s="1072"/>
      <c r="E8" s="217" t="s">
        <v>252</v>
      </c>
      <c r="F8" s="212" t="s">
        <v>572</v>
      </c>
      <c r="G8" s="212" t="s">
        <v>573</v>
      </c>
      <c r="H8" s="212" t="s">
        <v>1166</v>
      </c>
      <c r="I8" s="212" t="s">
        <v>575</v>
      </c>
      <c r="J8" s="212" t="s">
        <v>1167</v>
      </c>
      <c r="K8" s="212" t="s">
        <v>577</v>
      </c>
      <c r="L8" s="222"/>
      <c r="M8" s="221"/>
      <c r="N8" s="214" t="s">
        <v>578</v>
      </c>
      <c r="O8" s="215" t="s">
        <v>579</v>
      </c>
      <c r="P8" s="215" t="s">
        <v>580</v>
      </c>
      <c r="Q8" s="215" t="s">
        <v>1168</v>
      </c>
      <c r="R8" s="220" t="s">
        <v>1169</v>
      </c>
      <c r="S8" s="279"/>
      <c r="T8" s="278"/>
      <c r="U8" s="214" t="s">
        <v>583</v>
      </c>
      <c r="V8" s="1098"/>
      <c r="W8" s="516"/>
    </row>
    <row r="9" spans="1:25" s="192" customFormat="1" ht="14.25" customHeight="1" x14ac:dyDescent="0.15">
      <c r="A9" s="185"/>
      <c r="B9" s="909"/>
      <c r="C9" s="520"/>
      <c r="D9" s="519"/>
      <c r="E9" s="217"/>
      <c r="F9" s="212" t="s">
        <v>249</v>
      </c>
      <c r="G9" s="212" t="s">
        <v>249</v>
      </c>
      <c r="H9" s="212" t="s">
        <v>250</v>
      </c>
      <c r="I9" s="212"/>
      <c r="J9" s="212"/>
      <c r="K9" s="212" t="s">
        <v>249</v>
      </c>
      <c r="L9" s="212" t="s">
        <v>248</v>
      </c>
      <c r="M9" s="216" t="s">
        <v>247</v>
      </c>
      <c r="N9" s="214"/>
      <c r="O9" s="215"/>
      <c r="P9" s="215"/>
      <c r="Q9" s="215"/>
      <c r="R9" s="215"/>
      <c r="S9" s="215" t="s">
        <v>584</v>
      </c>
      <c r="T9" s="214" t="s">
        <v>1170</v>
      </c>
      <c r="U9" s="214"/>
      <c r="V9" s="1098"/>
      <c r="W9" s="516"/>
    </row>
    <row r="10" spans="1:25" s="515" customFormat="1" ht="33.75" customHeight="1" x14ac:dyDescent="0.15">
      <c r="A10" s="518"/>
      <c r="B10" s="911"/>
      <c r="C10" s="911"/>
      <c r="D10" s="517"/>
      <c r="E10" s="211" t="s">
        <v>695</v>
      </c>
      <c r="F10" s="211" t="s">
        <v>246</v>
      </c>
      <c r="G10" s="211" t="s">
        <v>1171</v>
      </c>
      <c r="H10" s="211" t="s">
        <v>597</v>
      </c>
      <c r="I10" s="211" t="s">
        <v>245</v>
      </c>
      <c r="J10" s="211" t="s">
        <v>586</v>
      </c>
      <c r="K10" s="211" t="s">
        <v>628</v>
      </c>
      <c r="L10" s="211" t="s">
        <v>598</v>
      </c>
      <c r="M10" s="210" t="s">
        <v>599</v>
      </c>
      <c r="N10" s="209" t="s">
        <v>254</v>
      </c>
      <c r="O10" s="209" t="s">
        <v>244</v>
      </c>
      <c r="P10" s="209" t="s">
        <v>243</v>
      </c>
      <c r="Q10" s="208" t="s">
        <v>242</v>
      </c>
      <c r="R10" s="914" t="s">
        <v>600</v>
      </c>
      <c r="S10" s="207"/>
      <c r="T10" s="207"/>
      <c r="U10" s="912" t="s">
        <v>1014</v>
      </c>
      <c r="V10" s="1099"/>
      <c r="W10" s="516"/>
    </row>
    <row r="11" spans="1:25" s="191" customFormat="1" ht="13.5" customHeight="1" x14ac:dyDescent="0.15">
      <c r="A11" s="185"/>
      <c r="B11" s="1100" t="s">
        <v>1172</v>
      </c>
      <c r="C11" s="1100"/>
      <c r="D11" s="514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5"/>
      <c r="R11" s="362"/>
      <c r="S11" s="362"/>
      <c r="T11" s="362"/>
      <c r="U11" s="362"/>
      <c r="V11" s="513"/>
      <c r="W11" s="185"/>
    </row>
    <row r="12" spans="1:25" s="191" customFormat="1" ht="14.25" customHeight="1" x14ac:dyDescent="0.15">
      <c r="A12" s="185"/>
      <c r="B12" s="512"/>
      <c r="C12" s="495" t="s">
        <v>215</v>
      </c>
      <c r="D12" s="494"/>
      <c r="E12" s="511">
        <v>9287355</v>
      </c>
      <c r="F12" s="505">
        <v>1719567</v>
      </c>
      <c r="G12" s="505">
        <v>1320496</v>
      </c>
      <c r="H12" s="505">
        <v>717245</v>
      </c>
      <c r="I12" s="505">
        <v>2043784</v>
      </c>
      <c r="J12" s="505">
        <v>1575919</v>
      </c>
      <c r="K12" s="505">
        <v>1910344</v>
      </c>
      <c r="L12" s="505">
        <v>765160</v>
      </c>
      <c r="M12" s="505">
        <v>1145184</v>
      </c>
      <c r="N12" s="505">
        <v>467797</v>
      </c>
      <c r="O12" s="505">
        <v>182227</v>
      </c>
      <c r="P12" s="505">
        <v>8135</v>
      </c>
      <c r="Q12" s="493">
        <v>18361</v>
      </c>
      <c r="R12" s="504">
        <v>1500504</v>
      </c>
      <c r="S12" s="504">
        <v>877397</v>
      </c>
      <c r="T12" s="504">
        <v>623107</v>
      </c>
      <c r="U12" s="504">
        <v>86542</v>
      </c>
      <c r="V12" s="491" t="s">
        <v>736</v>
      </c>
      <c r="W12" s="185"/>
    </row>
    <row r="13" spans="1:25" s="191" customFormat="1" ht="14.15" customHeight="1" x14ac:dyDescent="0.15">
      <c r="A13" s="185"/>
      <c r="B13" s="490" t="s">
        <v>383</v>
      </c>
      <c r="C13" s="489" t="s">
        <v>382</v>
      </c>
      <c r="D13" s="336"/>
      <c r="E13" s="475">
        <v>5084116</v>
      </c>
      <c r="F13" s="475">
        <v>864817</v>
      </c>
      <c r="G13" s="475">
        <v>1045324</v>
      </c>
      <c r="H13" s="475">
        <v>387973</v>
      </c>
      <c r="I13" s="475">
        <v>800180</v>
      </c>
      <c r="J13" s="475">
        <v>858128</v>
      </c>
      <c r="K13" s="475">
        <v>1127694</v>
      </c>
      <c r="L13" s="475">
        <v>322676</v>
      </c>
      <c r="M13" s="475">
        <v>805018</v>
      </c>
      <c r="N13" s="475">
        <v>177314</v>
      </c>
      <c r="O13" s="475">
        <v>128493</v>
      </c>
      <c r="P13" s="475" t="s">
        <v>648</v>
      </c>
      <c r="Q13" s="487">
        <v>6272</v>
      </c>
      <c r="R13" s="503">
        <v>215738</v>
      </c>
      <c r="S13" s="503">
        <v>76225</v>
      </c>
      <c r="T13" s="475">
        <v>139513</v>
      </c>
      <c r="U13" s="475" t="s">
        <v>648</v>
      </c>
      <c r="V13" s="131" t="s">
        <v>223</v>
      </c>
      <c r="W13" s="185"/>
    </row>
    <row r="14" spans="1:25" s="191" customFormat="1" ht="14.15" customHeight="1" x14ac:dyDescent="0.15">
      <c r="A14" s="185"/>
      <c r="B14" s="502"/>
      <c r="C14" s="501" t="s">
        <v>381</v>
      </c>
      <c r="D14" s="500"/>
      <c r="E14" s="499">
        <v>4203239</v>
      </c>
      <c r="F14" s="499">
        <v>854750</v>
      </c>
      <c r="G14" s="499">
        <v>275172</v>
      </c>
      <c r="H14" s="499">
        <v>329272</v>
      </c>
      <c r="I14" s="499">
        <v>1243604</v>
      </c>
      <c r="J14" s="499">
        <v>717791</v>
      </c>
      <c r="K14" s="499">
        <v>782650</v>
      </c>
      <c r="L14" s="499">
        <v>442484</v>
      </c>
      <c r="M14" s="499">
        <v>340166</v>
      </c>
      <c r="N14" s="499">
        <v>290483</v>
      </c>
      <c r="O14" s="499">
        <v>53734</v>
      </c>
      <c r="P14" s="499">
        <v>8135</v>
      </c>
      <c r="Q14" s="499">
        <v>12089</v>
      </c>
      <c r="R14" s="498">
        <v>1284766</v>
      </c>
      <c r="S14" s="498">
        <v>801172</v>
      </c>
      <c r="T14" s="498">
        <v>483594</v>
      </c>
      <c r="U14" s="498">
        <v>86542</v>
      </c>
      <c r="V14" s="497" t="s">
        <v>380</v>
      </c>
      <c r="W14" s="185"/>
    </row>
    <row r="15" spans="1:25" s="191" customFormat="1" ht="14.25" customHeight="1" x14ac:dyDescent="0.15">
      <c r="A15" s="185"/>
      <c r="B15" s="496"/>
      <c r="C15" s="495" t="s">
        <v>215</v>
      </c>
      <c r="D15" s="494"/>
      <c r="E15" s="505">
        <v>8817084</v>
      </c>
      <c r="F15" s="505">
        <v>1619850</v>
      </c>
      <c r="G15" s="505">
        <v>1459675</v>
      </c>
      <c r="H15" s="505">
        <v>773038</v>
      </c>
      <c r="I15" s="505">
        <v>1711129</v>
      </c>
      <c r="J15" s="505">
        <v>1368937</v>
      </c>
      <c r="K15" s="505">
        <v>1884455</v>
      </c>
      <c r="L15" s="505">
        <v>701740</v>
      </c>
      <c r="M15" s="505">
        <v>1182715</v>
      </c>
      <c r="N15" s="505">
        <v>450013</v>
      </c>
      <c r="O15" s="505">
        <v>173210</v>
      </c>
      <c r="P15" s="505">
        <v>8449</v>
      </c>
      <c r="Q15" s="493">
        <v>18686</v>
      </c>
      <c r="R15" s="504">
        <v>1613171</v>
      </c>
      <c r="S15" s="504">
        <v>963264</v>
      </c>
      <c r="T15" s="504">
        <v>649907</v>
      </c>
      <c r="U15" s="504">
        <v>64716</v>
      </c>
      <c r="V15" s="510" t="s">
        <v>1173</v>
      </c>
      <c r="W15" s="185"/>
      <c r="Y15" s="509"/>
    </row>
    <row r="16" spans="1:25" s="191" customFormat="1" ht="14.15" customHeight="1" x14ac:dyDescent="0.15">
      <c r="A16" s="185"/>
      <c r="B16" s="490" t="s">
        <v>1174</v>
      </c>
      <c r="C16" s="489" t="s">
        <v>382</v>
      </c>
      <c r="D16" s="336"/>
      <c r="E16" s="475">
        <v>4712702</v>
      </c>
      <c r="F16" s="475">
        <v>728115</v>
      </c>
      <c r="G16" s="475">
        <v>1135323</v>
      </c>
      <c r="H16" s="475">
        <v>458616</v>
      </c>
      <c r="I16" s="475">
        <v>656318</v>
      </c>
      <c r="J16" s="475">
        <v>671016</v>
      </c>
      <c r="K16" s="475">
        <v>1063314</v>
      </c>
      <c r="L16" s="475">
        <v>285467</v>
      </c>
      <c r="M16" s="475">
        <v>777847</v>
      </c>
      <c r="N16" s="475">
        <v>165699</v>
      </c>
      <c r="O16" s="475">
        <v>128554</v>
      </c>
      <c r="P16" s="475" t="s">
        <v>648</v>
      </c>
      <c r="Q16" s="487">
        <v>6124</v>
      </c>
      <c r="R16" s="503">
        <v>225635</v>
      </c>
      <c r="S16" s="503">
        <v>83196</v>
      </c>
      <c r="T16" s="503">
        <v>142439</v>
      </c>
      <c r="U16" s="475" t="s">
        <v>648</v>
      </c>
      <c r="V16" s="131" t="s">
        <v>223</v>
      </c>
      <c r="W16" s="185"/>
    </row>
    <row r="17" spans="1:23" s="191" customFormat="1" ht="14.15" customHeight="1" x14ac:dyDescent="0.15">
      <c r="A17" s="185"/>
      <c r="B17" s="502"/>
      <c r="C17" s="501" t="s">
        <v>381</v>
      </c>
      <c r="D17" s="500"/>
      <c r="E17" s="499">
        <v>4104382</v>
      </c>
      <c r="F17" s="499">
        <v>891735</v>
      </c>
      <c r="G17" s="499">
        <v>324352</v>
      </c>
      <c r="H17" s="499">
        <v>314422</v>
      </c>
      <c r="I17" s="499">
        <v>1054811</v>
      </c>
      <c r="J17" s="499">
        <v>697921</v>
      </c>
      <c r="K17" s="499">
        <v>821141</v>
      </c>
      <c r="L17" s="499">
        <v>416273</v>
      </c>
      <c r="M17" s="499">
        <v>404868</v>
      </c>
      <c r="N17" s="499">
        <v>284314</v>
      </c>
      <c r="O17" s="499">
        <v>44656</v>
      </c>
      <c r="P17" s="499">
        <v>8449</v>
      </c>
      <c r="Q17" s="499">
        <v>12562</v>
      </c>
      <c r="R17" s="498">
        <v>1387536</v>
      </c>
      <c r="S17" s="498">
        <v>880068</v>
      </c>
      <c r="T17" s="498">
        <v>507468</v>
      </c>
      <c r="U17" s="498">
        <v>64716</v>
      </c>
      <c r="V17" s="497" t="s">
        <v>380</v>
      </c>
      <c r="W17" s="185"/>
    </row>
    <row r="18" spans="1:23" s="191" customFormat="1" ht="14.25" customHeight="1" x14ac:dyDescent="0.15">
      <c r="A18" s="185"/>
      <c r="B18" s="496"/>
      <c r="C18" s="495" t="s">
        <v>215</v>
      </c>
      <c r="D18" s="494"/>
      <c r="E18" s="505">
        <v>8048447</v>
      </c>
      <c r="F18" s="505">
        <v>1502588</v>
      </c>
      <c r="G18" s="505">
        <v>1361053</v>
      </c>
      <c r="H18" s="505">
        <v>687157</v>
      </c>
      <c r="I18" s="505">
        <v>1484349</v>
      </c>
      <c r="J18" s="505">
        <v>1224137</v>
      </c>
      <c r="K18" s="505">
        <v>1789163</v>
      </c>
      <c r="L18" s="505">
        <v>712333</v>
      </c>
      <c r="M18" s="505">
        <v>1076830</v>
      </c>
      <c r="N18" s="505">
        <v>450597</v>
      </c>
      <c r="O18" s="505">
        <v>161698</v>
      </c>
      <c r="P18" s="505">
        <v>8765</v>
      </c>
      <c r="Q18" s="493">
        <v>16965</v>
      </c>
      <c r="R18" s="504">
        <v>1566112</v>
      </c>
      <c r="S18" s="504">
        <v>948327</v>
      </c>
      <c r="T18" s="504">
        <v>617785</v>
      </c>
      <c r="U18" s="504">
        <v>72159</v>
      </c>
      <c r="V18" s="491" t="s">
        <v>737</v>
      </c>
      <c r="W18" s="185"/>
    </row>
    <row r="19" spans="1:23" s="191" customFormat="1" ht="14.15" customHeight="1" x14ac:dyDescent="0.15">
      <c r="A19" s="185"/>
      <c r="B19" s="490" t="s">
        <v>1175</v>
      </c>
      <c r="C19" s="489" t="s">
        <v>382</v>
      </c>
      <c r="D19" s="336"/>
      <c r="E19" s="475">
        <v>4398952</v>
      </c>
      <c r="F19" s="475">
        <v>708226</v>
      </c>
      <c r="G19" s="475">
        <v>1035663</v>
      </c>
      <c r="H19" s="475">
        <v>396546</v>
      </c>
      <c r="I19" s="475">
        <v>664580</v>
      </c>
      <c r="J19" s="475">
        <v>571374</v>
      </c>
      <c r="K19" s="475">
        <v>1022563</v>
      </c>
      <c r="L19" s="475">
        <v>290919</v>
      </c>
      <c r="M19" s="475">
        <v>731644</v>
      </c>
      <c r="N19" s="475">
        <v>177166</v>
      </c>
      <c r="O19" s="475">
        <v>118465</v>
      </c>
      <c r="P19" s="475" t="s">
        <v>648</v>
      </c>
      <c r="Q19" s="487">
        <v>5021</v>
      </c>
      <c r="R19" s="503">
        <v>207791</v>
      </c>
      <c r="S19" s="503">
        <v>81736</v>
      </c>
      <c r="T19" s="503">
        <v>126055</v>
      </c>
      <c r="U19" s="475" t="s">
        <v>648</v>
      </c>
      <c r="V19" s="131" t="s">
        <v>223</v>
      </c>
      <c r="W19" s="185"/>
    </row>
    <row r="20" spans="1:23" s="191" customFormat="1" ht="14.15" customHeight="1" x14ac:dyDescent="0.15">
      <c r="A20" s="185"/>
      <c r="B20" s="502"/>
      <c r="C20" s="501" t="s">
        <v>381</v>
      </c>
      <c r="D20" s="500"/>
      <c r="E20" s="499">
        <v>3649495</v>
      </c>
      <c r="F20" s="499">
        <v>794362</v>
      </c>
      <c r="G20" s="499">
        <v>325390</v>
      </c>
      <c r="H20" s="499">
        <v>290611</v>
      </c>
      <c r="I20" s="499">
        <v>819769</v>
      </c>
      <c r="J20" s="499">
        <v>652763</v>
      </c>
      <c r="K20" s="499">
        <v>766600</v>
      </c>
      <c r="L20" s="499">
        <v>421414</v>
      </c>
      <c r="M20" s="499">
        <v>345186</v>
      </c>
      <c r="N20" s="499">
        <v>273431</v>
      </c>
      <c r="O20" s="499">
        <v>43233</v>
      </c>
      <c r="P20" s="499">
        <v>8765</v>
      </c>
      <c r="Q20" s="499">
        <v>11944</v>
      </c>
      <c r="R20" s="498">
        <v>1358321</v>
      </c>
      <c r="S20" s="498">
        <v>866591</v>
      </c>
      <c r="T20" s="498">
        <v>491730</v>
      </c>
      <c r="U20" s="498">
        <v>72159</v>
      </c>
      <c r="V20" s="497" t="s">
        <v>380</v>
      </c>
      <c r="W20" s="185"/>
    </row>
    <row r="21" spans="1:23" s="191" customFormat="1" ht="14.25" customHeight="1" x14ac:dyDescent="0.15">
      <c r="A21" s="185"/>
      <c r="B21" s="496"/>
      <c r="C21" s="495" t="s">
        <v>215</v>
      </c>
      <c r="D21" s="494"/>
      <c r="E21" s="505">
        <v>8688470</v>
      </c>
      <c r="F21" s="505">
        <v>1550982</v>
      </c>
      <c r="G21" s="505">
        <v>1559233</v>
      </c>
      <c r="H21" s="505">
        <v>794626</v>
      </c>
      <c r="I21" s="505">
        <v>1437147</v>
      </c>
      <c r="J21" s="505">
        <v>1403756</v>
      </c>
      <c r="K21" s="505">
        <v>1942726</v>
      </c>
      <c r="L21" s="505">
        <v>740893</v>
      </c>
      <c r="M21" s="505">
        <v>1201833</v>
      </c>
      <c r="N21" s="505">
        <v>452423</v>
      </c>
      <c r="O21" s="505">
        <v>174795</v>
      </c>
      <c r="P21" s="505">
        <v>8904</v>
      </c>
      <c r="Q21" s="493">
        <v>17355</v>
      </c>
      <c r="R21" s="504">
        <v>1474364</v>
      </c>
      <c r="S21" s="504">
        <v>887835</v>
      </c>
      <c r="T21" s="504">
        <v>586529</v>
      </c>
      <c r="U21" s="504">
        <v>84934</v>
      </c>
      <c r="V21" s="491" t="s">
        <v>1176</v>
      </c>
      <c r="W21" s="185"/>
    </row>
    <row r="22" spans="1:23" s="191" customFormat="1" ht="14.15" customHeight="1" x14ac:dyDescent="0.15">
      <c r="A22" s="185"/>
      <c r="B22" s="490" t="s">
        <v>729</v>
      </c>
      <c r="C22" s="489" t="s">
        <v>382</v>
      </c>
      <c r="D22" s="336"/>
      <c r="E22" s="475">
        <v>4897846</v>
      </c>
      <c r="F22" s="475">
        <v>742060</v>
      </c>
      <c r="G22" s="475">
        <v>1151061</v>
      </c>
      <c r="H22" s="475">
        <v>506489</v>
      </c>
      <c r="I22" s="475">
        <v>702082</v>
      </c>
      <c r="J22" s="475">
        <v>700209</v>
      </c>
      <c r="K22" s="475">
        <v>1095945</v>
      </c>
      <c r="L22" s="475">
        <v>284023</v>
      </c>
      <c r="M22" s="475">
        <v>811922</v>
      </c>
      <c r="N22" s="475">
        <v>172639</v>
      </c>
      <c r="O22" s="475">
        <v>121433</v>
      </c>
      <c r="P22" s="475" t="s">
        <v>648</v>
      </c>
      <c r="Q22" s="487">
        <v>5207</v>
      </c>
      <c r="R22" s="503">
        <v>212270</v>
      </c>
      <c r="S22" s="503">
        <v>77088</v>
      </c>
      <c r="T22" s="503">
        <v>135182</v>
      </c>
      <c r="U22" s="475" t="s">
        <v>648</v>
      </c>
      <c r="V22" s="131" t="s">
        <v>223</v>
      </c>
      <c r="W22" s="185"/>
    </row>
    <row r="23" spans="1:23" s="191" customFormat="1" ht="14.15" customHeight="1" x14ac:dyDescent="0.15">
      <c r="A23" s="185"/>
      <c r="B23" s="502"/>
      <c r="C23" s="501" t="s">
        <v>381</v>
      </c>
      <c r="D23" s="500"/>
      <c r="E23" s="499">
        <v>3790624</v>
      </c>
      <c r="F23" s="499">
        <v>808922</v>
      </c>
      <c r="G23" s="499">
        <v>408172</v>
      </c>
      <c r="H23" s="499">
        <v>288137</v>
      </c>
      <c r="I23" s="499">
        <v>735065</v>
      </c>
      <c r="J23" s="499">
        <v>703547</v>
      </c>
      <c r="K23" s="499">
        <v>846781</v>
      </c>
      <c r="L23" s="499">
        <v>456870</v>
      </c>
      <c r="M23" s="499">
        <v>389911</v>
      </c>
      <c r="N23" s="499">
        <v>279784</v>
      </c>
      <c r="O23" s="499">
        <v>53362</v>
      </c>
      <c r="P23" s="499">
        <v>8904</v>
      </c>
      <c r="Q23" s="499">
        <v>12148</v>
      </c>
      <c r="R23" s="498">
        <v>1262094</v>
      </c>
      <c r="S23" s="498">
        <v>810747</v>
      </c>
      <c r="T23" s="498">
        <v>451347</v>
      </c>
      <c r="U23" s="498">
        <v>84934</v>
      </c>
      <c r="V23" s="497" t="s">
        <v>380</v>
      </c>
      <c r="W23" s="185"/>
    </row>
    <row r="24" spans="1:23" s="191" customFormat="1" ht="14.25" customHeight="1" x14ac:dyDescent="0.15">
      <c r="A24" s="185"/>
      <c r="B24" s="496"/>
      <c r="C24" s="495" t="s">
        <v>215</v>
      </c>
      <c r="D24" s="494"/>
      <c r="E24" s="505">
        <v>9464354</v>
      </c>
      <c r="F24" s="505">
        <v>1831627</v>
      </c>
      <c r="G24" s="505">
        <v>1518252</v>
      </c>
      <c r="H24" s="505">
        <v>752404</v>
      </c>
      <c r="I24" s="505">
        <v>1670318</v>
      </c>
      <c r="J24" s="505">
        <v>1660390</v>
      </c>
      <c r="K24" s="505">
        <v>2031363</v>
      </c>
      <c r="L24" s="505">
        <v>765763</v>
      </c>
      <c r="M24" s="505">
        <v>1265600</v>
      </c>
      <c r="N24" s="505">
        <v>449923</v>
      </c>
      <c r="O24" s="505">
        <v>156387</v>
      </c>
      <c r="P24" s="505">
        <v>9056</v>
      </c>
      <c r="Q24" s="493">
        <v>16019</v>
      </c>
      <c r="R24" s="504">
        <v>1605468</v>
      </c>
      <c r="S24" s="504">
        <v>996929</v>
      </c>
      <c r="T24" s="504">
        <v>608539</v>
      </c>
      <c r="U24" s="504">
        <v>58624</v>
      </c>
      <c r="V24" s="491" t="s">
        <v>1177</v>
      </c>
      <c r="W24" s="185"/>
    </row>
    <row r="25" spans="1:23" s="191" customFormat="1" ht="14.15" customHeight="1" x14ac:dyDescent="0.15">
      <c r="A25" s="185"/>
      <c r="B25" s="490" t="s">
        <v>730</v>
      </c>
      <c r="C25" s="489" t="s">
        <v>382</v>
      </c>
      <c r="D25" s="336"/>
      <c r="E25" s="475">
        <v>5299275</v>
      </c>
      <c r="F25" s="475">
        <v>891574</v>
      </c>
      <c r="G25" s="475">
        <v>1106308</v>
      </c>
      <c r="H25" s="475">
        <v>450194</v>
      </c>
      <c r="I25" s="475">
        <v>809050</v>
      </c>
      <c r="J25" s="475">
        <v>866613</v>
      </c>
      <c r="K25" s="475">
        <v>1175536</v>
      </c>
      <c r="L25" s="475">
        <v>312517</v>
      </c>
      <c r="M25" s="475">
        <v>863019</v>
      </c>
      <c r="N25" s="475">
        <v>166330</v>
      </c>
      <c r="O25" s="475">
        <v>99475</v>
      </c>
      <c r="P25" s="475" t="s">
        <v>648</v>
      </c>
      <c r="Q25" s="487">
        <v>6772</v>
      </c>
      <c r="R25" s="503">
        <v>217453</v>
      </c>
      <c r="S25" s="503">
        <v>71625</v>
      </c>
      <c r="T25" s="503">
        <v>145828</v>
      </c>
      <c r="U25" s="475" t="s">
        <v>648</v>
      </c>
      <c r="V25" s="131" t="s">
        <v>1178</v>
      </c>
      <c r="W25" s="185"/>
    </row>
    <row r="26" spans="1:23" s="191" customFormat="1" ht="14.15" customHeight="1" x14ac:dyDescent="0.15">
      <c r="A26" s="185"/>
      <c r="B26" s="502"/>
      <c r="C26" s="501" t="s">
        <v>381</v>
      </c>
      <c r="D26" s="500"/>
      <c r="E26" s="499">
        <v>4165079</v>
      </c>
      <c r="F26" s="499">
        <v>940053</v>
      </c>
      <c r="G26" s="499">
        <v>411944</v>
      </c>
      <c r="H26" s="499">
        <v>302210</v>
      </c>
      <c r="I26" s="499">
        <v>861268</v>
      </c>
      <c r="J26" s="499">
        <v>793777</v>
      </c>
      <c r="K26" s="499">
        <v>855827</v>
      </c>
      <c r="L26" s="499">
        <v>453246</v>
      </c>
      <c r="M26" s="499">
        <v>402581</v>
      </c>
      <c r="N26" s="499">
        <v>283593</v>
      </c>
      <c r="O26" s="499">
        <v>56912</v>
      </c>
      <c r="P26" s="499">
        <v>9056</v>
      </c>
      <c r="Q26" s="499">
        <v>9247</v>
      </c>
      <c r="R26" s="498">
        <v>1388015</v>
      </c>
      <c r="S26" s="498">
        <v>925304</v>
      </c>
      <c r="T26" s="498">
        <v>462711</v>
      </c>
      <c r="U26" s="498">
        <v>58624</v>
      </c>
      <c r="V26" s="497" t="s">
        <v>380</v>
      </c>
      <c r="W26" s="185"/>
    </row>
    <row r="27" spans="1:23" s="191" customFormat="1" ht="14.25" customHeight="1" x14ac:dyDescent="0.15">
      <c r="A27" s="185"/>
      <c r="B27" s="496"/>
      <c r="C27" s="495" t="s">
        <v>215</v>
      </c>
      <c r="D27" s="494"/>
      <c r="E27" s="505">
        <v>9105985</v>
      </c>
      <c r="F27" s="505">
        <v>1733918</v>
      </c>
      <c r="G27" s="505">
        <v>1478848</v>
      </c>
      <c r="H27" s="505">
        <v>740574</v>
      </c>
      <c r="I27" s="505">
        <v>1756653</v>
      </c>
      <c r="J27" s="505">
        <v>1523439</v>
      </c>
      <c r="K27" s="505">
        <v>1872553</v>
      </c>
      <c r="L27" s="505">
        <v>712828</v>
      </c>
      <c r="M27" s="505">
        <v>1159725</v>
      </c>
      <c r="N27" s="505">
        <v>430240</v>
      </c>
      <c r="O27" s="505">
        <v>167463</v>
      </c>
      <c r="P27" s="505">
        <v>8647</v>
      </c>
      <c r="Q27" s="493">
        <v>17136</v>
      </c>
      <c r="R27" s="504">
        <v>1536519</v>
      </c>
      <c r="S27" s="504">
        <v>966966</v>
      </c>
      <c r="T27" s="504">
        <v>569553</v>
      </c>
      <c r="U27" s="504">
        <v>144539</v>
      </c>
      <c r="V27" s="491" t="s">
        <v>1179</v>
      </c>
      <c r="W27" s="185"/>
    </row>
    <row r="28" spans="1:23" s="191" customFormat="1" ht="14.15" customHeight="1" x14ac:dyDescent="0.15">
      <c r="A28" s="185"/>
      <c r="B28" s="490" t="s">
        <v>1180</v>
      </c>
      <c r="C28" s="489" t="s">
        <v>382</v>
      </c>
      <c r="D28" s="336"/>
      <c r="E28" s="475">
        <v>4986296</v>
      </c>
      <c r="F28" s="475">
        <v>855314</v>
      </c>
      <c r="G28" s="475">
        <v>1073677</v>
      </c>
      <c r="H28" s="475">
        <v>435675</v>
      </c>
      <c r="I28" s="475">
        <v>762162</v>
      </c>
      <c r="J28" s="475">
        <v>782852</v>
      </c>
      <c r="K28" s="475">
        <v>1076616</v>
      </c>
      <c r="L28" s="475">
        <v>277196</v>
      </c>
      <c r="M28" s="475">
        <v>799420</v>
      </c>
      <c r="N28" s="475">
        <v>156605</v>
      </c>
      <c r="O28" s="475">
        <v>115955</v>
      </c>
      <c r="P28" s="475" t="s">
        <v>648</v>
      </c>
      <c r="Q28" s="487">
        <v>6372</v>
      </c>
      <c r="R28" s="503">
        <v>190777</v>
      </c>
      <c r="S28" s="503">
        <v>65027</v>
      </c>
      <c r="T28" s="503">
        <v>125750</v>
      </c>
      <c r="U28" s="475" t="s">
        <v>648</v>
      </c>
      <c r="V28" s="131" t="s">
        <v>223</v>
      </c>
      <c r="W28" s="185"/>
    </row>
    <row r="29" spans="1:23" s="191" customFormat="1" ht="14.15" customHeight="1" x14ac:dyDescent="0.15">
      <c r="A29" s="185"/>
      <c r="B29" s="502"/>
      <c r="C29" s="501" t="s">
        <v>381</v>
      </c>
      <c r="D29" s="500"/>
      <c r="E29" s="499">
        <v>4119689</v>
      </c>
      <c r="F29" s="499">
        <v>878604</v>
      </c>
      <c r="G29" s="499">
        <v>405171</v>
      </c>
      <c r="H29" s="499">
        <v>304899</v>
      </c>
      <c r="I29" s="499">
        <v>994491</v>
      </c>
      <c r="J29" s="499">
        <v>740587</v>
      </c>
      <c r="K29" s="499">
        <v>795937</v>
      </c>
      <c r="L29" s="499">
        <v>435632</v>
      </c>
      <c r="M29" s="499">
        <v>360305</v>
      </c>
      <c r="N29" s="499">
        <v>273635</v>
      </c>
      <c r="O29" s="499">
        <v>51508</v>
      </c>
      <c r="P29" s="499">
        <v>8647</v>
      </c>
      <c r="Q29" s="499">
        <v>10764</v>
      </c>
      <c r="R29" s="498">
        <v>1345742</v>
      </c>
      <c r="S29" s="498">
        <v>901939</v>
      </c>
      <c r="T29" s="498">
        <v>443803</v>
      </c>
      <c r="U29" s="498">
        <v>144539</v>
      </c>
      <c r="V29" s="497" t="s">
        <v>380</v>
      </c>
      <c r="W29" s="185"/>
    </row>
    <row r="30" spans="1:23" s="191" customFormat="1" ht="14.25" customHeight="1" x14ac:dyDescent="0.15">
      <c r="A30" s="185"/>
      <c r="B30" s="496"/>
      <c r="C30" s="495" t="s">
        <v>215</v>
      </c>
      <c r="D30" s="494"/>
      <c r="E30" s="505">
        <v>9073385</v>
      </c>
      <c r="F30" s="505">
        <v>1583482</v>
      </c>
      <c r="G30" s="505">
        <v>1366093</v>
      </c>
      <c r="H30" s="505">
        <v>739155</v>
      </c>
      <c r="I30" s="505">
        <v>2017523</v>
      </c>
      <c r="J30" s="505">
        <v>1489993</v>
      </c>
      <c r="K30" s="505">
        <v>1877139</v>
      </c>
      <c r="L30" s="505">
        <v>694188</v>
      </c>
      <c r="M30" s="505">
        <v>1182951</v>
      </c>
      <c r="N30" s="505">
        <v>431005</v>
      </c>
      <c r="O30" s="505">
        <v>169161</v>
      </c>
      <c r="P30" s="505">
        <v>9193</v>
      </c>
      <c r="Q30" s="493">
        <v>16320</v>
      </c>
      <c r="R30" s="504">
        <v>1583753</v>
      </c>
      <c r="S30" s="504">
        <v>974716</v>
      </c>
      <c r="T30" s="504">
        <v>609037</v>
      </c>
      <c r="U30" s="504">
        <v>99654</v>
      </c>
      <c r="V30" s="491" t="s">
        <v>1181</v>
      </c>
      <c r="W30" s="185"/>
    </row>
    <row r="31" spans="1:23" s="191" customFormat="1" ht="14.15" customHeight="1" x14ac:dyDescent="0.15">
      <c r="A31" s="185"/>
      <c r="B31" s="490" t="s">
        <v>731</v>
      </c>
      <c r="C31" s="489" t="s">
        <v>382</v>
      </c>
      <c r="D31" s="336"/>
      <c r="E31" s="475">
        <v>5119837</v>
      </c>
      <c r="F31" s="475">
        <v>798468</v>
      </c>
      <c r="G31" s="475">
        <v>1115287</v>
      </c>
      <c r="H31" s="475">
        <v>443986</v>
      </c>
      <c r="I31" s="475">
        <v>864516</v>
      </c>
      <c r="J31" s="475">
        <v>827721</v>
      </c>
      <c r="K31" s="475">
        <v>1069859</v>
      </c>
      <c r="L31" s="475">
        <v>274284</v>
      </c>
      <c r="M31" s="475">
        <v>795575</v>
      </c>
      <c r="N31" s="475">
        <v>149989</v>
      </c>
      <c r="O31" s="475">
        <v>116540</v>
      </c>
      <c r="P31" s="475" t="s">
        <v>648</v>
      </c>
      <c r="Q31" s="487">
        <v>5423</v>
      </c>
      <c r="R31" s="503">
        <v>191284</v>
      </c>
      <c r="S31" s="503">
        <v>65535</v>
      </c>
      <c r="T31" s="503">
        <v>125749</v>
      </c>
      <c r="U31" s="475" t="s">
        <v>648</v>
      </c>
      <c r="V31" s="131" t="s">
        <v>223</v>
      </c>
      <c r="W31" s="185"/>
    </row>
    <row r="32" spans="1:23" s="191" customFormat="1" ht="14.15" customHeight="1" x14ac:dyDescent="0.15">
      <c r="A32" s="185"/>
      <c r="B32" s="502"/>
      <c r="C32" s="501" t="s">
        <v>381</v>
      </c>
      <c r="D32" s="500"/>
      <c r="E32" s="499">
        <v>3953548</v>
      </c>
      <c r="F32" s="499">
        <v>785014</v>
      </c>
      <c r="G32" s="499">
        <v>250806</v>
      </c>
      <c r="H32" s="499">
        <v>295169</v>
      </c>
      <c r="I32" s="499">
        <v>1153007</v>
      </c>
      <c r="J32" s="499">
        <v>662272</v>
      </c>
      <c r="K32" s="499">
        <v>807280</v>
      </c>
      <c r="L32" s="499">
        <v>419904</v>
      </c>
      <c r="M32" s="499">
        <v>387376</v>
      </c>
      <c r="N32" s="499">
        <v>281016</v>
      </c>
      <c r="O32" s="499">
        <v>52621</v>
      </c>
      <c r="P32" s="499">
        <v>9193</v>
      </c>
      <c r="Q32" s="499">
        <v>10897</v>
      </c>
      <c r="R32" s="498">
        <v>1392469</v>
      </c>
      <c r="S32" s="498">
        <v>909181</v>
      </c>
      <c r="T32" s="498">
        <v>483288</v>
      </c>
      <c r="U32" s="498">
        <v>99654</v>
      </c>
      <c r="V32" s="497" t="s">
        <v>380</v>
      </c>
      <c r="W32" s="185"/>
    </row>
    <row r="33" spans="1:23" s="191" customFormat="1" ht="14.25" customHeight="1" x14ac:dyDescent="0.15">
      <c r="A33" s="185"/>
      <c r="B33" s="496"/>
      <c r="C33" s="495" t="s">
        <v>215</v>
      </c>
      <c r="D33" s="494"/>
      <c r="E33" s="505">
        <v>9796434</v>
      </c>
      <c r="F33" s="505">
        <v>1597073</v>
      </c>
      <c r="G33" s="505">
        <v>1503602</v>
      </c>
      <c r="H33" s="505">
        <v>861061</v>
      </c>
      <c r="I33" s="505">
        <v>2223562</v>
      </c>
      <c r="J33" s="505">
        <v>1644943</v>
      </c>
      <c r="K33" s="505">
        <v>1966193</v>
      </c>
      <c r="L33" s="505">
        <v>740350</v>
      </c>
      <c r="M33" s="505">
        <v>1225843</v>
      </c>
      <c r="N33" s="505">
        <v>457894</v>
      </c>
      <c r="O33" s="505">
        <v>205997</v>
      </c>
      <c r="P33" s="505">
        <v>9100</v>
      </c>
      <c r="Q33" s="493">
        <v>17147</v>
      </c>
      <c r="R33" s="504">
        <v>1863515</v>
      </c>
      <c r="S33" s="504">
        <v>1164756</v>
      </c>
      <c r="T33" s="504">
        <v>698759</v>
      </c>
      <c r="U33" s="504">
        <v>162395</v>
      </c>
      <c r="V33" s="491" t="s">
        <v>1182</v>
      </c>
      <c r="W33" s="185"/>
    </row>
    <row r="34" spans="1:23" s="191" customFormat="1" ht="14.15" customHeight="1" x14ac:dyDescent="0.15">
      <c r="A34" s="185"/>
      <c r="B34" s="490" t="s">
        <v>732</v>
      </c>
      <c r="C34" s="489" t="s">
        <v>382</v>
      </c>
      <c r="D34" s="336"/>
      <c r="E34" s="475">
        <v>5334761</v>
      </c>
      <c r="F34" s="475">
        <v>728456</v>
      </c>
      <c r="G34" s="475">
        <v>1052877</v>
      </c>
      <c r="H34" s="475">
        <v>567816</v>
      </c>
      <c r="I34" s="475">
        <v>881147</v>
      </c>
      <c r="J34" s="475">
        <v>920791</v>
      </c>
      <c r="K34" s="475">
        <v>1183674</v>
      </c>
      <c r="L34" s="475">
        <v>303590</v>
      </c>
      <c r="M34" s="475">
        <v>880084</v>
      </c>
      <c r="N34" s="475">
        <v>163339</v>
      </c>
      <c r="O34" s="475">
        <v>146748</v>
      </c>
      <c r="P34" s="475" t="s">
        <v>648</v>
      </c>
      <c r="Q34" s="487">
        <v>5093</v>
      </c>
      <c r="R34" s="503">
        <v>215275</v>
      </c>
      <c r="S34" s="503">
        <v>69120</v>
      </c>
      <c r="T34" s="503">
        <v>146155</v>
      </c>
      <c r="U34" s="475" t="s">
        <v>648</v>
      </c>
      <c r="V34" s="131" t="s">
        <v>223</v>
      </c>
      <c r="W34" s="185"/>
    </row>
    <row r="35" spans="1:23" s="191" customFormat="1" ht="14.15" customHeight="1" x14ac:dyDescent="0.15">
      <c r="A35" s="185"/>
      <c r="B35" s="502"/>
      <c r="C35" s="501" t="s">
        <v>381</v>
      </c>
      <c r="D35" s="500"/>
      <c r="E35" s="499">
        <v>4461673</v>
      </c>
      <c r="F35" s="499">
        <v>868617</v>
      </c>
      <c r="G35" s="499">
        <v>450725</v>
      </c>
      <c r="H35" s="499">
        <v>293245</v>
      </c>
      <c r="I35" s="499">
        <v>1342415</v>
      </c>
      <c r="J35" s="499">
        <v>724152</v>
      </c>
      <c r="K35" s="499">
        <v>782519</v>
      </c>
      <c r="L35" s="499">
        <v>436760</v>
      </c>
      <c r="M35" s="499">
        <v>345759</v>
      </c>
      <c r="N35" s="499">
        <v>294555</v>
      </c>
      <c r="O35" s="499">
        <v>59249</v>
      </c>
      <c r="P35" s="499">
        <v>9100</v>
      </c>
      <c r="Q35" s="499">
        <v>12054</v>
      </c>
      <c r="R35" s="498">
        <v>1648240</v>
      </c>
      <c r="S35" s="498">
        <v>1095636</v>
      </c>
      <c r="T35" s="498">
        <v>552604</v>
      </c>
      <c r="U35" s="498">
        <v>162395</v>
      </c>
      <c r="V35" s="497" t="s">
        <v>380</v>
      </c>
      <c r="W35" s="185"/>
    </row>
    <row r="36" spans="1:23" s="191" customFormat="1" ht="14.25" customHeight="1" x14ac:dyDescent="0.15">
      <c r="A36" s="185"/>
      <c r="B36" s="496"/>
      <c r="C36" s="495" t="s">
        <v>215</v>
      </c>
      <c r="D36" s="494"/>
      <c r="E36" s="505">
        <v>10117190</v>
      </c>
      <c r="F36" s="505">
        <v>1632114</v>
      </c>
      <c r="G36" s="505">
        <v>1502543</v>
      </c>
      <c r="H36" s="505">
        <v>937957</v>
      </c>
      <c r="I36" s="505">
        <v>2508732</v>
      </c>
      <c r="J36" s="505">
        <v>1552724</v>
      </c>
      <c r="K36" s="505">
        <v>1983120</v>
      </c>
      <c r="L36" s="505">
        <v>756123</v>
      </c>
      <c r="M36" s="505">
        <v>1226997</v>
      </c>
      <c r="N36" s="505">
        <v>452815</v>
      </c>
      <c r="O36" s="505">
        <v>219302</v>
      </c>
      <c r="P36" s="505">
        <v>9285</v>
      </c>
      <c r="Q36" s="493">
        <v>19081</v>
      </c>
      <c r="R36" s="504">
        <v>1955508</v>
      </c>
      <c r="S36" s="504">
        <v>1277533</v>
      </c>
      <c r="T36" s="504">
        <v>677975</v>
      </c>
      <c r="U36" s="504">
        <v>127745</v>
      </c>
      <c r="V36" s="491" t="s">
        <v>1183</v>
      </c>
      <c r="W36" s="185"/>
    </row>
    <row r="37" spans="1:23" s="191" customFormat="1" ht="14.15" customHeight="1" x14ac:dyDescent="0.15">
      <c r="A37" s="185"/>
      <c r="B37" s="490" t="s">
        <v>1184</v>
      </c>
      <c r="C37" s="489" t="s">
        <v>382</v>
      </c>
      <c r="D37" s="336"/>
      <c r="E37" s="475">
        <v>5404359</v>
      </c>
      <c r="F37" s="475">
        <v>805779</v>
      </c>
      <c r="G37" s="475">
        <v>992621</v>
      </c>
      <c r="H37" s="475">
        <v>632685</v>
      </c>
      <c r="I37" s="475">
        <v>929078</v>
      </c>
      <c r="J37" s="475">
        <v>855087</v>
      </c>
      <c r="K37" s="475">
        <v>1189109</v>
      </c>
      <c r="L37" s="475">
        <v>318169</v>
      </c>
      <c r="M37" s="475">
        <v>870940</v>
      </c>
      <c r="N37" s="475">
        <v>162675</v>
      </c>
      <c r="O37" s="475">
        <v>158462</v>
      </c>
      <c r="P37" s="475" t="s">
        <v>648</v>
      </c>
      <c r="Q37" s="487">
        <v>6347</v>
      </c>
      <c r="R37" s="503">
        <v>222625</v>
      </c>
      <c r="S37" s="503">
        <v>68983</v>
      </c>
      <c r="T37" s="503">
        <v>153642</v>
      </c>
      <c r="U37" s="475" t="s">
        <v>648</v>
      </c>
      <c r="V37" s="131" t="s">
        <v>223</v>
      </c>
      <c r="W37" s="185"/>
    </row>
    <row r="38" spans="1:23" s="191" customFormat="1" ht="14.15" customHeight="1" x14ac:dyDescent="0.15">
      <c r="A38" s="185"/>
      <c r="B38" s="502"/>
      <c r="C38" s="501" t="s">
        <v>381</v>
      </c>
      <c r="D38" s="500"/>
      <c r="E38" s="499">
        <v>4712831</v>
      </c>
      <c r="F38" s="499">
        <v>826335</v>
      </c>
      <c r="G38" s="499">
        <v>509922</v>
      </c>
      <c r="H38" s="499">
        <v>305272</v>
      </c>
      <c r="I38" s="499">
        <v>1579654</v>
      </c>
      <c r="J38" s="499">
        <v>697637</v>
      </c>
      <c r="K38" s="499">
        <v>794011</v>
      </c>
      <c r="L38" s="499">
        <v>437954</v>
      </c>
      <c r="M38" s="499">
        <v>356057</v>
      </c>
      <c r="N38" s="499">
        <v>290140</v>
      </c>
      <c r="O38" s="499">
        <v>60840</v>
      </c>
      <c r="P38" s="499">
        <v>9285</v>
      </c>
      <c r="Q38" s="499">
        <v>12734</v>
      </c>
      <c r="R38" s="498">
        <v>1732883</v>
      </c>
      <c r="S38" s="498">
        <v>1208550</v>
      </c>
      <c r="T38" s="498">
        <v>524333</v>
      </c>
      <c r="U38" s="498">
        <v>127745</v>
      </c>
      <c r="V38" s="497" t="s">
        <v>380</v>
      </c>
      <c r="W38" s="185"/>
    </row>
    <row r="39" spans="1:23" s="191" customFormat="1" ht="14.25" customHeight="1" x14ac:dyDescent="0.15">
      <c r="A39" s="185"/>
      <c r="B39" s="496"/>
      <c r="C39" s="495" t="s">
        <v>215</v>
      </c>
      <c r="D39" s="494"/>
      <c r="E39" s="505">
        <v>10108445</v>
      </c>
      <c r="F39" s="505">
        <v>1683629</v>
      </c>
      <c r="G39" s="505">
        <v>1560949</v>
      </c>
      <c r="H39" s="505">
        <v>809652</v>
      </c>
      <c r="I39" s="505">
        <v>2647526</v>
      </c>
      <c r="J39" s="505">
        <v>1500225</v>
      </c>
      <c r="K39" s="505">
        <v>1906464</v>
      </c>
      <c r="L39" s="505">
        <v>757018</v>
      </c>
      <c r="M39" s="505">
        <v>1149446</v>
      </c>
      <c r="N39" s="505">
        <v>461563</v>
      </c>
      <c r="O39" s="505">
        <v>210775</v>
      </c>
      <c r="P39" s="505">
        <v>9326</v>
      </c>
      <c r="Q39" s="493">
        <v>17493</v>
      </c>
      <c r="R39" s="504">
        <v>2046525</v>
      </c>
      <c r="S39" s="504">
        <v>1449973</v>
      </c>
      <c r="T39" s="504">
        <v>596552</v>
      </c>
      <c r="U39" s="504">
        <v>94796</v>
      </c>
      <c r="V39" s="491" t="s">
        <v>1185</v>
      </c>
      <c r="W39" s="185"/>
    </row>
    <row r="40" spans="1:23" s="191" customFormat="1" ht="14.15" customHeight="1" x14ac:dyDescent="0.15">
      <c r="A40" s="185"/>
      <c r="B40" s="490" t="s">
        <v>733</v>
      </c>
      <c r="C40" s="489" t="s">
        <v>382</v>
      </c>
      <c r="D40" s="336"/>
      <c r="E40" s="475">
        <v>5048977</v>
      </c>
      <c r="F40" s="475">
        <v>765003</v>
      </c>
      <c r="G40" s="475">
        <v>1075055</v>
      </c>
      <c r="H40" s="475">
        <v>503214</v>
      </c>
      <c r="I40" s="475">
        <v>868508</v>
      </c>
      <c r="J40" s="475">
        <v>737011</v>
      </c>
      <c r="K40" s="475">
        <v>1100186</v>
      </c>
      <c r="L40" s="475">
        <v>266499</v>
      </c>
      <c r="M40" s="475">
        <v>833687</v>
      </c>
      <c r="N40" s="475">
        <v>164232</v>
      </c>
      <c r="O40" s="475">
        <v>148784</v>
      </c>
      <c r="P40" s="475" t="s">
        <v>648</v>
      </c>
      <c r="Q40" s="487">
        <v>5349</v>
      </c>
      <c r="R40" s="503">
        <v>210145</v>
      </c>
      <c r="S40" s="503">
        <v>72215</v>
      </c>
      <c r="T40" s="503">
        <v>137930</v>
      </c>
      <c r="U40" s="475" t="s">
        <v>648</v>
      </c>
      <c r="V40" s="131" t="s">
        <v>223</v>
      </c>
      <c r="W40" s="185"/>
    </row>
    <row r="41" spans="1:23" s="191" customFormat="1" ht="14.15" customHeight="1" x14ac:dyDescent="0.15">
      <c r="A41" s="185"/>
      <c r="B41" s="502"/>
      <c r="C41" s="501" t="s">
        <v>381</v>
      </c>
      <c r="D41" s="500"/>
      <c r="E41" s="499">
        <v>5059468</v>
      </c>
      <c r="F41" s="499">
        <v>918626</v>
      </c>
      <c r="G41" s="499">
        <v>485894</v>
      </c>
      <c r="H41" s="499">
        <v>306438</v>
      </c>
      <c r="I41" s="499">
        <v>1779018</v>
      </c>
      <c r="J41" s="499">
        <v>763214</v>
      </c>
      <c r="K41" s="499">
        <v>806278</v>
      </c>
      <c r="L41" s="499">
        <v>490519</v>
      </c>
      <c r="M41" s="499">
        <v>315759</v>
      </c>
      <c r="N41" s="499">
        <v>297331</v>
      </c>
      <c r="O41" s="499">
        <v>61991</v>
      </c>
      <c r="P41" s="499">
        <v>9326</v>
      </c>
      <c r="Q41" s="499">
        <v>12144</v>
      </c>
      <c r="R41" s="498">
        <v>1836380</v>
      </c>
      <c r="S41" s="498">
        <v>1377758</v>
      </c>
      <c r="T41" s="498">
        <v>458622</v>
      </c>
      <c r="U41" s="498">
        <v>94796</v>
      </c>
      <c r="V41" s="497" t="s">
        <v>380</v>
      </c>
      <c r="W41" s="185"/>
    </row>
    <row r="42" spans="1:23" s="191" customFormat="1" ht="14.25" customHeight="1" x14ac:dyDescent="0.15">
      <c r="A42" s="185"/>
      <c r="B42" s="496"/>
      <c r="C42" s="495" t="s">
        <v>215</v>
      </c>
      <c r="D42" s="494"/>
      <c r="E42" s="505">
        <v>9964176</v>
      </c>
      <c r="F42" s="505">
        <v>1664538</v>
      </c>
      <c r="G42" s="505">
        <v>1343701</v>
      </c>
      <c r="H42" s="505">
        <v>834388</v>
      </c>
      <c r="I42" s="505">
        <v>2695253</v>
      </c>
      <c r="J42" s="505">
        <v>1570278</v>
      </c>
      <c r="K42" s="505">
        <v>1856018</v>
      </c>
      <c r="L42" s="505">
        <v>777323</v>
      </c>
      <c r="M42" s="505">
        <v>1078695</v>
      </c>
      <c r="N42" s="505">
        <v>447263</v>
      </c>
      <c r="O42" s="505">
        <v>210794</v>
      </c>
      <c r="P42" s="505">
        <v>8988</v>
      </c>
      <c r="Q42" s="493">
        <v>14941</v>
      </c>
      <c r="R42" s="504">
        <v>1949800</v>
      </c>
      <c r="S42" s="504">
        <v>1361742</v>
      </c>
      <c r="T42" s="504">
        <v>588058</v>
      </c>
      <c r="U42" s="504">
        <v>125635</v>
      </c>
      <c r="V42" s="491" t="s">
        <v>1186</v>
      </c>
      <c r="W42" s="185"/>
    </row>
    <row r="43" spans="1:23" s="191" customFormat="1" ht="14.15" customHeight="1" x14ac:dyDescent="0.15">
      <c r="A43" s="185"/>
      <c r="B43" s="490" t="s">
        <v>734</v>
      </c>
      <c r="C43" s="489" t="s">
        <v>382</v>
      </c>
      <c r="D43" s="336"/>
      <c r="E43" s="475">
        <v>5002417</v>
      </c>
      <c r="F43" s="475">
        <v>796302</v>
      </c>
      <c r="G43" s="475">
        <v>987200</v>
      </c>
      <c r="H43" s="475">
        <v>486169</v>
      </c>
      <c r="I43" s="475">
        <v>894515</v>
      </c>
      <c r="J43" s="475">
        <v>817821</v>
      </c>
      <c r="K43" s="475">
        <v>1020410</v>
      </c>
      <c r="L43" s="475">
        <v>285742</v>
      </c>
      <c r="M43" s="475">
        <v>734668</v>
      </c>
      <c r="N43" s="475">
        <v>155306</v>
      </c>
      <c r="O43" s="475">
        <v>151763</v>
      </c>
      <c r="P43" s="475" t="s">
        <v>648</v>
      </c>
      <c r="Q43" s="487">
        <v>3676</v>
      </c>
      <c r="R43" s="503">
        <v>201389</v>
      </c>
      <c r="S43" s="503">
        <v>67121</v>
      </c>
      <c r="T43" s="503">
        <v>134268</v>
      </c>
      <c r="U43" s="475" t="s">
        <v>648</v>
      </c>
      <c r="V43" s="131" t="s">
        <v>223</v>
      </c>
      <c r="W43" s="185"/>
    </row>
    <row r="44" spans="1:23" s="191" customFormat="1" ht="14.15" customHeight="1" x14ac:dyDescent="0.15">
      <c r="A44" s="185"/>
      <c r="B44" s="502"/>
      <c r="C44" s="501" t="s">
        <v>381</v>
      </c>
      <c r="D44" s="500"/>
      <c r="E44" s="499">
        <v>4961759</v>
      </c>
      <c r="F44" s="499">
        <v>868236</v>
      </c>
      <c r="G44" s="499">
        <v>356501</v>
      </c>
      <c r="H44" s="499">
        <v>348219</v>
      </c>
      <c r="I44" s="499">
        <v>1800738</v>
      </c>
      <c r="J44" s="499">
        <v>752457</v>
      </c>
      <c r="K44" s="499">
        <v>835608</v>
      </c>
      <c r="L44" s="499">
        <v>491581</v>
      </c>
      <c r="M44" s="499">
        <v>344027</v>
      </c>
      <c r="N44" s="499">
        <v>291957</v>
      </c>
      <c r="O44" s="499">
        <v>59031</v>
      </c>
      <c r="P44" s="499">
        <v>8988</v>
      </c>
      <c r="Q44" s="499">
        <v>11265</v>
      </c>
      <c r="R44" s="498">
        <v>1748411</v>
      </c>
      <c r="S44" s="498">
        <v>1294621</v>
      </c>
      <c r="T44" s="498">
        <v>453790</v>
      </c>
      <c r="U44" s="498">
        <v>125635</v>
      </c>
      <c r="V44" s="497" t="s">
        <v>380</v>
      </c>
      <c r="W44" s="185"/>
    </row>
    <row r="45" spans="1:23" s="191" customFormat="1" ht="14.25" customHeight="1" x14ac:dyDescent="0.15">
      <c r="A45" s="185"/>
      <c r="B45" s="496"/>
      <c r="C45" s="495" t="s">
        <v>215</v>
      </c>
      <c r="D45" s="494"/>
      <c r="E45" s="505">
        <v>9416740</v>
      </c>
      <c r="F45" s="505">
        <v>1674269</v>
      </c>
      <c r="G45" s="505">
        <v>1280711</v>
      </c>
      <c r="H45" s="505">
        <v>857671</v>
      </c>
      <c r="I45" s="505">
        <v>2194059</v>
      </c>
      <c r="J45" s="505">
        <v>1441308</v>
      </c>
      <c r="K45" s="505">
        <v>1968722</v>
      </c>
      <c r="L45" s="505">
        <v>757315</v>
      </c>
      <c r="M45" s="505">
        <v>1211407</v>
      </c>
      <c r="N45" s="505">
        <v>450916</v>
      </c>
      <c r="O45" s="505">
        <v>217366</v>
      </c>
      <c r="P45" s="505">
        <v>8984</v>
      </c>
      <c r="Q45" s="493">
        <v>16015</v>
      </c>
      <c r="R45" s="504">
        <v>1672402</v>
      </c>
      <c r="S45" s="504">
        <v>1116188</v>
      </c>
      <c r="T45" s="504">
        <v>556214</v>
      </c>
      <c r="U45" s="504">
        <v>115850</v>
      </c>
      <c r="V45" s="491" t="s">
        <v>1187</v>
      </c>
      <c r="W45" s="185"/>
    </row>
    <row r="46" spans="1:23" s="191" customFormat="1" ht="14.15" customHeight="1" x14ac:dyDescent="0.15">
      <c r="A46" s="185"/>
      <c r="B46" s="490" t="s">
        <v>735</v>
      </c>
      <c r="C46" s="489" t="s">
        <v>382</v>
      </c>
      <c r="D46" s="336"/>
      <c r="E46" s="475">
        <v>5055813</v>
      </c>
      <c r="F46" s="475">
        <v>903941</v>
      </c>
      <c r="G46" s="475">
        <v>988663</v>
      </c>
      <c r="H46" s="475">
        <v>513465</v>
      </c>
      <c r="I46" s="475">
        <v>775865</v>
      </c>
      <c r="J46" s="475">
        <v>759428</v>
      </c>
      <c r="K46" s="475">
        <v>1114451</v>
      </c>
      <c r="L46" s="475">
        <v>304433</v>
      </c>
      <c r="M46" s="475">
        <v>810018</v>
      </c>
      <c r="N46" s="475">
        <v>168202</v>
      </c>
      <c r="O46" s="475">
        <v>162164</v>
      </c>
      <c r="P46" s="475" t="s">
        <v>648</v>
      </c>
      <c r="Q46" s="487">
        <v>4418</v>
      </c>
      <c r="R46" s="503">
        <v>212437</v>
      </c>
      <c r="S46" s="503">
        <v>69766</v>
      </c>
      <c r="T46" s="503">
        <v>142671</v>
      </c>
      <c r="U46" s="475" t="s">
        <v>648</v>
      </c>
      <c r="V46" s="131" t="s">
        <v>223</v>
      </c>
      <c r="W46" s="185"/>
    </row>
    <row r="47" spans="1:23" s="191" customFormat="1" ht="14.15" customHeight="1" x14ac:dyDescent="0.15">
      <c r="A47" s="185"/>
      <c r="B47" s="502"/>
      <c r="C47" s="501" t="s">
        <v>381</v>
      </c>
      <c r="D47" s="500"/>
      <c r="E47" s="499">
        <v>4360927</v>
      </c>
      <c r="F47" s="499">
        <v>770328</v>
      </c>
      <c r="G47" s="499">
        <v>292048</v>
      </c>
      <c r="H47" s="499">
        <v>344206</v>
      </c>
      <c r="I47" s="499">
        <v>1418194</v>
      </c>
      <c r="J47" s="499">
        <v>681880</v>
      </c>
      <c r="K47" s="499">
        <v>854271</v>
      </c>
      <c r="L47" s="499">
        <v>452882</v>
      </c>
      <c r="M47" s="499">
        <v>401389</v>
      </c>
      <c r="N47" s="499">
        <v>282714</v>
      </c>
      <c r="O47" s="499">
        <v>55202</v>
      </c>
      <c r="P47" s="499">
        <v>8984</v>
      </c>
      <c r="Q47" s="499">
        <v>11597</v>
      </c>
      <c r="R47" s="498">
        <v>1459965</v>
      </c>
      <c r="S47" s="498">
        <v>1046422</v>
      </c>
      <c r="T47" s="498">
        <v>413543</v>
      </c>
      <c r="U47" s="498">
        <v>115850</v>
      </c>
      <c r="V47" s="497" t="s">
        <v>380</v>
      </c>
      <c r="W47" s="185"/>
    </row>
    <row r="48" spans="1:23" s="191" customFormat="1" ht="13.5" customHeight="1" x14ac:dyDescent="0.15">
      <c r="A48" s="185"/>
      <c r="B48" s="1101" t="s">
        <v>1188</v>
      </c>
      <c r="C48" s="1101"/>
      <c r="D48" s="508"/>
      <c r="E48" s="507"/>
      <c r="F48" s="487"/>
      <c r="G48" s="487"/>
      <c r="H48" s="487"/>
      <c r="I48" s="487"/>
      <c r="J48" s="487"/>
      <c r="K48" s="475"/>
      <c r="L48" s="487"/>
      <c r="M48" s="487"/>
      <c r="N48" s="487"/>
      <c r="O48" s="487"/>
      <c r="P48" s="487"/>
      <c r="Q48" s="487"/>
      <c r="R48" s="503"/>
      <c r="S48" s="503"/>
      <c r="T48" s="503"/>
      <c r="U48" s="503"/>
      <c r="V48" s="506"/>
      <c r="W48" s="185"/>
    </row>
    <row r="49" spans="1:23" s="191" customFormat="1" ht="14.25" customHeight="1" x14ac:dyDescent="0.15">
      <c r="A49" s="185"/>
      <c r="B49" s="496"/>
      <c r="C49" s="495" t="s">
        <v>215</v>
      </c>
      <c r="D49" s="494"/>
      <c r="E49" s="505">
        <v>9332638</v>
      </c>
      <c r="F49" s="505">
        <v>1815070</v>
      </c>
      <c r="G49" s="505">
        <v>1443522</v>
      </c>
      <c r="H49" s="505">
        <v>816738</v>
      </c>
      <c r="I49" s="505">
        <v>1852369</v>
      </c>
      <c r="J49" s="505">
        <v>1509823</v>
      </c>
      <c r="K49" s="505">
        <v>1895116</v>
      </c>
      <c r="L49" s="505">
        <v>723313</v>
      </c>
      <c r="M49" s="505">
        <v>1171803</v>
      </c>
      <c r="N49" s="505">
        <v>461973</v>
      </c>
      <c r="O49" s="505">
        <v>222217</v>
      </c>
      <c r="P49" s="505">
        <v>9285</v>
      </c>
      <c r="Q49" s="505">
        <v>16596</v>
      </c>
      <c r="R49" s="504">
        <v>1712530</v>
      </c>
      <c r="S49" s="504">
        <v>1109079</v>
      </c>
      <c r="T49" s="504">
        <v>603451</v>
      </c>
      <c r="U49" s="504">
        <v>119030</v>
      </c>
      <c r="V49" s="491" t="s">
        <v>1189</v>
      </c>
      <c r="W49" s="185"/>
    </row>
    <row r="50" spans="1:23" s="191" customFormat="1" ht="14.15" customHeight="1" x14ac:dyDescent="0.15">
      <c r="A50" s="185"/>
      <c r="B50" s="490" t="s">
        <v>383</v>
      </c>
      <c r="C50" s="489" t="s">
        <v>382</v>
      </c>
      <c r="D50" s="336"/>
      <c r="E50" s="475">
        <v>4731620</v>
      </c>
      <c r="F50" s="475">
        <v>883658</v>
      </c>
      <c r="G50" s="475">
        <v>934293</v>
      </c>
      <c r="H50" s="475">
        <v>437589</v>
      </c>
      <c r="I50" s="475">
        <v>716233</v>
      </c>
      <c r="J50" s="475">
        <v>725951</v>
      </c>
      <c r="K50" s="475">
        <v>1033896</v>
      </c>
      <c r="L50" s="475">
        <v>269713</v>
      </c>
      <c r="M50" s="475">
        <v>764183</v>
      </c>
      <c r="N50" s="475">
        <v>168753</v>
      </c>
      <c r="O50" s="475">
        <v>159409</v>
      </c>
      <c r="P50" s="475" t="s">
        <v>648</v>
      </c>
      <c r="Q50" s="475">
        <v>3974</v>
      </c>
      <c r="R50" s="503">
        <v>216913</v>
      </c>
      <c r="S50" s="503">
        <v>74505</v>
      </c>
      <c r="T50" s="503">
        <v>142408</v>
      </c>
      <c r="U50" s="475" t="s">
        <v>648</v>
      </c>
      <c r="V50" s="131" t="s">
        <v>223</v>
      </c>
      <c r="W50" s="185"/>
    </row>
    <row r="51" spans="1:23" s="191" customFormat="1" ht="14.15" customHeight="1" x14ac:dyDescent="0.15">
      <c r="A51" s="185"/>
      <c r="B51" s="502"/>
      <c r="C51" s="501" t="s">
        <v>381</v>
      </c>
      <c r="D51" s="500"/>
      <c r="E51" s="499">
        <v>4601018</v>
      </c>
      <c r="F51" s="499">
        <v>931412</v>
      </c>
      <c r="G51" s="499">
        <v>509229</v>
      </c>
      <c r="H51" s="499">
        <v>379149</v>
      </c>
      <c r="I51" s="499">
        <v>1136136</v>
      </c>
      <c r="J51" s="499">
        <v>783872</v>
      </c>
      <c r="K51" s="499">
        <v>861220</v>
      </c>
      <c r="L51" s="499">
        <v>453600</v>
      </c>
      <c r="M51" s="499">
        <v>407620</v>
      </c>
      <c r="N51" s="499">
        <v>293220</v>
      </c>
      <c r="O51" s="499">
        <v>62808</v>
      </c>
      <c r="P51" s="499">
        <v>9285</v>
      </c>
      <c r="Q51" s="499">
        <v>12622</v>
      </c>
      <c r="R51" s="498">
        <v>1495617</v>
      </c>
      <c r="S51" s="498">
        <v>1034574</v>
      </c>
      <c r="T51" s="498">
        <v>461043</v>
      </c>
      <c r="U51" s="498">
        <v>119030</v>
      </c>
      <c r="V51" s="497" t="s">
        <v>380</v>
      </c>
      <c r="W51" s="185"/>
    </row>
    <row r="52" spans="1:23" s="191" customFormat="1" ht="14.25" customHeight="1" x14ac:dyDescent="0.15">
      <c r="A52" s="185"/>
      <c r="B52" s="496"/>
      <c r="C52" s="495" t="s">
        <v>215</v>
      </c>
      <c r="D52" s="494"/>
      <c r="E52" s="505">
        <v>8529708</v>
      </c>
      <c r="F52" s="505">
        <v>1758779</v>
      </c>
      <c r="G52" s="505">
        <v>1424826</v>
      </c>
      <c r="H52" s="505">
        <v>725208</v>
      </c>
      <c r="I52" s="505">
        <v>1401227</v>
      </c>
      <c r="J52" s="505">
        <v>1434658</v>
      </c>
      <c r="K52" s="505">
        <v>1785010</v>
      </c>
      <c r="L52" s="505">
        <v>694485</v>
      </c>
      <c r="M52" s="505">
        <v>1090525</v>
      </c>
      <c r="N52" s="505">
        <v>466991</v>
      </c>
      <c r="O52" s="505">
        <v>208079</v>
      </c>
      <c r="P52" s="505">
        <v>9432</v>
      </c>
      <c r="Q52" s="505">
        <v>15434</v>
      </c>
      <c r="R52" s="504">
        <v>1516947</v>
      </c>
      <c r="S52" s="504">
        <v>897596</v>
      </c>
      <c r="T52" s="504">
        <v>619351</v>
      </c>
      <c r="U52" s="504">
        <v>79582</v>
      </c>
      <c r="V52" s="491" t="s">
        <v>1190</v>
      </c>
      <c r="W52" s="185"/>
    </row>
    <row r="53" spans="1:23" s="191" customFormat="1" ht="14.15" customHeight="1" x14ac:dyDescent="0.15">
      <c r="A53" s="185"/>
      <c r="B53" s="490" t="s">
        <v>1174</v>
      </c>
      <c r="C53" s="489" t="s">
        <v>382</v>
      </c>
      <c r="D53" s="336"/>
      <c r="E53" s="475">
        <v>4495463</v>
      </c>
      <c r="F53" s="475">
        <v>854794</v>
      </c>
      <c r="G53" s="475">
        <v>1010418</v>
      </c>
      <c r="H53" s="475">
        <v>358847</v>
      </c>
      <c r="I53" s="475">
        <v>540953</v>
      </c>
      <c r="J53" s="475">
        <v>727430</v>
      </c>
      <c r="K53" s="475">
        <v>1003021</v>
      </c>
      <c r="L53" s="475">
        <v>272592</v>
      </c>
      <c r="M53" s="475">
        <v>730429</v>
      </c>
      <c r="N53" s="475">
        <v>167994</v>
      </c>
      <c r="O53" s="475">
        <v>145725</v>
      </c>
      <c r="P53" s="475" t="s">
        <v>648</v>
      </c>
      <c r="Q53" s="475">
        <v>4182</v>
      </c>
      <c r="R53" s="503">
        <v>218468</v>
      </c>
      <c r="S53" s="503">
        <v>76114</v>
      </c>
      <c r="T53" s="503">
        <v>142354</v>
      </c>
      <c r="U53" s="475" t="s">
        <v>648</v>
      </c>
      <c r="V53" s="131" t="s">
        <v>223</v>
      </c>
      <c r="W53" s="185"/>
    </row>
    <row r="54" spans="1:23" s="191" customFormat="1" ht="14.15" customHeight="1" x14ac:dyDescent="0.15">
      <c r="A54" s="185"/>
      <c r="B54" s="502"/>
      <c r="C54" s="501" t="s">
        <v>381</v>
      </c>
      <c r="D54" s="500"/>
      <c r="E54" s="499">
        <v>4034245</v>
      </c>
      <c r="F54" s="499">
        <v>903985</v>
      </c>
      <c r="G54" s="499">
        <v>414408</v>
      </c>
      <c r="H54" s="499">
        <v>366361</v>
      </c>
      <c r="I54" s="499">
        <v>860274</v>
      </c>
      <c r="J54" s="499">
        <v>707228</v>
      </c>
      <c r="K54" s="499">
        <v>781989</v>
      </c>
      <c r="L54" s="499">
        <v>421893</v>
      </c>
      <c r="M54" s="499">
        <v>360096</v>
      </c>
      <c r="N54" s="499">
        <v>298997</v>
      </c>
      <c r="O54" s="499">
        <v>62354</v>
      </c>
      <c r="P54" s="499">
        <v>9432</v>
      </c>
      <c r="Q54" s="499">
        <v>11252</v>
      </c>
      <c r="R54" s="498">
        <v>1298479</v>
      </c>
      <c r="S54" s="498">
        <v>821482</v>
      </c>
      <c r="T54" s="498">
        <v>476997</v>
      </c>
      <c r="U54" s="498">
        <v>79582</v>
      </c>
      <c r="V54" s="497" t="s">
        <v>380</v>
      </c>
      <c r="W54" s="185"/>
    </row>
    <row r="55" spans="1:23" s="191" customFormat="1" ht="14.25" customHeight="1" x14ac:dyDescent="0.15">
      <c r="A55" s="185"/>
      <c r="B55" s="496"/>
      <c r="C55" s="495" t="s">
        <v>215</v>
      </c>
      <c r="D55" s="494"/>
      <c r="E55" s="493">
        <v>7574020</v>
      </c>
      <c r="F55" s="493">
        <v>1568093</v>
      </c>
      <c r="G55" s="493">
        <v>1342405</v>
      </c>
      <c r="H55" s="493">
        <v>736627</v>
      </c>
      <c r="I55" s="493">
        <v>1137694</v>
      </c>
      <c r="J55" s="493">
        <v>1188464</v>
      </c>
      <c r="K55" s="493">
        <v>1600737</v>
      </c>
      <c r="L55" s="493">
        <v>645104</v>
      </c>
      <c r="M55" s="493">
        <v>955633</v>
      </c>
      <c r="N55" s="493">
        <v>445765</v>
      </c>
      <c r="O55" s="493">
        <v>197149</v>
      </c>
      <c r="P55" s="493">
        <v>9322</v>
      </c>
      <c r="Q55" s="493">
        <v>14424</v>
      </c>
      <c r="R55" s="492">
        <v>1571974</v>
      </c>
      <c r="S55" s="492">
        <v>944894</v>
      </c>
      <c r="T55" s="492">
        <v>627080</v>
      </c>
      <c r="U55" s="492">
        <v>114868</v>
      </c>
      <c r="V55" s="491" t="s">
        <v>1191</v>
      </c>
      <c r="W55" s="185"/>
    </row>
    <row r="56" spans="1:23" s="191" customFormat="1" ht="14.15" customHeight="1" x14ac:dyDescent="0.15">
      <c r="A56" s="185"/>
      <c r="B56" s="490" t="s">
        <v>1192</v>
      </c>
      <c r="C56" s="489" t="s">
        <v>382</v>
      </c>
      <c r="D56" s="336"/>
      <c r="E56" s="487">
        <v>4100564</v>
      </c>
      <c r="F56" s="487">
        <v>731112</v>
      </c>
      <c r="G56" s="487">
        <v>979865</v>
      </c>
      <c r="H56" s="487">
        <v>438655</v>
      </c>
      <c r="I56" s="487">
        <v>443957</v>
      </c>
      <c r="J56" s="487">
        <v>571374</v>
      </c>
      <c r="K56" s="488">
        <v>935601</v>
      </c>
      <c r="L56" s="487">
        <v>247704</v>
      </c>
      <c r="M56" s="487">
        <v>687897</v>
      </c>
      <c r="N56" s="487">
        <v>162812</v>
      </c>
      <c r="O56" s="487">
        <v>138550</v>
      </c>
      <c r="P56" s="475" t="s">
        <v>648</v>
      </c>
      <c r="Q56" s="487">
        <v>3710</v>
      </c>
      <c r="R56" s="341">
        <v>199965</v>
      </c>
      <c r="S56" s="341">
        <v>72552</v>
      </c>
      <c r="T56" s="341">
        <v>127413</v>
      </c>
      <c r="U56" s="475" t="s">
        <v>648</v>
      </c>
      <c r="V56" s="131" t="s">
        <v>223</v>
      </c>
      <c r="W56" s="185"/>
    </row>
    <row r="57" spans="1:23" s="191" customFormat="1" ht="14.15" customHeight="1" x14ac:dyDescent="0.15">
      <c r="A57" s="185"/>
      <c r="B57" s="486"/>
      <c r="C57" s="485" t="s">
        <v>381</v>
      </c>
      <c r="D57" s="484"/>
      <c r="E57" s="482">
        <v>3473456</v>
      </c>
      <c r="F57" s="482">
        <v>836981</v>
      </c>
      <c r="G57" s="482">
        <v>362540</v>
      </c>
      <c r="H57" s="482">
        <v>297972</v>
      </c>
      <c r="I57" s="482">
        <v>693737</v>
      </c>
      <c r="J57" s="482">
        <v>617090</v>
      </c>
      <c r="K57" s="483">
        <v>665136</v>
      </c>
      <c r="L57" s="482">
        <v>397400</v>
      </c>
      <c r="M57" s="482">
        <v>267736</v>
      </c>
      <c r="N57" s="482">
        <v>282953</v>
      </c>
      <c r="O57" s="482">
        <v>58599</v>
      </c>
      <c r="P57" s="482">
        <v>9322</v>
      </c>
      <c r="Q57" s="482">
        <v>10714</v>
      </c>
      <c r="R57" s="472">
        <v>1372009</v>
      </c>
      <c r="S57" s="472">
        <v>872342</v>
      </c>
      <c r="T57" s="472">
        <v>499667</v>
      </c>
      <c r="U57" s="472">
        <v>114868</v>
      </c>
      <c r="V57" s="481" t="s">
        <v>380</v>
      </c>
      <c r="W57" s="185"/>
    </row>
    <row r="58" spans="1:23" s="138" customFormat="1" ht="14.25" customHeight="1" x14ac:dyDescent="0.2">
      <c r="A58" s="909"/>
      <c r="B58" s="138" t="s">
        <v>379</v>
      </c>
      <c r="E58" s="480"/>
      <c r="F58" s="480"/>
      <c r="G58" s="480"/>
      <c r="H58" s="480"/>
      <c r="I58" s="480"/>
      <c r="J58" s="480"/>
      <c r="L58" s="480"/>
      <c r="M58" s="480"/>
      <c r="N58" s="480" t="s">
        <v>738</v>
      </c>
      <c r="O58" s="480"/>
      <c r="P58" s="480"/>
      <c r="Q58" s="480"/>
      <c r="T58" s="479"/>
      <c r="U58" s="479"/>
      <c r="W58" s="909"/>
    </row>
    <row r="59" spans="1:23" s="191" customFormat="1" ht="14.15" customHeight="1" x14ac:dyDescent="0.15">
      <c r="A59" s="346"/>
      <c r="B59" s="192" t="s">
        <v>1193</v>
      </c>
      <c r="C59" s="139"/>
      <c r="E59" s="478"/>
      <c r="F59" s="478"/>
      <c r="G59" s="478"/>
      <c r="H59" s="478"/>
      <c r="I59" s="478"/>
      <c r="J59" s="478"/>
      <c r="K59" s="478"/>
      <c r="L59" s="478"/>
      <c r="M59" s="478"/>
      <c r="N59" s="193" t="s">
        <v>1194</v>
      </c>
      <c r="O59" s="478"/>
      <c r="P59" s="478"/>
      <c r="Q59" s="478"/>
      <c r="T59" s="319"/>
      <c r="U59" s="319"/>
      <c r="W59" s="320"/>
    </row>
    <row r="60" spans="1:23" x14ac:dyDescent="0.2">
      <c r="A60" s="477"/>
      <c r="B60" s="192" t="s">
        <v>610</v>
      </c>
      <c r="C60" s="240"/>
      <c r="W60" s="348"/>
    </row>
  </sheetData>
  <mergeCells count="4">
    <mergeCell ref="V7:V10"/>
    <mergeCell ref="B8:D8"/>
    <mergeCell ref="B11:C11"/>
    <mergeCell ref="B48:C48"/>
  </mergeCells>
  <phoneticPr fontId="30"/>
  <pageMargins left="0.47244094488188981" right="0.47244094488188981" top="0.59055118110236227" bottom="0.59055118110236227" header="0.23622047244094491" footer="0.15748031496062992"/>
  <pageSetup paperSize="9" scale="91" orientation="portrait" r:id="rId1"/>
  <headerFooter alignWithMargins="0"/>
  <colBreaks count="1" manualBreakCount="1">
    <brk id="13" min="3" max="5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ColWidth="9" defaultRowHeight="13" x14ac:dyDescent="0.2"/>
  <cols>
    <col min="1" max="1" width="2.6328125" style="240" customWidth="1"/>
    <col min="2" max="2" width="3.36328125" style="240" customWidth="1"/>
    <col min="3" max="3" width="3.26953125" style="240" customWidth="1"/>
    <col min="4" max="4" width="6.08984375" style="240" customWidth="1"/>
    <col min="5" max="5" width="0.90625" style="240" customWidth="1"/>
    <col min="6" max="6" width="9.36328125" style="240" customWidth="1"/>
    <col min="7" max="12" width="8.36328125" style="240" customWidth="1"/>
    <col min="13" max="13" width="8.7265625" style="240" customWidth="1"/>
    <col min="14" max="21" width="8.36328125" style="240" customWidth="1"/>
    <col min="22" max="22" width="9.26953125" style="240" customWidth="1"/>
    <col min="23" max="23" width="8.26953125" style="240" customWidth="1"/>
    <col min="24" max="24" width="2.6328125" style="241" customWidth="1"/>
    <col min="25" max="25" width="6.90625" style="240" customWidth="1"/>
    <col min="26" max="16384" width="9" style="240"/>
  </cols>
  <sheetData>
    <row r="1" spans="1:25" ht="16.5" customHeight="1" x14ac:dyDescent="0.25">
      <c r="I1" s="357"/>
      <c r="J1" s="356"/>
      <c r="K1" s="356"/>
      <c r="L1" s="356"/>
      <c r="M1" s="356"/>
      <c r="N1" s="356"/>
      <c r="O1" s="356"/>
      <c r="P1" s="356"/>
      <c r="Q1" s="356"/>
      <c r="R1" s="356"/>
      <c r="T1" s="850"/>
      <c r="X1" s="240"/>
    </row>
    <row r="2" spans="1:25" s="351" customFormat="1" ht="16.5" customHeight="1" x14ac:dyDescent="0.2">
      <c r="A2" s="1026"/>
      <c r="B2" s="1027" t="s">
        <v>1195</v>
      </c>
      <c r="C2" s="1026"/>
      <c r="O2" s="958"/>
      <c r="R2" s="355"/>
      <c r="T2" s="354"/>
      <c r="U2" s="354"/>
      <c r="X2" s="353"/>
      <c r="Y2" s="352"/>
    </row>
    <row r="3" spans="1:25" s="189" customFormat="1" ht="16.5" customHeight="1" x14ac:dyDescent="0.2">
      <c r="A3" s="865"/>
      <c r="B3" s="867"/>
      <c r="C3" s="868" t="s">
        <v>1196</v>
      </c>
      <c r="D3" s="851"/>
      <c r="E3" s="851"/>
      <c r="F3" s="349"/>
      <c r="G3" s="852"/>
      <c r="H3" s="349"/>
      <c r="I3" s="349"/>
      <c r="J3" s="853"/>
      <c r="K3" s="853"/>
      <c r="L3" s="349"/>
      <c r="M3" s="349"/>
      <c r="N3" s="869"/>
      <c r="O3" s="870"/>
      <c r="P3" s="349"/>
      <c r="Q3" s="349"/>
      <c r="R3" s="854"/>
      <c r="S3" s="855"/>
      <c r="T3" s="806"/>
      <c r="U3" s="806"/>
      <c r="V3" s="165" t="s">
        <v>510</v>
      </c>
      <c r="W3" s="349"/>
      <c r="X3" s="348"/>
    </row>
    <row r="4" spans="1:25" s="857" customFormat="1" ht="21" customHeight="1" x14ac:dyDescent="0.15">
      <c r="A4" s="346"/>
      <c r="B4" s="909"/>
      <c r="C4" s="909"/>
      <c r="D4" s="909"/>
      <c r="E4" s="910"/>
      <c r="F4" s="810"/>
      <c r="G4" s="229"/>
      <c r="H4" s="229"/>
      <c r="I4" s="229"/>
      <c r="J4" s="229"/>
      <c r="K4" s="229"/>
      <c r="L4" s="229"/>
      <c r="M4" s="229"/>
      <c r="N4" s="228"/>
      <c r="O4" s="227"/>
      <c r="P4" s="226"/>
      <c r="Q4" s="226"/>
      <c r="R4" s="226"/>
      <c r="S4" s="226"/>
      <c r="T4" s="225"/>
      <c r="U4" s="280"/>
      <c r="V4" s="347"/>
      <c r="W4" s="1083" t="s">
        <v>1197</v>
      </c>
      <c r="X4" s="320"/>
      <c r="Y4" s="856"/>
    </row>
    <row r="5" spans="1:25" s="857" customFormat="1" ht="21" customHeight="1" x14ac:dyDescent="0.15">
      <c r="A5" s="909"/>
      <c r="B5" s="1071" t="s">
        <v>1198</v>
      </c>
      <c r="C5" s="1071"/>
      <c r="D5" s="1071"/>
      <c r="E5" s="1072"/>
      <c r="F5" s="217" t="s">
        <v>252</v>
      </c>
      <c r="G5" s="212" t="s">
        <v>1199</v>
      </c>
      <c r="H5" s="212" t="s">
        <v>1200</v>
      </c>
      <c r="I5" s="212" t="s">
        <v>1201</v>
      </c>
      <c r="J5" s="212" t="s">
        <v>1202</v>
      </c>
      <c r="K5" s="212" t="s">
        <v>1203</v>
      </c>
      <c r="L5" s="212" t="s">
        <v>1204</v>
      </c>
      <c r="M5" s="222"/>
      <c r="N5" s="221"/>
      <c r="O5" s="214" t="s">
        <v>1205</v>
      </c>
      <c r="P5" s="215" t="s">
        <v>1206</v>
      </c>
      <c r="Q5" s="215" t="s">
        <v>1207</v>
      </c>
      <c r="R5" s="215" t="s">
        <v>1208</v>
      </c>
      <c r="S5" s="220" t="s">
        <v>1209</v>
      </c>
      <c r="T5" s="279"/>
      <c r="U5" s="278"/>
      <c r="V5" s="214" t="s">
        <v>1210</v>
      </c>
      <c r="W5" s="1084"/>
      <c r="X5" s="320"/>
      <c r="Y5" s="858" t="s">
        <v>249</v>
      </c>
    </row>
    <row r="6" spans="1:25" s="860" customFormat="1" ht="22" customHeight="1" x14ac:dyDescent="0.15">
      <c r="A6" s="909"/>
      <c r="B6" s="909"/>
      <c r="C6" s="909"/>
      <c r="D6" s="909"/>
      <c r="E6" s="910"/>
      <c r="F6" s="217"/>
      <c r="G6" s="212" t="s">
        <v>249</v>
      </c>
      <c r="H6" s="212" t="s">
        <v>249</v>
      </c>
      <c r="I6" s="859" t="s">
        <v>250</v>
      </c>
      <c r="J6" s="212"/>
      <c r="K6" s="212"/>
      <c r="L6" s="212" t="s">
        <v>249</v>
      </c>
      <c r="M6" s="212" t="s">
        <v>248</v>
      </c>
      <c r="N6" s="216" t="s">
        <v>247</v>
      </c>
      <c r="O6" s="214"/>
      <c r="P6" s="215"/>
      <c r="Q6" s="215"/>
      <c r="R6" s="215"/>
      <c r="S6" s="215"/>
      <c r="T6" s="215" t="s">
        <v>1211</v>
      </c>
      <c r="U6" s="214" t="s">
        <v>1212</v>
      </c>
      <c r="V6" s="213"/>
      <c r="W6" s="1084"/>
      <c r="X6" s="320"/>
      <c r="Y6" s="858" t="s">
        <v>249</v>
      </c>
    </row>
    <row r="7" spans="1:25" s="857" customFormat="1" ht="33.75" customHeight="1" x14ac:dyDescent="0.15">
      <c r="A7" s="346"/>
      <c r="B7" s="911"/>
      <c r="C7" s="911"/>
      <c r="D7" s="911"/>
      <c r="E7" s="912"/>
      <c r="F7" s="211" t="s">
        <v>695</v>
      </c>
      <c r="G7" s="211" t="s">
        <v>246</v>
      </c>
      <c r="H7" s="211" t="s">
        <v>1213</v>
      </c>
      <c r="I7" s="211" t="s">
        <v>1214</v>
      </c>
      <c r="J7" s="211" t="s">
        <v>245</v>
      </c>
      <c r="K7" s="211" t="s">
        <v>1112</v>
      </c>
      <c r="L7" s="211" t="s">
        <v>1215</v>
      </c>
      <c r="M7" s="211" t="s">
        <v>1216</v>
      </c>
      <c r="N7" s="210" t="s">
        <v>1217</v>
      </c>
      <c r="O7" s="209" t="s">
        <v>254</v>
      </c>
      <c r="P7" s="209" t="s">
        <v>244</v>
      </c>
      <c r="Q7" s="209" t="s">
        <v>243</v>
      </c>
      <c r="R7" s="208" t="s">
        <v>242</v>
      </c>
      <c r="S7" s="914" t="s">
        <v>1218</v>
      </c>
      <c r="T7" s="207"/>
      <c r="U7" s="207"/>
      <c r="V7" s="912" t="s">
        <v>1219</v>
      </c>
      <c r="W7" s="1085"/>
      <c r="X7" s="320"/>
      <c r="Y7" s="858" t="s">
        <v>249</v>
      </c>
    </row>
    <row r="8" spans="1:25" s="236" customFormat="1" ht="21" customHeight="1" x14ac:dyDescent="0.2">
      <c r="A8" s="978"/>
      <c r="B8" s="979" t="s">
        <v>261</v>
      </c>
      <c r="C8" s="979" t="s">
        <v>936</v>
      </c>
      <c r="D8" s="1016"/>
      <c r="E8" s="1028"/>
      <c r="F8" s="871">
        <v>216471739</v>
      </c>
      <c r="G8" s="871">
        <v>63118907</v>
      </c>
      <c r="H8" s="871">
        <v>53913040</v>
      </c>
      <c r="I8" s="871">
        <v>4997044</v>
      </c>
      <c r="J8" s="871">
        <v>23028965</v>
      </c>
      <c r="K8" s="871">
        <v>40792112</v>
      </c>
      <c r="L8" s="871">
        <v>30621671</v>
      </c>
      <c r="M8" s="871">
        <v>15551601</v>
      </c>
      <c r="N8" s="871">
        <v>15070070</v>
      </c>
      <c r="O8" s="871">
        <v>2427538</v>
      </c>
      <c r="P8" s="871">
        <v>2682458</v>
      </c>
      <c r="Q8" s="871">
        <v>60272</v>
      </c>
      <c r="R8" s="871">
        <v>51761</v>
      </c>
      <c r="S8" s="871">
        <v>15403828</v>
      </c>
      <c r="T8" s="871">
        <v>10954195</v>
      </c>
      <c r="U8" s="871">
        <v>4449633</v>
      </c>
      <c r="V8" s="871">
        <v>78856911</v>
      </c>
      <c r="W8" s="872" t="s">
        <v>1220</v>
      </c>
      <c r="X8" s="120"/>
      <c r="Y8" s="915"/>
    </row>
    <row r="9" spans="1:25" s="236" customFormat="1" ht="21" customHeight="1" x14ac:dyDescent="0.2">
      <c r="A9" s="978"/>
      <c r="B9" s="982" t="s">
        <v>260</v>
      </c>
      <c r="C9" s="982" t="s">
        <v>1051</v>
      </c>
      <c r="D9" s="1017"/>
      <c r="E9" s="1029"/>
      <c r="F9" s="871">
        <v>206964763</v>
      </c>
      <c r="G9" s="871">
        <v>60028399</v>
      </c>
      <c r="H9" s="871">
        <v>52631697</v>
      </c>
      <c r="I9" s="871">
        <v>4953876</v>
      </c>
      <c r="J9" s="871">
        <v>20415705</v>
      </c>
      <c r="K9" s="871">
        <v>40475141</v>
      </c>
      <c r="L9" s="871">
        <v>28459945</v>
      </c>
      <c r="M9" s="871">
        <v>14699202</v>
      </c>
      <c r="N9" s="871">
        <v>13760743</v>
      </c>
      <c r="O9" s="871">
        <v>2422600</v>
      </c>
      <c r="P9" s="871">
        <v>2577479</v>
      </c>
      <c r="Q9" s="871">
        <v>59396</v>
      </c>
      <c r="R9" s="871">
        <v>54852</v>
      </c>
      <c r="S9" s="871">
        <v>14480911</v>
      </c>
      <c r="T9" s="871">
        <v>10598151</v>
      </c>
      <c r="U9" s="871">
        <v>3882760</v>
      </c>
      <c r="V9" s="871">
        <v>78537026</v>
      </c>
      <c r="W9" s="872" t="s">
        <v>1221</v>
      </c>
      <c r="X9" s="120"/>
      <c r="Y9" s="915"/>
    </row>
    <row r="10" spans="1:25" s="236" customFormat="1" ht="21" customHeight="1" x14ac:dyDescent="0.2">
      <c r="A10" s="978"/>
      <c r="B10" s="982" t="s">
        <v>566</v>
      </c>
      <c r="C10" s="982" t="s">
        <v>939</v>
      </c>
      <c r="D10" s="1017"/>
      <c r="E10" s="1029"/>
      <c r="F10" s="871">
        <v>199542682</v>
      </c>
      <c r="G10" s="871">
        <v>58881876</v>
      </c>
      <c r="H10" s="871">
        <v>51638332</v>
      </c>
      <c r="I10" s="871">
        <v>5017213</v>
      </c>
      <c r="J10" s="871">
        <v>19497557</v>
      </c>
      <c r="K10" s="871">
        <v>39682804</v>
      </c>
      <c r="L10" s="871">
        <v>24824900</v>
      </c>
      <c r="M10" s="871">
        <v>14191244</v>
      </c>
      <c r="N10" s="871">
        <v>10633656</v>
      </c>
      <c r="O10" s="871">
        <v>2335103</v>
      </c>
      <c r="P10" s="871">
        <v>2632677</v>
      </c>
      <c r="Q10" s="871">
        <v>58140</v>
      </c>
      <c r="R10" s="871">
        <v>52465</v>
      </c>
      <c r="S10" s="871">
        <v>14758821</v>
      </c>
      <c r="T10" s="871">
        <v>10683447</v>
      </c>
      <c r="U10" s="871">
        <v>4075374</v>
      </c>
      <c r="V10" s="871">
        <v>73013493</v>
      </c>
      <c r="W10" s="872" t="s">
        <v>940</v>
      </c>
      <c r="X10" s="120"/>
      <c r="Y10" s="915"/>
    </row>
    <row r="11" spans="1:25" s="236" customFormat="1" ht="21" customHeight="1" x14ac:dyDescent="0.2">
      <c r="A11" s="978"/>
      <c r="B11" s="982" t="s">
        <v>260</v>
      </c>
      <c r="C11" s="982" t="s">
        <v>941</v>
      </c>
      <c r="D11" s="1017"/>
      <c r="E11" s="1029"/>
      <c r="F11" s="871">
        <v>183201314</v>
      </c>
      <c r="G11" s="871">
        <v>53624191</v>
      </c>
      <c r="H11" s="871">
        <v>48057741</v>
      </c>
      <c r="I11" s="871">
        <v>3247658</v>
      </c>
      <c r="J11" s="871">
        <v>17917768</v>
      </c>
      <c r="K11" s="871">
        <v>38012781</v>
      </c>
      <c r="L11" s="871">
        <v>22341175</v>
      </c>
      <c r="M11" s="871">
        <v>13177257</v>
      </c>
      <c r="N11" s="871">
        <v>9163918</v>
      </c>
      <c r="O11" s="871">
        <v>2085210</v>
      </c>
      <c r="P11" s="871">
        <v>2675863</v>
      </c>
      <c r="Q11" s="871">
        <v>53086</v>
      </c>
      <c r="R11" s="871">
        <v>47816</v>
      </c>
      <c r="S11" s="871">
        <v>13453526</v>
      </c>
      <c r="T11" s="871">
        <v>10158847</v>
      </c>
      <c r="U11" s="871">
        <v>3294679</v>
      </c>
      <c r="V11" s="871">
        <v>69011495</v>
      </c>
      <c r="W11" s="872" t="s">
        <v>942</v>
      </c>
      <c r="X11" s="120"/>
      <c r="Y11" s="915"/>
    </row>
    <row r="12" spans="1:25" s="236" customFormat="1" ht="21" customHeight="1" x14ac:dyDescent="0.2">
      <c r="A12" s="978"/>
      <c r="B12" s="982" t="s">
        <v>260</v>
      </c>
      <c r="C12" s="982" t="s">
        <v>943</v>
      </c>
      <c r="D12" s="1017"/>
      <c r="E12" s="1029"/>
      <c r="F12" s="871">
        <v>189626877</v>
      </c>
      <c r="G12" s="871">
        <v>54241273</v>
      </c>
      <c r="H12" s="871">
        <v>49673183</v>
      </c>
      <c r="I12" s="871">
        <v>3130857</v>
      </c>
      <c r="J12" s="871">
        <v>17889549</v>
      </c>
      <c r="K12" s="871">
        <v>40268758</v>
      </c>
      <c r="L12" s="871">
        <v>24423257</v>
      </c>
      <c r="M12" s="871">
        <v>13692553</v>
      </c>
      <c r="N12" s="871">
        <v>10730704</v>
      </c>
      <c r="O12" s="871">
        <v>2239322</v>
      </c>
      <c r="P12" s="871">
        <v>2644009</v>
      </c>
      <c r="Q12" s="871">
        <v>58550</v>
      </c>
      <c r="R12" s="871">
        <v>51393</v>
      </c>
      <c r="S12" s="871">
        <v>13992175</v>
      </c>
      <c r="T12" s="871">
        <v>10899758</v>
      </c>
      <c r="U12" s="871">
        <v>3092417</v>
      </c>
      <c r="V12" s="871">
        <v>66864116</v>
      </c>
      <c r="W12" s="872" t="s">
        <v>944</v>
      </c>
      <c r="X12" s="120"/>
      <c r="Y12" s="120"/>
    </row>
    <row r="13" spans="1:25" s="236" customFormat="1" ht="19.5" customHeight="1" x14ac:dyDescent="0.2">
      <c r="A13" s="978"/>
      <c r="B13" s="982"/>
      <c r="C13" s="982"/>
      <c r="D13" s="988"/>
      <c r="E13" s="1030"/>
      <c r="F13" s="871"/>
      <c r="G13" s="871"/>
      <c r="H13" s="871"/>
      <c r="I13" s="871"/>
      <c r="J13" s="871"/>
      <c r="K13" s="871"/>
      <c r="L13" s="871"/>
      <c r="M13" s="871"/>
      <c r="N13" s="871"/>
      <c r="O13" s="871"/>
      <c r="P13" s="871"/>
      <c r="Q13" s="871"/>
      <c r="R13" s="871"/>
      <c r="S13" s="871"/>
      <c r="T13" s="871"/>
      <c r="U13" s="871"/>
      <c r="V13" s="873"/>
      <c r="W13" s="871"/>
      <c r="X13" s="120"/>
      <c r="Y13" s="915"/>
    </row>
    <row r="14" spans="1:25" s="236" customFormat="1" ht="21" customHeight="1" x14ac:dyDescent="0.2">
      <c r="A14" s="978"/>
      <c r="B14" s="982" t="s">
        <v>566</v>
      </c>
      <c r="C14" s="982" t="s">
        <v>945</v>
      </c>
      <c r="D14" s="1018"/>
      <c r="E14" s="1031"/>
      <c r="F14" s="871">
        <v>183554967</v>
      </c>
      <c r="G14" s="871">
        <v>52924510</v>
      </c>
      <c r="H14" s="871">
        <v>48574641</v>
      </c>
      <c r="I14" s="871">
        <v>2719125</v>
      </c>
      <c r="J14" s="871">
        <v>18197629</v>
      </c>
      <c r="K14" s="871">
        <v>38244540</v>
      </c>
      <c r="L14" s="871">
        <v>22894522</v>
      </c>
      <c r="M14" s="871">
        <v>13219140</v>
      </c>
      <c r="N14" s="871">
        <v>9675382</v>
      </c>
      <c r="O14" s="871">
        <v>2103328</v>
      </c>
      <c r="P14" s="871">
        <v>2754197</v>
      </c>
      <c r="Q14" s="871">
        <v>54196</v>
      </c>
      <c r="R14" s="871">
        <v>47761</v>
      </c>
      <c r="S14" s="874">
        <v>13420512</v>
      </c>
      <c r="T14" s="874">
        <v>10265992</v>
      </c>
      <c r="U14" s="874">
        <v>3154520</v>
      </c>
      <c r="V14" s="875">
        <v>69874885</v>
      </c>
      <c r="W14" s="876" t="s">
        <v>946</v>
      </c>
      <c r="X14" s="120"/>
      <c r="Y14" s="321" t="s">
        <v>249</v>
      </c>
    </row>
    <row r="15" spans="1:25" s="236" customFormat="1" ht="21" customHeight="1" x14ac:dyDescent="0.2">
      <c r="A15" s="978"/>
      <c r="B15" s="982" t="s">
        <v>260</v>
      </c>
      <c r="C15" s="982" t="s">
        <v>943</v>
      </c>
      <c r="D15" s="1018"/>
      <c r="E15" s="1031"/>
      <c r="F15" s="871">
        <v>191194400</v>
      </c>
      <c r="G15" s="871">
        <v>54720831</v>
      </c>
      <c r="H15" s="871">
        <v>47602060</v>
      </c>
      <c r="I15" s="871">
        <v>3389159</v>
      </c>
      <c r="J15" s="871">
        <v>18621406</v>
      </c>
      <c r="K15" s="871">
        <v>40803555</v>
      </c>
      <c r="L15" s="871">
        <v>26057389</v>
      </c>
      <c r="M15" s="871">
        <v>14408285</v>
      </c>
      <c r="N15" s="871">
        <v>11649104</v>
      </c>
      <c r="O15" s="871">
        <v>2234060</v>
      </c>
      <c r="P15" s="871">
        <v>2604180</v>
      </c>
      <c r="Q15" s="871">
        <v>57988</v>
      </c>
      <c r="R15" s="871">
        <v>52384</v>
      </c>
      <c r="S15" s="871">
        <v>14688248</v>
      </c>
      <c r="T15" s="871">
        <v>11751284</v>
      </c>
      <c r="U15" s="871">
        <v>2936964</v>
      </c>
      <c r="V15" s="871">
        <v>63628877</v>
      </c>
      <c r="W15" s="876" t="s">
        <v>947</v>
      </c>
      <c r="X15" s="120"/>
      <c r="Y15" s="321"/>
    </row>
    <row r="16" spans="1:25" s="236" customFormat="1" ht="19.5" customHeight="1" x14ac:dyDescent="0.2">
      <c r="A16" s="978"/>
      <c r="B16" s="982"/>
      <c r="C16" s="982"/>
      <c r="D16" s="988"/>
      <c r="E16" s="1030"/>
      <c r="F16" s="871"/>
      <c r="G16" s="871"/>
      <c r="H16" s="871"/>
      <c r="I16" s="871"/>
      <c r="J16" s="871"/>
      <c r="K16" s="871"/>
      <c r="L16" s="871"/>
      <c r="M16" s="871"/>
      <c r="N16" s="871"/>
      <c r="O16" s="871"/>
      <c r="P16" s="871"/>
      <c r="Q16" s="871"/>
      <c r="R16" s="871"/>
      <c r="S16" s="871"/>
      <c r="T16" s="871"/>
      <c r="U16" s="871"/>
      <c r="V16" s="873"/>
      <c r="W16" s="877"/>
      <c r="X16" s="120"/>
      <c r="Y16" s="321"/>
    </row>
    <row r="17" spans="1:25" s="236" customFormat="1" ht="21" customHeight="1" x14ac:dyDescent="0.2">
      <c r="A17" s="978"/>
      <c r="B17" s="982" t="s">
        <v>566</v>
      </c>
      <c r="C17" s="982" t="s">
        <v>948</v>
      </c>
      <c r="D17" s="987" t="s">
        <v>949</v>
      </c>
      <c r="E17" s="1031"/>
      <c r="F17" s="871">
        <v>50613138</v>
      </c>
      <c r="G17" s="871">
        <v>12651619</v>
      </c>
      <c r="H17" s="871">
        <v>13255115</v>
      </c>
      <c r="I17" s="871">
        <v>638561</v>
      </c>
      <c r="J17" s="871">
        <v>7754149</v>
      </c>
      <c r="K17" s="871">
        <v>9551167</v>
      </c>
      <c r="L17" s="871">
        <v>6762527</v>
      </c>
      <c r="M17" s="871">
        <v>3926086</v>
      </c>
      <c r="N17" s="871">
        <v>2836441</v>
      </c>
      <c r="O17" s="871">
        <v>570143</v>
      </c>
      <c r="P17" s="871">
        <v>752873</v>
      </c>
      <c r="Q17" s="871">
        <v>14866</v>
      </c>
      <c r="R17" s="871">
        <v>13306</v>
      </c>
      <c r="S17" s="871">
        <v>4067783</v>
      </c>
      <c r="T17" s="871">
        <v>3291108</v>
      </c>
      <c r="U17" s="871">
        <v>776675</v>
      </c>
      <c r="V17" s="871">
        <v>21042399</v>
      </c>
      <c r="W17" s="878" t="s">
        <v>950</v>
      </c>
      <c r="X17" s="120"/>
      <c r="Y17" s="321"/>
    </row>
    <row r="18" spans="1:25" s="236" customFormat="1" ht="21" customHeight="1" x14ac:dyDescent="0.2">
      <c r="A18" s="978"/>
      <c r="B18" s="982" t="s">
        <v>260</v>
      </c>
      <c r="C18" s="982" t="s">
        <v>260</v>
      </c>
      <c r="D18" s="987" t="s">
        <v>951</v>
      </c>
      <c r="E18" s="1031"/>
      <c r="F18" s="871">
        <v>42704593</v>
      </c>
      <c r="G18" s="871">
        <v>13033694</v>
      </c>
      <c r="H18" s="871">
        <v>11902085</v>
      </c>
      <c r="I18" s="871">
        <v>690463</v>
      </c>
      <c r="J18" s="871">
        <v>2290669</v>
      </c>
      <c r="K18" s="871">
        <v>9842374</v>
      </c>
      <c r="L18" s="871">
        <v>4945308</v>
      </c>
      <c r="M18" s="871">
        <v>2823887</v>
      </c>
      <c r="N18" s="871">
        <v>2121421</v>
      </c>
      <c r="O18" s="871">
        <v>568527</v>
      </c>
      <c r="P18" s="871">
        <v>573340</v>
      </c>
      <c r="Q18" s="871">
        <v>14956</v>
      </c>
      <c r="R18" s="871">
        <v>11156</v>
      </c>
      <c r="S18" s="871">
        <v>3209956</v>
      </c>
      <c r="T18" s="871">
        <v>2354621</v>
      </c>
      <c r="U18" s="871">
        <v>855335</v>
      </c>
      <c r="V18" s="871">
        <v>14105535</v>
      </c>
      <c r="W18" s="879" t="s">
        <v>952</v>
      </c>
      <c r="X18" s="120"/>
      <c r="Y18" s="321"/>
    </row>
    <row r="19" spans="1:25" s="236" customFormat="1" ht="21" customHeight="1" x14ac:dyDescent="0.2">
      <c r="A19" s="978"/>
      <c r="B19" s="982" t="s">
        <v>260</v>
      </c>
      <c r="C19" s="982" t="s">
        <v>260</v>
      </c>
      <c r="D19" s="987" t="s">
        <v>953</v>
      </c>
      <c r="E19" s="1031"/>
      <c r="F19" s="871">
        <v>43607923</v>
      </c>
      <c r="G19" s="871">
        <v>14099837</v>
      </c>
      <c r="H19" s="871">
        <v>11769431</v>
      </c>
      <c r="I19" s="871">
        <v>842924</v>
      </c>
      <c r="J19" s="871">
        <v>1756209</v>
      </c>
      <c r="K19" s="871">
        <v>10050480</v>
      </c>
      <c r="L19" s="871">
        <v>5089042</v>
      </c>
      <c r="M19" s="871">
        <v>2860838</v>
      </c>
      <c r="N19" s="871">
        <v>2228204</v>
      </c>
      <c r="O19" s="871">
        <v>543538</v>
      </c>
      <c r="P19" s="871">
        <v>625850</v>
      </c>
      <c r="Q19" s="871">
        <v>14345</v>
      </c>
      <c r="R19" s="871">
        <v>14235</v>
      </c>
      <c r="S19" s="871">
        <v>3043173</v>
      </c>
      <c r="T19" s="871">
        <v>2230759</v>
      </c>
      <c r="U19" s="871">
        <v>812414</v>
      </c>
      <c r="V19" s="871">
        <v>15851944</v>
      </c>
      <c r="W19" s="880" t="s">
        <v>954</v>
      </c>
      <c r="X19" s="120"/>
      <c r="Y19" s="321" t="s">
        <v>249</v>
      </c>
    </row>
    <row r="20" spans="1:25" s="236" customFormat="1" ht="21" customHeight="1" x14ac:dyDescent="0.2">
      <c r="A20" s="978"/>
      <c r="B20" s="982" t="s">
        <v>260</v>
      </c>
      <c r="C20" s="982" t="s">
        <v>260</v>
      </c>
      <c r="D20" s="987" t="s">
        <v>955</v>
      </c>
      <c r="E20" s="1031"/>
      <c r="F20" s="871">
        <v>52701223</v>
      </c>
      <c r="G20" s="871">
        <v>14456123</v>
      </c>
      <c r="H20" s="871">
        <v>12746552</v>
      </c>
      <c r="I20" s="871">
        <v>958909</v>
      </c>
      <c r="J20" s="871">
        <v>6088522</v>
      </c>
      <c r="K20" s="871">
        <v>10824737</v>
      </c>
      <c r="L20" s="871">
        <v>7626380</v>
      </c>
      <c r="M20" s="871">
        <v>4081742</v>
      </c>
      <c r="N20" s="871">
        <v>3544638</v>
      </c>
      <c r="O20" s="871">
        <v>557114</v>
      </c>
      <c r="P20" s="871">
        <v>691946</v>
      </c>
      <c r="Q20" s="871">
        <v>14383</v>
      </c>
      <c r="R20" s="871">
        <v>12696</v>
      </c>
      <c r="S20" s="871">
        <v>3671263</v>
      </c>
      <c r="T20" s="871">
        <v>3023270</v>
      </c>
      <c r="U20" s="871">
        <v>647993</v>
      </c>
      <c r="V20" s="871">
        <v>15864238</v>
      </c>
      <c r="W20" s="881" t="s">
        <v>956</v>
      </c>
      <c r="X20" s="120"/>
      <c r="Y20" s="321" t="s">
        <v>249</v>
      </c>
    </row>
    <row r="21" spans="1:25" s="236" customFormat="1" ht="21" customHeight="1" x14ac:dyDescent="0.2">
      <c r="A21" s="978"/>
      <c r="B21" s="982" t="s">
        <v>566</v>
      </c>
      <c r="C21" s="982" t="s">
        <v>957</v>
      </c>
      <c r="D21" s="987" t="s">
        <v>958</v>
      </c>
      <c r="E21" s="1031"/>
      <c r="F21" s="871">
        <v>52180661</v>
      </c>
      <c r="G21" s="871">
        <v>13131177</v>
      </c>
      <c r="H21" s="871">
        <v>11183992</v>
      </c>
      <c r="I21" s="871">
        <v>896863</v>
      </c>
      <c r="J21" s="871">
        <v>8486006</v>
      </c>
      <c r="K21" s="871">
        <v>10085964</v>
      </c>
      <c r="L21" s="871">
        <v>8396659</v>
      </c>
      <c r="M21" s="871">
        <v>4641818</v>
      </c>
      <c r="N21" s="871">
        <v>3754841</v>
      </c>
      <c r="O21" s="871">
        <v>564881</v>
      </c>
      <c r="P21" s="871">
        <v>713044</v>
      </c>
      <c r="Q21" s="871">
        <v>14304</v>
      </c>
      <c r="R21" s="871">
        <v>14297</v>
      </c>
      <c r="S21" s="871">
        <v>4763856</v>
      </c>
      <c r="T21" s="871">
        <v>4142634</v>
      </c>
      <c r="U21" s="871">
        <v>621222</v>
      </c>
      <c r="V21" s="871">
        <v>17807160</v>
      </c>
      <c r="W21" s="878" t="s">
        <v>959</v>
      </c>
      <c r="X21" s="120"/>
      <c r="Y21" s="321"/>
    </row>
    <row r="22" spans="1:25" s="236" customFormat="1" ht="19.5" customHeight="1" x14ac:dyDescent="0.2">
      <c r="A22" s="978"/>
      <c r="B22" s="982"/>
      <c r="C22" s="982"/>
      <c r="D22" s="988"/>
      <c r="E22" s="1030"/>
      <c r="F22" s="882"/>
      <c r="G22" s="882"/>
      <c r="H22" s="882"/>
      <c r="I22" s="882"/>
      <c r="J22" s="882"/>
      <c r="K22" s="882"/>
      <c r="L22" s="882"/>
      <c r="M22" s="882"/>
      <c r="N22" s="882"/>
      <c r="O22" s="882"/>
      <c r="P22" s="882"/>
      <c r="Q22" s="882"/>
      <c r="R22" s="882"/>
      <c r="S22" s="882"/>
      <c r="T22" s="882"/>
      <c r="U22" s="882"/>
      <c r="V22" s="883"/>
      <c r="W22" s="877"/>
      <c r="X22" s="120"/>
      <c r="Y22" s="321"/>
    </row>
    <row r="23" spans="1:25" s="236" customFormat="1" ht="21" customHeight="1" x14ac:dyDescent="0.2">
      <c r="A23" s="978"/>
      <c r="B23" s="982" t="s">
        <v>566</v>
      </c>
      <c r="C23" s="982" t="s">
        <v>948</v>
      </c>
      <c r="D23" s="982" t="s">
        <v>960</v>
      </c>
      <c r="E23" s="1032"/>
      <c r="F23" s="871">
        <v>17182823</v>
      </c>
      <c r="G23" s="871">
        <v>4017182</v>
      </c>
      <c r="H23" s="871">
        <v>4349800</v>
      </c>
      <c r="I23" s="871">
        <v>230027</v>
      </c>
      <c r="J23" s="871">
        <v>3223404</v>
      </c>
      <c r="K23" s="871">
        <v>2966284</v>
      </c>
      <c r="L23" s="871">
        <v>2396126</v>
      </c>
      <c r="M23" s="871">
        <v>1368984</v>
      </c>
      <c r="N23" s="871">
        <v>1027142</v>
      </c>
      <c r="O23" s="871">
        <v>170901</v>
      </c>
      <c r="P23" s="871">
        <v>204319</v>
      </c>
      <c r="Q23" s="871">
        <v>4682</v>
      </c>
      <c r="R23" s="871">
        <v>4217</v>
      </c>
      <c r="S23" s="874">
        <v>1432084</v>
      </c>
      <c r="T23" s="874">
        <v>1147948</v>
      </c>
      <c r="U23" s="874">
        <v>284136</v>
      </c>
      <c r="V23" s="875">
        <v>7285909</v>
      </c>
      <c r="W23" s="884" t="s">
        <v>961</v>
      </c>
      <c r="X23" s="120"/>
      <c r="Y23" s="321" t="s">
        <v>249</v>
      </c>
    </row>
    <row r="24" spans="1:25" s="236" customFormat="1" ht="21" customHeight="1" x14ac:dyDescent="0.2">
      <c r="A24" s="978"/>
      <c r="B24" s="982" t="s">
        <v>260</v>
      </c>
      <c r="C24" s="982" t="s">
        <v>260</v>
      </c>
      <c r="D24" s="982" t="s">
        <v>962</v>
      </c>
      <c r="E24" s="1032"/>
      <c r="F24" s="871">
        <v>16416866</v>
      </c>
      <c r="G24" s="871">
        <v>4082556</v>
      </c>
      <c r="H24" s="871">
        <v>4145587</v>
      </c>
      <c r="I24" s="871">
        <v>161173</v>
      </c>
      <c r="J24" s="871">
        <v>2688864</v>
      </c>
      <c r="K24" s="871">
        <v>3125174</v>
      </c>
      <c r="L24" s="871">
        <v>2213512</v>
      </c>
      <c r="M24" s="871">
        <v>1323914</v>
      </c>
      <c r="N24" s="871">
        <v>889598</v>
      </c>
      <c r="O24" s="871">
        <v>179665</v>
      </c>
      <c r="P24" s="871">
        <v>249491</v>
      </c>
      <c r="Q24" s="871">
        <v>4773</v>
      </c>
      <c r="R24" s="871">
        <v>4546</v>
      </c>
      <c r="S24" s="874">
        <v>1316338</v>
      </c>
      <c r="T24" s="874">
        <v>1075336</v>
      </c>
      <c r="U24" s="874">
        <v>241002</v>
      </c>
      <c r="V24" s="875">
        <v>7407497</v>
      </c>
      <c r="W24" s="885" t="s">
        <v>963</v>
      </c>
      <c r="X24" s="120"/>
      <c r="Y24" s="321"/>
    </row>
    <row r="25" spans="1:25" s="236" customFormat="1" ht="21" customHeight="1" x14ac:dyDescent="0.2">
      <c r="A25" s="978"/>
      <c r="B25" s="982" t="s">
        <v>260</v>
      </c>
      <c r="C25" s="982" t="s">
        <v>260</v>
      </c>
      <c r="D25" s="982" t="s">
        <v>964</v>
      </c>
      <c r="E25" s="1032"/>
      <c r="F25" s="871">
        <v>17013449</v>
      </c>
      <c r="G25" s="871">
        <v>4551881</v>
      </c>
      <c r="H25" s="871">
        <v>4759728</v>
      </c>
      <c r="I25" s="871">
        <v>247361</v>
      </c>
      <c r="J25" s="871">
        <v>1841881</v>
      </c>
      <c r="K25" s="871">
        <v>3459709</v>
      </c>
      <c r="L25" s="871">
        <v>2152889</v>
      </c>
      <c r="M25" s="871">
        <v>1233188</v>
      </c>
      <c r="N25" s="871">
        <v>919701</v>
      </c>
      <c r="O25" s="871">
        <v>219577</v>
      </c>
      <c r="P25" s="871">
        <v>299063</v>
      </c>
      <c r="Q25" s="871">
        <v>5411</v>
      </c>
      <c r="R25" s="871">
        <v>4543</v>
      </c>
      <c r="S25" s="874">
        <v>1319361</v>
      </c>
      <c r="T25" s="874">
        <v>1067824</v>
      </c>
      <c r="U25" s="874">
        <v>251537</v>
      </c>
      <c r="V25" s="875">
        <v>6348993</v>
      </c>
      <c r="W25" s="885" t="s">
        <v>965</v>
      </c>
      <c r="X25" s="120"/>
      <c r="Y25" s="321" t="s">
        <v>249</v>
      </c>
    </row>
    <row r="26" spans="1:25" s="236" customFormat="1" ht="21" customHeight="1" x14ac:dyDescent="0.2">
      <c r="A26" s="978"/>
      <c r="B26" s="982" t="s">
        <v>260</v>
      </c>
      <c r="C26" s="982" t="s">
        <v>260</v>
      </c>
      <c r="D26" s="982" t="s">
        <v>966</v>
      </c>
      <c r="E26" s="1032"/>
      <c r="F26" s="871">
        <v>14979801</v>
      </c>
      <c r="G26" s="871">
        <v>4423242</v>
      </c>
      <c r="H26" s="871">
        <v>4133514</v>
      </c>
      <c r="I26" s="871">
        <v>215875</v>
      </c>
      <c r="J26" s="871">
        <v>1052909</v>
      </c>
      <c r="K26" s="871">
        <v>3433198</v>
      </c>
      <c r="L26" s="871">
        <v>1721063</v>
      </c>
      <c r="M26" s="871">
        <v>1014421</v>
      </c>
      <c r="N26" s="871">
        <v>706642</v>
      </c>
      <c r="O26" s="871">
        <v>190786</v>
      </c>
      <c r="P26" s="871">
        <v>198878</v>
      </c>
      <c r="Q26" s="871">
        <v>5261</v>
      </c>
      <c r="R26" s="871">
        <v>4388</v>
      </c>
      <c r="S26" s="874">
        <v>1194258</v>
      </c>
      <c r="T26" s="874">
        <v>889699</v>
      </c>
      <c r="U26" s="874">
        <v>304559</v>
      </c>
      <c r="V26" s="875">
        <v>4530139</v>
      </c>
      <c r="W26" s="885" t="s">
        <v>967</v>
      </c>
      <c r="X26" s="120"/>
      <c r="Y26" s="321"/>
    </row>
    <row r="27" spans="1:25" s="236" customFormat="1" ht="21" customHeight="1" x14ac:dyDescent="0.2">
      <c r="A27" s="978"/>
      <c r="B27" s="982" t="s">
        <v>260</v>
      </c>
      <c r="C27" s="982" t="s">
        <v>260</v>
      </c>
      <c r="D27" s="982" t="s">
        <v>968</v>
      </c>
      <c r="E27" s="1032"/>
      <c r="F27" s="871">
        <v>13722127</v>
      </c>
      <c r="G27" s="871">
        <v>4205795</v>
      </c>
      <c r="H27" s="871">
        <v>4061416</v>
      </c>
      <c r="I27" s="871">
        <v>236909</v>
      </c>
      <c r="J27" s="871">
        <v>691125</v>
      </c>
      <c r="K27" s="871">
        <v>3026658</v>
      </c>
      <c r="L27" s="871">
        <v>1500224</v>
      </c>
      <c r="M27" s="871">
        <v>849824</v>
      </c>
      <c r="N27" s="871">
        <v>650400</v>
      </c>
      <c r="O27" s="871">
        <v>172599</v>
      </c>
      <c r="P27" s="871">
        <v>169028</v>
      </c>
      <c r="Q27" s="871">
        <v>4413</v>
      </c>
      <c r="R27" s="871">
        <v>3571</v>
      </c>
      <c r="S27" s="874">
        <v>1005536</v>
      </c>
      <c r="T27" s="874">
        <v>704185</v>
      </c>
      <c r="U27" s="874">
        <v>301351</v>
      </c>
      <c r="V27" s="875">
        <v>4494909</v>
      </c>
      <c r="W27" s="885" t="s">
        <v>1068</v>
      </c>
      <c r="X27" s="120"/>
      <c r="Y27" s="321" t="s">
        <v>249</v>
      </c>
    </row>
    <row r="28" spans="1:25" s="236" customFormat="1" ht="21" customHeight="1" x14ac:dyDescent="0.2">
      <c r="A28" s="978"/>
      <c r="B28" s="982" t="s">
        <v>260</v>
      </c>
      <c r="C28" s="982" t="s">
        <v>260</v>
      </c>
      <c r="D28" s="982" t="s">
        <v>970</v>
      </c>
      <c r="E28" s="1032"/>
      <c r="F28" s="871">
        <v>14002665</v>
      </c>
      <c r="G28" s="871">
        <v>4404657</v>
      </c>
      <c r="H28" s="871">
        <v>3707155</v>
      </c>
      <c r="I28" s="871">
        <v>237679</v>
      </c>
      <c r="J28" s="871">
        <v>546635</v>
      </c>
      <c r="K28" s="871">
        <v>3382518</v>
      </c>
      <c r="L28" s="871">
        <v>1724021</v>
      </c>
      <c r="M28" s="871">
        <v>959642</v>
      </c>
      <c r="N28" s="871">
        <v>764379</v>
      </c>
      <c r="O28" s="871">
        <v>205142</v>
      </c>
      <c r="P28" s="871">
        <v>205434</v>
      </c>
      <c r="Q28" s="871">
        <v>5282</v>
      </c>
      <c r="R28" s="871">
        <v>3197</v>
      </c>
      <c r="S28" s="874">
        <v>1010162</v>
      </c>
      <c r="T28" s="874">
        <v>760737</v>
      </c>
      <c r="U28" s="874">
        <v>249425</v>
      </c>
      <c r="V28" s="875">
        <v>5080487</v>
      </c>
      <c r="W28" s="885" t="s">
        <v>971</v>
      </c>
      <c r="X28" s="120"/>
      <c r="Y28" s="321"/>
    </row>
    <row r="29" spans="1:25" s="236" customFormat="1" ht="21" customHeight="1" x14ac:dyDescent="0.2">
      <c r="A29" s="978"/>
      <c r="B29" s="982" t="s">
        <v>260</v>
      </c>
      <c r="C29" s="982" t="s">
        <v>260</v>
      </c>
      <c r="D29" s="982" t="s">
        <v>972</v>
      </c>
      <c r="E29" s="1032"/>
      <c r="F29" s="871">
        <v>14349207</v>
      </c>
      <c r="G29" s="871">
        <v>4857663</v>
      </c>
      <c r="H29" s="871">
        <v>3548963</v>
      </c>
      <c r="I29" s="871">
        <v>278395</v>
      </c>
      <c r="J29" s="871">
        <v>484610</v>
      </c>
      <c r="K29" s="871">
        <v>3473166</v>
      </c>
      <c r="L29" s="871">
        <v>1706410</v>
      </c>
      <c r="M29" s="871">
        <v>923781</v>
      </c>
      <c r="N29" s="871">
        <v>782629</v>
      </c>
      <c r="O29" s="871">
        <v>182233</v>
      </c>
      <c r="P29" s="871">
        <v>196910</v>
      </c>
      <c r="Q29" s="871">
        <v>5053</v>
      </c>
      <c r="R29" s="871">
        <v>5218</v>
      </c>
      <c r="S29" s="874">
        <v>1083730</v>
      </c>
      <c r="T29" s="874">
        <v>800324</v>
      </c>
      <c r="U29" s="874">
        <v>283406</v>
      </c>
      <c r="V29" s="875">
        <v>5172171</v>
      </c>
      <c r="W29" s="885" t="s">
        <v>973</v>
      </c>
      <c r="X29" s="120"/>
      <c r="Y29" s="321" t="s">
        <v>249</v>
      </c>
    </row>
    <row r="30" spans="1:25" s="236" customFormat="1" ht="21" customHeight="1" x14ac:dyDescent="0.2">
      <c r="A30" s="978"/>
      <c r="B30" s="982" t="s">
        <v>260</v>
      </c>
      <c r="C30" s="982" t="s">
        <v>260</v>
      </c>
      <c r="D30" s="982" t="s">
        <v>974</v>
      </c>
      <c r="E30" s="1032"/>
      <c r="F30" s="871">
        <v>14585643</v>
      </c>
      <c r="G30" s="871">
        <v>4841636</v>
      </c>
      <c r="H30" s="871">
        <v>4041928</v>
      </c>
      <c r="I30" s="871">
        <v>297189</v>
      </c>
      <c r="J30" s="871">
        <v>538514</v>
      </c>
      <c r="K30" s="871">
        <v>3184144</v>
      </c>
      <c r="L30" s="871">
        <v>1682232</v>
      </c>
      <c r="M30" s="871">
        <v>931766</v>
      </c>
      <c r="N30" s="871">
        <v>750466</v>
      </c>
      <c r="O30" s="871">
        <v>163308</v>
      </c>
      <c r="P30" s="871">
        <v>175018</v>
      </c>
      <c r="Q30" s="871">
        <v>4350</v>
      </c>
      <c r="R30" s="871">
        <v>4489</v>
      </c>
      <c r="S30" s="874">
        <v>932626</v>
      </c>
      <c r="T30" s="874">
        <v>676392</v>
      </c>
      <c r="U30" s="874">
        <v>256234</v>
      </c>
      <c r="V30" s="875">
        <v>5963944</v>
      </c>
      <c r="W30" s="885" t="s">
        <v>975</v>
      </c>
      <c r="X30" s="120"/>
      <c r="Y30" s="321"/>
    </row>
    <row r="31" spans="1:25" s="236" customFormat="1" ht="21" customHeight="1" x14ac:dyDescent="0.2">
      <c r="A31" s="978"/>
      <c r="B31" s="982" t="s">
        <v>260</v>
      </c>
      <c r="C31" s="982" t="s">
        <v>260</v>
      </c>
      <c r="D31" s="982" t="s">
        <v>976</v>
      </c>
      <c r="E31" s="1032"/>
      <c r="F31" s="871">
        <v>14673073</v>
      </c>
      <c r="G31" s="871">
        <v>4400538</v>
      </c>
      <c r="H31" s="871">
        <v>4178540</v>
      </c>
      <c r="I31" s="871">
        <v>267340</v>
      </c>
      <c r="J31" s="871">
        <v>733085</v>
      </c>
      <c r="K31" s="871">
        <v>3393170</v>
      </c>
      <c r="L31" s="871">
        <v>1700400</v>
      </c>
      <c r="M31" s="871">
        <v>1005291</v>
      </c>
      <c r="N31" s="871">
        <v>695109</v>
      </c>
      <c r="O31" s="871">
        <v>197997</v>
      </c>
      <c r="P31" s="871">
        <v>253922</v>
      </c>
      <c r="Q31" s="871">
        <v>4942</v>
      </c>
      <c r="R31" s="871">
        <v>4528</v>
      </c>
      <c r="S31" s="874">
        <v>1026817</v>
      </c>
      <c r="T31" s="874">
        <v>754043</v>
      </c>
      <c r="U31" s="874">
        <v>272774</v>
      </c>
      <c r="V31" s="875">
        <v>4715829</v>
      </c>
      <c r="W31" s="885" t="s">
        <v>977</v>
      </c>
      <c r="X31" s="120"/>
      <c r="Y31" s="321" t="s">
        <v>249</v>
      </c>
    </row>
    <row r="32" spans="1:25" s="236" customFormat="1" ht="21" customHeight="1" x14ac:dyDescent="0.2">
      <c r="A32" s="978"/>
      <c r="B32" s="982" t="s">
        <v>260</v>
      </c>
      <c r="C32" s="982" t="s">
        <v>260</v>
      </c>
      <c r="D32" s="990" t="s">
        <v>1222</v>
      </c>
      <c r="E32" s="1032"/>
      <c r="F32" s="871">
        <v>16502990</v>
      </c>
      <c r="G32" s="871">
        <v>4739319</v>
      </c>
      <c r="H32" s="871">
        <v>4207383</v>
      </c>
      <c r="I32" s="871">
        <v>266373</v>
      </c>
      <c r="J32" s="871">
        <v>1427861</v>
      </c>
      <c r="K32" s="871">
        <v>3600428</v>
      </c>
      <c r="L32" s="871">
        <v>2261626</v>
      </c>
      <c r="M32" s="871">
        <v>1204875</v>
      </c>
      <c r="N32" s="871">
        <v>1056751</v>
      </c>
      <c r="O32" s="871">
        <v>180129</v>
      </c>
      <c r="P32" s="871">
        <v>247749</v>
      </c>
      <c r="Q32" s="871">
        <v>4816</v>
      </c>
      <c r="R32" s="871">
        <v>3829</v>
      </c>
      <c r="S32" s="874">
        <v>1025747</v>
      </c>
      <c r="T32" s="874">
        <v>805799</v>
      </c>
      <c r="U32" s="874">
        <v>219948</v>
      </c>
      <c r="V32" s="875">
        <v>4133429</v>
      </c>
      <c r="W32" s="885" t="s">
        <v>979</v>
      </c>
      <c r="X32" s="120"/>
      <c r="Y32" s="321"/>
    </row>
    <row r="33" spans="1:25" s="236" customFormat="1" ht="21" customHeight="1" x14ac:dyDescent="0.2">
      <c r="A33" s="978"/>
      <c r="B33" s="982" t="s">
        <v>260</v>
      </c>
      <c r="C33" s="982" t="s">
        <v>260</v>
      </c>
      <c r="D33" s="990" t="s">
        <v>1223</v>
      </c>
      <c r="E33" s="1032"/>
      <c r="F33" s="871">
        <v>16092645</v>
      </c>
      <c r="G33" s="871">
        <v>4560205</v>
      </c>
      <c r="H33" s="871">
        <v>3831329</v>
      </c>
      <c r="I33" s="871">
        <v>327153</v>
      </c>
      <c r="J33" s="871">
        <v>1564751</v>
      </c>
      <c r="K33" s="871">
        <v>3465097</v>
      </c>
      <c r="L33" s="871">
        <v>2344110</v>
      </c>
      <c r="M33" s="871">
        <v>1244786</v>
      </c>
      <c r="N33" s="871">
        <v>1099324</v>
      </c>
      <c r="O33" s="871">
        <v>185311</v>
      </c>
      <c r="P33" s="871">
        <v>227937</v>
      </c>
      <c r="Q33" s="871">
        <v>4892</v>
      </c>
      <c r="R33" s="871">
        <v>4554</v>
      </c>
      <c r="S33" s="874">
        <v>1127864</v>
      </c>
      <c r="T33" s="874">
        <v>922601</v>
      </c>
      <c r="U33" s="874">
        <v>205263</v>
      </c>
      <c r="V33" s="875">
        <v>5394496</v>
      </c>
      <c r="W33" s="885" t="s">
        <v>981</v>
      </c>
      <c r="X33" s="120"/>
      <c r="Y33" s="321"/>
    </row>
    <row r="34" spans="1:25" s="236" customFormat="1" ht="21" customHeight="1" x14ac:dyDescent="0.2">
      <c r="A34" s="978"/>
      <c r="B34" s="982" t="s">
        <v>260</v>
      </c>
      <c r="C34" s="982" t="s">
        <v>260</v>
      </c>
      <c r="D34" s="990" t="s">
        <v>1072</v>
      </c>
      <c r="E34" s="1032"/>
      <c r="F34" s="871">
        <v>20105588</v>
      </c>
      <c r="G34" s="871">
        <v>5156599</v>
      </c>
      <c r="H34" s="871">
        <v>4707840</v>
      </c>
      <c r="I34" s="871">
        <v>365383</v>
      </c>
      <c r="J34" s="871">
        <v>3095910</v>
      </c>
      <c r="K34" s="871">
        <v>3759212</v>
      </c>
      <c r="L34" s="871">
        <v>3020644</v>
      </c>
      <c r="M34" s="871">
        <v>1632081</v>
      </c>
      <c r="N34" s="871">
        <v>1388563</v>
      </c>
      <c r="O34" s="871">
        <v>191674</v>
      </c>
      <c r="P34" s="871">
        <v>216260</v>
      </c>
      <c r="Q34" s="871">
        <v>4675</v>
      </c>
      <c r="R34" s="871">
        <v>4313</v>
      </c>
      <c r="S34" s="874">
        <v>1517652</v>
      </c>
      <c r="T34" s="874">
        <v>1294870</v>
      </c>
      <c r="U34" s="874">
        <v>222782</v>
      </c>
      <c r="V34" s="875">
        <v>6336313</v>
      </c>
      <c r="W34" s="885" t="s">
        <v>983</v>
      </c>
      <c r="X34" s="120"/>
      <c r="Y34" s="321" t="s">
        <v>249</v>
      </c>
    </row>
    <row r="35" spans="1:25" s="236" customFormat="1" ht="19.5" customHeight="1" x14ac:dyDescent="0.2">
      <c r="A35" s="978"/>
      <c r="B35" s="982"/>
      <c r="C35" s="982"/>
      <c r="D35" s="982"/>
      <c r="E35" s="1032"/>
      <c r="F35" s="871"/>
      <c r="G35" s="882"/>
      <c r="H35" s="882"/>
      <c r="I35" s="882"/>
      <c r="J35" s="871"/>
      <c r="K35" s="871"/>
      <c r="L35" s="871"/>
      <c r="M35" s="871"/>
      <c r="N35" s="871"/>
      <c r="O35" s="871"/>
      <c r="P35" s="871"/>
      <c r="Q35" s="871"/>
      <c r="R35" s="871"/>
      <c r="S35" s="874"/>
      <c r="T35" s="874"/>
      <c r="U35" s="874"/>
      <c r="V35" s="875"/>
      <c r="W35" s="886"/>
      <c r="X35" s="120"/>
      <c r="Y35" s="321"/>
    </row>
    <row r="36" spans="1:25" s="236" customFormat="1" ht="21" customHeight="1" x14ac:dyDescent="0.2">
      <c r="A36" s="978"/>
      <c r="B36" s="982" t="s">
        <v>566</v>
      </c>
      <c r="C36" s="982" t="s">
        <v>957</v>
      </c>
      <c r="D36" s="982" t="s">
        <v>984</v>
      </c>
      <c r="E36" s="1032"/>
      <c r="F36" s="871">
        <v>18541163</v>
      </c>
      <c r="G36" s="871">
        <v>4411219</v>
      </c>
      <c r="H36" s="871">
        <v>4272902</v>
      </c>
      <c r="I36" s="871">
        <v>333217</v>
      </c>
      <c r="J36" s="871">
        <v>3295478</v>
      </c>
      <c r="K36" s="871">
        <v>3170952</v>
      </c>
      <c r="L36" s="871">
        <v>3057395</v>
      </c>
      <c r="M36" s="871">
        <v>1608884</v>
      </c>
      <c r="N36" s="871">
        <v>1448511</v>
      </c>
      <c r="O36" s="871">
        <v>169909</v>
      </c>
      <c r="P36" s="871">
        <v>239502</v>
      </c>
      <c r="Q36" s="871">
        <v>4284</v>
      </c>
      <c r="R36" s="871">
        <v>4532</v>
      </c>
      <c r="S36" s="874">
        <v>1473515</v>
      </c>
      <c r="T36" s="874">
        <v>1281315</v>
      </c>
      <c r="U36" s="874">
        <v>192200</v>
      </c>
      <c r="V36" s="875">
        <v>5968056</v>
      </c>
      <c r="W36" s="884" t="s">
        <v>985</v>
      </c>
      <c r="X36" s="120"/>
      <c r="Y36" s="321" t="s">
        <v>249</v>
      </c>
    </row>
    <row r="37" spans="1:25" s="236" customFormat="1" ht="21" customHeight="1" x14ac:dyDescent="0.2">
      <c r="A37" s="978"/>
      <c r="B37" s="982" t="s">
        <v>260</v>
      </c>
      <c r="C37" s="982" t="s">
        <v>260</v>
      </c>
      <c r="D37" s="982" t="s">
        <v>962</v>
      </c>
      <c r="E37" s="1032"/>
      <c r="F37" s="871">
        <v>16645987</v>
      </c>
      <c r="G37" s="871">
        <v>4046761</v>
      </c>
      <c r="H37" s="871">
        <v>3449593</v>
      </c>
      <c r="I37" s="871">
        <v>235927</v>
      </c>
      <c r="J37" s="871">
        <v>3051058</v>
      </c>
      <c r="K37" s="871">
        <v>3238794</v>
      </c>
      <c r="L37" s="871">
        <v>2623854</v>
      </c>
      <c r="M37" s="871">
        <v>1518286</v>
      </c>
      <c r="N37" s="871">
        <v>1105568</v>
      </c>
      <c r="O37" s="871">
        <v>178752</v>
      </c>
      <c r="P37" s="871">
        <v>228137</v>
      </c>
      <c r="Q37" s="871">
        <v>4639</v>
      </c>
      <c r="R37" s="871">
        <v>4703</v>
      </c>
      <c r="S37" s="874">
        <v>1613732</v>
      </c>
      <c r="T37" s="874">
        <v>1398226</v>
      </c>
      <c r="U37" s="874">
        <v>215506</v>
      </c>
      <c r="V37" s="875">
        <v>6214083</v>
      </c>
      <c r="W37" s="885" t="s">
        <v>963</v>
      </c>
      <c r="X37" s="120"/>
      <c r="Y37" s="321"/>
    </row>
    <row r="38" spans="1:25" s="236" customFormat="1" ht="21" customHeight="1" x14ac:dyDescent="0.2">
      <c r="A38" s="978"/>
      <c r="B38" s="991" t="s">
        <v>260</v>
      </c>
      <c r="C38" s="991" t="s">
        <v>260</v>
      </c>
      <c r="D38" s="992" t="s">
        <v>986</v>
      </c>
      <c r="E38" s="1033"/>
      <c r="F38" s="887">
        <v>16993511</v>
      </c>
      <c r="G38" s="888">
        <v>4673197</v>
      </c>
      <c r="H38" s="888">
        <v>3461497</v>
      </c>
      <c r="I38" s="888">
        <v>327719</v>
      </c>
      <c r="J38" s="888">
        <v>2139470</v>
      </c>
      <c r="K38" s="888">
        <v>3676218</v>
      </c>
      <c r="L38" s="888">
        <v>2715410</v>
      </c>
      <c r="M38" s="888">
        <v>1514648</v>
      </c>
      <c r="N38" s="888">
        <v>1200762</v>
      </c>
      <c r="O38" s="888">
        <v>216220</v>
      </c>
      <c r="P38" s="888">
        <v>245405</v>
      </c>
      <c r="Q38" s="888">
        <v>5381</v>
      </c>
      <c r="R38" s="888">
        <v>5062</v>
      </c>
      <c r="S38" s="889">
        <v>1676609</v>
      </c>
      <c r="T38" s="889">
        <v>1463093</v>
      </c>
      <c r="U38" s="889">
        <v>213516</v>
      </c>
      <c r="V38" s="890">
        <v>5625021</v>
      </c>
      <c r="W38" s="891" t="s">
        <v>965</v>
      </c>
      <c r="X38" s="120"/>
      <c r="Y38" s="321" t="s">
        <v>249</v>
      </c>
    </row>
    <row r="39" spans="1:25" s="861" customFormat="1" ht="21" customHeight="1" x14ac:dyDescent="0.15">
      <c r="A39" s="909"/>
      <c r="B39" s="192" t="s">
        <v>1132</v>
      </c>
      <c r="C39" s="139"/>
      <c r="D39" s="915"/>
      <c r="E39" s="180"/>
      <c r="F39" s="320"/>
      <c r="G39" s="320"/>
      <c r="H39" s="320"/>
      <c r="I39" s="191"/>
      <c r="J39" s="319"/>
      <c r="K39" s="191"/>
      <c r="L39" s="192"/>
      <c r="M39" s="192"/>
      <c r="N39" s="192"/>
      <c r="O39" s="193" t="s">
        <v>1224</v>
      </c>
      <c r="P39" s="862"/>
      <c r="Q39" s="192"/>
      <c r="R39" s="192"/>
      <c r="S39" s="191"/>
      <c r="T39" s="191"/>
      <c r="U39" s="191"/>
      <c r="V39" s="191"/>
      <c r="W39" s="318"/>
      <c r="X39" s="909"/>
    </row>
    <row r="40" spans="1:25" ht="21" customHeight="1" x14ac:dyDescent="0.2">
      <c r="A40" s="244"/>
      <c r="B40" s="192" t="s">
        <v>1078</v>
      </c>
      <c r="D40" s="467"/>
    </row>
  </sheetData>
  <mergeCells count="2">
    <mergeCell ref="W4:W7"/>
    <mergeCell ref="B5:E5"/>
  </mergeCells>
  <phoneticPr fontId="30"/>
  <pageMargins left="0.47244094488188981" right="0.47244094488188981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39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W224"/>
  <sheetViews>
    <sheetView view="pageBreakPreview" zoomScaleNormal="100" zoomScaleSheetLayoutView="100" workbookViewId="0">
      <selection activeCell="A2" sqref="A2"/>
    </sheetView>
  </sheetViews>
  <sheetFormatPr defaultColWidth="9" defaultRowHeight="9.5" x14ac:dyDescent="0.15"/>
  <cols>
    <col min="1" max="1" width="2.90625" style="545" customWidth="1"/>
    <col min="2" max="2" width="3.36328125" style="545" customWidth="1"/>
    <col min="3" max="3" width="6.08984375" style="545" customWidth="1"/>
    <col min="4" max="4" width="4.453125" style="545" customWidth="1"/>
    <col min="5" max="5" width="9.26953125" style="545" customWidth="1"/>
    <col min="6" max="6" width="9.7265625" style="545" customWidth="1"/>
    <col min="7" max="21" width="8.7265625" style="545" customWidth="1"/>
    <col min="22" max="22" width="4.7265625" style="547" customWidth="1"/>
    <col min="23" max="23" width="21.1796875" style="547" customWidth="1"/>
    <col min="24" max="24" width="6.6328125" style="547" customWidth="1"/>
    <col min="25" max="25" width="7.453125" style="547" customWidth="1"/>
    <col min="26" max="26" width="2.453125" style="545" customWidth="1"/>
    <col min="27" max="27" width="1.08984375" style="546" customWidth="1"/>
    <col min="28" max="36" width="9" style="545"/>
    <col min="37" max="154" width="9" style="543"/>
    <col min="155" max="205" width="9" style="544"/>
    <col min="206" max="16384" width="9" style="543"/>
  </cols>
  <sheetData>
    <row r="1" spans="1:205" s="608" customFormat="1" ht="13.5" customHeight="1" x14ac:dyDescent="0.15">
      <c r="A1" s="610"/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2"/>
      <c r="W1" s="612"/>
      <c r="X1" s="612"/>
      <c r="Y1" s="612"/>
      <c r="Z1" s="613"/>
      <c r="AA1" s="611"/>
      <c r="AB1" s="610"/>
      <c r="AC1" s="610"/>
      <c r="AD1" s="610"/>
      <c r="AE1" s="610"/>
      <c r="AF1" s="610"/>
      <c r="AG1" s="610"/>
      <c r="AH1" s="610"/>
      <c r="AI1" s="610"/>
      <c r="AJ1" s="610"/>
      <c r="EY1" s="609"/>
      <c r="EZ1" s="609"/>
      <c r="FA1" s="609"/>
      <c r="FB1" s="609"/>
      <c r="FC1" s="609"/>
      <c r="FD1" s="609"/>
      <c r="FE1" s="609"/>
      <c r="FF1" s="609"/>
      <c r="FG1" s="609"/>
      <c r="FH1" s="609"/>
      <c r="FI1" s="609"/>
      <c r="FJ1" s="609"/>
      <c r="FK1" s="609"/>
      <c r="FL1" s="609"/>
      <c r="FM1" s="609"/>
      <c r="FN1" s="609"/>
      <c r="FO1" s="609"/>
      <c r="FP1" s="609"/>
      <c r="FQ1" s="609"/>
      <c r="FR1" s="609"/>
      <c r="FS1" s="609"/>
      <c r="FT1" s="609"/>
      <c r="FU1" s="609"/>
      <c r="FV1" s="609"/>
      <c r="FW1" s="609"/>
      <c r="FX1" s="609"/>
      <c r="FY1" s="609"/>
      <c r="FZ1" s="609"/>
      <c r="GA1" s="609"/>
      <c r="GB1" s="609"/>
      <c r="GC1" s="609"/>
      <c r="GD1" s="609"/>
      <c r="GE1" s="609"/>
      <c r="GF1" s="609"/>
      <c r="GG1" s="609"/>
      <c r="GH1" s="609"/>
      <c r="GI1" s="609"/>
      <c r="GJ1" s="609"/>
      <c r="GK1" s="609"/>
      <c r="GL1" s="609"/>
      <c r="GM1" s="609"/>
      <c r="GN1" s="609"/>
      <c r="GO1" s="609"/>
      <c r="GP1" s="609"/>
      <c r="GQ1" s="609"/>
      <c r="GR1" s="609"/>
      <c r="GS1" s="609"/>
      <c r="GT1" s="609"/>
      <c r="GU1" s="609"/>
      <c r="GV1" s="609"/>
      <c r="GW1" s="609"/>
    </row>
    <row r="2" spans="1:205" s="608" customFormat="1" ht="21" customHeight="1" x14ac:dyDescent="0.2">
      <c r="A2" s="1034"/>
      <c r="B2" s="1034" t="s">
        <v>396</v>
      </c>
      <c r="C2" s="1035"/>
      <c r="D2" s="1035"/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P2" s="610"/>
      <c r="Q2" s="610"/>
      <c r="R2" s="610"/>
      <c r="S2" s="610"/>
      <c r="T2" s="610"/>
      <c r="U2" s="610"/>
      <c r="V2" s="612"/>
      <c r="W2" s="612"/>
      <c r="X2" s="612"/>
      <c r="Y2" s="612"/>
      <c r="Z2" s="610"/>
      <c r="AA2" s="611"/>
      <c r="AB2" s="610"/>
      <c r="AC2" s="610"/>
      <c r="EY2" s="609"/>
      <c r="EZ2" s="609"/>
      <c r="FA2" s="609"/>
      <c r="FB2" s="609"/>
      <c r="FC2" s="609"/>
      <c r="FD2" s="609"/>
      <c r="FE2" s="609"/>
      <c r="FF2" s="609"/>
      <c r="FG2" s="609"/>
      <c r="FH2" s="609"/>
      <c r="FI2" s="609"/>
      <c r="FJ2" s="609"/>
      <c r="FK2" s="609"/>
      <c r="FL2" s="609"/>
      <c r="FM2" s="609"/>
      <c r="FN2" s="609"/>
      <c r="FO2" s="609"/>
      <c r="FP2" s="609"/>
      <c r="FQ2" s="609"/>
      <c r="FR2" s="609"/>
      <c r="FS2" s="609"/>
      <c r="FT2" s="609"/>
      <c r="FU2" s="609"/>
      <c r="FV2" s="609"/>
      <c r="FW2" s="609"/>
      <c r="FX2" s="609"/>
      <c r="FY2" s="609"/>
      <c r="FZ2" s="609"/>
      <c r="GA2" s="609"/>
      <c r="GB2" s="609"/>
      <c r="GC2" s="609"/>
      <c r="GD2" s="609"/>
      <c r="GE2" s="609"/>
      <c r="GF2" s="609"/>
      <c r="GG2" s="609"/>
      <c r="GH2" s="609"/>
      <c r="GI2" s="609"/>
      <c r="GJ2" s="609"/>
      <c r="GK2" s="609"/>
      <c r="GL2" s="609"/>
      <c r="GM2" s="609"/>
      <c r="GN2" s="609"/>
      <c r="GO2" s="609"/>
      <c r="GP2" s="609"/>
      <c r="GQ2" s="609"/>
      <c r="GR2" s="609"/>
      <c r="GS2" s="609"/>
      <c r="GT2" s="609"/>
      <c r="GU2" s="609"/>
      <c r="GV2" s="609"/>
      <c r="GW2" s="609"/>
    </row>
    <row r="3" spans="1:205" ht="18" customHeight="1" x14ac:dyDescent="0.2">
      <c r="A3" s="545" t="s">
        <v>239</v>
      </c>
      <c r="B3" s="607" t="s">
        <v>1225</v>
      </c>
      <c r="C3" s="606"/>
      <c r="G3" s="547"/>
      <c r="J3" s="605"/>
      <c r="U3" s="603" t="s">
        <v>1226</v>
      </c>
      <c r="Y3" s="604"/>
      <c r="Z3" s="603"/>
      <c r="AD3" s="543"/>
      <c r="AE3" s="543"/>
      <c r="AF3" s="543"/>
      <c r="AG3" s="543"/>
      <c r="AH3" s="543"/>
      <c r="AI3" s="543"/>
      <c r="AJ3" s="543"/>
      <c r="EY3" s="602"/>
      <c r="EZ3" s="602"/>
      <c r="FA3" s="602"/>
      <c r="FB3" s="602"/>
      <c r="FC3" s="602"/>
      <c r="FD3" s="602"/>
      <c r="FE3" s="602"/>
      <c r="FF3" s="602"/>
      <c r="FG3" s="602"/>
      <c r="FH3" s="602"/>
      <c r="FI3" s="602"/>
      <c r="FJ3" s="602"/>
      <c r="FK3" s="602"/>
      <c r="FL3" s="602"/>
      <c r="FM3" s="602"/>
      <c r="FN3" s="602"/>
      <c r="FO3" s="602"/>
      <c r="FP3" s="602"/>
      <c r="FQ3" s="602"/>
      <c r="FR3" s="602"/>
      <c r="FS3" s="602"/>
      <c r="FT3" s="602"/>
      <c r="FU3" s="602"/>
      <c r="FV3" s="602"/>
      <c r="FW3" s="602"/>
      <c r="FX3" s="602"/>
      <c r="FY3" s="602"/>
      <c r="FZ3" s="602"/>
      <c r="GA3" s="602"/>
      <c r="GB3" s="602"/>
      <c r="GC3" s="602"/>
      <c r="GD3" s="602"/>
      <c r="GE3" s="602"/>
      <c r="GF3" s="602"/>
      <c r="GG3" s="602"/>
      <c r="GH3" s="602"/>
      <c r="GI3" s="602"/>
      <c r="GJ3" s="602"/>
      <c r="GK3" s="602"/>
      <c r="GL3" s="602"/>
      <c r="GM3" s="602"/>
      <c r="GN3" s="602"/>
      <c r="GO3" s="602"/>
      <c r="GP3" s="602"/>
      <c r="GQ3" s="602"/>
      <c r="GR3" s="602"/>
      <c r="GS3" s="602"/>
      <c r="GT3" s="602"/>
      <c r="GU3" s="602"/>
      <c r="GV3" s="602"/>
      <c r="GW3" s="602"/>
    </row>
    <row r="4" spans="1:205" s="239" customFormat="1" ht="20.25" customHeight="1" x14ac:dyDescent="0.15">
      <c r="A4" s="32"/>
      <c r="B4" s="1102" t="s">
        <v>640</v>
      </c>
      <c r="C4" s="1102"/>
      <c r="D4" s="1102"/>
      <c r="E4" s="1102"/>
      <c r="F4" s="892">
        <v>44197</v>
      </c>
      <c r="G4" s="601">
        <v>44197</v>
      </c>
      <c r="H4" s="601">
        <v>44228</v>
      </c>
      <c r="I4" s="601">
        <v>44256</v>
      </c>
      <c r="J4" s="601">
        <v>44287</v>
      </c>
      <c r="K4" s="601">
        <v>44317</v>
      </c>
      <c r="L4" s="601">
        <v>44348</v>
      </c>
      <c r="M4" s="601">
        <v>44378</v>
      </c>
      <c r="N4" s="601">
        <v>44409</v>
      </c>
      <c r="O4" s="601">
        <v>44440</v>
      </c>
      <c r="P4" s="601">
        <v>44470</v>
      </c>
      <c r="Q4" s="601">
        <v>44501</v>
      </c>
      <c r="R4" s="601">
        <v>44531</v>
      </c>
      <c r="S4" s="893">
        <v>44562</v>
      </c>
      <c r="T4" s="601">
        <v>44593</v>
      </c>
      <c r="U4" s="601">
        <v>44621</v>
      </c>
      <c r="V4" s="1104" t="s">
        <v>251</v>
      </c>
      <c r="W4" s="1105"/>
      <c r="X4" s="1105"/>
      <c r="Y4" s="1105"/>
      <c r="Z4" s="595"/>
      <c r="AA4" s="568"/>
      <c r="AB4" s="580"/>
      <c r="EX4" s="600"/>
      <c r="EY4" s="568"/>
      <c r="EZ4" s="568"/>
      <c r="FA4" s="568"/>
      <c r="FB4" s="568"/>
      <c r="FC4" s="556"/>
      <c r="FD4" s="556"/>
      <c r="FE4" s="556"/>
      <c r="FF4" s="556"/>
      <c r="FG4" s="556"/>
      <c r="FH4" s="556"/>
      <c r="FI4" s="556"/>
      <c r="FJ4" s="556"/>
      <c r="FK4" s="556"/>
      <c r="FL4" s="556"/>
      <c r="FM4" s="556"/>
      <c r="FN4" s="556"/>
      <c r="FO4" s="556"/>
      <c r="FP4" s="556"/>
      <c r="FQ4" s="556"/>
      <c r="FR4" s="556"/>
      <c r="FS4" s="556"/>
      <c r="FT4" s="556"/>
      <c r="FU4" s="556"/>
      <c r="FV4" s="556"/>
      <c r="FW4" s="600"/>
      <c r="FX4" s="568"/>
      <c r="FY4" s="568"/>
      <c r="FZ4" s="568"/>
      <c r="GA4" s="568"/>
      <c r="GB4" s="556"/>
      <c r="GC4" s="556"/>
      <c r="GD4" s="556"/>
      <c r="GE4" s="556"/>
      <c r="GF4" s="556"/>
      <c r="GG4" s="556"/>
      <c r="GH4" s="556"/>
      <c r="GI4" s="556"/>
      <c r="GJ4" s="556"/>
      <c r="GK4" s="556"/>
      <c r="GL4" s="556"/>
      <c r="GM4" s="556"/>
      <c r="GN4" s="556"/>
      <c r="GO4" s="556"/>
      <c r="GP4" s="556"/>
      <c r="GQ4" s="556"/>
      <c r="GR4" s="556"/>
      <c r="GS4" s="556"/>
      <c r="GT4" s="556"/>
      <c r="GU4" s="556"/>
      <c r="GV4" s="556"/>
      <c r="GW4" s="556"/>
    </row>
    <row r="5" spans="1:205" s="239" customFormat="1" ht="20.25" customHeight="1" x14ac:dyDescent="0.15">
      <c r="A5" s="568"/>
      <c r="B5" s="1103"/>
      <c r="C5" s="1103"/>
      <c r="D5" s="1103"/>
      <c r="E5" s="1103"/>
      <c r="F5" s="599">
        <v>44197</v>
      </c>
      <c r="G5" s="597">
        <v>44197</v>
      </c>
      <c r="H5" s="596">
        <v>44228</v>
      </c>
      <c r="I5" s="596">
        <v>44256</v>
      </c>
      <c r="J5" s="596">
        <v>44287</v>
      </c>
      <c r="K5" s="598">
        <v>44317</v>
      </c>
      <c r="L5" s="596">
        <v>44348</v>
      </c>
      <c r="M5" s="596">
        <v>44378</v>
      </c>
      <c r="N5" s="596">
        <v>44409</v>
      </c>
      <c r="O5" s="596">
        <v>44440</v>
      </c>
      <c r="P5" s="596">
        <v>44470</v>
      </c>
      <c r="Q5" s="596">
        <v>44501</v>
      </c>
      <c r="R5" s="596">
        <v>44531</v>
      </c>
      <c r="S5" s="597">
        <v>44562</v>
      </c>
      <c r="T5" s="596">
        <v>44593</v>
      </c>
      <c r="U5" s="596">
        <v>44621</v>
      </c>
      <c r="V5" s="1106"/>
      <c r="W5" s="1107"/>
      <c r="X5" s="1107"/>
      <c r="Y5" s="1107"/>
      <c r="Z5" s="595"/>
      <c r="AA5" s="568"/>
      <c r="AB5" s="568"/>
      <c r="AC5" s="556"/>
      <c r="AD5" s="556"/>
      <c r="EX5" s="1108"/>
      <c r="EY5" s="1108"/>
      <c r="EZ5" s="1108"/>
      <c r="FA5" s="568"/>
      <c r="FB5" s="568"/>
      <c r="FC5" s="568"/>
      <c r="FD5" s="568"/>
      <c r="FE5" s="568"/>
      <c r="FF5" s="568"/>
      <c r="FG5" s="568"/>
      <c r="FH5" s="568"/>
      <c r="FI5" s="568"/>
      <c r="FJ5" s="568"/>
      <c r="FK5" s="568"/>
      <c r="FL5" s="568"/>
      <c r="FM5" s="568"/>
      <c r="FN5" s="568"/>
      <c r="FO5" s="568"/>
      <c r="FP5" s="568"/>
      <c r="FQ5" s="568"/>
      <c r="FR5" s="568"/>
      <c r="FS5" s="568"/>
      <c r="FT5" s="568"/>
      <c r="FU5" s="568"/>
      <c r="FV5" s="556"/>
      <c r="FW5" s="1108"/>
      <c r="FX5" s="1108"/>
      <c r="FY5" s="1108"/>
      <c r="FZ5" s="568"/>
      <c r="GA5" s="568"/>
      <c r="GB5" s="568"/>
      <c r="GC5" s="568"/>
      <c r="GD5" s="568"/>
      <c r="GE5" s="568"/>
      <c r="GF5" s="568"/>
      <c r="GG5" s="568"/>
      <c r="GH5" s="568"/>
      <c r="GI5" s="568"/>
      <c r="GJ5" s="568"/>
      <c r="GK5" s="568"/>
      <c r="GL5" s="568"/>
      <c r="GM5" s="568"/>
      <c r="GN5" s="568"/>
      <c r="GO5" s="568"/>
      <c r="GP5" s="568"/>
      <c r="GQ5" s="568"/>
      <c r="GR5" s="568"/>
      <c r="GS5" s="568"/>
      <c r="GT5" s="568"/>
      <c r="GU5" s="556"/>
      <c r="GV5" s="556"/>
      <c r="GW5" s="556"/>
    </row>
    <row r="6" spans="1:205" s="239" customFormat="1" ht="20.25" customHeight="1" x14ac:dyDescent="0.15">
      <c r="A6" s="32"/>
      <c r="B6" s="594"/>
      <c r="C6" s="1109" t="s">
        <v>391</v>
      </c>
      <c r="D6" s="1112" t="s">
        <v>1227</v>
      </c>
      <c r="E6" s="1113"/>
      <c r="F6" s="583">
        <v>54241273</v>
      </c>
      <c r="G6" s="583">
        <v>4017182</v>
      </c>
      <c r="H6" s="583">
        <v>4082556</v>
      </c>
      <c r="I6" s="583">
        <v>4551881</v>
      </c>
      <c r="J6" s="583">
        <v>4423242</v>
      </c>
      <c r="K6" s="583">
        <v>4205795</v>
      </c>
      <c r="L6" s="583">
        <v>4404657</v>
      </c>
      <c r="M6" s="583">
        <v>4857663</v>
      </c>
      <c r="N6" s="584">
        <v>4841636</v>
      </c>
      <c r="O6" s="583">
        <v>4400538</v>
      </c>
      <c r="P6" s="583">
        <v>4739319</v>
      </c>
      <c r="Q6" s="583">
        <v>4560205</v>
      </c>
      <c r="R6" s="583">
        <v>5156599</v>
      </c>
      <c r="S6" s="583">
        <v>4411219</v>
      </c>
      <c r="T6" s="583">
        <v>4046761</v>
      </c>
      <c r="U6" s="575">
        <v>4673197</v>
      </c>
      <c r="V6" s="1114" t="s">
        <v>1228</v>
      </c>
      <c r="W6" s="1115"/>
      <c r="X6" s="593"/>
      <c r="Y6" s="592"/>
      <c r="Z6" s="943"/>
      <c r="AA6" s="556"/>
      <c r="AB6" s="580"/>
      <c r="EX6" s="921"/>
      <c r="EY6" s="568"/>
      <c r="EZ6" s="568"/>
      <c r="FA6" s="568"/>
      <c r="FB6" s="568"/>
      <c r="FC6" s="568"/>
      <c r="FD6" s="568"/>
      <c r="FE6" s="568"/>
      <c r="FF6" s="568"/>
      <c r="FG6" s="568"/>
      <c r="FH6" s="568"/>
      <c r="FI6" s="568"/>
      <c r="FJ6" s="568"/>
      <c r="FK6" s="568"/>
      <c r="FL6" s="568"/>
      <c r="FM6" s="568"/>
      <c r="FN6" s="568"/>
      <c r="FO6" s="568"/>
      <c r="FP6" s="568"/>
      <c r="FQ6" s="568"/>
      <c r="FR6" s="568"/>
      <c r="FS6" s="568"/>
      <c r="FT6" s="568"/>
      <c r="FU6" s="568"/>
      <c r="FV6" s="556"/>
      <c r="FW6" s="921"/>
      <c r="FX6" s="568"/>
      <c r="FY6" s="568"/>
      <c r="FZ6" s="568"/>
      <c r="GA6" s="568"/>
      <c r="GB6" s="568"/>
      <c r="GC6" s="568"/>
      <c r="GD6" s="568"/>
      <c r="GE6" s="568"/>
      <c r="GF6" s="568"/>
      <c r="GG6" s="568"/>
      <c r="GH6" s="568"/>
      <c r="GI6" s="568"/>
      <c r="GJ6" s="568"/>
      <c r="GK6" s="568"/>
      <c r="GL6" s="568"/>
      <c r="GM6" s="568"/>
      <c r="GN6" s="568"/>
      <c r="GO6" s="568"/>
      <c r="GP6" s="568"/>
      <c r="GQ6" s="568"/>
      <c r="GR6" s="568"/>
      <c r="GS6" s="568"/>
      <c r="GT6" s="568"/>
      <c r="GU6" s="556"/>
      <c r="GV6" s="556"/>
      <c r="GW6" s="556"/>
    </row>
    <row r="7" spans="1:205" s="239" customFormat="1" ht="20.25" customHeight="1" x14ac:dyDescent="0.15">
      <c r="A7" s="365"/>
      <c r="B7" s="922" t="s">
        <v>1229</v>
      </c>
      <c r="C7" s="1110"/>
      <c r="D7" s="1116" t="s">
        <v>1230</v>
      </c>
      <c r="E7" s="1117"/>
      <c r="F7" s="566">
        <v>4934945</v>
      </c>
      <c r="G7" s="566">
        <v>364072</v>
      </c>
      <c r="H7" s="566">
        <v>378524</v>
      </c>
      <c r="I7" s="566">
        <v>415226</v>
      </c>
      <c r="J7" s="566">
        <v>413265</v>
      </c>
      <c r="K7" s="566">
        <v>402997</v>
      </c>
      <c r="L7" s="566">
        <v>404617</v>
      </c>
      <c r="M7" s="566">
        <v>440372</v>
      </c>
      <c r="N7" s="567">
        <v>445829</v>
      </c>
      <c r="O7" s="566">
        <v>409458</v>
      </c>
      <c r="P7" s="566">
        <v>412215</v>
      </c>
      <c r="Q7" s="566">
        <v>395400</v>
      </c>
      <c r="R7" s="566">
        <v>452970</v>
      </c>
      <c r="S7" s="566">
        <v>395104</v>
      </c>
      <c r="T7" s="566">
        <v>356138</v>
      </c>
      <c r="U7" s="565">
        <v>463277</v>
      </c>
      <c r="V7" s="588" t="s">
        <v>641</v>
      </c>
      <c r="W7" s="588"/>
      <c r="X7" s="1118" t="s">
        <v>1231</v>
      </c>
      <c r="Y7" s="569"/>
      <c r="Z7" s="943"/>
      <c r="AA7" s="568"/>
      <c r="AB7" s="580"/>
      <c r="EX7" s="365"/>
      <c r="EY7" s="568"/>
      <c r="EZ7" s="568"/>
      <c r="FA7" s="568"/>
      <c r="FB7" s="568"/>
      <c r="FC7" s="556"/>
      <c r="FD7" s="556"/>
      <c r="FE7" s="556"/>
      <c r="FF7" s="556"/>
      <c r="FG7" s="556"/>
      <c r="FH7" s="556"/>
      <c r="FI7" s="556"/>
      <c r="FJ7" s="556"/>
      <c r="FK7" s="556"/>
      <c r="FL7" s="556"/>
      <c r="FM7" s="556"/>
      <c r="FN7" s="556"/>
      <c r="FO7" s="556"/>
      <c r="FP7" s="556"/>
      <c r="FQ7" s="556"/>
      <c r="FR7" s="556"/>
      <c r="FS7" s="556"/>
      <c r="FT7" s="556"/>
      <c r="FU7" s="556"/>
      <c r="FV7" s="556"/>
      <c r="FW7" s="365"/>
      <c r="FX7" s="568"/>
      <c r="FY7" s="568"/>
      <c r="FZ7" s="568"/>
      <c r="GA7" s="568"/>
      <c r="GB7" s="556"/>
      <c r="GC7" s="556"/>
      <c r="GD7" s="556"/>
      <c r="GE7" s="556"/>
      <c r="GF7" s="556"/>
      <c r="GG7" s="556"/>
      <c r="GH7" s="556"/>
      <c r="GI7" s="556"/>
      <c r="GJ7" s="556"/>
      <c r="GK7" s="556"/>
      <c r="GL7" s="556"/>
      <c r="GM7" s="556"/>
      <c r="GN7" s="556"/>
      <c r="GO7" s="556"/>
      <c r="GP7" s="556"/>
      <c r="GQ7" s="556"/>
      <c r="GR7" s="556"/>
      <c r="GS7" s="556"/>
      <c r="GT7" s="556"/>
      <c r="GU7" s="556"/>
      <c r="GV7" s="556"/>
      <c r="GW7" s="556"/>
    </row>
    <row r="8" spans="1:205" s="239" customFormat="1" ht="20.25" customHeight="1" x14ac:dyDescent="0.15">
      <c r="A8" s="365"/>
      <c r="B8" s="571"/>
      <c r="C8" s="1110"/>
      <c r="D8" s="1116" t="s">
        <v>1232</v>
      </c>
      <c r="E8" s="1117"/>
      <c r="F8" s="566">
        <v>49249794</v>
      </c>
      <c r="G8" s="566">
        <v>3649503</v>
      </c>
      <c r="H8" s="566">
        <v>3699782</v>
      </c>
      <c r="I8" s="566">
        <v>4131479</v>
      </c>
      <c r="J8" s="566">
        <v>4004845</v>
      </c>
      <c r="K8" s="566">
        <v>3798080</v>
      </c>
      <c r="L8" s="566">
        <v>3994621</v>
      </c>
      <c r="M8" s="566">
        <v>4413134</v>
      </c>
      <c r="N8" s="567">
        <v>4391751</v>
      </c>
      <c r="O8" s="566">
        <v>3985091</v>
      </c>
      <c r="P8" s="566">
        <v>4322608</v>
      </c>
      <c r="Q8" s="566">
        <v>4160169</v>
      </c>
      <c r="R8" s="566">
        <v>4698731</v>
      </c>
      <c r="S8" s="566">
        <v>4012475</v>
      </c>
      <c r="T8" s="566">
        <v>3686826</v>
      </c>
      <c r="U8" s="565">
        <v>4204735</v>
      </c>
      <c r="V8" s="588" t="s">
        <v>642</v>
      </c>
      <c r="W8" s="588"/>
      <c r="X8" s="1119"/>
      <c r="Y8" s="569"/>
      <c r="Z8" s="943"/>
      <c r="AA8" s="568"/>
      <c r="AB8" s="580"/>
      <c r="EX8" s="365"/>
      <c r="EY8" s="568"/>
      <c r="EZ8" s="568"/>
      <c r="FA8" s="568"/>
      <c r="FB8" s="568"/>
      <c r="FC8" s="556"/>
      <c r="FD8" s="556"/>
      <c r="FE8" s="556"/>
      <c r="FF8" s="556"/>
      <c r="FG8" s="556"/>
      <c r="FH8" s="556"/>
      <c r="FI8" s="556"/>
      <c r="FJ8" s="556"/>
      <c r="FK8" s="556"/>
      <c r="FL8" s="556"/>
      <c r="FM8" s="556"/>
      <c r="FN8" s="556"/>
      <c r="FO8" s="556"/>
      <c r="FP8" s="556"/>
      <c r="FQ8" s="556"/>
      <c r="FR8" s="556"/>
      <c r="FS8" s="556"/>
      <c r="FT8" s="556"/>
      <c r="FU8" s="556"/>
      <c r="FV8" s="556"/>
      <c r="FW8" s="365"/>
      <c r="FX8" s="568"/>
      <c r="FY8" s="568"/>
      <c r="FZ8" s="568"/>
      <c r="GA8" s="568"/>
      <c r="GB8" s="556"/>
      <c r="GC8" s="556"/>
      <c r="GD8" s="556"/>
      <c r="GE8" s="556"/>
      <c r="GF8" s="556"/>
      <c r="GG8" s="556"/>
      <c r="GH8" s="556"/>
      <c r="GI8" s="556"/>
      <c r="GJ8" s="556"/>
      <c r="GK8" s="556"/>
      <c r="GL8" s="556"/>
      <c r="GM8" s="556"/>
      <c r="GN8" s="556"/>
      <c r="GO8" s="556"/>
      <c r="GP8" s="556"/>
      <c r="GQ8" s="556"/>
      <c r="GR8" s="556"/>
      <c r="GS8" s="556"/>
      <c r="GT8" s="556"/>
      <c r="GU8" s="556"/>
      <c r="GV8" s="556"/>
      <c r="GW8" s="556"/>
    </row>
    <row r="9" spans="1:205" s="239" customFormat="1" ht="20.25" customHeight="1" x14ac:dyDescent="0.15">
      <c r="A9" s="365"/>
      <c r="B9" s="925" t="s">
        <v>1233</v>
      </c>
      <c r="C9" s="1110"/>
      <c r="D9" s="1116" t="s">
        <v>392</v>
      </c>
      <c r="E9" s="1117"/>
      <c r="F9" s="566">
        <v>56534</v>
      </c>
      <c r="G9" s="566">
        <v>3607</v>
      </c>
      <c r="H9" s="566">
        <v>4250</v>
      </c>
      <c r="I9" s="566">
        <v>5176</v>
      </c>
      <c r="J9" s="566">
        <v>5132</v>
      </c>
      <c r="K9" s="566">
        <v>4718</v>
      </c>
      <c r="L9" s="566">
        <v>5419</v>
      </c>
      <c r="M9" s="566">
        <v>4157</v>
      </c>
      <c r="N9" s="567">
        <v>4056</v>
      </c>
      <c r="O9" s="566">
        <v>5989</v>
      </c>
      <c r="P9" s="566">
        <v>4496</v>
      </c>
      <c r="Q9" s="566">
        <v>4636</v>
      </c>
      <c r="R9" s="566">
        <v>4898</v>
      </c>
      <c r="S9" s="566">
        <v>3640</v>
      </c>
      <c r="T9" s="566">
        <v>3797</v>
      </c>
      <c r="U9" s="565">
        <v>5185</v>
      </c>
      <c r="V9" s="588" t="s">
        <v>1234</v>
      </c>
      <c r="W9" s="588"/>
      <c r="X9" s="570"/>
      <c r="Y9" s="1116" t="s">
        <v>1235</v>
      </c>
      <c r="Z9" s="943"/>
      <c r="AA9" s="568"/>
      <c r="AB9" s="580"/>
      <c r="EX9" s="365"/>
      <c r="EY9" s="568"/>
      <c r="EZ9" s="568"/>
      <c r="FA9" s="568"/>
      <c r="FB9" s="568"/>
      <c r="FC9" s="556"/>
      <c r="FD9" s="556"/>
      <c r="FE9" s="556"/>
      <c r="FF9" s="556"/>
      <c r="FG9" s="556"/>
      <c r="FH9" s="556"/>
      <c r="FI9" s="556"/>
      <c r="FJ9" s="556"/>
      <c r="FK9" s="556"/>
      <c r="FL9" s="556"/>
      <c r="FM9" s="556"/>
      <c r="FN9" s="556"/>
      <c r="FO9" s="556"/>
      <c r="FP9" s="556"/>
      <c r="FQ9" s="556"/>
      <c r="FR9" s="556"/>
      <c r="FS9" s="556"/>
      <c r="FT9" s="556"/>
      <c r="FU9" s="556"/>
      <c r="FV9" s="556"/>
      <c r="FW9" s="365"/>
      <c r="FX9" s="568"/>
      <c r="FY9" s="568"/>
      <c r="FZ9" s="568"/>
      <c r="GA9" s="568"/>
      <c r="GB9" s="556"/>
      <c r="GC9" s="556"/>
      <c r="GD9" s="556"/>
      <c r="GE9" s="556"/>
      <c r="GF9" s="556"/>
      <c r="GG9" s="556"/>
      <c r="GH9" s="556"/>
      <c r="GI9" s="556"/>
      <c r="GJ9" s="556"/>
      <c r="GK9" s="556"/>
      <c r="GL9" s="556"/>
      <c r="GM9" s="556"/>
      <c r="GN9" s="556"/>
      <c r="GO9" s="556"/>
      <c r="GP9" s="556"/>
      <c r="GQ9" s="556"/>
      <c r="GR9" s="556"/>
      <c r="GS9" s="556"/>
      <c r="GT9" s="556"/>
      <c r="GU9" s="556"/>
      <c r="GV9" s="556"/>
      <c r="GW9" s="556"/>
    </row>
    <row r="10" spans="1:205" s="239" customFormat="1" ht="8.25" customHeight="1" x14ac:dyDescent="0.15">
      <c r="A10" s="365"/>
      <c r="B10" s="925"/>
      <c r="C10" s="1111"/>
      <c r="D10" s="923"/>
      <c r="E10" s="924"/>
      <c r="F10" s="566"/>
      <c r="G10" s="566"/>
      <c r="H10" s="566"/>
      <c r="I10" s="566"/>
      <c r="J10" s="566"/>
      <c r="K10" s="566"/>
      <c r="L10" s="566"/>
      <c r="M10" s="566"/>
      <c r="N10" s="567"/>
      <c r="O10" s="566"/>
      <c r="P10" s="566"/>
      <c r="Q10" s="566"/>
      <c r="R10" s="566"/>
      <c r="S10" s="566"/>
      <c r="T10" s="566"/>
      <c r="U10" s="565"/>
      <c r="V10" s="586"/>
      <c r="W10" s="586"/>
      <c r="X10" s="590"/>
      <c r="Y10" s="1116"/>
      <c r="Z10" s="943"/>
      <c r="AA10" s="568"/>
      <c r="AB10" s="580"/>
      <c r="EX10" s="365"/>
      <c r="EY10" s="568"/>
      <c r="EZ10" s="568"/>
      <c r="FA10" s="568"/>
      <c r="FB10" s="568"/>
      <c r="FC10" s="556"/>
      <c r="FD10" s="556"/>
      <c r="FE10" s="556"/>
      <c r="FF10" s="556"/>
      <c r="FG10" s="556"/>
      <c r="FH10" s="556"/>
      <c r="FI10" s="556"/>
      <c r="FJ10" s="556"/>
      <c r="FK10" s="556"/>
      <c r="FL10" s="556"/>
      <c r="FM10" s="556"/>
      <c r="FN10" s="556"/>
      <c r="FO10" s="556"/>
      <c r="FP10" s="556"/>
      <c r="FQ10" s="556"/>
      <c r="FR10" s="556"/>
      <c r="FS10" s="556"/>
      <c r="FT10" s="556"/>
      <c r="FU10" s="556"/>
      <c r="FV10" s="556"/>
      <c r="FW10" s="365"/>
      <c r="FX10" s="568"/>
      <c r="FY10" s="568"/>
      <c r="FZ10" s="568"/>
      <c r="GA10" s="568"/>
      <c r="GB10" s="556"/>
      <c r="GC10" s="556"/>
      <c r="GD10" s="556"/>
      <c r="GE10" s="556"/>
      <c r="GF10" s="556"/>
      <c r="GG10" s="556"/>
      <c r="GH10" s="556"/>
      <c r="GI10" s="556"/>
      <c r="GJ10" s="556"/>
      <c r="GK10" s="556"/>
      <c r="GL10" s="556"/>
      <c r="GM10" s="556"/>
      <c r="GN10" s="556"/>
      <c r="GO10" s="556"/>
      <c r="GP10" s="556"/>
      <c r="GQ10" s="556"/>
      <c r="GR10" s="556"/>
      <c r="GS10" s="556"/>
      <c r="GT10" s="556"/>
      <c r="GU10" s="556"/>
      <c r="GV10" s="556"/>
      <c r="GW10" s="556"/>
    </row>
    <row r="11" spans="1:205" s="239" customFormat="1" ht="20.25" customHeight="1" x14ac:dyDescent="0.15">
      <c r="A11" s="365"/>
      <c r="B11" s="922" t="s">
        <v>1236</v>
      </c>
      <c r="C11" s="591"/>
      <c r="D11" s="1112" t="s">
        <v>1237</v>
      </c>
      <c r="E11" s="1113"/>
      <c r="F11" s="576">
        <v>770328</v>
      </c>
      <c r="G11" s="576">
        <v>854750</v>
      </c>
      <c r="H11" s="576">
        <v>891735</v>
      </c>
      <c r="I11" s="576">
        <v>794362</v>
      </c>
      <c r="J11" s="576">
        <v>808922</v>
      </c>
      <c r="K11" s="576">
        <v>940053</v>
      </c>
      <c r="L11" s="576">
        <v>878604</v>
      </c>
      <c r="M11" s="576">
        <v>785014</v>
      </c>
      <c r="N11" s="577">
        <v>868617</v>
      </c>
      <c r="O11" s="576">
        <v>826335</v>
      </c>
      <c r="P11" s="576">
        <v>918626</v>
      </c>
      <c r="Q11" s="576">
        <v>868236</v>
      </c>
      <c r="R11" s="576">
        <v>770328</v>
      </c>
      <c r="S11" s="576">
        <v>931412</v>
      </c>
      <c r="T11" s="576">
        <v>903985</v>
      </c>
      <c r="U11" s="575">
        <v>836981</v>
      </c>
      <c r="V11" s="1114" t="s">
        <v>1228</v>
      </c>
      <c r="W11" s="1115"/>
      <c r="X11" s="572"/>
      <c r="Y11" s="589"/>
      <c r="Z11" s="943"/>
      <c r="AA11" s="568"/>
      <c r="AB11" s="580"/>
      <c r="EX11" s="365"/>
      <c r="EY11" s="568"/>
      <c r="EZ11" s="568"/>
      <c r="FA11" s="568"/>
      <c r="FB11" s="568"/>
      <c r="FC11" s="556"/>
      <c r="FD11" s="556"/>
      <c r="FE11" s="556"/>
      <c r="FF11" s="556"/>
      <c r="FG11" s="556"/>
      <c r="FH11" s="556"/>
      <c r="FI11" s="556"/>
      <c r="FJ11" s="556"/>
      <c r="FK11" s="556"/>
      <c r="FL11" s="556"/>
      <c r="FM11" s="556"/>
      <c r="FN11" s="556"/>
      <c r="FO11" s="556"/>
      <c r="FP11" s="556"/>
      <c r="FQ11" s="556"/>
      <c r="FR11" s="556"/>
      <c r="FS11" s="556"/>
      <c r="FT11" s="556"/>
      <c r="FU11" s="556"/>
      <c r="FV11" s="556"/>
      <c r="FW11" s="365"/>
      <c r="FX11" s="568"/>
      <c r="FY11" s="568"/>
      <c r="FZ11" s="568"/>
      <c r="GA11" s="568"/>
      <c r="GB11" s="556"/>
      <c r="GC11" s="556"/>
      <c r="GD11" s="556"/>
      <c r="GE11" s="556"/>
      <c r="GF11" s="556"/>
      <c r="GG11" s="556"/>
      <c r="GH11" s="556"/>
      <c r="GI11" s="556"/>
      <c r="GJ11" s="556"/>
      <c r="GK11" s="556"/>
      <c r="GL11" s="556"/>
      <c r="GM11" s="556"/>
      <c r="GN11" s="556"/>
      <c r="GO11" s="556"/>
      <c r="GP11" s="556"/>
      <c r="GQ11" s="556"/>
      <c r="GR11" s="556"/>
      <c r="GS11" s="556"/>
      <c r="GT11" s="556"/>
      <c r="GU11" s="556"/>
      <c r="GV11" s="556"/>
      <c r="GW11" s="556"/>
    </row>
    <row r="12" spans="1:205" s="239" customFormat="1" ht="20.25" customHeight="1" x14ac:dyDescent="0.15">
      <c r="A12" s="365"/>
      <c r="B12" s="571"/>
      <c r="C12" s="1120" t="s">
        <v>1238</v>
      </c>
      <c r="D12" s="1116" t="s">
        <v>395</v>
      </c>
      <c r="E12" s="1117"/>
      <c r="F12" s="566">
        <v>145831</v>
      </c>
      <c r="G12" s="566">
        <v>157074</v>
      </c>
      <c r="H12" s="566">
        <v>144315</v>
      </c>
      <c r="I12" s="566">
        <v>130993</v>
      </c>
      <c r="J12" s="566">
        <v>118869</v>
      </c>
      <c r="K12" s="566">
        <v>148164</v>
      </c>
      <c r="L12" s="566">
        <v>152485</v>
      </c>
      <c r="M12" s="566">
        <v>142857</v>
      </c>
      <c r="N12" s="567">
        <v>137632</v>
      </c>
      <c r="O12" s="566">
        <v>141828</v>
      </c>
      <c r="P12" s="566">
        <v>145533</v>
      </c>
      <c r="Q12" s="566">
        <v>153327</v>
      </c>
      <c r="R12" s="566">
        <v>145831</v>
      </c>
      <c r="S12" s="566">
        <v>156184</v>
      </c>
      <c r="T12" s="566">
        <v>150580</v>
      </c>
      <c r="U12" s="565">
        <v>129977</v>
      </c>
      <c r="V12" s="588" t="s">
        <v>1239</v>
      </c>
      <c r="W12" s="588"/>
      <c r="X12" s="1118" t="s">
        <v>1240</v>
      </c>
      <c r="Y12" s="569"/>
      <c r="Z12" s="943"/>
      <c r="AA12" s="568"/>
      <c r="AB12" s="580"/>
      <c r="EX12" s="365"/>
      <c r="EY12" s="568"/>
      <c r="EZ12" s="568"/>
      <c r="FA12" s="568"/>
      <c r="FB12" s="568"/>
      <c r="FC12" s="556"/>
      <c r="FD12" s="556"/>
      <c r="FE12" s="556"/>
      <c r="FF12" s="556"/>
      <c r="FG12" s="556"/>
      <c r="FH12" s="556"/>
      <c r="FI12" s="556"/>
      <c r="FJ12" s="556"/>
      <c r="FK12" s="556"/>
      <c r="FL12" s="556"/>
      <c r="FM12" s="556"/>
      <c r="FN12" s="556"/>
      <c r="FO12" s="556"/>
      <c r="FP12" s="556"/>
      <c r="FQ12" s="556"/>
      <c r="FR12" s="556"/>
      <c r="FS12" s="556"/>
      <c r="FT12" s="556"/>
      <c r="FU12" s="556"/>
      <c r="FV12" s="556"/>
      <c r="FW12" s="365"/>
      <c r="FX12" s="568"/>
      <c r="FY12" s="568"/>
      <c r="FZ12" s="568"/>
      <c r="GA12" s="568"/>
      <c r="GB12" s="556"/>
      <c r="GC12" s="556"/>
      <c r="GD12" s="556"/>
      <c r="GE12" s="556"/>
      <c r="GF12" s="556"/>
      <c r="GG12" s="556"/>
      <c r="GH12" s="556"/>
      <c r="GI12" s="556"/>
      <c r="GJ12" s="556"/>
      <c r="GK12" s="556"/>
      <c r="GL12" s="556"/>
      <c r="GM12" s="556"/>
      <c r="GN12" s="556"/>
      <c r="GO12" s="556"/>
      <c r="GP12" s="556"/>
      <c r="GQ12" s="556"/>
      <c r="GR12" s="556"/>
      <c r="GS12" s="556"/>
      <c r="GT12" s="556"/>
      <c r="GU12" s="556"/>
      <c r="GV12" s="556"/>
      <c r="GW12" s="556"/>
    </row>
    <row r="13" spans="1:205" s="239" customFormat="1" ht="20.25" customHeight="1" x14ac:dyDescent="0.15">
      <c r="A13" s="365"/>
      <c r="B13" s="925" t="s">
        <v>644</v>
      </c>
      <c r="C13" s="1121"/>
      <c r="D13" s="1116" t="s">
        <v>394</v>
      </c>
      <c r="E13" s="1117"/>
      <c r="F13" s="566">
        <v>619565</v>
      </c>
      <c r="G13" s="566">
        <v>693301</v>
      </c>
      <c r="H13" s="566">
        <v>742962</v>
      </c>
      <c r="I13" s="566">
        <v>659686</v>
      </c>
      <c r="J13" s="566">
        <v>685723</v>
      </c>
      <c r="K13" s="566">
        <v>787924</v>
      </c>
      <c r="L13" s="566">
        <v>721797</v>
      </c>
      <c r="M13" s="566">
        <v>637710</v>
      </c>
      <c r="N13" s="567">
        <v>725314</v>
      </c>
      <c r="O13" s="566">
        <v>679607</v>
      </c>
      <c r="P13" s="566">
        <v>768019</v>
      </c>
      <c r="Q13" s="566">
        <v>709256</v>
      </c>
      <c r="R13" s="566">
        <v>619565</v>
      </c>
      <c r="S13" s="566">
        <v>770339</v>
      </c>
      <c r="T13" s="566">
        <v>748587</v>
      </c>
      <c r="U13" s="565">
        <v>702680</v>
      </c>
      <c r="V13" s="588" t="s">
        <v>1241</v>
      </c>
      <c r="W13" s="588"/>
      <c r="X13" s="1119"/>
      <c r="Y13" s="569"/>
      <c r="Z13" s="943"/>
      <c r="AA13" s="568"/>
      <c r="AB13" s="580"/>
      <c r="EX13" s="365"/>
      <c r="EY13" s="568"/>
      <c r="EZ13" s="568"/>
      <c r="FA13" s="568"/>
      <c r="FB13" s="568"/>
      <c r="FC13" s="556"/>
      <c r="FD13" s="556"/>
      <c r="FE13" s="556"/>
      <c r="FF13" s="556"/>
      <c r="FG13" s="556"/>
      <c r="FH13" s="556"/>
      <c r="FI13" s="556"/>
      <c r="FJ13" s="556"/>
      <c r="FK13" s="556"/>
      <c r="FL13" s="556"/>
      <c r="FM13" s="556"/>
      <c r="FN13" s="556"/>
      <c r="FO13" s="556"/>
      <c r="FP13" s="556"/>
      <c r="FQ13" s="556"/>
      <c r="FR13" s="556"/>
      <c r="FS13" s="556"/>
      <c r="FT13" s="556"/>
      <c r="FU13" s="556"/>
      <c r="FV13" s="556"/>
      <c r="FW13" s="365"/>
      <c r="FX13" s="568"/>
      <c r="FY13" s="568"/>
      <c r="FZ13" s="568"/>
      <c r="GA13" s="568"/>
      <c r="GB13" s="556"/>
      <c r="GC13" s="556"/>
      <c r="GD13" s="556"/>
      <c r="GE13" s="556"/>
      <c r="GF13" s="556"/>
      <c r="GG13" s="556"/>
      <c r="GH13" s="556"/>
      <c r="GI13" s="556"/>
      <c r="GJ13" s="556"/>
      <c r="GK13" s="556"/>
      <c r="GL13" s="556"/>
      <c r="GM13" s="556"/>
      <c r="GN13" s="556"/>
      <c r="GO13" s="556"/>
      <c r="GP13" s="556"/>
      <c r="GQ13" s="556"/>
      <c r="GR13" s="556"/>
      <c r="GS13" s="556"/>
      <c r="GT13" s="556"/>
      <c r="GU13" s="556"/>
      <c r="GV13" s="556"/>
      <c r="GW13" s="556"/>
    </row>
    <row r="14" spans="1:205" s="239" customFormat="1" ht="20.25" customHeight="1" x14ac:dyDescent="0.15">
      <c r="A14" s="365"/>
      <c r="B14" s="571"/>
      <c r="C14" s="568"/>
      <c r="D14" s="1116" t="s">
        <v>392</v>
      </c>
      <c r="E14" s="1117"/>
      <c r="F14" s="566">
        <v>4932</v>
      </c>
      <c r="G14" s="566">
        <v>4375</v>
      </c>
      <c r="H14" s="566">
        <v>4458</v>
      </c>
      <c r="I14" s="566">
        <v>3683</v>
      </c>
      <c r="J14" s="566">
        <v>4330</v>
      </c>
      <c r="K14" s="566">
        <v>3965</v>
      </c>
      <c r="L14" s="566">
        <v>4322</v>
      </c>
      <c r="M14" s="566">
        <v>4447</v>
      </c>
      <c r="N14" s="567">
        <v>5671</v>
      </c>
      <c r="O14" s="566">
        <v>4900</v>
      </c>
      <c r="P14" s="566">
        <v>5074</v>
      </c>
      <c r="Q14" s="566">
        <v>5653</v>
      </c>
      <c r="R14" s="566">
        <v>4932</v>
      </c>
      <c r="S14" s="566">
        <v>4889</v>
      </c>
      <c r="T14" s="566">
        <v>4818</v>
      </c>
      <c r="U14" s="565">
        <v>4324</v>
      </c>
      <c r="V14" s="588" t="s">
        <v>1234</v>
      </c>
      <c r="W14" s="588"/>
      <c r="X14" s="570"/>
      <c r="Y14" s="569"/>
      <c r="Z14" s="943"/>
      <c r="AA14" s="568"/>
      <c r="AB14" s="580"/>
      <c r="EX14" s="365"/>
      <c r="EY14" s="568"/>
      <c r="EZ14" s="568"/>
      <c r="FA14" s="568"/>
      <c r="FB14" s="568"/>
      <c r="FC14" s="556"/>
      <c r="FD14" s="556"/>
      <c r="FE14" s="556"/>
      <c r="FF14" s="556"/>
      <c r="FG14" s="556"/>
      <c r="FH14" s="556"/>
      <c r="FI14" s="556"/>
      <c r="FJ14" s="556"/>
      <c r="FK14" s="556"/>
      <c r="FL14" s="556"/>
      <c r="FM14" s="556"/>
      <c r="FN14" s="556"/>
      <c r="FO14" s="556"/>
      <c r="FP14" s="556"/>
      <c r="FQ14" s="556"/>
      <c r="FR14" s="556"/>
      <c r="FS14" s="556"/>
      <c r="FT14" s="556"/>
      <c r="FU14" s="556"/>
      <c r="FV14" s="556"/>
      <c r="FW14" s="365"/>
      <c r="FX14" s="568"/>
      <c r="FY14" s="568"/>
      <c r="FZ14" s="568"/>
      <c r="GA14" s="568"/>
      <c r="GB14" s="556"/>
      <c r="GC14" s="556"/>
      <c r="GD14" s="556"/>
      <c r="GE14" s="556"/>
      <c r="GF14" s="556"/>
      <c r="GG14" s="556"/>
      <c r="GH14" s="556"/>
      <c r="GI14" s="556"/>
      <c r="GJ14" s="556"/>
      <c r="GK14" s="556"/>
      <c r="GL14" s="556"/>
      <c r="GM14" s="556"/>
      <c r="GN14" s="556"/>
      <c r="GO14" s="556"/>
      <c r="GP14" s="556"/>
      <c r="GQ14" s="556"/>
      <c r="GR14" s="556"/>
      <c r="GS14" s="556"/>
      <c r="GT14" s="556"/>
      <c r="GU14" s="556"/>
      <c r="GV14" s="556"/>
      <c r="GW14" s="556"/>
    </row>
    <row r="15" spans="1:205" s="239" customFormat="1" ht="8.25" customHeight="1" x14ac:dyDescent="0.15">
      <c r="A15" s="365"/>
      <c r="B15" s="587"/>
      <c r="C15" s="1036"/>
      <c r="D15" s="923"/>
      <c r="E15" s="924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1"/>
      <c r="Q15" s="561"/>
      <c r="R15" s="561"/>
      <c r="S15" s="561"/>
      <c r="T15" s="561"/>
      <c r="U15" s="560"/>
      <c r="V15" s="1037"/>
      <c r="W15" s="1038"/>
      <c r="X15" s="590"/>
      <c r="Y15" s="579"/>
      <c r="Z15" s="943"/>
      <c r="AA15" s="568"/>
      <c r="AB15" s="580"/>
      <c r="EX15" s="365"/>
      <c r="EY15" s="568"/>
      <c r="EZ15" s="568"/>
      <c r="FA15" s="568"/>
      <c r="FB15" s="568"/>
      <c r="FC15" s="556"/>
      <c r="FD15" s="556"/>
      <c r="FE15" s="556"/>
      <c r="FF15" s="556"/>
      <c r="FG15" s="556"/>
      <c r="FH15" s="556"/>
      <c r="FI15" s="556"/>
      <c r="FJ15" s="556"/>
      <c r="FK15" s="556"/>
      <c r="FL15" s="556"/>
      <c r="FM15" s="556"/>
      <c r="FN15" s="556"/>
      <c r="FO15" s="556"/>
      <c r="FP15" s="556"/>
      <c r="FQ15" s="556"/>
      <c r="FR15" s="556"/>
      <c r="FS15" s="556"/>
      <c r="FT15" s="556"/>
      <c r="FU15" s="556"/>
      <c r="FV15" s="556"/>
      <c r="FW15" s="365"/>
      <c r="FX15" s="568"/>
      <c r="FY15" s="568"/>
      <c r="FZ15" s="568"/>
      <c r="GA15" s="568"/>
      <c r="GB15" s="556"/>
      <c r="GC15" s="556"/>
      <c r="GD15" s="556"/>
      <c r="GE15" s="556"/>
      <c r="GF15" s="556"/>
      <c r="GG15" s="556"/>
      <c r="GH15" s="556"/>
      <c r="GI15" s="556"/>
      <c r="GJ15" s="556"/>
      <c r="GK15" s="556"/>
      <c r="GL15" s="556"/>
      <c r="GM15" s="556"/>
      <c r="GN15" s="556"/>
      <c r="GO15" s="556"/>
      <c r="GP15" s="556"/>
      <c r="GQ15" s="556"/>
      <c r="GR15" s="556"/>
      <c r="GS15" s="556"/>
      <c r="GT15" s="556"/>
      <c r="GU15" s="556"/>
      <c r="GV15" s="556"/>
      <c r="GW15" s="556"/>
    </row>
    <row r="16" spans="1:205" s="239" customFormat="1" ht="20.25" customHeight="1" x14ac:dyDescent="0.15">
      <c r="A16" s="365"/>
      <c r="B16" s="585"/>
      <c r="C16" s="1122" t="s">
        <v>391</v>
      </c>
      <c r="D16" s="1124" t="s">
        <v>1242</v>
      </c>
      <c r="E16" s="1125"/>
      <c r="F16" s="583">
        <v>49673183</v>
      </c>
      <c r="G16" s="583">
        <v>4349800</v>
      </c>
      <c r="H16" s="583">
        <v>4145587</v>
      </c>
      <c r="I16" s="583">
        <v>4759728</v>
      </c>
      <c r="J16" s="583">
        <v>4133514</v>
      </c>
      <c r="K16" s="583">
        <v>4061416</v>
      </c>
      <c r="L16" s="583">
        <v>3707155</v>
      </c>
      <c r="M16" s="583">
        <v>3548963</v>
      </c>
      <c r="N16" s="584">
        <v>4041928</v>
      </c>
      <c r="O16" s="583">
        <v>4178540</v>
      </c>
      <c r="P16" s="583">
        <v>4207383</v>
      </c>
      <c r="Q16" s="583">
        <v>3831329</v>
      </c>
      <c r="R16" s="583">
        <v>4707840</v>
      </c>
      <c r="S16" s="583">
        <v>4272902</v>
      </c>
      <c r="T16" s="583">
        <v>3449593</v>
      </c>
      <c r="U16" s="582">
        <v>3461497</v>
      </c>
      <c r="V16" s="1126" t="s">
        <v>1228</v>
      </c>
      <c r="W16" s="1127"/>
      <c r="X16" s="572"/>
      <c r="Y16" s="581"/>
      <c r="Z16" s="943"/>
      <c r="AA16" s="568"/>
      <c r="AB16" s="580"/>
      <c r="EX16" s="365"/>
      <c r="EY16" s="568"/>
      <c r="EZ16" s="568"/>
      <c r="FA16" s="568"/>
      <c r="FB16" s="568"/>
      <c r="FC16" s="556"/>
      <c r="FD16" s="556"/>
      <c r="FE16" s="556"/>
      <c r="FF16" s="556"/>
      <c r="FG16" s="556"/>
      <c r="FH16" s="556"/>
      <c r="FI16" s="556"/>
      <c r="FJ16" s="556"/>
      <c r="FK16" s="556"/>
      <c r="FL16" s="556"/>
      <c r="FM16" s="556"/>
      <c r="FN16" s="556"/>
      <c r="FO16" s="556"/>
      <c r="FP16" s="556"/>
      <c r="FQ16" s="556"/>
      <c r="FR16" s="556"/>
      <c r="FS16" s="556"/>
      <c r="FT16" s="556"/>
      <c r="FU16" s="556"/>
      <c r="FV16" s="556"/>
      <c r="FW16" s="365"/>
      <c r="FX16" s="568"/>
      <c r="FY16" s="568"/>
      <c r="FZ16" s="568"/>
      <c r="GA16" s="568"/>
      <c r="GB16" s="556"/>
      <c r="GC16" s="556"/>
      <c r="GD16" s="556"/>
      <c r="GE16" s="556"/>
      <c r="GF16" s="556"/>
      <c r="GG16" s="556"/>
      <c r="GH16" s="556"/>
      <c r="GI16" s="556"/>
      <c r="GJ16" s="556"/>
      <c r="GK16" s="556"/>
      <c r="GL16" s="556"/>
      <c r="GM16" s="556"/>
      <c r="GN16" s="556"/>
      <c r="GO16" s="556"/>
      <c r="GP16" s="556"/>
      <c r="GQ16" s="556"/>
      <c r="GR16" s="556"/>
      <c r="GS16" s="556"/>
      <c r="GT16" s="556"/>
      <c r="GU16" s="556"/>
      <c r="GV16" s="556"/>
      <c r="GW16" s="556"/>
    </row>
    <row r="17" spans="1:205" s="239" customFormat="1" ht="20.25" customHeight="1" x14ac:dyDescent="0.15">
      <c r="A17" s="365"/>
      <c r="B17" s="922" t="s">
        <v>1243</v>
      </c>
      <c r="C17" s="1110"/>
      <c r="D17" s="1116" t="s">
        <v>1244</v>
      </c>
      <c r="E17" s="1117"/>
      <c r="F17" s="566">
        <v>49608645</v>
      </c>
      <c r="G17" s="566">
        <v>4346470</v>
      </c>
      <c r="H17" s="566">
        <v>4143088</v>
      </c>
      <c r="I17" s="566">
        <v>4756216</v>
      </c>
      <c r="J17" s="566">
        <v>4130767</v>
      </c>
      <c r="K17" s="566">
        <v>4058768</v>
      </c>
      <c r="L17" s="566">
        <v>3703792</v>
      </c>
      <c r="M17" s="566">
        <v>3532849</v>
      </c>
      <c r="N17" s="567">
        <v>4028714</v>
      </c>
      <c r="O17" s="566">
        <v>4170379</v>
      </c>
      <c r="P17" s="566">
        <v>4204912</v>
      </c>
      <c r="Q17" s="566">
        <v>3828109</v>
      </c>
      <c r="R17" s="566">
        <v>4704581</v>
      </c>
      <c r="S17" s="566">
        <v>4265237</v>
      </c>
      <c r="T17" s="566">
        <v>3448128</v>
      </c>
      <c r="U17" s="565">
        <v>3456619</v>
      </c>
      <c r="V17" s="588" t="s">
        <v>1245</v>
      </c>
      <c r="W17" s="588"/>
      <c r="X17" s="570" t="s">
        <v>1231</v>
      </c>
      <c r="Y17" s="569"/>
      <c r="Z17" s="943"/>
      <c r="AA17" s="568"/>
      <c r="AB17" s="580"/>
      <c r="EX17" s="365"/>
      <c r="EY17" s="568"/>
      <c r="EZ17" s="568"/>
      <c r="FA17" s="568"/>
      <c r="FB17" s="568"/>
      <c r="FC17" s="556"/>
      <c r="FD17" s="556"/>
      <c r="FE17" s="556"/>
      <c r="FF17" s="556"/>
      <c r="FG17" s="556"/>
      <c r="FH17" s="556"/>
      <c r="FI17" s="556"/>
      <c r="FJ17" s="556"/>
      <c r="FK17" s="556"/>
      <c r="FL17" s="556"/>
      <c r="FM17" s="556"/>
      <c r="FN17" s="556"/>
      <c r="FO17" s="556"/>
      <c r="FP17" s="556"/>
      <c r="FQ17" s="556"/>
      <c r="FR17" s="556"/>
      <c r="FS17" s="556"/>
      <c r="FT17" s="556"/>
      <c r="FU17" s="556"/>
      <c r="FV17" s="556"/>
      <c r="FW17" s="365"/>
      <c r="FX17" s="568"/>
      <c r="FY17" s="568"/>
      <c r="FZ17" s="568"/>
      <c r="GA17" s="568"/>
      <c r="GB17" s="556"/>
      <c r="GC17" s="556"/>
      <c r="GD17" s="556"/>
      <c r="GE17" s="556"/>
      <c r="GF17" s="556"/>
      <c r="GG17" s="556"/>
      <c r="GH17" s="556"/>
      <c r="GI17" s="556"/>
      <c r="GJ17" s="556"/>
      <c r="GK17" s="556"/>
      <c r="GL17" s="556"/>
      <c r="GM17" s="556"/>
      <c r="GN17" s="556"/>
      <c r="GO17" s="556"/>
      <c r="GP17" s="556"/>
      <c r="GQ17" s="556"/>
      <c r="GR17" s="556"/>
      <c r="GS17" s="556"/>
      <c r="GT17" s="556"/>
      <c r="GU17" s="556"/>
      <c r="GV17" s="556"/>
      <c r="GW17" s="556"/>
    </row>
    <row r="18" spans="1:205" s="239" customFormat="1" ht="20.25" customHeight="1" x14ac:dyDescent="0.15">
      <c r="A18" s="365"/>
      <c r="B18" s="922"/>
      <c r="C18" s="1110"/>
      <c r="D18" s="1116" t="s">
        <v>392</v>
      </c>
      <c r="E18" s="1117"/>
      <c r="F18" s="566">
        <v>64538</v>
      </c>
      <c r="G18" s="566">
        <v>3330</v>
      </c>
      <c r="H18" s="566">
        <v>2499</v>
      </c>
      <c r="I18" s="566">
        <v>3512</v>
      </c>
      <c r="J18" s="566">
        <v>2747</v>
      </c>
      <c r="K18" s="566">
        <v>2648</v>
      </c>
      <c r="L18" s="566">
        <v>3363</v>
      </c>
      <c r="M18" s="566">
        <v>16114</v>
      </c>
      <c r="N18" s="567">
        <v>13214</v>
      </c>
      <c r="O18" s="566">
        <v>8161</v>
      </c>
      <c r="P18" s="566">
        <v>2471</v>
      </c>
      <c r="Q18" s="566">
        <v>3220</v>
      </c>
      <c r="R18" s="566">
        <v>3259</v>
      </c>
      <c r="S18" s="566">
        <v>7665</v>
      </c>
      <c r="T18" s="566">
        <v>1465</v>
      </c>
      <c r="U18" s="565">
        <v>4878</v>
      </c>
      <c r="V18" s="588" t="s">
        <v>1246</v>
      </c>
      <c r="W18" s="588"/>
      <c r="X18" s="563"/>
      <c r="Y18" s="1116" t="s">
        <v>1247</v>
      </c>
      <c r="Z18" s="943"/>
      <c r="AA18" s="568"/>
      <c r="AB18" s="580"/>
      <c r="EX18" s="365"/>
      <c r="EY18" s="568"/>
      <c r="EZ18" s="568"/>
      <c r="FA18" s="568"/>
      <c r="FB18" s="568"/>
      <c r="FC18" s="556"/>
      <c r="FD18" s="556"/>
      <c r="FE18" s="556"/>
      <c r="FF18" s="556"/>
      <c r="FG18" s="556"/>
      <c r="FH18" s="556"/>
      <c r="FI18" s="556"/>
      <c r="FJ18" s="556"/>
      <c r="FK18" s="556"/>
      <c r="FL18" s="556"/>
      <c r="FM18" s="556"/>
      <c r="FN18" s="556"/>
      <c r="FO18" s="556"/>
      <c r="FP18" s="556"/>
      <c r="FQ18" s="556"/>
      <c r="FR18" s="556"/>
      <c r="FS18" s="556"/>
      <c r="FT18" s="556"/>
      <c r="FU18" s="556"/>
      <c r="FV18" s="556"/>
      <c r="FW18" s="365"/>
      <c r="FX18" s="568"/>
      <c r="FY18" s="568"/>
      <c r="FZ18" s="568"/>
      <c r="GA18" s="568"/>
      <c r="GB18" s="556"/>
      <c r="GC18" s="556"/>
      <c r="GD18" s="556"/>
      <c r="GE18" s="556"/>
      <c r="GF18" s="556"/>
      <c r="GG18" s="556"/>
      <c r="GH18" s="556"/>
      <c r="GI18" s="556"/>
      <c r="GJ18" s="556"/>
      <c r="GK18" s="556"/>
      <c r="GL18" s="556"/>
      <c r="GM18" s="556"/>
      <c r="GN18" s="556"/>
      <c r="GO18" s="556"/>
      <c r="GP18" s="556"/>
      <c r="GQ18" s="556"/>
      <c r="GR18" s="556"/>
      <c r="GS18" s="556"/>
      <c r="GT18" s="556"/>
      <c r="GU18" s="556"/>
      <c r="GV18" s="556"/>
      <c r="GW18" s="556"/>
    </row>
    <row r="19" spans="1:205" s="239" customFormat="1" ht="8.25" customHeight="1" x14ac:dyDescent="0.15">
      <c r="A19" s="365"/>
      <c r="B19" s="1128" t="s">
        <v>1248</v>
      </c>
      <c r="C19" s="1123"/>
      <c r="D19" s="923"/>
      <c r="E19" s="924"/>
      <c r="F19" s="566"/>
      <c r="G19" s="566"/>
      <c r="H19" s="566"/>
      <c r="I19" s="566"/>
      <c r="J19" s="566"/>
      <c r="K19" s="566"/>
      <c r="L19" s="566"/>
      <c r="M19" s="566"/>
      <c r="N19" s="567"/>
      <c r="O19" s="566"/>
      <c r="P19" s="566"/>
      <c r="Q19" s="566"/>
      <c r="R19" s="566"/>
      <c r="S19" s="566"/>
      <c r="T19" s="566"/>
      <c r="U19" s="565"/>
      <c r="V19" s="586"/>
      <c r="W19" s="586"/>
      <c r="X19" s="558"/>
      <c r="Y19" s="1116"/>
      <c r="Z19" s="943"/>
      <c r="AA19" s="568"/>
      <c r="AB19" s="580"/>
      <c r="EX19" s="365"/>
      <c r="EY19" s="568"/>
      <c r="EZ19" s="568"/>
      <c r="FA19" s="568"/>
      <c r="FB19" s="568"/>
      <c r="FC19" s="556"/>
      <c r="FD19" s="556"/>
      <c r="FE19" s="556"/>
      <c r="FF19" s="556"/>
      <c r="FG19" s="556"/>
      <c r="FH19" s="556"/>
      <c r="FI19" s="556"/>
      <c r="FJ19" s="556"/>
      <c r="FK19" s="556"/>
      <c r="FL19" s="556"/>
      <c r="FM19" s="556"/>
      <c r="FN19" s="556"/>
      <c r="FO19" s="556"/>
      <c r="FP19" s="556"/>
      <c r="FQ19" s="556"/>
      <c r="FR19" s="556"/>
      <c r="FS19" s="556"/>
      <c r="FT19" s="556"/>
      <c r="FU19" s="556"/>
      <c r="FV19" s="556"/>
      <c r="FW19" s="365"/>
      <c r="FX19" s="568"/>
      <c r="FY19" s="568"/>
      <c r="FZ19" s="568"/>
      <c r="GA19" s="568"/>
      <c r="GB19" s="556"/>
      <c r="GC19" s="556"/>
      <c r="GD19" s="556"/>
      <c r="GE19" s="556"/>
      <c r="GF19" s="556"/>
      <c r="GG19" s="556"/>
      <c r="GH19" s="556"/>
      <c r="GI19" s="556"/>
      <c r="GJ19" s="556"/>
      <c r="GK19" s="556"/>
      <c r="GL19" s="556"/>
      <c r="GM19" s="556"/>
      <c r="GN19" s="556"/>
      <c r="GO19" s="556"/>
      <c r="GP19" s="556"/>
      <c r="GQ19" s="556"/>
      <c r="GR19" s="556"/>
      <c r="GS19" s="556"/>
      <c r="GT19" s="556"/>
      <c r="GU19" s="556"/>
      <c r="GV19" s="556"/>
      <c r="GW19" s="556"/>
    </row>
    <row r="20" spans="1:205" s="239" customFormat="1" ht="20.25" customHeight="1" x14ac:dyDescent="0.15">
      <c r="A20" s="365"/>
      <c r="B20" s="1129"/>
      <c r="C20" s="1130" t="s">
        <v>643</v>
      </c>
      <c r="D20" s="1112" t="s">
        <v>1227</v>
      </c>
      <c r="E20" s="1113"/>
      <c r="F20" s="576">
        <v>292048</v>
      </c>
      <c r="G20" s="576">
        <v>275172</v>
      </c>
      <c r="H20" s="576">
        <v>324352</v>
      </c>
      <c r="I20" s="576">
        <v>325390</v>
      </c>
      <c r="J20" s="576">
        <v>408172</v>
      </c>
      <c r="K20" s="576">
        <v>411944</v>
      </c>
      <c r="L20" s="576">
        <v>405171</v>
      </c>
      <c r="M20" s="576">
        <v>250806</v>
      </c>
      <c r="N20" s="577">
        <v>450725</v>
      </c>
      <c r="O20" s="576">
        <v>509922</v>
      </c>
      <c r="P20" s="576">
        <v>485894</v>
      </c>
      <c r="Q20" s="576">
        <v>356501</v>
      </c>
      <c r="R20" s="576">
        <v>292048</v>
      </c>
      <c r="S20" s="576">
        <v>509229</v>
      </c>
      <c r="T20" s="576">
        <v>414408</v>
      </c>
      <c r="U20" s="575">
        <v>362540</v>
      </c>
      <c r="V20" s="1114" t="s">
        <v>1249</v>
      </c>
      <c r="W20" s="1115"/>
      <c r="X20" s="572"/>
      <c r="Y20" s="589"/>
      <c r="Z20" s="943"/>
      <c r="AA20" s="568"/>
      <c r="AB20" s="580"/>
      <c r="EX20" s="365"/>
      <c r="EY20" s="568"/>
      <c r="EZ20" s="568"/>
      <c r="FA20" s="568"/>
      <c r="FB20" s="568"/>
      <c r="FC20" s="556"/>
      <c r="FD20" s="556"/>
      <c r="FE20" s="556"/>
      <c r="FF20" s="556"/>
      <c r="FG20" s="556"/>
      <c r="FH20" s="556"/>
      <c r="FI20" s="556"/>
      <c r="FJ20" s="556"/>
      <c r="FK20" s="556"/>
      <c r="FL20" s="556"/>
      <c r="FM20" s="556"/>
      <c r="FN20" s="556"/>
      <c r="FO20" s="556"/>
      <c r="FP20" s="556"/>
      <c r="FQ20" s="556"/>
      <c r="FR20" s="556"/>
      <c r="FS20" s="556"/>
      <c r="FT20" s="556"/>
      <c r="FU20" s="556"/>
      <c r="FV20" s="556"/>
      <c r="FW20" s="365"/>
      <c r="FX20" s="568"/>
      <c r="FY20" s="568"/>
      <c r="FZ20" s="568"/>
      <c r="GA20" s="568"/>
      <c r="GB20" s="556"/>
      <c r="GC20" s="556"/>
      <c r="GD20" s="556"/>
      <c r="GE20" s="556"/>
      <c r="GF20" s="556"/>
      <c r="GG20" s="556"/>
      <c r="GH20" s="556"/>
      <c r="GI20" s="556"/>
      <c r="GJ20" s="556"/>
      <c r="GK20" s="556"/>
      <c r="GL20" s="556"/>
      <c r="GM20" s="556"/>
      <c r="GN20" s="556"/>
      <c r="GO20" s="556"/>
      <c r="GP20" s="556"/>
      <c r="GQ20" s="556"/>
      <c r="GR20" s="556"/>
      <c r="GS20" s="556"/>
      <c r="GT20" s="556"/>
      <c r="GU20" s="556"/>
      <c r="GV20" s="556"/>
      <c r="GW20" s="556"/>
    </row>
    <row r="21" spans="1:205" s="239" customFormat="1" ht="20.25" customHeight="1" x14ac:dyDescent="0.15">
      <c r="A21" s="365"/>
      <c r="B21" s="925" t="s">
        <v>1250</v>
      </c>
      <c r="C21" s="1131"/>
      <c r="D21" s="1116" t="s">
        <v>393</v>
      </c>
      <c r="E21" s="1117"/>
      <c r="F21" s="566">
        <v>291955</v>
      </c>
      <c r="G21" s="566">
        <v>267843</v>
      </c>
      <c r="H21" s="566">
        <v>322844</v>
      </c>
      <c r="I21" s="566">
        <v>323859</v>
      </c>
      <c r="J21" s="566">
        <v>406604</v>
      </c>
      <c r="K21" s="566">
        <v>411777</v>
      </c>
      <c r="L21" s="566">
        <v>405057</v>
      </c>
      <c r="M21" s="566">
        <v>250641</v>
      </c>
      <c r="N21" s="567">
        <v>450579</v>
      </c>
      <c r="O21" s="566">
        <v>509789</v>
      </c>
      <c r="P21" s="566">
        <v>485804</v>
      </c>
      <c r="Q21" s="566">
        <v>356405</v>
      </c>
      <c r="R21" s="566">
        <v>291955</v>
      </c>
      <c r="S21" s="566">
        <v>509132</v>
      </c>
      <c r="T21" s="566">
        <v>409314</v>
      </c>
      <c r="U21" s="565">
        <v>362447</v>
      </c>
      <c r="V21" s="588" t="s">
        <v>1245</v>
      </c>
      <c r="W21" s="588"/>
      <c r="X21" s="570" t="s">
        <v>1251</v>
      </c>
      <c r="Y21" s="569"/>
      <c r="Z21" s="943"/>
      <c r="AA21" s="568"/>
      <c r="AB21" s="580"/>
      <c r="EX21" s="365"/>
      <c r="EY21" s="568"/>
      <c r="EZ21" s="568"/>
      <c r="FA21" s="568"/>
      <c r="FB21" s="568"/>
      <c r="FC21" s="556"/>
      <c r="FD21" s="556"/>
      <c r="FE21" s="556"/>
      <c r="FF21" s="556"/>
      <c r="FG21" s="556"/>
      <c r="FH21" s="556"/>
      <c r="FI21" s="556"/>
      <c r="FJ21" s="556"/>
      <c r="FK21" s="556"/>
      <c r="FL21" s="556"/>
      <c r="FM21" s="556"/>
      <c r="FN21" s="556"/>
      <c r="FO21" s="556"/>
      <c r="FP21" s="556"/>
      <c r="FQ21" s="556"/>
      <c r="FR21" s="556"/>
      <c r="FS21" s="556"/>
      <c r="FT21" s="556"/>
      <c r="FU21" s="556"/>
      <c r="FV21" s="556"/>
      <c r="FW21" s="365"/>
      <c r="FX21" s="568"/>
      <c r="FY21" s="568"/>
      <c r="FZ21" s="568"/>
      <c r="GA21" s="568"/>
      <c r="GB21" s="556"/>
      <c r="GC21" s="556"/>
      <c r="GD21" s="556"/>
      <c r="GE21" s="556"/>
      <c r="GF21" s="556"/>
      <c r="GG21" s="556"/>
      <c r="GH21" s="556"/>
      <c r="GI21" s="556"/>
      <c r="GJ21" s="556"/>
      <c r="GK21" s="556"/>
      <c r="GL21" s="556"/>
      <c r="GM21" s="556"/>
      <c r="GN21" s="556"/>
      <c r="GO21" s="556"/>
      <c r="GP21" s="556"/>
      <c r="GQ21" s="556"/>
      <c r="GR21" s="556"/>
      <c r="GS21" s="556"/>
      <c r="GT21" s="556"/>
      <c r="GU21" s="556"/>
      <c r="GV21" s="556"/>
      <c r="GW21" s="556"/>
    </row>
    <row r="22" spans="1:205" s="239" customFormat="1" ht="20.25" customHeight="1" x14ac:dyDescent="0.15">
      <c r="A22" s="365"/>
      <c r="B22" s="571"/>
      <c r="C22" s="1131"/>
      <c r="D22" s="1116" t="s">
        <v>392</v>
      </c>
      <c r="E22" s="1117"/>
      <c r="F22" s="566">
        <v>93</v>
      </c>
      <c r="G22" s="566">
        <v>7329</v>
      </c>
      <c r="H22" s="566">
        <v>1508</v>
      </c>
      <c r="I22" s="566">
        <v>1531</v>
      </c>
      <c r="J22" s="566">
        <v>1568</v>
      </c>
      <c r="K22" s="566">
        <v>167</v>
      </c>
      <c r="L22" s="566">
        <v>114</v>
      </c>
      <c r="M22" s="566">
        <v>165</v>
      </c>
      <c r="N22" s="567">
        <v>146</v>
      </c>
      <c r="O22" s="566">
        <v>133</v>
      </c>
      <c r="P22" s="566">
        <v>90</v>
      </c>
      <c r="Q22" s="566">
        <v>96</v>
      </c>
      <c r="R22" s="566">
        <v>93</v>
      </c>
      <c r="S22" s="566">
        <v>97</v>
      </c>
      <c r="T22" s="566">
        <v>5094</v>
      </c>
      <c r="U22" s="565">
        <v>93</v>
      </c>
      <c r="V22" s="588" t="s">
        <v>1252</v>
      </c>
      <c r="W22" s="588"/>
      <c r="X22" s="563"/>
      <c r="Y22" s="569"/>
      <c r="Z22" s="943"/>
      <c r="AA22" s="568"/>
      <c r="AB22" s="580"/>
      <c r="EX22" s="365"/>
      <c r="EY22" s="568"/>
      <c r="EZ22" s="568"/>
      <c r="FA22" s="568"/>
      <c r="FB22" s="568"/>
      <c r="FC22" s="556"/>
      <c r="FD22" s="556"/>
      <c r="FE22" s="556"/>
      <c r="FF22" s="556"/>
      <c r="FG22" s="556"/>
      <c r="FH22" s="556"/>
      <c r="FI22" s="556"/>
      <c r="FJ22" s="556"/>
      <c r="FK22" s="556"/>
      <c r="FL22" s="556"/>
      <c r="FM22" s="556"/>
      <c r="FN22" s="556"/>
      <c r="FO22" s="556"/>
      <c r="FP22" s="556"/>
      <c r="FQ22" s="556"/>
      <c r="FR22" s="556"/>
      <c r="FS22" s="556"/>
      <c r="FT22" s="556"/>
      <c r="FU22" s="556"/>
      <c r="FV22" s="556"/>
      <c r="FW22" s="365"/>
      <c r="FX22" s="568"/>
      <c r="FY22" s="568"/>
      <c r="FZ22" s="568"/>
      <c r="GA22" s="568"/>
      <c r="GB22" s="556"/>
      <c r="GC22" s="556"/>
      <c r="GD22" s="556"/>
      <c r="GE22" s="556"/>
      <c r="GF22" s="556"/>
      <c r="GG22" s="556"/>
      <c r="GH22" s="556"/>
      <c r="GI22" s="556"/>
      <c r="GJ22" s="556"/>
      <c r="GK22" s="556"/>
      <c r="GL22" s="556"/>
      <c r="GM22" s="556"/>
      <c r="GN22" s="556"/>
      <c r="GO22" s="556"/>
      <c r="GP22" s="556"/>
      <c r="GQ22" s="556"/>
      <c r="GR22" s="556"/>
      <c r="GS22" s="556"/>
      <c r="GT22" s="556"/>
      <c r="GU22" s="556"/>
      <c r="GV22" s="556"/>
      <c r="GW22" s="556"/>
    </row>
    <row r="23" spans="1:205" s="239" customFormat="1" ht="8.25" customHeight="1" x14ac:dyDescent="0.15">
      <c r="A23" s="365"/>
      <c r="B23" s="587"/>
      <c r="C23" s="926"/>
      <c r="D23" s="923"/>
      <c r="E23" s="924"/>
      <c r="F23" s="561"/>
      <c r="G23" s="561"/>
      <c r="H23" s="561"/>
      <c r="I23" s="561"/>
      <c r="J23" s="561"/>
      <c r="K23" s="561"/>
      <c r="L23" s="561"/>
      <c r="M23" s="561"/>
      <c r="N23" s="561"/>
      <c r="O23" s="561"/>
      <c r="P23" s="561"/>
      <c r="Q23" s="561"/>
      <c r="R23" s="561"/>
      <c r="S23" s="561"/>
      <c r="T23" s="561"/>
      <c r="U23" s="560"/>
      <c r="V23" s="1037"/>
      <c r="W23" s="1038"/>
      <c r="X23" s="558"/>
      <c r="Y23" s="579"/>
      <c r="Z23" s="943"/>
      <c r="AA23" s="568"/>
      <c r="AB23" s="580"/>
      <c r="EX23" s="365"/>
      <c r="EY23" s="568"/>
      <c r="EZ23" s="568"/>
      <c r="FA23" s="568"/>
      <c r="FB23" s="568"/>
      <c r="FC23" s="556"/>
      <c r="FD23" s="556"/>
      <c r="FE23" s="556"/>
      <c r="FF23" s="556"/>
      <c r="FG23" s="556"/>
      <c r="FH23" s="556"/>
      <c r="FI23" s="556"/>
      <c r="FJ23" s="556"/>
      <c r="FK23" s="556"/>
      <c r="FL23" s="556"/>
      <c r="FM23" s="556"/>
      <c r="FN23" s="556"/>
      <c r="FO23" s="556"/>
      <c r="FP23" s="556"/>
      <c r="FQ23" s="556"/>
      <c r="FR23" s="556"/>
      <c r="FS23" s="556"/>
      <c r="FT23" s="556"/>
      <c r="FU23" s="556"/>
      <c r="FV23" s="556"/>
      <c r="FW23" s="365"/>
      <c r="FX23" s="568"/>
      <c r="FY23" s="568"/>
      <c r="FZ23" s="568"/>
      <c r="GA23" s="568"/>
      <c r="GB23" s="556"/>
      <c r="GC23" s="556"/>
      <c r="GD23" s="556"/>
      <c r="GE23" s="556"/>
      <c r="GF23" s="556"/>
      <c r="GG23" s="556"/>
      <c r="GH23" s="556"/>
      <c r="GI23" s="556"/>
      <c r="GJ23" s="556"/>
      <c r="GK23" s="556"/>
      <c r="GL23" s="556"/>
      <c r="GM23" s="556"/>
      <c r="GN23" s="556"/>
      <c r="GO23" s="556"/>
      <c r="GP23" s="556"/>
      <c r="GQ23" s="556"/>
      <c r="GR23" s="556"/>
      <c r="GS23" s="556"/>
      <c r="GT23" s="556"/>
      <c r="GU23" s="556"/>
      <c r="GV23" s="556"/>
      <c r="GW23" s="556"/>
    </row>
    <row r="24" spans="1:205" s="239" customFormat="1" ht="20.25" customHeight="1" x14ac:dyDescent="0.15">
      <c r="A24" s="365"/>
      <c r="B24" s="585"/>
      <c r="C24" s="1122" t="s">
        <v>391</v>
      </c>
      <c r="D24" s="1124" t="s">
        <v>1227</v>
      </c>
      <c r="E24" s="1125"/>
      <c r="F24" s="583">
        <v>2239322</v>
      </c>
      <c r="G24" s="583">
        <v>170901</v>
      </c>
      <c r="H24" s="583">
        <v>179665</v>
      </c>
      <c r="I24" s="583">
        <v>219577</v>
      </c>
      <c r="J24" s="583">
        <v>190786</v>
      </c>
      <c r="K24" s="583">
        <v>172599</v>
      </c>
      <c r="L24" s="583">
        <v>205142</v>
      </c>
      <c r="M24" s="583">
        <v>182233</v>
      </c>
      <c r="N24" s="584">
        <v>163308</v>
      </c>
      <c r="O24" s="583">
        <v>197997</v>
      </c>
      <c r="P24" s="583">
        <v>180129</v>
      </c>
      <c r="Q24" s="583">
        <v>185311</v>
      </c>
      <c r="R24" s="583">
        <v>191674</v>
      </c>
      <c r="S24" s="583">
        <v>169909</v>
      </c>
      <c r="T24" s="583">
        <v>178752</v>
      </c>
      <c r="U24" s="582">
        <v>216220</v>
      </c>
      <c r="V24" s="1126" t="s">
        <v>1253</v>
      </c>
      <c r="W24" s="1127"/>
      <c r="X24" s="572"/>
      <c r="Y24" s="581"/>
      <c r="Z24" s="943"/>
      <c r="AA24" s="568"/>
      <c r="AB24" s="580"/>
      <c r="EX24" s="365"/>
      <c r="EY24" s="568"/>
      <c r="EZ24" s="568"/>
      <c r="FA24" s="568"/>
      <c r="FB24" s="568"/>
      <c r="FC24" s="556"/>
      <c r="FD24" s="556"/>
      <c r="FE24" s="556"/>
      <c r="FF24" s="556"/>
      <c r="FG24" s="556"/>
      <c r="FH24" s="556"/>
      <c r="FI24" s="556"/>
      <c r="FJ24" s="556"/>
      <c r="FK24" s="556"/>
      <c r="FL24" s="556"/>
      <c r="FM24" s="556"/>
      <c r="FN24" s="556"/>
      <c r="FO24" s="556"/>
      <c r="FP24" s="556"/>
      <c r="FQ24" s="556"/>
      <c r="FR24" s="556"/>
      <c r="FS24" s="556"/>
      <c r="FT24" s="556"/>
      <c r="FU24" s="556"/>
      <c r="FV24" s="556"/>
      <c r="FW24" s="365"/>
      <c r="FX24" s="568"/>
      <c r="FY24" s="568"/>
      <c r="FZ24" s="568"/>
      <c r="GA24" s="568"/>
      <c r="GB24" s="556"/>
      <c r="GC24" s="556"/>
      <c r="GD24" s="556"/>
      <c r="GE24" s="556"/>
      <c r="GF24" s="556"/>
      <c r="GG24" s="556"/>
      <c r="GH24" s="556"/>
      <c r="GI24" s="556"/>
      <c r="GJ24" s="556"/>
      <c r="GK24" s="556"/>
      <c r="GL24" s="556"/>
      <c r="GM24" s="556"/>
      <c r="GN24" s="556"/>
      <c r="GO24" s="556"/>
      <c r="GP24" s="556"/>
      <c r="GQ24" s="556"/>
      <c r="GR24" s="556"/>
      <c r="GS24" s="556"/>
      <c r="GT24" s="556"/>
      <c r="GU24" s="556"/>
      <c r="GV24" s="556"/>
      <c r="GW24" s="556"/>
    </row>
    <row r="25" spans="1:205" s="239" customFormat="1" ht="20.25" customHeight="1" x14ac:dyDescent="0.15">
      <c r="A25" s="365"/>
      <c r="B25" s="571"/>
      <c r="C25" s="1136"/>
      <c r="D25" s="1116" t="s">
        <v>1254</v>
      </c>
      <c r="E25" s="1117"/>
      <c r="F25" s="566">
        <v>369140</v>
      </c>
      <c r="G25" s="566">
        <v>27658</v>
      </c>
      <c r="H25" s="566">
        <v>28572</v>
      </c>
      <c r="I25" s="566">
        <v>36465</v>
      </c>
      <c r="J25" s="566">
        <v>31628</v>
      </c>
      <c r="K25" s="566">
        <v>27282</v>
      </c>
      <c r="L25" s="566">
        <v>31367</v>
      </c>
      <c r="M25" s="566">
        <v>31433</v>
      </c>
      <c r="N25" s="567">
        <v>26921</v>
      </c>
      <c r="O25" s="566">
        <v>33256</v>
      </c>
      <c r="P25" s="566">
        <v>30357</v>
      </c>
      <c r="Q25" s="566">
        <v>31350</v>
      </c>
      <c r="R25" s="566">
        <v>32851</v>
      </c>
      <c r="S25" s="566">
        <v>27820</v>
      </c>
      <c r="T25" s="566">
        <v>29521</v>
      </c>
      <c r="U25" s="565">
        <v>36728</v>
      </c>
      <c r="V25" s="568" t="s">
        <v>645</v>
      </c>
      <c r="W25" s="568"/>
      <c r="X25" s="563"/>
      <c r="Y25" s="569"/>
      <c r="Z25" s="943"/>
      <c r="AA25" s="568"/>
      <c r="AB25" s="580"/>
      <c r="EX25" s="365"/>
      <c r="EY25" s="568"/>
      <c r="EZ25" s="568"/>
      <c r="FA25" s="568"/>
      <c r="FB25" s="568"/>
      <c r="FC25" s="556"/>
      <c r="FD25" s="556"/>
      <c r="FE25" s="556"/>
      <c r="FF25" s="556"/>
      <c r="FG25" s="556"/>
      <c r="FH25" s="556"/>
      <c r="FI25" s="556"/>
      <c r="FJ25" s="556"/>
      <c r="FK25" s="556"/>
      <c r="FL25" s="556"/>
      <c r="FM25" s="556"/>
      <c r="FN25" s="556"/>
      <c r="FO25" s="556"/>
      <c r="FP25" s="556"/>
      <c r="FQ25" s="556"/>
      <c r="FR25" s="556"/>
      <c r="FS25" s="556"/>
      <c r="FT25" s="556"/>
      <c r="FU25" s="556"/>
      <c r="FV25" s="556"/>
      <c r="FW25" s="365"/>
      <c r="FX25" s="568"/>
      <c r="FY25" s="568"/>
      <c r="FZ25" s="568"/>
      <c r="GA25" s="568"/>
      <c r="GB25" s="556"/>
      <c r="GC25" s="556"/>
      <c r="GD25" s="556"/>
      <c r="GE25" s="556"/>
      <c r="GF25" s="556"/>
      <c r="GG25" s="556"/>
      <c r="GH25" s="556"/>
      <c r="GI25" s="556"/>
      <c r="GJ25" s="556"/>
      <c r="GK25" s="556"/>
      <c r="GL25" s="556"/>
      <c r="GM25" s="556"/>
      <c r="GN25" s="556"/>
      <c r="GO25" s="556"/>
      <c r="GP25" s="556"/>
      <c r="GQ25" s="556"/>
      <c r="GR25" s="556"/>
      <c r="GS25" s="556"/>
      <c r="GT25" s="556"/>
      <c r="GU25" s="556"/>
      <c r="GV25" s="556"/>
      <c r="GW25" s="556"/>
    </row>
    <row r="26" spans="1:205" s="239" customFormat="1" ht="20.25" customHeight="1" x14ac:dyDescent="0.15">
      <c r="A26" s="365"/>
      <c r="B26" s="571"/>
      <c r="C26" s="1136"/>
      <c r="D26" s="1132" t="s">
        <v>388</v>
      </c>
      <c r="E26" s="1133"/>
      <c r="F26" s="566">
        <v>221484</v>
      </c>
      <c r="G26" s="566">
        <v>16627</v>
      </c>
      <c r="H26" s="566">
        <v>16894</v>
      </c>
      <c r="I26" s="566">
        <v>24252</v>
      </c>
      <c r="J26" s="566">
        <v>17417</v>
      </c>
      <c r="K26" s="566">
        <v>16281</v>
      </c>
      <c r="L26" s="566">
        <v>20415</v>
      </c>
      <c r="M26" s="566">
        <v>16504</v>
      </c>
      <c r="N26" s="567">
        <v>15091</v>
      </c>
      <c r="O26" s="566">
        <v>20313</v>
      </c>
      <c r="P26" s="566">
        <v>19838</v>
      </c>
      <c r="Q26" s="566">
        <v>18789</v>
      </c>
      <c r="R26" s="566">
        <v>19063</v>
      </c>
      <c r="S26" s="566">
        <v>18090</v>
      </c>
      <c r="T26" s="566">
        <v>19546</v>
      </c>
      <c r="U26" s="565">
        <v>24917</v>
      </c>
      <c r="V26" s="568" t="s">
        <v>1255</v>
      </c>
      <c r="W26" s="568"/>
      <c r="X26" s="563"/>
      <c r="Y26" s="569"/>
      <c r="Z26" s="943"/>
      <c r="AA26" s="568"/>
      <c r="AB26" s="580"/>
      <c r="EX26" s="365"/>
      <c r="EY26" s="568"/>
      <c r="EZ26" s="568"/>
      <c r="FA26" s="568"/>
      <c r="FB26" s="568"/>
      <c r="FC26" s="556"/>
      <c r="FD26" s="556"/>
      <c r="FE26" s="556"/>
      <c r="FF26" s="556"/>
      <c r="FG26" s="556"/>
      <c r="FH26" s="556"/>
      <c r="FI26" s="556"/>
      <c r="FJ26" s="556"/>
      <c r="FK26" s="556"/>
      <c r="FL26" s="556"/>
      <c r="FM26" s="556"/>
      <c r="FN26" s="556"/>
      <c r="FO26" s="556"/>
      <c r="FP26" s="556"/>
      <c r="FQ26" s="556"/>
      <c r="FR26" s="556"/>
      <c r="FS26" s="556"/>
      <c r="FT26" s="556"/>
      <c r="FU26" s="556"/>
      <c r="FV26" s="556"/>
      <c r="FW26" s="365"/>
      <c r="FX26" s="568"/>
      <c r="FY26" s="568"/>
      <c r="FZ26" s="568"/>
      <c r="GA26" s="568"/>
      <c r="GB26" s="556"/>
      <c r="GC26" s="556"/>
      <c r="GD26" s="556"/>
      <c r="GE26" s="556"/>
      <c r="GF26" s="556"/>
      <c r="GG26" s="556"/>
      <c r="GH26" s="556"/>
      <c r="GI26" s="556"/>
      <c r="GJ26" s="556"/>
      <c r="GK26" s="556"/>
      <c r="GL26" s="556"/>
      <c r="GM26" s="556"/>
      <c r="GN26" s="556"/>
      <c r="GO26" s="556"/>
      <c r="GP26" s="556"/>
      <c r="GQ26" s="556"/>
      <c r="GR26" s="556"/>
      <c r="GS26" s="556"/>
      <c r="GT26" s="556"/>
      <c r="GU26" s="556"/>
      <c r="GV26" s="556"/>
      <c r="GW26" s="556"/>
    </row>
    <row r="27" spans="1:205" s="239" customFormat="1" ht="20.25" customHeight="1" x14ac:dyDescent="0.15">
      <c r="A27" s="365"/>
      <c r="B27" s="571"/>
      <c r="C27" s="1136"/>
      <c r="D27" s="1116" t="s">
        <v>1256</v>
      </c>
      <c r="E27" s="1117"/>
      <c r="F27" s="566">
        <v>218518</v>
      </c>
      <c r="G27" s="566">
        <v>17685</v>
      </c>
      <c r="H27" s="566">
        <v>18636</v>
      </c>
      <c r="I27" s="566">
        <v>22304</v>
      </c>
      <c r="J27" s="566">
        <v>19142</v>
      </c>
      <c r="K27" s="566">
        <v>15770</v>
      </c>
      <c r="L27" s="566">
        <v>20294</v>
      </c>
      <c r="M27" s="566">
        <v>19696</v>
      </c>
      <c r="N27" s="567">
        <v>15460</v>
      </c>
      <c r="O27" s="566">
        <v>16525</v>
      </c>
      <c r="P27" s="566">
        <v>16580</v>
      </c>
      <c r="Q27" s="566">
        <v>18369</v>
      </c>
      <c r="R27" s="566">
        <v>18057</v>
      </c>
      <c r="S27" s="566">
        <v>16177</v>
      </c>
      <c r="T27" s="566">
        <v>16899</v>
      </c>
      <c r="U27" s="565">
        <v>20301</v>
      </c>
      <c r="V27" s="568" t="s">
        <v>646</v>
      </c>
      <c r="W27" s="568"/>
      <c r="X27" s="563"/>
      <c r="Y27" s="569"/>
      <c r="Z27" s="943"/>
      <c r="AA27" s="568"/>
      <c r="AB27" s="580"/>
      <c r="EX27" s="365"/>
      <c r="EY27" s="568"/>
      <c r="EZ27" s="568"/>
      <c r="FA27" s="568"/>
      <c r="FB27" s="568"/>
      <c r="FC27" s="556"/>
      <c r="FD27" s="556"/>
      <c r="FE27" s="556"/>
      <c r="FF27" s="556"/>
      <c r="FG27" s="556"/>
      <c r="FH27" s="556"/>
      <c r="FI27" s="556"/>
      <c r="FJ27" s="556"/>
      <c r="FK27" s="556"/>
      <c r="FL27" s="556"/>
      <c r="FM27" s="556"/>
      <c r="FN27" s="556"/>
      <c r="FO27" s="556"/>
      <c r="FP27" s="556"/>
      <c r="FQ27" s="556"/>
      <c r="FR27" s="556"/>
      <c r="FS27" s="556"/>
      <c r="FT27" s="556"/>
      <c r="FU27" s="556"/>
      <c r="FV27" s="556"/>
      <c r="FW27" s="365"/>
      <c r="FX27" s="568"/>
      <c r="FY27" s="568"/>
      <c r="FZ27" s="568"/>
      <c r="GA27" s="568"/>
      <c r="GB27" s="556"/>
      <c r="GC27" s="556"/>
      <c r="GD27" s="556"/>
      <c r="GE27" s="556"/>
      <c r="GF27" s="556"/>
      <c r="GG27" s="556"/>
      <c r="GH27" s="556"/>
      <c r="GI27" s="556"/>
      <c r="GJ27" s="556"/>
      <c r="GK27" s="556"/>
      <c r="GL27" s="556"/>
      <c r="GM27" s="556"/>
      <c r="GN27" s="556"/>
      <c r="GO27" s="556"/>
      <c r="GP27" s="556"/>
      <c r="GQ27" s="556"/>
      <c r="GR27" s="556"/>
      <c r="GS27" s="556"/>
      <c r="GT27" s="556"/>
      <c r="GU27" s="556"/>
      <c r="GV27" s="556"/>
      <c r="GW27" s="556"/>
    </row>
    <row r="28" spans="1:205" s="239" customFormat="1" ht="20.25" customHeight="1" x14ac:dyDescent="0.15">
      <c r="A28" s="365"/>
      <c r="B28" s="571"/>
      <c r="C28" s="1136"/>
      <c r="D28" s="1116" t="s">
        <v>1257</v>
      </c>
      <c r="E28" s="1117"/>
      <c r="F28" s="566">
        <v>121444</v>
      </c>
      <c r="G28" s="566">
        <v>9390</v>
      </c>
      <c r="H28" s="566">
        <v>9937</v>
      </c>
      <c r="I28" s="566">
        <v>11880</v>
      </c>
      <c r="J28" s="566">
        <v>10895</v>
      </c>
      <c r="K28" s="566">
        <v>9370</v>
      </c>
      <c r="L28" s="566">
        <v>10700</v>
      </c>
      <c r="M28" s="566">
        <v>9516</v>
      </c>
      <c r="N28" s="567">
        <v>9278</v>
      </c>
      <c r="O28" s="566">
        <v>10545</v>
      </c>
      <c r="P28" s="566">
        <v>9507</v>
      </c>
      <c r="Q28" s="566">
        <v>10273</v>
      </c>
      <c r="R28" s="566">
        <v>10153</v>
      </c>
      <c r="S28" s="566">
        <v>8474</v>
      </c>
      <c r="T28" s="566">
        <v>9286</v>
      </c>
      <c r="U28" s="565">
        <v>12449</v>
      </c>
      <c r="V28" s="568" t="s">
        <v>1258</v>
      </c>
      <c r="W28" s="568"/>
      <c r="X28" s="563"/>
      <c r="Y28" s="569"/>
      <c r="Z28" s="943"/>
      <c r="AA28" s="568"/>
      <c r="AB28" s="580"/>
      <c r="EX28" s="365"/>
      <c r="EY28" s="568"/>
      <c r="EZ28" s="568"/>
      <c r="FA28" s="568"/>
      <c r="FB28" s="568"/>
      <c r="FC28" s="556"/>
      <c r="FD28" s="556"/>
      <c r="FE28" s="556"/>
      <c r="FF28" s="556"/>
      <c r="FG28" s="556"/>
      <c r="FH28" s="556"/>
      <c r="FI28" s="556"/>
      <c r="FJ28" s="556"/>
      <c r="FK28" s="556"/>
      <c r="FL28" s="556"/>
      <c r="FM28" s="556"/>
      <c r="FN28" s="556"/>
      <c r="FO28" s="556"/>
      <c r="FP28" s="556"/>
      <c r="FQ28" s="556"/>
      <c r="FR28" s="556"/>
      <c r="FS28" s="556"/>
      <c r="FT28" s="556"/>
      <c r="FU28" s="556"/>
      <c r="FV28" s="556"/>
      <c r="FW28" s="365"/>
      <c r="FX28" s="568"/>
      <c r="FY28" s="568"/>
      <c r="FZ28" s="568"/>
      <c r="GA28" s="568"/>
      <c r="GB28" s="556"/>
      <c r="GC28" s="556"/>
      <c r="GD28" s="556"/>
      <c r="GE28" s="556"/>
      <c r="GF28" s="556"/>
      <c r="GG28" s="556"/>
      <c r="GH28" s="556"/>
      <c r="GI28" s="556"/>
      <c r="GJ28" s="556"/>
      <c r="GK28" s="556"/>
      <c r="GL28" s="556"/>
      <c r="GM28" s="556"/>
      <c r="GN28" s="556"/>
      <c r="GO28" s="556"/>
      <c r="GP28" s="556"/>
      <c r="GQ28" s="556"/>
      <c r="GR28" s="556"/>
      <c r="GS28" s="556"/>
      <c r="GT28" s="556"/>
      <c r="GU28" s="556"/>
      <c r="GV28" s="556"/>
      <c r="GW28" s="556"/>
    </row>
    <row r="29" spans="1:205" s="239" customFormat="1" ht="20.25" customHeight="1" x14ac:dyDescent="0.15">
      <c r="A29" s="365"/>
      <c r="B29" s="571"/>
      <c r="C29" s="1136"/>
      <c r="D29" s="1116" t="s">
        <v>647</v>
      </c>
      <c r="E29" s="1117"/>
      <c r="F29" s="566">
        <v>312419</v>
      </c>
      <c r="G29" s="566">
        <v>22979</v>
      </c>
      <c r="H29" s="566">
        <v>23230</v>
      </c>
      <c r="I29" s="566">
        <v>29260</v>
      </c>
      <c r="J29" s="566">
        <v>25593</v>
      </c>
      <c r="K29" s="566">
        <v>23663</v>
      </c>
      <c r="L29" s="566">
        <v>29427</v>
      </c>
      <c r="M29" s="566">
        <v>25712</v>
      </c>
      <c r="N29" s="567">
        <v>22774</v>
      </c>
      <c r="O29" s="566">
        <v>27215</v>
      </c>
      <c r="P29" s="566">
        <v>28013</v>
      </c>
      <c r="Q29" s="566">
        <v>26502</v>
      </c>
      <c r="R29" s="566">
        <v>28051</v>
      </c>
      <c r="S29" s="566">
        <v>24511</v>
      </c>
      <c r="T29" s="566">
        <v>26365</v>
      </c>
      <c r="U29" s="565">
        <v>31521</v>
      </c>
      <c r="V29" s="568" t="s">
        <v>1259</v>
      </c>
      <c r="W29" s="568"/>
      <c r="X29" s="570" t="s">
        <v>1231</v>
      </c>
      <c r="Y29" s="569"/>
      <c r="Z29" s="943"/>
      <c r="AA29" s="568"/>
      <c r="AB29" s="580"/>
      <c r="EX29" s="365"/>
      <c r="EY29" s="568"/>
      <c r="EZ29" s="568"/>
      <c r="FA29" s="568"/>
      <c r="FB29" s="568"/>
      <c r="FC29" s="556"/>
      <c r="FD29" s="556"/>
      <c r="FE29" s="556"/>
      <c r="FF29" s="556"/>
      <c r="FG29" s="556"/>
      <c r="FH29" s="556"/>
      <c r="FI29" s="556"/>
      <c r="FJ29" s="556"/>
      <c r="FK29" s="556"/>
      <c r="FL29" s="556"/>
      <c r="FM29" s="556"/>
      <c r="FN29" s="556"/>
      <c r="FO29" s="556"/>
      <c r="FP29" s="556"/>
      <c r="FQ29" s="556"/>
      <c r="FR29" s="556"/>
      <c r="FS29" s="556"/>
      <c r="FT29" s="556"/>
      <c r="FU29" s="556"/>
      <c r="FV29" s="556"/>
      <c r="FW29" s="365"/>
      <c r="FX29" s="568"/>
      <c r="FY29" s="568"/>
      <c r="FZ29" s="568"/>
      <c r="GA29" s="568"/>
      <c r="GB29" s="556"/>
      <c r="GC29" s="556"/>
      <c r="GD29" s="556"/>
      <c r="GE29" s="556"/>
      <c r="GF29" s="556"/>
      <c r="GG29" s="556"/>
      <c r="GH29" s="556"/>
      <c r="GI29" s="556"/>
      <c r="GJ29" s="556"/>
      <c r="GK29" s="556"/>
      <c r="GL29" s="556"/>
      <c r="GM29" s="556"/>
      <c r="GN29" s="556"/>
      <c r="GO29" s="556"/>
      <c r="GP29" s="556"/>
      <c r="GQ29" s="556"/>
      <c r="GR29" s="556"/>
      <c r="GS29" s="556"/>
      <c r="GT29" s="556"/>
      <c r="GU29" s="556"/>
      <c r="GV29" s="556"/>
      <c r="GW29" s="556"/>
    </row>
    <row r="30" spans="1:205" s="239" customFormat="1" ht="20.25" customHeight="1" x14ac:dyDescent="0.15">
      <c r="A30" s="556"/>
      <c r="B30" s="928" t="s">
        <v>390</v>
      </c>
      <c r="C30" s="1136"/>
      <c r="D30" s="1132" t="s">
        <v>1260</v>
      </c>
      <c r="E30" s="1133"/>
      <c r="F30" s="566">
        <v>144656</v>
      </c>
      <c r="G30" s="566">
        <v>10934</v>
      </c>
      <c r="H30" s="566">
        <v>12092</v>
      </c>
      <c r="I30" s="566">
        <v>13576</v>
      </c>
      <c r="J30" s="566">
        <v>12295</v>
      </c>
      <c r="K30" s="566">
        <v>10870</v>
      </c>
      <c r="L30" s="566">
        <v>12783</v>
      </c>
      <c r="M30" s="566">
        <v>12103</v>
      </c>
      <c r="N30" s="567">
        <v>11686</v>
      </c>
      <c r="O30" s="566">
        <v>12354</v>
      </c>
      <c r="P30" s="566">
        <v>11190</v>
      </c>
      <c r="Q30" s="566">
        <v>12461</v>
      </c>
      <c r="R30" s="566">
        <v>12312</v>
      </c>
      <c r="S30" s="566">
        <v>11365</v>
      </c>
      <c r="T30" s="566">
        <v>12757</v>
      </c>
      <c r="U30" s="565">
        <v>13750</v>
      </c>
      <c r="V30" s="556" t="s">
        <v>1261</v>
      </c>
      <c r="W30" s="556"/>
      <c r="X30" s="563"/>
      <c r="Y30" s="562"/>
      <c r="Z30" s="557"/>
      <c r="AA30" s="556"/>
      <c r="FP30" s="556"/>
      <c r="FQ30" s="556"/>
      <c r="FR30" s="556"/>
      <c r="FS30" s="556"/>
      <c r="FT30" s="556"/>
      <c r="FU30" s="556"/>
      <c r="FV30" s="556"/>
      <c r="FW30" s="365"/>
      <c r="FX30" s="568"/>
      <c r="FY30" s="568"/>
      <c r="FZ30" s="568"/>
      <c r="GA30" s="568"/>
      <c r="GB30" s="556"/>
      <c r="GC30" s="556"/>
      <c r="GD30" s="556"/>
      <c r="GE30" s="556"/>
      <c r="GF30" s="556"/>
      <c r="GG30" s="556"/>
      <c r="GH30" s="556"/>
      <c r="GI30" s="556"/>
      <c r="GJ30" s="556"/>
      <c r="GK30" s="556"/>
      <c r="GL30" s="556"/>
      <c r="GM30" s="556"/>
      <c r="GN30" s="556"/>
      <c r="GO30" s="556"/>
      <c r="GP30" s="556"/>
      <c r="GQ30" s="556"/>
      <c r="GR30" s="556"/>
      <c r="GS30" s="556"/>
      <c r="GT30" s="556"/>
      <c r="GU30" s="556"/>
      <c r="GV30" s="556"/>
      <c r="GW30" s="556"/>
    </row>
    <row r="31" spans="1:205" s="239" customFormat="1" ht="20.25" customHeight="1" x14ac:dyDescent="0.15">
      <c r="A31" s="556"/>
      <c r="B31" s="928"/>
      <c r="C31" s="1136"/>
      <c r="D31" s="1132" t="s">
        <v>1262</v>
      </c>
      <c r="E31" s="1133"/>
      <c r="F31" s="566">
        <v>54821</v>
      </c>
      <c r="G31" s="566">
        <v>3680</v>
      </c>
      <c r="H31" s="566">
        <v>3843</v>
      </c>
      <c r="I31" s="566">
        <v>4921</v>
      </c>
      <c r="J31" s="566">
        <v>4412</v>
      </c>
      <c r="K31" s="566">
        <v>4486</v>
      </c>
      <c r="L31" s="566">
        <v>4647</v>
      </c>
      <c r="M31" s="566">
        <v>3318</v>
      </c>
      <c r="N31" s="567">
        <v>3884</v>
      </c>
      <c r="O31" s="566">
        <v>5273</v>
      </c>
      <c r="P31" s="566">
        <v>5134</v>
      </c>
      <c r="Q31" s="566">
        <v>6205</v>
      </c>
      <c r="R31" s="566">
        <v>5018</v>
      </c>
      <c r="S31" s="566">
        <v>4504</v>
      </c>
      <c r="T31" s="566">
        <v>4544</v>
      </c>
      <c r="U31" s="565">
        <v>5403</v>
      </c>
      <c r="V31" s="556" t="s">
        <v>1263</v>
      </c>
      <c r="W31" s="556"/>
      <c r="X31" s="563"/>
      <c r="Y31" s="562"/>
      <c r="Z31" s="557"/>
      <c r="AA31" s="556"/>
      <c r="FP31" s="556"/>
      <c r="FQ31" s="556"/>
      <c r="FR31" s="556"/>
      <c r="FS31" s="556"/>
      <c r="FT31" s="556"/>
      <c r="FU31" s="556"/>
      <c r="FV31" s="556"/>
      <c r="FW31" s="556"/>
      <c r="FX31" s="556"/>
      <c r="FY31" s="556"/>
      <c r="FZ31" s="556"/>
      <c r="GA31" s="556"/>
      <c r="GB31" s="556"/>
      <c r="GC31" s="556"/>
      <c r="GD31" s="556"/>
      <c r="GE31" s="556"/>
      <c r="GF31" s="556"/>
      <c r="GG31" s="556"/>
      <c r="GH31" s="556"/>
      <c r="GI31" s="556"/>
      <c r="GJ31" s="556"/>
      <c r="GK31" s="556"/>
      <c r="GL31" s="556"/>
      <c r="GM31" s="556"/>
      <c r="GN31" s="556"/>
      <c r="GO31" s="556"/>
      <c r="GP31" s="556"/>
      <c r="GQ31" s="556"/>
      <c r="GR31" s="556"/>
      <c r="GS31" s="556"/>
      <c r="GT31" s="556"/>
      <c r="GU31" s="556"/>
      <c r="GV31" s="556"/>
      <c r="GW31" s="556"/>
    </row>
    <row r="32" spans="1:205" s="239" customFormat="1" ht="20.25" customHeight="1" x14ac:dyDescent="0.15">
      <c r="A32" s="556"/>
      <c r="B32" s="928"/>
      <c r="C32" s="1136"/>
      <c r="D32" s="1132" t="s">
        <v>386</v>
      </c>
      <c r="E32" s="1133"/>
      <c r="F32" s="566">
        <v>521071</v>
      </c>
      <c r="G32" s="566">
        <v>40679</v>
      </c>
      <c r="H32" s="566">
        <v>42915</v>
      </c>
      <c r="I32" s="566">
        <v>53139</v>
      </c>
      <c r="J32" s="566">
        <v>46904</v>
      </c>
      <c r="K32" s="566">
        <v>41707</v>
      </c>
      <c r="L32" s="566">
        <v>49347</v>
      </c>
      <c r="M32" s="566">
        <v>42449</v>
      </c>
      <c r="N32" s="567">
        <v>36796</v>
      </c>
      <c r="O32" s="566">
        <v>48484</v>
      </c>
      <c r="P32" s="566">
        <v>36751</v>
      </c>
      <c r="Q32" s="566">
        <v>39193</v>
      </c>
      <c r="R32" s="566">
        <v>42707</v>
      </c>
      <c r="S32" s="566">
        <v>39330</v>
      </c>
      <c r="T32" s="566">
        <v>34435</v>
      </c>
      <c r="U32" s="565">
        <v>41914</v>
      </c>
      <c r="V32" s="556" t="s">
        <v>1264</v>
      </c>
      <c r="W32" s="556"/>
      <c r="X32" s="563"/>
      <c r="Y32" s="562"/>
      <c r="Z32" s="557"/>
      <c r="AA32" s="556"/>
      <c r="FP32" s="556"/>
      <c r="FQ32" s="556"/>
      <c r="FR32" s="556"/>
      <c r="FS32" s="556"/>
      <c r="FT32" s="556"/>
      <c r="FU32" s="556"/>
      <c r="FV32" s="556"/>
      <c r="FW32" s="556"/>
      <c r="FX32" s="556"/>
      <c r="FY32" s="556"/>
      <c r="FZ32" s="556"/>
      <c r="GA32" s="556"/>
      <c r="GB32" s="556"/>
      <c r="GC32" s="556"/>
      <c r="GD32" s="556"/>
      <c r="GE32" s="556"/>
      <c r="GF32" s="556"/>
      <c r="GG32" s="556"/>
      <c r="GH32" s="556"/>
      <c r="GI32" s="556"/>
      <c r="GJ32" s="556"/>
      <c r="GK32" s="556"/>
      <c r="GL32" s="556"/>
      <c r="GM32" s="556"/>
      <c r="GN32" s="556"/>
      <c r="GO32" s="556"/>
      <c r="GP32" s="556"/>
      <c r="GQ32" s="556"/>
      <c r="GR32" s="556"/>
      <c r="GS32" s="556"/>
      <c r="GT32" s="556"/>
      <c r="GU32" s="556"/>
      <c r="GV32" s="556"/>
      <c r="GW32" s="556"/>
    </row>
    <row r="33" spans="1:205" s="239" customFormat="1" ht="20.25" customHeight="1" x14ac:dyDescent="0.15">
      <c r="A33" s="556"/>
      <c r="B33" s="1134" t="s">
        <v>389</v>
      </c>
      <c r="C33" s="1136"/>
      <c r="D33" s="1132" t="s">
        <v>1265</v>
      </c>
      <c r="E33" s="1133"/>
      <c r="F33" s="566">
        <v>275769</v>
      </c>
      <c r="G33" s="566">
        <v>21269</v>
      </c>
      <c r="H33" s="566">
        <v>23546</v>
      </c>
      <c r="I33" s="566">
        <v>23780</v>
      </c>
      <c r="J33" s="566">
        <v>22500</v>
      </c>
      <c r="K33" s="566">
        <v>23170</v>
      </c>
      <c r="L33" s="566">
        <v>26162</v>
      </c>
      <c r="M33" s="566">
        <v>21502</v>
      </c>
      <c r="N33" s="567">
        <v>21418</v>
      </c>
      <c r="O33" s="566">
        <v>24032</v>
      </c>
      <c r="P33" s="566">
        <v>22759</v>
      </c>
      <c r="Q33" s="566">
        <v>22169</v>
      </c>
      <c r="R33" s="566">
        <v>23462</v>
      </c>
      <c r="S33" s="566">
        <v>19638</v>
      </c>
      <c r="T33" s="566">
        <v>25399</v>
      </c>
      <c r="U33" s="565">
        <v>29237</v>
      </c>
      <c r="V33" s="556" t="s">
        <v>1266</v>
      </c>
      <c r="W33" s="556"/>
      <c r="X33" s="563"/>
      <c r="Y33" s="562"/>
      <c r="Z33" s="557"/>
      <c r="AA33" s="556"/>
      <c r="FP33" s="556"/>
      <c r="FQ33" s="556"/>
      <c r="FR33" s="556"/>
      <c r="FS33" s="556"/>
      <c r="FT33" s="556"/>
      <c r="FU33" s="556"/>
      <c r="FV33" s="556"/>
      <c r="FW33" s="556"/>
      <c r="FX33" s="556"/>
      <c r="FY33" s="556"/>
      <c r="FZ33" s="556"/>
      <c r="GA33" s="556"/>
      <c r="GB33" s="556"/>
      <c r="GC33" s="556"/>
      <c r="GD33" s="556"/>
      <c r="GE33" s="556"/>
      <c r="GF33" s="556"/>
      <c r="GG33" s="556"/>
      <c r="GH33" s="556"/>
      <c r="GI33" s="556"/>
      <c r="GJ33" s="556"/>
      <c r="GK33" s="556"/>
      <c r="GL33" s="556"/>
      <c r="GM33" s="556"/>
      <c r="GN33" s="556"/>
      <c r="GO33" s="556"/>
      <c r="GP33" s="556"/>
      <c r="GQ33" s="556"/>
      <c r="GR33" s="556"/>
      <c r="GS33" s="556"/>
      <c r="GT33" s="556"/>
      <c r="GU33" s="556"/>
      <c r="GV33" s="556"/>
      <c r="GW33" s="556"/>
    </row>
    <row r="34" spans="1:205" s="239" customFormat="1" ht="8.25" customHeight="1" x14ac:dyDescent="0.15">
      <c r="A34" s="556"/>
      <c r="B34" s="1135"/>
      <c r="C34" s="1137"/>
      <c r="D34" s="579" t="s">
        <v>249</v>
      </c>
      <c r="E34" s="559"/>
      <c r="F34" s="566"/>
      <c r="G34" s="566"/>
      <c r="H34" s="566"/>
      <c r="I34" s="566"/>
      <c r="J34" s="566"/>
      <c r="K34" s="566"/>
      <c r="L34" s="566"/>
      <c r="M34" s="566"/>
      <c r="N34" s="567"/>
      <c r="O34" s="566"/>
      <c r="P34" s="566"/>
      <c r="Q34" s="566"/>
      <c r="R34" s="566"/>
      <c r="S34" s="566"/>
      <c r="T34" s="566"/>
      <c r="U34" s="565"/>
      <c r="V34" s="578"/>
      <c r="W34" s="578"/>
      <c r="X34" s="558"/>
      <c r="Y34" s="927" t="s">
        <v>1267</v>
      </c>
      <c r="Z34" s="557"/>
      <c r="AA34" s="556"/>
      <c r="FP34" s="556"/>
      <c r="FQ34" s="556"/>
      <c r="FR34" s="556"/>
      <c r="FS34" s="556"/>
      <c r="FT34" s="556"/>
      <c r="FU34" s="556"/>
      <c r="FV34" s="556"/>
      <c r="FW34" s="556"/>
      <c r="FX34" s="556"/>
      <c r="FY34" s="556"/>
      <c r="FZ34" s="556"/>
      <c r="GA34" s="556"/>
      <c r="GB34" s="556"/>
      <c r="GC34" s="556"/>
      <c r="GD34" s="556"/>
      <c r="GE34" s="556"/>
      <c r="GF34" s="556"/>
      <c r="GG34" s="556"/>
      <c r="GH34" s="556"/>
      <c r="GI34" s="556"/>
      <c r="GJ34" s="556"/>
      <c r="GK34" s="556"/>
      <c r="GL34" s="556"/>
      <c r="GM34" s="556"/>
      <c r="GN34" s="556"/>
      <c r="GO34" s="556"/>
      <c r="GP34" s="556"/>
      <c r="GQ34" s="556"/>
      <c r="GR34" s="556"/>
      <c r="GS34" s="556"/>
      <c r="GT34" s="556"/>
      <c r="GU34" s="556"/>
      <c r="GV34" s="556"/>
      <c r="GW34" s="556"/>
    </row>
    <row r="35" spans="1:205" s="239" customFormat="1" ht="20.25" customHeight="1" x14ac:dyDescent="0.15">
      <c r="A35" s="556"/>
      <c r="B35" s="1135"/>
      <c r="C35" s="568"/>
      <c r="D35" s="1124" t="s">
        <v>1227</v>
      </c>
      <c r="E35" s="1125"/>
      <c r="F35" s="576">
        <v>282714</v>
      </c>
      <c r="G35" s="576">
        <v>290483</v>
      </c>
      <c r="H35" s="576">
        <v>284314</v>
      </c>
      <c r="I35" s="576">
        <v>273431</v>
      </c>
      <c r="J35" s="576">
        <v>279784</v>
      </c>
      <c r="K35" s="576">
        <v>283593</v>
      </c>
      <c r="L35" s="576">
        <v>273635</v>
      </c>
      <c r="M35" s="576">
        <v>281016</v>
      </c>
      <c r="N35" s="577">
        <v>294555</v>
      </c>
      <c r="O35" s="576">
        <v>290140</v>
      </c>
      <c r="P35" s="576">
        <v>297331</v>
      </c>
      <c r="Q35" s="576">
        <v>291957</v>
      </c>
      <c r="R35" s="576">
        <v>282714</v>
      </c>
      <c r="S35" s="576">
        <v>293220</v>
      </c>
      <c r="T35" s="576">
        <v>298997</v>
      </c>
      <c r="U35" s="575">
        <v>282953</v>
      </c>
      <c r="V35" s="574" t="s">
        <v>1268</v>
      </c>
      <c r="W35" s="573"/>
      <c r="X35" s="572"/>
      <c r="Y35" s="1039" t="s">
        <v>1269</v>
      </c>
      <c r="Z35" s="557"/>
      <c r="AA35" s="556"/>
      <c r="FP35" s="556"/>
      <c r="FQ35" s="556"/>
      <c r="FR35" s="556"/>
      <c r="FS35" s="556"/>
      <c r="FT35" s="556"/>
      <c r="FU35" s="556"/>
      <c r="FV35" s="556"/>
      <c r="FW35" s="556"/>
      <c r="FX35" s="556"/>
      <c r="FY35" s="556"/>
      <c r="FZ35" s="556"/>
      <c r="GA35" s="556"/>
      <c r="GB35" s="556"/>
      <c r="GC35" s="556"/>
      <c r="GD35" s="556"/>
      <c r="GE35" s="556"/>
      <c r="GF35" s="556"/>
      <c r="GG35" s="556"/>
      <c r="GH35" s="556"/>
      <c r="GI35" s="556"/>
      <c r="GJ35" s="556"/>
      <c r="GK35" s="556"/>
      <c r="GL35" s="556"/>
      <c r="GM35" s="556"/>
      <c r="GN35" s="556"/>
      <c r="GO35" s="556"/>
      <c r="GP35" s="556"/>
      <c r="GQ35" s="556"/>
      <c r="GR35" s="556"/>
      <c r="GS35" s="556"/>
      <c r="GT35" s="556"/>
      <c r="GU35" s="556"/>
      <c r="GV35" s="556"/>
      <c r="GW35" s="556"/>
    </row>
    <row r="36" spans="1:205" s="239" customFormat="1" ht="20.25" customHeight="1" x14ac:dyDescent="0.15">
      <c r="A36" s="556"/>
      <c r="B36" s="928"/>
      <c r="C36" s="568"/>
      <c r="D36" s="1116" t="s">
        <v>1270</v>
      </c>
      <c r="E36" s="1117"/>
      <c r="F36" s="566">
        <v>21674</v>
      </c>
      <c r="G36" s="566">
        <v>22505</v>
      </c>
      <c r="H36" s="566">
        <v>22240</v>
      </c>
      <c r="I36" s="566">
        <v>20261</v>
      </c>
      <c r="J36" s="566">
        <v>20669</v>
      </c>
      <c r="K36" s="566">
        <v>20773</v>
      </c>
      <c r="L36" s="566">
        <v>21002</v>
      </c>
      <c r="M36" s="566">
        <v>21793</v>
      </c>
      <c r="N36" s="567">
        <v>22894</v>
      </c>
      <c r="O36" s="566">
        <v>23151</v>
      </c>
      <c r="P36" s="566">
        <v>23829</v>
      </c>
      <c r="Q36" s="566">
        <v>22420</v>
      </c>
      <c r="R36" s="566">
        <v>21674</v>
      </c>
      <c r="S36" s="566">
        <v>22325</v>
      </c>
      <c r="T36" s="566">
        <v>22956</v>
      </c>
      <c r="U36" s="565">
        <v>21429</v>
      </c>
      <c r="V36" s="568" t="s">
        <v>1271</v>
      </c>
      <c r="W36" s="571"/>
      <c r="X36" s="563"/>
      <c r="Y36" s="569"/>
      <c r="Z36" s="557"/>
      <c r="AA36" s="556"/>
      <c r="FP36" s="556"/>
      <c r="FQ36" s="556"/>
      <c r="FR36" s="556"/>
      <c r="FS36" s="556"/>
      <c r="FT36" s="556"/>
      <c r="FU36" s="556"/>
      <c r="FV36" s="556"/>
      <c r="FW36" s="556"/>
      <c r="FX36" s="556"/>
      <c r="FY36" s="556"/>
      <c r="FZ36" s="556"/>
      <c r="GA36" s="556"/>
      <c r="GB36" s="556"/>
      <c r="GC36" s="556"/>
      <c r="GD36" s="556"/>
      <c r="GE36" s="556"/>
      <c r="GF36" s="556"/>
      <c r="GG36" s="556"/>
      <c r="GH36" s="556"/>
      <c r="GI36" s="556"/>
      <c r="GJ36" s="556"/>
      <c r="GK36" s="556"/>
      <c r="GL36" s="556"/>
      <c r="GM36" s="556"/>
      <c r="GN36" s="556"/>
      <c r="GO36" s="556"/>
      <c r="GP36" s="556"/>
      <c r="GQ36" s="556"/>
      <c r="GR36" s="556"/>
      <c r="GS36" s="556"/>
      <c r="GT36" s="556"/>
      <c r="GU36" s="556"/>
      <c r="GV36" s="556"/>
      <c r="GW36" s="556"/>
    </row>
    <row r="37" spans="1:205" s="239" customFormat="1" ht="20.25" customHeight="1" x14ac:dyDescent="0.15">
      <c r="A37" s="556"/>
      <c r="B37" s="571"/>
      <c r="C37" s="568"/>
      <c r="D37" s="1132" t="s">
        <v>388</v>
      </c>
      <c r="E37" s="1133"/>
      <c r="F37" s="566">
        <v>10760</v>
      </c>
      <c r="G37" s="566">
        <v>10734</v>
      </c>
      <c r="H37" s="566">
        <v>10416</v>
      </c>
      <c r="I37" s="566">
        <v>9446</v>
      </c>
      <c r="J37" s="566">
        <v>10522</v>
      </c>
      <c r="K37" s="566">
        <v>10211</v>
      </c>
      <c r="L37" s="566">
        <v>9132</v>
      </c>
      <c r="M37" s="566">
        <v>10847</v>
      </c>
      <c r="N37" s="567">
        <v>11511</v>
      </c>
      <c r="O37" s="566">
        <v>10780</v>
      </c>
      <c r="P37" s="566">
        <v>10904</v>
      </c>
      <c r="Q37" s="566">
        <v>11136</v>
      </c>
      <c r="R37" s="566">
        <v>10760</v>
      </c>
      <c r="S37" s="566">
        <v>10762</v>
      </c>
      <c r="T37" s="566">
        <v>10893</v>
      </c>
      <c r="U37" s="565">
        <v>10088</v>
      </c>
      <c r="V37" s="568" t="s">
        <v>1272</v>
      </c>
      <c r="W37" s="571"/>
      <c r="X37" s="563"/>
      <c r="Y37" s="569"/>
      <c r="Z37" s="557"/>
      <c r="AA37" s="556"/>
      <c r="FP37" s="556"/>
      <c r="FQ37" s="556"/>
      <c r="FR37" s="556"/>
      <c r="FS37" s="556"/>
      <c r="FT37" s="556"/>
      <c r="FU37" s="556"/>
      <c r="FV37" s="556"/>
      <c r="FW37" s="556"/>
      <c r="FX37" s="556"/>
      <c r="FY37" s="556"/>
      <c r="FZ37" s="556"/>
      <c r="GA37" s="556"/>
      <c r="GB37" s="556"/>
      <c r="GC37" s="556"/>
      <c r="GD37" s="556"/>
      <c r="GE37" s="556"/>
      <c r="GF37" s="556"/>
      <c r="GG37" s="556"/>
      <c r="GH37" s="556"/>
      <c r="GI37" s="556"/>
      <c r="GJ37" s="556"/>
      <c r="GK37" s="556"/>
      <c r="GL37" s="556"/>
      <c r="GM37" s="556"/>
      <c r="GN37" s="556"/>
      <c r="GO37" s="556"/>
      <c r="GP37" s="556"/>
      <c r="GQ37" s="556"/>
      <c r="GR37" s="556"/>
      <c r="GS37" s="556"/>
      <c r="GT37" s="556"/>
      <c r="GU37" s="556"/>
      <c r="GV37" s="556"/>
      <c r="GW37" s="556"/>
    </row>
    <row r="38" spans="1:205" s="239" customFormat="1" ht="20.25" customHeight="1" x14ac:dyDescent="0.15">
      <c r="A38" s="556"/>
      <c r="B38" s="929" t="s">
        <v>387</v>
      </c>
      <c r="C38" s="568"/>
      <c r="D38" s="1116" t="s">
        <v>1273</v>
      </c>
      <c r="E38" s="1117"/>
      <c r="F38" s="566">
        <v>22895</v>
      </c>
      <c r="G38" s="566">
        <v>18337</v>
      </c>
      <c r="H38" s="566">
        <v>18311</v>
      </c>
      <c r="I38" s="566">
        <v>17320</v>
      </c>
      <c r="J38" s="566">
        <v>18823</v>
      </c>
      <c r="K38" s="566">
        <v>19943</v>
      </c>
      <c r="L38" s="566">
        <v>20135</v>
      </c>
      <c r="M38" s="566">
        <v>19784</v>
      </c>
      <c r="N38" s="567">
        <v>21144</v>
      </c>
      <c r="O38" s="566">
        <v>23555</v>
      </c>
      <c r="P38" s="566">
        <v>23659</v>
      </c>
      <c r="Q38" s="566">
        <v>22661</v>
      </c>
      <c r="R38" s="566">
        <v>22895</v>
      </c>
      <c r="S38" s="566">
        <v>22899</v>
      </c>
      <c r="T38" s="566">
        <v>23272</v>
      </c>
      <c r="U38" s="565">
        <v>23602</v>
      </c>
      <c r="V38" s="568" t="s">
        <v>1274</v>
      </c>
      <c r="W38" s="571"/>
      <c r="X38" s="563"/>
      <c r="Y38" s="569"/>
      <c r="Z38" s="557"/>
      <c r="AA38" s="556"/>
      <c r="FP38" s="556"/>
      <c r="FQ38" s="556"/>
      <c r="FR38" s="556"/>
      <c r="FS38" s="556"/>
      <c r="FT38" s="556"/>
      <c r="FU38" s="556"/>
      <c r="FV38" s="556"/>
      <c r="FW38" s="556"/>
      <c r="FX38" s="556"/>
      <c r="FY38" s="556"/>
      <c r="FZ38" s="556"/>
      <c r="GA38" s="556"/>
      <c r="GB38" s="556"/>
      <c r="GC38" s="556"/>
      <c r="GD38" s="556"/>
      <c r="GE38" s="556"/>
      <c r="GF38" s="556"/>
      <c r="GG38" s="556"/>
      <c r="GH38" s="556"/>
      <c r="GI38" s="556"/>
      <c r="GJ38" s="556"/>
      <c r="GK38" s="556"/>
      <c r="GL38" s="556"/>
      <c r="GM38" s="556"/>
      <c r="GN38" s="556"/>
      <c r="GO38" s="556"/>
      <c r="GP38" s="556"/>
      <c r="GQ38" s="556"/>
      <c r="GR38" s="556"/>
      <c r="GS38" s="556"/>
      <c r="GT38" s="556"/>
      <c r="GU38" s="556"/>
      <c r="GV38" s="556"/>
      <c r="GW38" s="556"/>
    </row>
    <row r="39" spans="1:205" s="239" customFormat="1" ht="20.25" customHeight="1" x14ac:dyDescent="0.15">
      <c r="A39" s="556"/>
      <c r="B39" s="564"/>
      <c r="C39" s="1120" t="s">
        <v>1275</v>
      </c>
      <c r="D39" s="1116" t="s">
        <v>1276</v>
      </c>
      <c r="E39" s="1117"/>
      <c r="F39" s="566">
        <v>10589</v>
      </c>
      <c r="G39" s="566">
        <v>11483</v>
      </c>
      <c r="H39" s="566">
        <v>10710</v>
      </c>
      <c r="I39" s="566">
        <v>10481</v>
      </c>
      <c r="J39" s="566">
        <v>10543</v>
      </c>
      <c r="K39" s="566">
        <v>11036</v>
      </c>
      <c r="L39" s="566">
        <v>10139</v>
      </c>
      <c r="M39" s="566">
        <v>10233</v>
      </c>
      <c r="N39" s="567">
        <v>10569</v>
      </c>
      <c r="O39" s="566">
        <v>10929</v>
      </c>
      <c r="P39" s="566">
        <v>10440</v>
      </c>
      <c r="Q39" s="566">
        <v>11063</v>
      </c>
      <c r="R39" s="566">
        <v>10589</v>
      </c>
      <c r="S39" s="566">
        <v>10537</v>
      </c>
      <c r="T39" s="566">
        <v>9958</v>
      </c>
      <c r="U39" s="565">
        <v>10274</v>
      </c>
      <c r="V39" s="568" t="s">
        <v>1277</v>
      </c>
      <c r="W39" s="571"/>
      <c r="X39" s="563"/>
      <c r="Y39" s="569"/>
      <c r="Z39" s="557"/>
      <c r="AA39" s="556"/>
      <c r="FP39" s="556"/>
      <c r="FQ39" s="556"/>
      <c r="FR39" s="556"/>
      <c r="FS39" s="556"/>
      <c r="FT39" s="556"/>
      <c r="FU39" s="556"/>
      <c r="FV39" s="556"/>
      <c r="FW39" s="556"/>
      <c r="FX39" s="556"/>
      <c r="FY39" s="556"/>
      <c r="FZ39" s="556"/>
      <c r="GA39" s="556"/>
      <c r="GB39" s="556"/>
      <c r="GC39" s="556"/>
      <c r="GD39" s="556"/>
      <c r="GE39" s="556"/>
      <c r="GF39" s="556"/>
      <c r="GG39" s="556"/>
      <c r="GH39" s="556"/>
      <c r="GI39" s="556"/>
      <c r="GJ39" s="556"/>
      <c r="GK39" s="556"/>
      <c r="GL39" s="556"/>
      <c r="GM39" s="556"/>
      <c r="GN39" s="556"/>
      <c r="GO39" s="556"/>
      <c r="GP39" s="556"/>
      <c r="GQ39" s="556"/>
      <c r="GR39" s="556"/>
      <c r="GS39" s="556"/>
      <c r="GT39" s="556"/>
      <c r="GU39" s="556"/>
      <c r="GV39" s="556"/>
      <c r="GW39" s="556"/>
    </row>
    <row r="40" spans="1:205" s="239" customFormat="1" ht="20.25" customHeight="1" x14ac:dyDescent="0.15">
      <c r="A40" s="556"/>
      <c r="B40" s="564"/>
      <c r="C40" s="1121"/>
      <c r="D40" s="1116" t="s">
        <v>1278</v>
      </c>
      <c r="E40" s="1117"/>
      <c r="F40" s="566">
        <v>19817</v>
      </c>
      <c r="G40" s="566">
        <v>18924</v>
      </c>
      <c r="H40" s="566">
        <v>17768</v>
      </c>
      <c r="I40" s="566">
        <v>17601</v>
      </c>
      <c r="J40" s="566">
        <v>17409</v>
      </c>
      <c r="K40" s="566">
        <v>18600</v>
      </c>
      <c r="L40" s="566">
        <v>17484</v>
      </c>
      <c r="M40" s="566">
        <v>19502</v>
      </c>
      <c r="N40" s="567">
        <v>19301</v>
      </c>
      <c r="O40" s="566">
        <v>20670</v>
      </c>
      <c r="P40" s="566">
        <v>22696</v>
      </c>
      <c r="Q40" s="566">
        <v>21877</v>
      </c>
      <c r="R40" s="566">
        <v>19817</v>
      </c>
      <c r="S40" s="566">
        <v>21533</v>
      </c>
      <c r="T40" s="566">
        <v>20459</v>
      </c>
      <c r="U40" s="565">
        <v>19957</v>
      </c>
      <c r="V40" s="568" t="s">
        <v>1279</v>
      </c>
      <c r="W40" s="571"/>
      <c r="X40" s="570" t="s">
        <v>1280</v>
      </c>
      <c r="Y40" s="569"/>
      <c r="Z40" s="557"/>
      <c r="AA40" s="556"/>
      <c r="FP40" s="556"/>
      <c r="FQ40" s="556"/>
      <c r="FR40" s="556"/>
      <c r="FS40" s="556"/>
      <c r="FT40" s="556"/>
      <c r="FU40" s="556"/>
      <c r="FV40" s="556"/>
      <c r="FW40" s="556"/>
      <c r="FX40" s="556"/>
      <c r="FY40" s="556"/>
      <c r="FZ40" s="556"/>
      <c r="GA40" s="556"/>
      <c r="GB40" s="556"/>
      <c r="GC40" s="556"/>
      <c r="GD40" s="556"/>
      <c r="GE40" s="556"/>
      <c r="GF40" s="556"/>
      <c r="GG40" s="556"/>
      <c r="GH40" s="556"/>
      <c r="GI40" s="556"/>
      <c r="GJ40" s="556"/>
      <c r="GK40" s="556"/>
      <c r="GL40" s="556"/>
      <c r="GM40" s="556"/>
      <c r="GN40" s="556"/>
      <c r="GO40" s="556"/>
      <c r="GP40" s="556"/>
      <c r="GQ40" s="556"/>
      <c r="GR40" s="556"/>
      <c r="GS40" s="556"/>
      <c r="GT40" s="556"/>
      <c r="GU40" s="556"/>
      <c r="GV40" s="556"/>
      <c r="GW40" s="556"/>
    </row>
    <row r="41" spans="1:205" s="239" customFormat="1" ht="20.25" customHeight="1" x14ac:dyDescent="0.15">
      <c r="A41" s="556"/>
      <c r="B41" s="564"/>
      <c r="C41" s="568"/>
      <c r="D41" s="1132" t="s">
        <v>1281</v>
      </c>
      <c r="E41" s="1133"/>
      <c r="F41" s="566">
        <v>13415</v>
      </c>
      <c r="G41" s="566">
        <v>12905</v>
      </c>
      <c r="H41" s="566">
        <v>12692</v>
      </c>
      <c r="I41" s="566">
        <v>12874</v>
      </c>
      <c r="J41" s="566">
        <v>13563</v>
      </c>
      <c r="K41" s="566">
        <v>13837</v>
      </c>
      <c r="L41" s="566">
        <v>13469</v>
      </c>
      <c r="M41" s="566">
        <v>14151</v>
      </c>
      <c r="N41" s="567">
        <v>13926</v>
      </c>
      <c r="O41" s="566">
        <v>13396</v>
      </c>
      <c r="P41" s="566">
        <v>13370</v>
      </c>
      <c r="Q41" s="566">
        <v>13597</v>
      </c>
      <c r="R41" s="566">
        <v>13415</v>
      </c>
      <c r="S41" s="566">
        <v>13968</v>
      </c>
      <c r="T41" s="566">
        <v>12755</v>
      </c>
      <c r="U41" s="565">
        <v>12084</v>
      </c>
      <c r="V41" s="556" t="s">
        <v>1282</v>
      </c>
      <c r="W41" s="564"/>
      <c r="X41" s="563"/>
      <c r="Y41" s="562"/>
      <c r="Z41" s="557"/>
      <c r="AA41" s="556"/>
      <c r="FP41" s="556"/>
      <c r="FQ41" s="556"/>
      <c r="FR41" s="556"/>
      <c r="FS41" s="556"/>
      <c r="FT41" s="556"/>
      <c r="FU41" s="556"/>
      <c r="FV41" s="556"/>
      <c r="FW41" s="556"/>
      <c r="FX41" s="556"/>
      <c r="FY41" s="556"/>
      <c r="FZ41" s="556"/>
      <c r="GA41" s="556"/>
      <c r="GB41" s="556"/>
      <c r="GC41" s="556"/>
      <c r="GD41" s="556"/>
      <c r="GE41" s="556"/>
      <c r="GF41" s="556"/>
      <c r="GG41" s="556"/>
      <c r="GH41" s="556"/>
      <c r="GI41" s="556"/>
      <c r="GJ41" s="556"/>
      <c r="GK41" s="556"/>
      <c r="GL41" s="556"/>
      <c r="GM41" s="556"/>
      <c r="GN41" s="556"/>
      <c r="GO41" s="556"/>
      <c r="GP41" s="556"/>
      <c r="GQ41" s="556"/>
      <c r="GR41" s="556"/>
      <c r="GS41" s="556"/>
      <c r="GT41" s="556"/>
      <c r="GU41" s="556"/>
      <c r="GV41" s="556"/>
      <c r="GW41" s="556"/>
    </row>
    <row r="42" spans="1:205" s="239" customFormat="1" ht="20.25" customHeight="1" x14ac:dyDescent="0.15">
      <c r="A42" s="556"/>
      <c r="B42" s="564"/>
      <c r="C42" s="568"/>
      <c r="D42" s="1132" t="s">
        <v>1283</v>
      </c>
      <c r="E42" s="1133"/>
      <c r="F42" s="566">
        <v>7636</v>
      </c>
      <c r="G42" s="566">
        <v>7503</v>
      </c>
      <c r="H42" s="566">
        <v>6539</v>
      </c>
      <c r="I42" s="566">
        <v>5801</v>
      </c>
      <c r="J42" s="566">
        <v>4936</v>
      </c>
      <c r="K42" s="566">
        <v>4116</v>
      </c>
      <c r="L42" s="566">
        <v>3161</v>
      </c>
      <c r="M42" s="566">
        <v>2866</v>
      </c>
      <c r="N42" s="567">
        <v>4416</v>
      </c>
      <c r="O42" s="566">
        <v>8722</v>
      </c>
      <c r="P42" s="566">
        <v>8810</v>
      </c>
      <c r="Q42" s="566">
        <v>8964</v>
      </c>
      <c r="R42" s="566">
        <v>7636</v>
      </c>
      <c r="S42" s="566">
        <v>6545</v>
      </c>
      <c r="T42" s="566">
        <v>5455</v>
      </c>
      <c r="U42" s="565">
        <v>6118</v>
      </c>
      <c r="V42" s="556" t="s">
        <v>1284</v>
      </c>
      <c r="W42" s="564"/>
      <c r="X42" s="563"/>
      <c r="Y42" s="562"/>
      <c r="Z42" s="557"/>
      <c r="AA42" s="556"/>
      <c r="FP42" s="556"/>
      <c r="FQ42" s="556"/>
      <c r="FR42" s="556"/>
      <c r="FS42" s="556"/>
      <c r="FT42" s="556"/>
      <c r="FU42" s="556"/>
      <c r="FV42" s="556"/>
      <c r="FW42" s="556"/>
      <c r="FX42" s="556"/>
      <c r="FY42" s="556"/>
      <c r="FZ42" s="556"/>
      <c r="GA42" s="556"/>
      <c r="GB42" s="556"/>
      <c r="GC42" s="556"/>
      <c r="GD42" s="556"/>
      <c r="GE42" s="556"/>
      <c r="GF42" s="556"/>
      <c r="GG42" s="556"/>
      <c r="GH42" s="556"/>
      <c r="GI42" s="556"/>
      <c r="GJ42" s="556"/>
      <c r="GK42" s="556"/>
      <c r="GL42" s="556"/>
      <c r="GM42" s="556"/>
      <c r="GN42" s="556"/>
      <c r="GO42" s="556"/>
      <c r="GP42" s="556"/>
      <c r="GQ42" s="556"/>
      <c r="GR42" s="556"/>
      <c r="GS42" s="556"/>
      <c r="GT42" s="556"/>
      <c r="GU42" s="556"/>
      <c r="GV42" s="556"/>
      <c r="GW42" s="556"/>
    </row>
    <row r="43" spans="1:205" s="239" customFormat="1" ht="20.25" customHeight="1" x14ac:dyDescent="0.15">
      <c r="A43" s="556"/>
      <c r="B43" s="564"/>
      <c r="C43" s="568"/>
      <c r="D43" s="1132" t="s">
        <v>386</v>
      </c>
      <c r="E43" s="1133"/>
      <c r="F43" s="566">
        <v>96357</v>
      </c>
      <c r="G43" s="566">
        <v>108325</v>
      </c>
      <c r="H43" s="566">
        <v>100281</v>
      </c>
      <c r="I43" s="566">
        <v>102269</v>
      </c>
      <c r="J43" s="566">
        <v>100168</v>
      </c>
      <c r="K43" s="566">
        <v>95601</v>
      </c>
      <c r="L43" s="566">
        <v>95615</v>
      </c>
      <c r="M43" s="566">
        <v>91355</v>
      </c>
      <c r="N43" s="567">
        <v>98349</v>
      </c>
      <c r="O43" s="566">
        <v>92912</v>
      </c>
      <c r="P43" s="566">
        <v>100908</v>
      </c>
      <c r="Q43" s="566">
        <v>96442</v>
      </c>
      <c r="R43" s="566">
        <v>96357</v>
      </c>
      <c r="S43" s="566">
        <v>96568</v>
      </c>
      <c r="T43" s="566">
        <v>97857</v>
      </c>
      <c r="U43" s="565">
        <v>95721</v>
      </c>
      <c r="V43" s="556" t="s">
        <v>1285</v>
      </c>
      <c r="W43" s="564"/>
      <c r="X43" s="563"/>
      <c r="Y43" s="562"/>
      <c r="Z43" s="557"/>
      <c r="AA43" s="556"/>
      <c r="FP43" s="556"/>
      <c r="FQ43" s="556"/>
      <c r="FR43" s="556"/>
      <c r="FS43" s="556"/>
      <c r="FT43" s="556"/>
      <c r="FU43" s="556"/>
      <c r="FV43" s="556"/>
      <c r="FW43" s="556"/>
      <c r="FX43" s="556"/>
      <c r="FY43" s="556"/>
      <c r="FZ43" s="556"/>
      <c r="GA43" s="556"/>
      <c r="GB43" s="556"/>
      <c r="GC43" s="556"/>
      <c r="GD43" s="556"/>
      <c r="GE43" s="556"/>
      <c r="GF43" s="556"/>
      <c r="GG43" s="556"/>
      <c r="GH43" s="556"/>
      <c r="GI43" s="556"/>
      <c r="GJ43" s="556"/>
      <c r="GK43" s="556"/>
      <c r="GL43" s="556"/>
      <c r="GM43" s="556"/>
      <c r="GN43" s="556"/>
      <c r="GO43" s="556"/>
      <c r="GP43" s="556"/>
      <c r="GQ43" s="556"/>
      <c r="GR43" s="556"/>
      <c r="GS43" s="556"/>
      <c r="GT43" s="556"/>
      <c r="GU43" s="556"/>
      <c r="GV43" s="556"/>
      <c r="GW43" s="556"/>
    </row>
    <row r="44" spans="1:205" s="239" customFormat="1" ht="20.25" customHeight="1" x14ac:dyDescent="0.15">
      <c r="A44" s="556"/>
      <c r="B44" s="564"/>
      <c r="C44" s="568"/>
      <c r="D44" s="1132" t="s">
        <v>1286</v>
      </c>
      <c r="E44" s="1133"/>
      <c r="F44" s="566">
        <v>79571</v>
      </c>
      <c r="G44" s="566">
        <v>79767</v>
      </c>
      <c r="H44" s="566">
        <v>85357</v>
      </c>
      <c r="I44" s="566">
        <v>77378</v>
      </c>
      <c r="J44" s="566">
        <v>83151</v>
      </c>
      <c r="K44" s="566">
        <v>89476</v>
      </c>
      <c r="L44" s="566">
        <v>83498</v>
      </c>
      <c r="M44" s="566">
        <v>90485</v>
      </c>
      <c r="N44" s="567">
        <v>92445</v>
      </c>
      <c r="O44" s="566">
        <v>86025</v>
      </c>
      <c r="P44" s="566">
        <v>82715</v>
      </c>
      <c r="Q44" s="566">
        <v>83797</v>
      </c>
      <c r="R44" s="566">
        <v>79571</v>
      </c>
      <c r="S44" s="566">
        <v>88083</v>
      </c>
      <c r="T44" s="566">
        <v>95392</v>
      </c>
      <c r="U44" s="565">
        <v>83680</v>
      </c>
      <c r="V44" s="556" t="s">
        <v>1287</v>
      </c>
      <c r="W44" s="564"/>
      <c r="X44" s="563"/>
      <c r="Y44" s="562"/>
      <c r="Z44" s="557"/>
      <c r="AA44" s="556"/>
      <c r="FP44" s="556"/>
      <c r="FQ44" s="556"/>
      <c r="FR44" s="556"/>
      <c r="FS44" s="556"/>
      <c r="FT44" s="556"/>
      <c r="FU44" s="556"/>
      <c r="FV44" s="556"/>
      <c r="FW44" s="556"/>
      <c r="FX44" s="556"/>
      <c r="FY44" s="556"/>
      <c r="FZ44" s="556"/>
      <c r="GA44" s="556"/>
      <c r="GB44" s="556"/>
      <c r="GC44" s="556"/>
      <c r="GD44" s="556"/>
      <c r="GE44" s="556"/>
      <c r="GF44" s="556"/>
      <c r="GG44" s="556"/>
      <c r="GH44" s="556"/>
      <c r="GI44" s="556"/>
      <c r="GJ44" s="556"/>
      <c r="GK44" s="556"/>
      <c r="GL44" s="556"/>
      <c r="GM44" s="556"/>
      <c r="GN44" s="556"/>
      <c r="GO44" s="556"/>
      <c r="GP44" s="556"/>
      <c r="GQ44" s="556"/>
      <c r="GR44" s="556"/>
      <c r="GS44" s="556"/>
      <c r="GT44" s="556"/>
      <c r="GU44" s="556"/>
      <c r="GV44" s="556"/>
      <c r="GW44" s="556"/>
    </row>
    <row r="45" spans="1:205" ht="8.25" customHeight="1" x14ac:dyDescent="0.15">
      <c r="A45" s="555"/>
      <c r="B45" s="1040"/>
      <c r="C45" s="1041"/>
      <c r="D45" s="1042"/>
      <c r="E45" s="1043"/>
      <c r="F45" s="1041"/>
      <c r="G45" s="1044"/>
      <c r="H45" s="1044"/>
      <c r="I45" s="1044"/>
      <c r="J45" s="1044"/>
      <c r="K45" s="1044"/>
      <c r="L45" s="1044"/>
      <c r="M45" s="1045"/>
      <c r="N45" s="1045"/>
      <c r="O45" s="1045"/>
      <c r="P45" s="1045"/>
      <c r="Q45" s="1045"/>
      <c r="R45" s="1045"/>
      <c r="S45" s="1045"/>
      <c r="T45" s="1045"/>
      <c r="U45" s="1045"/>
      <c r="V45" s="1046"/>
      <c r="W45" s="1047"/>
      <c r="X45" s="1044"/>
      <c r="Y45" s="1048"/>
      <c r="Z45" s="555"/>
      <c r="AA45" s="554"/>
      <c r="AB45" s="544"/>
      <c r="AC45" s="544"/>
      <c r="AD45" s="544"/>
      <c r="AE45" s="544"/>
      <c r="AF45" s="544"/>
      <c r="AG45" s="544"/>
      <c r="AH45" s="544"/>
      <c r="AI45" s="544"/>
      <c r="AJ45" s="544"/>
      <c r="AK45" s="544"/>
      <c r="AL45" s="544"/>
      <c r="AM45" s="544"/>
      <c r="AN45" s="544"/>
      <c r="AO45" s="544"/>
      <c r="AP45" s="544"/>
      <c r="AQ45" s="544"/>
      <c r="AR45" s="544"/>
      <c r="AS45" s="544"/>
      <c r="EY45" s="543"/>
      <c r="EZ45" s="543"/>
      <c r="FA45" s="543"/>
      <c r="FB45" s="543"/>
      <c r="FC45" s="543"/>
      <c r="FD45" s="543"/>
      <c r="FE45" s="543"/>
      <c r="FF45" s="543"/>
      <c r="FG45" s="543"/>
      <c r="FH45" s="543"/>
      <c r="FI45" s="543"/>
      <c r="FJ45" s="543"/>
      <c r="FK45" s="543"/>
      <c r="FL45" s="543"/>
      <c r="FM45" s="543"/>
      <c r="FN45" s="543"/>
      <c r="FO45" s="543"/>
      <c r="FP45" s="543"/>
    </row>
    <row r="46" spans="1:205" ht="16" customHeight="1" x14ac:dyDescent="0.15">
      <c r="A46" s="552"/>
      <c r="B46" s="552"/>
      <c r="C46" s="552"/>
      <c r="D46" s="552"/>
      <c r="E46" s="552"/>
      <c r="F46" s="552"/>
      <c r="G46" s="553"/>
      <c r="H46" s="553"/>
      <c r="I46" s="553"/>
      <c r="J46" s="553"/>
      <c r="K46" s="553"/>
      <c r="L46" s="553"/>
      <c r="M46" s="552"/>
      <c r="N46" s="552"/>
      <c r="O46" s="552"/>
      <c r="P46" s="552"/>
      <c r="Q46" s="552"/>
      <c r="R46" s="552"/>
      <c r="S46" s="552"/>
      <c r="T46" s="552"/>
      <c r="U46" s="552"/>
      <c r="V46" s="553"/>
      <c r="W46" s="553"/>
      <c r="X46" s="553"/>
      <c r="Y46" s="553"/>
      <c r="Z46" s="552"/>
      <c r="AA46" s="551"/>
      <c r="AB46" s="543"/>
      <c r="AC46" s="543"/>
      <c r="AD46" s="543"/>
      <c r="AE46" s="543"/>
      <c r="AF46" s="543"/>
      <c r="AG46" s="543"/>
      <c r="AH46" s="543"/>
      <c r="AI46" s="543"/>
      <c r="AJ46" s="543"/>
      <c r="EY46" s="543"/>
      <c r="EZ46" s="543"/>
      <c r="FA46" s="543"/>
      <c r="FB46" s="543"/>
      <c r="FC46" s="543"/>
      <c r="FD46" s="543"/>
      <c r="FE46" s="543"/>
      <c r="FF46" s="543"/>
      <c r="FG46" s="543"/>
      <c r="FH46" s="543"/>
      <c r="FI46" s="543"/>
      <c r="FJ46" s="543"/>
      <c r="FK46" s="543"/>
      <c r="FL46" s="543"/>
      <c r="FM46" s="543"/>
      <c r="FN46" s="543"/>
      <c r="FO46" s="543"/>
      <c r="FP46" s="543"/>
    </row>
    <row r="47" spans="1:205" ht="16" customHeight="1" x14ac:dyDescent="0.15">
      <c r="A47" s="552"/>
      <c r="B47" s="552"/>
      <c r="C47" s="552"/>
      <c r="D47" s="552"/>
      <c r="E47" s="552"/>
      <c r="F47" s="552"/>
      <c r="H47" s="553"/>
      <c r="I47" s="553"/>
      <c r="J47" s="553"/>
      <c r="K47" s="553"/>
      <c r="L47" s="553"/>
      <c r="M47" s="552"/>
      <c r="N47" s="552"/>
      <c r="O47" s="552"/>
      <c r="P47" s="552"/>
      <c r="Q47" s="552"/>
      <c r="R47" s="552"/>
      <c r="S47" s="552"/>
      <c r="T47" s="552"/>
      <c r="U47" s="552"/>
      <c r="V47" s="553"/>
      <c r="W47" s="553"/>
      <c r="X47" s="553"/>
      <c r="Y47" s="553"/>
      <c r="Z47" s="552"/>
      <c r="AA47" s="551"/>
      <c r="AB47" s="543"/>
      <c r="AC47" s="543"/>
      <c r="AD47" s="543"/>
      <c r="AE47" s="543"/>
      <c r="AF47" s="543"/>
      <c r="AG47" s="543"/>
      <c r="AH47" s="543"/>
      <c r="AI47" s="543"/>
      <c r="AJ47" s="543"/>
      <c r="EY47" s="543"/>
      <c r="EZ47" s="543"/>
      <c r="FA47" s="543"/>
      <c r="FB47" s="543"/>
      <c r="FC47" s="543"/>
      <c r="FD47" s="543"/>
      <c r="FE47" s="543"/>
      <c r="FF47" s="543"/>
      <c r="FG47" s="543"/>
      <c r="FH47" s="543"/>
      <c r="FI47" s="543"/>
      <c r="FJ47" s="543"/>
      <c r="FK47" s="543"/>
      <c r="FL47" s="543"/>
      <c r="FM47" s="543"/>
      <c r="FN47" s="543"/>
      <c r="FO47" s="543"/>
      <c r="FP47" s="543"/>
    </row>
    <row r="48" spans="1:205" ht="16" customHeight="1" x14ac:dyDescent="0.15">
      <c r="A48" s="552"/>
      <c r="B48" s="552"/>
      <c r="C48" s="552"/>
      <c r="D48" s="552"/>
      <c r="E48" s="552"/>
      <c r="F48" s="552"/>
      <c r="G48" s="553"/>
      <c r="H48" s="553"/>
      <c r="I48" s="553"/>
      <c r="J48" s="553"/>
      <c r="K48" s="553"/>
      <c r="L48" s="553"/>
      <c r="M48" s="552"/>
      <c r="N48" s="552"/>
      <c r="O48" s="552"/>
      <c r="P48" s="552"/>
      <c r="Q48" s="552"/>
      <c r="R48" s="552"/>
      <c r="S48" s="552"/>
      <c r="T48" s="552"/>
      <c r="U48" s="552"/>
      <c r="V48" s="553"/>
      <c r="W48" s="553"/>
      <c r="X48" s="553"/>
      <c r="Y48" s="553"/>
      <c r="Z48" s="552"/>
      <c r="AA48" s="551"/>
      <c r="AB48" s="543"/>
      <c r="AC48" s="543"/>
      <c r="AD48" s="543"/>
      <c r="AE48" s="543"/>
      <c r="AF48" s="543"/>
      <c r="AG48" s="543"/>
      <c r="AH48" s="543"/>
      <c r="AI48" s="543"/>
      <c r="AJ48" s="543"/>
      <c r="EY48" s="543"/>
      <c r="EZ48" s="543"/>
      <c r="FA48" s="543"/>
      <c r="FB48" s="543"/>
      <c r="FC48" s="543"/>
      <c r="FD48" s="543"/>
      <c r="FE48" s="543"/>
      <c r="FF48" s="543"/>
      <c r="FG48" s="543"/>
      <c r="FH48" s="543"/>
      <c r="FI48" s="543"/>
      <c r="FJ48" s="543"/>
      <c r="FK48" s="543"/>
      <c r="FL48" s="543"/>
      <c r="FM48" s="543"/>
      <c r="FN48" s="543"/>
      <c r="FO48" s="543"/>
      <c r="FP48" s="543"/>
    </row>
    <row r="49" spans="1:172" ht="16" customHeight="1" x14ac:dyDescent="0.15">
      <c r="A49" s="543"/>
      <c r="B49" s="543"/>
      <c r="C49" s="543"/>
      <c r="D49" s="543"/>
      <c r="E49" s="543"/>
      <c r="F49" s="543"/>
      <c r="G49" s="543"/>
      <c r="H49" s="543"/>
      <c r="I49" s="543"/>
      <c r="J49" s="543"/>
      <c r="K49" s="543"/>
      <c r="L49" s="543"/>
      <c r="M49" s="543"/>
      <c r="N49" s="543"/>
      <c r="O49" s="543"/>
      <c r="P49" s="543"/>
      <c r="Q49" s="543"/>
      <c r="R49" s="543"/>
      <c r="S49" s="543"/>
      <c r="T49" s="543"/>
      <c r="U49" s="543"/>
      <c r="V49" s="549"/>
      <c r="W49" s="549"/>
      <c r="X49" s="549"/>
      <c r="Y49" s="549"/>
      <c r="Z49" s="543"/>
      <c r="AA49" s="548"/>
      <c r="AB49" s="543"/>
      <c r="AC49" s="543"/>
      <c r="AD49" s="543"/>
      <c r="AE49" s="543"/>
      <c r="AF49" s="543"/>
      <c r="AG49" s="543"/>
      <c r="AH49" s="543"/>
      <c r="AI49" s="543"/>
      <c r="AJ49" s="543"/>
      <c r="EY49" s="543"/>
      <c r="EZ49" s="543"/>
      <c r="FA49" s="543"/>
      <c r="FB49" s="543"/>
      <c r="FC49" s="543"/>
      <c r="FD49" s="543"/>
      <c r="FE49" s="543"/>
      <c r="FF49" s="543"/>
      <c r="FG49" s="543"/>
      <c r="FH49" s="543"/>
      <c r="FI49" s="543"/>
      <c r="FJ49" s="543"/>
      <c r="FK49" s="543"/>
      <c r="FL49" s="543"/>
      <c r="FM49" s="543"/>
      <c r="FN49" s="543"/>
      <c r="FO49" s="543"/>
      <c r="FP49" s="543"/>
    </row>
    <row r="50" spans="1:172" ht="16" customHeight="1" x14ac:dyDescent="0.15">
      <c r="A50" s="543"/>
      <c r="B50" s="543"/>
      <c r="C50" s="543"/>
      <c r="D50" s="543"/>
      <c r="E50" s="543"/>
      <c r="F50" s="543"/>
      <c r="G50" s="543"/>
      <c r="H50" s="543"/>
      <c r="I50" s="543"/>
      <c r="J50" s="543"/>
      <c r="K50" s="543"/>
      <c r="L50" s="543"/>
      <c r="M50" s="543"/>
      <c r="N50" s="543"/>
      <c r="O50" s="543"/>
      <c r="P50" s="543"/>
      <c r="Q50" s="543"/>
      <c r="R50" s="543"/>
      <c r="S50" s="543"/>
      <c r="T50" s="543"/>
      <c r="U50" s="543"/>
      <c r="V50" s="549"/>
      <c r="W50" s="549"/>
      <c r="X50" s="549"/>
      <c r="Y50" s="549"/>
      <c r="Z50" s="543"/>
      <c r="AA50" s="548"/>
      <c r="AB50" s="543"/>
      <c r="AC50" s="543"/>
      <c r="AD50" s="543"/>
      <c r="AE50" s="543"/>
      <c r="AF50" s="543"/>
      <c r="AG50" s="543"/>
      <c r="AH50" s="543"/>
      <c r="AI50" s="543"/>
      <c r="AJ50" s="543"/>
      <c r="EY50" s="543"/>
      <c r="EZ50" s="543"/>
      <c r="FA50" s="543"/>
      <c r="FB50" s="543"/>
      <c r="FC50" s="543"/>
      <c r="FD50" s="543"/>
      <c r="FE50" s="543"/>
      <c r="FF50" s="543"/>
      <c r="FG50" s="543"/>
      <c r="FH50" s="543"/>
      <c r="FI50" s="543"/>
      <c r="FJ50" s="543"/>
      <c r="FK50" s="543"/>
      <c r="FL50" s="543"/>
      <c r="FM50" s="543"/>
      <c r="FN50" s="543"/>
      <c r="FO50" s="543"/>
      <c r="FP50" s="543"/>
    </row>
    <row r="51" spans="1:172" ht="16" customHeight="1" x14ac:dyDescent="0.15">
      <c r="A51" s="543"/>
      <c r="B51" s="543"/>
      <c r="C51" s="543"/>
      <c r="D51" s="543"/>
      <c r="E51" s="543"/>
      <c r="F51" s="543"/>
      <c r="G51" s="543"/>
      <c r="H51" s="543"/>
      <c r="I51" s="543"/>
      <c r="J51" s="543"/>
      <c r="K51" s="543"/>
      <c r="L51" s="543"/>
      <c r="M51" s="543"/>
      <c r="N51" s="543"/>
      <c r="O51" s="543"/>
      <c r="P51" s="543"/>
      <c r="Q51" s="543"/>
      <c r="R51" s="543"/>
      <c r="S51" s="543"/>
      <c r="T51" s="543"/>
      <c r="U51" s="543"/>
      <c r="V51" s="549"/>
      <c r="W51" s="549"/>
      <c r="X51" s="549"/>
      <c r="Y51" s="549"/>
      <c r="Z51" s="543"/>
      <c r="AA51" s="548"/>
      <c r="AB51" s="543"/>
      <c r="AC51" s="543"/>
      <c r="AD51" s="543"/>
      <c r="AE51" s="543"/>
      <c r="AF51" s="543"/>
      <c r="AG51" s="543"/>
      <c r="AH51" s="543"/>
      <c r="AI51" s="543"/>
      <c r="AJ51" s="543"/>
      <c r="EY51" s="543"/>
      <c r="EZ51" s="543"/>
      <c r="FA51" s="543"/>
      <c r="FB51" s="543"/>
      <c r="FC51" s="543"/>
      <c r="FD51" s="543"/>
      <c r="FE51" s="543"/>
      <c r="FF51" s="543"/>
      <c r="FG51" s="543"/>
      <c r="FH51" s="543"/>
      <c r="FI51" s="543"/>
      <c r="FJ51" s="543"/>
      <c r="FK51" s="543"/>
      <c r="FL51" s="543"/>
      <c r="FM51" s="543"/>
      <c r="FN51" s="543"/>
      <c r="FO51" s="543"/>
      <c r="FP51" s="543"/>
    </row>
    <row r="52" spans="1:172" ht="16" customHeight="1" x14ac:dyDescent="0.15">
      <c r="A52" s="543"/>
      <c r="B52" s="543"/>
      <c r="C52" s="543"/>
      <c r="D52" s="543"/>
      <c r="E52" s="543"/>
      <c r="F52" s="543"/>
      <c r="G52" s="543"/>
      <c r="H52" s="543"/>
      <c r="I52" s="543"/>
      <c r="J52" s="543"/>
      <c r="K52" s="543"/>
      <c r="L52" s="543"/>
      <c r="M52" s="543"/>
      <c r="N52" s="543"/>
      <c r="O52" s="543"/>
      <c r="P52" s="543"/>
      <c r="Q52" s="543"/>
      <c r="R52" s="543"/>
      <c r="S52" s="543"/>
      <c r="T52" s="543"/>
      <c r="U52" s="543"/>
      <c r="V52" s="549"/>
      <c r="W52" s="549"/>
      <c r="X52" s="549"/>
      <c r="Y52" s="549"/>
      <c r="Z52" s="543"/>
      <c r="AA52" s="548"/>
      <c r="AB52" s="543"/>
      <c r="AC52" s="543"/>
      <c r="AD52" s="543"/>
      <c r="AE52" s="543"/>
      <c r="AF52" s="543"/>
      <c r="AG52" s="543"/>
      <c r="AH52" s="543"/>
      <c r="AI52" s="543"/>
      <c r="AJ52" s="543"/>
      <c r="EY52" s="543"/>
      <c r="EZ52" s="543"/>
      <c r="FA52" s="543"/>
      <c r="FB52" s="543"/>
      <c r="FC52" s="543"/>
      <c r="FD52" s="543"/>
      <c r="FE52" s="543"/>
      <c r="FF52" s="543"/>
      <c r="FG52" s="543"/>
      <c r="FH52" s="543"/>
      <c r="FI52" s="543"/>
      <c r="FJ52" s="543"/>
      <c r="FK52" s="543"/>
      <c r="FL52" s="543"/>
      <c r="FM52" s="543"/>
      <c r="FN52" s="543"/>
      <c r="FO52" s="543"/>
      <c r="FP52" s="543"/>
    </row>
    <row r="53" spans="1:172" ht="16" customHeight="1" x14ac:dyDescent="0.15">
      <c r="A53" s="543"/>
      <c r="B53" s="543"/>
      <c r="C53" s="543"/>
      <c r="D53" s="543"/>
      <c r="E53" s="543"/>
      <c r="F53" s="543"/>
      <c r="G53" s="543"/>
      <c r="H53" s="543"/>
      <c r="I53" s="543"/>
      <c r="J53" s="543"/>
      <c r="K53" s="543"/>
      <c r="L53" s="543"/>
      <c r="M53" s="543"/>
      <c r="N53" s="543"/>
      <c r="O53" s="543"/>
      <c r="P53" s="543"/>
      <c r="Q53" s="543"/>
      <c r="R53" s="543"/>
      <c r="S53" s="543"/>
      <c r="T53" s="543"/>
      <c r="U53" s="543"/>
      <c r="V53" s="549"/>
      <c r="W53" s="549"/>
      <c r="X53" s="549"/>
      <c r="Y53" s="549"/>
      <c r="Z53" s="543"/>
      <c r="AA53" s="548"/>
      <c r="AB53" s="543"/>
      <c r="AC53" s="543"/>
      <c r="AD53" s="543"/>
      <c r="AE53" s="543"/>
      <c r="AF53" s="543"/>
      <c r="AG53" s="543"/>
      <c r="AH53" s="543"/>
      <c r="AI53" s="543"/>
      <c r="AJ53" s="543"/>
      <c r="EY53" s="543"/>
      <c r="EZ53" s="543"/>
      <c r="FA53" s="543"/>
      <c r="FB53" s="543"/>
      <c r="FC53" s="543"/>
      <c r="FD53" s="543"/>
      <c r="FE53" s="543"/>
      <c r="FF53" s="543"/>
      <c r="FG53" s="543"/>
      <c r="FH53" s="543"/>
      <c r="FI53" s="543"/>
      <c r="FJ53" s="543"/>
      <c r="FK53" s="543"/>
      <c r="FL53" s="543"/>
      <c r="FM53" s="543"/>
      <c r="FN53" s="543"/>
      <c r="FO53" s="543"/>
      <c r="FP53" s="543"/>
    </row>
    <row r="54" spans="1:172" ht="16" customHeight="1" x14ac:dyDescent="0.15">
      <c r="A54" s="543"/>
      <c r="B54" s="543"/>
      <c r="C54" s="543"/>
      <c r="D54" s="543"/>
      <c r="E54" s="543"/>
      <c r="F54" s="543"/>
      <c r="G54" s="543"/>
      <c r="H54" s="543"/>
      <c r="I54" s="543"/>
      <c r="J54" s="543"/>
      <c r="K54" s="543"/>
      <c r="L54" s="543"/>
      <c r="M54" s="543"/>
      <c r="N54" s="543"/>
      <c r="O54" s="543"/>
      <c r="P54" s="543"/>
      <c r="Q54" s="543"/>
      <c r="R54" s="543"/>
      <c r="S54" s="543"/>
      <c r="T54" s="543"/>
      <c r="U54" s="543"/>
      <c r="V54" s="549"/>
      <c r="W54" s="549"/>
      <c r="X54" s="549"/>
      <c r="Y54" s="549"/>
      <c r="Z54" s="543"/>
      <c r="AA54" s="548"/>
      <c r="AB54" s="543"/>
      <c r="AC54" s="543"/>
      <c r="AD54" s="543"/>
      <c r="AE54" s="543"/>
      <c r="AF54" s="543"/>
      <c r="AG54" s="543"/>
      <c r="AH54" s="543"/>
      <c r="AI54" s="543"/>
      <c r="AJ54" s="543"/>
      <c r="EY54" s="543"/>
      <c r="EZ54" s="543"/>
      <c r="FA54" s="543"/>
      <c r="FB54" s="543"/>
      <c r="FC54" s="543"/>
      <c r="FD54" s="543"/>
      <c r="FE54" s="543"/>
      <c r="FF54" s="543"/>
      <c r="FG54" s="543"/>
      <c r="FH54" s="543"/>
      <c r="FI54" s="543"/>
      <c r="FJ54" s="543"/>
      <c r="FK54" s="543"/>
      <c r="FL54" s="543"/>
      <c r="FM54" s="543"/>
      <c r="FN54" s="543"/>
      <c r="FO54" s="543"/>
      <c r="FP54" s="543"/>
    </row>
    <row r="55" spans="1:172" ht="16" customHeight="1" x14ac:dyDescent="0.15">
      <c r="A55" s="543"/>
      <c r="B55" s="543"/>
      <c r="C55" s="543"/>
      <c r="D55" s="543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543"/>
      <c r="S55" s="543"/>
      <c r="T55" s="543"/>
      <c r="U55" s="543"/>
      <c r="V55" s="549"/>
      <c r="W55" s="549"/>
      <c r="X55" s="549"/>
      <c r="Y55" s="549"/>
      <c r="Z55" s="543"/>
      <c r="AA55" s="548"/>
      <c r="AB55" s="543"/>
      <c r="AC55" s="543"/>
      <c r="AD55" s="543"/>
      <c r="AE55" s="543"/>
      <c r="AF55" s="543"/>
      <c r="AG55" s="543"/>
      <c r="AH55" s="543"/>
      <c r="AI55" s="543"/>
      <c r="AJ55" s="543"/>
      <c r="EY55" s="543"/>
      <c r="EZ55" s="543"/>
      <c r="FA55" s="543"/>
      <c r="FB55" s="543"/>
      <c r="FC55" s="543"/>
      <c r="FD55" s="543"/>
      <c r="FE55" s="543"/>
      <c r="FF55" s="543"/>
      <c r="FG55" s="543"/>
      <c r="FH55" s="543"/>
      <c r="FI55" s="543"/>
      <c r="FJ55" s="543"/>
      <c r="FK55" s="543"/>
      <c r="FL55" s="543"/>
      <c r="FM55" s="543"/>
      <c r="FN55" s="543"/>
      <c r="FO55" s="543"/>
      <c r="FP55" s="543"/>
    </row>
    <row r="56" spans="1:172" ht="16" customHeight="1" x14ac:dyDescent="0.15">
      <c r="A56" s="543"/>
      <c r="B56" s="543"/>
      <c r="C56" s="543"/>
      <c r="D56" s="543"/>
      <c r="E56" s="543"/>
      <c r="F56" s="543"/>
      <c r="G56" s="543"/>
      <c r="H56" s="543"/>
      <c r="I56" s="543"/>
      <c r="J56" s="543"/>
      <c r="K56" s="543"/>
      <c r="L56" s="543"/>
      <c r="M56" s="543"/>
      <c r="N56" s="543"/>
      <c r="O56" s="543"/>
      <c r="P56" s="543"/>
      <c r="Q56" s="543"/>
      <c r="R56" s="543"/>
      <c r="S56" s="543"/>
      <c r="T56" s="543"/>
      <c r="U56" s="543"/>
      <c r="V56" s="549"/>
      <c r="W56" s="549"/>
      <c r="X56" s="549"/>
      <c r="Y56" s="549"/>
      <c r="Z56" s="543"/>
      <c r="AA56" s="548"/>
      <c r="AB56" s="543"/>
      <c r="AC56" s="543"/>
      <c r="AD56" s="543"/>
      <c r="AE56" s="543"/>
      <c r="AF56" s="543"/>
      <c r="AG56" s="543"/>
      <c r="AH56" s="543"/>
      <c r="AI56" s="543"/>
      <c r="AJ56" s="543"/>
      <c r="EY56" s="543"/>
      <c r="EZ56" s="543"/>
      <c r="FA56" s="543"/>
      <c r="FB56" s="543"/>
      <c r="FC56" s="543"/>
      <c r="FD56" s="543"/>
      <c r="FE56" s="543"/>
      <c r="FF56" s="543"/>
      <c r="FG56" s="543"/>
      <c r="FH56" s="543"/>
      <c r="FI56" s="543"/>
      <c r="FJ56" s="543"/>
      <c r="FK56" s="543"/>
      <c r="FL56" s="543"/>
      <c r="FM56" s="543"/>
      <c r="FN56" s="543"/>
      <c r="FO56" s="543"/>
      <c r="FP56" s="543"/>
    </row>
    <row r="57" spans="1:172" ht="16" customHeight="1" x14ac:dyDescent="0.15">
      <c r="A57" s="543"/>
      <c r="B57" s="543"/>
      <c r="C57" s="543"/>
      <c r="D57" s="543"/>
      <c r="E57" s="543"/>
      <c r="F57" s="543"/>
      <c r="G57" s="543"/>
      <c r="H57" s="543"/>
      <c r="I57" s="543"/>
      <c r="J57" s="543"/>
      <c r="K57" s="543"/>
      <c r="L57" s="543"/>
      <c r="M57" s="543"/>
      <c r="N57" s="543"/>
      <c r="O57" s="543"/>
      <c r="P57" s="543"/>
      <c r="Q57" s="543"/>
      <c r="R57" s="543"/>
      <c r="S57" s="543"/>
      <c r="T57" s="543"/>
      <c r="U57" s="543"/>
      <c r="V57" s="549"/>
      <c r="W57" s="549"/>
      <c r="X57" s="549"/>
      <c r="Y57" s="549"/>
      <c r="Z57" s="543"/>
      <c r="AA57" s="548"/>
      <c r="AB57" s="543"/>
      <c r="AC57" s="543"/>
      <c r="AD57" s="543"/>
      <c r="AE57" s="543"/>
      <c r="AF57" s="543"/>
      <c r="AG57" s="543"/>
      <c r="AH57" s="543"/>
      <c r="AI57" s="543"/>
      <c r="AJ57" s="543"/>
      <c r="EY57" s="543"/>
      <c r="EZ57" s="543"/>
      <c r="FA57" s="543"/>
      <c r="FB57" s="543"/>
      <c r="FC57" s="543"/>
      <c r="FD57" s="543"/>
      <c r="FE57" s="543"/>
      <c r="FF57" s="543"/>
      <c r="FG57" s="543"/>
      <c r="FH57" s="543"/>
      <c r="FI57" s="543"/>
      <c r="FJ57" s="543"/>
      <c r="FK57" s="543"/>
      <c r="FL57" s="543"/>
      <c r="FM57" s="543"/>
      <c r="FN57" s="543"/>
      <c r="FO57" s="543"/>
      <c r="FP57" s="543"/>
    </row>
    <row r="58" spans="1:172" ht="16" customHeight="1" x14ac:dyDescent="0.15">
      <c r="A58" s="543"/>
      <c r="B58" s="543"/>
      <c r="C58" s="543"/>
      <c r="D58" s="543"/>
      <c r="E58" s="543"/>
      <c r="F58" s="543"/>
      <c r="G58" s="543"/>
      <c r="H58" s="543"/>
      <c r="I58" s="543"/>
      <c r="J58" s="543"/>
      <c r="K58" s="543"/>
      <c r="L58" s="543"/>
      <c r="M58" s="543"/>
      <c r="N58" s="543"/>
      <c r="O58" s="543"/>
      <c r="P58" s="543"/>
      <c r="Q58" s="543"/>
      <c r="R58" s="543"/>
      <c r="S58" s="543"/>
      <c r="T58" s="543"/>
      <c r="U58" s="543"/>
      <c r="V58" s="549"/>
      <c r="W58" s="549"/>
      <c r="X58" s="549"/>
      <c r="Y58" s="549"/>
      <c r="Z58" s="543"/>
      <c r="AA58" s="548"/>
      <c r="AB58" s="543"/>
      <c r="AC58" s="543"/>
      <c r="AD58" s="543"/>
      <c r="AE58" s="543"/>
      <c r="AF58" s="543"/>
      <c r="AG58" s="543"/>
      <c r="AH58" s="543"/>
      <c r="AI58" s="543"/>
      <c r="AJ58" s="543"/>
      <c r="EY58" s="543"/>
      <c r="EZ58" s="543"/>
      <c r="FA58" s="543"/>
      <c r="FB58" s="543"/>
      <c r="FC58" s="543"/>
      <c r="FD58" s="543"/>
      <c r="FE58" s="543"/>
      <c r="FF58" s="543"/>
      <c r="FG58" s="543"/>
      <c r="FH58" s="543"/>
      <c r="FI58" s="543"/>
      <c r="FJ58" s="543"/>
      <c r="FK58" s="543"/>
      <c r="FL58" s="543"/>
      <c r="FM58" s="543"/>
      <c r="FN58" s="543"/>
      <c r="FO58" s="543"/>
      <c r="FP58" s="543"/>
    </row>
    <row r="59" spans="1:172" ht="16" customHeight="1" x14ac:dyDescent="0.15">
      <c r="A59" s="543"/>
      <c r="B59" s="543"/>
      <c r="C59" s="543"/>
      <c r="D59" s="543"/>
      <c r="E59" s="543"/>
      <c r="F59" s="543"/>
      <c r="G59" s="543"/>
      <c r="H59" s="543"/>
      <c r="I59" s="543"/>
      <c r="J59" s="543"/>
      <c r="K59" s="543"/>
      <c r="L59" s="543"/>
      <c r="M59" s="543"/>
      <c r="N59" s="543"/>
      <c r="O59" s="543"/>
      <c r="P59" s="543"/>
      <c r="Q59" s="543"/>
      <c r="R59" s="543"/>
      <c r="S59" s="543"/>
      <c r="T59" s="543"/>
      <c r="U59" s="543"/>
      <c r="V59" s="549"/>
      <c r="W59" s="549"/>
      <c r="X59" s="549"/>
      <c r="Y59" s="549"/>
      <c r="Z59" s="543"/>
      <c r="AA59" s="548"/>
      <c r="AB59" s="543"/>
      <c r="AC59" s="543"/>
      <c r="AD59" s="543"/>
      <c r="AE59" s="543"/>
      <c r="AF59" s="543"/>
      <c r="AG59" s="543"/>
      <c r="AH59" s="543"/>
      <c r="AI59" s="543"/>
      <c r="AJ59" s="543"/>
      <c r="EY59" s="543"/>
      <c r="EZ59" s="543"/>
      <c r="FA59" s="543"/>
      <c r="FB59" s="543"/>
      <c r="FC59" s="543"/>
      <c r="FD59" s="543"/>
      <c r="FE59" s="543"/>
      <c r="FF59" s="543"/>
      <c r="FG59" s="543"/>
      <c r="FH59" s="543"/>
      <c r="FI59" s="543"/>
      <c r="FJ59" s="543"/>
      <c r="FK59" s="543"/>
      <c r="FL59" s="543"/>
      <c r="FM59" s="543"/>
      <c r="FN59" s="543"/>
      <c r="FO59" s="543"/>
      <c r="FP59" s="543"/>
    </row>
    <row r="60" spans="1:172" ht="16" customHeight="1" x14ac:dyDescent="0.15">
      <c r="A60" s="543"/>
      <c r="B60" s="543"/>
      <c r="C60" s="543"/>
      <c r="D60" s="543"/>
      <c r="E60" s="543"/>
      <c r="F60" s="543"/>
      <c r="G60" s="543"/>
      <c r="H60" s="543"/>
      <c r="I60" s="543"/>
      <c r="J60" s="543"/>
      <c r="K60" s="543"/>
      <c r="L60" s="543"/>
      <c r="M60" s="543"/>
      <c r="N60" s="543"/>
      <c r="O60" s="543"/>
      <c r="P60" s="543"/>
      <c r="Q60" s="543"/>
      <c r="R60" s="543"/>
      <c r="S60" s="543"/>
      <c r="T60" s="543"/>
      <c r="U60" s="543"/>
      <c r="V60" s="549"/>
      <c r="W60" s="549"/>
      <c r="X60" s="549"/>
      <c r="Y60" s="549"/>
      <c r="Z60" s="543"/>
      <c r="AA60" s="548"/>
      <c r="AB60" s="543"/>
      <c r="AC60" s="543"/>
      <c r="AD60" s="543"/>
      <c r="AE60" s="543"/>
      <c r="AF60" s="543"/>
      <c r="AG60" s="543"/>
      <c r="AH60" s="543"/>
      <c r="AI60" s="543"/>
      <c r="AJ60" s="543"/>
      <c r="EY60" s="543"/>
      <c r="EZ60" s="543"/>
      <c r="FA60" s="543"/>
      <c r="FB60" s="543"/>
      <c r="FC60" s="543"/>
      <c r="FD60" s="543"/>
      <c r="FE60" s="543"/>
      <c r="FF60" s="543"/>
      <c r="FG60" s="543"/>
      <c r="FH60" s="543"/>
      <c r="FI60" s="543"/>
      <c r="FJ60" s="543"/>
      <c r="FK60" s="543"/>
      <c r="FL60" s="543"/>
      <c r="FM60" s="543"/>
      <c r="FN60" s="543"/>
      <c r="FO60" s="543"/>
      <c r="FP60" s="543"/>
    </row>
    <row r="61" spans="1:172" ht="16" customHeight="1" x14ac:dyDescent="0.15">
      <c r="A61" s="543"/>
      <c r="B61" s="543"/>
      <c r="C61" s="543"/>
      <c r="D61" s="543"/>
      <c r="E61" s="543"/>
      <c r="F61" s="543"/>
      <c r="G61" s="543"/>
      <c r="H61" s="543"/>
      <c r="I61" s="543"/>
      <c r="J61" s="543"/>
      <c r="K61" s="543"/>
      <c r="L61" s="543"/>
      <c r="M61" s="543"/>
      <c r="N61" s="543"/>
      <c r="O61" s="543"/>
      <c r="P61" s="543"/>
      <c r="Q61" s="543"/>
      <c r="R61" s="543"/>
      <c r="S61" s="543"/>
      <c r="T61" s="543"/>
      <c r="U61" s="543"/>
      <c r="V61" s="549"/>
      <c r="W61" s="549"/>
      <c r="X61" s="549"/>
      <c r="Y61" s="549"/>
      <c r="Z61" s="543"/>
      <c r="AA61" s="548"/>
      <c r="AB61" s="543"/>
      <c r="AC61" s="543"/>
      <c r="AD61" s="543"/>
      <c r="AE61" s="543"/>
      <c r="AF61" s="543"/>
      <c r="AG61" s="543"/>
      <c r="AH61" s="543"/>
      <c r="AI61" s="543"/>
      <c r="AJ61" s="543"/>
      <c r="EY61" s="543"/>
      <c r="EZ61" s="543"/>
      <c r="FA61" s="543"/>
      <c r="FB61" s="543"/>
      <c r="FC61" s="543"/>
      <c r="FD61" s="543"/>
      <c r="FE61" s="543"/>
      <c r="FF61" s="543"/>
      <c r="FG61" s="543"/>
      <c r="FH61" s="543"/>
      <c r="FI61" s="543"/>
      <c r="FJ61" s="543"/>
      <c r="FK61" s="543"/>
      <c r="FL61" s="543"/>
      <c r="FM61" s="543"/>
      <c r="FN61" s="543"/>
      <c r="FO61" s="543"/>
      <c r="FP61" s="543"/>
    </row>
    <row r="62" spans="1:172" ht="16" customHeight="1" x14ac:dyDescent="0.15">
      <c r="A62" s="543"/>
      <c r="B62" s="543"/>
      <c r="C62" s="543"/>
      <c r="D62" s="543"/>
      <c r="E62" s="543"/>
      <c r="F62" s="543"/>
      <c r="G62" s="543"/>
      <c r="H62" s="543"/>
      <c r="I62" s="543"/>
      <c r="J62" s="543"/>
      <c r="K62" s="543"/>
      <c r="L62" s="543"/>
      <c r="M62" s="543"/>
      <c r="N62" s="543"/>
      <c r="O62" s="543"/>
      <c r="P62" s="543"/>
      <c r="Q62" s="543"/>
      <c r="R62" s="543"/>
      <c r="S62" s="543"/>
      <c r="T62" s="543"/>
      <c r="U62" s="543"/>
      <c r="V62" s="549"/>
      <c r="W62" s="549"/>
      <c r="X62" s="549"/>
      <c r="Y62" s="549"/>
      <c r="Z62" s="543"/>
      <c r="AA62" s="548"/>
      <c r="AB62" s="543"/>
      <c r="AC62" s="543"/>
      <c r="AD62" s="543"/>
      <c r="AE62" s="543"/>
      <c r="AF62" s="543"/>
      <c r="AG62" s="543"/>
      <c r="AH62" s="543"/>
      <c r="AI62" s="543"/>
      <c r="AJ62" s="543"/>
      <c r="EY62" s="543"/>
      <c r="EZ62" s="543"/>
      <c r="FA62" s="543"/>
      <c r="FB62" s="543"/>
      <c r="FC62" s="543"/>
      <c r="FD62" s="543"/>
      <c r="FE62" s="543"/>
      <c r="FF62" s="543"/>
      <c r="FG62" s="543"/>
      <c r="FH62" s="543"/>
      <c r="FI62" s="543"/>
      <c r="FJ62" s="543"/>
      <c r="FK62" s="543"/>
      <c r="FL62" s="543"/>
      <c r="FM62" s="543"/>
      <c r="FN62" s="543"/>
      <c r="FO62" s="543"/>
      <c r="FP62" s="543"/>
    </row>
    <row r="63" spans="1:172" ht="16" customHeight="1" x14ac:dyDescent="0.15">
      <c r="A63" s="543"/>
      <c r="B63" s="543"/>
      <c r="C63" s="543"/>
      <c r="D63" s="543"/>
      <c r="E63" s="543"/>
      <c r="F63" s="543"/>
      <c r="G63" s="543"/>
      <c r="H63" s="543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9"/>
      <c r="W63" s="549"/>
      <c r="X63" s="549"/>
      <c r="Y63" s="549"/>
      <c r="Z63" s="543"/>
      <c r="AA63" s="548"/>
      <c r="AB63" s="543"/>
      <c r="AC63" s="543"/>
      <c r="AD63" s="543"/>
      <c r="AE63" s="543"/>
      <c r="AF63" s="543"/>
      <c r="AG63" s="543"/>
      <c r="AH63" s="543"/>
      <c r="AI63" s="543"/>
      <c r="AJ63" s="543"/>
      <c r="EY63" s="543"/>
      <c r="EZ63" s="543"/>
      <c r="FA63" s="543"/>
      <c r="FB63" s="543"/>
      <c r="FC63" s="543"/>
      <c r="FD63" s="543"/>
      <c r="FE63" s="543"/>
      <c r="FF63" s="543"/>
      <c r="FG63" s="543"/>
      <c r="FH63" s="543"/>
      <c r="FI63" s="543"/>
      <c r="FJ63" s="543"/>
      <c r="FK63" s="543"/>
      <c r="FL63" s="543"/>
      <c r="FM63" s="543"/>
      <c r="FN63" s="543"/>
      <c r="FO63" s="543"/>
      <c r="FP63" s="543"/>
    </row>
    <row r="64" spans="1:172" ht="16" customHeight="1" x14ac:dyDescent="0.15">
      <c r="A64" s="543"/>
      <c r="B64" s="543"/>
      <c r="C64" s="543"/>
      <c r="D64" s="543"/>
      <c r="E64" s="543"/>
      <c r="F64" s="543"/>
      <c r="G64" s="550"/>
      <c r="H64" s="543"/>
      <c r="I64" s="543"/>
      <c r="J64" s="543"/>
      <c r="K64" s="543"/>
      <c r="L64" s="543"/>
      <c r="M64" s="543"/>
      <c r="N64" s="543"/>
      <c r="O64" s="543"/>
      <c r="P64" s="543"/>
      <c r="Q64" s="543"/>
      <c r="R64" s="543"/>
      <c r="S64" s="543"/>
      <c r="T64" s="543"/>
      <c r="U64" s="543"/>
      <c r="V64" s="549"/>
      <c r="W64" s="549"/>
      <c r="X64" s="549"/>
      <c r="Y64" s="549"/>
      <c r="Z64" s="543"/>
      <c r="AA64" s="548"/>
      <c r="AB64" s="543"/>
      <c r="AC64" s="543"/>
      <c r="AD64" s="543"/>
      <c r="AE64" s="543"/>
      <c r="AF64" s="543"/>
      <c r="AG64" s="543"/>
      <c r="AH64" s="543"/>
      <c r="AI64" s="543"/>
      <c r="AJ64" s="543"/>
      <c r="EY64" s="543"/>
      <c r="EZ64" s="543"/>
      <c r="FA64" s="543"/>
      <c r="FB64" s="543"/>
      <c r="FC64" s="543"/>
      <c r="FD64" s="543"/>
      <c r="FE64" s="543"/>
      <c r="FF64" s="543"/>
      <c r="FG64" s="543"/>
      <c r="FH64" s="543"/>
      <c r="FI64" s="543"/>
      <c r="FJ64" s="543"/>
      <c r="FK64" s="543"/>
      <c r="FL64" s="543"/>
      <c r="FM64" s="543"/>
      <c r="FN64" s="543"/>
      <c r="FO64" s="543"/>
      <c r="FP64" s="543"/>
    </row>
    <row r="65" spans="1:172" ht="16" customHeight="1" x14ac:dyDescent="0.15">
      <c r="A65" s="543"/>
      <c r="B65" s="543"/>
      <c r="C65" s="543"/>
      <c r="D65" s="543"/>
      <c r="E65" s="543"/>
      <c r="F65" s="543"/>
      <c r="G65" s="543"/>
      <c r="H65" s="543"/>
      <c r="I65" s="543"/>
      <c r="J65" s="543"/>
      <c r="K65" s="543"/>
      <c r="L65" s="543"/>
      <c r="M65" s="543"/>
      <c r="N65" s="543"/>
      <c r="O65" s="543"/>
      <c r="P65" s="543"/>
      <c r="Q65" s="543"/>
      <c r="R65" s="543"/>
      <c r="S65" s="543"/>
      <c r="T65" s="543"/>
      <c r="U65" s="543"/>
      <c r="V65" s="549"/>
      <c r="W65" s="549"/>
      <c r="X65" s="549"/>
      <c r="Y65" s="549"/>
      <c r="Z65" s="543"/>
      <c r="AA65" s="548"/>
      <c r="AB65" s="543"/>
      <c r="AC65" s="543"/>
      <c r="AD65" s="543"/>
      <c r="AE65" s="543"/>
      <c r="AF65" s="543"/>
      <c r="AG65" s="543"/>
      <c r="AH65" s="543"/>
      <c r="AI65" s="543"/>
      <c r="AJ65" s="543"/>
      <c r="EY65" s="543"/>
      <c r="EZ65" s="543"/>
      <c r="FA65" s="543"/>
      <c r="FB65" s="543"/>
      <c r="FC65" s="543"/>
      <c r="FD65" s="543"/>
      <c r="FE65" s="543"/>
      <c r="FF65" s="543"/>
      <c r="FG65" s="543"/>
      <c r="FH65" s="543"/>
      <c r="FI65" s="543"/>
      <c r="FJ65" s="543"/>
      <c r="FK65" s="543"/>
      <c r="FL65" s="543"/>
      <c r="FM65" s="543"/>
      <c r="FN65" s="543"/>
      <c r="FO65" s="543"/>
      <c r="FP65" s="543"/>
    </row>
    <row r="66" spans="1:172" ht="16" customHeight="1" x14ac:dyDescent="0.15">
      <c r="A66" s="543"/>
      <c r="B66" s="543"/>
      <c r="C66" s="543"/>
      <c r="D66" s="543"/>
      <c r="E66" s="543"/>
      <c r="F66" s="543"/>
      <c r="G66" s="543"/>
      <c r="H66" s="543"/>
      <c r="I66" s="543"/>
      <c r="J66" s="543"/>
      <c r="K66" s="543"/>
      <c r="L66" s="543"/>
      <c r="M66" s="543"/>
      <c r="N66" s="543"/>
      <c r="O66" s="543"/>
      <c r="P66" s="543"/>
      <c r="Q66" s="543"/>
      <c r="R66" s="543"/>
      <c r="S66" s="543"/>
      <c r="T66" s="543"/>
      <c r="U66" s="543"/>
      <c r="V66" s="549"/>
      <c r="W66" s="549"/>
      <c r="X66" s="549"/>
      <c r="Y66" s="549"/>
      <c r="Z66" s="543"/>
      <c r="AA66" s="548"/>
      <c r="AB66" s="543"/>
      <c r="AC66" s="543"/>
      <c r="AD66" s="543"/>
      <c r="AE66" s="543"/>
      <c r="AF66" s="543"/>
      <c r="AG66" s="543"/>
      <c r="AH66" s="543"/>
      <c r="AI66" s="543"/>
      <c r="AJ66" s="543"/>
      <c r="EY66" s="543"/>
      <c r="EZ66" s="543"/>
      <c r="FA66" s="543"/>
      <c r="FB66" s="543"/>
      <c r="FC66" s="543"/>
      <c r="FD66" s="543"/>
      <c r="FE66" s="543"/>
      <c r="FF66" s="543"/>
      <c r="FG66" s="543"/>
      <c r="FH66" s="543"/>
      <c r="FI66" s="543"/>
      <c r="FJ66" s="543"/>
      <c r="FK66" s="543"/>
      <c r="FL66" s="543"/>
      <c r="FM66" s="543"/>
      <c r="FN66" s="543"/>
      <c r="FO66" s="543"/>
      <c r="FP66" s="543"/>
    </row>
    <row r="67" spans="1:172" ht="16" customHeight="1" x14ac:dyDescent="0.15">
      <c r="A67" s="543"/>
      <c r="B67" s="543"/>
      <c r="C67" s="543"/>
      <c r="D67" s="543"/>
      <c r="E67" s="543"/>
      <c r="F67" s="543"/>
      <c r="G67" s="543"/>
      <c r="H67" s="543"/>
      <c r="I67" s="543"/>
      <c r="J67" s="543"/>
      <c r="K67" s="543"/>
      <c r="L67" s="543"/>
      <c r="M67" s="543"/>
      <c r="N67" s="543"/>
      <c r="O67" s="543"/>
      <c r="P67" s="543"/>
      <c r="Q67" s="543"/>
      <c r="R67" s="543"/>
      <c r="S67" s="543"/>
      <c r="T67" s="543"/>
      <c r="U67" s="543"/>
      <c r="V67" s="549"/>
      <c r="W67" s="549"/>
      <c r="X67" s="549"/>
      <c r="Y67" s="549"/>
      <c r="Z67" s="543"/>
      <c r="AA67" s="548"/>
      <c r="AB67" s="543"/>
      <c r="AC67" s="543"/>
      <c r="AD67" s="543"/>
      <c r="AE67" s="543"/>
      <c r="AF67" s="543"/>
      <c r="AG67" s="543"/>
      <c r="AH67" s="543"/>
      <c r="AI67" s="543"/>
      <c r="AJ67" s="543"/>
      <c r="EY67" s="543"/>
      <c r="EZ67" s="543"/>
      <c r="FA67" s="543"/>
      <c r="FB67" s="543"/>
      <c r="FC67" s="543"/>
      <c r="FD67" s="543"/>
      <c r="FE67" s="543"/>
      <c r="FF67" s="543"/>
      <c r="FG67" s="543"/>
      <c r="FH67" s="543"/>
      <c r="FI67" s="543"/>
      <c r="FJ67" s="543"/>
      <c r="FK67" s="543"/>
      <c r="FL67" s="543"/>
      <c r="FM67" s="543"/>
      <c r="FN67" s="543"/>
      <c r="FO67" s="543"/>
      <c r="FP67" s="543"/>
    </row>
    <row r="68" spans="1:172" ht="16" customHeight="1" x14ac:dyDescent="0.15">
      <c r="A68" s="543"/>
      <c r="B68" s="543"/>
      <c r="C68" s="543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3"/>
      <c r="O68" s="543"/>
      <c r="P68" s="543"/>
      <c r="Q68" s="543"/>
      <c r="R68" s="543"/>
      <c r="S68" s="543"/>
      <c r="T68" s="543"/>
      <c r="U68" s="543"/>
      <c r="V68" s="549"/>
      <c r="W68" s="549"/>
      <c r="X68" s="549"/>
      <c r="Y68" s="549"/>
      <c r="Z68" s="543"/>
      <c r="AA68" s="548"/>
      <c r="AB68" s="543"/>
      <c r="AC68" s="543"/>
      <c r="AD68" s="543"/>
      <c r="AE68" s="543"/>
      <c r="AF68" s="543"/>
      <c r="AG68" s="543"/>
      <c r="AH68" s="543"/>
      <c r="AI68" s="543"/>
      <c r="AJ68" s="543"/>
      <c r="EY68" s="543"/>
      <c r="EZ68" s="543"/>
      <c r="FA68" s="543"/>
      <c r="FB68" s="543"/>
      <c r="FC68" s="543"/>
      <c r="FD68" s="543"/>
      <c r="FE68" s="543"/>
      <c r="FF68" s="543"/>
      <c r="FG68" s="543"/>
      <c r="FH68" s="543"/>
      <c r="FI68" s="543"/>
      <c r="FJ68" s="543"/>
      <c r="FK68" s="543"/>
      <c r="FL68" s="543"/>
      <c r="FM68" s="543"/>
      <c r="FN68" s="543"/>
      <c r="FO68" s="543"/>
      <c r="FP68" s="543"/>
    </row>
    <row r="69" spans="1:172" ht="16" customHeight="1" x14ac:dyDescent="0.15">
      <c r="A69" s="543"/>
      <c r="B69" s="543"/>
      <c r="C69" s="543"/>
      <c r="D69" s="543"/>
      <c r="E69" s="543"/>
      <c r="F69" s="543"/>
      <c r="G69" s="543"/>
      <c r="H69" s="543"/>
      <c r="I69" s="543"/>
      <c r="J69" s="543"/>
      <c r="K69" s="543"/>
      <c r="L69" s="543"/>
      <c r="M69" s="543"/>
      <c r="N69" s="543"/>
      <c r="O69" s="543"/>
      <c r="P69" s="543"/>
      <c r="Q69" s="543"/>
      <c r="R69" s="543"/>
      <c r="S69" s="543"/>
      <c r="T69" s="543"/>
      <c r="U69" s="543"/>
      <c r="V69" s="549"/>
      <c r="W69" s="549"/>
      <c r="X69" s="549"/>
      <c r="Y69" s="549"/>
      <c r="Z69" s="543"/>
      <c r="AA69" s="548"/>
      <c r="AB69" s="543"/>
      <c r="AC69" s="543"/>
      <c r="AD69" s="543"/>
      <c r="AE69" s="543"/>
      <c r="AF69" s="543"/>
      <c r="AG69" s="543"/>
      <c r="AH69" s="543"/>
      <c r="AI69" s="543"/>
      <c r="AJ69" s="543"/>
      <c r="EY69" s="543"/>
      <c r="EZ69" s="543"/>
      <c r="FA69" s="543"/>
      <c r="FB69" s="543"/>
      <c r="FC69" s="543"/>
      <c r="FD69" s="543"/>
      <c r="FE69" s="543"/>
      <c r="FF69" s="543"/>
      <c r="FG69" s="543"/>
      <c r="FH69" s="543"/>
      <c r="FI69" s="543"/>
      <c r="FJ69" s="543"/>
      <c r="FK69" s="543"/>
      <c r="FL69" s="543"/>
      <c r="FM69" s="543"/>
      <c r="FN69" s="543"/>
      <c r="FO69" s="543"/>
      <c r="FP69" s="543"/>
    </row>
    <row r="70" spans="1:172" ht="16" customHeight="1" x14ac:dyDescent="0.15">
      <c r="A70" s="543"/>
      <c r="B70" s="543"/>
      <c r="C70" s="543"/>
      <c r="D70" s="543"/>
      <c r="E70" s="543"/>
      <c r="F70" s="543"/>
      <c r="G70" s="543"/>
      <c r="H70" s="543"/>
      <c r="I70" s="543"/>
      <c r="J70" s="543"/>
      <c r="K70" s="543"/>
      <c r="L70" s="543"/>
      <c r="M70" s="543"/>
      <c r="N70" s="543"/>
      <c r="O70" s="543"/>
      <c r="P70" s="543"/>
      <c r="Q70" s="543"/>
      <c r="R70" s="543"/>
      <c r="S70" s="543"/>
      <c r="T70" s="543"/>
      <c r="U70" s="543"/>
      <c r="V70" s="549"/>
      <c r="W70" s="549"/>
      <c r="X70" s="549"/>
      <c r="Y70" s="549"/>
      <c r="Z70" s="543"/>
      <c r="AA70" s="548"/>
      <c r="AB70" s="543"/>
      <c r="AC70" s="543"/>
      <c r="AD70" s="543"/>
      <c r="AE70" s="543"/>
      <c r="AF70" s="543"/>
      <c r="AG70" s="543"/>
      <c r="AH70" s="543"/>
      <c r="AI70" s="543"/>
      <c r="AJ70" s="543"/>
      <c r="EY70" s="543"/>
      <c r="EZ70" s="543"/>
      <c r="FA70" s="543"/>
      <c r="FB70" s="543"/>
      <c r="FC70" s="543"/>
      <c r="FD70" s="543"/>
      <c r="FE70" s="543"/>
      <c r="FF70" s="543"/>
      <c r="FG70" s="543"/>
      <c r="FH70" s="543"/>
      <c r="FI70" s="543"/>
      <c r="FJ70" s="543"/>
      <c r="FK70" s="543"/>
      <c r="FL70" s="543"/>
      <c r="FM70" s="543"/>
      <c r="FN70" s="543"/>
      <c r="FO70" s="543"/>
      <c r="FP70" s="543"/>
    </row>
    <row r="71" spans="1:172" ht="16" customHeight="1" x14ac:dyDescent="0.15">
      <c r="A71" s="543"/>
      <c r="B71" s="543"/>
      <c r="C71" s="543"/>
      <c r="D71" s="543"/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543"/>
      <c r="T71" s="543"/>
      <c r="U71" s="543"/>
      <c r="V71" s="549"/>
      <c r="W71" s="549"/>
      <c r="X71" s="549"/>
      <c r="Y71" s="549"/>
      <c r="Z71" s="543"/>
      <c r="AA71" s="548"/>
      <c r="AB71" s="543"/>
      <c r="AC71" s="543"/>
      <c r="AD71" s="543"/>
      <c r="AE71" s="543"/>
      <c r="AF71" s="543"/>
      <c r="AG71" s="543"/>
      <c r="AH71" s="543"/>
      <c r="AI71" s="543"/>
      <c r="AJ71" s="543"/>
      <c r="EY71" s="543"/>
      <c r="EZ71" s="543"/>
      <c r="FA71" s="543"/>
      <c r="FB71" s="543"/>
      <c r="FC71" s="543"/>
      <c r="FD71" s="543"/>
      <c r="FE71" s="543"/>
      <c r="FF71" s="543"/>
      <c r="FG71" s="543"/>
      <c r="FH71" s="543"/>
      <c r="FI71" s="543"/>
      <c r="FJ71" s="543"/>
      <c r="FK71" s="543"/>
      <c r="FL71" s="543"/>
      <c r="FM71" s="543"/>
      <c r="FN71" s="543"/>
      <c r="FO71" s="543"/>
      <c r="FP71" s="543"/>
    </row>
    <row r="72" spans="1:172" ht="16" customHeight="1" x14ac:dyDescent="0.15">
      <c r="A72" s="543"/>
      <c r="B72" s="543"/>
      <c r="C72" s="543"/>
      <c r="D72" s="543"/>
      <c r="E72" s="543"/>
      <c r="F72" s="543"/>
      <c r="G72" s="543"/>
      <c r="H72" s="543"/>
      <c r="I72" s="543"/>
      <c r="J72" s="543"/>
      <c r="K72" s="543"/>
      <c r="L72" s="543"/>
      <c r="M72" s="543"/>
      <c r="N72" s="543"/>
      <c r="O72" s="543"/>
      <c r="P72" s="543"/>
      <c r="Q72" s="543"/>
      <c r="R72" s="543"/>
      <c r="S72" s="543"/>
      <c r="T72" s="543"/>
      <c r="U72" s="543"/>
      <c r="V72" s="549"/>
      <c r="W72" s="549"/>
      <c r="X72" s="549"/>
      <c r="Y72" s="549"/>
      <c r="Z72" s="543"/>
      <c r="AA72" s="548"/>
      <c r="AB72" s="543"/>
      <c r="AC72" s="543"/>
      <c r="AD72" s="543"/>
      <c r="AE72" s="543"/>
      <c r="AF72" s="543"/>
      <c r="AG72" s="543"/>
      <c r="AH72" s="543"/>
      <c r="AI72" s="543"/>
      <c r="AJ72" s="543"/>
      <c r="EY72" s="543"/>
      <c r="EZ72" s="543"/>
      <c r="FA72" s="543"/>
      <c r="FB72" s="543"/>
      <c r="FC72" s="543"/>
      <c r="FD72" s="543"/>
      <c r="FE72" s="543"/>
      <c r="FF72" s="543"/>
      <c r="FG72" s="543"/>
      <c r="FH72" s="543"/>
      <c r="FI72" s="543"/>
      <c r="FJ72" s="543"/>
      <c r="FK72" s="543"/>
      <c r="FL72" s="543"/>
      <c r="FM72" s="543"/>
      <c r="FN72" s="543"/>
      <c r="FO72" s="543"/>
      <c r="FP72" s="543"/>
    </row>
    <row r="73" spans="1:172" ht="16" customHeight="1" x14ac:dyDescent="0.15">
      <c r="A73" s="543"/>
      <c r="B73" s="543"/>
      <c r="C73" s="543"/>
      <c r="D73" s="543"/>
      <c r="E73" s="543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9"/>
      <c r="W73" s="549"/>
      <c r="X73" s="549"/>
      <c r="Y73" s="549"/>
      <c r="Z73" s="543"/>
      <c r="AA73" s="548"/>
      <c r="AB73" s="543"/>
      <c r="AC73" s="543"/>
      <c r="AD73" s="543"/>
      <c r="AE73" s="543"/>
      <c r="AF73" s="543"/>
      <c r="AG73" s="543"/>
      <c r="AH73" s="543"/>
      <c r="AI73" s="543"/>
      <c r="AJ73" s="543"/>
      <c r="EY73" s="543"/>
      <c r="EZ73" s="543"/>
      <c r="FA73" s="543"/>
      <c r="FB73" s="543"/>
      <c r="FC73" s="543"/>
      <c r="FD73" s="543"/>
      <c r="FE73" s="543"/>
      <c r="FF73" s="543"/>
      <c r="FG73" s="543"/>
      <c r="FH73" s="543"/>
      <c r="FI73" s="543"/>
      <c r="FJ73" s="543"/>
      <c r="FK73" s="543"/>
      <c r="FL73" s="543"/>
      <c r="FM73" s="543"/>
      <c r="FN73" s="543"/>
      <c r="FO73" s="543"/>
      <c r="FP73" s="543"/>
    </row>
    <row r="74" spans="1:172" ht="16" customHeight="1" x14ac:dyDescent="0.15">
      <c r="A74" s="543"/>
      <c r="B74" s="543"/>
      <c r="C74" s="543"/>
      <c r="D74" s="543"/>
      <c r="E74" s="543"/>
      <c r="F74" s="543"/>
      <c r="G74" s="543"/>
      <c r="H74" s="543"/>
      <c r="I74" s="543"/>
      <c r="J74" s="543"/>
      <c r="K74" s="543"/>
      <c r="L74" s="543"/>
      <c r="M74" s="543"/>
      <c r="N74" s="543"/>
      <c r="O74" s="543"/>
      <c r="P74" s="543"/>
      <c r="Q74" s="543"/>
      <c r="R74" s="543"/>
      <c r="S74" s="543"/>
      <c r="T74" s="543"/>
      <c r="U74" s="543"/>
      <c r="V74" s="549"/>
      <c r="W74" s="549"/>
      <c r="X74" s="549"/>
      <c r="Y74" s="549"/>
      <c r="Z74" s="543"/>
      <c r="AA74" s="548"/>
      <c r="AB74" s="543"/>
      <c r="AC74" s="543"/>
      <c r="AD74" s="543"/>
      <c r="AE74" s="543"/>
      <c r="AF74" s="543"/>
      <c r="AG74" s="543"/>
      <c r="AH74" s="543"/>
      <c r="AI74" s="543"/>
      <c r="AJ74" s="543"/>
      <c r="EY74" s="543"/>
      <c r="EZ74" s="543"/>
      <c r="FA74" s="543"/>
      <c r="FB74" s="543"/>
      <c r="FC74" s="543"/>
      <c r="FD74" s="543"/>
      <c r="FE74" s="543"/>
      <c r="FF74" s="543"/>
      <c r="FG74" s="543"/>
      <c r="FH74" s="543"/>
      <c r="FI74" s="543"/>
      <c r="FJ74" s="543"/>
      <c r="FK74" s="543"/>
      <c r="FL74" s="543"/>
      <c r="FM74" s="543"/>
      <c r="FN74" s="543"/>
      <c r="FO74" s="543"/>
      <c r="FP74" s="543"/>
    </row>
    <row r="75" spans="1:172" ht="16" customHeight="1" x14ac:dyDescent="0.15">
      <c r="A75" s="543"/>
      <c r="B75" s="543"/>
      <c r="C75" s="543"/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543"/>
      <c r="T75" s="543"/>
      <c r="U75" s="543"/>
      <c r="V75" s="549"/>
      <c r="W75" s="549"/>
      <c r="X75" s="549"/>
      <c r="Y75" s="549"/>
      <c r="Z75" s="543"/>
      <c r="AA75" s="548"/>
      <c r="AB75" s="543"/>
      <c r="AC75" s="543"/>
      <c r="AD75" s="543"/>
      <c r="AE75" s="543"/>
      <c r="AF75" s="543"/>
      <c r="AG75" s="543"/>
      <c r="AH75" s="543"/>
      <c r="AI75" s="543"/>
      <c r="AJ75" s="543"/>
      <c r="EY75" s="543"/>
      <c r="EZ75" s="543"/>
      <c r="FA75" s="543"/>
      <c r="FB75" s="543"/>
      <c r="FC75" s="543"/>
      <c r="FD75" s="543"/>
      <c r="FE75" s="543"/>
      <c r="FF75" s="543"/>
      <c r="FG75" s="543"/>
      <c r="FH75" s="543"/>
      <c r="FI75" s="543"/>
      <c r="FJ75" s="543"/>
      <c r="FK75" s="543"/>
      <c r="FL75" s="543"/>
      <c r="FM75" s="543"/>
      <c r="FN75" s="543"/>
      <c r="FO75" s="543"/>
      <c r="FP75" s="543"/>
    </row>
    <row r="76" spans="1:172" ht="16" customHeight="1" x14ac:dyDescent="0.15">
      <c r="A76" s="543"/>
      <c r="B76" s="543"/>
      <c r="C76" s="543"/>
      <c r="D76" s="543"/>
      <c r="E76" s="543"/>
      <c r="F76" s="543"/>
      <c r="G76" s="543"/>
      <c r="H76" s="543"/>
      <c r="I76" s="543"/>
      <c r="J76" s="543"/>
      <c r="K76" s="543"/>
      <c r="L76" s="543"/>
      <c r="M76" s="543"/>
      <c r="N76" s="543"/>
      <c r="O76" s="543"/>
      <c r="P76" s="543"/>
      <c r="Q76" s="543"/>
      <c r="R76" s="543"/>
      <c r="S76" s="543"/>
      <c r="T76" s="543"/>
      <c r="U76" s="543"/>
      <c r="V76" s="549"/>
      <c r="W76" s="549"/>
      <c r="X76" s="549"/>
      <c r="Y76" s="549"/>
      <c r="Z76" s="543"/>
      <c r="AA76" s="548"/>
      <c r="AB76" s="543"/>
      <c r="AC76" s="543"/>
      <c r="AD76" s="543"/>
      <c r="AE76" s="543"/>
      <c r="AF76" s="543"/>
      <c r="AG76" s="543"/>
      <c r="AH76" s="543"/>
      <c r="AI76" s="543"/>
      <c r="AJ76" s="543"/>
      <c r="EY76" s="543"/>
      <c r="EZ76" s="543"/>
      <c r="FA76" s="543"/>
      <c r="FB76" s="543"/>
      <c r="FC76" s="543"/>
      <c r="FD76" s="543"/>
      <c r="FE76" s="543"/>
      <c r="FF76" s="543"/>
      <c r="FG76" s="543"/>
      <c r="FH76" s="543"/>
      <c r="FI76" s="543"/>
      <c r="FJ76" s="543"/>
      <c r="FK76" s="543"/>
      <c r="FL76" s="543"/>
      <c r="FM76" s="543"/>
      <c r="FN76" s="543"/>
      <c r="FO76" s="543"/>
      <c r="FP76" s="543"/>
    </row>
    <row r="77" spans="1:172" ht="16" customHeight="1" x14ac:dyDescent="0.15">
      <c r="A77" s="543"/>
      <c r="B77" s="543"/>
      <c r="C77" s="543"/>
      <c r="D77" s="543"/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9"/>
      <c r="W77" s="549"/>
      <c r="X77" s="549"/>
      <c r="Y77" s="549"/>
      <c r="Z77" s="543"/>
      <c r="AA77" s="548"/>
      <c r="AB77" s="543"/>
      <c r="AC77" s="543"/>
      <c r="AD77" s="543"/>
      <c r="AE77" s="543"/>
      <c r="AF77" s="543"/>
      <c r="AG77" s="543"/>
      <c r="AH77" s="543"/>
      <c r="AI77" s="543"/>
      <c r="AJ77" s="543"/>
      <c r="EY77" s="543"/>
      <c r="EZ77" s="543"/>
      <c r="FA77" s="543"/>
      <c r="FB77" s="543"/>
      <c r="FC77" s="543"/>
      <c r="FD77" s="543"/>
      <c r="FE77" s="543"/>
      <c r="FF77" s="543"/>
      <c r="FG77" s="543"/>
      <c r="FH77" s="543"/>
      <c r="FI77" s="543"/>
      <c r="FJ77" s="543"/>
      <c r="FK77" s="543"/>
      <c r="FL77" s="543"/>
      <c r="FM77" s="543"/>
      <c r="FN77" s="543"/>
      <c r="FO77" s="543"/>
      <c r="FP77" s="543"/>
    </row>
    <row r="78" spans="1:172" ht="16" customHeight="1" x14ac:dyDescent="0.15">
      <c r="A78" s="543"/>
      <c r="B78" s="543"/>
      <c r="C78" s="543"/>
      <c r="D78" s="543"/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9"/>
      <c r="W78" s="549"/>
      <c r="X78" s="549"/>
      <c r="Y78" s="549"/>
      <c r="Z78" s="543"/>
      <c r="AA78" s="548"/>
      <c r="AB78" s="543"/>
      <c r="AC78" s="543"/>
      <c r="AD78" s="543"/>
      <c r="AE78" s="543"/>
      <c r="AF78" s="543"/>
      <c r="AG78" s="543"/>
      <c r="AH78" s="543"/>
      <c r="AI78" s="543"/>
      <c r="AJ78" s="543"/>
      <c r="EY78" s="543"/>
      <c r="EZ78" s="543"/>
      <c r="FA78" s="543"/>
      <c r="FB78" s="543"/>
      <c r="FC78" s="543"/>
      <c r="FD78" s="543"/>
      <c r="FE78" s="543"/>
      <c r="FF78" s="543"/>
      <c r="FG78" s="543"/>
      <c r="FH78" s="543"/>
      <c r="FI78" s="543"/>
      <c r="FJ78" s="543"/>
      <c r="FK78" s="543"/>
      <c r="FL78" s="543"/>
      <c r="FM78" s="543"/>
      <c r="FN78" s="543"/>
      <c r="FO78" s="543"/>
      <c r="FP78" s="543"/>
    </row>
    <row r="79" spans="1:172" ht="16" customHeight="1" x14ac:dyDescent="0.15">
      <c r="A79" s="543"/>
      <c r="B79" s="543"/>
      <c r="C79" s="543"/>
      <c r="D79" s="543"/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9"/>
      <c r="W79" s="549"/>
      <c r="X79" s="549"/>
      <c r="Y79" s="549"/>
      <c r="Z79" s="543"/>
      <c r="AA79" s="548"/>
      <c r="AB79" s="543"/>
      <c r="AC79" s="543"/>
      <c r="AD79" s="543"/>
      <c r="AE79" s="543"/>
      <c r="AF79" s="543"/>
      <c r="AG79" s="543"/>
      <c r="AH79" s="543"/>
      <c r="AI79" s="543"/>
      <c r="AJ79" s="543"/>
      <c r="EY79" s="543"/>
      <c r="EZ79" s="543"/>
      <c r="FA79" s="543"/>
      <c r="FB79" s="543"/>
      <c r="FC79" s="543"/>
      <c r="FD79" s="543"/>
      <c r="FE79" s="543"/>
      <c r="FF79" s="543"/>
      <c r="FG79" s="543"/>
      <c r="FH79" s="543"/>
      <c r="FI79" s="543"/>
      <c r="FJ79" s="543"/>
      <c r="FK79" s="543"/>
      <c r="FL79" s="543"/>
      <c r="FM79" s="543"/>
      <c r="FN79" s="543"/>
      <c r="FO79" s="543"/>
      <c r="FP79" s="543"/>
    </row>
    <row r="80" spans="1:172" ht="16" customHeight="1" x14ac:dyDescent="0.15">
      <c r="A80" s="543"/>
      <c r="B80" s="543"/>
      <c r="C80" s="543"/>
      <c r="D80" s="543"/>
      <c r="E80" s="543"/>
      <c r="F80" s="543"/>
      <c r="G80" s="543"/>
      <c r="H80" s="543"/>
      <c r="I80" s="543"/>
      <c r="J80" s="543"/>
      <c r="K80" s="543"/>
      <c r="L80" s="543"/>
      <c r="M80" s="543"/>
      <c r="N80" s="543"/>
      <c r="O80" s="543"/>
      <c r="P80" s="543"/>
      <c r="Q80" s="543"/>
      <c r="R80" s="543"/>
      <c r="S80" s="543"/>
      <c r="T80" s="543"/>
      <c r="U80" s="543"/>
      <c r="V80" s="549"/>
      <c r="W80" s="549"/>
      <c r="X80" s="549"/>
      <c r="Y80" s="549"/>
      <c r="Z80" s="543"/>
      <c r="AA80" s="548"/>
      <c r="AB80" s="543"/>
      <c r="AC80" s="543"/>
      <c r="AD80" s="543"/>
      <c r="AE80" s="543"/>
      <c r="AF80" s="543"/>
      <c r="AG80" s="543"/>
      <c r="AH80" s="543"/>
      <c r="AI80" s="543"/>
      <c r="AJ80" s="543"/>
      <c r="EY80" s="543"/>
      <c r="EZ80" s="543"/>
      <c r="FA80" s="543"/>
      <c r="FB80" s="543"/>
      <c r="FC80" s="543"/>
      <c r="FD80" s="543"/>
      <c r="FE80" s="543"/>
      <c r="FF80" s="543"/>
      <c r="FG80" s="543"/>
      <c r="FH80" s="543"/>
      <c r="FI80" s="543"/>
      <c r="FJ80" s="543"/>
      <c r="FK80" s="543"/>
      <c r="FL80" s="543"/>
      <c r="FM80" s="543"/>
      <c r="FN80" s="543"/>
      <c r="FO80" s="543"/>
      <c r="FP80" s="543"/>
    </row>
    <row r="81" spans="1:172" ht="16" customHeight="1" x14ac:dyDescent="0.15">
      <c r="A81" s="543"/>
      <c r="B81" s="543"/>
      <c r="C81" s="543"/>
      <c r="D81" s="543"/>
      <c r="E81" s="543"/>
      <c r="F81" s="543"/>
      <c r="G81" s="543"/>
      <c r="H81" s="543"/>
      <c r="I81" s="543"/>
      <c r="J81" s="543"/>
      <c r="K81" s="543"/>
      <c r="L81" s="543"/>
      <c r="M81" s="543"/>
      <c r="N81" s="543"/>
      <c r="O81" s="543"/>
      <c r="P81" s="543"/>
      <c r="Q81" s="543"/>
      <c r="R81" s="543"/>
      <c r="S81" s="543"/>
      <c r="T81" s="543"/>
      <c r="U81" s="543"/>
      <c r="V81" s="549"/>
      <c r="W81" s="549"/>
      <c r="X81" s="549"/>
      <c r="Y81" s="549"/>
      <c r="Z81" s="543"/>
      <c r="AA81" s="548"/>
      <c r="AB81" s="543"/>
      <c r="AC81" s="543"/>
      <c r="AD81" s="543"/>
      <c r="AE81" s="543"/>
      <c r="AF81" s="543"/>
      <c r="AG81" s="543"/>
      <c r="AH81" s="543"/>
      <c r="AI81" s="543"/>
      <c r="AJ81" s="543"/>
      <c r="EY81" s="543"/>
      <c r="EZ81" s="543"/>
      <c r="FA81" s="543"/>
      <c r="FB81" s="543"/>
      <c r="FC81" s="543"/>
      <c r="FD81" s="543"/>
      <c r="FE81" s="543"/>
      <c r="FF81" s="543"/>
      <c r="FG81" s="543"/>
      <c r="FH81" s="543"/>
      <c r="FI81" s="543"/>
      <c r="FJ81" s="543"/>
      <c r="FK81" s="543"/>
      <c r="FL81" s="543"/>
      <c r="FM81" s="543"/>
      <c r="FN81" s="543"/>
      <c r="FO81" s="543"/>
      <c r="FP81" s="543"/>
    </row>
    <row r="82" spans="1:172" ht="16" customHeight="1" x14ac:dyDescent="0.15">
      <c r="A82" s="543"/>
      <c r="B82" s="543"/>
      <c r="C82" s="543"/>
      <c r="D82" s="543"/>
      <c r="E82" s="543"/>
      <c r="F82" s="543"/>
      <c r="G82" s="543"/>
      <c r="H82" s="543"/>
      <c r="I82" s="543"/>
      <c r="J82" s="543"/>
      <c r="K82" s="543"/>
      <c r="L82" s="543"/>
      <c r="M82" s="543"/>
      <c r="N82" s="543"/>
      <c r="O82" s="543"/>
      <c r="P82" s="543"/>
      <c r="Q82" s="543"/>
      <c r="R82" s="543"/>
      <c r="S82" s="543"/>
      <c r="T82" s="543"/>
      <c r="U82" s="543"/>
      <c r="V82" s="549"/>
      <c r="W82" s="549"/>
      <c r="X82" s="549"/>
      <c r="Y82" s="549"/>
      <c r="Z82" s="543"/>
      <c r="AA82" s="548"/>
      <c r="AB82" s="543"/>
      <c r="AC82" s="543"/>
      <c r="AD82" s="543"/>
      <c r="AE82" s="543"/>
      <c r="AF82" s="543"/>
      <c r="AG82" s="543"/>
      <c r="AH82" s="543"/>
      <c r="AI82" s="543"/>
      <c r="AJ82" s="543"/>
      <c r="EY82" s="543"/>
      <c r="EZ82" s="543"/>
      <c r="FA82" s="543"/>
      <c r="FB82" s="543"/>
      <c r="FC82" s="543"/>
      <c r="FD82" s="543"/>
      <c r="FE82" s="543"/>
      <c r="FF82" s="543"/>
      <c r="FG82" s="543"/>
      <c r="FH82" s="543"/>
      <c r="FI82" s="543"/>
      <c r="FJ82" s="543"/>
      <c r="FK82" s="543"/>
      <c r="FL82" s="543"/>
      <c r="FM82" s="543"/>
      <c r="FN82" s="543"/>
      <c r="FO82" s="543"/>
      <c r="FP82" s="543"/>
    </row>
    <row r="83" spans="1:172" ht="16" customHeight="1" x14ac:dyDescent="0.15">
      <c r="A83" s="543"/>
      <c r="B83" s="543"/>
      <c r="C83" s="543"/>
      <c r="D83" s="543"/>
      <c r="E83" s="543"/>
      <c r="F83" s="543"/>
      <c r="G83" s="543"/>
      <c r="H83" s="543"/>
      <c r="I83" s="543"/>
      <c r="J83" s="543"/>
      <c r="K83" s="543"/>
      <c r="L83" s="543"/>
      <c r="M83" s="543"/>
      <c r="N83" s="543"/>
      <c r="O83" s="543"/>
      <c r="P83" s="543"/>
      <c r="Q83" s="543"/>
      <c r="R83" s="543"/>
      <c r="S83" s="543"/>
      <c r="T83" s="543"/>
      <c r="U83" s="543"/>
      <c r="V83" s="549"/>
      <c r="W83" s="549"/>
      <c r="X83" s="549"/>
      <c r="Y83" s="549"/>
      <c r="Z83" s="543"/>
      <c r="AA83" s="548"/>
      <c r="AB83" s="543"/>
      <c r="AC83" s="543"/>
      <c r="AD83" s="543"/>
      <c r="AE83" s="543"/>
      <c r="AF83" s="543"/>
      <c r="AG83" s="543"/>
      <c r="AH83" s="543"/>
      <c r="AI83" s="543"/>
      <c r="AJ83" s="543"/>
      <c r="EY83" s="543"/>
      <c r="EZ83" s="543"/>
      <c r="FA83" s="543"/>
      <c r="FB83" s="543"/>
      <c r="FC83" s="543"/>
      <c r="FD83" s="543"/>
      <c r="FE83" s="543"/>
      <c r="FF83" s="543"/>
      <c r="FG83" s="543"/>
      <c r="FH83" s="543"/>
      <c r="FI83" s="543"/>
      <c r="FJ83" s="543"/>
      <c r="FK83" s="543"/>
      <c r="FL83" s="543"/>
      <c r="FM83" s="543"/>
      <c r="FN83" s="543"/>
      <c r="FO83" s="543"/>
      <c r="FP83" s="543"/>
    </row>
    <row r="84" spans="1:172" ht="16" customHeight="1" x14ac:dyDescent="0.15">
      <c r="A84" s="543"/>
      <c r="B84" s="543"/>
      <c r="C84" s="543"/>
      <c r="D84" s="543"/>
      <c r="E84" s="543"/>
      <c r="F84" s="543"/>
      <c r="G84" s="543"/>
      <c r="H84" s="543"/>
      <c r="I84" s="543"/>
      <c r="J84" s="543"/>
      <c r="K84" s="543"/>
      <c r="L84" s="543"/>
      <c r="M84" s="543"/>
      <c r="N84" s="543"/>
      <c r="O84" s="543"/>
      <c r="P84" s="543"/>
      <c r="Q84" s="543"/>
      <c r="R84" s="543"/>
      <c r="S84" s="543"/>
      <c r="T84" s="543"/>
      <c r="U84" s="543"/>
      <c r="V84" s="549"/>
      <c r="W84" s="549"/>
      <c r="X84" s="549"/>
      <c r="Y84" s="549"/>
      <c r="Z84" s="543"/>
      <c r="AA84" s="548"/>
      <c r="AB84" s="543"/>
      <c r="AC84" s="543"/>
      <c r="AD84" s="543"/>
      <c r="AE84" s="543"/>
      <c r="AF84" s="543"/>
      <c r="AG84" s="543"/>
      <c r="AH84" s="543"/>
      <c r="AI84" s="543"/>
      <c r="AJ84" s="543"/>
      <c r="EY84" s="543"/>
      <c r="EZ84" s="543"/>
      <c r="FA84" s="543"/>
      <c r="FB84" s="543"/>
      <c r="FC84" s="543"/>
      <c r="FD84" s="543"/>
      <c r="FE84" s="543"/>
      <c r="FF84" s="543"/>
      <c r="FG84" s="543"/>
      <c r="FH84" s="543"/>
      <c r="FI84" s="543"/>
      <c r="FJ84" s="543"/>
      <c r="FK84" s="543"/>
      <c r="FL84" s="543"/>
      <c r="FM84" s="543"/>
      <c r="FN84" s="543"/>
      <c r="FO84" s="543"/>
      <c r="FP84" s="543"/>
    </row>
    <row r="85" spans="1:172" ht="16" customHeight="1" x14ac:dyDescent="0.15"/>
    <row r="86" spans="1:172" ht="16" customHeight="1" x14ac:dyDescent="0.15"/>
    <row r="87" spans="1:172" ht="16" customHeight="1" x14ac:dyDescent="0.15"/>
    <row r="88" spans="1:172" ht="16" customHeight="1" x14ac:dyDescent="0.15"/>
    <row r="89" spans="1:172" ht="16" customHeight="1" x14ac:dyDescent="0.15"/>
    <row r="90" spans="1:172" ht="16" customHeight="1" x14ac:dyDescent="0.15"/>
    <row r="91" spans="1:172" ht="16" customHeight="1" x14ac:dyDescent="0.15"/>
    <row r="92" spans="1:172" ht="16" customHeight="1" x14ac:dyDescent="0.15"/>
    <row r="93" spans="1:172" ht="16" customHeight="1" x14ac:dyDescent="0.15"/>
    <row r="94" spans="1:172" ht="16" customHeight="1" x14ac:dyDescent="0.15"/>
    <row r="95" spans="1:172" ht="16" customHeight="1" x14ac:dyDescent="0.15"/>
    <row r="96" spans="1:172" ht="16" customHeight="1" x14ac:dyDescent="0.15"/>
    <row r="97" ht="16" customHeight="1" x14ac:dyDescent="0.15"/>
    <row r="98" ht="16" customHeight="1" x14ac:dyDescent="0.15"/>
    <row r="99" ht="16" customHeight="1" x14ac:dyDescent="0.15"/>
    <row r="100" ht="16" customHeight="1" x14ac:dyDescent="0.15"/>
    <row r="101" ht="16" customHeight="1" x14ac:dyDescent="0.15"/>
    <row r="102" ht="16" customHeight="1" x14ac:dyDescent="0.15"/>
    <row r="103" ht="16" customHeight="1" x14ac:dyDescent="0.15"/>
    <row r="104" ht="16" customHeight="1" x14ac:dyDescent="0.15"/>
    <row r="105" ht="16" customHeight="1" x14ac:dyDescent="0.15"/>
    <row r="106" ht="16" customHeight="1" x14ac:dyDescent="0.15"/>
    <row r="107" ht="16" customHeight="1" x14ac:dyDescent="0.15"/>
    <row r="108" ht="16" customHeight="1" x14ac:dyDescent="0.15"/>
    <row r="109" ht="16" customHeight="1" x14ac:dyDescent="0.15"/>
    <row r="110" ht="16" customHeight="1" x14ac:dyDescent="0.15"/>
    <row r="111" ht="16" customHeight="1" x14ac:dyDescent="0.15"/>
    <row r="112" ht="16" customHeight="1" x14ac:dyDescent="0.15"/>
    <row r="113" ht="16" customHeight="1" x14ac:dyDescent="0.15"/>
    <row r="114" ht="16" customHeight="1" x14ac:dyDescent="0.15"/>
    <row r="115" ht="16" customHeight="1" x14ac:dyDescent="0.15"/>
    <row r="116" ht="16" customHeight="1" x14ac:dyDescent="0.15"/>
    <row r="117" ht="16" customHeight="1" x14ac:dyDescent="0.15"/>
    <row r="118" ht="16" customHeight="1" x14ac:dyDescent="0.15"/>
    <row r="119" ht="16" customHeight="1" x14ac:dyDescent="0.15"/>
    <row r="120" ht="16" customHeight="1" x14ac:dyDescent="0.15"/>
    <row r="121" ht="16" customHeight="1" x14ac:dyDescent="0.15"/>
    <row r="122" ht="16" customHeight="1" x14ac:dyDescent="0.15"/>
    <row r="123" ht="16" customHeight="1" x14ac:dyDescent="0.15"/>
    <row r="124" ht="16" customHeight="1" x14ac:dyDescent="0.15"/>
    <row r="125" ht="16" customHeight="1" x14ac:dyDescent="0.15"/>
    <row r="126" ht="16" customHeight="1" x14ac:dyDescent="0.15"/>
    <row r="127" ht="16" customHeight="1" x14ac:dyDescent="0.15"/>
    <row r="128" ht="16" customHeight="1" x14ac:dyDescent="0.15"/>
    <row r="129" ht="16" customHeight="1" x14ac:dyDescent="0.15"/>
    <row r="130" ht="16" customHeight="1" x14ac:dyDescent="0.15"/>
    <row r="131" ht="16" customHeight="1" x14ac:dyDescent="0.15"/>
    <row r="132" ht="16" customHeight="1" x14ac:dyDescent="0.15"/>
    <row r="133" ht="16" customHeight="1" x14ac:dyDescent="0.15"/>
    <row r="134" ht="16" customHeight="1" x14ac:dyDescent="0.15"/>
    <row r="135" ht="16" customHeight="1" x14ac:dyDescent="0.15"/>
    <row r="136" ht="16" customHeight="1" x14ac:dyDescent="0.15"/>
    <row r="137" ht="16" customHeight="1" x14ac:dyDescent="0.15"/>
    <row r="138" ht="16" customHeight="1" x14ac:dyDescent="0.15"/>
    <row r="139" ht="16" customHeight="1" x14ac:dyDescent="0.15"/>
    <row r="140" ht="16" customHeight="1" x14ac:dyDescent="0.15"/>
    <row r="141" ht="16" customHeight="1" x14ac:dyDescent="0.15"/>
    <row r="142" ht="16" customHeight="1" x14ac:dyDescent="0.15"/>
    <row r="143" ht="16" customHeight="1" x14ac:dyDescent="0.15"/>
    <row r="144" ht="16" customHeight="1" x14ac:dyDescent="0.15"/>
    <row r="145" ht="16" customHeight="1" x14ac:dyDescent="0.15"/>
    <row r="146" ht="16" customHeight="1" x14ac:dyDescent="0.15"/>
    <row r="147" ht="16" customHeight="1" x14ac:dyDescent="0.15"/>
    <row r="148" ht="16" customHeight="1" x14ac:dyDescent="0.15"/>
    <row r="149" ht="16" customHeight="1" x14ac:dyDescent="0.15"/>
    <row r="150" ht="16" customHeight="1" x14ac:dyDescent="0.15"/>
    <row r="151" ht="16" customHeight="1" x14ac:dyDescent="0.15"/>
    <row r="152" ht="16" customHeight="1" x14ac:dyDescent="0.15"/>
    <row r="153" ht="16" customHeight="1" x14ac:dyDescent="0.15"/>
    <row r="154" ht="16" customHeight="1" x14ac:dyDescent="0.15"/>
    <row r="155" ht="16" customHeight="1" x14ac:dyDescent="0.15"/>
    <row r="156" ht="16" customHeight="1" x14ac:dyDescent="0.15"/>
    <row r="157" ht="16" customHeight="1" x14ac:dyDescent="0.15"/>
    <row r="158" ht="16" customHeight="1" x14ac:dyDescent="0.15"/>
    <row r="159" ht="16" customHeight="1" x14ac:dyDescent="0.15"/>
    <row r="160" ht="16" customHeight="1" x14ac:dyDescent="0.15"/>
    <row r="161" ht="16" customHeight="1" x14ac:dyDescent="0.15"/>
    <row r="162" ht="16" customHeight="1" x14ac:dyDescent="0.15"/>
    <row r="163" ht="16" customHeight="1" x14ac:dyDescent="0.15"/>
    <row r="164" ht="16" customHeight="1" x14ac:dyDescent="0.15"/>
    <row r="165" ht="16" customHeight="1" x14ac:dyDescent="0.15"/>
    <row r="166" ht="16" customHeight="1" x14ac:dyDescent="0.15"/>
    <row r="167" ht="16" customHeight="1" x14ac:dyDescent="0.15"/>
    <row r="168" ht="16" customHeight="1" x14ac:dyDescent="0.15"/>
    <row r="169" ht="16" customHeight="1" x14ac:dyDescent="0.15"/>
    <row r="170" ht="16" customHeight="1" x14ac:dyDescent="0.15"/>
    <row r="171" ht="16" customHeight="1" x14ac:dyDescent="0.15"/>
    <row r="172" ht="16" customHeight="1" x14ac:dyDescent="0.15"/>
    <row r="173" ht="16" customHeight="1" x14ac:dyDescent="0.15"/>
    <row r="174" ht="16" customHeight="1" x14ac:dyDescent="0.15"/>
    <row r="175" ht="16" customHeight="1" x14ac:dyDescent="0.15"/>
    <row r="176" ht="16" customHeight="1" x14ac:dyDescent="0.15"/>
    <row r="177" ht="16" customHeight="1" x14ac:dyDescent="0.15"/>
    <row r="178" ht="16" customHeight="1" x14ac:dyDescent="0.15"/>
    <row r="179" ht="16" customHeight="1" x14ac:dyDescent="0.15"/>
    <row r="180" ht="16" customHeight="1" x14ac:dyDescent="0.15"/>
    <row r="181" ht="16" customHeight="1" x14ac:dyDescent="0.15"/>
    <row r="182" ht="16" customHeight="1" x14ac:dyDescent="0.15"/>
    <row r="183" ht="16" customHeight="1" x14ac:dyDescent="0.15"/>
    <row r="184" ht="16" customHeight="1" x14ac:dyDescent="0.15"/>
    <row r="185" ht="16" customHeight="1" x14ac:dyDescent="0.15"/>
    <row r="186" ht="16" customHeight="1" x14ac:dyDescent="0.15"/>
    <row r="187" ht="16" customHeight="1" x14ac:dyDescent="0.15"/>
    <row r="188" ht="16" customHeight="1" x14ac:dyDescent="0.15"/>
    <row r="189" ht="16" customHeight="1" x14ac:dyDescent="0.15"/>
    <row r="190" ht="16" customHeight="1" x14ac:dyDescent="0.15"/>
    <row r="191" ht="16" customHeight="1" x14ac:dyDescent="0.15"/>
    <row r="192" ht="16" customHeight="1" x14ac:dyDescent="0.15"/>
    <row r="193" ht="16" customHeight="1" x14ac:dyDescent="0.15"/>
    <row r="194" ht="16" customHeight="1" x14ac:dyDescent="0.15"/>
    <row r="195" ht="16" customHeight="1" x14ac:dyDescent="0.15"/>
    <row r="196" ht="16" customHeight="1" x14ac:dyDescent="0.15"/>
    <row r="197" ht="16" customHeight="1" x14ac:dyDescent="0.15"/>
    <row r="198" ht="16" customHeight="1" x14ac:dyDescent="0.15"/>
    <row r="199" ht="16" customHeight="1" x14ac:dyDescent="0.15"/>
    <row r="200" ht="16" customHeight="1" x14ac:dyDescent="0.15"/>
    <row r="201" ht="16" customHeight="1" x14ac:dyDescent="0.15"/>
    <row r="202" ht="16" customHeight="1" x14ac:dyDescent="0.15"/>
    <row r="203" ht="16" customHeight="1" x14ac:dyDescent="0.15"/>
    <row r="204" ht="16" customHeight="1" x14ac:dyDescent="0.15"/>
    <row r="205" ht="16" customHeight="1" x14ac:dyDescent="0.15"/>
    <row r="206" ht="16" customHeight="1" x14ac:dyDescent="0.15"/>
    <row r="207" ht="16" customHeight="1" x14ac:dyDescent="0.15"/>
    <row r="208" ht="16" customHeight="1" x14ac:dyDescent="0.15"/>
    <row r="209" ht="16" customHeight="1" x14ac:dyDescent="0.15"/>
    <row r="210" ht="16" customHeight="1" x14ac:dyDescent="0.15"/>
    <row r="211" ht="16" customHeight="1" x14ac:dyDescent="0.15"/>
    <row r="212" ht="16" customHeight="1" x14ac:dyDescent="0.15"/>
    <row r="213" ht="16" customHeight="1" x14ac:dyDescent="0.15"/>
    <row r="214" ht="16" customHeight="1" x14ac:dyDescent="0.15"/>
    <row r="215" ht="16" customHeight="1" x14ac:dyDescent="0.15"/>
    <row r="216" ht="16" customHeight="1" x14ac:dyDescent="0.15"/>
    <row r="217" ht="16" customHeight="1" x14ac:dyDescent="0.15"/>
    <row r="218" ht="16" customHeight="1" x14ac:dyDescent="0.15"/>
    <row r="219" ht="16" customHeight="1" x14ac:dyDescent="0.15"/>
    <row r="220" ht="16" customHeight="1" x14ac:dyDescent="0.15"/>
    <row r="221" ht="16" customHeight="1" x14ac:dyDescent="0.15"/>
    <row r="222" ht="16" customHeight="1" x14ac:dyDescent="0.15"/>
    <row r="223" ht="16" customHeight="1" x14ac:dyDescent="0.15"/>
    <row r="224" ht="16" customHeight="1" x14ac:dyDescent="0.15"/>
  </sheetData>
  <mergeCells count="55">
    <mergeCell ref="D44:E44"/>
    <mergeCell ref="D38:E38"/>
    <mergeCell ref="C39:C40"/>
    <mergeCell ref="D39:E39"/>
    <mergeCell ref="D40:E40"/>
    <mergeCell ref="D41:E41"/>
    <mergeCell ref="D42:E42"/>
    <mergeCell ref="B33:B35"/>
    <mergeCell ref="D33:E33"/>
    <mergeCell ref="D35:E35"/>
    <mergeCell ref="D36:E36"/>
    <mergeCell ref="D43:E43"/>
    <mergeCell ref="D37:E37"/>
    <mergeCell ref="C24:C34"/>
    <mergeCell ref="D24:E24"/>
    <mergeCell ref="D29:E29"/>
    <mergeCell ref="D30:E30"/>
    <mergeCell ref="D31:E31"/>
    <mergeCell ref="D32:E32"/>
    <mergeCell ref="V24:W24"/>
    <mergeCell ref="D25:E25"/>
    <mergeCell ref="D26:E26"/>
    <mergeCell ref="D27:E27"/>
    <mergeCell ref="D28:E28"/>
    <mergeCell ref="Y18:Y19"/>
    <mergeCell ref="B19:B20"/>
    <mergeCell ref="C20:C22"/>
    <mergeCell ref="D20:E20"/>
    <mergeCell ref="V20:W20"/>
    <mergeCell ref="D21:E21"/>
    <mergeCell ref="D22:E22"/>
    <mergeCell ref="D14:E14"/>
    <mergeCell ref="C16:C19"/>
    <mergeCell ref="D16:E16"/>
    <mergeCell ref="V16:W16"/>
    <mergeCell ref="D17:E17"/>
    <mergeCell ref="D18:E18"/>
    <mergeCell ref="D11:E11"/>
    <mergeCell ref="V11:W11"/>
    <mergeCell ref="C12:C13"/>
    <mergeCell ref="D12:E12"/>
    <mergeCell ref="X12:X13"/>
    <mergeCell ref="D13:E13"/>
    <mergeCell ref="B4:E5"/>
    <mergeCell ref="V4:Y5"/>
    <mergeCell ref="EX5:EZ5"/>
    <mergeCell ref="FW5:FY5"/>
    <mergeCell ref="C6:C10"/>
    <mergeCell ref="D6:E6"/>
    <mergeCell ref="V6:W6"/>
    <mergeCell ref="D7:E7"/>
    <mergeCell ref="X7:X8"/>
    <mergeCell ref="D8:E8"/>
    <mergeCell ref="D9:E9"/>
    <mergeCell ref="Y9:Y10"/>
  </mergeCells>
  <phoneticPr fontId="30"/>
  <pageMargins left="0.39370078740157483" right="0.19685039370078741" top="0.78740157480314965" bottom="0.39370078740157483" header="0.59055118110236227" footer="0.19685039370078741"/>
  <pageSetup paperSize="9" scale="90" orientation="portrait" r:id="rId1"/>
  <headerFooter alignWithMargins="0"/>
  <colBreaks count="1" manualBreakCount="1">
    <brk id="14" min="1" max="42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63"/>
  <sheetViews>
    <sheetView view="pageBreakPreview" zoomScaleNormal="110" zoomScaleSheetLayoutView="100" workbookViewId="0"/>
  </sheetViews>
  <sheetFormatPr defaultColWidth="9" defaultRowHeight="16.5" customHeight="1" x14ac:dyDescent="0.2"/>
  <cols>
    <col min="1" max="1" width="5.6328125" style="1049" customWidth="1"/>
    <col min="2" max="2" width="15.7265625" style="1049" customWidth="1"/>
    <col min="3" max="15" width="12.6328125" style="1049" customWidth="1"/>
    <col min="16" max="16384" width="9" style="1049"/>
  </cols>
  <sheetData>
    <row r="1" spans="2:17" ht="16.5" customHeight="1" x14ac:dyDescent="0.2">
      <c r="B1" s="614"/>
      <c r="C1" s="767"/>
      <c r="D1" s="616" t="s">
        <v>461</v>
      </c>
      <c r="E1" s="616" t="s">
        <v>460</v>
      </c>
      <c r="F1" s="616" t="s">
        <v>459</v>
      </c>
      <c r="G1" s="616" t="s">
        <v>458</v>
      </c>
      <c r="H1" s="767"/>
      <c r="I1" s="767"/>
      <c r="J1" s="616" t="s">
        <v>1288</v>
      </c>
      <c r="K1" s="767"/>
      <c r="L1" s="767"/>
      <c r="M1" s="767"/>
      <c r="N1" s="767"/>
      <c r="O1" s="767"/>
      <c r="P1" s="767"/>
      <c r="Q1" s="767"/>
    </row>
    <row r="2" spans="2:17" ht="16.5" customHeight="1" x14ac:dyDescent="0.2">
      <c r="B2" s="720" t="s">
        <v>457</v>
      </c>
      <c r="C2" s="25"/>
      <c r="D2" s="767"/>
      <c r="E2" s="1050"/>
      <c r="F2" s="1050"/>
      <c r="G2" s="1050"/>
      <c r="H2" s="34" t="s">
        <v>100</v>
      </c>
      <c r="I2" s="1050"/>
      <c r="J2" s="767"/>
      <c r="K2" s="767"/>
      <c r="L2" s="767"/>
      <c r="M2" s="767"/>
      <c r="N2" s="1051"/>
      <c r="O2" s="1052" t="s">
        <v>456</v>
      </c>
      <c r="P2" s="767"/>
      <c r="Q2" s="767"/>
    </row>
    <row r="3" spans="2:17" ht="19.5" customHeight="1" x14ac:dyDescent="0.2">
      <c r="B3" s="1157" t="s">
        <v>445</v>
      </c>
      <c r="C3" s="760" t="s">
        <v>455</v>
      </c>
      <c r="D3" s="761"/>
      <c r="E3" s="761"/>
      <c r="F3" s="761"/>
      <c r="G3" s="1160" t="s">
        <v>454</v>
      </c>
      <c r="H3" s="1151"/>
      <c r="I3" s="1151"/>
      <c r="J3" s="1161"/>
      <c r="K3" s="1149" t="s">
        <v>453</v>
      </c>
      <c r="L3" s="1150"/>
      <c r="M3" s="1151"/>
      <c r="N3" s="760" t="s">
        <v>452</v>
      </c>
      <c r="O3" s="759"/>
      <c r="P3" s="1138" t="s">
        <v>515</v>
      </c>
      <c r="Q3" s="757"/>
    </row>
    <row r="4" spans="2:17" ht="19.5" customHeight="1" x14ac:dyDescent="0.2">
      <c r="B4" s="1158"/>
      <c r="C4" s="506"/>
      <c r="D4" s="236"/>
      <c r="E4" s="915" t="s">
        <v>451</v>
      </c>
      <c r="F4" s="1141" t="s">
        <v>485</v>
      </c>
      <c r="G4" s="506"/>
      <c r="H4" s="236"/>
      <c r="I4" s="915" t="s">
        <v>451</v>
      </c>
      <c r="J4" s="1143" t="s">
        <v>485</v>
      </c>
      <c r="K4" s="1141" t="s">
        <v>450</v>
      </c>
      <c r="L4" s="1146" t="s">
        <v>486</v>
      </c>
      <c r="M4" s="1141" t="s">
        <v>487</v>
      </c>
      <c r="N4" s="1146" t="s">
        <v>488</v>
      </c>
      <c r="O4" s="1141" t="s">
        <v>487</v>
      </c>
      <c r="P4" s="1139"/>
      <c r="Q4" s="758"/>
    </row>
    <row r="5" spans="2:17" ht="35.25" customHeight="1" x14ac:dyDescent="0.2">
      <c r="B5" s="1159"/>
      <c r="C5" s="740" t="s">
        <v>450</v>
      </c>
      <c r="D5" s="740" t="s">
        <v>449</v>
      </c>
      <c r="E5" s="756" t="s">
        <v>486</v>
      </c>
      <c r="F5" s="1142"/>
      <c r="G5" s="740" t="s">
        <v>450</v>
      </c>
      <c r="H5" s="740" t="s">
        <v>449</v>
      </c>
      <c r="I5" s="756" t="s">
        <v>486</v>
      </c>
      <c r="J5" s="1144"/>
      <c r="K5" s="1145"/>
      <c r="L5" s="1147"/>
      <c r="M5" s="1142"/>
      <c r="N5" s="1148"/>
      <c r="O5" s="1142"/>
      <c r="P5" s="1140"/>
      <c r="Q5" s="755"/>
    </row>
    <row r="6" spans="2:17" ht="16.5" customHeight="1" x14ac:dyDescent="0.2">
      <c r="B6" s="796"/>
      <c r="C6" s="754"/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2"/>
      <c r="P6" s="513"/>
      <c r="Q6" s="644"/>
    </row>
    <row r="7" spans="2:17" ht="16.5" customHeight="1" x14ac:dyDescent="0.2">
      <c r="B7" s="769" t="s">
        <v>1289</v>
      </c>
      <c r="C7" s="750">
        <v>1237</v>
      </c>
      <c r="D7" s="749">
        <v>1594</v>
      </c>
      <c r="E7" s="749">
        <v>2769</v>
      </c>
      <c r="F7" s="749">
        <v>91</v>
      </c>
      <c r="G7" s="749">
        <v>4627</v>
      </c>
      <c r="H7" s="749">
        <v>143</v>
      </c>
      <c r="I7" s="749">
        <v>4538</v>
      </c>
      <c r="J7" s="749">
        <v>148</v>
      </c>
      <c r="K7" s="749">
        <v>231</v>
      </c>
      <c r="L7" s="749">
        <v>220</v>
      </c>
      <c r="M7" s="749">
        <v>7</v>
      </c>
      <c r="N7" s="749">
        <v>7527</v>
      </c>
      <c r="O7" s="748">
        <v>246</v>
      </c>
      <c r="P7" s="388">
        <v>44197</v>
      </c>
      <c r="Q7" s="644"/>
    </row>
    <row r="8" spans="2:17" ht="16.5" customHeight="1" x14ac:dyDescent="0.2">
      <c r="B8" s="769" t="s">
        <v>1290</v>
      </c>
      <c r="C8" s="750">
        <v>1219</v>
      </c>
      <c r="D8" s="749">
        <v>1529</v>
      </c>
      <c r="E8" s="749">
        <v>2687</v>
      </c>
      <c r="F8" s="749">
        <v>88</v>
      </c>
      <c r="G8" s="749">
        <v>4627</v>
      </c>
      <c r="H8" s="749">
        <v>143</v>
      </c>
      <c r="I8" s="749">
        <v>4539</v>
      </c>
      <c r="J8" s="749">
        <v>149</v>
      </c>
      <c r="K8" s="749">
        <v>223</v>
      </c>
      <c r="L8" s="749">
        <v>212</v>
      </c>
      <c r="M8" s="749">
        <v>7</v>
      </c>
      <c r="N8" s="749">
        <v>7438</v>
      </c>
      <c r="O8" s="748">
        <v>244</v>
      </c>
      <c r="P8" s="376" t="s">
        <v>80</v>
      </c>
      <c r="Q8" s="644"/>
    </row>
    <row r="9" spans="2:17" ht="16.5" customHeight="1" x14ac:dyDescent="0.2">
      <c r="B9" s="769" t="s">
        <v>1291</v>
      </c>
      <c r="C9" s="894">
        <v>1280</v>
      </c>
      <c r="D9" s="895">
        <v>1418</v>
      </c>
      <c r="E9" s="749">
        <v>2635</v>
      </c>
      <c r="F9" s="895">
        <v>88</v>
      </c>
      <c r="G9" s="895">
        <v>4627</v>
      </c>
      <c r="H9" s="895">
        <v>143</v>
      </c>
      <c r="I9" s="895">
        <v>4538</v>
      </c>
      <c r="J9" s="895">
        <v>149</v>
      </c>
      <c r="K9" s="895">
        <v>187</v>
      </c>
      <c r="L9" s="895">
        <v>177</v>
      </c>
      <c r="M9" s="895">
        <v>7</v>
      </c>
      <c r="N9" s="895">
        <v>7350</v>
      </c>
      <c r="O9" s="896">
        <v>244</v>
      </c>
      <c r="P9" s="376" t="s">
        <v>81</v>
      </c>
      <c r="Q9" s="644"/>
    </row>
    <row r="10" spans="2:17" ht="16.5" customHeight="1" x14ac:dyDescent="0.2">
      <c r="B10" s="769" t="s">
        <v>1292</v>
      </c>
      <c r="C10" s="750">
        <v>1377</v>
      </c>
      <c r="D10" s="749">
        <v>1546</v>
      </c>
      <c r="E10" s="749">
        <v>2854</v>
      </c>
      <c r="F10" s="749">
        <v>93</v>
      </c>
      <c r="G10" s="749">
        <v>4627</v>
      </c>
      <c r="H10" s="749">
        <v>143</v>
      </c>
      <c r="I10" s="749">
        <v>4538</v>
      </c>
      <c r="J10" s="749">
        <v>149</v>
      </c>
      <c r="K10" s="749">
        <v>138</v>
      </c>
      <c r="L10" s="749">
        <v>131</v>
      </c>
      <c r="M10" s="751">
        <v>4</v>
      </c>
      <c r="N10" s="749">
        <v>7523</v>
      </c>
      <c r="O10" s="748">
        <v>246</v>
      </c>
      <c r="P10" s="376" t="s">
        <v>82</v>
      </c>
      <c r="Q10" s="644"/>
    </row>
    <row r="11" spans="2:17" ht="16.5" customHeight="1" x14ac:dyDescent="0.2">
      <c r="B11" s="769" t="s">
        <v>1293</v>
      </c>
      <c r="C11" s="750">
        <v>1419</v>
      </c>
      <c r="D11" s="749">
        <v>1607</v>
      </c>
      <c r="E11" s="749">
        <v>2955</v>
      </c>
      <c r="F11" s="749">
        <v>96</v>
      </c>
      <c r="G11" s="749">
        <v>4626</v>
      </c>
      <c r="H11" s="749">
        <v>143</v>
      </c>
      <c r="I11" s="749">
        <v>4538</v>
      </c>
      <c r="J11" s="749">
        <v>148</v>
      </c>
      <c r="K11" s="749">
        <v>170</v>
      </c>
      <c r="L11" s="749">
        <v>161</v>
      </c>
      <c r="M11" s="749">
        <v>5</v>
      </c>
      <c r="N11" s="749">
        <v>7654</v>
      </c>
      <c r="O11" s="748">
        <v>250</v>
      </c>
      <c r="P11" s="376" t="s">
        <v>516</v>
      </c>
      <c r="Q11" s="644"/>
    </row>
    <row r="12" spans="2:17" ht="16.5" customHeight="1" x14ac:dyDescent="0.2">
      <c r="B12" s="769" t="s">
        <v>1294</v>
      </c>
      <c r="C12" s="750">
        <v>1328</v>
      </c>
      <c r="D12" s="749">
        <v>1560</v>
      </c>
      <c r="E12" s="749">
        <v>2822</v>
      </c>
      <c r="F12" s="749">
        <v>93</v>
      </c>
      <c r="G12" s="749">
        <v>4626</v>
      </c>
      <c r="H12" s="749">
        <v>143</v>
      </c>
      <c r="I12" s="749">
        <v>4537</v>
      </c>
      <c r="J12" s="749">
        <v>149</v>
      </c>
      <c r="K12" s="749">
        <v>170</v>
      </c>
      <c r="L12" s="749">
        <v>161</v>
      </c>
      <c r="M12" s="749">
        <v>5</v>
      </c>
      <c r="N12" s="749">
        <v>7520</v>
      </c>
      <c r="O12" s="748">
        <v>247</v>
      </c>
      <c r="P12" s="376" t="s">
        <v>96</v>
      </c>
      <c r="Q12" s="644"/>
    </row>
    <row r="13" spans="2:17" ht="16.5" customHeight="1" x14ac:dyDescent="0.2">
      <c r="B13" s="769" t="s">
        <v>1295</v>
      </c>
      <c r="C13" s="750">
        <v>1260</v>
      </c>
      <c r="D13" s="749">
        <v>1566</v>
      </c>
      <c r="E13" s="749">
        <v>2763</v>
      </c>
      <c r="F13" s="749">
        <v>91</v>
      </c>
      <c r="G13" s="749">
        <v>4616</v>
      </c>
      <c r="H13" s="749">
        <v>143</v>
      </c>
      <c r="I13" s="749">
        <v>4528</v>
      </c>
      <c r="J13" s="749">
        <v>149</v>
      </c>
      <c r="K13" s="749">
        <v>202</v>
      </c>
      <c r="L13" s="749">
        <v>192</v>
      </c>
      <c r="M13" s="749">
        <v>6</v>
      </c>
      <c r="N13" s="749">
        <v>7483</v>
      </c>
      <c r="O13" s="748">
        <v>245</v>
      </c>
      <c r="P13" s="376" t="s">
        <v>97</v>
      </c>
      <c r="Q13" s="644"/>
    </row>
    <row r="14" spans="2:17" ht="16.5" customHeight="1" x14ac:dyDescent="0.2">
      <c r="B14" s="769" t="s">
        <v>1296</v>
      </c>
      <c r="C14" s="750">
        <v>1214</v>
      </c>
      <c r="D14" s="749">
        <v>1674</v>
      </c>
      <c r="E14" s="749">
        <v>2828</v>
      </c>
      <c r="F14" s="749">
        <v>92</v>
      </c>
      <c r="G14" s="749">
        <v>4574</v>
      </c>
      <c r="H14" s="749">
        <v>143</v>
      </c>
      <c r="I14" s="749">
        <v>4488</v>
      </c>
      <c r="J14" s="749">
        <v>147</v>
      </c>
      <c r="K14" s="749">
        <v>186</v>
      </c>
      <c r="L14" s="749">
        <v>176</v>
      </c>
      <c r="M14" s="749">
        <v>6</v>
      </c>
      <c r="N14" s="749">
        <v>7492</v>
      </c>
      <c r="O14" s="748">
        <v>245</v>
      </c>
      <c r="P14" s="376" t="s">
        <v>98</v>
      </c>
      <c r="Q14" s="644"/>
    </row>
    <row r="15" spans="2:17" ht="16.5" customHeight="1" x14ac:dyDescent="0.2">
      <c r="B15" s="769" t="s">
        <v>1297</v>
      </c>
      <c r="C15" s="750">
        <v>1142</v>
      </c>
      <c r="D15" s="749">
        <v>1688</v>
      </c>
      <c r="E15" s="749">
        <v>2773</v>
      </c>
      <c r="F15" s="749">
        <v>90</v>
      </c>
      <c r="G15" s="749">
        <v>4545</v>
      </c>
      <c r="H15" s="749">
        <v>143</v>
      </c>
      <c r="I15" s="749">
        <v>4461</v>
      </c>
      <c r="J15" s="749">
        <v>145</v>
      </c>
      <c r="K15" s="749">
        <v>201</v>
      </c>
      <c r="L15" s="749">
        <v>191</v>
      </c>
      <c r="M15" s="749">
        <v>6</v>
      </c>
      <c r="N15" s="749">
        <v>7425</v>
      </c>
      <c r="O15" s="748">
        <v>242</v>
      </c>
      <c r="P15" s="376" t="s">
        <v>99</v>
      </c>
      <c r="Q15" s="644"/>
    </row>
    <row r="16" spans="2:17" ht="16.5" customHeight="1" x14ac:dyDescent="0.2">
      <c r="B16" s="769" t="s">
        <v>1298</v>
      </c>
      <c r="C16" s="750">
        <v>1206</v>
      </c>
      <c r="D16" s="749">
        <v>1729</v>
      </c>
      <c r="E16" s="749">
        <v>2875</v>
      </c>
      <c r="F16" s="749">
        <v>94</v>
      </c>
      <c r="G16" s="749">
        <v>4546</v>
      </c>
      <c r="H16" s="749">
        <v>143</v>
      </c>
      <c r="I16" s="749">
        <v>4462</v>
      </c>
      <c r="J16" s="749">
        <v>145</v>
      </c>
      <c r="K16" s="749">
        <v>172</v>
      </c>
      <c r="L16" s="749">
        <v>164</v>
      </c>
      <c r="M16" s="749">
        <v>5</v>
      </c>
      <c r="N16" s="749">
        <v>7500</v>
      </c>
      <c r="O16" s="748">
        <v>244</v>
      </c>
      <c r="P16" s="376" t="s">
        <v>83</v>
      </c>
      <c r="Q16" s="644"/>
    </row>
    <row r="17" spans="2:17" ht="16.5" customHeight="1" x14ac:dyDescent="0.15">
      <c r="B17" s="769" t="s">
        <v>1299</v>
      </c>
      <c r="C17" s="750">
        <v>1345</v>
      </c>
      <c r="D17" s="749">
        <v>1709</v>
      </c>
      <c r="E17" s="749">
        <v>2987</v>
      </c>
      <c r="F17" s="749">
        <v>97</v>
      </c>
      <c r="G17" s="749">
        <v>4547</v>
      </c>
      <c r="H17" s="749">
        <v>143</v>
      </c>
      <c r="I17" s="749">
        <v>4463</v>
      </c>
      <c r="J17" s="749">
        <v>145</v>
      </c>
      <c r="K17" s="749">
        <v>149</v>
      </c>
      <c r="L17" s="749">
        <v>141</v>
      </c>
      <c r="M17" s="749">
        <v>5</v>
      </c>
      <c r="N17" s="749">
        <v>7591</v>
      </c>
      <c r="O17" s="748">
        <v>247</v>
      </c>
      <c r="P17" s="376" t="s">
        <v>84</v>
      </c>
    </row>
    <row r="18" spans="2:17" ht="16.5" customHeight="1" x14ac:dyDescent="0.15">
      <c r="B18" s="769" t="s">
        <v>1300</v>
      </c>
      <c r="C18" s="750">
        <v>1245</v>
      </c>
      <c r="D18" s="749">
        <v>1636</v>
      </c>
      <c r="E18" s="749">
        <v>2819</v>
      </c>
      <c r="F18" s="749">
        <v>92</v>
      </c>
      <c r="G18" s="749">
        <v>4547</v>
      </c>
      <c r="H18" s="749">
        <v>143</v>
      </c>
      <c r="I18" s="749">
        <v>4463</v>
      </c>
      <c r="J18" s="749">
        <v>146</v>
      </c>
      <c r="K18" s="749">
        <v>124</v>
      </c>
      <c r="L18" s="749">
        <v>117</v>
      </c>
      <c r="M18" s="749">
        <v>4</v>
      </c>
      <c r="N18" s="749">
        <v>7399</v>
      </c>
      <c r="O18" s="748">
        <v>241</v>
      </c>
      <c r="P18" s="376" t="s">
        <v>85</v>
      </c>
    </row>
    <row r="19" spans="2:17" ht="16.5" customHeight="1" x14ac:dyDescent="0.15">
      <c r="B19" s="769" t="s">
        <v>1301</v>
      </c>
      <c r="C19" s="1053">
        <v>1177</v>
      </c>
      <c r="D19" s="749">
        <v>1554</v>
      </c>
      <c r="E19" s="749">
        <v>2672</v>
      </c>
      <c r="F19" s="749">
        <v>87</v>
      </c>
      <c r="G19" s="749">
        <v>4547</v>
      </c>
      <c r="H19" s="749">
        <v>143</v>
      </c>
      <c r="I19" s="749">
        <v>4463</v>
      </c>
      <c r="J19" s="749">
        <v>146</v>
      </c>
      <c r="K19" s="749">
        <v>100</v>
      </c>
      <c r="L19" s="749">
        <v>95</v>
      </c>
      <c r="M19" s="749">
        <v>3</v>
      </c>
      <c r="N19" s="749">
        <v>7230</v>
      </c>
      <c r="O19" s="748">
        <v>236</v>
      </c>
      <c r="P19" s="388">
        <v>44562</v>
      </c>
    </row>
    <row r="20" spans="2:17" ht="16.5" customHeight="1" x14ac:dyDescent="0.15">
      <c r="B20" s="769" t="s">
        <v>1290</v>
      </c>
      <c r="C20" s="750">
        <v>1245</v>
      </c>
      <c r="D20" s="749">
        <v>1424</v>
      </c>
      <c r="E20" s="749">
        <v>2606</v>
      </c>
      <c r="F20" s="1054">
        <v>85</v>
      </c>
      <c r="G20" s="749">
        <v>4548</v>
      </c>
      <c r="H20" s="749">
        <v>143</v>
      </c>
      <c r="I20" s="749">
        <v>4463</v>
      </c>
      <c r="J20" s="749">
        <v>146</v>
      </c>
      <c r="K20" s="749">
        <v>100</v>
      </c>
      <c r="L20" s="749">
        <v>95</v>
      </c>
      <c r="M20" s="749">
        <v>3</v>
      </c>
      <c r="N20" s="749">
        <v>7164</v>
      </c>
      <c r="O20" s="748">
        <v>234</v>
      </c>
      <c r="P20" s="376" t="s">
        <v>80</v>
      </c>
    </row>
    <row r="21" spans="2:17" ht="16.5" customHeight="1" x14ac:dyDescent="0.15">
      <c r="B21" s="770" t="s">
        <v>1291</v>
      </c>
      <c r="C21" s="747">
        <v>1256</v>
      </c>
      <c r="D21" s="745">
        <v>1297</v>
      </c>
      <c r="E21" s="746">
        <v>2490</v>
      </c>
      <c r="F21" s="745">
        <v>81</v>
      </c>
      <c r="G21" s="745">
        <v>4548</v>
      </c>
      <c r="H21" s="745">
        <v>143</v>
      </c>
      <c r="I21" s="745">
        <v>4463</v>
      </c>
      <c r="J21" s="745">
        <v>146</v>
      </c>
      <c r="K21" s="745">
        <v>175</v>
      </c>
      <c r="L21" s="745">
        <v>166</v>
      </c>
      <c r="M21" s="745">
        <v>5</v>
      </c>
      <c r="N21" s="745">
        <v>7119</v>
      </c>
      <c r="O21" s="744">
        <v>232</v>
      </c>
      <c r="P21" s="727" t="s">
        <v>81</v>
      </c>
      <c r="Q21" s="1055"/>
    </row>
    <row r="22" spans="2:17" ht="16.5" customHeight="1" x14ac:dyDescent="0.2">
      <c r="B22" s="362" t="s">
        <v>448</v>
      </c>
      <c r="C22" s="362"/>
      <c r="D22" s="362"/>
      <c r="E22" s="362"/>
      <c r="F22" s="362"/>
      <c r="G22" s="644"/>
      <c r="H22" s="946"/>
      <c r="I22" s="946" t="s">
        <v>517</v>
      </c>
      <c r="J22" s="362"/>
      <c r="K22" s="362"/>
      <c r="L22" s="362"/>
      <c r="M22" s="362"/>
      <c r="N22" s="362"/>
      <c r="O22" s="362"/>
      <c r="P22" s="362"/>
    </row>
    <row r="23" spans="2:17" ht="16.5" customHeight="1" x14ac:dyDescent="0.2">
      <c r="B23" s="362" t="s">
        <v>447</v>
      </c>
      <c r="C23" s="362"/>
      <c r="D23" s="362"/>
      <c r="E23" s="362"/>
      <c r="F23" s="362"/>
      <c r="G23" s="644"/>
      <c r="H23" s="362"/>
      <c r="I23" s="362" t="s">
        <v>518</v>
      </c>
      <c r="J23" s="362"/>
      <c r="K23" s="362"/>
      <c r="L23" s="362"/>
      <c r="M23" s="362"/>
      <c r="N23" s="362"/>
      <c r="O23" s="362"/>
      <c r="P23" s="362"/>
    </row>
    <row r="24" spans="2:17" ht="16.5" customHeight="1" x14ac:dyDescent="0.2">
      <c r="B24" s="743"/>
      <c r="C24" s="767"/>
      <c r="D24" s="767"/>
      <c r="E24" s="767"/>
      <c r="F24" s="767"/>
      <c r="G24" s="767"/>
      <c r="H24" s="767"/>
      <c r="I24" s="767"/>
      <c r="J24" s="767"/>
      <c r="K24" s="767"/>
      <c r="L24" s="767"/>
      <c r="M24" s="767"/>
      <c r="N24" s="767"/>
      <c r="O24" s="767"/>
      <c r="P24" s="767"/>
    </row>
    <row r="25" spans="2:17" ht="16.5" customHeight="1" x14ac:dyDescent="0.2">
      <c r="B25" s="720" t="s">
        <v>446</v>
      </c>
      <c r="C25" s="767"/>
      <c r="D25" s="767"/>
      <c r="E25" s="767"/>
      <c r="F25" s="767"/>
      <c r="G25" s="767"/>
      <c r="H25" s="34" t="s">
        <v>100</v>
      </c>
      <c r="I25" s="767"/>
      <c r="J25" s="767"/>
      <c r="K25" s="767"/>
      <c r="L25" s="767"/>
      <c r="M25" s="767"/>
      <c r="N25" s="767"/>
      <c r="O25" s="767"/>
      <c r="P25" s="767"/>
    </row>
    <row r="26" spans="2:17" ht="22.5" customHeight="1" x14ac:dyDescent="0.2">
      <c r="B26" s="1152" t="s">
        <v>445</v>
      </c>
      <c r="C26" s="1154" t="s">
        <v>444</v>
      </c>
      <c r="D26" s="1155"/>
      <c r="E26" s="936" t="s">
        <v>519</v>
      </c>
      <c r="F26" s="741" t="s">
        <v>443</v>
      </c>
      <c r="G26" s="741" t="s">
        <v>442</v>
      </c>
      <c r="H26" s="932" t="s">
        <v>441</v>
      </c>
      <c r="I26" s="930" t="s">
        <v>440</v>
      </c>
      <c r="J26" s="1138" t="s">
        <v>520</v>
      </c>
      <c r="K26" s="742"/>
      <c r="L26" s="742"/>
      <c r="M26" s="742"/>
      <c r="N26" s="644"/>
      <c r="O26" s="644"/>
      <c r="P26" s="365"/>
    </row>
    <row r="27" spans="2:17" ht="28.5" customHeight="1" x14ac:dyDescent="0.2">
      <c r="B27" s="1153"/>
      <c r="C27" s="937" t="s">
        <v>716</v>
      </c>
      <c r="D27" s="741" t="s">
        <v>1302</v>
      </c>
      <c r="E27" s="740" t="s">
        <v>716</v>
      </c>
      <c r="F27" s="937" t="s">
        <v>716</v>
      </c>
      <c r="G27" s="937" t="s">
        <v>716</v>
      </c>
      <c r="H27" s="937" t="s">
        <v>717</v>
      </c>
      <c r="I27" s="740" t="s">
        <v>717</v>
      </c>
      <c r="J27" s="1156"/>
      <c r="K27" s="739"/>
      <c r="L27" s="739"/>
      <c r="M27" s="739"/>
      <c r="N27" s="644"/>
      <c r="O27" s="644"/>
      <c r="P27" s="365"/>
    </row>
    <row r="28" spans="2:17" ht="16.5" customHeight="1" x14ac:dyDescent="0.2">
      <c r="B28" s="796"/>
      <c r="C28" s="738"/>
      <c r="D28" s="362"/>
      <c r="E28" s="362"/>
      <c r="F28" s="737"/>
      <c r="G28" s="737"/>
      <c r="H28" s="737"/>
      <c r="I28" s="737"/>
      <c r="J28" s="513"/>
      <c r="K28" s="365"/>
      <c r="L28" s="365"/>
      <c r="M28" s="365"/>
      <c r="N28" s="644"/>
      <c r="O28" s="644"/>
      <c r="P28" s="365"/>
    </row>
    <row r="29" spans="2:17" ht="16.5" customHeight="1" x14ac:dyDescent="0.15">
      <c r="B29" s="769" t="s">
        <v>1289</v>
      </c>
      <c r="C29" s="734">
        <v>32654</v>
      </c>
      <c r="D29" s="733">
        <v>50.13</v>
      </c>
      <c r="E29" s="83">
        <v>31833</v>
      </c>
      <c r="F29" s="732" t="s">
        <v>648</v>
      </c>
      <c r="G29" s="736">
        <v>46829</v>
      </c>
      <c r="H29" s="736">
        <v>55726</v>
      </c>
      <c r="I29" s="735">
        <v>45415</v>
      </c>
      <c r="J29" s="388">
        <v>44197</v>
      </c>
      <c r="K29" s="897"/>
      <c r="L29" s="898"/>
      <c r="M29" s="897"/>
      <c r="N29" s="897"/>
      <c r="O29" s="897"/>
      <c r="P29" s="897"/>
    </row>
    <row r="30" spans="2:17" ht="16.5" customHeight="1" x14ac:dyDescent="0.15">
      <c r="B30" s="769" t="s">
        <v>1290</v>
      </c>
      <c r="C30" s="734">
        <v>36685</v>
      </c>
      <c r="D30" s="733">
        <v>55.86</v>
      </c>
      <c r="E30" s="676">
        <v>36436</v>
      </c>
      <c r="F30" s="732">
        <v>47956</v>
      </c>
      <c r="G30" s="732">
        <v>55844</v>
      </c>
      <c r="H30" s="732">
        <v>62536</v>
      </c>
      <c r="I30" s="732">
        <v>50696</v>
      </c>
      <c r="J30" s="376" t="s">
        <v>80</v>
      </c>
      <c r="K30" s="897"/>
      <c r="L30" s="898"/>
      <c r="M30" s="897"/>
      <c r="N30" s="732"/>
      <c r="O30" s="732"/>
      <c r="P30" s="897"/>
    </row>
    <row r="31" spans="2:17" ht="16.5" customHeight="1" x14ac:dyDescent="0.15">
      <c r="B31" s="769" t="s">
        <v>1291</v>
      </c>
      <c r="C31" s="734">
        <v>41547</v>
      </c>
      <c r="D31" s="899">
        <v>61.69</v>
      </c>
      <c r="E31" s="676">
        <v>41046</v>
      </c>
      <c r="F31" s="732">
        <v>48799</v>
      </c>
      <c r="G31" s="732">
        <v>61482</v>
      </c>
      <c r="H31" s="732">
        <v>65921</v>
      </c>
      <c r="I31" s="735">
        <v>42033</v>
      </c>
      <c r="J31" s="376" t="s">
        <v>81</v>
      </c>
      <c r="K31" s="897"/>
      <c r="L31" s="898"/>
      <c r="M31" s="897"/>
      <c r="N31" s="897"/>
      <c r="O31" s="732"/>
      <c r="P31" s="897"/>
    </row>
    <row r="32" spans="2:17" ht="16.5" customHeight="1" x14ac:dyDescent="0.15">
      <c r="B32" s="769" t="s">
        <v>1292</v>
      </c>
      <c r="C32" s="734">
        <v>45705</v>
      </c>
      <c r="D32" s="900">
        <v>66.319999999999993</v>
      </c>
      <c r="E32" s="676">
        <v>46126</v>
      </c>
      <c r="F32" s="732">
        <v>49633</v>
      </c>
      <c r="G32" s="732" t="s">
        <v>648</v>
      </c>
      <c r="H32" s="732">
        <v>65048</v>
      </c>
      <c r="I32" s="735">
        <v>44530</v>
      </c>
      <c r="J32" s="376" t="s">
        <v>82</v>
      </c>
      <c r="K32" s="897"/>
      <c r="L32" s="898"/>
      <c r="M32" s="897"/>
      <c r="N32" s="732"/>
      <c r="O32" s="732"/>
      <c r="P32" s="897"/>
    </row>
    <row r="33" spans="2:16" ht="16.5" customHeight="1" x14ac:dyDescent="0.15">
      <c r="B33" s="769" t="s">
        <v>1293</v>
      </c>
      <c r="C33" s="736">
        <v>44883</v>
      </c>
      <c r="D33" s="733">
        <v>65.56</v>
      </c>
      <c r="E33" s="83">
        <v>44742</v>
      </c>
      <c r="F33" s="732">
        <v>52462</v>
      </c>
      <c r="G33" s="736" t="s">
        <v>648</v>
      </c>
      <c r="H33" s="736">
        <v>62579</v>
      </c>
      <c r="I33" s="732">
        <v>47678</v>
      </c>
      <c r="J33" s="376" t="s">
        <v>516</v>
      </c>
      <c r="K33" s="897"/>
      <c r="L33" s="898"/>
      <c r="M33" s="897"/>
      <c r="N33" s="897"/>
      <c r="O33" s="897"/>
      <c r="P33" s="897"/>
    </row>
    <row r="34" spans="2:16" ht="16.5" customHeight="1" x14ac:dyDescent="0.15">
      <c r="B34" s="769" t="s">
        <v>1294</v>
      </c>
      <c r="C34" s="736">
        <v>47614</v>
      </c>
      <c r="D34" s="733">
        <v>69.14</v>
      </c>
      <c r="E34" s="83">
        <v>46323</v>
      </c>
      <c r="F34" s="732">
        <v>56264</v>
      </c>
      <c r="G34" s="736">
        <v>60918</v>
      </c>
      <c r="H34" s="736">
        <v>63689</v>
      </c>
      <c r="I34" s="732">
        <v>51688</v>
      </c>
      <c r="J34" s="376" t="s">
        <v>96</v>
      </c>
      <c r="K34" s="897"/>
      <c r="L34" s="898"/>
      <c r="M34" s="897"/>
      <c r="N34" s="897"/>
      <c r="O34" s="732"/>
      <c r="P34" s="897"/>
    </row>
    <row r="35" spans="2:16" ht="16.5" customHeight="1" x14ac:dyDescent="0.15">
      <c r="B35" s="769" t="s">
        <v>1295</v>
      </c>
      <c r="C35" s="736">
        <v>49902</v>
      </c>
      <c r="D35" s="733">
        <v>71.760000000000005</v>
      </c>
      <c r="E35" s="83">
        <v>49892</v>
      </c>
      <c r="F35" s="732">
        <v>57471</v>
      </c>
      <c r="G35" s="736">
        <v>60937</v>
      </c>
      <c r="H35" s="736">
        <v>68998</v>
      </c>
      <c r="I35" s="732">
        <v>55744</v>
      </c>
      <c r="J35" s="376" t="s">
        <v>97</v>
      </c>
      <c r="K35" s="897"/>
      <c r="L35" s="898"/>
      <c r="M35" s="897"/>
      <c r="N35" s="897"/>
      <c r="O35" s="897"/>
      <c r="P35" s="897"/>
    </row>
    <row r="36" spans="2:16" ht="16.5" customHeight="1" x14ac:dyDescent="0.15">
      <c r="B36" s="769" t="s">
        <v>1296</v>
      </c>
      <c r="C36" s="736">
        <v>51002</v>
      </c>
      <c r="D36" s="733">
        <v>73.790000000000006</v>
      </c>
      <c r="E36" s="83">
        <v>52525</v>
      </c>
      <c r="F36" s="732">
        <v>56351</v>
      </c>
      <c r="G36" s="736">
        <v>60535</v>
      </c>
      <c r="H36" s="736">
        <v>74684</v>
      </c>
      <c r="I36" s="732">
        <v>57823</v>
      </c>
      <c r="J36" s="376" t="s">
        <v>98</v>
      </c>
      <c r="K36" s="897"/>
      <c r="L36" s="898"/>
      <c r="M36" s="897"/>
      <c r="N36" s="897"/>
      <c r="O36" s="732"/>
      <c r="P36" s="897"/>
    </row>
    <row r="37" spans="2:16" ht="16.5" customHeight="1" x14ac:dyDescent="0.15">
      <c r="B37" s="769" t="s">
        <v>1297</v>
      </c>
      <c r="C37" s="736">
        <v>51046</v>
      </c>
      <c r="D37" s="733">
        <v>73.86</v>
      </c>
      <c r="E37" s="83">
        <v>51993</v>
      </c>
      <c r="F37" s="732">
        <v>59055</v>
      </c>
      <c r="G37" s="736" t="s">
        <v>648</v>
      </c>
      <c r="H37" s="736">
        <v>77716</v>
      </c>
      <c r="I37" s="732">
        <v>61441</v>
      </c>
      <c r="J37" s="376" t="s">
        <v>99</v>
      </c>
      <c r="K37" s="897"/>
      <c r="L37" s="898"/>
      <c r="M37" s="897"/>
      <c r="N37" s="897"/>
      <c r="O37" s="732"/>
      <c r="P37" s="897"/>
    </row>
    <row r="38" spans="2:16" ht="16.5" customHeight="1" x14ac:dyDescent="0.15">
      <c r="B38" s="769" t="s">
        <v>1298</v>
      </c>
      <c r="C38" s="736">
        <v>53892</v>
      </c>
      <c r="D38" s="733">
        <v>76.91</v>
      </c>
      <c r="E38" s="83">
        <v>53684</v>
      </c>
      <c r="F38" s="732">
        <v>70120</v>
      </c>
      <c r="G38" s="736">
        <v>75245</v>
      </c>
      <c r="H38" s="736">
        <v>88482</v>
      </c>
      <c r="I38" s="732">
        <v>68517</v>
      </c>
      <c r="J38" s="376" t="s">
        <v>83</v>
      </c>
      <c r="K38" s="897"/>
      <c r="L38" s="898"/>
      <c r="M38" s="897"/>
      <c r="N38" s="897"/>
      <c r="O38" s="897"/>
      <c r="P38" s="897"/>
    </row>
    <row r="39" spans="2:16" ht="16.5" customHeight="1" x14ac:dyDescent="0.15">
      <c r="B39" s="769" t="s">
        <v>1299</v>
      </c>
      <c r="C39" s="736">
        <v>58848</v>
      </c>
      <c r="D39" s="733">
        <v>82.1</v>
      </c>
      <c r="E39" s="83">
        <v>59447</v>
      </c>
      <c r="F39" s="732">
        <v>71907</v>
      </c>
      <c r="G39" s="736">
        <v>76180</v>
      </c>
      <c r="H39" s="736">
        <v>96070</v>
      </c>
      <c r="I39" s="732">
        <v>84407</v>
      </c>
      <c r="J39" s="376" t="s">
        <v>84</v>
      </c>
      <c r="K39" s="897"/>
      <c r="L39" s="898"/>
      <c r="M39" s="897"/>
      <c r="N39" s="897"/>
      <c r="O39" s="732"/>
      <c r="P39" s="897"/>
    </row>
    <row r="40" spans="2:16" ht="16.5" customHeight="1" x14ac:dyDescent="0.15">
      <c r="B40" s="769" t="s">
        <v>1300</v>
      </c>
      <c r="C40" s="736">
        <v>59012</v>
      </c>
      <c r="D40" s="733">
        <v>82.31</v>
      </c>
      <c r="E40" s="83">
        <v>62342</v>
      </c>
      <c r="F40" s="732">
        <v>67206</v>
      </c>
      <c r="G40" s="736">
        <v>74401</v>
      </c>
      <c r="H40" s="736">
        <v>92496</v>
      </c>
      <c r="I40" s="732">
        <v>84835</v>
      </c>
      <c r="J40" s="376" t="s">
        <v>85</v>
      </c>
      <c r="K40" s="897"/>
      <c r="L40" s="898"/>
      <c r="M40" s="897"/>
      <c r="N40" s="897"/>
      <c r="O40" s="732"/>
      <c r="P40" s="897"/>
    </row>
    <row r="41" spans="2:16" ht="16.5" customHeight="1" x14ac:dyDescent="0.15">
      <c r="B41" s="769" t="s">
        <v>1301</v>
      </c>
      <c r="C41" s="734">
        <v>57609</v>
      </c>
      <c r="D41" s="733">
        <v>79.69</v>
      </c>
      <c r="E41" s="83">
        <v>60596</v>
      </c>
      <c r="F41" s="732">
        <v>80591</v>
      </c>
      <c r="G41" s="736">
        <v>76357</v>
      </c>
      <c r="H41" s="736">
        <v>88819</v>
      </c>
      <c r="I41" s="735">
        <v>82022</v>
      </c>
      <c r="J41" s="388">
        <v>44562</v>
      </c>
      <c r="K41" s="897"/>
      <c r="L41" s="898"/>
      <c r="M41" s="897"/>
      <c r="N41" s="732"/>
      <c r="O41" s="897"/>
      <c r="P41" s="897"/>
    </row>
    <row r="42" spans="2:16" ht="16.5" customHeight="1" x14ac:dyDescent="0.15">
      <c r="B42" s="769" t="s">
        <v>1290</v>
      </c>
      <c r="C42" s="734">
        <v>62660</v>
      </c>
      <c r="D42" s="733">
        <v>86.75</v>
      </c>
      <c r="E42" s="676">
        <v>61014</v>
      </c>
      <c r="F42" s="732" t="s">
        <v>648</v>
      </c>
      <c r="G42" s="732">
        <v>85682</v>
      </c>
      <c r="H42" s="732">
        <v>89450</v>
      </c>
      <c r="I42" s="732">
        <v>95033</v>
      </c>
      <c r="J42" s="376" t="s">
        <v>80</v>
      </c>
      <c r="K42" s="897"/>
      <c r="L42" s="898"/>
      <c r="M42" s="897"/>
      <c r="N42" s="897"/>
      <c r="O42" s="897"/>
      <c r="P42" s="897"/>
    </row>
    <row r="43" spans="2:16" ht="16.5" customHeight="1" x14ac:dyDescent="0.2">
      <c r="B43" s="770" t="s">
        <v>1291</v>
      </c>
      <c r="C43" s="731">
        <v>66928</v>
      </c>
      <c r="D43" s="730">
        <v>91.85</v>
      </c>
      <c r="E43" s="729">
        <v>67794</v>
      </c>
      <c r="F43" s="728">
        <v>95609</v>
      </c>
      <c r="G43" s="728">
        <v>97240</v>
      </c>
      <c r="H43" s="728">
        <v>99316</v>
      </c>
      <c r="I43" s="728">
        <v>87496.795417720976</v>
      </c>
      <c r="J43" s="727" t="s">
        <v>81</v>
      </c>
      <c r="K43" s="1055"/>
      <c r="L43" s="726"/>
      <c r="M43" s="726"/>
      <c r="N43" s="644"/>
      <c r="O43" s="644"/>
      <c r="P43" s="365"/>
    </row>
    <row r="44" spans="2:16" ht="16.5" customHeight="1" x14ac:dyDescent="0.2">
      <c r="B44" s="362" t="s">
        <v>439</v>
      </c>
      <c r="C44" s="362"/>
      <c r="D44" s="362"/>
      <c r="E44" s="362"/>
      <c r="F44" s="362"/>
      <c r="G44" s="644"/>
      <c r="H44" s="362"/>
      <c r="I44" s="362" t="s">
        <v>521</v>
      </c>
      <c r="J44" s="362"/>
      <c r="K44" s="362"/>
      <c r="L44" s="362"/>
      <c r="M44" s="362"/>
      <c r="N44" s="362"/>
      <c r="O44" s="362"/>
      <c r="P44" s="362"/>
    </row>
    <row r="45" spans="2:16" ht="16.5" customHeight="1" x14ac:dyDescent="0.2">
      <c r="B45" s="362" t="s">
        <v>482</v>
      </c>
      <c r="C45" s="362"/>
      <c r="D45" s="362"/>
      <c r="E45" s="362"/>
      <c r="F45" s="362"/>
      <c r="G45" s="644"/>
      <c r="H45" s="946"/>
      <c r="I45" s="946" t="s">
        <v>522</v>
      </c>
      <c r="J45" s="362"/>
      <c r="K45" s="362"/>
      <c r="L45" s="362"/>
      <c r="M45" s="362"/>
      <c r="N45" s="362"/>
      <c r="O45" s="362"/>
      <c r="P45" s="362"/>
    </row>
    <row r="46" spans="2:16" ht="16.5" customHeight="1" x14ac:dyDescent="0.2">
      <c r="B46" s="946" t="s">
        <v>438</v>
      </c>
      <c r="C46" s="767"/>
      <c r="D46" s="767"/>
      <c r="E46" s="767"/>
      <c r="F46" s="767"/>
      <c r="G46" s="767"/>
      <c r="H46" s="946"/>
      <c r="I46" s="946" t="s">
        <v>523</v>
      </c>
      <c r="J46" s="767"/>
      <c r="K46" s="767"/>
      <c r="L46" s="767"/>
      <c r="M46" s="767"/>
      <c r="N46" s="767"/>
      <c r="O46" s="767"/>
      <c r="P46" s="767"/>
    </row>
    <row r="47" spans="2:16" ht="16.5" customHeight="1" x14ac:dyDescent="0.2">
      <c r="B47" s="946" t="s">
        <v>437</v>
      </c>
      <c r="C47" s="767"/>
      <c r="D47" s="767"/>
      <c r="E47" s="767"/>
      <c r="F47" s="767"/>
      <c r="G47" s="767"/>
      <c r="H47" s="946"/>
      <c r="I47" s="946" t="s">
        <v>524</v>
      </c>
      <c r="J47" s="767"/>
      <c r="K47" s="767"/>
      <c r="L47" s="767"/>
      <c r="M47" s="767"/>
      <c r="N47" s="767"/>
      <c r="O47" s="767"/>
      <c r="P47" s="767"/>
    </row>
    <row r="48" spans="2:16" ht="16.5" customHeight="1" x14ac:dyDescent="0.2">
      <c r="B48" s="946" t="s">
        <v>436</v>
      </c>
      <c r="C48" s="767"/>
      <c r="D48" s="767"/>
      <c r="E48" s="767"/>
      <c r="F48" s="767"/>
      <c r="G48" s="767"/>
      <c r="H48" s="946"/>
      <c r="I48" s="946" t="s">
        <v>525</v>
      </c>
      <c r="J48" s="767"/>
      <c r="K48" s="767"/>
      <c r="L48" s="767"/>
      <c r="M48" s="767"/>
      <c r="N48" s="767"/>
      <c r="O48" s="767"/>
      <c r="P48" s="767"/>
    </row>
    <row r="49" spans="3:9" ht="16.5" customHeight="1" x14ac:dyDescent="0.2">
      <c r="C49" s="1056"/>
      <c r="D49" s="1057"/>
      <c r="E49" s="1056"/>
      <c r="F49" s="1056"/>
      <c r="G49" s="1056"/>
      <c r="H49" s="1056"/>
      <c r="I49" s="1056"/>
    </row>
    <row r="50" spans="3:9" ht="16.5" customHeight="1" x14ac:dyDescent="0.2">
      <c r="C50" s="1056"/>
      <c r="D50" s="1057"/>
      <c r="E50" s="1056"/>
      <c r="F50" s="1056"/>
      <c r="G50" s="1056"/>
      <c r="H50" s="1056"/>
    </row>
    <row r="51" spans="3:9" ht="16.5" customHeight="1" x14ac:dyDescent="0.2">
      <c r="C51" s="1056"/>
      <c r="D51" s="1057"/>
      <c r="E51" s="1056"/>
      <c r="F51" s="1056"/>
      <c r="G51" s="1056"/>
      <c r="H51" s="1056"/>
    </row>
    <row r="52" spans="3:9" ht="16.5" customHeight="1" x14ac:dyDescent="0.2">
      <c r="C52" s="1056"/>
      <c r="D52" s="1057"/>
      <c r="E52" s="1056"/>
      <c r="F52" s="1056"/>
      <c r="G52" s="1056"/>
      <c r="H52" s="1056"/>
    </row>
    <row r="53" spans="3:9" ht="16.5" customHeight="1" x14ac:dyDescent="0.2">
      <c r="C53" s="1056"/>
      <c r="D53" s="1057"/>
      <c r="E53" s="1056"/>
      <c r="F53" s="1056"/>
      <c r="G53" s="1056"/>
      <c r="H53" s="1056"/>
    </row>
    <row r="54" spans="3:9" ht="16.5" customHeight="1" x14ac:dyDescent="0.2">
      <c r="C54" s="1056"/>
      <c r="D54" s="1057"/>
      <c r="E54" s="1056"/>
      <c r="F54" s="1056"/>
      <c r="G54" s="1056"/>
      <c r="H54" s="1056"/>
    </row>
    <row r="55" spans="3:9" ht="16.5" customHeight="1" x14ac:dyDescent="0.2">
      <c r="C55" s="1056"/>
      <c r="D55" s="1057"/>
      <c r="E55" s="1056"/>
      <c r="F55" s="1056"/>
      <c r="G55" s="1056"/>
      <c r="H55" s="1056"/>
    </row>
    <row r="56" spans="3:9" ht="16.5" customHeight="1" x14ac:dyDescent="0.2">
      <c r="C56" s="1056"/>
      <c r="D56" s="1057"/>
      <c r="E56" s="1056"/>
      <c r="F56" s="1056"/>
      <c r="G56" s="1056"/>
      <c r="H56" s="1056"/>
    </row>
    <row r="57" spans="3:9" ht="16.5" customHeight="1" x14ac:dyDescent="0.2">
      <c r="C57" s="1056"/>
      <c r="D57" s="1057"/>
      <c r="E57" s="1056"/>
      <c r="F57" s="1056"/>
      <c r="G57" s="1056"/>
      <c r="H57" s="1056"/>
    </row>
    <row r="58" spans="3:9" ht="16.5" customHeight="1" x14ac:dyDescent="0.2">
      <c r="C58" s="1056"/>
      <c r="D58" s="1057"/>
      <c r="E58" s="1056"/>
      <c r="F58" s="1056"/>
      <c r="G58" s="1056"/>
      <c r="H58" s="1056"/>
    </row>
    <row r="59" spans="3:9" ht="16.5" customHeight="1" x14ac:dyDescent="0.2">
      <c r="C59" s="1056"/>
      <c r="D59" s="1057"/>
      <c r="E59" s="1056"/>
      <c r="F59" s="1056"/>
      <c r="G59" s="1056"/>
      <c r="H59" s="1056"/>
    </row>
    <row r="60" spans="3:9" ht="16.5" customHeight="1" x14ac:dyDescent="0.2">
      <c r="C60" s="1056"/>
      <c r="D60" s="1057"/>
      <c r="E60" s="1056"/>
      <c r="F60" s="1056"/>
      <c r="G60" s="1056"/>
      <c r="H60" s="1056"/>
    </row>
    <row r="61" spans="3:9" ht="16.5" customHeight="1" x14ac:dyDescent="0.2">
      <c r="C61" s="1056"/>
      <c r="D61" s="1057"/>
      <c r="E61" s="1056"/>
      <c r="F61" s="1056"/>
      <c r="G61" s="1056"/>
      <c r="H61" s="1056"/>
    </row>
    <row r="62" spans="3:9" ht="16.5" customHeight="1" x14ac:dyDescent="0.2">
      <c r="C62" s="1056"/>
      <c r="D62" s="1057"/>
      <c r="E62" s="1056"/>
      <c r="F62" s="1056"/>
      <c r="G62" s="1056"/>
      <c r="H62" s="1056"/>
    </row>
    <row r="63" spans="3:9" ht="16.5" customHeight="1" x14ac:dyDescent="0.2">
      <c r="C63" s="1056"/>
      <c r="D63" s="1057"/>
      <c r="E63" s="1056"/>
      <c r="F63" s="1056"/>
      <c r="G63" s="1056"/>
      <c r="H63" s="1056"/>
    </row>
  </sheetData>
  <mergeCells count="14">
    <mergeCell ref="B26:B27"/>
    <mergeCell ref="C26:D26"/>
    <mergeCell ref="J26:J27"/>
    <mergeCell ref="B3:B5"/>
    <mergeCell ref="G3:J3"/>
    <mergeCell ref="P3:P5"/>
    <mergeCell ref="F4:F5"/>
    <mergeCell ref="J4:J5"/>
    <mergeCell ref="K4:K5"/>
    <mergeCell ref="L4:L5"/>
    <mergeCell ref="M4:M5"/>
    <mergeCell ref="N4:N5"/>
    <mergeCell ref="O4:O5"/>
    <mergeCell ref="K3:M3"/>
  </mergeCells>
  <phoneticPr fontId="30"/>
  <pageMargins left="0.59055118110236227" right="0.59055118110236227" top="0.59055118110236227" bottom="0.59055118110236227" header="0.31496062992125984" footer="0.31496062992125984"/>
  <pageSetup paperSize="9" scale="94" orientation="portrait" r:id="rId1"/>
  <colBreaks count="1" manualBreakCount="1">
    <brk id="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79"/>
  <sheetViews>
    <sheetView view="pageBreakPreview" zoomScaleNormal="100" zoomScaleSheetLayoutView="75" workbookViewId="0"/>
  </sheetViews>
  <sheetFormatPr defaultColWidth="9" defaultRowHeight="13" x14ac:dyDescent="0.2"/>
  <cols>
    <col min="1" max="1" width="12.08984375" style="614" customWidth="1"/>
    <col min="2" max="3" width="9.453125" style="614" bestFit="1" customWidth="1"/>
    <col min="4" max="4" width="9" style="614"/>
    <col min="5" max="5" width="5.6328125" style="614" customWidth="1"/>
    <col min="6" max="6" width="9.36328125" style="614" customWidth="1"/>
    <col min="7" max="7" width="9" style="614"/>
    <col min="8" max="8" width="8.7265625" style="614" bestFit="1" customWidth="1"/>
    <col min="9" max="10" width="6" style="614" customWidth="1"/>
    <col min="11" max="11" width="8.90625" style="614" customWidth="1"/>
    <col min="12" max="12" width="13.6328125" style="614" customWidth="1"/>
    <col min="13" max="13" width="10.36328125" style="614" customWidth="1"/>
    <col min="14" max="14" width="13.453125" style="614" customWidth="1"/>
    <col min="15" max="18" width="10.36328125" style="614" customWidth="1"/>
    <col min="19" max="19" width="11.26953125" style="614" bestFit="1" customWidth="1"/>
    <col min="20" max="16384" width="9" style="614"/>
  </cols>
  <sheetData>
    <row r="1" spans="1:15" s="644" customFormat="1" ht="20.149999999999999" customHeight="1" x14ac:dyDescent="0.2">
      <c r="A1" s="645" t="s">
        <v>758</v>
      </c>
    </row>
    <row r="2" spans="1:15" s="644" customFormat="1" ht="20.149999999999999" customHeight="1" x14ac:dyDescent="0.2">
      <c r="A2" s="645" t="s">
        <v>739</v>
      </c>
    </row>
    <row r="3" spans="1:15" s="644" customFormat="1" ht="20.149999999999999" customHeight="1" x14ac:dyDescent="0.2">
      <c r="A3" s="645" t="s">
        <v>1303</v>
      </c>
    </row>
    <row r="4" spans="1:15" s="616" customFormat="1" ht="38.25" customHeight="1" x14ac:dyDescent="0.2">
      <c r="A4" s="1150" t="s">
        <v>421</v>
      </c>
      <c r="B4" s="1164" t="s">
        <v>1304</v>
      </c>
      <c r="C4" s="1165"/>
      <c r="D4" s="1165"/>
      <c r="E4" s="1166"/>
      <c r="F4" s="671" t="s">
        <v>420</v>
      </c>
      <c r="G4" s="670"/>
      <c r="H4" s="670"/>
      <c r="I4" s="1167" t="s">
        <v>419</v>
      </c>
      <c r="J4" s="1167" t="s">
        <v>526</v>
      </c>
      <c r="K4" s="1169" t="s">
        <v>649</v>
      </c>
    </row>
    <row r="5" spans="1:15" s="616" customFormat="1" ht="28.9" customHeight="1" x14ac:dyDescent="0.2">
      <c r="A5" s="1087"/>
      <c r="B5" s="669" t="s">
        <v>418</v>
      </c>
      <c r="C5" s="668" t="s">
        <v>527</v>
      </c>
      <c r="D5" s="668" t="s">
        <v>528</v>
      </c>
      <c r="E5" s="638" t="s">
        <v>417</v>
      </c>
      <c r="F5" s="667" t="s">
        <v>220</v>
      </c>
      <c r="G5" s="666" t="s">
        <v>416</v>
      </c>
      <c r="H5" s="666" t="s">
        <v>415</v>
      </c>
      <c r="I5" s="1168"/>
      <c r="J5" s="1168"/>
      <c r="K5" s="1170"/>
    </row>
    <row r="6" spans="1:15" s="616" customFormat="1" ht="38" x14ac:dyDescent="0.2">
      <c r="A6" s="1163"/>
      <c r="B6" s="665" t="s">
        <v>529</v>
      </c>
      <c r="C6" s="664" t="s">
        <v>531</v>
      </c>
      <c r="D6" s="664" t="s">
        <v>1305</v>
      </c>
      <c r="E6" s="635" t="s">
        <v>530</v>
      </c>
      <c r="F6" s="665" t="s">
        <v>529</v>
      </c>
      <c r="G6" s="664" t="s">
        <v>531</v>
      </c>
      <c r="H6" s="664" t="s">
        <v>532</v>
      </c>
      <c r="I6" s="635" t="s">
        <v>740</v>
      </c>
      <c r="J6" s="635" t="s">
        <v>533</v>
      </c>
      <c r="K6" s="1171"/>
    </row>
    <row r="7" spans="1:15" s="616" customFormat="1" ht="21" customHeight="1" x14ac:dyDescent="0.2">
      <c r="A7" s="626" t="s">
        <v>1306</v>
      </c>
      <c r="B7" s="655">
        <v>187638721</v>
      </c>
      <c r="C7" s="655">
        <v>126864372</v>
      </c>
      <c r="D7" s="655">
        <v>60774349</v>
      </c>
      <c r="E7" s="652">
        <v>32.4</v>
      </c>
      <c r="F7" s="655">
        <v>64231061</v>
      </c>
      <c r="G7" s="655">
        <v>43343481</v>
      </c>
      <c r="H7" s="655">
        <v>20887580</v>
      </c>
      <c r="I7" s="660">
        <v>35.82</v>
      </c>
      <c r="J7" s="660">
        <v>1.52</v>
      </c>
      <c r="K7" s="630" t="s">
        <v>534</v>
      </c>
      <c r="L7" s="621"/>
    </row>
    <row r="8" spans="1:15" s="616" customFormat="1" ht="21" customHeight="1" x14ac:dyDescent="0.2">
      <c r="A8" s="626" t="s">
        <v>1307</v>
      </c>
      <c r="B8" s="625">
        <v>177477098</v>
      </c>
      <c r="C8" s="655">
        <v>122516011</v>
      </c>
      <c r="D8" s="625">
        <v>54961087</v>
      </c>
      <c r="E8" s="652">
        <v>31</v>
      </c>
      <c r="F8" s="625">
        <v>81322765</v>
      </c>
      <c r="G8" s="655">
        <v>56152141</v>
      </c>
      <c r="H8" s="625">
        <v>25170624</v>
      </c>
      <c r="I8" s="660">
        <v>35.81</v>
      </c>
      <c r="J8" s="660">
        <v>1.54</v>
      </c>
      <c r="K8" s="630" t="s">
        <v>535</v>
      </c>
      <c r="L8" s="621"/>
    </row>
    <row r="9" spans="1:15" s="616" customFormat="1" ht="21" customHeight="1" x14ac:dyDescent="0.2">
      <c r="A9" s="626" t="s">
        <v>650</v>
      </c>
      <c r="B9" s="625">
        <v>175488885</v>
      </c>
      <c r="C9" s="655">
        <v>122776302</v>
      </c>
      <c r="D9" s="625">
        <v>52712583</v>
      </c>
      <c r="E9" s="652">
        <v>30</v>
      </c>
      <c r="F9" s="625">
        <v>73679149</v>
      </c>
      <c r="G9" s="655">
        <v>51399120</v>
      </c>
      <c r="H9" s="625">
        <v>22280029</v>
      </c>
      <c r="I9" s="660">
        <v>36.47</v>
      </c>
      <c r="J9" s="660">
        <v>1.43</v>
      </c>
      <c r="K9" s="630" t="s">
        <v>651</v>
      </c>
      <c r="L9" s="621"/>
      <c r="M9" s="649"/>
      <c r="N9" s="621"/>
    </row>
    <row r="10" spans="1:15" s="616" customFormat="1" ht="21" customHeight="1" x14ac:dyDescent="0.2">
      <c r="A10" s="626" t="s">
        <v>741</v>
      </c>
      <c r="B10" s="625">
        <v>143879667</v>
      </c>
      <c r="C10" s="655">
        <v>105584434</v>
      </c>
      <c r="D10" s="625">
        <v>38295233</v>
      </c>
      <c r="E10" s="652">
        <v>26.6</v>
      </c>
      <c r="F10" s="625">
        <v>42393838</v>
      </c>
      <c r="G10" s="655">
        <v>30547267</v>
      </c>
      <c r="H10" s="625">
        <v>11846571</v>
      </c>
      <c r="I10" s="660">
        <v>36.299999999999997</v>
      </c>
      <c r="J10" s="660">
        <v>1.48</v>
      </c>
      <c r="K10" s="630" t="s">
        <v>742</v>
      </c>
      <c r="L10" s="621"/>
      <c r="M10" s="649"/>
      <c r="N10" s="621"/>
    </row>
    <row r="11" spans="1:15" s="616" customFormat="1" ht="21" customHeight="1" x14ac:dyDescent="0.2">
      <c r="A11" s="626" t="s">
        <v>1308</v>
      </c>
      <c r="B11" s="625">
        <v>144662684</v>
      </c>
      <c r="C11" s="655">
        <v>93325278</v>
      </c>
      <c r="D11" s="625">
        <v>51337406</v>
      </c>
      <c r="E11" s="652">
        <v>35.5</v>
      </c>
      <c r="F11" s="625">
        <v>63924816</v>
      </c>
      <c r="G11" s="655">
        <v>40909759</v>
      </c>
      <c r="H11" s="625">
        <v>23015057</v>
      </c>
      <c r="I11" s="660">
        <v>35.97</v>
      </c>
      <c r="J11" s="660">
        <v>1.48</v>
      </c>
      <c r="K11" s="630" t="s">
        <v>1309</v>
      </c>
      <c r="L11" s="621"/>
      <c r="M11" s="649"/>
      <c r="N11" s="621"/>
    </row>
    <row r="12" spans="1:15" s="616" customFormat="1" ht="21" customHeight="1" x14ac:dyDescent="0.2">
      <c r="A12" s="634"/>
      <c r="B12" s="655"/>
      <c r="C12" s="655"/>
      <c r="D12" s="655"/>
      <c r="E12" s="663"/>
      <c r="F12" s="655"/>
      <c r="G12" s="655"/>
      <c r="H12" s="655"/>
      <c r="I12" s="660"/>
      <c r="J12" s="660"/>
      <c r="K12" s="631"/>
      <c r="L12" s="621"/>
      <c r="M12" s="549"/>
    </row>
    <row r="13" spans="1:15" s="616" customFormat="1" ht="21" customHeight="1" x14ac:dyDescent="0.2">
      <c r="A13" s="626" t="s">
        <v>1310</v>
      </c>
      <c r="B13" s="625">
        <v>136462606</v>
      </c>
      <c r="C13" s="655">
        <v>101149499</v>
      </c>
      <c r="D13" s="625">
        <v>35313107</v>
      </c>
      <c r="E13" s="652">
        <v>25.9</v>
      </c>
      <c r="F13" s="625">
        <v>37573506</v>
      </c>
      <c r="G13" s="655">
        <v>27584838</v>
      </c>
      <c r="H13" s="625">
        <v>9988668</v>
      </c>
      <c r="I13" s="660">
        <v>36.119999999999997</v>
      </c>
      <c r="J13" s="660">
        <v>1.5</v>
      </c>
      <c r="K13" s="630" t="s">
        <v>743</v>
      </c>
      <c r="L13" s="621"/>
      <c r="M13" s="549"/>
    </row>
    <row r="14" spans="1:15" s="616" customFormat="1" ht="21" customHeight="1" x14ac:dyDescent="0.2">
      <c r="A14" s="633" t="s">
        <v>1308</v>
      </c>
      <c r="B14" s="625">
        <v>148903593</v>
      </c>
      <c r="C14" s="655">
        <v>93953603</v>
      </c>
      <c r="D14" s="625">
        <v>54949990</v>
      </c>
      <c r="E14" s="652">
        <v>36.9</v>
      </c>
      <c r="F14" s="625">
        <v>73145314</v>
      </c>
      <c r="G14" s="655">
        <v>46071816</v>
      </c>
      <c r="H14" s="625">
        <v>27073498</v>
      </c>
      <c r="I14" s="660">
        <v>35.92</v>
      </c>
      <c r="J14" s="660">
        <v>1.48</v>
      </c>
      <c r="K14" s="630" t="s">
        <v>1311</v>
      </c>
      <c r="L14" s="621"/>
      <c r="M14" s="659"/>
      <c r="N14" s="621"/>
    </row>
    <row r="15" spans="1:15" s="616" customFormat="1" ht="21" customHeight="1" x14ac:dyDescent="0.2">
      <c r="A15" s="632"/>
      <c r="B15" s="655"/>
      <c r="C15" s="655"/>
      <c r="D15" s="655"/>
      <c r="E15" s="652"/>
      <c r="F15" s="655"/>
      <c r="G15" s="655"/>
      <c r="H15" s="655"/>
      <c r="I15" s="660"/>
      <c r="J15" s="654"/>
      <c r="K15" s="628"/>
      <c r="L15" s="621"/>
      <c r="M15" s="662"/>
      <c r="O15" s="661"/>
    </row>
    <row r="16" spans="1:15" s="616" customFormat="1" ht="21" customHeight="1" x14ac:dyDescent="0.2">
      <c r="A16" s="626" t="s">
        <v>1312</v>
      </c>
      <c r="B16" s="655">
        <v>35758521</v>
      </c>
      <c r="C16" s="655">
        <v>25660864</v>
      </c>
      <c r="D16" s="655">
        <v>10097657</v>
      </c>
      <c r="E16" s="652">
        <v>28.2</v>
      </c>
      <c r="F16" s="655">
        <v>12903102</v>
      </c>
      <c r="G16" s="655">
        <v>9273412</v>
      </c>
      <c r="H16" s="655">
        <v>3629690</v>
      </c>
      <c r="I16" s="660">
        <v>36.049999999999997</v>
      </c>
      <c r="J16" s="660">
        <v>1.51</v>
      </c>
      <c r="K16" s="630" t="s">
        <v>1313</v>
      </c>
      <c r="L16" s="621"/>
      <c r="M16" s="659"/>
      <c r="N16" s="621"/>
    </row>
    <row r="17" spans="1:15" s="616" customFormat="1" ht="21" customHeight="1" x14ac:dyDescent="0.2">
      <c r="A17" s="626" t="s">
        <v>409</v>
      </c>
      <c r="B17" s="625">
        <v>33807642</v>
      </c>
      <c r="C17" s="625">
        <v>20288682</v>
      </c>
      <c r="D17" s="625">
        <v>13518960</v>
      </c>
      <c r="E17" s="652">
        <v>40</v>
      </c>
      <c r="F17" s="625">
        <v>14355879</v>
      </c>
      <c r="G17" s="625">
        <v>8636485</v>
      </c>
      <c r="H17" s="625">
        <v>5719394</v>
      </c>
      <c r="I17" s="660">
        <v>36</v>
      </c>
      <c r="J17" s="660">
        <v>1.47</v>
      </c>
      <c r="K17" s="631" t="s">
        <v>536</v>
      </c>
      <c r="L17" s="621"/>
      <c r="M17" s="659"/>
      <c r="N17" s="621"/>
    </row>
    <row r="18" spans="1:15" s="616" customFormat="1" ht="21" customHeight="1" x14ac:dyDescent="0.2">
      <c r="A18" s="626" t="s">
        <v>744</v>
      </c>
      <c r="B18" s="625">
        <v>35477274</v>
      </c>
      <c r="C18" s="625">
        <v>21787224</v>
      </c>
      <c r="D18" s="625">
        <v>13690050</v>
      </c>
      <c r="E18" s="652">
        <v>38.6</v>
      </c>
      <c r="F18" s="625">
        <v>16519230</v>
      </c>
      <c r="G18" s="625">
        <v>10075958</v>
      </c>
      <c r="H18" s="625">
        <v>6443272</v>
      </c>
      <c r="I18" s="660">
        <v>35.92</v>
      </c>
      <c r="J18" s="660">
        <v>1.48</v>
      </c>
      <c r="K18" s="631" t="s">
        <v>537</v>
      </c>
      <c r="L18" s="621"/>
      <c r="M18" s="659"/>
      <c r="N18" s="621"/>
    </row>
    <row r="19" spans="1:15" s="616" customFormat="1" ht="21" customHeight="1" x14ac:dyDescent="0.2">
      <c r="A19" s="626" t="s">
        <v>408</v>
      </c>
      <c r="B19" s="625">
        <v>39619247</v>
      </c>
      <c r="C19" s="625">
        <v>25588508</v>
      </c>
      <c r="D19" s="625">
        <v>14030739</v>
      </c>
      <c r="E19" s="652">
        <v>35.4</v>
      </c>
      <c r="F19" s="625">
        <v>20146605</v>
      </c>
      <c r="G19" s="625">
        <v>12923904</v>
      </c>
      <c r="H19" s="625">
        <v>7222701</v>
      </c>
      <c r="I19" s="660">
        <v>35.92</v>
      </c>
      <c r="J19" s="660">
        <v>1.47</v>
      </c>
      <c r="K19" s="631" t="s">
        <v>538</v>
      </c>
      <c r="L19" s="621"/>
      <c r="M19" s="659"/>
      <c r="N19" s="621"/>
    </row>
    <row r="20" spans="1:15" s="616" customFormat="1" ht="21" customHeight="1" x14ac:dyDescent="0.2">
      <c r="A20" s="626" t="s">
        <v>1314</v>
      </c>
      <c r="B20" s="655">
        <v>39999430</v>
      </c>
      <c r="C20" s="655">
        <v>26289189</v>
      </c>
      <c r="D20" s="655">
        <v>13710241</v>
      </c>
      <c r="E20" s="652">
        <v>34.299999999999997</v>
      </c>
      <c r="F20" s="625">
        <v>22123600</v>
      </c>
      <c r="G20" s="655">
        <v>14435469</v>
      </c>
      <c r="H20" s="655">
        <v>7688131</v>
      </c>
      <c r="I20" s="654">
        <v>35.840000000000003</v>
      </c>
      <c r="J20" s="654">
        <v>1.51</v>
      </c>
      <c r="K20" s="630" t="s">
        <v>1315</v>
      </c>
      <c r="L20" s="621"/>
      <c r="M20" s="659"/>
      <c r="N20" s="621"/>
    </row>
    <row r="21" spans="1:15" s="616" customFormat="1" ht="21" customHeight="1" x14ac:dyDescent="0.2">
      <c r="A21" s="629"/>
      <c r="B21" s="655"/>
      <c r="C21" s="655"/>
      <c r="D21" s="655"/>
      <c r="E21" s="652"/>
      <c r="F21" s="655"/>
      <c r="G21" s="655"/>
      <c r="H21" s="655"/>
      <c r="I21" s="654"/>
      <c r="J21" s="654"/>
      <c r="K21" s="628"/>
      <c r="L21" s="621"/>
      <c r="M21" s="549"/>
    </row>
    <row r="22" spans="1:15" s="616" customFormat="1" ht="21" customHeight="1" x14ac:dyDescent="0.2">
      <c r="A22" s="626" t="s">
        <v>747</v>
      </c>
      <c r="B22" s="655">
        <v>12720192</v>
      </c>
      <c r="C22" s="655">
        <v>9034448</v>
      </c>
      <c r="D22" s="655">
        <v>3685744</v>
      </c>
      <c r="E22" s="652">
        <v>29</v>
      </c>
      <c r="F22" s="655">
        <v>4155029</v>
      </c>
      <c r="G22" s="655">
        <v>2941853</v>
      </c>
      <c r="H22" s="655">
        <v>1213176</v>
      </c>
      <c r="I22" s="654">
        <v>36.549999999999997</v>
      </c>
      <c r="J22" s="654">
        <v>1.44</v>
      </c>
      <c r="K22" s="627" t="s">
        <v>1316</v>
      </c>
      <c r="L22" s="621"/>
      <c r="M22" s="649"/>
      <c r="N22" s="658"/>
      <c r="O22" s="658"/>
    </row>
    <row r="23" spans="1:15" s="616" customFormat="1" ht="21" customHeight="1" x14ac:dyDescent="0.2">
      <c r="A23" s="626" t="s">
        <v>399</v>
      </c>
      <c r="B23" s="655">
        <v>11485022</v>
      </c>
      <c r="C23" s="655">
        <v>8027621</v>
      </c>
      <c r="D23" s="655">
        <v>3457401</v>
      </c>
      <c r="E23" s="652">
        <v>30.1</v>
      </c>
      <c r="F23" s="655">
        <v>4128504</v>
      </c>
      <c r="G23" s="655">
        <v>2889438</v>
      </c>
      <c r="H23" s="655">
        <v>1239066</v>
      </c>
      <c r="I23" s="654">
        <v>35.94</v>
      </c>
      <c r="J23" s="654">
        <v>1.53</v>
      </c>
      <c r="K23" s="413" t="s">
        <v>500</v>
      </c>
      <c r="L23" s="621"/>
      <c r="M23" s="649"/>
      <c r="N23" s="658"/>
      <c r="O23" s="658"/>
    </row>
    <row r="24" spans="1:15" s="616" customFormat="1" ht="21" customHeight="1" x14ac:dyDescent="0.2">
      <c r="A24" s="626" t="s">
        <v>398</v>
      </c>
      <c r="B24" s="655">
        <v>11553307</v>
      </c>
      <c r="C24" s="655">
        <v>8598795</v>
      </c>
      <c r="D24" s="655">
        <v>2954512</v>
      </c>
      <c r="E24" s="652">
        <v>25.6</v>
      </c>
      <c r="F24" s="655">
        <v>4619569</v>
      </c>
      <c r="G24" s="655">
        <v>3442121</v>
      </c>
      <c r="H24" s="655">
        <v>1177448</v>
      </c>
      <c r="I24" s="654">
        <v>35.61</v>
      </c>
      <c r="J24" s="654">
        <v>1.55</v>
      </c>
      <c r="K24" s="413" t="s">
        <v>501</v>
      </c>
      <c r="L24" s="621"/>
      <c r="M24" s="649"/>
      <c r="N24" s="658"/>
      <c r="O24" s="658"/>
    </row>
    <row r="25" spans="1:15" s="616" customFormat="1" ht="21" customHeight="1" x14ac:dyDescent="0.2">
      <c r="A25" s="626" t="s">
        <v>407</v>
      </c>
      <c r="B25" s="655">
        <v>12653221</v>
      </c>
      <c r="C25" s="655">
        <v>7274091</v>
      </c>
      <c r="D25" s="655">
        <v>5379130</v>
      </c>
      <c r="E25" s="652">
        <v>42.5</v>
      </c>
      <c r="F25" s="655">
        <v>5285769</v>
      </c>
      <c r="G25" s="655">
        <v>3048740</v>
      </c>
      <c r="H25" s="655">
        <v>2237029</v>
      </c>
      <c r="I25" s="654">
        <v>36.25</v>
      </c>
      <c r="J25" s="654">
        <v>1.44</v>
      </c>
      <c r="K25" s="413" t="s">
        <v>502</v>
      </c>
      <c r="L25" s="621"/>
      <c r="M25" s="649"/>
      <c r="N25" s="621"/>
    </row>
    <row r="26" spans="1:15" s="616" customFormat="1" ht="21" customHeight="1" x14ac:dyDescent="0.2">
      <c r="A26" s="626" t="s">
        <v>746</v>
      </c>
      <c r="B26" s="625">
        <v>11908957</v>
      </c>
      <c r="C26" s="655">
        <v>7121219</v>
      </c>
      <c r="D26" s="625">
        <v>4787738</v>
      </c>
      <c r="E26" s="652">
        <v>40.200000000000003</v>
      </c>
      <c r="F26" s="625">
        <v>4982066</v>
      </c>
      <c r="G26" s="655">
        <v>2980287</v>
      </c>
      <c r="H26" s="625">
        <v>2001779</v>
      </c>
      <c r="I26" s="657">
        <v>36.06</v>
      </c>
      <c r="J26" s="654">
        <v>1.47</v>
      </c>
      <c r="K26" s="413" t="s">
        <v>511</v>
      </c>
      <c r="L26" s="621"/>
      <c r="M26" s="649"/>
      <c r="N26" s="621"/>
    </row>
    <row r="27" spans="1:15" s="616" customFormat="1" ht="21" customHeight="1" x14ac:dyDescent="0.2">
      <c r="A27" s="626" t="s">
        <v>406</v>
      </c>
      <c r="B27" s="655">
        <v>9245464</v>
      </c>
      <c r="C27" s="655">
        <v>5893372</v>
      </c>
      <c r="D27" s="655">
        <v>3352092</v>
      </c>
      <c r="E27" s="652">
        <v>36.299999999999997</v>
      </c>
      <c r="F27" s="655">
        <v>4088044</v>
      </c>
      <c r="G27" s="655">
        <v>2607458</v>
      </c>
      <c r="H27" s="655">
        <v>1480586</v>
      </c>
      <c r="I27" s="654">
        <v>35.57</v>
      </c>
      <c r="J27" s="654">
        <v>1.52</v>
      </c>
      <c r="K27" s="413" t="s">
        <v>503</v>
      </c>
      <c r="L27" s="621"/>
      <c r="M27" s="649"/>
      <c r="N27" s="621"/>
    </row>
    <row r="28" spans="1:15" s="616" customFormat="1" ht="21" customHeight="1" x14ac:dyDescent="0.2">
      <c r="A28" s="626" t="s">
        <v>405</v>
      </c>
      <c r="B28" s="655">
        <v>10266829</v>
      </c>
      <c r="C28" s="655">
        <v>6313057</v>
      </c>
      <c r="D28" s="655">
        <v>3953772</v>
      </c>
      <c r="E28" s="652">
        <v>38.5</v>
      </c>
      <c r="F28" s="655">
        <v>4742158</v>
      </c>
      <c r="G28" s="655">
        <v>2886051</v>
      </c>
      <c r="H28" s="655">
        <v>1856107</v>
      </c>
      <c r="I28" s="654">
        <v>36</v>
      </c>
      <c r="J28" s="654">
        <v>1.51</v>
      </c>
      <c r="K28" s="413" t="s">
        <v>504</v>
      </c>
      <c r="L28" s="621"/>
      <c r="M28" s="649"/>
      <c r="N28" s="621"/>
    </row>
    <row r="29" spans="1:15" s="616" customFormat="1" ht="21" customHeight="1" x14ac:dyDescent="0.2">
      <c r="A29" s="626" t="s">
        <v>404</v>
      </c>
      <c r="B29" s="655">
        <v>13441936</v>
      </c>
      <c r="C29" s="655">
        <v>8258385</v>
      </c>
      <c r="D29" s="655">
        <v>5183551</v>
      </c>
      <c r="E29" s="652">
        <v>38.6</v>
      </c>
      <c r="F29" s="655">
        <v>6290582</v>
      </c>
      <c r="G29" s="655">
        <v>3828920</v>
      </c>
      <c r="H29" s="655">
        <v>2461662</v>
      </c>
      <c r="I29" s="654">
        <v>35.880000000000003</v>
      </c>
      <c r="J29" s="654">
        <v>1.46</v>
      </c>
      <c r="K29" s="413" t="s">
        <v>505</v>
      </c>
      <c r="L29" s="621"/>
      <c r="M29" s="649"/>
      <c r="N29" s="621"/>
    </row>
    <row r="30" spans="1:15" s="616" customFormat="1" ht="21" customHeight="1" x14ac:dyDescent="0.2">
      <c r="A30" s="626" t="s">
        <v>403</v>
      </c>
      <c r="B30" s="655">
        <v>11768509</v>
      </c>
      <c r="C30" s="655">
        <v>7215782</v>
      </c>
      <c r="D30" s="655">
        <v>4552727</v>
      </c>
      <c r="E30" s="652">
        <v>38.700000000000003</v>
      </c>
      <c r="F30" s="655">
        <v>5486490</v>
      </c>
      <c r="G30" s="655">
        <v>3360987</v>
      </c>
      <c r="H30" s="655">
        <v>2125503</v>
      </c>
      <c r="I30" s="654">
        <v>35.9</v>
      </c>
      <c r="J30" s="654">
        <v>1.49</v>
      </c>
      <c r="K30" s="413" t="s">
        <v>506</v>
      </c>
      <c r="L30" s="621"/>
      <c r="M30" s="649"/>
      <c r="N30" s="621"/>
    </row>
    <row r="31" spans="1:15" s="616" customFormat="1" ht="21" customHeight="1" x14ac:dyDescent="0.2">
      <c r="A31" s="626" t="s">
        <v>402</v>
      </c>
      <c r="B31" s="655">
        <v>11601339</v>
      </c>
      <c r="C31" s="655">
        <v>6954745</v>
      </c>
      <c r="D31" s="655">
        <v>4646594</v>
      </c>
      <c r="E31" s="652">
        <v>40.1</v>
      </c>
      <c r="F31" s="655">
        <v>5700555</v>
      </c>
      <c r="G31" s="655">
        <v>3391191</v>
      </c>
      <c r="H31" s="655">
        <v>2309364</v>
      </c>
      <c r="I31" s="654">
        <v>35.85</v>
      </c>
      <c r="J31" s="654">
        <v>1.45</v>
      </c>
      <c r="K31" s="413" t="s">
        <v>507</v>
      </c>
      <c r="L31" s="621"/>
      <c r="M31" s="649"/>
      <c r="N31" s="621"/>
    </row>
    <row r="32" spans="1:15" s="616" customFormat="1" ht="21" customHeight="1" x14ac:dyDescent="0.2">
      <c r="A32" s="626" t="s">
        <v>401</v>
      </c>
      <c r="B32" s="655">
        <v>13385055</v>
      </c>
      <c r="C32" s="655">
        <v>8660965</v>
      </c>
      <c r="D32" s="655">
        <v>4724090</v>
      </c>
      <c r="E32" s="652">
        <v>35.299999999999997</v>
      </c>
      <c r="F32" s="655">
        <v>6913846</v>
      </c>
      <c r="G32" s="655">
        <v>4429481</v>
      </c>
      <c r="H32" s="655">
        <v>2484365</v>
      </c>
      <c r="I32" s="654">
        <v>36.01</v>
      </c>
      <c r="J32" s="654">
        <v>1.45</v>
      </c>
      <c r="K32" s="413" t="s">
        <v>508</v>
      </c>
      <c r="L32" s="621"/>
      <c r="M32" s="649"/>
      <c r="N32" s="621"/>
    </row>
    <row r="33" spans="1:21" s="616" customFormat="1" ht="21" customHeight="1" x14ac:dyDescent="0.2">
      <c r="A33" s="626" t="s">
        <v>400</v>
      </c>
      <c r="B33" s="656">
        <v>14632853</v>
      </c>
      <c r="C33" s="655">
        <v>9972798</v>
      </c>
      <c r="D33" s="655">
        <v>4660055</v>
      </c>
      <c r="E33" s="652">
        <v>31.8</v>
      </c>
      <c r="F33" s="655">
        <v>7532204</v>
      </c>
      <c r="G33" s="655">
        <v>5103232</v>
      </c>
      <c r="H33" s="655">
        <v>2428972</v>
      </c>
      <c r="I33" s="654">
        <v>35.9</v>
      </c>
      <c r="J33" s="654">
        <v>1.51</v>
      </c>
      <c r="K33" s="413" t="s">
        <v>509</v>
      </c>
      <c r="L33" s="621"/>
      <c r="M33" s="649"/>
      <c r="N33" s="621"/>
    </row>
    <row r="34" spans="1:21" s="616" customFormat="1" ht="21" customHeight="1" x14ac:dyDescent="0.2">
      <c r="A34" s="626" t="s">
        <v>1317</v>
      </c>
      <c r="B34" s="656">
        <v>13384115</v>
      </c>
      <c r="C34" s="655">
        <v>8757458</v>
      </c>
      <c r="D34" s="655">
        <v>4626657</v>
      </c>
      <c r="E34" s="652">
        <v>34.6</v>
      </c>
      <c r="F34" s="655">
        <v>6781864</v>
      </c>
      <c r="G34" s="655">
        <v>4434074</v>
      </c>
      <c r="H34" s="655">
        <v>2347790</v>
      </c>
      <c r="I34" s="654">
        <v>35.53</v>
      </c>
      <c r="J34" s="654">
        <v>1.53</v>
      </c>
      <c r="K34" s="627" t="s">
        <v>1318</v>
      </c>
      <c r="L34" s="621"/>
      <c r="M34" s="649"/>
      <c r="N34" s="621"/>
    </row>
    <row r="35" spans="1:21" s="616" customFormat="1" ht="21" customHeight="1" x14ac:dyDescent="0.2">
      <c r="A35" s="626" t="s">
        <v>399</v>
      </c>
      <c r="B35" s="656">
        <v>12463351</v>
      </c>
      <c r="C35" s="655">
        <v>8191208</v>
      </c>
      <c r="D35" s="655">
        <v>4272143</v>
      </c>
      <c r="E35" s="652">
        <v>34.299999999999997</v>
      </c>
      <c r="F35" s="655">
        <v>6903079</v>
      </c>
      <c r="G35" s="655">
        <v>4504538</v>
      </c>
      <c r="H35" s="655">
        <v>2398541</v>
      </c>
      <c r="I35" s="654">
        <v>36.08</v>
      </c>
      <c r="J35" s="654">
        <v>1.5</v>
      </c>
      <c r="K35" s="413" t="s">
        <v>500</v>
      </c>
      <c r="L35" s="621"/>
      <c r="M35" s="649"/>
      <c r="N35" s="621"/>
    </row>
    <row r="36" spans="1:21" s="616" customFormat="1" ht="21" customHeight="1" x14ac:dyDescent="0.2">
      <c r="A36" s="624" t="s">
        <v>398</v>
      </c>
      <c r="B36" s="653">
        <v>14151964</v>
      </c>
      <c r="C36" s="651">
        <v>9340523</v>
      </c>
      <c r="D36" s="651">
        <v>4811441</v>
      </c>
      <c r="E36" s="652">
        <v>34</v>
      </c>
      <c r="F36" s="651">
        <v>8438657</v>
      </c>
      <c r="G36" s="651">
        <v>5496857</v>
      </c>
      <c r="H36" s="651">
        <v>2941800</v>
      </c>
      <c r="I36" s="650">
        <v>35.93</v>
      </c>
      <c r="J36" s="650">
        <v>1.49</v>
      </c>
      <c r="K36" s="622" t="s">
        <v>539</v>
      </c>
      <c r="L36" s="621"/>
      <c r="M36" s="649"/>
      <c r="N36" s="621"/>
    </row>
    <row r="37" spans="1:21" ht="15.75" customHeight="1" x14ac:dyDescent="0.2">
      <c r="A37" s="620" t="s">
        <v>397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7"/>
    </row>
    <row r="38" spans="1:21" ht="15.75" customHeight="1" x14ac:dyDescent="0.2">
      <c r="A38" s="946" t="s">
        <v>540</v>
      </c>
      <c r="B38" s="646"/>
      <c r="C38" s="646"/>
      <c r="D38" s="646"/>
      <c r="E38" s="646"/>
      <c r="F38" s="646"/>
      <c r="G38" s="646"/>
      <c r="H38" s="646"/>
      <c r="I38" s="646"/>
      <c r="J38" s="646"/>
      <c r="K38" s="646"/>
    </row>
    <row r="39" spans="1:21" ht="14" x14ac:dyDescent="0.2">
      <c r="K39" s="646"/>
    </row>
    <row r="42" spans="1:21" s="616" customFormat="1" ht="20.149999999999999" customHeight="1" x14ac:dyDescent="0.2">
      <c r="L42" s="645" t="s">
        <v>1319</v>
      </c>
      <c r="M42" s="644"/>
      <c r="N42" s="644"/>
      <c r="O42" s="644"/>
      <c r="P42" s="644"/>
      <c r="Q42" s="644"/>
      <c r="R42" s="24" t="s">
        <v>414</v>
      </c>
      <c r="S42" s="1058"/>
    </row>
    <row r="43" spans="1:21" s="616" customFormat="1" ht="66" customHeight="1" x14ac:dyDescent="0.2">
      <c r="L43" s="1150" t="s">
        <v>652</v>
      </c>
      <c r="M43" s="643" t="s">
        <v>653</v>
      </c>
      <c r="N43" s="642" t="s">
        <v>413</v>
      </c>
      <c r="O43" s="641" t="s">
        <v>748</v>
      </c>
      <c r="P43" s="640" t="s">
        <v>541</v>
      </c>
      <c r="Q43" s="639" t="s">
        <v>542</v>
      </c>
      <c r="R43" s="638" t="s">
        <v>543</v>
      </c>
      <c r="S43" s="1138" t="s">
        <v>654</v>
      </c>
    </row>
    <row r="44" spans="1:21" s="616" customFormat="1" ht="32.15" customHeight="1" x14ac:dyDescent="0.2">
      <c r="L44" s="1163"/>
      <c r="M44" s="637" t="s">
        <v>60</v>
      </c>
      <c r="N44" s="636" t="s">
        <v>412</v>
      </c>
      <c r="O44" s="636" t="s">
        <v>411</v>
      </c>
      <c r="P44" s="635" t="s">
        <v>544</v>
      </c>
      <c r="Q44" s="635" t="s">
        <v>410</v>
      </c>
      <c r="R44" s="635" t="s">
        <v>545</v>
      </c>
      <c r="S44" s="1162"/>
    </row>
    <row r="45" spans="1:21" s="616" customFormat="1" ht="20.25" customHeight="1" x14ac:dyDescent="0.2">
      <c r="L45" s="626" t="s">
        <v>1306</v>
      </c>
      <c r="M45" s="625">
        <v>187638721</v>
      </c>
      <c r="N45" s="625">
        <v>8468246</v>
      </c>
      <c r="O45" s="625">
        <v>2318497</v>
      </c>
      <c r="P45" s="625">
        <v>7246619</v>
      </c>
      <c r="Q45" s="625">
        <v>161400777</v>
      </c>
      <c r="R45" s="625">
        <v>8204582</v>
      </c>
      <c r="S45" s="630" t="s">
        <v>534</v>
      </c>
      <c r="U45" s="621"/>
    </row>
    <row r="46" spans="1:21" s="616" customFormat="1" ht="20.25" customHeight="1" x14ac:dyDescent="0.2">
      <c r="L46" s="626" t="s">
        <v>1307</v>
      </c>
      <c r="M46" s="625">
        <v>177477098</v>
      </c>
      <c r="N46" s="625">
        <v>5200552</v>
      </c>
      <c r="O46" s="625">
        <v>1951792</v>
      </c>
      <c r="P46" s="625">
        <v>6673984</v>
      </c>
      <c r="Q46" s="625">
        <v>154204758</v>
      </c>
      <c r="R46" s="625">
        <v>9446012</v>
      </c>
      <c r="S46" s="630" t="s">
        <v>535</v>
      </c>
      <c r="U46" s="621"/>
    </row>
    <row r="47" spans="1:21" s="616" customFormat="1" ht="20.25" customHeight="1" x14ac:dyDescent="0.2">
      <c r="L47" s="626" t="s">
        <v>650</v>
      </c>
      <c r="M47" s="625">
        <v>175488885</v>
      </c>
      <c r="N47" s="625">
        <v>4063698</v>
      </c>
      <c r="O47" s="625">
        <v>1238908</v>
      </c>
      <c r="P47" s="625">
        <v>7189789</v>
      </c>
      <c r="Q47" s="625">
        <v>154269884</v>
      </c>
      <c r="R47" s="625">
        <v>8726606</v>
      </c>
      <c r="S47" s="630" t="s">
        <v>651</v>
      </c>
      <c r="U47" s="621"/>
    </row>
    <row r="48" spans="1:21" s="616" customFormat="1" ht="20.25" customHeight="1" x14ac:dyDescent="0.2">
      <c r="L48" s="626" t="s">
        <v>741</v>
      </c>
      <c r="M48" s="625">
        <v>143879667</v>
      </c>
      <c r="N48" s="625">
        <v>940992</v>
      </c>
      <c r="O48" s="625">
        <v>919745</v>
      </c>
      <c r="P48" s="625">
        <v>3927179</v>
      </c>
      <c r="Q48" s="625">
        <v>130335045</v>
      </c>
      <c r="R48" s="625">
        <v>7756706</v>
      </c>
      <c r="S48" s="630" t="s">
        <v>742</v>
      </c>
      <c r="U48" s="621"/>
    </row>
    <row r="49" spans="12:21" s="616" customFormat="1" ht="20.25" customHeight="1" x14ac:dyDescent="0.2">
      <c r="L49" s="626" t="s">
        <v>1308</v>
      </c>
      <c r="M49" s="625">
        <v>144662684</v>
      </c>
      <c r="N49" s="625">
        <v>631863</v>
      </c>
      <c r="O49" s="625">
        <v>466094</v>
      </c>
      <c r="P49" s="625">
        <v>3323962</v>
      </c>
      <c r="Q49" s="625">
        <v>133913027</v>
      </c>
      <c r="R49" s="625">
        <v>6327738</v>
      </c>
      <c r="S49" s="630" t="s">
        <v>1309</v>
      </c>
      <c r="T49" s="621"/>
      <c r="U49" s="621"/>
    </row>
    <row r="50" spans="12:21" s="616" customFormat="1" ht="20.25" customHeight="1" x14ac:dyDescent="0.2">
      <c r="L50" s="634"/>
      <c r="M50" s="625"/>
      <c r="N50" s="625"/>
      <c r="O50" s="625"/>
      <c r="P50" s="625"/>
      <c r="Q50" s="625"/>
      <c r="R50" s="625"/>
      <c r="S50" s="631"/>
      <c r="T50" s="621"/>
      <c r="U50" s="621"/>
    </row>
    <row r="51" spans="12:21" s="616" customFormat="1" ht="20.25" customHeight="1" x14ac:dyDescent="0.2">
      <c r="L51" s="626" t="s">
        <v>1310</v>
      </c>
      <c r="M51" s="625">
        <v>136462606</v>
      </c>
      <c r="N51" s="625">
        <v>618675</v>
      </c>
      <c r="O51" s="625">
        <v>491310</v>
      </c>
      <c r="P51" s="625">
        <v>3838706</v>
      </c>
      <c r="Q51" s="625">
        <v>124414945</v>
      </c>
      <c r="R51" s="625">
        <v>7098970</v>
      </c>
      <c r="S51" s="630" t="s">
        <v>743</v>
      </c>
      <c r="U51" s="621"/>
    </row>
    <row r="52" spans="12:21" s="616" customFormat="1" ht="20.25" customHeight="1" x14ac:dyDescent="0.2">
      <c r="L52" s="633" t="s">
        <v>1308</v>
      </c>
      <c r="M52" s="625">
        <v>148903593</v>
      </c>
      <c r="N52" s="625">
        <v>525077</v>
      </c>
      <c r="O52" s="625">
        <v>779018</v>
      </c>
      <c r="P52" s="625">
        <v>3758997</v>
      </c>
      <c r="Q52" s="625">
        <v>137905554</v>
      </c>
      <c r="R52" s="625">
        <v>5934947</v>
      </c>
      <c r="S52" s="630" t="s">
        <v>1311</v>
      </c>
      <c r="T52" s="621"/>
      <c r="U52" s="621"/>
    </row>
    <row r="53" spans="12:21" s="616" customFormat="1" ht="20.25" customHeight="1" x14ac:dyDescent="0.2">
      <c r="L53" s="632"/>
      <c r="M53" s="625"/>
      <c r="N53" s="625"/>
      <c r="O53" s="625"/>
      <c r="P53" s="625"/>
      <c r="Q53" s="625"/>
      <c r="R53" s="625"/>
      <c r="S53" s="628"/>
      <c r="U53" s="621"/>
    </row>
    <row r="54" spans="12:21" s="616" customFormat="1" ht="20.25" customHeight="1" x14ac:dyDescent="0.2">
      <c r="L54" s="626" t="s">
        <v>1312</v>
      </c>
      <c r="M54" s="625">
        <v>35758521</v>
      </c>
      <c r="N54" s="625">
        <v>336348</v>
      </c>
      <c r="O54" s="625" t="s">
        <v>648</v>
      </c>
      <c r="P54" s="625">
        <v>938789</v>
      </c>
      <c r="Q54" s="625">
        <v>32917557</v>
      </c>
      <c r="R54" s="625">
        <v>1565827</v>
      </c>
      <c r="S54" s="630" t="s">
        <v>745</v>
      </c>
      <c r="T54" s="621"/>
      <c r="U54" s="621"/>
    </row>
    <row r="55" spans="12:21" s="616" customFormat="1" ht="20.25" customHeight="1" x14ac:dyDescent="0.2">
      <c r="L55" s="626" t="s">
        <v>409</v>
      </c>
      <c r="M55" s="625">
        <v>33807642</v>
      </c>
      <c r="N55" s="625">
        <v>65039</v>
      </c>
      <c r="O55" s="625">
        <v>112614</v>
      </c>
      <c r="P55" s="625">
        <v>1029426</v>
      </c>
      <c r="Q55" s="625">
        <v>31125118</v>
      </c>
      <c r="R55" s="625">
        <v>1475445</v>
      </c>
      <c r="S55" s="631" t="s">
        <v>536</v>
      </c>
      <c r="T55" s="621"/>
      <c r="U55" s="621"/>
    </row>
    <row r="56" spans="12:21" s="616" customFormat="1" ht="20.25" customHeight="1" x14ac:dyDescent="0.2">
      <c r="L56" s="626" t="s">
        <v>744</v>
      </c>
      <c r="M56" s="625">
        <v>35477274</v>
      </c>
      <c r="N56" s="625">
        <v>118705</v>
      </c>
      <c r="O56" s="625">
        <v>353420</v>
      </c>
      <c r="P56" s="625">
        <v>374461</v>
      </c>
      <c r="Q56" s="625">
        <v>33109273</v>
      </c>
      <c r="R56" s="625">
        <v>1521415</v>
      </c>
      <c r="S56" s="631" t="s">
        <v>537</v>
      </c>
      <c r="T56" s="621"/>
      <c r="U56" s="621"/>
    </row>
    <row r="57" spans="12:21" s="616" customFormat="1" ht="20.25" customHeight="1" x14ac:dyDescent="0.2">
      <c r="L57" s="626" t="s">
        <v>408</v>
      </c>
      <c r="M57" s="625">
        <v>39619247</v>
      </c>
      <c r="N57" s="625">
        <v>111771</v>
      </c>
      <c r="O57" s="625">
        <v>60</v>
      </c>
      <c r="P57" s="625">
        <v>981286</v>
      </c>
      <c r="Q57" s="625">
        <v>36761079</v>
      </c>
      <c r="R57" s="625">
        <v>1765051</v>
      </c>
      <c r="S57" s="631" t="s">
        <v>538</v>
      </c>
      <c r="T57" s="621"/>
      <c r="U57" s="621"/>
    </row>
    <row r="58" spans="12:21" s="616" customFormat="1" ht="20.25" customHeight="1" x14ac:dyDescent="0.2">
      <c r="L58" s="626" t="s">
        <v>1314</v>
      </c>
      <c r="M58" s="625">
        <v>39999430</v>
      </c>
      <c r="N58" s="625">
        <v>229562</v>
      </c>
      <c r="O58" s="625">
        <v>312924</v>
      </c>
      <c r="P58" s="625">
        <v>1373824</v>
      </c>
      <c r="Q58" s="625">
        <v>36910084</v>
      </c>
      <c r="R58" s="625">
        <v>1173036</v>
      </c>
      <c r="S58" s="630" t="s">
        <v>1315</v>
      </c>
      <c r="T58" s="621"/>
      <c r="U58" s="621"/>
    </row>
    <row r="59" spans="12:21" s="616" customFormat="1" ht="20.25" customHeight="1" x14ac:dyDescent="0.2">
      <c r="L59" s="629"/>
      <c r="M59" s="625"/>
      <c r="N59" s="625"/>
      <c r="O59" s="625"/>
      <c r="P59" s="625"/>
      <c r="Q59" s="21"/>
      <c r="R59" s="625"/>
      <c r="S59" s="628"/>
      <c r="U59" s="621"/>
    </row>
    <row r="60" spans="12:21" s="616" customFormat="1" ht="20.25" customHeight="1" x14ac:dyDescent="0.2">
      <c r="L60" s="626" t="s">
        <v>747</v>
      </c>
      <c r="M60" s="625">
        <v>12720192</v>
      </c>
      <c r="N60" s="625">
        <v>228666</v>
      </c>
      <c r="O60" s="625" t="s">
        <v>648</v>
      </c>
      <c r="P60" s="625">
        <v>246362</v>
      </c>
      <c r="Q60" s="625">
        <v>11791838</v>
      </c>
      <c r="R60" s="625">
        <v>453326</v>
      </c>
      <c r="S60" s="627" t="s">
        <v>1316</v>
      </c>
      <c r="T60" s="621"/>
      <c r="U60" s="621"/>
    </row>
    <row r="61" spans="12:21" s="616" customFormat="1" ht="20.25" customHeight="1" x14ac:dyDescent="0.2">
      <c r="L61" s="626" t="s">
        <v>399</v>
      </c>
      <c r="M61" s="625">
        <v>11485022</v>
      </c>
      <c r="N61" s="625">
        <v>107682</v>
      </c>
      <c r="O61" s="625" t="s">
        <v>648</v>
      </c>
      <c r="P61" s="625">
        <v>236566</v>
      </c>
      <c r="Q61" s="625">
        <v>10759352</v>
      </c>
      <c r="R61" s="625">
        <v>381422</v>
      </c>
      <c r="S61" s="413" t="s">
        <v>500</v>
      </c>
      <c r="T61" s="621"/>
      <c r="U61" s="621"/>
    </row>
    <row r="62" spans="12:21" s="616" customFormat="1" ht="20.25" customHeight="1" x14ac:dyDescent="0.2">
      <c r="L62" s="626" t="s">
        <v>398</v>
      </c>
      <c r="M62" s="625">
        <v>11553307</v>
      </c>
      <c r="N62" s="625" t="s">
        <v>648</v>
      </c>
      <c r="O62" s="625" t="s">
        <v>648</v>
      </c>
      <c r="P62" s="625">
        <v>455861</v>
      </c>
      <c r="Q62" s="625">
        <v>10366367</v>
      </c>
      <c r="R62" s="625">
        <v>731079</v>
      </c>
      <c r="S62" s="413" t="s">
        <v>501</v>
      </c>
      <c r="T62" s="621"/>
      <c r="U62" s="621"/>
    </row>
    <row r="63" spans="12:21" s="616" customFormat="1" ht="20.25" customHeight="1" x14ac:dyDescent="0.2">
      <c r="L63" s="626" t="s">
        <v>407</v>
      </c>
      <c r="M63" s="625">
        <v>12653221</v>
      </c>
      <c r="N63" s="625" t="s">
        <v>648</v>
      </c>
      <c r="O63" s="625">
        <v>112614</v>
      </c>
      <c r="P63" s="625">
        <v>330694</v>
      </c>
      <c r="Q63" s="625">
        <v>11802385</v>
      </c>
      <c r="R63" s="625">
        <v>407528</v>
      </c>
      <c r="S63" s="413" t="s">
        <v>502</v>
      </c>
      <c r="T63" s="621"/>
      <c r="U63" s="621"/>
    </row>
    <row r="64" spans="12:21" s="616" customFormat="1" ht="20.25" customHeight="1" x14ac:dyDescent="0.2">
      <c r="L64" s="626" t="s">
        <v>746</v>
      </c>
      <c r="M64" s="625">
        <v>11908957</v>
      </c>
      <c r="N64" s="625">
        <v>33481</v>
      </c>
      <c r="O64" s="625" t="s">
        <v>648</v>
      </c>
      <c r="P64" s="625">
        <v>539846</v>
      </c>
      <c r="Q64" s="625">
        <v>10613630</v>
      </c>
      <c r="R64" s="625">
        <v>722000</v>
      </c>
      <c r="S64" s="413" t="s">
        <v>511</v>
      </c>
      <c r="T64" s="621"/>
      <c r="U64" s="621"/>
    </row>
    <row r="65" spans="3:21" s="616" customFormat="1" ht="20.25" customHeight="1" x14ac:dyDescent="0.2">
      <c r="L65" s="626" t="s">
        <v>406</v>
      </c>
      <c r="M65" s="625">
        <v>9245464</v>
      </c>
      <c r="N65" s="625">
        <v>31558</v>
      </c>
      <c r="O65" s="625" t="s">
        <v>648</v>
      </c>
      <c r="P65" s="625">
        <v>158886</v>
      </c>
      <c r="Q65" s="625">
        <v>8709103</v>
      </c>
      <c r="R65" s="625">
        <v>345917</v>
      </c>
      <c r="S65" s="413" t="s">
        <v>503</v>
      </c>
      <c r="T65" s="621"/>
      <c r="U65" s="621"/>
    </row>
    <row r="66" spans="3:21" s="616" customFormat="1" ht="20.25" customHeight="1" x14ac:dyDescent="0.2">
      <c r="L66" s="626" t="s">
        <v>405</v>
      </c>
      <c r="M66" s="625">
        <v>10266829</v>
      </c>
      <c r="N66" s="625">
        <v>23518</v>
      </c>
      <c r="O66" s="625" t="s">
        <v>648</v>
      </c>
      <c r="P66" s="625">
        <v>192505</v>
      </c>
      <c r="Q66" s="625">
        <v>9789128</v>
      </c>
      <c r="R66" s="625">
        <v>261678</v>
      </c>
      <c r="S66" s="413" t="s">
        <v>504</v>
      </c>
      <c r="T66" s="621"/>
      <c r="U66" s="621"/>
    </row>
    <row r="67" spans="3:21" s="616" customFormat="1" ht="20.25" customHeight="1" x14ac:dyDescent="0.2">
      <c r="L67" s="626" t="s">
        <v>404</v>
      </c>
      <c r="M67" s="625">
        <v>13441936</v>
      </c>
      <c r="N67" s="625">
        <v>95187</v>
      </c>
      <c r="O67" s="625">
        <v>187416</v>
      </c>
      <c r="P67" s="625">
        <v>142117</v>
      </c>
      <c r="Q67" s="625">
        <v>12385085</v>
      </c>
      <c r="R67" s="625">
        <v>632131</v>
      </c>
      <c r="S67" s="413" t="s">
        <v>505</v>
      </c>
      <c r="T67" s="621"/>
      <c r="U67" s="621"/>
    </row>
    <row r="68" spans="3:21" s="616" customFormat="1" ht="20.25" customHeight="1" x14ac:dyDescent="0.2">
      <c r="L68" s="626" t="s">
        <v>403</v>
      </c>
      <c r="M68" s="625">
        <v>11768509</v>
      </c>
      <c r="N68" s="625" t="s">
        <v>648</v>
      </c>
      <c r="O68" s="625">
        <v>166004</v>
      </c>
      <c r="P68" s="625">
        <v>39839</v>
      </c>
      <c r="Q68" s="625">
        <v>10935060</v>
      </c>
      <c r="R68" s="625">
        <v>627606</v>
      </c>
      <c r="S68" s="413" t="s">
        <v>506</v>
      </c>
      <c r="T68" s="621"/>
      <c r="U68" s="621"/>
    </row>
    <row r="69" spans="3:21" s="616" customFormat="1" ht="20.25" customHeight="1" x14ac:dyDescent="0.2">
      <c r="L69" s="626" t="s">
        <v>402</v>
      </c>
      <c r="M69" s="625">
        <v>11601339</v>
      </c>
      <c r="N69" s="625" t="s">
        <v>648</v>
      </c>
      <c r="O69" s="625" t="s">
        <v>648</v>
      </c>
      <c r="P69" s="625">
        <v>383447</v>
      </c>
      <c r="Q69" s="625">
        <v>10873674</v>
      </c>
      <c r="R69" s="625">
        <v>344218</v>
      </c>
      <c r="S69" s="413" t="s">
        <v>507</v>
      </c>
      <c r="T69" s="621"/>
      <c r="U69" s="621"/>
    </row>
    <row r="70" spans="3:21" s="616" customFormat="1" ht="20.25" customHeight="1" x14ac:dyDescent="0.2">
      <c r="L70" s="626" t="s">
        <v>401</v>
      </c>
      <c r="M70" s="625">
        <v>13385055</v>
      </c>
      <c r="N70" s="625">
        <v>10</v>
      </c>
      <c r="O70" s="625">
        <v>60</v>
      </c>
      <c r="P70" s="625">
        <v>305759</v>
      </c>
      <c r="Q70" s="625">
        <v>12333690</v>
      </c>
      <c r="R70" s="625">
        <v>745536</v>
      </c>
      <c r="S70" s="413" t="s">
        <v>508</v>
      </c>
      <c r="T70" s="621"/>
      <c r="U70" s="621"/>
    </row>
    <row r="71" spans="3:21" s="616" customFormat="1" ht="20.25" customHeight="1" x14ac:dyDescent="0.2">
      <c r="L71" s="626" t="s">
        <v>400</v>
      </c>
      <c r="M71" s="625">
        <v>14632853</v>
      </c>
      <c r="N71" s="625">
        <v>111761</v>
      </c>
      <c r="O71" s="625" t="s">
        <v>648</v>
      </c>
      <c r="P71" s="625">
        <v>292080</v>
      </c>
      <c r="Q71" s="625">
        <v>13553715</v>
      </c>
      <c r="R71" s="625">
        <v>675297</v>
      </c>
      <c r="S71" s="413" t="s">
        <v>509</v>
      </c>
      <c r="T71" s="621"/>
      <c r="U71" s="621"/>
    </row>
    <row r="72" spans="3:21" s="616" customFormat="1" ht="20.25" customHeight="1" x14ac:dyDescent="0.2">
      <c r="L72" s="626" t="s">
        <v>1317</v>
      </c>
      <c r="M72" s="625">
        <v>13384115</v>
      </c>
      <c r="N72" s="625" t="s">
        <v>648</v>
      </c>
      <c r="O72" s="625" t="s">
        <v>648</v>
      </c>
      <c r="P72" s="625">
        <v>532138</v>
      </c>
      <c r="Q72" s="625">
        <v>12488420</v>
      </c>
      <c r="R72" s="625">
        <v>363557</v>
      </c>
      <c r="S72" s="627" t="s">
        <v>1318</v>
      </c>
      <c r="T72" s="621"/>
      <c r="U72" s="621"/>
    </row>
    <row r="73" spans="3:21" s="616" customFormat="1" ht="20.25" customHeight="1" x14ac:dyDescent="0.2">
      <c r="L73" s="626" t="s">
        <v>399</v>
      </c>
      <c r="M73" s="625">
        <v>12463351</v>
      </c>
      <c r="N73" s="625">
        <v>172335</v>
      </c>
      <c r="O73" s="625" t="s">
        <v>648</v>
      </c>
      <c r="P73" s="625">
        <v>506665</v>
      </c>
      <c r="Q73" s="625">
        <v>11409996</v>
      </c>
      <c r="R73" s="625">
        <v>374355</v>
      </c>
      <c r="S73" s="413" t="s">
        <v>500</v>
      </c>
      <c r="T73" s="621"/>
      <c r="U73" s="621"/>
    </row>
    <row r="74" spans="3:21" s="616" customFormat="1" ht="20.25" customHeight="1" x14ac:dyDescent="0.2">
      <c r="L74" s="624" t="s">
        <v>398</v>
      </c>
      <c r="M74" s="623">
        <v>14151964</v>
      </c>
      <c r="N74" s="623">
        <v>57227</v>
      </c>
      <c r="O74" s="623">
        <v>312924</v>
      </c>
      <c r="P74" s="623">
        <v>335021</v>
      </c>
      <c r="Q74" s="623">
        <v>13011668</v>
      </c>
      <c r="R74" s="623">
        <v>435124</v>
      </c>
      <c r="S74" s="622" t="s">
        <v>539</v>
      </c>
      <c r="T74" s="621"/>
      <c r="U74" s="621"/>
    </row>
    <row r="75" spans="3:21" s="616" customFormat="1" ht="18" customHeight="1" x14ac:dyDescent="0.2">
      <c r="L75" s="620" t="s">
        <v>397</v>
      </c>
      <c r="M75" s="619"/>
      <c r="N75" s="619"/>
      <c r="O75" s="619"/>
      <c r="P75" s="619"/>
      <c r="Q75" s="619"/>
      <c r="R75" s="619"/>
      <c r="S75" s="619"/>
    </row>
    <row r="76" spans="3:21" s="616" customFormat="1" ht="18" customHeight="1" x14ac:dyDescent="0.2">
      <c r="L76" s="946" t="s">
        <v>540</v>
      </c>
      <c r="M76" s="618"/>
      <c r="N76" s="617"/>
      <c r="P76" s="617"/>
      <c r="Q76" s="617"/>
    </row>
    <row r="77" spans="3:21" x14ac:dyDescent="0.2">
      <c r="C77" s="615"/>
      <c r="D77" s="615"/>
      <c r="E77" s="615"/>
      <c r="F77" s="615"/>
      <c r="G77" s="615"/>
      <c r="H77" s="615"/>
      <c r="I77" s="615"/>
      <c r="M77" s="240"/>
      <c r="N77" s="240"/>
      <c r="O77" s="240"/>
      <c r="P77" s="240"/>
      <c r="Q77" s="240"/>
      <c r="R77" s="240"/>
      <c r="S77" s="240"/>
    </row>
    <row r="78" spans="3:21" x14ac:dyDescent="0.2">
      <c r="C78" s="615"/>
      <c r="E78" s="615"/>
      <c r="F78" s="615"/>
      <c r="G78" s="615"/>
      <c r="H78" s="615"/>
      <c r="I78" s="615"/>
    </row>
    <row r="79" spans="3:21" x14ac:dyDescent="0.2">
      <c r="C79" s="615"/>
    </row>
  </sheetData>
  <mergeCells count="7">
    <mergeCell ref="S43:S44"/>
    <mergeCell ref="A4:A6"/>
    <mergeCell ref="B4:E4"/>
    <mergeCell ref="I4:I5"/>
    <mergeCell ref="J4:J5"/>
    <mergeCell ref="K4:K6"/>
    <mergeCell ref="L43:L44"/>
  </mergeCells>
  <phoneticPr fontId="30"/>
  <pageMargins left="0.59055118110236227" right="0.59055118110236227" top="0.59055118110236227" bottom="0.59055118110236227" header="0.51181102362204722" footer="0.51181102362204722"/>
  <pageSetup paperSize="9" scale="88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5"/>
  <sheetViews>
    <sheetView view="pageBreakPreview" zoomScaleNormal="100" zoomScaleSheetLayoutView="100" workbookViewId="0"/>
  </sheetViews>
  <sheetFormatPr defaultColWidth="8.90625" defaultRowHeight="12" x14ac:dyDescent="0.2"/>
  <cols>
    <col min="1" max="1" width="8.90625" style="25" customWidth="1"/>
    <col min="2" max="2" width="13.26953125" style="25" customWidth="1"/>
    <col min="3" max="3" width="9.26953125" style="25" customWidth="1"/>
    <col min="4" max="4" width="5.6328125" style="25" customWidth="1"/>
    <col min="5" max="6" width="9.08984375" style="25" customWidth="1"/>
    <col min="7" max="7" width="7.08984375" style="25" customWidth="1"/>
    <col min="8" max="9" width="5.6328125" style="25" customWidth="1"/>
    <col min="10" max="10" width="1" style="25" customWidth="1"/>
    <col min="11" max="11" width="21.08984375" style="25" customWidth="1"/>
    <col min="12" max="12" width="4.08984375" style="25" customWidth="1"/>
    <col min="13" max="13" width="8.90625" style="25" customWidth="1"/>
    <col min="14" max="14" width="19.7265625" style="25" bestFit="1" customWidth="1"/>
    <col min="15" max="15" width="9.26953125" style="25" bestFit="1" customWidth="1"/>
    <col min="16" max="16" width="11.6328125" style="25" bestFit="1" customWidth="1"/>
    <col min="17" max="17" width="11.453125" style="25" bestFit="1" customWidth="1"/>
    <col min="18" max="18" width="14.26953125" style="25" bestFit="1" customWidth="1"/>
    <col min="19" max="19" width="14.453125" style="25" bestFit="1" customWidth="1"/>
    <col min="20" max="20" width="9.36328125" style="25" bestFit="1" customWidth="1"/>
    <col min="21" max="21" width="11.6328125" style="25" bestFit="1" customWidth="1"/>
    <col min="22" max="23" width="8.90625" style="25" customWidth="1"/>
    <col min="24" max="24" width="14.6328125" style="25" customWidth="1"/>
    <col min="25" max="16384" width="8.90625" style="25"/>
  </cols>
  <sheetData>
    <row r="1" spans="1:14" s="644" customFormat="1" ht="20.149999999999999" customHeight="1" x14ac:dyDescent="0.2">
      <c r="A1" s="645" t="s">
        <v>1320</v>
      </c>
      <c r="B1" s="25"/>
      <c r="C1" s="302"/>
      <c r="D1" s="302"/>
      <c r="E1" s="302"/>
      <c r="F1" s="302"/>
    </row>
    <row r="2" spans="1:14" s="644" customFormat="1" ht="20.149999999999999" customHeight="1" x14ac:dyDescent="0.2">
      <c r="A2" s="645" t="s">
        <v>1321</v>
      </c>
      <c r="B2" s="25"/>
      <c r="C2" s="302"/>
      <c r="D2" s="302"/>
      <c r="E2" s="302"/>
      <c r="F2" s="302"/>
    </row>
    <row r="3" spans="1:14" s="616" customFormat="1" ht="28.15" customHeight="1" x14ac:dyDescent="0.2">
      <c r="A3" s="933"/>
      <c r="B3" s="345" t="s">
        <v>429</v>
      </c>
      <c r="C3" s="1176" t="s">
        <v>1322</v>
      </c>
      <c r="D3" s="1177"/>
      <c r="E3" s="1177"/>
      <c r="F3" s="1177"/>
      <c r="G3" s="1178"/>
      <c r="H3" s="666" t="s">
        <v>1323</v>
      </c>
      <c r="I3" s="666" t="s">
        <v>1324</v>
      </c>
      <c r="J3" s="1179" t="s">
        <v>1325</v>
      </c>
      <c r="K3" s="1180"/>
    </row>
    <row r="4" spans="1:14" s="616" customFormat="1" ht="28.15" customHeight="1" x14ac:dyDescent="0.2">
      <c r="A4" s="943"/>
      <c r="B4" s="916"/>
      <c r="C4" s="714" t="s">
        <v>61</v>
      </c>
      <c r="D4" s="719" t="s">
        <v>718</v>
      </c>
      <c r="E4" s="718" t="s">
        <v>1326</v>
      </c>
      <c r="F4" s="718" t="s">
        <v>1327</v>
      </c>
      <c r="G4" s="717" t="s">
        <v>1328</v>
      </c>
      <c r="H4" s="716" t="s">
        <v>656</v>
      </c>
      <c r="I4" s="715" t="s">
        <v>1329</v>
      </c>
      <c r="J4" s="1181"/>
      <c r="K4" s="1182"/>
    </row>
    <row r="5" spans="1:14" s="616" customFormat="1" ht="28.15" customHeight="1" x14ac:dyDescent="0.2">
      <c r="A5" s="940" t="s">
        <v>430</v>
      </c>
      <c r="B5" s="941"/>
      <c r="C5" s="714" t="s">
        <v>60</v>
      </c>
      <c r="D5" s="713" t="s">
        <v>657</v>
      </c>
      <c r="E5" s="712" t="s">
        <v>1330</v>
      </c>
      <c r="F5" s="711" t="s">
        <v>1331</v>
      </c>
      <c r="G5" s="710" t="s">
        <v>658</v>
      </c>
      <c r="H5" s="709" t="s">
        <v>719</v>
      </c>
      <c r="I5" s="709" t="s">
        <v>1332</v>
      </c>
      <c r="J5" s="1183"/>
      <c r="K5" s="1184"/>
    </row>
    <row r="6" spans="1:14" s="616" customFormat="1" ht="9.75" customHeight="1" x14ac:dyDescent="0.2">
      <c r="A6" s="933"/>
      <c r="B6" s="934"/>
      <c r="C6" s="708"/>
      <c r="D6" s="707"/>
      <c r="E6" s="706"/>
      <c r="F6" s="705"/>
      <c r="G6" s="687"/>
      <c r="H6" s="687"/>
      <c r="I6" s="687"/>
      <c r="J6" s="686"/>
      <c r="K6" s="362"/>
    </row>
    <row r="7" spans="1:14" s="616" customFormat="1" ht="20.25" customHeight="1" x14ac:dyDescent="0.2">
      <c r="A7" s="704" t="s">
        <v>435</v>
      </c>
      <c r="B7" s="685"/>
      <c r="C7" s="625">
        <v>144662684</v>
      </c>
      <c r="D7" s="703">
        <v>100</v>
      </c>
      <c r="E7" s="625">
        <v>93325278</v>
      </c>
      <c r="F7" s="625">
        <v>51337406</v>
      </c>
      <c r="G7" s="724">
        <v>35.479999999999997</v>
      </c>
      <c r="H7" s="696">
        <v>35.97</v>
      </c>
      <c r="I7" s="696">
        <v>1.48</v>
      </c>
      <c r="J7" s="684" t="s">
        <v>60</v>
      </c>
      <c r="K7" s="362"/>
      <c r="M7" s="621"/>
      <c r="N7" s="621"/>
    </row>
    <row r="8" spans="1:14" s="616" customFormat="1" ht="18" customHeight="1" x14ac:dyDescent="0.2">
      <c r="A8" s="1172"/>
      <c r="B8" s="1173"/>
      <c r="C8" s="625"/>
      <c r="D8" s="703"/>
      <c r="E8" s="625"/>
      <c r="F8" s="625"/>
      <c r="G8" s="724"/>
      <c r="H8" s="696"/>
      <c r="I8" s="696"/>
      <c r="J8" s="684"/>
      <c r="K8" s="362"/>
      <c r="N8" s="723"/>
    </row>
    <row r="9" spans="1:14" s="616" customFormat="1" ht="18" customHeight="1" x14ac:dyDescent="0.2">
      <c r="A9" s="1172" t="s">
        <v>462</v>
      </c>
      <c r="B9" s="1173"/>
      <c r="C9" s="625">
        <v>2050509</v>
      </c>
      <c r="D9" s="703">
        <v>1.41</v>
      </c>
      <c r="E9" s="625" t="s">
        <v>426</v>
      </c>
      <c r="F9" s="625" t="s">
        <v>426</v>
      </c>
      <c r="G9" s="724" t="s">
        <v>426</v>
      </c>
      <c r="H9" s="696">
        <v>28.78</v>
      </c>
      <c r="I9" s="696">
        <v>2.57</v>
      </c>
      <c r="J9" s="684"/>
      <c r="K9" s="362" t="s">
        <v>463</v>
      </c>
      <c r="N9" s="723"/>
    </row>
    <row r="10" spans="1:14" s="616" customFormat="1" ht="18" customHeight="1" x14ac:dyDescent="0.2">
      <c r="A10" s="1172" t="s">
        <v>29</v>
      </c>
      <c r="B10" s="1173"/>
      <c r="C10" s="625">
        <v>56525615</v>
      </c>
      <c r="D10" s="703">
        <v>39.07</v>
      </c>
      <c r="E10" s="625">
        <v>52001367</v>
      </c>
      <c r="F10" s="625">
        <v>4524248</v>
      </c>
      <c r="G10" s="724">
        <v>8</v>
      </c>
      <c r="H10" s="696">
        <v>35.39</v>
      </c>
      <c r="I10" s="696">
        <v>1.7</v>
      </c>
      <c r="J10" s="684"/>
      <c r="K10" s="362" t="s">
        <v>35</v>
      </c>
      <c r="N10" s="723"/>
    </row>
    <row r="11" spans="1:14" s="616" customFormat="1" ht="18" customHeight="1" x14ac:dyDescent="0.2">
      <c r="A11" s="1172" t="s">
        <v>30</v>
      </c>
      <c r="B11" s="1173"/>
      <c r="C11" s="625">
        <v>12105867</v>
      </c>
      <c r="D11" s="703">
        <v>8.36</v>
      </c>
      <c r="E11" s="625" t="s">
        <v>426</v>
      </c>
      <c r="F11" s="625" t="s">
        <v>426</v>
      </c>
      <c r="G11" s="724" t="s">
        <v>426</v>
      </c>
      <c r="H11" s="696">
        <v>31.11</v>
      </c>
      <c r="I11" s="696">
        <v>2.5499999999999998</v>
      </c>
      <c r="J11" s="684"/>
      <c r="K11" s="362" t="s">
        <v>36</v>
      </c>
      <c r="N11" s="723"/>
    </row>
    <row r="12" spans="1:14" s="616" customFormat="1" ht="18" customHeight="1" x14ac:dyDescent="0.2">
      <c r="A12" s="1172" t="s">
        <v>31</v>
      </c>
      <c r="B12" s="1173"/>
      <c r="C12" s="625">
        <v>11301078</v>
      </c>
      <c r="D12" s="703">
        <v>7.81</v>
      </c>
      <c r="E12" s="625">
        <v>4135174</v>
      </c>
      <c r="F12" s="625">
        <v>7165904</v>
      </c>
      <c r="G12" s="724">
        <v>63.4</v>
      </c>
      <c r="H12" s="696">
        <v>36.26</v>
      </c>
      <c r="I12" s="696">
        <v>1.68</v>
      </c>
      <c r="J12" s="684"/>
      <c r="K12" s="362" t="s">
        <v>37</v>
      </c>
      <c r="N12" s="723"/>
    </row>
    <row r="13" spans="1:14" s="616" customFormat="1" ht="18" customHeight="1" x14ac:dyDescent="0.2">
      <c r="A13" s="1172" t="s">
        <v>63</v>
      </c>
      <c r="B13" s="1173"/>
      <c r="C13" s="625">
        <v>50636882</v>
      </c>
      <c r="D13" s="703">
        <v>35</v>
      </c>
      <c r="E13" s="625">
        <v>21979226</v>
      </c>
      <c r="F13" s="625">
        <v>28657656</v>
      </c>
      <c r="G13" s="724">
        <v>56.59</v>
      </c>
      <c r="H13" s="696">
        <v>38.92</v>
      </c>
      <c r="I13" s="696">
        <v>1.03</v>
      </c>
      <c r="J13" s="684"/>
      <c r="K13" s="362" t="s">
        <v>69</v>
      </c>
      <c r="N13" s="723"/>
    </row>
    <row r="14" spans="1:14" s="616" customFormat="1" ht="18" customHeight="1" x14ac:dyDescent="0.2">
      <c r="A14" s="1172" t="s">
        <v>34</v>
      </c>
      <c r="B14" s="1173"/>
      <c r="C14" s="625">
        <v>5183031</v>
      </c>
      <c r="D14" s="703">
        <v>3.58</v>
      </c>
      <c r="E14" s="625" t="s">
        <v>426</v>
      </c>
      <c r="F14" s="625" t="s">
        <v>426</v>
      </c>
      <c r="G14" s="724" t="s">
        <v>426</v>
      </c>
      <c r="H14" s="696">
        <v>35.82</v>
      </c>
      <c r="I14" s="696">
        <v>0.43</v>
      </c>
      <c r="J14" s="684"/>
      <c r="K14" s="362" t="s">
        <v>70</v>
      </c>
      <c r="N14" s="723"/>
    </row>
    <row r="15" spans="1:14" s="616" customFormat="1" ht="18" customHeight="1" x14ac:dyDescent="0.2">
      <c r="A15" s="1172" t="s">
        <v>78</v>
      </c>
      <c r="B15" s="1173"/>
      <c r="C15" s="625">
        <v>469328</v>
      </c>
      <c r="D15" s="703">
        <v>0.32</v>
      </c>
      <c r="E15" s="625" t="s">
        <v>426</v>
      </c>
      <c r="F15" s="625" t="s">
        <v>426</v>
      </c>
      <c r="G15" s="724" t="s">
        <v>426</v>
      </c>
      <c r="H15" s="696">
        <v>39.799999999999997</v>
      </c>
      <c r="I15" s="696">
        <v>0.84</v>
      </c>
      <c r="J15" s="684"/>
      <c r="K15" s="362" t="s">
        <v>68</v>
      </c>
      <c r="N15" s="723"/>
    </row>
    <row r="16" spans="1:14" s="616" customFormat="1" ht="18" customHeight="1" x14ac:dyDescent="0.2">
      <c r="A16" s="1172" t="s">
        <v>15</v>
      </c>
      <c r="B16" s="1173"/>
      <c r="C16" s="625">
        <v>2329652</v>
      </c>
      <c r="D16" s="703">
        <v>1.61</v>
      </c>
      <c r="E16" s="625" t="s">
        <v>648</v>
      </c>
      <c r="F16" s="625">
        <v>2329652</v>
      </c>
      <c r="G16" s="724">
        <v>100</v>
      </c>
      <c r="H16" s="696">
        <v>17.43</v>
      </c>
      <c r="I16" s="696">
        <v>2.1</v>
      </c>
      <c r="J16" s="684"/>
      <c r="K16" s="362" t="s">
        <v>24</v>
      </c>
      <c r="N16" s="723"/>
    </row>
    <row r="17" spans="1:14" s="616" customFormat="1" ht="18" customHeight="1" x14ac:dyDescent="0.2">
      <c r="A17" s="1172" t="s">
        <v>64</v>
      </c>
      <c r="B17" s="1173"/>
      <c r="C17" s="625">
        <v>259648</v>
      </c>
      <c r="D17" s="703">
        <v>0.17</v>
      </c>
      <c r="E17" s="625" t="s">
        <v>426</v>
      </c>
      <c r="F17" s="625" t="s">
        <v>426</v>
      </c>
      <c r="G17" s="724" t="s">
        <v>426</v>
      </c>
      <c r="H17" s="696">
        <v>27.6</v>
      </c>
      <c r="I17" s="696">
        <v>0.12</v>
      </c>
      <c r="J17" s="684"/>
      <c r="K17" s="362" t="s">
        <v>58</v>
      </c>
      <c r="N17" s="723"/>
    </row>
    <row r="18" spans="1:14" ht="18" customHeight="1" x14ac:dyDescent="0.2">
      <c r="A18" s="1174" t="s">
        <v>425</v>
      </c>
      <c r="B18" s="1175"/>
      <c r="C18" s="623">
        <v>3801074</v>
      </c>
      <c r="D18" s="702">
        <v>2.62</v>
      </c>
      <c r="E18" s="623">
        <v>997639</v>
      </c>
      <c r="F18" s="623">
        <v>2803435</v>
      </c>
      <c r="G18" s="722">
        <v>73.75</v>
      </c>
      <c r="H18" s="694">
        <v>35.61</v>
      </c>
      <c r="I18" s="694">
        <v>0.85</v>
      </c>
      <c r="J18" s="701"/>
      <c r="K18" s="681" t="s">
        <v>424</v>
      </c>
      <c r="M18" s="621"/>
      <c r="N18" s="621"/>
    </row>
    <row r="19" spans="1:14" s="616" customFormat="1" ht="18" customHeight="1" x14ac:dyDescent="0.2">
      <c r="A19" s="678" t="s">
        <v>423</v>
      </c>
      <c r="B19" s="677"/>
      <c r="C19" s="676"/>
      <c r="D19" s="676"/>
      <c r="E19" s="365"/>
      <c r="F19" s="365"/>
      <c r="G19" s="674"/>
      <c r="H19" s="673"/>
      <c r="I19" s="673"/>
      <c r="J19" s="672"/>
      <c r="K19" s="365"/>
      <c r="M19" s="621"/>
    </row>
    <row r="20" spans="1:14" s="616" customFormat="1" ht="18" customHeight="1" x14ac:dyDescent="0.2">
      <c r="A20" s="678" t="s">
        <v>434</v>
      </c>
      <c r="B20" s="677"/>
      <c r="C20" s="676"/>
      <c r="D20" s="676"/>
      <c r="E20" s="365"/>
      <c r="F20" s="365"/>
      <c r="G20" s="674"/>
      <c r="H20" s="673"/>
      <c r="I20" s="673"/>
      <c r="J20" s="672"/>
      <c r="K20" s="365"/>
      <c r="M20" s="621"/>
    </row>
    <row r="21" spans="1:14" s="616" customFormat="1" ht="18" customHeight="1" x14ac:dyDescent="0.2">
      <c r="A21" s="678" t="s">
        <v>1333</v>
      </c>
      <c r="B21" s="677"/>
      <c r="C21" s="676"/>
      <c r="D21" s="676"/>
      <c r="E21" s="365"/>
      <c r="F21" s="365"/>
      <c r="G21" s="674"/>
      <c r="H21" s="673"/>
      <c r="I21" s="673"/>
      <c r="J21" s="672"/>
      <c r="K21" s="365"/>
      <c r="M21" s="621"/>
    </row>
    <row r="22" spans="1:14" s="616" customFormat="1" ht="18" customHeight="1" x14ac:dyDescent="0.2">
      <c r="A22" s="946" t="s">
        <v>1334</v>
      </c>
      <c r="B22" s="549"/>
      <c r="C22" s="549"/>
      <c r="D22" s="549"/>
      <c r="E22" s="549"/>
      <c r="F22" s="549"/>
      <c r="G22" s="674"/>
      <c r="H22" s="673"/>
      <c r="I22" s="673"/>
      <c r="J22" s="672"/>
      <c r="K22" s="365"/>
      <c r="M22" s="621"/>
    </row>
    <row r="23" spans="1:14" s="616" customFormat="1" ht="18" customHeight="1" x14ac:dyDescent="0.2">
      <c r="A23" s="946" t="s">
        <v>1335</v>
      </c>
      <c r="B23" s="549"/>
      <c r="C23" s="549"/>
      <c r="D23" s="549"/>
      <c r="E23" s="549"/>
      <c r="F23" s="549"/>
      <c r="G23" s="674"/>
      <c r="H23" s="673"/>
      <c r="I23" s="673"/>
      <c r="J23" s="672"/>
      <c r="K23" s="365"/>
      <c r="M23" s="621"/>
    </row>
    <row r="24" spans="1:14" s="616" customFormat="1" ht="18" customHeight="1" x14ac:dyDescent="0.2">
      <c r="A24" s="946" t="s">
        <v>1336</v>
      </c>
      <c r="B24" s="549"/>
      <c r="C24" s="549"/>
      <c r="D24" s="549"/>
      <c r="E24" s="549"/>
      <c r="F24" s="549"/>
      <c r="G24" s="674"/>
      <c r="H24" s="673"/>
      <c r="I24" s="673"/>
      <c r="J24" s="672"/>
      <c r="K24" s="365"/>
      <c r="M24" s="621"/>
    </row>
    <row r="25" spans="1:14" s="616" customFormat="1" ht="18" customHeight="1" x14ac:dyDescent="0.2">
      <c r="A25" s="946" t="s">
        <v>1337</v>
      </c>
      <c r="B25" s="675"/>
      <c r="C25" s="675"/>
      <c r="D25" s="675"/>
      <c r="E25" s="675"/>
      <c r="F25" s="675"/>
      <c r="G25" s="674"/>
      <c r="H25" s="673"/>
      <c r="I25" s="673"/>
      <c r="J25" s="672"/>
      <c r="K25" s="365"/>
      <c r="M25" s="621"/>
    </row>
    <row r="26" spans="1:14" s="616" customFormat="1" ht="18" customHeight="1" x14ac:dyDescent="0.2">
      <c r="A26" s="675" t="s">
        <v>1338</v>
      </c>
      <c r="B26" s="675"/>
      <c r="C26" s="675"/>
      <c r="D26" s="675"/>
      <c r="E26" s="675"/>
      <c r="F26" s="675"/>
      <c r="G26" s="674"/>
      <c r="H26" s="673"/>
      <c r="I26" s="673"/>
      <c r="J26" s="672"/>
      <c r="K26" s="365"/>
      <c r="M26" s="621"/>
    </row>
    <row r="27" spans="1:14" s="616" customFormat="1" ht="18" customHeight="1" x14ac:dyDescent="0.2">
      <c r="A27" s="675" t="s">
        <v>1339</v>
      </c>
      <c r="B27" s="675"/>
      <c r="C27" s="675"/>
      <c r="D27" s="675"/>
      <c r="E27" s="675"/>
      <c r="F27" s="675"/>
      <c r="G27" s="675"/>
      <c r="H27" s="675"/>
      <c r="I27" s="675"/>
      <c r="J27" s="672"/>
      <c r="K27" s="365"/>
      <c r="M27" s="621"/>
    </row>
    <row r="28" spans="1:14" s="616" customFormat="1" ht="20.25" customHeight="1" x14ac:dyDescent="0.2">
      <c r="A28" s="721"/>
      <c r="B28" s="549"/>
      <c r="C28" s="549"/>
      <c r="D28" s="549"/>
      <c r="E28" s="549"/>
      <c r="F28" s="549"/>
      <c r="G28" s="549"/>
      <c r="H28" s="549"/>
      <c r="I28" s="549"/>
      <c r="J28" s="549"/>
      <c r="K28" s="549"/>
    </row>
    <row r="29" spans="1:14" s="644" customFormat="1" ht="19.5" customHeight="1" x14ac:dyDescent="0.2">
      <c r="A29" s="720" t="s">
        <v>1340</v>
      </c>
      <c r="B29" s="25"/>
      <c r="C29" s="690"/>
      <c r="D29" s="690"/>
      <c r="E29" s="690"/>
      <c r="F29" s="690"/>
      <c r="G29" s="690"/>
      <c r="H29" s="690"/>
      <c r="I29" s="690"/>
      <c r="J29" s="690"/>
      <c r="K29" s="690"/>
    </row>
    <row r="30" spans="1:14" s="644" customFormat="1" ht="19.5" customHeight="1" x14ac:dyDescent="0.2">
      <c r="A30" s="720" t="s">
        <v>1341</v>
      </c>
      <c r="B30" s="25"/>
      <c r="C30" s="690"/>
      <c r="D30" s="690"/>
      <c r="E30" s="690"/>
      <c r="F30" s="690"/>
      <c r="G30" s="690"/>
      <c r="H30" s="690"/>
      <c r="I30" s="690"/>
      <c r="J30" s="690"/>
      <c r="K30" s="690"/>
    </row>
    <row r="31" spans="1:14" s="616" customFormat="1" ht="27.75" customHeight="1" x14ac:dyDescent="0.2">
      <c r="A31" s="933"/>
      <c r="B31" s="345" t="s">
        <v>429</v>
      </c>
      <c r="C31" s="1176" t="s">
        <v>1342</v>
      </c>
      <c r="D31" s="1177"/>
      <c r="E31" s="1177"/>
      <c r="F31" s="1177"/>
      <c r="G31" s="1178"/>
      <c r="H31" s="666" t="s">
        <v>655</v>
      </c>
      <c r="I31" s="666" t="s">
        <v>1324</v>
      </c>
      <c r="J31" s="1179" t="s">
        <v>1325</v>
      </c>
      <c r="K31" s="1180"/>
    </row>
    <row r="32" spans="1:14" s="616" customFormat="1" ht="27.75" customHeight="1" x14ac:dyDescent="0.2">
      <c r="A32" s="943"/>
      <c r="B32" s="916"/>
      <c r="C32" s="714" t="s">
        <v>61</v>
      </c>
      <c r="D32" s="719" t="s">
        <v>1343</v>
      </c>
      <c r="E32" s="718" t="s">
        <v>1326</v>
      </c>
      <c r="F32" s="718" t="s">
        <v>528</v>
      </c>
      <c r="G32" s="717" t="s">
        <v>1328</v>
      </c>
      <c r="H32" s="716" t="s">
        <v>656</v>
      </c>
      <c r="I32" s="715" t="s">
        <v>1329</v>
      </c>
      <c r="J32" s="1181"/>
      <c r="K32" s="1182"/>
    </row>
    <row r="33" spans="1:14" s="616" customFormat="1" ht="27.75" customHeight="1" x14ac:dyDescent="0.2">
      <c r="A33" s="940" t="s">
        <v>430</v>
      </c>
      <c r="B33" s="941"/>
      <c r="C33" s="714" t="s">
        <v>60</v>
      </c>
      <c r="D33" s="713" t="s">
        <v>1344</v>
      </c>
      <c r="E33" s="712" t="s">
        <v>1330</v>
      </c>
      <c r="F33" s="711" t="s">
        <v>1331</v>
      </c>
      <c r="G33" s="710" t="s">
        <v>1345</v>
      </c>
      <c r="H33" s="709" t="s">
        <v>1346</v>
      </c>
      <c r="I33" s="709" t="s">
        <v>1332</v>
      </c>
      <c r="J33" s="1183"/>
      <c r="K33" s="1184"/>
    </row>
    <row r="34" spans="1:14" s="616" customFormat="1" ht="9.75" customHeight="1" x14ac:dyDescent="0.2">
      <c r="A34" s="933"/>
      <c r="B34" s="934"/>
      <c r="C34" s="708"/>
      <c r="D34" s="707"/>
      <c r="E34" s="706"/>
      <c r="F34" s="705"/>
      <c r="G34" s="687"/>
      <c r="H34" s="687"/>
      <c r="I34" s="687"/>
      <c r="J34" s="686"/>
      <c r="K34" s="362"/>
    </row>
    <row r="35" spans="1:14" s="616" customFormat="1" ht="20.25" customHeight="1" x14ac:dyDescent="0.2">
      <c r="A35" s="704" t="s">
        <v>435</v>
      </c>
      <c r="B35" s="685"/>
      <c r="C35" s="625">
        <v>148903593</v>
      </c>
      <c r="D35" s="703">
        <v>100</v>
      </c>
      <c r="E35" s="625">
        <v>93953603</v>
      </c>
      <c r="F35" s="625">
        <v>54949990</v>
      </c>
      <c r="G35" s="703">
        <v>36.9</v>
      </c>
      <c r="H35" s="696">
        <v>35.92</v>
      </c>
      <c r="I35" s="696">
        <v>1.48</v>
      </c>
      <c r="J35" s="684" t="s">
        <v>60</v>
      </c>
      <c r="K35" s="362"/>
      <c r="M35" s="621"/>
      <c r="N35" s="621"/>
    </row>
    <row r="36" spans="1:14" s="616" customFormat="1" ht="18" customHeight="1" x14ac:dyDescent="0.2">
      <c r="A36" s="1185"/>
      <c r="B36" s="1186"/>
      <c r="C36" s="625"/>
      <c r="D36" s="703"/>
      <c r="E36" s="625"/>
      <c r="F36" s="625"/>
      <c r="G36" s="703"/>
      <c r="H36" s="696"/>
      <c r="I36" s="696"/>
      <c r="J36" s="672"/>
      <c r="K36" s="683"/>
      <c r="M36" s="621"/>
      <c r="N36" s="621"/>
    </row>
    <row r="37" spans="1:14" s="616" customFormat="1" ht="18" customHeight="1" x14ac:dyDescent="0.2">
      <c r="A37" s="1185" t="s">
        <v>462</v>
      </c>
      <c r="B37" s="1186"/>
      <c r="C37" s="625">
        <v>2184776</v>
      </c>
      <c r="D37" s="703">
        <v>1.46</v>
      </c>
      <c r="E37" s="625" t="s">
        <v>648</v>
      </c>
      <c r="F37" s="625">
        <v>2184776</v>
      </c>
      <c r="G37" s="703">
        <v>100</v>
      </c>
      <c r="H37" s="696">
        <v>28.92</v>
      </c>
      <c r="I37" s="696">
        <v>2.6</v>
      </c>
      <c r="J37" s="672"/>
      <c r="K37" s="683" t="s">
        <v>463</v>
      </c>
      <c r="M37" s="621"/>
      <c r="N37" s="621"/>
    </row>
    <row r="38" spans="1:14" s="616" customFormat="1" ht="18" customHeight="1" x14ac:dyDescent="0.2">
      <c r="A38" s="1185" t="s">
        <v>29</v>
      </c>
      <c r="B38" s="1186"/>
      <c r="C38" s="625">
        <v>55593521</v>
      </c>
      <c r="D38" s="703">
        <v>37.33</v>
      </c>
      <c r="E38" s="625">
        <v>50928199</v>
      </c>
      <c r="F38" s="625">
        <v>4665322</v>
      </c>
      <c r="G38" s="703">
        <v>8.39</v>
      </c>
      <c r="H38" s="696">
        <v>35.29</v>
      </c>
      <c r="I38" s="696">
        <v>1.73</v>
      </c>
      <c r="J38" s="672"/>
      <c r="K38" s="683" t="s">
        <v>35</v>
      </c>
      <c r="M38" s="621"/>
      <c r="N38" s="621"/>
    </row>
    <row r="39" spans="1:14" s="616" customFormat="1" ht="18" customHeight="1" x14ac:dyDescent="0.2">
      <c r="A39" s="1185" t="s">
        <v>30</v>
      </c>
      <c r="B39" s="1186"/>
      <c r="C39" s="625">
        <v>12512645</v>
      </c>
      <c r="D39" s="703">
        <v>8.4</v>
      </c>
      <c r="E39" s="625" t="s">
        <v>426</v>
      </c>
      <c r="F39" s="625" t="s">
        <v>426</v>
      </c>
      <c r="G39" s="703" t="s">
        <v>426</v>
      </c>
      <c r="H39" s="696">
        <v>31.16</v>
      </c>
      <c r="I39" s="696">
        <v>2.5499999999999998</v>
      </c>
      <c r="J39" s="672"/>
      <c r="K39" s="683" t="s">
        <v>36</v>
      </c>
      <c r="M39" s="621"/>
      <c r="N39" s="621"/>
    </row>
    <row r="40" spans="1:14" s="616" customFormat="1" ht="18" customHeight="1" x14ac:dyDescent="0.2">
      <c r="A40" s="1185" t="s">
        <v>31</v>
      </c>
      <c r="B40" s="1186"/>
      <c r="C40" s="625">
        <v>11599693</v>
      </c>
      <c r="D40" s="703">
        <v>7.79</v>
      </c>
      <c r="E40" s="625">
        <v>4337381</v>
      </c>
      <c r="F40" s="625">
        <v>7262312</v>
      </c>
      <c r="G40" s="703">
        <v>62.6</v>
      </c>
      <c r="H40" s="696">
        <v>35.19</v>
      </c>
      <c r="I40" s="696">
        <v>1.73</v>
      </c>
      <c r="J40" s="672"/>
      <c r="K40" s="683" t="s">
        <v>37</v>
      </c>
      <c r="M40" s="621"/>
      <c r="N40" s="621"/>
    </row>
    <row r="41" spans="1:14" s="616" customFormat="1" ht="18" customHeight="1" x14ac:dyDescent="0.2">
      <c r="A41" s="1185" t="s">
        <v>63</v>
      </c>
      <c r="B41" s="1186"/>
      <c r="C41" s="625">
        <v>54255838</v>
      </c>
      <c r="D41" s="703">
        <v>36.43</v>
      </c>
      <c r="E41" s="625">
        <v>23457781</v>
      </c>
      <c r="F41" s="625">
        <v>30798057</v>
      </c>
      <c r="G41" s="703">
        <v>56.76</v>
      </c>
      <c r="H41" s="696">
        <v>38.93</v>
      </c>
      <c r="I41" s="696">
        <v>1.03</v>
      </c>
      <c r="J41" s="672"/>
      <c r="K41" s="683" t="s">
        <v>69</v>
      </c>
      <c r="M41" s="621"/>
      <c r="N41" s="621"/>
    </row>
    <row r="42" spans="1:14" s="616" customFormat="1" ht="18" customHeight="1" x14ac:dyDescent="0.2">
      <c r="A42" s="1185" t="s">
        <v>34</v>
      </c>
      <c r="B42" s="1186"/>
      <c r="C42" s="625">
        <v>5423596</v>
      </c>
      <c r="D42" s="703">
        <v>3.64</v>
      </c>
      <c r="E42" s="625" t="s">
        <v>426</v>
      </c>
      <c r="F42" s="625" t="s">
        <v>426</v>
      </c>
      <c r="G42" s="703" t="s">
        <v>426</v>
      </c>
      <c r="H42" s="696">
        <v>35.840000000000003</v>
      </c>
      <c r="I42" s="696">
        <v>0.44</v>
      </c>
      <c r="J42" s="672"/>
      <c r="K42" s="683" t="s">
        <v>70</v>
      </c>
      <c r="M42" s="621"/>
      <c r="N42" s="621"/>
    </row>
    <row r="43" spans="1:14" s="616" customFormat="1" ht="18" customHeight="1" x14ac:dyDescent="0.2">
      <c r="A43" s="1185" t="s">
        <v>15</v>
      </c>
      <c r="B43" s="1186"/>
      <c r="C43" s="625">
        <v>2393208</v>
      </c>
      <c r="D43" s="703">
        <v>1.6</v>
      </c>
      <c r="E43" s="625" t="s">
        <v>648</v>
      </c>
      <c r="F43" s="625">
        <v>2393208</v>
      </c>
      <c r="G43" s="703">
        <v>100</v>
      </c>
      <c r="H43" s="696">
        <v>17.760000000000002</v>
      </c>
      <c r="I43" s="696">
        <v>2.0699999999999998</v>
      </c>
      <c r="J43" s="672"/>
      <c r="K43" s="683" t="s">
        <v>24</v>
      </c>
      <c r="M43" s="621"/>
      <c r="N43" s="621"/>
    </row>
    <row r="44" spans="1:14" s="616" customFormat="1" ht="18" customHeight="1" x14ac:dyDescent="0.2">
      <c r="A44" s="1185" t="s">
        <v>64</v>
      </c>
      <c r="B44" s="1186"/>
      <c r="C44" s="625">
        <v>331954</v>
      </c>
      <c r="D44" s="703">
        <v>0.22</v>
      </c>
      <c r="E44" s="625" t="s">
        <v>426</v>
      </c>
      <c r="F44" s="625" t="s">
        <v>426</v>
      </c>
      <c r="G44" s="703" t="s">
        <v>426</v>
      </c>
      <c r="H44" s="696">
        <v>25.43</v>
      </c>
      <c r="I44" s="696">
        <v>0.16</v>
      </c>
      <c r="J44" s="672"/>
      <c r="K44" s="683" t="s">
        <v>58</v>
      </c>
      <c r="M44" s="621"/>
      <c r="N44" s="621"/>
    </row>
    <row r="45" spans="1:14" ht="18" customHeight="1" x14ac:dyDescent="0.2">
      <c r="A45" s="1174" t="s">
        <v>425</v>
      </c>
      <c r="B45" s="1175"/>
      <c r="C45" s="623">
        <v>4608362</v>
      </c>
      <c r="D45" s="702">
        <v>3.09</v>
      </c>
      <c r="E45" s="623">
        <v>953399</v>
      </c>
      <c r="F45" s="623">
        <v>3654963</v>
      </c>
      <c r="G45" s="702">
        <v>79.31</v>
      </c>
      <c r="H45" s="694">
        <v>36.35</v>
      </c>
      <c r="I45" s="694">
        <v>0.85</v>
      </c>
      <c r="J45" s="701"/>
      <c r="K45" s="681" t="s">
        <v>424</v>
      </c>
    </row>
    <row r="46" spans="1:14" ht="18" customHeight="1" x14ac:dyDescent="0.2">
      <c r="A46" s="678" t="s">
        <v>423</v>
      </c>
      <c r="B46" s="677"/>
      <c r="C46" s="676"/>
      <c r="D46" s="676"/>
      <c r="E46" s="365"/>
      <c r="F46" s="365"/>
      <c r="G46" s="674"/>
      <c r="H46" s="673"/>
      <c r="I46" s="673"/>
      <c r="J46" s="672"/>
      <c r="K46" s="365"/>
    </row>
    <row r="47" spans="1:14" ht="18" customHeight="1" x14ac:dyDescent="0.2">
      <c r="A47" s="678" t="s">
        <v>434</v>
      </c>
      <c r="B47" s="677"/>
      <c r="C47" s="676"/>
      <c r="D47" s="676"/>
      <c r="E47" s="365"/>
      <c r="F47" s="365"/>
      <c r="G47" s="674"/>
      <c r="H47" s="673"/>
      <c r="I47" s="673"/>
      <c r="J47" s="672"/>
      <c r="K47" s="365"/>
    </row>
    <row r="48" spans="1:14" ht="18" customHeight="1" x14ac:dyDescent="0.2">
      <c r="A48" s="678" t="s">
        <v>1347</v>
      </c>
      <c r="B48" s="677"/>
      <c r="C48" s="676"/>
      <c r="D48" s="676"/>
      <c r="E48" s="365"/>
      <c r="F48" s="365"/>
      <c r="G48" s="674"/>
      <c r="H48" s="673"/>
      <c r="I48" s="673"/>
      <c r="J48" s="672"/>
      <c r="K48" s="365"/>
    </row>
    <row r="49" spans="1:18" ht="18" customHeight="1" x14ac:dyDescent="0.2">
      <c r="A49" s="946" t="s">
        <v>1348</v>
      </c>
      <c r="B49" s="549"/>
      <c r="C49" s="549"/>
      <c r="D49" s="549"/>
      <c r="E49" s="549"/>
      <c r="F49" s="549"/>
      <c r="G49" s="674"/>
      <c r="H49" s="673"/>
      <c r="I49" s="673"/>
      <c r="J49" s="672"/>
      <c r="K49" s="365"/>
    </row>
    <row r="50" spans="1:18" ht="18" customHeight="1" x14ac:dyDescent="0.2">
      <c r="A50" s="946" t="s">
        <v>1335</v>
      </c>
      <c r="B50" s="549"/>
      <c r="C50" s="549"/>
      <c r="D50" s="549"/>
      <c r="E50" s="549"/>
      <c r="F50" s="549"/>
      <c r="G50" s="674"/>
      <c r="H50" s="673"/>
      <c r="I50" s="673"/>
      <c r="J50" s="672"/>
      <c r="K50" s="365"/>
    </row>
    <row r="51" spans="1:18" ht="18" customHeight="1" x14ac:dyDescent="0.2">
      <c r="A51" s="946" t="s">
        <v>1336</v>
      </c>
      <c r="B51" s="549"/>
      <c r="C51" s="549"/>
      <c r="D51" s="549"/>
      <c r="E51" s="549"/>
      <c r="F51" s="549"/>
      <c r="G51" s="674"/>
      <c r="H51" s="673"/>
      <c r="I51" s="673"/>
      <c r="J51" s="672"/>
      <c r="K51" s="365"/>
    </row>
    <row r="52" spans="1:18" ht="18" customHeight="1" x14ac:dyDescent="0.2">
      <c r="A52" s="946" t="s">
        <v>1349</v>
      </c>
      <c r="B52" s="675"/>
      <c r="C52" s="675"/>
      <c r="D52" s="675"/>
      <c r="E52" s="675"/>
      <c r="F52" s="675"/>
      <c r="G52" s="674"/>
      <c r="H52" s="673"/>
      <c r="I52" s="673"/>
      <c r="J52" s="672"/>
      <c r="K52" s="365"/>
      <c r="L52" s="945"/>
      <c r="M52" s="945"/>
      <c r="N52" s="945"/>
      <c r="O52" s="945"/>
      <c r="P52" s="945"/>
      <c r="Q52" s="945"/>
      <c r="R52" s="945"/>
    </row>
    <row r="53" spans="1:18" ht="18" customHeight="1" x14ac:dyDescent="0.2">
      <c r="A53" s="946" t="s">
        <v>1350</v>
      </c>
      <c r="B53" s="675"/>
      <c r="C53" s="675"/>
      <c r="D53" s="675"/>
      <c r="E53" s="675"/>
      <c r="F53" s="675"/>
      <c r="G53" s="674"/>
      <c r="H53" s="673"/>
      <c r="I53" s="673"/>
      <c r="J53" s="672"/>
      <c r="K53" s="365"/>
    </row>
    <row r="54" spans="1:18" ht="18" customHeight="1" x14ac:dyDescent="0.2">
      <c r="A54" s="675" t="s">
        <v>1351</v>
      </c>
      <c r="B54" s="675"/>
      <c r="C54" s="675"/>
      <c r="D54" s="675"/>
      <c r="E54" s="675"/>
      <c r="F54" s="675"/>
    </row>
    <row r="55" spans="1:18" ht="14" x14ac:dyDescent="0.2">
      <c r="E55" s="618"/>
    </row>
  </sheetData>
  <mergeCells count="25">
    <mergeCell ref="C31:G31"/>
    <mergeCell ref="J31:K33"/>
    <mergeCell ref="A36:B36"/>
    <mergeCell ref="A37:B37"/>
    <mergeCell ref="A45:B45"/>
    <mergeCell ref="A39:B39"/>
    <mergeCell ref="A40:B40"/>
    <mergeCell ref="A41:B41"/>
    <mergeCell ref="A42:B42"/>
    <mergeCell ref="A43:B43"/>
    <mergeCell ref="A44:B44"/>
    <mergeCell ref="A38:B38"/>
    <mergeCell ref="A17:B17"/>
    <mergeCell ref="A18:B18"/>
    <mergeCell ref="A11:B11"/>
    <mergeCell ref="C3:G3"/>
    <mergeCell ref="J3:K5"/>
    <mergeCell ref="A8:B8"/>
    <mergeCell ref="A9:B9"/>
    <mergeCell ref="A10:B10"/>
    <mergeCell ref="A12:B12"/>
    <mergeCell ref="A13:B13"/>
    <mergeCell ref="A14:B14"/>
    <mergeCell ref="A15:B15"/>
    <mergeCell ref="A16:B16"/>
  </mergeCells>
  <phoneticPr fontId="30"/>
  <pageMargins left="0.59055118110236227" right="0.59055118110236227" top="0.59055118110236227" bottom="0.59055118110236227" header="0.51181102362204722" footer="0.51181102362204722"/>
  <pageSetup paperSize="9" scale="91" orientation="portrait" r:id="rId1"/>
  <headerFooter alignWithMargins="0"/>
  <rowBreaks count="1" manualBreakCount="1">
    <brk id="27" max="1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3"/>
  <sheetViews>
    <sheetView view="pageBreakPreview" zoomScaleNormal="25" zoomScaleSheetLayoutView="100" workbookViewId="0"/>
  </sheetViews>
  <sheetFormatPr defaultColWidth="8.90625" defaultRowHeight="12" x14ac:dyDescent="0.2"/>
  <cols>
    <col min="1" max="1" width="20.26953125" style="25" customWidth="1"/>
    <col min="2" max="2" width="13.6328125" style="25" customWidth="1"/>
    <col min="3" max="4" width="14.6328125" style="25" customWidth="1"/>
    <col min="5" max="5" width="0.90625" style="25" customWidth="1"/>
    <col min="6" max="6" width="31.1796875" style="25" customWidth="1"/>
    <col min="7" max="7" width="4.08984375" style="25" customWidth="1"/>
    <col min="8" max="8" width="11.6328125" style="25" customWidth="1"/>
    <col min="9" max="9" width="11.453125" style="25" bestFit="1" customWidth="1"/>
    <col min="10" max="10" width="14.26953125" style="25" bestFit="1" customWidth="1"/>
    <col min="11" max="11" width="14.453125" style="25" bestFit="1" customWidth="1"/>
    <col min="12" max="12" width="9.36328125" style="25" bestFit="1" customWidth="1"/>
    <col min="13" max="13" width="11.6328125" style="25" bestFit="1" customWidth="1"/>
    <col min="14" max="15" width="8.90625" style="25" customWidth="1"/>
    <col min="16" max="16" width="14.6328125" style="25" customWidth="1"/>
    <col min="17" max="16384" width="8.90625" style="25"/>
  </cols>
  <sheetData>
    <row r="1" spans="1:8" s="644" customFormat="1" ht="15" customHeight="1" x14ac:dyDescent="0.2">
      <c r="A1" s="645" t="s">
        <v>1352</v>
      </c>
    </row>
    <row r="2" spans="1:8" s="616" customFormat="1" ht="13" customHeight="1" x14ac:dyDescent="0.2">
      <c r="A2" s="345" t="s">
        <v>429</v>
      </c>
      <c r="B2" s="1187" t="s">
        <v>1353</v>
      </c>
      <c r="C2" s="1188"/>
      <c r="D2" s="1189"/>
      <c r="E2" s="1190" t="s">
        <v>660</v>
      </c>
      <c r="F2" s="1150"/>
    </row>
    <row r="3" spans="1:8" s="616" customFormat="1" ht="13" customHeight="1" x14ac:dyDescent="0.2">
      <c r="A3" s="916"/>
      <c r="B3" s="689" t="s">
        <v>220</v>
      </c>
      <c r="C3" s="939" t="s">
        <v>416</v>
      </c>
      <c r="D3" s="939" t="s">
        <v>415</v>
      </c>
      <c r="E3" s="1191"/>
      <c r="F3" s="1192"/>
    </row>
    <row r="4" spans="1:8" s="616" customFormat="1" ht="13" customHeight="1" x14ac:dyDescent="0.2">
      <c r="A4" s="688" t="s">
        <v>430</v>
      </c>
      <c r="B4" s="665" t="s">
        <v>1354</v>
      </c>
      <c r="C4" s="636" t="s">
        <v>1355</v>
      </c>
      <c r="D4" s="636" t="s">
        <v>1356</v>
      </c>
      <c r="E4" s="1193"/>
      <c r="F4" s="1163"/>
    </row>
    <row r="5" spans="1:8" s="616" customFormat="1" ht="13" customHeight="1" x14ac:dyDescent="0.2">
      <c r="A5" s="934"/>
      <c r="B5" s="687"/>
      <c r="C5" s="687"/>
      <c r="D5" s="687"/>
      <c r="E5" s="686"/>
      <c r="F5" s="362"/>
    </row>
    <row r="6" spans="1:8" s="616" customFormat="1" ht="13" customHeight="1" x14ac:dyDescent="0.2">
      <c r="A6" s="685" t="s">
        <v>427</v>
      </c>
      <c r="B6" s="625">
        <v>63924816</v>
      </c>
      <c r="C6" s="625">
        <v>40909759</v>
      </c>
      <c r="D6" s="625">
        <v>23015057</v>
      </c>
      <c r="E6" s="684" t="s">
        <v>60</v>
      </c>
      <c r="F6" s="362"/>
      <c r="H6" s="621"/>
    </row>
    <row r="7" spans="1:8" s="616" customFormat="1" ht="13" customHeight="1" x14ac:dyDescent="0.2">
      <c r="A7" s="944"/>
      <c r="B7" s="625"/>
      <c r="C7" s="625"/>
      <c r="D7" s="625"/>
      <c r="E7" s="672"/>
      <c r="F7" s="683"/>
      <c r="H7" s="621"/>
    </row>
    <row r="8" spans="1:8" s="616" customFormat="1" ht="13" customHeight="1" x14ac:dyDescent="0.2">
      <c r="A8" s="944" t="s">
        <v>462</v>
      </c>
      <c r="B8" s="625">
        <v>885524</v>
      </c>
      <c r="C8" s="625" t="s">
        <v>426</v>
      </c>
      <c r="D8" s="625" t="s">
        <v>426</v>
      </c>
      <c r="E8" s="672"/>
      <c r="F8" s="683" t="s">
        <v>463</v>
      </c>
      <c r="H8" s="621"/>
    </row>
    <row r="9" spans="1:8" s="616" customFormat="1" ht="13" customHeight="1" x14ac:dyDescent="0.2">
      <c r="A9" s="944" t="s">
        <v>29</v>
      </c>
      <c r="B9" s="625">
        <v>25058205</v>
      </c>
      <c r="C9" s="625">
        <v>23038256</v>
      </c>
      <c r="D9" s="625">
        <v>2019949</v>
      </c>
      <c r="E9" s="672"/>
      <c r="F9" s="683" t="s">
        <v>35</v>
      </c>
      <c r="H9" s="621"/>
    </row>
    <row r="10" spans="1:8" s="616" customFormat="1" ht="13" customHeight="1" x14ac:dyDescent="0.2">
      <c r="A10" s="944" t="s">
        <v>30</v>
      </c>
      <c r="B10" s="625">
        <v>5418617</v>
      </c>
      <c r="C10" s="625" t="s">
        <v>426</v>
      </c>
      <c r="D10" s="625" t="s">
        <v>426</v>
      </c>
      <c r="E10" s="672"/>
      <c r="F10" s="683" t="s">
        <v>36</v>
      </c>
      <c r="H10" s="621"/>
    </row>
    <row r="11" spans="1:8" s="616" customFormat="1" ht="13" customHeight="1" x14ac:dyDescent="0.2">
      <c r="A11" s="944" t="s">
        <v>31</v>
      </c>
      <c r="B11" s="625">
        <v>4879763</v>
      </c>
      <c r="C11" s="625">
        <v>1770290</v>
      </c>
      <c r="D11" s="625">
        <v>3109473</v>
      </c>
      <c r="E11" s="672"/>
      <c r="F11" s="683" t="s">
        <v>37</v>
      </c>
      <c r="H11" s="621"/>
    </row>
    <row r="12" spans="1:8" s="616" customFormat="1" ht="13" customHeight="1" x14ac:dyDescent="0.2">
      <c r="A12" s="944" t="s">
        <v>63</v>
      </c>
      <c r="B12" s="625">
        <v>22261771</v>
      </c>
      <c r="C12" s="625">
        <v>9294968</v>
      </c>
      <c r="D12" s="625">
        <v>12966803</v>
      </c>
      <c r="E12" s="672"/>
      <c r="F12" s="683" t="s">
        <v>69</v>
      </c>
      <c r="H12" s="621"/>
    </row>
    <row r="13" spans="1:8" s="616" customFormat="1" ht="13" customHeight="1" x14ac:dyDescent="0.2">
      <c r="A13" s="944" t="s">
        <v>34</v>
      </c>
      <c r="B13" s="625">
        <v>2367334</v>
      </c>
      <c r="C13" s="625" t="s">
        <v>426</v>
      </c>
      <c r="D13" s="625" t="s">
        <v>426</v>
      </c>
      <c r="E13" s="672"/>
      <c r="F13" s="683" t="s">
        <v>70</v>
      </c>
      <c r="H13" s="621"/>
    </row>
    <row r="14" spans="1:8" s="616" customFormat="1" ht="13" customHeight="1" x14ac:dyDescent="0.2">
      <c r="A14" s="944" t="s">
        <v>78</v>
      </c>
      <c r="B14" s="625">
        <v>186903</v>
      </c>
      <c r="C14" s="625" t="s">
        <v>426</v>
      </c>
      <c r="D14" s="625" t="s">
        <v>426</v>
      </c>
      <c r="E14" s="672"/>
      <c r="F14" s="683" t="s">
        <v>68</v>
      </c>
      <c r="H14" s="621"/>
    </row>
    <row r="15" spans="1:8" s="616" customFormat="1" ht="13" customHeight="1" x14ac:dyDescent="0.2">
      <c r="A15" s="944" t="s">
        <v>15</v>
      </c>
      <c r="B15" s="625">
        <v>1000009</v>
      </c>
      <c r="C15" s="625" t="s">
        <v>648</v>
      </c>
      <c r="D15" s="625">
        <v>1000009</v>
      </c>
      <c r="E15" s="672"/>
      <c r="F15" s="683" t="s">
        <v>24</v>
      </c>
      <c r="H15" s="621"/>
    </row>
    <row r="16" spans="1:8" s="616" customFormat="1" ht="13" customHeight="1" x14ac:dyDescent="0.2">
      <c r="A16" s="944" t="s">
        <v>64</v>
      </c>
      <c r="B16" s="625">
        <v>138087</v>
      </c>
      <c r="C16" s="625" t="s">
        <v>426</v>
      </c>
      <c r="D16" s="625" t="s">
        <v>426</v>
      </c>
      <c r="E16" s="672"/>
      <c r="F16" s="683" t="s">
        <v>58</v>
      </c>
      <c r="H16" s="621"/>
    </row>
    <row r="17" spans="1:11" s="616" customFormat="1" ht="13" customHeight="1" x14ac:dyDescent="0.2">
      <c r="A17" s="942" t="s">
        <v>425</v>
      </c>
      <c r="B17" s="623">
        <v>1728603</v>
      </c>
      <c r="C17" s="623">
        <v>456239</v>
      </c>
      <c r="D17" s="623">
        <v>1272364</v>
      </c>
      <c r="E17" s="692"/>
      <c r="F17" s="681" t="s">
        <v>424</v>
      </c>
      <c r="H17" s="621"/>
    </row>
    <row r="18" spans="1:11" s="616" customFormat="1" ht="13" customHeight="1" x14ac:dyDescent="0.2">
      <c r="A18" s="678" t="s">
        <v>423</v>
      </c>
      <c r="B18" s="677"/>
      <c r="C18" s="676"/>
      <c r="D18" s="676"/>
      <c r="E18" s="365"/>
      <c r="F18" s="365"/>
    </row>
    <row r="19" spans="1:11" s="616" customFormat="1" ht="13" customHeight="1" x14ac:dyDescent="0.2">
      <c r="A19" s="678" t="s">
        <v>422</v>
      </c>
      <c r="B19" s="677"/>
      <c r="C19" s="676"/>
      <c r="D19" s="676"/>
      <c r="E19" s="365"/>
      <c r="F19" s="365"/>
    </row>
    <row r="20" spans="1:11" s="616" customFormat="1" ht="13" customHeight="1" x14ac:dyDescent="0.2">
      <c r="A20" s="678" t="s">
        <v>1333</v>
      </c>
      <c r="B20" s="677"/>
      <c r="C20" s="676"/>
      <c r="D20" s="676"/>
      <c r="E20" s="365"/>
      <c r="F20" s="365"/>
      <c r="G20" s="674"/>
      <c r="H20" s="673"/>
      <c r="I20" s="673"/>
      <c r="J20" s="672"/>
      <c r="K20" s="365"/>
    </row>
    <row r="21" spans="1:11" s="616" customFormat="1" ht="13" customHeight="1" x14ac:dyDescent="0.2">
      <c r="A21" s="946" t="s">
        <v>1357</v>
      </c>
      <c r="B21" s="549"/>
      <c r="C21" s="549"/>
      <c r="D21" s="549"/>
      <c r="E21" s="549"/>
      <c r="F21" s="549"/>
      <c r="G21" s="674"/>
      <c r="H21" s="673"/>
      <c r="I21" s="673"/>
      <c r="J21" s="672"/>
      <c r="K21" s="365"/>
    </row>
    <row r="22" spans="1:11" s="616" customFormat="1" ht="13" customHeight="1" x14ac:dyDescent="0.2">
      <c r="A22" s="946" t="s">
        <v>1358</v>
      </c>
      <c r="B22" s="549"/>
      <c r="C22" s="549"/>
      <c r="D22" s="549"/>
      <c r="E22" s="549"/>
      <c r="F22" s="549"/>
      <c r="H22" s="621"/>
    </row>
    <row r="23" spans="1:11" s="616" customFormat="1" ht="13" customHeight="1" x14ac:dyDescent="0.2">
      <c r="A23" s="946" t="s">
        <v>1359</v>
      </c>
      <c r="B23" s="549"/>
      <c r="C23" s="549"/>
      <c r="D23" s="549"/>
      <c r="E23" s="549"/>
      <c r="F23" s="549"/>
      <c r="H23" s="621"/>
    </row>
    <row r="24" spans="1:11" s="616" customFormat="1" ht="13" customHeight="1" x14ac:dyDescent="0.2">
      <c r="A24" s="946" t="s">
        <v>1360</v>
      </c>
      <c r="B24" s="675"/>
      <c r="C24" s="675"/>
      <c r="D24" s="675"/>
      <c r="E24" s="675"/>
      <c r="F24" s="675"/>
      <c r="G24" s="674"/>
      <c r="H24" s="673"/>
      <c r="I24" s="673"/>
      <c r="J24" s="672"/>
      <c r="K24" s="365"/>
    </row>
    <row r="25" spans="1:11" s="616" customFormat="1" ht="13" customHeight="1" x14ac:dyDescent="0.2">
      <c r="A25" s="675" t="s">
        <v>1361</v>
      </c>
      <c r="B25" s="675"/>
      <c r="C25" s="675"/>
      <c r="D25" s="675"/>
      <c r="E25" s="675"/>
      <c r="F25" s="675"/>
      <c r="G25" s="674"/>
      <c r="H25" s="673"/>
      <c r="I25" s="673"/>
      <c r="J25" s="672"/>
      <c r="K25" s="365"/>
    </row>
    <row r="26" spans="1:11" s="616" customFormat="1" ht="13" customHeight="1" x14ac:dyDescent="0.2">
      <c r="A26" s="675" t="s">
        <v>1362</v>
      </c>
      <c r="B26" s="675"/>
      <c r="C26" s="675"/>
      <c r="D26" s="675"/>
      <c r="E26" s="675"/>
      <c r="F26" s="675"/>
      <c r="G26" s="675"/>
      <c r="H26" s="675"/>
      <c r="I26" s="675"/>
      <c r="J26" s="672"/>
      <c r="K26" s="365"/>
    </row>
    <row r="27" spans="1:11" s="616" customFormat="1" ht="13" customHeight="1" x14ac:dyDescent="0.2">
      <c r="A27" s="691"/>
      <c r="B27" s="691"/>
      <c r="C27" s="691"/>
      <c r="D27" s="691"/>
      <c r="E27" s="691"/>
      <c r="F27" s="691"/>
      <c r="H27" s="621"/>
    </row>
    <row r="28" spans="1:11" s="644" customFormat="1" ht="13" customHeight="1" x14ac:dyDescent="0.2">
      <c r="A28" s="645" t="s">
        <v>1363</v>
      </c>
      <c r="B28" s="690"/>
      <c r="C28" s="690"/>
      <c r="D28" s="690"/>
      <c r="E28" s="690"/>
      <c r="F28" s="690"/>
      <c r="H28" s="621"/>
    </row>
    <row r="29" spans="1:11" s="616" customFormat="1" ht="13" customHeight="1" x14ac:dyDescent="0.2">
      <c r="A29" s="345" t="s">
        <v>429</v>
      </c>
      <c r="B29" s="1187" t="s">
        <v>1364</v>
      </c>
      <c r="C29" s="1188"/>
      <c r="D29" s="1189"/>
      <c r="E29" s="1190" t="s">
        <v>1365</v>
      </c>
      <c r="F29" s="1150"/>
      <c r="H29" s="621"/>
    </row>
    <row r="30" spans="1:11" s="616" customFormat="1" ht="13" customHeight="1" x14ac:dyDescent="0.2">
      <c r="A30" s="916"/>
      <c r="B30" s="689" t="s">
        <v>220</v>
      </c>
      <c r="C30" s="939" t="s">
        <v>416</v>
      </c>
      <c r="D30" s="939" t="s">
        <v>415</v>
      </c>
      <c r="E30" s="1191"/>
      <c r="F30" s="1192"/>
      <c r="H30" s="621"/>
    </row>
    <row r="31" spans="1:11" s="616" customFormat="1" ht="13" customHeight="1" x14ac:dyDescent="0.2">
      <c r="A31" s="688" t="s">
        <v>428</v>
      </c>
      <c r="B31" s="665" t="s">
        <v>1354</v>
      </c>
      <c r="C31" s="636" t="s">
        <v>1355</v>
      </c>
      <c r="D31" s="636" t="s">
        <v>1356</v>
      </c>
      <c r="E31" s="1193"/>
      <c r="F31" s="1163"/>
    </row>
    <row r="32" spans="1:11" s="616" customFormat="1" ht="13" customHeight="1" x14ac:dyDescent="0.2">
      <c r="A32" s="934"/>
      <c r="B32" s="687"/>
      <c r="C32" s="687"/>
      <c r="D32" s="687"/>
      <c r="E32" s="686"/>
      <c r="F32" s="362"/>
    </row>
    <row r="33" spans="1:11" s="616" customFormat="1" ht="13" customHeight="1" x14ac:dyDescent="0.2">
      <c r="A33" s="685" t="s">
        <v>427</v>
      </c>
      <c r="B33" s="625">
        <v>73145314</v>
      </c>
      <c r="C33" s="625">
        <v>46071816</v>
      </c>
      <c r="D33" s="625">
        <v>27073498</v>
      </c>
      <c r="E33" s="684" t="s">
        <v>60</v>
      </c>
      <c r="F33" s="362"/>
      <c r="H33" s="621"/>
    </row>
    <row r="34" spans="1:11" s="616" customFormat="1" ht="13" customHeight="1" x14ac:dyDescent="0.2">
      <c r="A34" s="944"/>
      <c r="B34" s="625"/>
      <c r="C34" s="625"/>
      <c r="D34" s="625"/>
      <c r="E34" s="672"/>
      <c r="F34" s="683"/>
      <c r="H34" s="621"/>
    </row>
    <row r="35" spans="1:11" s="616" customFormat="1" ht="13" customHeight="1" x14ac:dyDescent="0.2">
      <c r="A35" s="944" t="s">
        <v>462</v>
      </c>
      <c r="B35" s="625">
        <v>1080681</v>
      </c>
      <c r="C35" s="625" t="s">
        <v>648</v>
      </c>
      <c r="D35" s="625">
        <v>1080681</v>
      </c>
      <c r="E35" s="672"/>
      <c r="F35" s="683" t="s">
        <v>463</v>
      </c>
      <c r="H35" s="621"/>
    </row>
    <row r="36" spans="1:11" s="616" customFormat="1" ht="13" customHeight="1" x14ac:dyDescent="0.2">
      <c r="A36" s="944" t="s">
        <v>29</v>
      </c>
      <c r="B36" s="625">
        <v>27696329</v>
      </c>
      <c r="C36" s="625">
        <v>25365950</v>
      </c>
      <c r="D36" s="625">
        <v>2330379</v>
      </c>
      <c r="E36" s="672"/>
      <c r="F36" s="683" t="s">
        <v>35</v>
      </c>
      <c r="H36" s="621"/>
    </row>
    <row r="37" spans="1:11" s="616" customFormat="1" ht="13" customHeight="1" x14ac:dyDescent="0.2">
      <c r="A37" s="944" t="s">
        <v>30</v>
      </c>
      <c r="B37" s="625">
        <v>6235372</v>
      </c>
      <c r="C37" s="625" t="s">
        <v>426</v>
      </c>
      <c r="D37" s="625" t="s">
        <v>426</v>
      </c>
      <c r="E37" s="672"/>
      <c r="F37" s="683" t="s">
        <v>36</v>
      </c>
      <c r="H37" s="621"/>
    </row>
    <row r="38" spans="1:11" s="616" customFormat="1" ht="13" customHeight="1" x14ac:dyDescent="0.2">
      <c r="A38" s="944" t="s">
        <v>31</v>
      </c>
      <c r="B38" s="625">
        <v>5688594</v>
      </c>
      <c r="C38" s="625">
        <v>2163742</v>
      </c>
      <c r="D38" s="625">
        <v>3524852</v>
      </c>
      <c r="E38" s="672"/>
      <c r="F38" s="683" t="s">
        <v>37</v>
      </c>
      <c r="H38" s="621"/>
    </row>
    <row r="39" spans="1:11" s="616" customFormat="1" ht="13" customHeight="1" x14ac:dyDescent="0.2">
      <c r="A39" s="944" t="s">
        <v>63</v>
      </c>
      <c r="B39" s="625">
        <v>25917416</v>
      </c>
      <c r="C39" s="625">
        <v>10872941</v>
      </c>
      <c r="D39" s="625">
        <v>15044475</v>
      </c>
      <c r="E39" s="672"/>
      <c r="F39" s="683" t="s">
        <v>69</v>
      </c>
      <c r="H39" s="621"/>
    </row>
    <row r="40" spans="1:11" s="616" customFormat="1" ht="13" customHeight="1" x14ac:dyDescent="0.2">
      <c r="A40" s="944" t="s">
        <v>34</v>
      </c>
      <c r="B40" s="625">
        <v>2840554</v>
      </c>
      <c r="C40" s="625" t="s">
        <v>426</v>
      </c>
      <c r="D40" s="625" t="s">
        <v>426</v>
      </c>
      <c r="E40" s="672"/>
      <c r="F40" s="683" t="s">
        <v>70</v>
      </c>
      <c r="H40" s="621"/>
    </row>
    <row r="41" spans="1:11" s="616" customFormat="1" ht="13" customHeight="1" x14ac:dyDescent="0.2">
      <c r="A41" s="944" t="s">
        <v>15</v>
      </c>
      <c r="B41" s="625">
        <v>1160802</v>
      </c>
      <c r="C41" s="625" t="s">
        <v>648</v>
      </c>
      <c r="D41" s="625">
        <v>1160802</v>
      </c>
      <c r="E41" s="672"/>
      <c r="F41" s="683" t="s">
        <v>24</v>
      </c>
      <c r="H41" s="621"/>
    </row>
    <row r="42" spans="1:11" s="616" customFormat="1" ht="13" customHeight="1" x14ac:dyDescent="0.2">
      <c r="A42" s="944" t="s">
        <v>64</v>
      </c>
      <c r="B42" s="625">
        <v>189171</v>
      </c>
      <c r="C42" s="625" t="s">
        <v>426</v>
      </c>
      <c r="D42" s="625" t="s">
        <v>426</v>
      </c>
      <c r="E42" s="672"/>
      <c r="F42" s="683" t="s">
        <v>58</v>
      </c>
      <c r="H42" s="621"/>
    </row>
    <row r="43" spans="1:11" ht="13" customHeight="1" x14ac:dyDescent="0.2">
      <c r="A43" s="942" t="s">
        <v>425</v>
      </c>
      <c r="B43" s="623">
        <v>2336395</v>
      </c>
      <c r="C43" s="623">
        <v>488619</v>
      </c>
      <c r="D43" s="623">
        <v>1847776</v>
      </c>
      <c r="E43" s="682"/>
      <c r="F43" s="681" t="s">
        <v>424</v>
      </c>
      <c r="H43" s="680"/>
    </row>
    <row r="44" spans="1:11" ht="13" customHeight="1" x14ac:dyDescent="0.2">
      <c r="A44" s="678" t="s">
        <v>423</v>
      </c>
      <c r="B44" s="204"/>
      <c r="C44" s="676"/>
      <c r="D44" s="676"/>
      <c r="E44" s="679"/>
      <c r="F44" s="365"/>
    </row>
    <row r="45" spans="1:11" ht="13" customHeight="1" x14ac:dyDescent="0.2">
      <c r="A45" s="678" t="s">
        <v>422</v>
      </c>
      <c r="B45" s="204"/>
      <c r="C45" s="676"/>
      <c r="D45" s="676"/>
      <c r="E45" s="679"/>
      <c r="F45" s="365"/>
    </row>
    <row r="46" spans="1:11" ht="13" customHeight="1" x14ac:dyDescent="0.2">
      <c r="A46" s="678" t="s">
        <v>1366</v>
      </c>
      <c r="B46" s="677"/>
      <c r="C46" s="676"/>
      <c r="D46" s="676"/>
      <c r="E46" s="365"/>
      <c r="F46" s="365"/>
      <c r="G46" s="674"/>
      <c r="H46" s="673"/>
      <c r="I46" s="673"/>
      <c r="J46" s="672"/>
      <c r="K46" s="365"/>
    </row>
    <row r="47" spans="1:11" ht="13" customHeight="1" x14ac:dyDescent="0.2">
      <c r="A47" s="946" t="s">
        <v>1367</v>
      </c>
      <c r="B47" s="549"/>
      <c r="C47" s="549"/>
      <c r="D47" s="549"/>
      <c r="E47" s="549"/>
      <c r="F47" s="549"/>
      <c r="G47" s="674"/>
      <c r="H47" s="673"/>
      <c r="I47" s="673"/>
      <c r="J47" s="672"/>
      <c r="K47" s="365"/>
    </row>
    <row r="48" spans="1:11" ht="13" customHeight="1" x14ac:dyDescent="0.2">
      <c r="A48" s="946" t="s">
        <v>1358</v>
      </c>
    </row>
    <row r="49" spans="1:11" ht="13" customHeight="1" x14ac:dyDescent="0.2">
      <c r="A49" s="946" t="s">
        <v>1359</v>
      </c>
    </row>
    <row r="50" spans="1:11" s="439" customFormat="1" ht="13" customHeight="1" x14ac:dyDescent="0.2">
      <c r="A50" s="946" t="s">
        <v>1349</v>
      </c>
      <c r="B50" s="675"/>
      <c r="C50" s="675"/>
      <c r="D50" s="675"/>
      <c r="E50" s="675"/>
      <c r="F50" s="675"/>
      <c r="G50" s="674"/>
      <c r="H50" s="673"/>
      <c r="I50" s="673"/>
      <c r="J50" s="672"/>
      <c r="K50" s="365"/>
    </row>
    <row r="51" spans="1:11" s="439" customFormat="1" ht="13" customHeight="1" x14ac:dyDescent="0.2">
      <c r="A51" s="946" t="s">
        <v>1350</v>
      </c>
      <c r="B51" s="675"/>
      <c r="C51" s="675"/>
      <c r="D51" s="675"/>
      <c r="E51" s="675"/>
      <c r="F51" s="675"/>
      <c r="G51" s="674"/>
      <c r="H51" s="673"/>
      <c r="I51" s="673"/>
      <c r="J51" s="672"/>
      <c r="K51" s="365"/>
    </row>
    <row r="52" spans="1:11" s="439" customFormat="1" ht="13" customHeight="1" x14ac:dyDescent="0.2">
      <c r="A52" s="675" t="s">
        <v>1368</v>
      </c>
      <c r="B52" s="675"/>
      <c r="C52" s="675"/>
      <c r="D52" s="675"/>
      <c r="E52" s="675"/>
      <c r="F52" s="675"/>
      <c r="G52" s="674"/>
      <c r="H52" s="673"/>
      <c r="I52" s="673"/>
      <c r="J52" s="672"/>
      <c r="K52" s="365"/>
    </row>
    <row r="53" spans="1:11" ht="13" customHeight="1" x14ac:dyDescent="0.2">
      <c r="A53" s="1194"/>
      <c r="B53" s="1194"/>
      <c r="C53" s="1194"/>
      <c r="D53" s="1194"/>
      <c r="E53" s="1194"/>
      <c r="F53" s="1194"/>
    </row>
  </sheetData>
  <mergeCells count="5">
    <mergeCell ref="B2:D2"/>
    <mergeCell ref="E2:F4"/>
    <mergeCell ref="B29:D29"/>
    <mergeCell ref="E29:F31"/>
    <mergeCell ref="A53:F53"/>
  </mergeCells>
  <phoneticPr fontId="30"/>
  <pageMargins left="0.59055118110236227" right="0.59055118110236227" top="0.59055118110236227" bottom="0.59055118110236227" header="0.51181102362204722" footer="0.51181102362204722"/>
  <pageSetup paperSize="9" scale="91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4"/>
  <sheetViews>
    <sheetView view="pageBreakPreview" zoomScaleNormal="25" zoomScaleSheetLayoutView="100" workbookViewId="0"/>
  </sheetViews>
  <sheetFormatPr defaultColWidth="8.90625" defaultRowHeight="12" x14ac:dyDescent="0.2"/>
  <cols>
    <col min="1" max="1" width="20.26953125" style="25" customWidth="1"/>
    <col min="2" max="2" width="13.6328125" style="25" customWidth="1"/>
    <col min="3" max="3" width="10" style="25" customWidth="1"/>
    <col min="4" max="5" width="9.90625" style="25" customWidth="1"/>
    <col min="6" max="6" width="0.90625" style="25" customWidth="1"/>
    <col min="7" max="7" width="29.81640625" style="25" customWidth="1"/>
    <col min="8" max="8" width="4.08984375" style="25" customWidth="1"/>
    <col min="9" max="9" width="11.6328125" style="25" customWidth="1"/>
    <col min="10" max="10" width="19.7265625" style="25" bestFit="1" customWidth="1"/>
    <col min="11" max="11" width="9.26953125" style="25" bestFit="1" customWidth="1"/>
    <col min="12" max="12" width="11.6328125" style="25" bestFit="1" customWidth="1"/>
    <col min="13" max="13" width="11.453125" style="25" bestFit="1" customWidth="1"/>
    <col min="14" max="14" width="14.26953125" style="25" bestFit="1" customWidth="1"/>
    <col min="15" max="15" width="14.453125" style="25" bestFit="1" customWidth="1"/>
    <col min="16" max="16" width="9.36328125" style="25" bestFit="1" customWidth="1"/>
    <col min="17" max="17" width="11.6328125" style="25" bestFit="1" customWidth="1"/>
    <col min="18" max="19" width="8.90625" style="25" customWidth="1"/>
    <col min="20" max="20" width="14.6328125" style="25" customWidth="1"/>
    <col min="21" max="16384" width="8.90625" style="25"/>
  </cols>
  <sheetData>
    <row r="1" spans="1:10" s="644" customFormat="1" ht="15" customHeight="1" x14ac:dyDescent="0.2">
      <c r="A1" s="645" t="s">
        <v>1369</v>
      </c>
    </row>
    <row r="2" spans="1:10" s="644" customFormat="1" ht="15" customHeight="1" x14ac:dyDescent="0.2">
      <c r="A2" s="645" t="s">
        <v>1370</v>
      </c>
    </row>
    <row r="3" spans="1:10" s="616" customFormat="1" ht="13" customHeight="1" x14ac:dyDescent="0.2">
      <c r="A3" s="345" t="s">
        <v>429</v>
      </c>
      <c r="B3" s="638" t="s">
        <v>433</v>
      </c>
      <c r="C3" s="638" t="s">
        <v>1371</v>
      </c>
      <c r="D3" s="638" t="s">
        <v>432</v>
      </c>
      <c r="E3" s="638" t="s">
        <v>431</v>
      </c>
      <c r="F3" s="1190" t="s">
        <v>660</v>
      </c>
      <c r="G3" s="1195"/>
    </row>
    <row r="4" spans="1:10" s="616" customFormat="1" ht="13" customHeight="1" x14ac:dyDescent="0.2">
      <c r="A4" s="915"/>
      <c r="B4" s="689" t="s">
        <v>1372</v>
      </c>
      <c r="C4" s="689"/>
      <c r="D4" s="699" t="s">
        <v>720</v>
      </c>
      <c r="E4" s="689" t="s">
        <v>721</v>
      </c>
      <c r="F4" s="1196"/>
      <c r="G4" s="1197"/>
    </row>
    <row r="5" spans="1:10" s="616" customFormat="1" ht="13" customHeight="1" x14ac:dyDescent="0.2">
      <c r="A5" s="915"/>
      <c r="B5" s="698" t="s">
        <v>661</v>
      </c>
      <c r="C5" s="901" t="s">
        <v>662</v>
      </c>
      <c r="D5" s="901" t="s">
        <v>1373</v>
      </c>
      <c r="E5" s="901" t="s">
        <v>1373</v>
      </c>
      <c r="F5" s="1196"/>
      <c r="G5" s="1197"/>
    </row>
    <row r="6" spans="1:10" s="616" customFormat="1" ht="13" customHeight="1" x14ac:dyDescent="0.2">
      <c r="A6" s="700" t="s">
        <v>430</v>
      </c>
      <c r="B6" s="636" t="s">
        <v>1374</v>
      </c>
      <c r="C6" s="902" t="s">
        <v>1375</v>
      </c>
      <c r="D6" s="902" t="s">
        <v>1376</v>
      </c>
      <c r="E6" s="902" t="s">
        <v>663</v>
      </c>
      <c r="F6" s="1198"/>
      <c r="G6" s="1199"/>
    </row>
    <row r="7" spans="1:10" s="616" customFormat="1" ht="13" customHeight="1" x14ac:dyDescent="0.2">
      <c r="A7" s="934"/>
      <c r="B7" s="687"/>
      <c r="C7" s="687"/>
      <c r="D7" s="687"/>
      <c r="E7" s="687"/>
      <c r="F7" s="686"/>
      <c r="G7" s="362"/>
    </row>
    <row r="8" spans="1:10" s="616" customFormat="1" ht="13" customHeight="1" x14ac:dyDescent="0.2">
      <c r="A8" s="685" t="s">
        <v>427</v>
      </c>
      <c r="B8" s="625">
        <v>912536336</v>
      </c>
      <c r="C8" s="696">
        <v>68.510000000000005</v>
      </c>
      <c r="D8" s="695">
        <v>1394930</v>
      </c>
      <c r="E8" s="695">
        <v>19555.599999999999</v>
      </c>
      <c r="F8" s="684" t="s">
        <v>60</v>
      </c>
      <c r="G8" s="362"/>
      <c r="I8" s="621"/>
      <c r="J8" s="621"/>
    </row>
    <row r="9" spans="1:10" s="616" customFormat="1" ht="13" customHeight="1" x14ac:dyDescent="0.2">
      <c r="A9" s="944"/>
      <c r="B9" s="625"/>
      <c r="C9" s="696"/>
      <c r="D9" s="695"/>
      <c r="E9" s="695"/>
      <c r="F9" s="672"/>
      <c r="G9" s="362"/>
      <c r="I9" s="621"/>
      <c r="J9" s="621"/>
    </row>
    <row r="10" spans="1:10" s="616" customFormat="1" ht="13" customHeight="1" x14ac:dyDescent="0.2">
      <c r="A10" s="944" t="s">
        <v>462</v>
      </c>
      <c r="B10" s="625">
        <v>12928430</v>
      </c>
      <c r="C10" s="696">
        <v>66.81</v>
      </c>
      <c r="D10" s="695">
        <v>21773</v>
      </c>
      <c r="E10" s="695">
        <v>318.2</v>
      </c>
      <c r="F10" s="672"/>
      <c r="G10" s="362" t="s">
        <v>463</v>
      </c>
      <c r="I10" s="621"/>
      <c r="J10" s="621"/>
    </row>
    <row r="11" spans="1:10" s="616" customFormat="1" ht="13" customHeight="1" x14ac:dyDescent="0.2">
      <c r="A11" s="944" t="s">
        <v>29</v>
      </c>
      <c r="B11" s="625">
        <v>356322987</v>
      </c>
      <c r="C11" s="696">
        <v>68.709999999999994</v>
      </c>
      <c r="D11" s="695">
        <v>571995</v>
      </c>
      <c r="E11" s="695">
        <v>5449.3</v>
      </c>
      <c r="F11" s="672"/>
      <c r="G11" s="362" t="s">
        <v>35</v>
      </c>
      <c r="I11" s="621"/>
      <c r="J11" s="621"/>
    </row>
    <row r="12" spans="1:10" s="616" customFormat="1" ht="13" customHeight="1" x14ac:dyDescent="0.2">
      <c r="A12" s="944" t="s">
        <v>30</v>
      </c>
      <c r="B12" s="625">
        <v>76380042</v>
      </c>
      <c r="C12" s="696">
        <v>69.19</v>
      </c>
      <c r="D12" s="695">
        <v>133001</v>
      </c>
      <c r="E12" s="695">
        <v>975.9</v>
      </c>
      <c r="F12" s="672"/>
      <c r="G12" s="362" t="s">
        <v>36</v>
      </c>
      <c r="I12" s="621"/>
      <c r="J12" s="621"/>
    </row>
    <row r="13" spans="1:10" s="616" customFormat="1" ht="13" customHeight="1" x14ac:dyDescent="0.2">
      <c r="A13" s="944" t="s">
        <v>31</v>
      </c>
      <c r="B13" s="625">
        <v>71364316</v>
      </c>
      <c r="C13" s="696">
        <v>66.819999999999993</v>
      </c>
      <c r="D13" s="695">
        <v>111380</v>
      </c>
      <c r="E13" s="695">
        <v>1514.5</v>
      </c>
      <c r="F13" s="672"/>
      <c r="G13" s="362" t="s">
        <v>37</v>
      </c>
      <c r="I13" s="621"/>
      <c r="J13" s="621"/>
    </row>
    <row r="14" spans="1:10" s="616" customFormat="1" ht="13" customHeight="1" x14ac:dyDescent="0.2">
      <c r="A14" s="944" t="s">
        <v>63</v>
      </c>
      <c r="B14" s="625">
        <v>319751361</v>
      </c>
      <c r="C14" s="696">
        <v>68.23</v>
      </c>
      <c r="D14" s="695">
        <v>438385</v>
      </c>
      <c r="E14" s="695">
        <v>8490.2000000000007</v>
      </c>
      <c r="F14" s="672"/>
      <c r="G14" s="362" t="s">
        <v>69</v>
      </c>
      <c r="I14" s="621"/>
      <c r="J14" s="621"/>
    </row>
    <row r="15" spans="1:10" s="616" customFormat="1" ht="13" customHeight="1" x14ac:dyDescent="0.2">
      <c r="A15" s="944" t="s">
        <v>34</v>
      </c>
      <c r="B15" s="625">
        <v>32639422</v>
      </c>
      <c r="C15" s="696">
        <v>71.790000000000006</v>
      </c>
      <c r="D15" s="695">
        <v>21937</v>
      </c>
      <c r="E15" s="695">
        <v>1668.5</v>
      </c>
      <c r="F15" s="672"/>
      <c r="G15" s="362" t="s">
        <v>70</v>
      </c>
      <c r="I15" s="621"/>
      <c r="J15" s="621"/>
    </row>
    <row r="16" spans="1:10" s="616" customFormat="1" ht="13" customHeight="1" x14ac:dyDescent="0.2">
      <c r="A16" s="944" t="s">
        <v>78</v>
      </c>
      <c r="B16" s="625">
        <v>2956164</v>
      </c>
      <c r="C16" s="696">
        <v>61.55</v>
      </c>
      <c r="D16" s="695">
        <v>4917</v>
      </c>
      <c r="E16" s="695">
        <v>5.7</v>
      </c>
      <c r="F16" s="672"/>
      <c r="G16" s="362" t="s">
        <v>68</v>
      </c>
      <c r="I16" s="621"/>
      <c r="J16" s="621"/>
    </row>
    <row r="17" spans="1:11" s="616" customFormat="1" ht="13" customHeight="1" x14ac:dyDescent="0.2">
      <c r="A17" s="944" t="s">
        <v>15</v>
      </c>
      <c r="B17" s="625">
        <v>14543072</v>
      </c>
      <c r="C17" s="696">
        <v>65.92</v>
      </c>
      <c r="D17" s="695">
        <v>40272</v>
      </c>
      <c r="E17" s="695">
        <v>18.600000000000001</v>
      </c>
      <c r="F17" s="672"/>
      <c r="G17" s="362" t="s">
        <v>24</v>
      </c>
      <c r="I17" s="621"/>
      <c r="J17" s="621"/>
    </row>
    <row r="18" spans="1:11" s="616" customFormat="1" ht="13" customHeight="1" x14ac:dyDescent="0.2">
      <c r="A18" s="944" t="s">
        <v>64</v>
      </c>
      <c r="B18" s="625">
        <v>1639683</v>
      </c>
      <c r="C18" s="696">
        <v>79.12</v>
      </c>
      <c r="D18" s="695">
        <v>8297</v>
      </c>
      <c r="E18" s="695">
        <v>66.7</v>
      </c>
      <c r="F18" s="672"/>
      <c r="G18" s="362" t="s">
        <v>58</v>
      </c>
      <c r="I18" s="621"/>
      <c r="J18" s="621"/>
    </row>
    <row r="19" spans="1:11" s="616" customFormat="1" ht="13" customHeight="1" x14ac:dyDescent="0.2">
      <c r="A19" s="942" t="s">
        <v>425</v>
      </c>
      <c r="B19" s="623">
        <v>24010859</v>
      </c>
      <c r="C19" s="694">
        <v>70.16</v>
      </c>
      <c r="D19" s="693">
        <v>42973</v>
      </c>
      <c r="E19" s="693">
        <v>1048</v>
      </c>
      <c r="F19" s="692"/>
      <c r="G19" s="681" t="s">
        <v>424</v>
      </c>
      <c r="I19" s="621"/>
      <c r="J19" s="621"/>
    </row>
    <row r="20" spans="1:11" s="616" customFormat="1" ht="13" customHeight="1" x14ac:dyDescent="0.2">
      <c r="A20" s="678" t="s">
        <v>423</v>
      </c>
      <c r="B20" s="677"/>
      <c r="C20" s="676"/>
      <c r="D20" s="676"/>
      <c r="E20" s="676"/>
      <c r="F20" s="365"/>
      <c r="G20" s="365"/>
    </row>
    <row r="21" spans="1:11" s="616" customFormat="1" ht="13" customHeight="1" x14ac:dyDescent="0.2">
      <c r="A21" s="678" t="s">
        <v>1377</v>
      </c>
      <c r="B21" s="677"/>
      <c r="C21" s="676"/>
      <c r="D21" s="676"/>
      <c r="E21" s="365"/>
      <c r="F21" s="365"/>
      <c r="G21" s="674"/>
      <c r="H21" s="673"/>
      <c r="I21" s="673"/>
      <c r="J21" s="672"/>
      <c r="K21" s="365"/>
    </row>
    <row r="22" spans="1:11" s="616" customFormat="1" ht="13" customHeight="1" x14ac:dyDescent="0.2">
      <c r="A22" s="946" t="s">
        <v>1378</v>
      </c>
      <c r="B22" s="549"/>
      <c r="C22" s="549"/>
      <c r="D22" s="549"/>
      <c r="E22" s="549"/>
      <c r="F22" s="549"/>
      <c r="G22" s="674"/>
      <c r="H22" s="673"/>
      <c r="I22" s="673"/>
      <c r="J22" s="672"/>
      <c r="K22" s="365"/>
    </row>
    <row r="23" spans="1:11" s="616" customFormat="1" ht="13" customHeight="1" x14ac:dyDescent="0.2">
      <c r="A23" s="946" t="s">
        <v>659</v>
      </c>
      <c r="B23" s="549"/>
      <c r="C23" s="549"/>
      <c r="D23" s="549"/>
      <c r="E23" s="549"/>
      <c r="F23" s="549"/>
      <c r="G23" s="549"/>
      <c r="I23" s="621"/>
      <c r="J23" s="697"/>
    </row>
    <row r="24" spans="1:11" s="616" customFormat="1" ht="13" customHeight="1" x14ac:dyDescent="0.2">
      <c r="A24" s="946" t="s">
        <v>1379</v>
      </c>
      <c r="B24" s="675"/>
      <c r="C24" s="675"/>
      <c r="D24" s="675"/>
      <c r="E24" s="675"/>
      <c r="F24" s="675"/>
      <c r="G24" s="674"/>
      <c r="H24" s="673"/>
      <c r="I24" s="673"/>
      <c r="J24" s="672"/>
      <c r="K24" s="365"/>
    </row>
    <row r="25" spans="1:11" s="616" customFormat="1" ht="13" customHeight="1" x14ac:dyDescent="0.2">
      <c r="A25" s="675" t="s">
        <v>1380</v>
      </c>
      <c r="B25" s="675"/>
      <c r="C25" s="675"/>
      <c r="D25" s="675"/>
      <c r="E25" s="675"/>
      <c r="F25" s="675"/>
      <c r="G25" s="674"/>
      <c r="H25" s="673"/>
      <c r="I25" s="673"/>
      <c r="J25" s="672"/>
      <c r="K25" s="365"/>
    </row>
    <row r="26" spans="1:11" s="616" customFormat="1" ht="13" customHeight="1" x14ac:dyDescent="0.2">
      <c r="A26" s="675" t="s">
        <v>1381</v>
      </c>
      <c r="B26" s="675"/>
      <c r="C26" s="675"/>
      <c r="D26" s="675"/>
      <c r="E26" s="675"/>
      <c r="F26" s="675"/>
      <c r="G26" s="674"/>
      <c r="H26" s="673"/>
      <c r="I26" s="673"/>
      <c r="J26" s="672"/>
      <c r="K26" s="365"/>
    </row>
    <row r="27" spans="1:11" s="616" customFormat="1" ht="13" customHeight="1" x14ac:dyDescent="0.2">
      <c r="A27" s="1200"/>
      <c r="B27" s="1200"/>
      <c r="C27" s="1200"/>
      <c r="D27" s="1200"/>
      <c r="E27" s="1200"/>
      <c r="F27" s="1200"/>
      <c r="G27" s="1200"/>
      <c r="I27" s="621"/>
    </row>
    <row r="28" spans="1:11" s="616" customFormat="1" ht="13" customHeight="1" x14ac:dyDescent="0.2">
      <c r="A28" s="691"/>
      <c r="B28" s="691"/>
      <c r="C28" s="691"/>
      <c r="D28" s="691"/>
      <c r="E28" s="691"/>
      <c r="F28" s="691"/>
      <c r="G28" s="691"/>
      <c r="I28" s="621"/>
    </row>
    <row r="29" spans="1:11" s="644" customFormat="1" ht="13" customHeight="1" x14ac:dyDescent="0.2">
      <c r="A29" s="645" t="s">
        <v>1382</v>
      </c>
      <c r="I29" s="621"/>
    </row>
    <row r="30" spans="1:11" s="644" customFormat="1" ht="13" customHeight="1" x14ac:dyDescent="0.2">
      <c r="A30" s="645" t="s">
        <v>1383</v>
      </c>
      <c r="I30" s="621"/>
    </row>
    <row r="31" spans="1:11" s="616" customFormat="1" ht="13" customHeight="1" x14ac:dyDescent="0.2">
      <c r="A31" s="345" t="s">
        <v>429</v>
      </c>
      <c r="B31" s="638" t="s">
        <v>433</v>
      </c>
      <c r="C31" s="638" t="s">
        <v>1384</v>
      </c>
      <c r="D31" s="638" t="s">
        <v>432</v>
      </c>
      <c r="E31" s="638" t="s">
        <v>431</v>
      </c>
      <c r="F31" s="1190" t="s">
        <v>1385</v>
      </c>
      <c r="G31" s="1195"/>
      <c r="I31" s="621"/>
    </row>
    <row r="32" spans="1:11" s="616" customFormat="1" ht="13" customHeight="1" x14ac:dyDescent="0.2">
      <c r="A32" s="343"/>
      <c r="B32" s="689" t="s">
        <v>1386</v>
      </c>
      <c r="C32" s="689"/>
      <c r="D32" s="699" t="s">
        <v>1387</v>
      </c>
      <c r="E32" s="689" t="s">
        <v>721</v>
      </c>
      <c r="F32" s="1196"/>
      <c r="G32" s="1197"/>
      <c r="I32" s="621"/>
    </row>
    <row r="33" spans="1:11" s="616" customFormat="1" ht="13" customHeight="1" x14ac:dyDescent="0.2">
      <c r="A33" s="916"/>
      <c r="B33" s="698" t="s">
        <v>661</v>
      </c>
      <c r="C33" s="901" t="s">
        <v>662</v>
      </c>
      <c r="D33" s="901" t="s">
        <v>1373</v>
      </c>
      <c r="E33" s="901" t="s">
        <v>1373</v>
      </c>
      <c r="F33" s="1196"/>
      <c r="G33" s="1197"/>
      <c r="I33" s="621"/>
    </row>
    <row r="34" spans="1:11" s="616" customFormat="1" ht="13" customHeight="1" x14ac:dyDescent="0.2">
      <c r="A34" s="688" t="s">
        <v>428</v>
      </c>
      <c r="B34" s="636" t="s">
        <v>1374</v>
      </c>
      <c r="C34" s="902" t="s">
        <v>1388</v>
      </c>
      <c r="D34" s="902" t="s">
        <v>1389</v>
      </c>
      <c r="E34" s="902" t="s">
        <v>1389</v>
      </c>
      <c r="F34" s="1198"/>
      <c r="G34" s="1199"/>
      <c r="J34" s="697"/>
    </row>
    <row r="35" spans="1:11" s="616" customFormat="1" ht="13" customHeight="1" x14ac:dyDescent="0.2">
      <c r="A35" s="934"/>
      <c r="B35" s="687"/>
      <c r="C35" s="687"/>
      <c r="D35" s="687"/>
      <c r="E35" s="687"/>
      <c r="F35" s="686"/>
      <c r="G35" s="362"/>
      <c r="J35" s="697"/>
    </row>
    <row r="36" spans="1:11" s="616" customFormat="1" ht="13" customHeight="1" x14ac:dyDescent="0.2">
      <c r="A36" s="685" t="s">
        <v>427</v>
      </c>
      <c r="B36" s="625">
        <v>939274602</v>
      </c>
      <c r="C36" s="696">
        <v>76.3</v>
      </c>
      <c r="D36" s="695">
        <v>1458085</v>
      </c>
      <c r="E36" s="695">
        <v>22477.1</v>
      </c>
      <c r="F36" s="684" t="s">
        <v>60</v>
      </c>
      <c r="G36" s="362"/>
      <c r="I36" s="621"/>
      <c r="J36" s="621"/>
    </row>
    <row r="37" spans="1:11" s="616" customFormat="1" ht="13" customHeight="1" x14ac:dyDescent="0.2">
      <c r="A37" s="944"/>
      <c r="B37" s="625"/>
      <c r="C37" s="696"/>
      <c r="D37" s="695"/>
      <c r="E37" s="695"/>
      <c r="F37" s="672"/>
      <c r="G37" s="362"/>
      <c r="I37" s="621"/>
      <c r="J37" s="621"/>
    </row>
    <row r="38" spans="1:11" s="616" customFormat="1" ht="13" customHeight="1" x14ac:dyDescent="0.2">
      <c r="A38" s="944" t="s">
        <v>462</v>
      </c>
      <c r="B38" s="625">
        <v>13767711</v>
      </c>
      <c r="C38" s="696">
        <v>76.739999999999995</v>
      </c>
      <c r="D38" s="695">
        <v>23914</v>
      </c>
      <c r="E38" s="695">
        <v>474.1</v>
      </c>
      <c r="F38" s="672"/>
      <c r="G38" s="362" t="s">
        <v>463</v>
      </c>
      <c r="I38" s="621"/>
      <c r="J38" s="621"/>
    </row>
    <row r="39" spans="1:11" s="616" customFormat="1" ht="13" customHeight="1" x14ac:dyDescent="0.2">
      <c r="A39" s="944" t="s">
        <v>29</v>
      </c>
      <c r="B39" s="625">
        <v>350417402</v>
      </c>
      <c r="C39" s="696">
        <v>77.39</v>
      </c>
      <c r="D39" s="695">
        <v>574845</v>
      </c>
      <c r="E39" s="695">
        <v>5809.8</v>
      </c>
      <c r="F39" s="672"/>
      <c r="G39" s="362" t="s">
        <v>35</v>
      </c>
      <c r="I39" s="621"/>
      <c r="J39" s="621"/>
    </row>
    <row r="40" spans="1:11" s="616" customFormat="1" ht="13" customHeight="1" x14ac:dyDescent="0.2">
      <c r="A40" s="944" t="s">
        <v>30</v>
      </c>
      <c r="B40" s="625">
        <v>78937107</v>
      </c>
      <c r="C40" s="696">
        <v>77.290000000000006</v>
      </c>
      <c r="D40" s="695">
        <v>133871</v>
      </c>
      <c r="E40" s="695">
        <v>1139.3</v>
      </c>
      <c r="F40" s="672"/>
      <c r="G40" s="362" t="s">
        <v>36</v>
      </c>
      <c r="I40" s="621"/>
      <c r="J40" s="621"/>
    </row>
    <row r="41" spans="1:11" s="616" customFormat="1" ht="13" customHeight="1" x14ac:dyDescent="0.2">
      <c r="A41" s="944" t="s">
        <v>31</v>
      </c>
      <c r="B41" s="625">
        <v>73214332</v>
      </c>
      <c r="C41" s="696">
        <v>76.11</v>
      </c>
      <c r="D41" s="695">
        <v>115755</v>
      </c>
      <c r="E41" s="695">
        <v>2366.1999999999998</v>
      </c>
      <c r="F41" s="672"/>
      <c r="G41" s="362" t="s">
        <v>37</v>
      </c>
      <c r="I41" s="621"/>
      <c r="J41" s="621"/>
    </row>
    <row r="42" spans="1:11" s="616" customFormat="1" ht="13" customHeight="1" x14ac:dyDescent="0.2">
      <c r="A42" s="944" t="s">
        <v>63</v>
      </c>
      <c r="B42" s="625">
        <v>342622122</v>
      </c>
      <c r="C42" s="696">
        <v>74.25</v>
      </c>
      <c r="D42" s="695">
        <v>472400</v>
      </c>
      <c r="E42" s="695">
        <v>9391</v>
      </c>
      <c r="F42" s="672"/>
      <c r="G42" s="362" t="s">
        <v>69</v>
      </c>
      <c r="I42" s="621"/>
      <c r="J42" s="621"/>
    </row>
    <row r="43" spans="1:11" s="616" customFormat="1" ht="13" customHeight="1" x14ac:dyDescent="0.2">
      <c r="A43" s="944" t="s">
        <v>34</v>
      </c>
      <c r="B43" s="625">
        <v>34163454</v>
      </c>
      <c r="C43" s="696">
        <v>82.3</v>
      </c>
      <c r="D43" s="695">
        <v>26084</v>
      </c>
      <c r="E43" s="695">
        <v>1984.1</v>
      </c>
      <c r="F43" s="672"/>
      <c r="G43" s="362" t="s">
        <v>70</v>
      </c>
      <c r="I43" s="621"/>
      <c r="J43" s="621"/>
    </row>
    <row r="44" spans="1:11" s="616" customFormat="1" ht="13" customHeight="1" x14ac:dyDescent="0.2">
      <c r="A44" s="944" t="s">
        <v>15</v>
      </c>
      <c r="B44" s="625">
        <v>14955834</v>
      </c>
      <c r="C44" s="696">
        <v>74.63</v>
      </c>
      <c r="D44" s="695">
        <v>43532</v>
      </c>
      <c r="E44" s="695">
        <v>27.9</v>
      </c>
      <c r="F44" s="672"/>
      <c r="G44" s="362" t="s">
        <v>24</v>
      </c>
      <c r="I44" s="621"/>
      <c r="J44" s="621"/>
    </row>
    <row r="45" spans="1:11" s="616" customFormat="1" ht="13" customHeight="1" x14ac:dyDescent="0.2">
      <c r="A45" s="944" t="s">
        <v>64</v>
      </c>
      <c r="B45" s="625">
        <v>2091140</v>
      </c>
      <c r="C45" s="696">
        <v>84.9</v>
      </c>
      <c r="D45" s="695">
        <v>11500</v>
      </c>
      <c r="E45" s="695">
        <v>130.80000000000001</v>
      </c>
      <c r="F45" s="672"/>
      <c r="G45" s="362" t="s">
        <v>58</v>
      </c>
      <c r="I45" s="621"/>
      <c r="J45" s="621"/>
    </row>
    <row r="46" spans="1:11" ht="13" customHeight="1" x14ac:dyDescent="0.2">
      <c r="A46" s="942" t="s">
        <v>425</v>
      </c>
      <c r="B46" s="623">
        <v>29105500</v>
      </c>
      <c r="C46" s="694">
        <v>78.3</v>
      </c>
      <c r="D46" s="693">
        <v>56184</v>
      </c>
      <c r="E46" s="693">
        <v>1153.9000000000001</v>
      </c>
      <c r="F46" s="692"/>
      <c r="G46" s="681" t="s">
        <v>424</v>
      </c>
      <c r="I46" s="680"/>
      <c r="J46" s="621"/>
    </row>
    <row r="47" spans="1:11" ht="13" customHeight="1" x14ac:dyDescent="0.2">
      <c r="A47" s="678" t="s">
        <v>423</v>
      </c>
      <c r="B47" s="204"/>
      <c r="C47" s="676"/>
      <c r="D47" s="676"/>
      <c r="E47" s="676"/>
      <c r="F47" s="679"/>
      <c r="G47" s="365"/>
    </row>
    <row r="48" spans="1:11" ht="13" customHeight="1" x14ac:dyDescent="0.2">
      <c r="A48" s="678" t="s">
        <v>1390</v>
      </c>
      <c r="B48" s="677"/>
      <c r="C48" s="676"/>
      <c r="D48" s="676"/>
      <c r="E48" s="365"/>
      <c r="F48" s="365"/>
      <c r="G48" s="674"/>
      <c r="H48" s="673"/>
      <c r="I48" s="673"/>
      <c r="J48" s="672"/>
      <c r="K48" s="365"/>
    </row>
    <row r="49" spans="1:11" ht="13" customHeight="1" x14ac:dyDescent="0.2">
      <c r="A49" s="946" t="s">
        <v>1391</v>
      </c>
      <c r="B49" s="549"/>
      <c r="C49" s="549"/>
      <c r="D49" s="549"/>
      <c r="E49" s="549"/>
      <c r="F49" s="549"/>
      <c r="G49" s="674"/>
      <c r="H49" s="673"/>
      <c r="I49" s="673"/>
      <c r="J49" s="672"/>
      <c r="K49" s="365"/>
    </row>
    <row r="50" spans="1:11" ht="13" customHeight="1" x14ac:dyDescent="0.2">
      <c r="A50" s="946" t="s">
        <v>1335</v>
      </c>
    </row>
    <row r="51" spans="1:11" s="439" customFormat="1" ht="13" customHeight="1" x14ac:dyDescent="0.2">
      <c r="A51" s="946" t="s">
        <v>1392</v>
      </c>
      <c r="B51" s="675"/>
      <c r="C51" s="675"/>
      <c r="D51" s="675"/>
      <c r="E51" s="675"/>
      <c r="F51" s="675"/>
      <c r="G51" s="674"/>
      <c r="H51" s="673"/>
      <c r="I51" s="673"/>
      <c r="J51" s="672"/>
      <c r="K51" s="365"/>
    </row>
    <row r="52" spans="1:11" s="439" customFormat="1" ht="13" customHeight="1" x14ac:dyDescent="0.2">
      <c r="A52" s="946" t="s">
        <v>1393</v>
      </c>
      <c r="B52" s="675"/>
      <c r="C52" s="675"/>
      <c r="D52" s="675"/>
      <c r="E52" s="675"/>
      <c r="F52" s="675"/>
      <c r="G52" s="674"/>
      <c r="H52" s="673"/>
      <c r="I52" s="673"/>
      <c r="J52" s="672"/>
      <c r="K52" s="365"/>
    </row>
    <row r="53" spans="1:11" s="439" customFormat="1" ht="13" customHeight="1" x14ac:dyDescent="0.2">
      <c r="A53" s="675" t="s">
        <v>1368</v>
      </c>
      <c r="B53" s="675"/>
      <c r="C53" s="675"/>
      <c r="D53" s="675"/>
      <c r="E53" s="675"/>
      <c r="F53" s="675"/>
      <c r="G53" s="674"/>
      <c r="H53" s="673"/>
      <c r="I53" s="673"/>
      <c r="J53" s="672"/>
      <c r="K53" s="365"/>
    </row>
    <row r="54" spans="1:11" ht="13" customHeight="1" x14ac:dyDescent="0.2">
      <c r="A54" s="1194" t="s">
        <v>1394</v>
      </c>
      <c r="B54" s="1194"/>
      <c r="C54" s="1194"/>
      <c r="D54" s="1194"/>
      <c r="E54" s="1194"/>
      <c r="F54" s="1194"/>
      <c r="G54" s="1194"/>
    </row>
  </sheetData>
  <mergeCells count="4">
    <mergeCell ref="F3:G6"/>
    <mergeCell ref="A27:G27"/>
    <mergeCell ref="F31:G34"/>
    <mergeCell ref="A54:G54"/>
  </mergeCells>
  <phoneticPr fontId="30"/>
  <pageMargins left="0.59055118110236227" right="0.59055118110236227" top="0.59055118110236227" bottom="0.59055118110236227" header="0.51181102362204722" footer="0.51181102362204722"/>
  <pageSetup paperSize="9"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21</vt:i4>
      </vt:variant>
    </vt:vector>
  </HeadingPairs>
  <TitlesOfParts>
    <vt:vector size="43" baseType="lpstr">
      <vt:lpstr>●目次(Contents)●</vt:lpstr>
      <vt:lpstr>１（１）原油地域別、国別輸入</vt:lpstr>
      <vt:lpstr>１（２）原油油種別輸入</vt:lpstr>
      <vt:lpstr>１（３）非精製用出荷内訳</vt:lpstr>
      <vt:lpstr>１（４）原油処理及び原油在庫</vt:lpstr>
      <vt:lpstr>２（１）①石油製品需給総括暦年</vt:lpstr>
      <vt:lpstr>２（１）②石油製品需給総括年度</vt:lpstr>
      <vt:lpstr>２（２）①製造業者・輸入業者受払暦年</vt:lpstr>
      <vt:lpstr>２（２）②製造業者・輸入業者受払年度</vt:lpstr>
      <vt:lpstr>２（３）石油製品国内向月別販売</vt:lpstr>
      <vt:lpstr>２（４）①石油製品月別輸入</vt:lpstr>
      <vt:lpstr>２（４）②石油製品国・地域別月別輸入</vt:lpstr>
      <vt:lpstr>２（４）③石油製品月別輸出</vt:lpstr>
      <vt:lpstr>２（４）④石油製品国・地域別月別輸出</vt:lpstr>
      <vt:lpstr>２（５）石油製品月別業態別在庫</vt:lpstr>
      <vt:lpstr>２（６）製造業者・輸入業者月別消費者、販売業者向販売</vt:lpstr>
      <vt:lpstr>２（７）品種別、月別消費者・販売業者向販売及び在庫内訳</vt:lpstr>
      <vt:lpstr>参考資料１、２備蓄量推移、輸入価格推移</vt:lpstr>
      <vt:lpstr>参考資料３（１）（２）</vt:lpstr>
      <vt:lpstr>参考資料３（３）（４）</vt:lpstr>
      <vt:lpstr>参考資料３（５）（６）</vt:lpstr>
      <vt:lpstr>参考資料３（７）（８）</vt:lpstr>
      <vt:lpstr>'●目次(Contents)●'!Print_Area</vt:lpstr>
      <vt:lpstr>'１（１）原油地域別、国別輸入'!Print_Area</vt:lpstr>
      <vt:lpstr>'１（２）原油油種別輸入'!Print_Area</vt:lpstr>
      <vt:lpstr>'１（３）非精製用出荷内訳'!Print_Area</vt:lpstr>
      <vt:lpstr>'１（４）原油処理及び原油在庫'!Print_Area</vt:lpstr>
      <vt:lpstr>'２（１）①石油製品需給総括暦年'!Print_Area</vt:lpstr>
      <vt:lpstr>'２（１）②石油製品需給総括年度'!Print_Area</vt:lpstr>
      <vt:lpstr>'２（２）①製造業者・輸入業者受払暦年'!Print_Area</vt:lpstr>
      <vt:lpstr>'２（２）②製造業者・輸入業者受払年度'!Print_Area</vt:lpstr>
      <vt:lpstr>'２（３）石油製品国内向月別販売'!Print_Area</vt:lpstr>
      <vt:lpstr>'２（４）②石油製品国・地域別月別輸入'!Print_Area</vt:lpstr>
      <vt:lpstr>'２（４）③石油製品月別輸出'!Print_Area</vt:lpstr>
      <vt:lpstr>'２（４）④石油製品国・地域別月別輸出'!Print_Area</vt:lpstr>
      <vt:lpstr>'２（５）石油製品月別業態別在庫'!Print_Area</vt:lpstr>
      <vt:lpstr>'２（６）製造業者・輸入業者月別消費者、販売業者向販売'!Print_Area</vt:lpstr>
      <vt:lpstr>'２（７）品種別、月別消費者・販売業者向販売及び在庫内訳'!Print_Area</vt:lpstr>
      <vt:lpstr>'参考資料１、２備蓄量推移、輸入価格推移'!Print_Area</vt:lpstr>
      <vt:lpstr>'参考資料３（１）（２）'!Print_Area</vt:lpstr>
      <vt:lpstr>'参考資料３（３）（４）'!Print_Area</vt:lpstr>
      <vt:lpstr>'参考資料３（５）（６）'!Print_Area</vt:lpstr>
      <vt:lpstr>'参考資料３（７）（８）'!Print_Area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2022-06-23T01:37:40Z</dcterms:modified>
</cp:coreProperties>
</file>